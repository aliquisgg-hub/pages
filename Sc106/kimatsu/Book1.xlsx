
<file path=[Content_Types].xml><?xml version="1.0" encoding="utf-8"?>
<Types xmlns="http://schemas.openxmlformats.org/package/2006/content-types">
  <Default Extension="rels" ContentType="application/vnd.openxmlformats-package.relationships+xml"/>
  <Default Extension="fntdata" ContentType="application/x-fontdata"/>
  <Default Extension="xml" ContentType="application/xml"/>
  <Default Extension="jpeg" ContentType="image/jpeg"/>
  <Default Extension="png" ContentType="image/png"/>
  <Default Extension="jpg" ContentType="image/jpe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xl/charts/colors1.xml" ContentType="application/vnd.ms-office.chartcolorstyle+xml"/>
  <Override PartName="/xl/charts/colors2.xml" ContentType="application/vnd.ms-office.chartcolorstyle+xml"/>
  <Override PartName="/xl/charts/style2.xml" ContentType="application/vnd.ms-office.chartstyle+xml"/>
  <Override PartName="/xl/charts/style1.xml" ContentType="application/vnd.ms-office.chartstyle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>
  <fileVersion appName="Calc" lowestEdited="7"/>
  <workbookPr backupFile="false" showObjects="all"/>
  <workbookProtection/>
  <bookViews>
    <workbookView activeTab="1" firstSheet="0" showHorizontalScroll="true" showSheetTabs="true" showVerticalScroll="true" tabRatio="500" windowHeight="8192" windowWidth="16384" xWindow="0" yWindow="0"/>
  </bookViews>
  <sheets>
    <sheet state="visible" name="Sheet1" sheetId="1" r:id="rId3"/>
    <sheet state="visible" name="Sheet1_2" sheetId="2" r:id="rId4"/>
    <sheet state="visible" name="Sheet1 (2)" sheetId="3" r:id="rId5"/>
    <sheet state="visible" name="Sheet1 (5)" sheetId="4" r:id="rId6"/>
    <sheet state="visible" name="Sheet1 (3)" sheetId="5" r:id="rId7"/>
    <sheet state="visible" name="Sheet1 (4)" sheetId="6" r:id="rId8"/>
  </sheets>
  <calcPr refMode="A1" iterate="false" iterateCount="100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<sst xmlns="http://schemas.openxmlformats.org/spreadsheetml/2006/main" count="50" uniqueCount="10">
  <si>
    <t>x</t>
  </si>
  <si>
    <t>y</t>
  </si>
  <si>
    <t>total</t>
  </si>
  <si>
    <r>
      <rPr>
        <rFont val="游ゴシック"/>
        <charset val="128"/>
        <family val="2"/>
        <color rgb="FF000000"/>
        <sz val="11"/>
      </rPr>
      <t>s</t>
    </r>
    <r>
      <rPr>
        <rFont val="游ゴシック"/>
        <charset val="128"/>
        <family val="3"/>
        <color rgb="FF000000"/>
        <sz val="11"/>
        <vertAlign val="subscript"/>
      </rPr>
      <t>xy</t>
    </r>
  </si>
  <si>
    <t>m.</t>
  </si>
  <si>
    <t>r</t>
  </si>
  <si>
    <t>var.</t>
  </si>
  <si>
    <t>s</t>
  </si>
  <si>
    <t>𝑥</t>
  </si>
  <si>
    <t>𝑦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</si>
</sst>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count="1" mc:Ignorable="x14ac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64" formatCode="General"/>
  </numFmts>
  <fonts count="12">
    <font>
      <name val="游ゴシック"/>
      <charset val="128"/>
      <family val="2"/>
      <color rgb="FF000000"/>
      <sz val="11"/>
    </font>
    <font>
      <name val="Arial"/>
      <charset val="128"/>
      <color rgb="FF000000"/>
      <sz val="10"/>
    </font>
    <font>
      <name val="Arial"/>
      <charset val="128"/>
      <color rgb="FF000000"/>
      <sz val="10"/>
    </font>
    <font>
      <name val="Arial"/>
      <charset val="128"/>
      <color rgb="FF000000"/>
      <sz val="10"/>
    </font>
    <font>
      <name val="Century Schoolbook"/>
      <family val="1"/>
      <i/>
      <color rgb="FF000000"/>
      <sz val="14"/>
    </font>
    <font>
      <name val="游ゴシック"/>
      <charset val="128"/>
      <family val="2"/>
      <color rgb="FFE7E6E6"/>
      <sz val="11"/>
    </font>
    <font>
      <name val="Century"/>
      <family val="1"/>
      <color rgb="FF000000"/>
      <sz val="12"/>
    </font>
    <font>
      <name val="游ゴシック"/>
      <charset val="128"/>
      <family val="3"/>
      <color rgb="FF000000"/>
      <sz val="11"/>
      <vertAlign val="subscript"/>
    </font>
    <font>
      <name val="Cambria Math"/>
      <family val="1"/>
      <color rgb="FF000000"/>
      <sz val="14"/>
    </font>
    <font>
      <name val="Cambria Math"/>
      <family val="1"/>
      <color rgb="FF000000"/>
      <sz val="12"/>
    </font>
    <font>
      <name val="Calibri"/>
      <family val="2"/>
      <color rgb="FF595959"/>
      <sz val="14"/>
    </font>
    <font>
      <name val="Noto Sans JP"/>
      <family val="2"/>
      <color rgb="FF595959"/>
      <sz val="9"/>
    </font>
  </fonts>
  <fills count="2">
    <fill>
      <patternFill patternType="none"/>
    </fill>
    <fill>
      <patternFill patternType="gray125"/>
    </fill>
  </fills>
  <borders count="2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 style="none">
        <color rgb="FF000000"/>
      </diagonal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 style="none">
        <color rgb="FF000000"/>
      </diagonal>
    </border>
    <border>
      <left style="medium">
        <color rgb="FF000000"/>
      </left>
      <right style="thin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medium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 style="none">
        <color rgb="FF000000"/>
      </diagonal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 style="none">
        <color rgb="FF000000"/>
      </diagonal>
    </border>
    <border>
      <left style="medium">
        <color rgb="FF000000"/>
      </left>
      <right style="thin">
        <color rgb="FF000000"/>
      </right>
      <top style="medium">
        <color rgb="FF000000"/>
      </top>
      <bottom style="none">
        <color rgb="FF000000"/>
      </bottom>
      <diagonal style="none">
        <color rgb="FF000000"/>
      </diagonal>
    </border>
    <border>
      <left style="thin">
        <color rgb="FF000000"/>
      </left>
      <right style="medium">
        <color rgb="FF000000"/>
      </right>
      <top style="medium">
        <color rgb="FF000000"/>
      </top>
      <bottom style="none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</borders>
  <cellStyleXfs count="20">
    <xf numFmtId="164" fontId="0" fillId="0" borderId="0" xfId="0" applyNumberFormat="1" applyAlignment="1">
      <alignment vertical="center"/>
    </xf>
    <xf numFmtId="0" fontId="1" fillId="0" borderId="0" xfId="0" applyFont="1"/>
    <xf numFmtId="0" fontId="1" fillId="0" borderId="0" xfId="0" applyFont="1"/>
    <xf numFmtId="0" fontId="2" fillId="0" borderId="0" xfId="0" applyFont="1"/>
    <xf numFmtId="0" fontId="2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3" fontId="1" fillId="0" borderId="0" xfId="0" applyNumberFormat="1" applyFont="1"/>
    <xf numFmtId="41" fontId="1" fillId="0" borderId="0" xfId="0" applyNumberFormat="1" applyFont="1"/>
    <xf numFmtId="44" fontId="1" fillId="0" borderId="0" xfId="0" applyNumberFormat="1" applyFont="1"/>
    <xf numFmtId="42" fontId="1" fillId="0" borderId="0" xfId="0" applyNumberFormat="1" applyFont="1"/>
    <xf numFmtId="9" fontId="1" fillId="0" borderId="0" xfId="0" applyNumberFormat="1" applyFont="1"/>
  </cellStyleXfs>
  <cellXfs count="26"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164" fontId="6" fillId="0" borderId="3" xfId="0" applyNumberFormat="1" applyFont="1" applyBorder="1" applyAlignment="1">
      <alignment vertical="center"/>
    </xf>
    <xf numFmtId="164" fontId="6" fillId="0" borderId="4" xfId="0" applyNumberFormat="1" applyFont="1" applyBorder="1" applyAlignment="1">
      <alignment vertical="center"/>
    </xf>
    <xf numFmtId="164" fontId="6" fillId="0" borderId="5" xfId="0" applyNumberFormat="1" applyFont="1" applyBorder="1" applyAlignment="1">
      <alignment vertical="center"/>
    </xf>
    <xf numFmtId="164" fontId="6" fillId="0" borderId="6" xfId="0" applyNumberFormat="1" applyFont="1" applyBorder="1" applyAlignment="1">
      <alignment vertical="center"/>
    </xf>
    <xf numFmtId="164" fontId="6" fillId="0" borderId="7" xfId="0" applyNumberFormat="1" applyFont="1" applyBorder="1" applyAlignment="1">
      <alignment vertical="center"/>
    </xf>
    <xf numFmtId="164" fontId="6" fillId="0" borderId="8" xfId="0" applyNumberFormat="1" applyFont="1" applyBorder="1" applyAlignment="1">
      <alignment vertical="center"/>
    </xf>
    <xf numFmtId="164" fontId="0" fillId="0" borderId="0" xfId="0" applyNumberFormat="1" applyAlignment="1">
      <alignment horizontal="right"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vertical="center"/>
    </xf>
    <xf numFmtId="164" fontId="6" fillId="0" borderId="14" xfId="0" applyNumberFormat="1" applyFont="1" applyBorder="1" applyAlignment="1">
      <alignment vertical="center"/>
    </xf>
    <xf numFmtId="164" fontId="9" fillId="0" borderId="15" xfId="0" applyNumberFormat="1" applyFont="1" applyBorder="1" applyAlignment="1">
      <alignment horizontal="center" vertical="center"/>
    </xf>
    <xf numFmtId="164" fontId="9" fillId="0" borderId="16" xfId="0" applyNumberFormat="1" applyFont="1" applyBorder="1" applyAlignment="1">
      <alignment horizontal="center" vertical="center"/>
    </xf>
    <xf numFmtId="164" fontId="9" fillId="0" borderId="17" xfId="0" applyNumberFormat="1" applyFont="1" applyBorder="1" applyAlignment="1">
      <alignment horizontal="center" vertical="center"/>
    </xf>
    <xf numFmtId="164" fontId="9" fillId="0" borderId="18" xfId="0" applyNumberFormat="1" applyFont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64" fontId="9" fillId="0" borderId="19" xfId="0" applyNumberFormat="1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 TargetMode="Internal"/><Relationship Id="rId2" Type="http://schemas.openxmlformats.org/officeDocument/2006/relationships/styles" Target="styles.xml" TargetMode="Internal"/><Relationship Id="rId3" Type="http://schemas.openxmlformats.org/officeDocument/2006/relationships/worksheet" Target="worksheets/sheet1.xml" TargetMode="Internal"/><Relationship Id="rId4" Type="http://schemas.openxmlformats.org/officeDocument/2006/relationships/worksheet" Target="worksheets/sheet2.xml" TargetMode="Internal"/><Relationship Id="rId5" Type="http://schemas.openxmlformats.org/officeDocument/2006/relationships/worksheet" Target="worksheets/sheet3.xml" TargetMode="Internal"/><Relationship Id="rId6" Type="http://schemas.openxmlformats.org/officeDocument/2006/relationships/worksheet" Target="worksheets/sheet4.xml" TargetMode="Internal"/><Relationship Id="rId7" Type="http://schemas.openxmlformats.org/officeDocument/2006/relationships/worksheet" Target="worksheets/sheet5.xml" TargetMode="Internal"/><Relationship Id="rId8" Type="http://schemas.openxmlformats.org/officeDocument/2006/relationships/worksheet" Target="worksheets/sheet6.xml" TargetMode="Internal"/><Relationship Id="rId9" Type="http://schemas.openxmlformats.org/officeDocument/2006/relationships/sharedStrings" Target="sharedStrings.xml" TargetMode="Internal"/>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'Sheet1 (5)'!$C$2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4472C4"/>
            </a:solidFill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'Sheet1 (5)'!$B$3:$B$8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1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</c:numCache>
            </c:numRef>
          </c:xVal>
          <c:yVal>
            <c:numRef>
              <c:f>'Sheet1 (5)'!$C$3:$C$8</c:f>
              <c:numCache>
                <c:formatCode>General</c:formatCode>
                <c:ptCount val="6"/>
                <c:pt idx="0">
                  <c:v>1</c:v>
                </c:pt>
                <c:pt idx="1">
                  <c:v>7</c:v>
                </c:pt>
                <c:pt idx="2">
                  <c:v>5</c:v>
                </c:pt>
                <c:pt idx="3">
                  <c:v>11</c:v>
                </c:pt>
                <c:pt idx="4">
                  <c:v>1</c:v>
                </c:pt>
                <c:pt idx="5">
                  <c:v>5</c:v>
                </c:pt>
              </c:numCache>
            </c:numRef>
          </c:yVal>
          <c:smooth val="0"/>
        </c:ser>
        <c:axId val="5305724"/>
        <c:axId val="77938155"/>
      </c:scatterChart>
      <c:valAx>
        <c:axId val="5305724"/>
        <c:scaling>
          <c:orientation val="minMax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77938155"/>
        <c:crosses val="autoZero"/>
        <c:crossBetween val="midCat"/>
      </c:valAx>
      <c:valAx>
        <c:axId val="77938155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530572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'Sheet1 (4)'!$C$2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4472C4"/>
            </a:solidFill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'Sheet1 (4)'!$B$3:$B$8</c:f>
              <c:numCache>
                <c:formatCode>General</c:formatCode>
                <c:ptCount val="6"/>
                <c:pt idx="0">
                  <c:v>8</c:v>
                </c:pt>
                <c:pt idx="1">
                  <c:v>17</c:v>
                </c:pt>
                <c:pt idx="2">
                  <c:v>2</c:v>
                </c:pt>
                <c:pt idx="3">
                  <c:v>11</c:v>
                </c:pt>
                <c:pt idx="4">
                  <c:v>8</c:v>
                </c:pt>
                <c:pt idx="5">
                  <c:v>2</c:v>
                </c:pt>
              </c:numCache>
            </c:numRef>
          </c:xVal>
          <c:yVal>
            <c:numRef>
              <c:f>'Sheet1 (4)'!$C$3:$C$8</c:f>
              <c:numCache>
                <c:formatCode>General</c:formatCode>
                <c:ptCount val="6"/>
                <c:pt idx="0">
                  <c:v>7</c:v>
                </c:pt>
                <c:pt idx="1">
                  <c:v>1</c:v>
                </c:pt>
                <c:pt idx="2">
                  <c:v>5</c:v>
                </c:pt>
                <c:pt idx="3">
                  <c:v>5</c:v>
                </c:pt>
                <c:pt idx="4">
                  <c:v>1</c:v>
                </c:pt>
                <c:pt idx="5">
                  <c:v>11</c:v>
                </c:pt>
              </c:numCache>
            </c:numRef>
          </c:yVal>
          <c:smooth val="0"/>
        </c:ser>
        <c:axId val="40600480"/>
        <c:axId val="73334069"/>
      </c:scatterChart>
      <c:valAx>
        <c:axId val="40600480"/>
        <c:scaling>
          <c:orientation val="minMax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73334069"/>
        <c:crosses val="autoZero"/>
        <c:crossBetween val="midCat"/>
      </c:valAx>
      <c:valAx>
        <c:axId val="73334069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4060048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585720</xdr:colOff>
      <xdr:row>2</xdr:row>
      <xdr:rowOff>157320</xdr:rowOff>
    </xdr:from>
    <xdr:to>
      <xdr:col>13</xdr:col>
      <xdr:colOff>356040</xdr:colOff>
      <xdr:row>12</xdr:row>
      <xdr:rowOff>117720</xdr:rowOff>
    </xdr:to>
    <xdr:graphicFrame>
      <xdr:nvGraphicFramePr>
        <xdr:cNvPr id="1" name="グラフ 3"/>
        <xdr:cNvGraphicFramePr/>
      </xdr:nvGraphicFramePr>
      <xdr:xfrm>
        <a:off x="4264920" y="700200"/>
        <a:ext cx="4446360" cy="274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585720</xdr:colOff>
      <xdr:row>2</xdr:row>
      <xdr:rowOff>157320</xdr:rowOff>
    </xdr:from>
    <xdr:to>
      <xdr:col>13</xdr:col>
      <xdr:colOff>356040</xdr:colOff>
      <xdr:row>12</xdr:row>
      <xdr:rowOff>117720</xdr:rowOff>
    </xdr:to>
    <xdr:graphicFrame>
      <xdr:nvGraphicFramePr>
        <xdr:cNvPr id="2" name="グラフ 1"/>
        <xdr:cNvGraphicFramePr/>
      </xdr:nvGraphicFramePr>
      <xdr:xfrm>
        <a:off x="4264920" y="700200"/>
        <a:ext cx="4446360" cy="274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TargetMode="In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2="http://schemas.microsoft.com/office/spreadsheetml/2015/revision2" mc:Ignorable="x14ac">
  <sheetPr filterMode="false">
    <pageSetUpPr fitToPage="false"/>
  </sheetPr>
  <sheetViews>
    <sheetView topLeftCell="A1" zoomScale="200" workbookViewId="0" colorId="64" defaultGridColor="true" rightToLeft="false" showFormulas="false" showOutlineSymbols="true" showRowColHeaders="true" showZeros="true" tabSelected="false" view="normal" zoomScaleNormal="200" zoomScalePageLayoutView="100">
      <selection pane="topLeft" activeCell="B2" sqref="H2:I8 B2" activeCellId="1"/>
    </sheetView>
  </sheetViews>
  <sheetFormatPr baseColWidth="8" defaultColWidth="8.625" defaultRowHeight="18"/>
  <cols>
    <col min="2" max="3" width="6.5" style="1" customWidth="1"/>
  </cols>
  <sheetData>
    <row ht="24" customHeight="1" outlineLevel="0" r="2">
      <c r="B2" s="2" t="s">
        <v>0</v>
      </c>
      <c r="C2" s="3" t="s">
        <v>1</v>
      </c>
    </row>
    <row ht="24" customHeight="1" outlineLevel="0" r="3">
      <c r="A3" s="4">
        <f>RAND()</f>
        <v>0.358689495995031</v>
      </c>
      <c r="B3" s="5">
        <v>3</v>
      </c>
      <c r="C3" s="6">
        <v>1</v>
      </c>
    </row>
    <row ht="24" customHeight="1" outlineLevel="0" r="4">
      <c r="A4" s="4">
        <f>RAND()</f>
        <v>0.857851051193593</v>
      </c>
      <c r="B4" s="7">
        <v>6</v>
      </c>
      <c r="C4" s="8">
        <v>3</v>
      </c>
    </row>
    <row ht="24" customHeight="1" outlineLevel="0" r="5">
      <c r="A5" s="4">
        <f>RAND()</f>
        <v>0.0455794078510159</v>
      </c>
      <c r="B5" s="7">
        <v>1</v>
      </c>
      <c r="C5" s="8">
        <v>4</v>
      </c>
    </row>
    <row ht="24" customHeight="1" outlineLevel="0" r="6">
      <c r="A6" s="4">
        <f>RAND()</f>
        <v>0.59380886358852</v>
      </c>
      <c r="B6" s="7">
        <v>4</v>
      </c>
      <c r="C6" s="8">
        <v>3</v>
      </c>
    </row>
    <row ht="24" customHeight="1" outlineLevel="0" r="7">
      <c r="A7" s="4">
        <f>RAND()</f>
        <v>0.794422821511711</v>
      </c>
      <c r="B7" s="7">
        <v>3</v>
      </c>
      <c r="C7" s="8">
        <v>6</v>
      </c>
    </row>
    <row ht="24" customHeight="1" outlineLevel="0" r="8">
      <c r="A8" s="4">
        <f>RAND()</f>
        <v>0.130976277464524</v>
      </c>
      <c r="B8" s="9">
        <v>1</v>
      </c>
      <c r="C8" s="10">
        <v>1</v>
      </c>
    </row>
    <row ht="18.75" outlineLevel="0" r="9">
      <c r="A9" s="11" t="s">
        <v>2</v>
      </c>
      <c r="B9" s="1">
        <f>SUM(B3:B8)</f>
        <v>18</v>
      </c>
      <c r="C9" s="1">
        <f>SUM(C3:C8)</f>
        <v>18</v>
      </c>
      <c r="D9" s="11" t="s">
        <v>3</v>
      </c>
      <c r="E9" s="1">
        <f>_xlfn.COVARIANCE.P(B3:B8,C3:C8)</f>
        <v>0.333333333333333</v>
      </c>
    </row>
    <row ht="18.75" outlineLevel="0" r="10">
      <c r="A10" s="11" t="s">
        <v>4</v>
      </c>
      <c r="B10" s="1">
        <f>AVERAGE(B3:B8)</f>
        <v>3</v>
      </c>
      <c r="C10" s="1">
        <f>AVERAGE(C3:C8)</f>
        <v>3</v>
      </c>
      <c r="D10" s="11" t="s">
        <v>5</v>
      </c>
      <c r="E10" s="1">
        <f>CORREL(B3:B8,C3:C8)</f>
        <v>0.111111111111111</v>
      </c>
    </row>
    <row ht="18.75" outlineLevel="0" r="11">
      <c r="A11" s="11" t="s">
        <v>6</v>
      </c>
      <c r="B11" s="1">
        <f>_xlfn.VAR.P(B3:B8)</f>
        <v>3</v>
      </c>
      <c r="C11" s="1">
        <f>_xlfn.VAR.P(C3:C8)</f>
        <v>3</v>
      </c>
    </row>
    <row ht="18.75" outlineLevel="0" r="12">
      <c r="A12" s="11" t="s">
        <v>7</v>
      </c>
      <c r="B12" s="1">
        <f>_xlfn.STDEV.P(B3:B8)</f>
        <v>1.73205080756888</v>
      </c>
      <c r="C12" s="1">
        <f>_xlfn.STDEV.P(C3:C8)</f>
        <v>1.73205080756888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2="http://schemas.microsoft.com/office/spreadsheetml/2015/revision2" mc:Ignorable="x14ac">
  <sheetPr filterMode="false">
    <pageSetUpPr fitToPage="false"/>
  </sheetPr>
  <sheetViews>
    <sheetView topLeftCell="A1" zoomScale="200" workbookViewId="0" colorId="64" defaultGridColor="true" rightToLeft="false" showFormulas="false" showOutlineSymbols="true" showRowColHeaders="true" showZeros="true" tabSelected="true" view="normal" zoomScaleNormal="200" zoomScalePageLayoutView="100">
      <selection pane="topLeft" activeCell="B12" sqref="B12" activeCellId="0"/>
    </sheetView>
  </sheetViews>
  <sheetFormatPr baseColWidth="8" defaultColWidth="8.625" defaultRowHeight="18"/>
  <cols>
    <col min="2" max="3" width="6.5" style="1" customWidth="1"/>
    <col min="8" max="9" width="6.51" customWidth="1"/>
    <col min="16383" max="16384" width="10.49" customWidth="1"/>
  </cols>
  <sheetData>
    <row ht="24" customHeight="1" outlineLevel="0" r="2">
      <c r="B2" s="12" t="s">
        <v>0</v>
      </c>
      <c r="C2" s="13" t="s">
        <v>1</v>
      </c>
      <c r="H2" s="14" t="s">
        <v>8</v>
      </c>
      <c r="I2" s="15" t="s">
        <v>9</v>
      </c>
    </row>
    <row ht="24" customHeight="1" outlineLevel="0" r="3">
      <c r="A3" s="4">
        <f>RAND()</f>
        <v>0.145141196504767</v>
      </c>
      <c r="B3" s="16">
        <v>3</v>
      </c>
      <c r="C3" s="17">
        <v>6</v>
      </c>
      <c r="H3" s="18">
        <f>B3</f>
        <v>3</v>
      </c>
      <c r="I3" s="19">
        <f>C3</f>
        <v>6</v>
      </c>
    </row>
    <row ht="24" customHeight="1" outlineLevel="0" r="4">
      <c r="A4" s="4">
        <f>RAND()</f>
        <v>0.410323985112051</v>
      </c>
      <c r="B4" s="7">
        <v>6</v>
      </c>
      <c r="C4" s="8">
        <v>4</v>
      </c>
      <c r="H4" s="20">
        <f>B4</f>
        <v>6</v>
      </c>
      <c r="I4" s="21">
        <f>C4</f>
        <v>4</v>
      </c>
    </row>
    <row ht="24" customHeight="1" outlineLevel="0" r="5">
      <c r="A5" s="4">
        <f>RAND()</f>
        <v>0.35589205862763</v>
      </c>
      <c r="B5" s="7">
        <v>1</v>
      </c>
      <c r="C5" s="8">
        <v>6</v>
      </c>
      <c r="H5" s="20">
        <f>B5</f>
        <v>1</v>
      </c>
      <c r="I5" s="21">
        <f>C5</f>
        <v>6</v>
      </c>
    </row>
    <row ht="24" customHeight="1" outlineLevel="0" r="6">
      <c r="A6" s="4">
        <f>RAND()</f>
        <v>0.0395072172579855</v>
      </c>
      <c r="B6" s="7">
        <v>3</v>
      </c>
      <c r="C6" s="8">
        <v>1</v>
      </c>
      <c r="H6" s="20">
        <f>B6</f>
        <v>3</v>
      </c>
      <c r="I6" s="21">
        <f>C6</f>
        <v>1</v>
      </c>
    </row>
    <row ht="24" customHeight="1" outlineLevel="0" r="7">
      <c r="A7" s="4">
        <f>RAND()</f>
        <v>0.971325712265133</v>
      </c>
      <c r="B7" s="7">
        <v>4</v>
      </c>
      <c r="C7" s="8">
        <v>4</v>
      </c>
      <c r="H7" s="20">
        <f>B7</f>
        <v>4</v>
      </c>
      <c r="I7" s="21">
        <f>C7</f>
        <v>4</v>
      </c>
    </row>
    <row ht="24" customHeight="1" outlineLevel="0" r="8">
      <c r="A8" s="4">
        <f>RAND()</f>
        <v>0.587757588172219</v>
      </c>
      <c r="B8" s="9">
        <v>1</v>
      </c>
      <c r="C8" s="10">
        <v>3</v>
      </c>
      <c r="F8" s="22"/>
      <c r="H8" s="23">
        <f>B8</f>
        <v>1</v>
      </c>
      <c r="I8" s="24">
        <f>C8</f>
        <v>3</v>
      </c>
    </row>
    <row ht="18.75" outlineLevel="0" r="9">
      <c r="A9" s="11" t="s">
        <v>2</v>
      </c>
      <c r="B9" s="1">
        <f>SUM(B3:B8)</f>
        <v>18</v>
      </c>
      <c r="C9" s="1">
        <f>SUM(C3:C8)</f>
        <v>24</v>
      </c>
      <c r="D9" s="11" t="s">
        <v>3</v>
      </c>
      <c r="E9" s="25">
        <f>_xlfn.COVARIANCE.P(B3:B8,C3:C8)</f>
        <v>-0.333333333333333</v>
      </c>
    </row>
    <row ht="18.75" outlineLevel="0" r="10">
      <c r="A10" s="11" t="s">
        <v>4</v>
      </c>
      <c r="B10" s="1">
        <f>AVERAGE(B3:B8)</f>
        <v>3</v>
      </c>
      <c r="C10" s="1">
        <f>AVERAGE(C3:C8)</f>
        <v>4</v>
      </c>
      <c r="D10" s="11" t="s">
        <v>5</v>
      </c>
      <c r="E10" s="25">
        <f>CORREL(B3:B8,C3:C8)</f>
        <v>-0.111111111111111</v>
      </c>
    </row>
    <row ht="18.75" outlineLevel="0" r="11">
      <c r="A11" s="11" t="s">
        <v>6</v>
      </c>
      <c r="B11" s="1">
        <f>_xlfn.VAR.P(B3:B8)</f>
        <v>3</v>
      </c>
      <c r="C11" s="1">
        <f>_xlfn.VAR.P(C3:C8)</f>
        <v>3</v>
      </c>
    </row>
    <row ht="18.75" outlineLevel="0" r="12">
      <c r="A12" s="11" t="s">
        <v>7</v>
      </c>
      <c r="B12" s="25">
        <f>_xlfn.STDEV.P(B3:B8)</f>
        <v>1.73205080756888</v>
      </c>
      <c r="C12" s="25">
        <f>_xlfn.STDEV.P(C3:C8)</f>
        <v>1.73205080756888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2="http://schemas.microsoft.com/office/spreadsheetml/2015/revision2" mc:Ignorable="x14ac">
  <sheetPr filterMode="false">
    <pageSetUpPr fitToPage="false"/>
  </sheetPr>
  <sheetViews>
    <sheetView topLeftCell="A1" zoomScale="200" workbookViewId="0" colorId="64" defaultGridColor="true" rightToLeft="false" showFormulas="false" showOutlineSymbols="true" showRowColHeaders="true" showZeros="true" tabSelected="false" view="normal" zoomScaleNormal="200" zoomScalePageLayoutView="100">
      <selection pane="topLeft" activeCell="C9" sqref="H2:I8 C9" activeCellId="1"/>
    </sheetView>
  </sheetViews>
  <sheetFormatPr baseColWidth="8" defaultColWidth="8.625" defaultRowHeight="18"/>
  <cols>
    <col min="2" max="3" width="6.5" style="1" customWidth="1"/>
  </cols>
  <sheetData>
    <row ht="24" customHeight="1" outlineLevel="0" r="2">
      <c r="B2" s="2" t="s">
        <v>0</v>
      </c>
      <c r="C2" s="3" t="s">
        <v>1</v>
      </c>
    </row>
    <row ht="24" customHeight="1" outlineLevel="0" r="3">
      <c r="A3" s="4">
        <f>RAND()</f>
        <v>0.586290358373099</v>
      </c>
      <c r="B3" s="5">
        <v>3</v>
      </c>
      <c r="C3" s="6">
        <v>1</v>
      </c>
    </row>
    <row ht="24" customHeight="1" outlineLevel="0" r="4">
      <c r="A4" s="4">
        <f>RAND()</f>
        <v>0.566585559661773</v>
      </c>
      <c r="B4" s="7">
        <v>6</v>
      </c>
      <c r="C4" s="8">
        <v>4</v>
      </c>
    </row>
    <row ht="24" customHeight="1" outlineLevel="0" r="5">
      <c r="A5" s="4">
        <f>RAND()</f>
        <v>0.164468744846279</v>
      </c>
      <c r="B5" s="7">
        <v>1</v>
      </c>
      <c r="C5" s="8">
        <v>3</v>
      </c>
    </row>
    <row ht="24" customHeight="1" outlineLevel="0" r="6">
      <c r="A6" s="4">
        <f>RAND()</f>
        <v>0.0738121974625681</v>
      </c>
      <c r="B6" s="7">
        <v>4</v>
      </c>
      <c r="C6" s="8">
        <v>6</v>
      </c>
    </row>
    <row ht="24" customHeight="1" outlineLevel="0" r="7">
      <c r="A7" s="4">
        <f>RAND()</f>
        <v>0.578141168494775</v>
      </c>
      <c r="B7" s="7">
        <v>3</v>
      </c>
      <c r="C7" s="8">
        <v>1</v>
      </c>
    </row>
    <row ht="24" customHeight="1" outlineLevel="0" r="8">
      <c r="A8" s="4">
        <f>RAND()</f>
        <v>0.212750585383154</v>
      </c>
      <c r="B8" s="9">
        <v>1</v>
      </c>
      <c r="C8" s="10">
        <v>3</v>
      </c>
    </row>
    <row ht="18.75" outlineLevel="0" r="9">
      <c r="A9" s="11" t="s">
        <v>2</v>
      </c>
      <c r="B9" s="1">
        <f>SUM(B3:B8)</f>
        <v>18</v>
      </c>
      <c r="C9" s="1">
        <f>SUM(C3:C8)</f>
        <v>18</v>
      </c>
      <c r="D9" s="11" t="s">
        <v>3</v>
      </c>
      <c r="E9" s="1">
        <f>_xlfn.COVARIANCE.P(B3:B8,C3:C8)</f>
        <v>1</v>
      </c>
    </row>
    <row ht="18.75" outlineLevel="0" r="10">
      <c r="A10" s="11" t="s">
        <v>4</v>
      </c>
      <c r="B10" s="1">
        <f>AVERAGE(B3:B8)</f>
        <v>3</v>
      </c>
      <c r="C10" s="1">
        <f>AVERAGE(C3:C8)</f>
        <v>3</v>
      </c>
      <c r="D10" s="11" t="s">
        <v>5</v>
      </c>
      <c r="E10" s="1">
        <f>CORREL(B3:B8,C3:C8)</f>
        <v>0.333333333333333</v>
      </c>
    </row>
    <row ht="18.75" outlineLevel="0" r="11">
      <c r="A11" s="11" t="s">
        <v>6</v>
      </c>
      <c r="B11" s="1">
        <f>_xlfn.VAR.P(B3:B8)</f>
        <v>3</v>
      </c>
      <c r="C11" s="1">
        <f>_xlfn.VAR.P(C3:C8)</f>
        <v>3</v>
      </c>
    </row>
    <row ht="18.75" outlineLevel="0" r="12">
      <c r="A12" s="11" t="s">
        <v>7</v>
      </c>
      <c r="B12" s="1">
        <f>_xlfn.STDEV.P(B3:B8)</f>
        <v>1.73205080756888</v>
      </c>
      <c r="C12" s="1">
        <f>_xlfn.STDEV.P(C3:C8)</f>
        <v>1.73205080756888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2="http://schemas.microsoft.com/office/spreadsheetml/2015/revision2" mc:Ignorable="x14ac">
  <sheetPr filterMode="false">
    <pageSetUpPr fitToPage="false"/>
  </sheetPr>
  <sheetViews>
    <sheetView topLeftCell="A1" zoomScale="200" workbookViewId="0" colorId="64" defaultGridColor="true" rightToLeft="false" showFormulas="false" showOutlineSymbols="true" showRowColHeaders="true" showZeros="true" tabSelected="false" view="normal" zoomScaleNormal="200" zoomScalePageLayoutView="100">
      <selection pane="topLeft" activeCell="B2" sqref="H2:I8 B2" activeCellId="1"/>
    </sheetView>
  </sheetViews>
  <sheetFormatPr baseColWidth="8" defaultColWidth="8.625" defaultRowHeight="18"/>
  <cols>
    <col min="2" max="3" width="6.5" style="1" customWidth="1"/>
  </cols>
  <sheetData>
    <row ht="24" customHeight="1" outlineLevel="0" r="2">
      <c r="B2" s="2" t="s">
        <v>0</v>
      </c>
      <c r="C2" s="3" t="s">
        <v>1</v>
      </c>
    </row>
    <row ht="24" customHeight="1" outlineLevel="0" r="3">
      <c r="A3" s="4">
        <f>RAND()</f>
        <v>0.0911270776256579</v>
      </c>
      <c r="B3" s="5">
        <v>3</v>
      </c>
      <c r="C3" s="6">
        <f>2*D3-1</f>
        <v>1</v>
      </c>
      <c r="D3" s="1">
        <v>1</v>
      </c>
    </row>
    <row ht="24" customHeight="1" outlineLevel="0" r="4">
      <c r="A4" s="4">
        <f>RAND()</f>
        <v>0.107755829630306</v>
      </c>
      <c r="B4" s="7">
        <v>6</v>
      </c>
      <c r="C4" s="8">
        <f>2*D4-1</f>
        <v>7</v>
      </c>
      <c r="D4" s="1">
        <v>4</v>
      </c>
    </row>
    <row ht="24" customHeight="1" outlineLevel="0" r="5">
      <c r="A5" s="4">
        <f>RAND()</f>
        <v>0.995479046365004</v>
      </c>
      <c r="B5" s="7">
        <v>1</v>
      </c>
      <c r="C5" s="8">
        <f>2*D5-1</f>
        <v>5</v>
      </c>
      <c r="D5" s="1">
        <v>3</v>
      </c>
    </row>
    <row ht="24" customHeight="1" outlineLevel="0" r="6">
      <c r="A6" s="4">
        <f>RAND()</f>
        <v>0.342864719379165</v>
      </c>
      <c r="B6" s="7">
        <v>4</v>
      </c>
      <c r="C6" s="8">
        <f>2*D6-1</f>
        <v>11</v>
      </c>
      <c r="D6" s="1">
        <v>6</v>
      </c>
    </row>
    <row ht="24" customHeight="1" outlineLevel="0" r="7">
      <c r="A7" s="4">
        <f>RAND()</f>
        <v>0.49110210057865</v>
      </c>
      <c r="B7" s="7">
        <v>3</v>
      </c>
      <c r="C7" s="8">
        <f>2*D7-1</f>
        <v>1</v>
      </c>
      <c r="D7" s="1">
        <v>1</v>
      </c>
    </row>
    <row ht="24" customHeight="1" outlineLevel="0" r="8">
      <c r="A8" s="4">
        <f>RAND()</f>
        <v>0.871055764551766</v>
      </c>
      <c r="B8" s="9">
        <v>1</v>
      </c>
      <c r="C8" s="10">
        <f>2*D8-1</f>
        <v>5</v>
      </c>
      <c r="D8" s="1">
        <v>3</v>
      </c>
    </row>
    <row ht="18.75" outlineLevel="0" r="9">
      <c r="A9" s="11" t="s">
        <v>2</v>
      </c>
      <c r="B9" s="1">
        <f>SUM(B3:B8)</f>
        <v>18</v>
      </c>
      <c r="C9" s="1">
        <f>SUM(C3:C8)</f>
        <v>30</v>
      </c>
      <c r="D9" s="11" t="s">
        <v>3</v>
      </c>
      <c r="E9" s="1">
        <f>_xlfn.COVARIANCE.P(B3:B8,C3:C8)</f>
        <v>2</v>
      </c>
    </row>
    <row ht="18.75" outlineLevel="0" r="10">
      <c r="A10" s="11" t="s">
        <v>4</v>
      </c>
      <c r="B10" s="1">
        <f>AVERAGE(B3:B8)</f>
        <v>3</v>
      </c>
      <c r="C10" s="1">
        <f>AVERAGE(C3:C8)</f>
        <v>5</v>
      </c>
      <c r="D10" s="11" t="s">
        <v>5</v>
      </c>
      <c r="E10" s="1">
        <f>CORREL(B3:B8,C3:C8)</f>
        <v>0.333333333333333</v>
      </c>
    </row>
    <row ht="18.75" outlineLevel="0" r="11">
      <c r="A11" s="11" t="s">
        <v>6</v>
      </c>
      <c r="B11" s="1">
        <f>_xlfn.VAR.P(B3:B8)</f>
        <v>3</v>
      </c>
      <c r="C11" s="1">
        <f>_xlfn.VAR.P(C3:C8)</f>
        <v>12</v>
      </c>
    </row>
    <row ht="18.75" outlineLevel="0" r="12">
      <c r="A12" s="11" t="s">
        <v>7</v>
      </c>
      <c r="B12" s="1">
        <f>_xlfn.STDEV.P(B3:B8)</f>
        <v>1.73205080756888</v>
      </c>
      <c r="C12" s="1">
        <f>_xlfn.STDEV.P(C3:C8)</f>
        <v>3.46410161513775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2="http://schemas.microsoft.com/office/spreadsheetml/2015/revision2" mc:Ignorable="x14ac">
  <sheetPr filterMode="false">
    <pageSetUpPr fitToPage="false"/>
  </sheetPr>
  <sheetViews>
    <sheetView topLeftCell="A1" zoomScale="200" workbookViewId="0" colorId="64" defaultGridColor="true" rightToLeft="false" showFormulas="false" showOutlineSymbols="true" showRowColHeaders="true" showZeros="true" tabSelected="false" view="normal" zoomScaleNormal="200" zoomScalePageLayoutView="100">
      <selection pane="topLeft" activeCell="C6" sqref="H2:I8 C6" activeCellId="1"/>
    </sheetView>
  </sheetViews>
  <sheetFormatPr baseColWidth="8" defaultColWidth="8.625" defaultRowHeight="18"/>
  <cols>
    <col min="2" max="3" width="6.5" style="1" customWidth="1"/>
  </cols>
  <sheetData>
    <row ht="24" customHeight="1" outlineLevel="0" r="2">
      <c r="B2" s="2" t="s">
        <v>0</v>
      </c>
      <c r="C2" s="3" t="s">
        <v>1</v>
      </c>
    </row>
    <row ht="24" customHeight="1" outlineLevel="0" r="3">
      <c r="A3" s="4">
        <f>RAND()</f>
        <v>0.94126544191561</v>
      </c>
      <c r="B3" s="5">
        <v>3</v>
      </c>
      <c r="C3" s="6">
        <v>4</v>
      </c>
    </row>
    <row ht="24" customHeight="1" outlineLevel="0" r="4">
      <c r="A4" s="4">
        <f>RAND()</f>
        <v>0.601310227346285</v>
      </c>
      <c r="B4" s="7">
        <v>6</v>
      </c>
      <c r="C4" s="8">
        <v>1</v>
      </c>
    </row>
    <row ht="24" customHeight="1" outlineLevel="0" r="5">
      <c r="A5" s="4">
        <f>RAND()</f>
        <v>0.0195673238577169</v>
      </c>
      <c r="B5" s="7">
        <v>1</v>
      </c>
      <c r="C5" s="8">
        <v>3</v>
      </c>
    </row>
    <row ht="24" customHeight="1" outlineLevel="0" r="6">
      <c r="A6" s="4">
        <f>RAND()</f>
        <v>0.602507729363864</v>
      </c>
      <c r="B6" s="7">
        <v>4</v>
      </c>
      <c r="C6" s="8">
        <v>3</v>
      </c>
    </row>
    <row ht="24" customHeight="1" outlineLevel="0" r="7">
      <c r="A7" s="4">
        <f>RAND()</f>
        <v>0.765411241802113</v>
      </c>
      <c r="B7" s="7">
        <v>3</v>
      </c>
      <c r="C7" s="8">
        <v>1</v>
      </c>
    </row>
    <row ht="24" customHeight="1" outlineLevel="0" r="8">
      <c r="A8" s="4">
        <f>RAND()</f>
        <v>0.344655251756616</v>
      </c>
      <c r="B8" s="9">
        <v>1</v>
      </c>
      <c r="C8" s="10">
        <v>6</v>
      </c>
    </row>
    <row ht="18.75" outlineLevel="0" r="9">
      <c r="A9" s="11" t="s">
        <v>2</v>
      </c>
      <c r="B9" s="1">
        <f>SUM(B3:B8)</f>
        <v>18</v>
      </c>
      <c r="C9" s="1">
        <f>SUM(C3:C8)</f>
        <v>18</v>
      </c>
      <c r="D9" s="11" t="s">
        <v>3</v>
      </c>
      <c r="E9" s="1">
        <f>_xlfn.COVARIANCE.P(B3:B8,C3:C8)</f>
        <v>-2</v>
      </c>
    </row>
    <row ht="18.75" outlineLevel="0" r="10">
      <c r="A10" s="11" t="s">
        <v>4</v>
      </c>
      <c r="B10" s="1">
        <f>AVERAGE(B3:B8)</f>
        <v>3</v>
      </c>
      <c r="C10" s="1">
        <f>AVERAGE(C3:C8)</f>
        <v>3</v>
      </c>
      <c r="D10" s="11" t="s">
        <v>5</v>
      </c>
      <c r="E10" s="1">
        <f>CORREL(B3:B8,C3:C8)</f>
        <v>-0.666666666666667</v>
      </c>
    </row>
    <row ht="18.75" outlineLevel="0" r="11">
      <c r="A11" s="11" t="s">
        <v>6</v>
      </c>
      <c r="B11" s="1">
        <f>_xlfn.VAR.P(B3:B8)</f>
        <v>3</v>
      </c>
      <c r="C11" s="1">
        <f>_xlfn.VAR.P(C3:C8)</f>
        <v>3</v>
      </c>
    </row>
    <row ht="18.75" outlineLevel="0" r="12">
      <c r="A12" s="11" t="s">
        <v>7</v>
      </c>
      <c r="B12" s="1">
        <f>_xlfn.STDEV.P(B3:B8)</f>
        <v>1.73205080756888</v>
      </c>
      <c r="C12" s="1">
        <f>_xlfn.STDEV.P(C3:C8)</f>
        <v>1.73205080756888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2="http://schemas.microsoft.com/office/spreadsheetml/2015/revision2" mc:Ignorable="x14ac">
  <sheetPr filterMode="false">
    <pageSetUpPr fitToPage="false"/>
  </sheetPr>
  <sheetViews>
    <sheetView topLeftCell="A1" zoomScale="200" workbookViewId="0" colorId="64" defaultGridColor="true" rightToLeft="false" showFormulas="false" showOutlineSymbols="true" showRowColHeaders="true" showZeros="true" tabSelected="false" view="normal" zoomScaleNormal="200" zoomScalePageLayoutView="100">
      <selection pane="topLeft" activeCell="D13" sqref="H2:I8 D13" activeCellId="1"/>
    </sheetView>
  </sheetViews>
  <sheetFormatPr baseColWidth="8" defaultColWidth="8.625" defaultRowHeight="18"/>
  <cols>
    <col min="2" max="3" width="6.5" style="1" customWidth="1"/>
  </cols>
  <sheetData>
    <row ht="24" customHeight="1" outlineLevel="0" r="2">
      <c r="B2" s="2" t="s">
        <v>0</v>
      </c>
      <c r="C2" s="3" t="s">
        <v>1</v>
      </c>
    </row>
    <row ht="24" customHeight="1" outlineLevel="0" r="3">
      <c r="A3" s="4">
        <v>3</v>
      </c>
      <c r="B3" s="5">
        <f>A3*3-1</f>
        <v>8</v>
      </c>
      <c r="C3" s="6">
        <f>D3*2-1</f>
        <v>7</v>
      </c>
      <c r="D3" s="1">
        <v>4</v>
      </c>
    </row>
    <row ht="24" customHeight="1" outlineLevel="0" r="4">
      <c r="A4" s="4">
        <v>6</v>
      </c>
      <c r="B4" s="7">
        <f>A4*3-1</f>
        <v>17</v>
      </c>
      <c r="C4" s="8">
        <f>D4*2-1</f>
        <v>1</v>
      </c>
      <c r="D4" s="1">
        <v>1</v>
      </c>
    </row>
    <row ht="24" customHeight="1" outlineLevel="0" r="5">
      <c r="A5" s="4">
        <v>1</v>
      </c>
      <c r="B5" s="7">
        <f>A5*3-1</f>
        <v>2</v>
      </c>
      <c r="C5" s="8">
        <f>D5*2-1</f>
        <v>5</v>
      </c>
      <c r="D5" s="1">
        <v>3</v>
      </c>
    </row>
    <row ht="24" customHeight="1" outlineLevel="0" r="6">
      <c r="A6" s="4">
        <v>4</v>
      </c>
      <c r="B6" s="7">
        <f>A6*3-1</f>
        <v>11</v>
      </c>
      <c r="C6" s="8">
        <f>D6*2-1</f>
        <v>5</v>
      </c>
      <c r="D6" s="1">
        <v>3</v>
      </c>
    </row>
    <row ht="24" customHeight="1" outlineLevel="0" r="7">
      <c r="A7" s="4">
        <v>3</v>
      </c>
      <c r="B7" s="7">
        <f>A7*3-1</f>
        <v>8</v>
      </c>
      <c r="C7" s="8">
        <f>D7*2-1</f>
        <v>1</v>
      </c>
      <c r="D7" s="1">
        <v>1</v>
      </c>
    </row>
    <row ht="24" customHeight="1" outlineLevel="0" r="8">
      <c r="A8" s="4">
        <v>1</v>
      </c>
      <c r="B8" s="9">
        <f>A8*3-1</f>
        <v>2</v>
      </c>
      <c r="C8" s="10">
        <f>D8*2-1</f>
        <v>11</v>
      </c>
      <c r="D8" s="1">
        <v>6</v>
      </c>
    </row>
    <row ht="18.75" outlineLevel="0" r="9">
      <c r="A9" s="11" t="s">
        <v>2</v>
      </c>
      <c r="B9" s="1">
        <f>SUM(B3:B8)</f>
        <v>48</v>
      </c>
      <c r="C9" s="1">
        <f>SUM(C3:C8)</f>
        <v>30</v>
      </c>
      <c r="D9" s="11" t="s">
        <v>3</v>
      </c>
      <c r="E9" s="1">
        <f>_xlfn.COVARIANCE.P(B3:B8,C3:C8)</f>
        <v>-12</v>
      </c>
    </row>
    <row ht="18.75" outlineLevel="0" r="10">
      <c r="A10" s="11" t="s">
        <v>4</v>
      </c>
      <c r="B10" s="1">
        <f>AVERAGE(B3:B8)</f>
        <v>8</v>
      </c>
      <c r="C10" s="1">
        <f>AVERAGE(C3:C8)</f>
        <v>5</v>
      </c>
      <c r="D10" s="11" t="s">
        <v>5</v>
      </c>
      <c r="E10" s="1">
        <f>CORREL(B3:B8,C3:C8)</f>
        <v>-0.666666666666667</v>
      </c>
    </row>
    <row ht="18.75" outlineLevel="0" r="11">
      <c r="A11" s="11" t="s">
        <v>6</v>
      </c>
      <c r="B11" s="1">
        <f>_xlfn.VAR.P(B3:B8)</f>
        <v>27</v>
      </c>
      <c r="C11" s="1">
        <f>_xlfn.VAR.P(C3:C8)</f>
        <v>12</v>
      </c>
    </row>
    <row ht="18.75" outlineLevel="0" r="12">
      <c r="A12" s="11" t="s">
        <v>7</v>
      </c>
      <c r="B12" s="1">
        <f>_xlfn.STDEV.P(B3:B8)</f>
        <v>5.19615242270663</v>
      </c>
      <c r="C12" s="1">
        <f>_xlfn.STDEV.P(C3:C8)</f>
        <v>3.46410161513775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404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2023-07-22T13:11:40Z</dcterms:created>
  <dc:creator>miura</dc:creator>
  <dc:description/>
  <dc:language>ja-JP</dc:language>
  <cp:lastModifiedBy/>
  <dcterms:modified xsi:type="dcterms:W3CDTF">2026-07-16T16:15:21Z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