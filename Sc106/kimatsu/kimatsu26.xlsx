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EE175B487BE802F01F3AEF0AF02390AB1E3A58FC" xr6:coauthVersionLast="47" xr6:coauthVersionMax="47" xr10:uidLastSave="{BEA3BF13-7819-436B-9A78-5E7BE1193CB5}"/>
  <bookViews>
    <workbookView xWindow="0" yWindow="0" windowWidth="16384" windowHeight="8192" tabRatio="500" firstSheet="1" activeTab="1" xr2:uid="{00000000-000D-0000-FFFF-FFFF00000000}"/>
  </bookViews>
  <sheets>
    <sheet name="Sheet1" sheetId="1" r:id="rId1"/>
    <sheet name="Sheet1_2" sheetId="2" r:id="rId2"/>
    <sheet name="Sheet1 (2)" sheetId="3" r:id="rId3"/>
    <sheet name="Sheet1 (5)" sheetId="4" r:id="rId4"/>
    <sheet name="Sheet1 (3)" sheetId="5" r:id="rId5"/>
    <sheet name="Sheet1 (4)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6" l="1"/>
  <c r="B8" i="6"/>
  <c r="C7" i="6"/>
  <c r="B7" i="6"/>
  <c r="C6" i="6"/>
  <c r="B6" i="6"/>
  <c r="C5" i="6"/>
  <c r="B5" i="6"/>
  <c r="C4" i="6"/>
  <c r="B4" i="6"/>
  <c r="C3" i="6"/>
  <c r="B3" i="6"/>
  <c r="C12" i="5"/>
  <c r="B12" i="5"/>
  <c r="C11" i="5"/>
  <c r="B11" i="5"/>
  <c r="E10" i="5"/>
  <c r="C10" i="5"/>
  <c r="B10" i="5"/>
  <c r="E9" i="5"/>
  <c r="C9" i="5"/>
  <c r="B9" i="5"/>
  <c r="A8" i="5"/>
  <c r="A7" i="5"/>
  <c r="A6" i="5"/>
  <c r="A5" i="5"/>
  <c r="A4" i="5"/>
  <c r="A3" i="5"/>
  <c r="B12" i="4"/>
  <c r="B11" i="4"/>
  <c r="B10" i="4"/>
  <c r="B9" i="4"/>
  <c r="C8" i="4"/>
  <c r="A8" i="4"/>
  <c r="C7" i="4"/>
  <c r="A7" i="4"/>
  <c r="C6" i="4"/>
  <c r="A6" i="4"/>
  <c r="C5" i="4"/>
  <c r="A5" i="4"/>
  <c r="C4" i="4"/>
  <c r="A4" i="4"/>
  <c r="C3" i="4"/>
  <c r="A3" i="4"/>
  <c r="C12" i="3"/>
  <c r="B12" i="3"/>
  <c r="C11" i="3"/>
  <c r="B11" i="3"/>
  <c r="E10" i="3"/>
  <c r="C10" i="3"/>
  <c r="B10" i="3"/>
  <c r="E9" i="3"/>
  <c r="C9" i="3"/>
  <c r="B9" i="3"/>
  <c r="A8" i="3"/>
  <c r="A7" i="3"/>
  <c r="A6" i="3"/>
  <c r="A5" i="3"/>
  <c r="A4" i="3"/>
  <c r="A3" i="3"/>
  <c r="C12" i="1"/>
  <c r="B12" i="1"/>
  <c r="C11" i="1"/>
  <c r="B11" i="1"/>
  <c r="E10" i="1"/>
  <c r="C10" i="1"/>
  <c r="B10" i="1"/>
  <c r="E9" i="1"/>
  <c r="C9" i="1"/>
  <c r="B9" i="1"/>
  <c r="A8" i="1"/>
  <c r="A7" i="1"/>
  <c r="A6" i="1"/>
  <c r="A5" i="1"/>
  <c r="A4" i="1"/>
  <c r="A3" i="1"/>
  <c r="C12" i="2"/>
  <c r="B12" i="2"/>
  <c r="C11" i="2"/>
  <c r="B11" i="2"/>
  <c r="E10" i="2"/>
  <c r="C10" i="2"/>
  <c r="B10" i="2"/>
  <c r="E9" i="2"/>
  <c r="C9" i="2"/>
  <c r="B9" i="2"/>
  <c r="I8" i="2"/>
  <c r="H8" i="2"/>
  <c r="A8" i="2"/>
  <c r="I7" i="2"/>
  <c r="H7" i="2"/>
  <c r="A7" i="2"/>
  <c r="I6" i="2"/>
  <c r="H6" i="2"/>
  <c r="A6" i="2"/>
  <c r="I5" i="2"/>
  <c r="H5" i="2"/>
  <c r="A5" i="2"/>
  <c r="I4" i="2"/>
  <c r="H4" i="2"/>
  <c r="A4" i="2"/>
  <c r="I3" i="2"/>
  <c r="H3" i="2"/>
  <c r="A3" i="2"/>
  <c r="C12" i="4" l="1"/>
  <c r="C11" i="4"/>
  <c r="C10" i="4"/>
  <c r="C9" i="4"/>
  <c r="B12" i="6"/>
  <c r="B11" i="6"/>
  <c r="B10" i="6"/>
  <c r="B9" i="6"/>
  <c r="C12" i="6"/>
  <c r="C11" i="6"/>
  <c r="C10" i="6"/>
  <c r="C9" i="6"/>
  <c r="E10" i="6"/>
  <c r="E9" i="6"/>
  <c r="E10" i="4"/>
  <c r="E9" i="4"/>
</calcChain>
</file>

<file path=xl/sharedStrings.xml><?xml version="1.0" encoding="utf-8"?>
<sst xmlns="http://schemas.openxmlformats.org/spreadsheetml/2006/main" count="50" uniqueCount="10">
  <si>
    <t>x</t>
  </si>
  <si>
    <t>y</t>
  </si>
  <si>
    <t>total</t>
  </si>
  <si>
    <r>
      <rPr>
        <sz val="11"/>
        <color rgb="FF000000"/>
        <rFont val="游ゴシック"/>
        <family val="2"/>
        <charset val="128"/>
      </rPr>
      <t>s</t>
    </r>
    <r>
      <rPr>
        <vertAlign val="subscript"/>
        <sz val="11"/>
        <color rgb="FF000000"/>
        <rFont val="游ゴシック"/>
        <family val="3"/>
        <charset val="128"/>
      </rPr>
      <t>xy</t>
    </r>
  </si>
  <si>
    <t>m.</t>
  </si>
  <si>
    <t>r</t>
  </si>
  <si>
    <t>var.</t>
  </si>
  <si>
    <t>s</t>
  </si>
  <si>
    <t>𝑥</t>
  </si>
  <si>
    <t>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</si>
</sst>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游ゴシック"/>
      <family val="2"/>
      <charset val="128"/>
    </font>
    <font>
      <i/>
      <sz val="14"/>
      <color rgb="FF000000"/>
      <name val="Century Schoolbook"/>
      <family val="1"/>
    </font>
    <font>
      <sz val="11"/>
      <color rgb="FFE7E6E6"/>
      <name val="游ゴシック"/>
      <family val="2"/>
      <charset val="128"/>
    </font>
    <font>
      <sz val="12"/>
      <color rgb="FF000000"/>
      <name val="Century"/>
      <family val="1"/>
    </font>
    <font>
      <vertAlign val="subscript"/>
      <sz val="11"/>
      <color rgb="FF000000"/>
      <name val="游ゴシック"/>
      <family val="3"/>
      <charset val="128"/>
    </font>
    <font>
      <sz val="14"/>
      <color rgb="FF000000"/>
      <name val="Cambria Math"/>
      <family val="1"/>
    </font>
    <font>
      <sz val="12"/>
      <color rgb="FF000000"/>
      <name val="Cambria Math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3" fillId="0" borderId="3" xfId="0" applyNumberFormat="1" applyFont="1" applyBorder="1" applyAlignment="1">
      <alignment vertical="center"/>
    </xf>
    <xf numFmtId="0" fontId="3" fillId="0" borderId="4" xfId="0" applyNumberFormat="1" applyFont="1" applyBorder="1" applyAlignment="1">
      <alignment vertical="center"/>
    </xf>
    <xf numFmtId="0" fontId="3" fillId="0" borderId="5" xfId="0" applyNumberFormat="1" applyFont="1" applyBorder="1" applyAlignment="1">
      <alignment vertical="center"/>
    </xf>
    <xf numFmtId="0" fontId="3" fillId="0" borderId="6" xfId="0" applyNumberFormat="1" applyFont="1" applyBorder="1" applyAlignment="1">
      <alignment vertical="center"/>
    </xf>
    <xf numFmtId="0" fontId="3" fillId="0" borderId="7" xfId="0" applyNumberFormat="1" applyFont="1" applyBorder="1" applyAlignment="1">
      <alignment vertical="center"/>
    </xf>
    <xf numFmtId="0" fontId="3" fillId="0" borderId="8" xfId="0" applyNumberFormat="1" applyFont="1" applyBorder="1" applyAlignment="1">
      <alignment vertical="center"/>
    </xf>
    <xf numFmtId="0" fontId="0" fillId="0" borderId="0" xfId="0" applyNumberFormat="1" applyAlignment="1">
      <alignment horizontal="right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vertical="center"/>
    </xf>
    <xf numFmtId="0" fontId="3" fillId="0" borderId="14" xfId="0" applyNumberFormat="1" applyFont="1" applyBorder="1" applyAlignment="1">
      <alignment vertical="center"/>
    </xf>
    <xf numFmtId="0" fontId="6" fillId="0" borderId="15" xfId="0" applyNumberFormat="1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0" fontId="6" fillId="0" borderId="17" xfId="0" applyNumberFormat="1" applyFont="1" applyBorder="1" applyAlignment="1">
      <alignment horizontal="center" vertical="center"/>
    </xf>
    <xf numFmtId="0" fontId="6" fillId="0" borderId="18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6" fillId="0" borderId="19" xfId="0" applyNumberFormat="1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(5)'!$C$2</c:f>
              <c:strCache>
                <c:ptCount val="1"/>
                <c:pt idx="0">
                  <c:v>y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'Sheet1 (5)'!$B$3:$B$8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'Sheet1 (5)'!$C$3:$C$8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1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9-4051-B2D0-4A5DD63D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5724"/>
        <c:axId val="77938155"/>
      </c:scatterChart>
      <c:valAx>
        <c:axId val="5305724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77938155"/>
        <c:crosses val="autoZero"/>
        <c:crossBetween val="midCat"/>
      </c:valAx>
      <c:valAx>
        <c:axId val="7793815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530572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(4)'!$C$2</c:f>
              <c:strCache>
                <c:ptCount val="1"/>
                <c:pt idx="0">
                  <c:v>y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'Sheet1 (4)'!$B$3:$B$8</c:f>
              <c:numCache>
                <c:formatCode>General</c:formatCode>
                <c:ptCount val="6"/>
                <c:pt idx="0">
                  <c:v>8</c:v>
                </c:pt>
                <c:pt idx="1">
                  <c:v>17</c:v>
                </c:pt>
                <c:pt idx="2">
                  <c:v>2</c:v>
                </c:pt>
                <c:pt idx="3">
                  <c:v>11</c:v>
                </c:pt>
                <c:pt idx="4">
                  <c:v>8</c:v>
                </c:pt>
                <c:pt idx="5">
                  <c:v>2</c:v>
                </c:pt>
              </c:numCache>
            </c:numRef>
          </c:xVal>
          <c:yVal>
            <c:numRef>
              <c:f>'Sheet1 (4)'!$C$3:$C$8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5-4499-B283-C0D55A508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0480"/>
        <c:axId val="73334069"/>
      </c:scatterChart>
      <c:valAx>
        <c:axId val="40600480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73334069"/>
        <c:crosses val="autoZero"/>
        <c:crossBetween val="midCat"/>
      </c:valAx>
      <c:valAx>
        <c:axId val="7333406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406004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585720</xdr:colOff>
      <xdr:row>2</xdr:row>
      <xdr:rowOff>157320</xdr:rowOff>
    </xdr:from>
    <xdr:to>
      <xdr:col>13</xdr:col>
      <xdr:colOff>356040</xdr:colOff>
      <xdr:row>12</xdr:row>
      <xdr:rowOff>117720</xdr:rowOff>
    </xdr:to>
    <xdr:graphicFrame macro="">
      <xdr:nvGraphicFramePr>
        <xdr:cNvPr id="2" name="グラフ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585720</xdr:colOff>
      <xdr:row>2</xdr:row>
      <xdr:rowOff>157320</xdr:rowOff>
    </xdr:from>
    <xdr:to>
      <xdr:col>13</xdr:col>
      <xdr:colOff>356040</xdr:colOff>
      <xdr:row>12</xdr:row>
      <xdr:rowOff>117720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zoomScale="200" zoomScaleNormal="200" workbookViewId="0">
      <selection activeCell="B2" activeCellId="1" sqref="H2:I8 B2"/>
    </sheetView>
  </sheetViews>
  <sheetFormatPr defaultColWidth="8.625" defaultRowHeight="18"/>
  <cols>
    <col min="2" max="3" width="6.5" style="1" customWidth="1"/>
  </cols>
  <sheetData>
    <row r="2" spans="1:5" ht="24" customHeight="1">
      <c r="A2" s="22"/>
      <c r="B2" s="2" t="s">
        <v>0</v>
      </c>
      <c r="C2" s="3" t="s">
        <v>1</v>
      </c>
      <c r="D2" s="22"/>
      <c r="E2" s="22"/>
    </row>
    <row r="3" spans="1:5" ht="24" customHeight="1">
      <c r="A3" s="4">
        <f ca="1">RAND()</f>
        <v>0.84017236069503376</v>
      </c>
      <c r="B3" s="5">
        <v>3</v>
      </c>
      <c r="C3" s="6">
        <v>1</v>
      </c>
      <c r="D3" s="22"/>
      <c r="E3" s="22"/>
    </row>
    <row r="4" spans="1:5" ht="24" customHeight="1">
      <c r="A4" s="4">
        <f ca="1">RAND()</f>
        <v>0.11343121543442236</v>
      </c>
      <c r="B4" s="7">
        <v>6</v>
      </c>
      <c r="C4" s="8">
        <v>3</v>
      </c>
      <c r="D4" s="22"/>
      <c r="E4" s="22"/>
    </row>
    <row r="5" spans="1:5" ht="24" customHeight="1">
      <c r="A5" s="4">
        <f ca="1">RAND()</f>
        <v>0.57394933372072798</v>
      </c>
      <c r="B5" s="7">
        <v>1</v>
      </c>
      <c r="C5" s="8">
        <v>4</v>
      </c>
      <c r="D5" s="22"/>
      <c r="E5" s="22"/>
    </row>
    <row r="6" spans="1:5" ht="24" customHeight="1">
      <c r="A6" s="4">
        <f ca="1">RAND()</f>
        <v>0.4080506720767042</v>
      </c>
      <c r="B6" s="7">
        <v>4</v>
      </c>
      <c r="C6" s="8">
        <v>3</v>
      </c>
      <c r="D6" s="22"/>
      <c r="E6" s="22"/>
    </row>
    <row r="7" spans="1:5" ht="24" customHeight="1">
      <c r="A7" s="4">
        <f ca="1">RAND()</f>
        <v>0.7803886672625614</v>
      </c>
      <c r="B7" s="7">
        <v>3</v>
      </c>
      <c r="C7" s="8">
        <v>6</v>
      </c>
      <c r="D7" s="22"/>
      <c r="E7" s="22"/>
    </row>
    <row r="8" spans="1:5" ht="24" customHeight="1">
      <c r="A8" s="4">
        <f ca="1">RAND()</f>
        <v>0.15879635104017009</v>
      </c>
      <c r="B8" s="9">
        <v>1</v>
      </c>
      <c r="C8" s="10">
        <v>1</v>
      </c>
      <c r="D8" s="22"/>
      <c r="E8" s="22"/>
    </row>
    <row r="9" spans="1:5" ht="18.75">
      <c r="A9" s="11" t="s">
        <v>2</v>
      </c>
      <c r="B9" s="22">
        <f>SUM(B3:B8)</f>
        <v>18</v>
      </c>
      <c r="C9" s="22">
        <f>SUM(C3:C8)</f>
        <v>18</v>
      </c>
      <c r="D9" s="11" t="s">
        <v>3</v>
      </c>
      <c r="E9" s="22">
        <f>_xlfn.COVARIANCE.P(B3:B8,C3:C8)</f>
        <v>0.33333333333333331</v>
      </c>
    </row>
    <row r="10" spans="1:5" ht="18.75">
      <c r="A10" s="11" t="s">
        <v>4</v>
      </c>
      <c r="B10" s="22">
        <f>AVERAGE(B3:B8)</f>
        <v>3</v>
      </c>
      <c r="C10" s="22">
        <f>AVERAGE(C3:C8)</f>
        <v>3</v>
      </c>
      <c r="D10" s="11" t="s">
        <v>5</v>
      </c>
      <c r="E10" s="22">
        <f>CORREL(B3:B8,C3:C8)</f>
        <v>0.11111111111111112</v>
      </c>
    </row>
    <row r="11" spans="1:5" ht="18.75">
      <c r="A11" s="11" t="s">
        <v>6</v>
      </c>
      <c r="B11" s="22">
        <f>_xlfn.VAR.P(B3:B8)</f>
        <v>3</v>
      </c>
      <c r="C11" s="22">
        <f>_xlfn.VAR.P(C3:C8)</f>
        <v>3</v>
      </c>
      <c r="D11" s="22"/>
      <c r="E11" s="22"/>
    </row>
    <row r="12" spans="1:5" ht="18.75">
      <c r="A12" s="11" t="s">
        <v>7</v>
      </c>
      <c r="B12" s="22">
        <f>_xlfn.STDEV.P(B3:B8)</f>
        <v>1.7320508075688772</v>
      </c>
      <c r="C12" s="22">
        <f>_xlfn.STDEV.P(C3:C8)</f>
        <v>1.7320508075688772</v>
      </c>
      <c r="D12" s="22"/>
      <c r="E12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2"/>
  <sheetViews>
    <sheetView tabSelected="1" zoomScale="200" zoomScaleNormal="200" workbookViewId="0">
      <selection activeCell="B12" sqref="B12"/>
    </sheetView>
  </sheetViews>
  <sheetFormatPr defaultColWidth="8.625" defaultRowHeight="18"/>
  <cols>
    <col min="2" max="3" width="6.5" style="1" customWidth="1"/>
    <col min="8" max="9" width="6.5" customWidth="1"/>
    <col min="16383" max="16384" width="10.5" customWidth="1"/>
  </cols>
  <sheetData>
    <row r="2" spans="1:9" ht="24" customHeight="1">
      <c r="A2" s="22"/>
      <c r="B2" s="12" t="s">
        <v>0</v>
      </c>
      <c r="C2" s="13" t="s">
        <v>1</v>
      </c>
      <c r="D2" s="22"/>
      <c r="E2" s="22"/>
      <c r="F2" s="22"/>
      <c r="G2" s="22"/>
      <c r="H2" s="14" t="s">
        <v>8</v>
      </c>
      <c r="I2" s="15" t="s">
        <v>9</v>
      </c>
    </row>
    <row r="3" spans="1:9" ht="24" customHeight="1">
      <c r="A3" s="4">
        <f ca="1">RAND()</f>
        <v>0.29376872244431229</v>
      </c>
      <c r="B3" s="16">
        <v>3</v>
      </c>
      <c r="C3" s="17">
        <v>6</v>
      </c>
      <c r="D3" s="22"/>
      <c r="E3" s="22"/>
      <c r="F3" s="22"/>
      <c r="G3" s="22"/>
      <c r="H3" s="18">
        <f>B3</f>
        <v>3</v>
      </c>
      <c r="I3" s="19">
        <f>C3</f>
        <v>6</v>
      </c>
    </row>
    <row r="4" spans="1:9" ht="24" customHeight="1">
      <c r="A4" s="4">
        <f ca="1">RAND()</f>
        <v>0.87023912016854366</v>
      </c>
      <c r="B4" s="7">
        <v>6</v>
      </c>
      <c r="C4" s="8">
        <v>4</v>
      </c>
      <c r="D4" s="22"/>
      <c r="E4" s="22"/>
      <c r="F4" s="22"/>
      <c r="G4" s="22"/>
      <c r="H4" s="20">
        <f>B4</f>
        <v>6</v>
      </c>
      <c r="I4" s="21">
        <f>C4</f>
        <v>4</v>
      </c>
    </row>
    <row r="5" spans="1:9" ht="24" customHeight="1">
      <c r="A5" s="4">
        <f ca="1">RAND()</f>
        <v>0.81635695892774907</v>
      </c>
      <c r="B5" s="7">
        <v>1</v>
      </c>
      <c r="C5" s="8">
        <v>6</v>
      </c>
      <c r="D5" s="22"/>
      <c r="E5" s="22"/>
      <c r="F5" s="22"/>
      <c r="G5" s="22"/>
      <c r="H5" s="20">
        <f>B5</f>
        <v>1</v>
      </c>
      <c r="I5" s="21">
        <f>C5</f>
        <v>6</v>
      </c>
    </row>
    <row r="6" spans="1:9" ht="24" customHeight="1">
      <c r="A6" s="4">
        <f ca="1">RAND()</f>
        <v>0.41865339350693509</v>
      </c>
      <c r="B6" s="7">
        <v>3</v>
      </c>
      <c r="C6" s="8">
        <v>1</v>
      </c>
      <c r="D6" s="22"/>
      <c r="E6" s="22"/>
      <c r="F6" s="22"/>
      <c r="G6" s="22"/>
      <c r="H6" s="20">
        <f>B6</f>
        <v>3</v>
      </c>
      <c r="I6" s="21">
        <f>C6</f>
        <v>1</v>
      </c>
    </row>
    <row r="7" spans="1:9" ht="24" customHeight="1">
      <c r="A7" s="4">
        <f ca="1">RAND()</f>
        <v>0.64085632697655248</v>
      </c>
      <c r="B7" s="7">
        <v>4</v>
      </c>
      <c r="C7" s="8">
        <v>4</v>
      </c>
      <c r="D7" s="22"/>
      <c r="E7" s="22"/>
      <c r="F7" s="22"/>
      <c r="G7" s="22"/>
      <c r="H7" s="20">
        <f>B7</f>
        <v>4</v>
      </c>
      <c r="I7" s="21">
        <f>C7</f>
        <v>4</v>
      </c>
    </row>
    <row r="8" spans="1:9" ht="24" customHeight="1">
      <c r="A8" s="4">
        <f ca="1">RAND()</f>
        <v>0.27048308464408266</v>
      </c>
      <c r="B8" s="9">
        <v>1</v>
      </c>
      <c r="C8" s="10">
        <v>3</v>
      </c>
      <c r="D8" s="22"/>
      <c r="E8" s="22"/>
      <c r="F8" s="22"/>
      <c r="G8" s="22"/>
      <c r="H8" s="23">
        <f>B8</f>
        <v>1</v>
      </c>
      <c r="I8" s="24">
        <f>C8</f>
        <v>3</v>
      </c>
    </row>
    <row r="9" spans="1:9" ht="18.75">
      <c r="A9" s="11" t="s">
        <v>2</v>
      </c>
      <c r="B9" s="22">
        <f>SUM(B3:B8)</f>
        <v>18</v>
      </c>
      <c r="C9" s="22">
        <f>SUM(C3:C8)</f>
        <v>24</v>
      </c>
      <c r="D9" s="11" t="s">
        <v>3</v>
      </c>
      <c r="E9" s="25">
        <f>_xlfn.COVARIANCE.P(B3:B8,C3:C8)</f>
        <v>-0.33333333333333331</v>
      </c>
      <c r="F9" s="22"/>
      <c r="G9" s="22"/>
      <c r="H9" s="22"/>
      <c r="I9" s="22"/>
    </row>
    <row r="10" spans="1:9" ht="18.75">
      <c r="A10" s="11" t="s">
        <v>4</v>
      </c>
      <c r="B10" s="22">
        <f>AVERAGE(B3:B8)</f>
        <v>3</v>
      </c>
      <c r="C10" s="22">
        <f>AVERAGE(C3:C8)</f>
        <v>4</v>
      </c>
      <c r="D10" s="11" t="s">
        <v>5</v>
      </c>
      <c r="E10" s="25">
        <f>CORREL(B3:B8,C3:C8)</f>
        <v>-0.11111111111111112</v>
      </c>
      <c r="F10" s="22"/>
      <c r="G10" s="22"/>
      <c r="H10" s="22"/>
      <c r="I10" s="22"/>
    </row>
    <row r="11" spans="1:9" ht="18.75">
      <c r="A11" s="11" t="s">
        <v>6</v>
      </c>
      <c r="B11" s="22">
        <f>_xlfn.VAR.P(B3:B8)</f>
        <v>3</v>
      </c>
      <c r="C11" s="22">
        <f>_xlfn.VAR.P(C3:C8)</f>
        <v>3</v>
      </c>
      <c r="D11" s="22"/>
      <c r="E11" s="22"/>
      <c r="F11" s="22"/>
      <c r="G11" s="22"/>
      <c r="H11" s="22"/>
      <c r="I11" s="22"/>
    </row>
    <row r="12" spans="1:9" ht="18.75">
      <c r="A12" s="11" t="s">
        <v>7</v>
      </c>
      <c r="B12" s="25">
        <f>_xlfn.STDEV.P(B3:B8)</f>
        <v>1.7320508075688772</v>
      </c>
      <c r="C12" s="25">
        <f>_xlfn.STDEV.P(C3:C8)</f>
        <v>1.7320508075688772</v>
      </c>
      <c r="D12" s="22"/>
      <c r="E12" s="22"/>
      <c r="F12" s="22"/>
      <c r="G12" s="22"/>
      <c r="H12" s="22"/>
      <c r="I12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2"/>
  <sheetViews>
    <sheetView zoomScale="200" zoomScaleNormal="200" workbookViewId="0">
      <selection activeCell="C9" activeCellId="1" sqref="H2:I8 C9"/>
    </sheetView>
  </sheetViews>
  <sheetFormatPr defaultColWidth="8.625" defaultRowHeight="18"/>
  <cols>
    <col min="2" max="3" width="6.5" style="1" customWidth="1"/>
  </cols>
  <sheetData>
    <row r="2" spans="1:5" ht="24" customHeight="1">
      <c r="A2" s="22"/>
      <c r="B2" s="2" t="s">
        <v>0</v>
      </c>
      <c r="C2" s="3" t="s">
        <v>1</v>
      </c>
      <c r="D2" s="22"/>
      <c r="E2" s="22"/>
    </row>
    <row r="3" spans="1:5" ht="24" customHeight="1">
      <c r="A3" s="4">
        <f ca="1">RAND()</f>
        <v>0.3703026846415316</v>
      </c>
      <c r="B3" s="5">
        <v>3</v>
      </c>
      <c r="C3" s="6">
        <v>1</v>
      </c>
      <c r="D3" s="22"/>
      <c r="E3" s="22"/>
    </row>
    <row r="4" spans="1:5" ht="24" customHeight="1">
      <c r="A4" s="4">
        <f ca="1">RAND()</f>
        <v>0.56258248429400637</v>
      </c>
      <c r="B4" s="7">
        <v>6</v>
      </c>
      <c r="C4" s="8">
        <v>4</v>
      </c>
      <c r="D4" s="22"/>
      <c r="E4" s="22"/>
    </row>
    <row r="5" spans="1:5" ht="24" customHeight="1">
      <c r="A5" s="4">
        <f ca="1">RAND()</f>
        <v>1.4990327758438116E-2</v>
      </c>
      <c r="B5" s="7">
        <v>1</v>
      </c>
      <c r="C5" s="8">
        <v>3</v>
      </c>
      <c r="D5" s="22"/>
      <c r="E5" s="22"/>
    </row>
    <row r="6" spans="1:5" ht="24" customHeight="1">
      <c r="A6" s="4">
        <f ca="1">RAND()</f>
        <v>0.1780882332879159</v>
      </c>
      <c r="B6" s="7">
        <v>4</v>
      </c>
      <c r="C6" s="8">
        <v>6</v>
      </c>
      <c r="D6" s="22"/>
      <c r="E6" s="22"/>
    </row>
    <row r="7" spans="1:5" ht="24" customHeight="1">
      <c r="A7" s="4">
        <f ca="1">RAND()</f>
        <v>0.27288871797158276</v>
      </c>
      <c r="B7" s="7">
        <v>3</v>
      </c>
      <c r="C7" s="8">
        <v>1</v>
      </c>
      <c r="D7" s="22"/>
      <c r="E7" s="22"/>
    </row>
    <row r="8" spans="1:5" ht="24" customHeight="1">
      <c r="A8" s="4">
        <f ca="1">RAND()</f>
        <v>0.28666060977121044</v>
      </c>
      <c r="B8" s="9">
        <v>1</v>
      </c>
      <c r="C8" s="10">
        <v>3</v>
      </c>
      <c r="D8" s="22"/>
      <c r="E8" s="22"/>
    </row>
    <row r="9" spans="1:5" ht="18.75">
      <c r="A9" s="11" t="s">
        <v>2</v>
      </c>
      <c r="B9" s="22">
        <f>SUM(B3:B8)</f>
        <v>18</v>
      </c>
      <c r="C9" s="22">
        <f>SUM(C3:C8)</f>
        <v>18</v>
      </c>
      <c r="D9" s="11" t="s">
        <v>3</v>
      </c>
      <c r="E9" s="22">
        <f>_xlfn.COVARIANCE.P(B3:B8,C3:C8)</f>
        <v>1</v>
      </c>
    </row>
    <row r="10" spans="1:5" ht="18.75">
      <c r="A10" s="11" t="s">
        <v>4</v>
      </c>
      <c r="B10" s="22">
        <f>AVERAGE(B3:B8)</f>
        <v>3</v>
      </c>
      <c r="C10" s="22">
        <f>AVERAGE(C3:C8)</f>
        <v>3</v>
      </c>
      <c r="D10" s="11" t="s">
        <v>5</v>
      </c>
      <c r="E10" s="22">
        <f>CORREL(B3:B8,C3:C8)</f>
        <v>0.33333333333333337</v>
      </c>
    </row>
    <row r="11" spans="1:5" ht="18.75">
      <c r="A11" s="11" t="s">
        <v>6</v>
      </c>
      <c r="B11" s="22">
        <f>_xlfn.VAR.P(B3:B8)</f>
        <v>3</v>
      </c>
      <c r="C11" s="22">
        <f>_xlfn.VAR.P(C3:C8)</f>
        <v>3</v>
      </c>
      <c r="D11" s="22"/>
      <c r="E11" s="22"/>
    </row>
    <row r="12" spans="1:5" ht="18.75">
      <c r="A12" s="11" t="s">
        <v>7</v>
      </c>
      <c r="B12" s="22">
        <f>_xlfn.STDEV.P(B3:B8)</f>
        <v>1.7320508075688772</v>
      </c>
      <c r="C12" s="22">
        <f>_xlfn.STDEV.P(C3:C8)</f>
        <v>1.7320508075688772</v>
      </c>
      <c r="D12" s="22"/>
      <c r="E12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2"/>
  <sheetViews>
    <sheetView zoomScale="200" zoomScaleNormal="200" workbookViewId="0">
      <selection activeCell="B2" activeCellId="1" sqref="H2:I8 B2"/>
    </sheetView>
  </sheetViews>
  <sheetFormatPr defaultColWidth="8.625" defaultRowHeight="18"/>
  <cols>
    <col min="2" max="3" width="6.5" style="1" customWidth="1"/>
  </cols>
  <sheetData>
    <row r="2" spans="1:5" ht="24" customHeight="1">
      <c r="A2" s="22"/>
      <c r="B2" s="2" t="s">
        <v>0</v>
      </c>
      <c r="C2" s="3" t="s">
        <v>1</v>
      </c>
      <c r="D2" s="22"/>
      <c r="E2" s="22"/>
    </row>
    <row r="3" spans="1:5" ht="24" customHeight="1">
      <c r="A3" s="4">
        <f ca="1">RAND()</f>
        <v>0.82404304349289803</v>
      </c>
      <c r="B3" s="5">
        <v>3</v>
      </c>
      <c r="C3" s="6">
        <f>2*D3-1</f>
        <v>1</v>
      </c>
      <c r="D3" s="22">
        <v>1</v>
      </c>
      <c r="E3" s="22"/>
    </row>
    <row r="4" spans="1:5" ht="24" customHeight="1">
      <c r="A4" s="4">
        <f ca="1">RAND()</f>
        <v>0.59224060881098373</v>
      </c>
      <c r="B4" s="7">
        <v>6</v>
      </c>
      <c r="C4" s="8">
        <f>2*D4-1</f>
        <v>7</v>
      </c>
      <c r="D4" s="22">
        <v>4</v>
      </c>
      <c r="E4" s="22"/>
    </row>
    <row r="5" spans="1:5" ht="24" customHeight="1">
      <c r="A5" s="4">
        <f ca="1">RAND()</f>
        <v>0.60049840671967558</v>
      </c>
      <c r="B5" s="7">
        <v>1</v>
      </c>
      <c r="C5" s="8">
        <f>2*D5-1</f>
        <v>5</v>
      </c>
      <c r="D5" s="22">
        <v>3</v>
      </c>
      <c r="E5" s="22"/>
    </row>
    <row r="6" spans="1:5" ht="24" customHeight="1">
      <c r="A6" s="4">
        <f ca="1">RAND()</f>
        <v>9.9077092808609102E-2</v>
      </c>
      <c r="B6" s="7">
        <v>4</v>
      </c>
      <c r="C6" s="8">
        <f>2*D6-1</f>
        <v>11</v>
      </c>
      <c r="D6" s="22">
        <v>6</v>
      </c>
      <c r="E6" s="22"/>
    </row>
    <row r="7" spans="1:5" ht="24" customHeight="1">
      <c r="A7" s="4">
        <f ca="1">RAND()</f>
        <v>0.91655735514467862</v>
      </c>
      <c r="B7" s="7">
        <v>3</v>
      </c>
      <c r="C7" s="8">
        <f>2*D7-1</f>
        <v>1</v>
      </c>
      <c r="D7" s="22">
        <v>1</v>
      </c>
      <c r="E7" s="22"/>
    </row>
    <row r="8" spans="1:5" ht="24" customHeight="1">
      <c r="A8" s="4">
        <f ca="1">RAND()</f>
        <v>0.56929918962635173</v>
      </c>
      <c r="B8" s="9">
        <v>1</v>
      </c>
      <c r="C8" s="10">
        <f>2*D8-1</f>
        <v>5</v>
      </c>
      <c r="D8" s="22">
        <v>3</v>
      </c>
      <c r="E8" s="22"/>
    </row>
    <row r="9" spans="1:5" ht="18.75">
      <c r="A9" s="11" t="s">
        <v>2</v>
      </c>
      <c r="B9" s="22">
        <f>SUM(B3:B8)</f>
        <v>18</v>
      </c>
      <c r="C9" s="22">
        <f>SUM(C3:C8)</f>
        <v>30</v>
      </c>
      <c r="D9" s="11" t="s">
        <v>3</v>
      </c>
      <c r="E9" s="22">
        <f>_xlfn.COVARIANCE.P(B3:B8,C3:C8)</f>
        <v>2</v>
      </c>
    </row>
    <row r="10" spans="1:5" ht="18.75">
      <c r="A10" s="11" t="s">
        <v>4</v>
      </c>
      <c r="B10" s="22">
        <f>AVERAGE(B3:B8)</f>
        <v>3</v>
      </c>
      <c r="C10" s="22">
        <f>AVERAGE(C3:C8)</f>
        <v>5</v>
      </c>
      <c r="D10" s="11" t="s">
        <v>5</v>
      </c>
      <c r="E10" s="22">
        <f>CORREL(B3:B8,C3:C8)</f>
        <v>0.33333333333333337</v>
      </c>
    </row>
    <row r="11" spans="1:5" ht="18.75">
      <c r="A11" s="11" t="s">
        <v>6</v>
      </c>
      <c r="B11" s="22">
        <f>_xlfn.VAR.P(B3:B8)</f>
        <v>3</v>
      </c>
      <c r="C11" s="22">
        <f>_xlfn.VAR.P(C3:C8)</f>
        <v>12</v>
      </c>
      <c r="D11" s="22"/>
      <c r="E11" s="22"/>
    </row>
    <row r="12" spans="1:5" ht="18.75">
      <c r="A12" s="11" t="s">
        <v>7</v>
      </c>
      <c r="B12" s="22">
        <f>_xlfn.STDEV.P(B3:B8)</f>
        <v>1.7320508075688772</v>
      </c>
      <c r="C12" s="22">
        <f>_xlfn.STDEV.P(C3:C8)</f>
        <v>3.4641016151377544</v>
      </c>
      <c r="D12" s="22"/>
      <c r="E12" s="22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2"/>
  <sheetViews>
    <sheetView zoomScale="200" zoomScaleNormal="200" workbookViewId="0">
      <selection activeCell="C6" activeCellId="1" sqref="H2:I8 C6"/>
    </sheetView>
  </sheetViews>
  <sheetFormatPr defaultColWidth="8.625" defaultRowHeight="18"/>
  <cols>
    <col min="2" max="3" width="6.5" style="1" customWidth="1"/>
  </cols>
  <sheetData>
    <row r="2" spans="1:5" ht="24" customHeight="1">
      <c r="A2" s="22"/>
      <c r="B2" s="2" t="s">
        <v>0</v>
      </c>
      <c r="C2" s="3" t="s">
        <v>1</v>
      </c>
      <c r="D2" s="22"/>
      <c r="E2" s="22"/>
    </row>
    <row r="3" spans="1:5" ht="24" customHeight="1">
      <c r="A3" s="4">
        <f ca="1">RAND()</f>
        <v>0.39454175576664363</v>
      </c>
      <c r="B3" s="5">
        <v>3</v>
      </c>
      <c r="C3" s="6">
        <v>4</v>
      </c>
      <c r="D3" s="22"/>
      <c r="E3" s="22"/>
    </row>
    <row r="4" spans="1:5" ht="24" customHeight="1">
      <c r="A4" s="4">
        <f ca="1">RAND()</f>
        <v>0.85350829637724845</v>
      </c>
      <c r="B4" s="7">
        <v>6</v>
      </c>
      <c r="C4" s="8">
        <v>1</v>
      </c>
      <c r="D4" s="22"/>
      <c r="E4" s="22"/>
    </row>
    <row r="5" spans="1:5" ht="24" customHeight="1">
      <c r="A5" s="4">
        <f ca="1">RAND()</f>
        <v>0.68170731317064748</v>
      </c>
      <c r="B5" s="7">
        <v>1</v>
      </c>
      <c r="C5" s="8">
        <v>3</v>
      </c>
      <c r="D5" s="22"/>
      <c r="E5" s="22"/>
    </row>
    <row r="6" spans="1:5" ht="24" customHeight="1">
      <c r="A6" s="4">
        <f ca="1">RAND()</f>
        <v>0.56404392543053683</v>
      </c>
      <c r="B6" s="7">
        <v>4</v>
      </c>
      <c r="C6" s="8">
        <v>3</v>
      </c>
      <c r="D6" s="22"/>
      <c r="E6" s="22"/>
    </row>
    <row r="7" spans="1:5" ht="24" customHeight="1">
      <c r="A7" s="4">
        <f ca="1">RAND()</f>
        <v>0.82297686179930862</v>
      </c>
      <c r="B7" s="7">
        <v>3</v>
      </c>
      <c r="C7" s="8">
        <v>1</v>
      </c>
      <c r="D7" s="22"/>
      <c r="E7" s="22"/>
    </row>
    <row r="8" spans="1:5" ht="24" customHeight="1">
      <c r="A8" s="4">
        <f ca="1">RAND()</f>
        <v>0.52501804748041458</v>
      </c>
      <c r="B8" s="9">
        <v>1</v>
      </c>
      <c r="C8" s="10">
        <v>6</v>
      </c>
      <c r="D8" s="22"/>
      <c r="E8" s="22"/>
    </row>
    <row r="9" spans="1:5" ht="18.75">
      <c r="A9" s="11" t="s">
        <v>2</v>
      </c>
      <c r="B9" s="22">
        <f>SUM(B3:B8)</f>
        <v>18</v>
      </c>
      <c r="C9" s="22">
        <f>SUM(C3:C8)</f>
        <v>18</v>
      </c>
      <c r="D9" s="11" t="s">
        <v>3</v>
      </c>
      <c r="E9" s="22">
        <f>_xlfn.COVARIANCE.P(B3:B8,C3:C8)</f>
        <v>-2</v>
      </c>
    </row>
    <row r="10" spans="1:5" ht="18.75">
      <c r="A10" s="11" t="s">
        <v>4</v>
      </c>
      <c r="B10" s="22">
        <f>AVERAGE(B3:B8)</f>
        <v>3</v>
      </c>
      <c r="C10" s="22">
        <f>AVERAGE(C3:C8)</f>
        <v>3</v>
      </c>
      <c r="D10" s="11" t="s">
        <v>5</v>
      </c>
      <c r="E10" s="22">
        <f>CORREL(B3:B8,C3:C8)</f>
        <v>-0.66666666666666674</v>
      </c>
    </row>
    <row r="11" spans="1:5" ht="18.75">
      <c r="A11" s="11" t="s">
        <v>6</v>
      </c>
      <c r="B11" s="22">
        <f>_xlfn.VAR.P(B3:B8)</f>
        <v>3</v>
      </c>
      <c r="C11" s="22">
        <f>_xlfn.VAR.P(C3:C8)</f>
        <v>3</v>
      </c>
      <c r="D11" s="22"/>
      <c r="E11" s="22"/>
    </row>
    <row r="12" spans="1:5" ht="18.75">
      <c r="A12" s="11" t="s">
        <v>7</v>
      </c>
      <c r="B12" s="22">
        <f>_xlfn.STDEV.P(B3:B8)</f>
        <v>1.7320508075688772</v>
      </c>
      <c r="C12" s="22">
        <f>_xlfn.STDEV.P(C3:C8)</f>
        <v>1.7320508075688772</v>
      </c>
      <c r="D12" s="22"/>
      <c r="E12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2"/>
  <sheetViews>
    <sheetView zoomScale="200" zoomScaleNormal="200" workbookViewId="0">
      <selection activeCell="D13" activeCellId="1" sqref="H2:I8 D13"/>
    </sheetView>
  </sheetViews>
  <sheetFormatPr defaultColWidth="8.625" defaultRowHeight="18"/>
  <cols>
    <col min="2" max="3" width="6.5" style="1" customWidth="1"/>
  </cols>
  <sheetData>
    <row r="2" spans="1:5" ht="24" customHeight="1">
      <c r="A2" s="22"/>
      <c r="B2" s="2" t="s">
        <v>0</v>
      </c>
      <c r="C2" s="3" t="s">
        <v>1</v>
      </c>
      <c r="D2" s="22"/>
      <c r="E2" s="22"/>
    </row>
    <row r="3" spans="1:5" ht="24" customHeight="1">
      <c r="A3" s="4">
        <v>3</v>
      </c>
      <c r="B3" s="5">
        <f>A3*3-1</f>
        <v>8</v>
      </c>
      <c r="C3" s="6">
        <f>D3*2-1</f>
        <v>7</v>
      </c>
      <c r="D3" s="22">
        <v>4</v>
      </c>
      <c r="E3" s="22"/>
    </row>
    <row r="4" spans="1:5" ht="24" customHeight="1">
      <c r="A4" s="4">
        <v>6</v>
      </c>
      <c r="B4" s="7">
        <f>A4*3-1</f>
        <v>17</v>
      </c>
      <c r="C4" s="8">
        <f>D4*2-1</f>
        <v>1</v>
      </c>
      <c r="D4" s="22">
        <v>1</v>
      </c>
      <c r="E4" s="22"/>
    </row>
    <row r="5" spans="1:5" ht="24" customHeight="1">
      <c r="A5" s="4">
        <v>1</v>
      </c>
      <c r="B5" s="7">
        <f>A5*3-1</f>
        <v>2</v>
      </c>
      <c r="C5" s="8">
        <f>D5*2-1</f>
        <v>5</v>
      </c>
      <c r="D5" s="22">
        <v>3</v>
      </c>
      <c r="E5" s="22"/>
    </row>
    <row r="6" spans="1:5" ht="24" customHeight="1">
      <c r="A6" s="4">
        <v>4</v>
      </c>
      <c r="B6" s="7">
        <f>A6*3-1</f>
        <v>11</v>
      </c>
      <c r="C6" s="8">
        <f>D6*2-1</f>
        <v>5</v>
      </c>
      <c r="D6" s="22">
        <v>3</v>
      </c>
      <c r="E6" s="22"/>
    </row>
    <row r="7" spans="1:5" ht="24" customHeight="1">
      <c r="A7" s="4">
        <v>3</v>
      </c>
      <c r="B7" s="7">
        <f>A7*3-1</f>
        <v>8</v>
      </c>
      <c r="C7" s="8">
        <f>D7*2-1</f>
        <v>1</v>
      </c>
      <c r="D7" s="22">
        <v>1</v>
      </c>
      <c r="E7" s="22"/>
    </row>
    <row r="8" spans="1:5" ht="24" customHeight="1">
      <c r="A8" s="4">
        <v>1</v>
      </c>
      <c r="B8" s="9">
        <f>A8*3-1</f>
        <v>2</v>
      </c>
      <c r="C8" s="10">
        <f>D8*2-1</f>
        <v>11</v>
      </c>
      <c r="D8" s="22">
        <v>6</v>
      </c>
      <c r="E8" s="22"/>
    </row>
    <row r="9" spans="1:5" ht="18.75">
      <c r="A9" s="11" t="s">
        <v>2</v>
      </c>
      <c r="B9" s="22">
        <f>SUM(B3:B8)</f>
        <v>48</v>
      </c>
      <c r="C9" s="22">
        <f>SUM(C3:C8)</f>
        <v>30</v>
      </c>
      <c r="D9" s="11" t="s">
        <v>3</v>
      </c>
      <c r="E9" s="22">
        <f>_xlfn.COVARIANCE.P(B3:B8,C3:C8)</f>
        <v>-12</v>
      </c>
    </row>
    <row r="10" spans="1:5" ht="18.75">
      <c r="A10" s="11" t="s">
        <v>4</v>
      </c>
      <c r="B10" s="22">
        <f>AVERAGE(B3:B8)</f>
        <v>8</v>
      </c>
      <c r="C10" s="22">
        <f>AVERAGE(C3:C8)</f>
        <v>5</v>
      </c>
      <c r="D10" s="11" t="s">
        <v>5</v>
      </c>
      <c r="E10" s="22">
        <f>CORREL(B3:B8,C3:C8)</f>
        <v>-0.66666666666666663</v>
      </c>
    </row>
    <row r="11" spans="1:5" ht="18.75">
      <c r="A11" s="11" t="s">
        <v>6</v>
      </c>
      <c r="B11" s="22">
        <f>_xlfn.VAR.P(B3:B8)</f>
        <v>27</v>
      </c>
      <c r="C11" s="22">
        <f>_xlfn.VAR.P(C3:C8)</f>
        <v>12</v>
      </c>
      <c r="D11" s="22"/>
      <c r="E11" s="22"/>
    </row>
    <row r="12" spans="1:5" ht="18.75">
      <c r="A12" s="11" t="s">
        <v>7</v>
      </c>
      <c r="B12" s="22">
        <f>_xlfn.STDEV.P(B3:B8)</f>
        <v>5.196152422706632</v>
      </c>
      <c r="C12" s="22">
        <f>_xlfn.STDEV.P(C3:C8)</f>
        <v>3.4641016151377544</v>
      </c>
      <c r="D12" s="22"/>
      <c r="E12" s="22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miura</dc:creator>
  <cp:keywords/>
  <dc:description/>
  <cp:lastModifiedBy>欽也 三浦</cp:lastModifiedBy>
  <cp:revision>3</cp:revision>
  <dcterms:created xsi:type="dcterms:W3CDTF">2023-07-22T13:11:40Z</dcterms:created>
  <dcterms:modified xsi:type="dcterms:W3CDTF">2026-07-27T11:23:46Z</dcterms:modified>
  <cp:category/>
  <cp:contentStatus/>
</cp:coreProperties>
</file>