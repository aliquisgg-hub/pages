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06\kimatsu23\"/>
    </mc:Choice>
  </mc:AlternateContent>
  <xr:revisionPtr revIDLastSave="0" documentId="13_ncr:1_{AFD1DFCE-D80D-471D-B8D6-F8D11BF86E7B}" xr6:coauthVersionLast="47" xr6:coauthVersionMax="47" xr10:uidLastSave="{00000000-0000-0000-0000-000000000000}"/>
  <bookViews>
    <workbookView xWindow="1170" yWindow="1815" windowWidth="21600" windowHeight="10905" activeTab="4" xr2:uid="{00AAB71F-FAEA-4712-9670-C06F2EA5EC6A}"/>
  </bookViews>
  <sheets>
    <sheet name="Sheet1" sheetId="1" r:id="rId1"/>
    <sheet name="Sheet1 (2)" sheetId="2" r:id="rId2"/>
    <sheet name="Sheet1 (5)" sheetId="5" r:id="rId3"/>
    <sheet name="Sheet1 (3)" sheetId="3" r:id="rId4"/>
    <sheet name="Sheet1 (4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12" i="4" s="1"/>
  <c r="B4" i="4"/>
  <c r="B3" i="4"/>
  <c r="B10" i="4"/>
  <c r="C8" i="5"/>
  <c r="C7" i="5"/>
  <c r="C6" i="5"/>
  <c r="C5" i="5"/>
  <c r="E9" i="5" s="1"/>
  <c r="C4" i="5"/>
  <c r="E10" i="5" s="1"/>
  <c r="C3" i="5"/>
  <c r="B12" i="5"/>
  <c r="B11" i="5"/>
  <c r="B10" i="5"/>
  <c r="B9" i="5"/>
  <c r="A8" i="5"/>
  <c r="A7" i="5"/>
  <c r="A6" i="5"/>
  <c r="A5" i="5"/>
  <c r="A4" i="5"/>
  <c r="A3" i="5"/>
  <c r="C8" i="4"/>
  <c r="C7" i="4"/>
  <c r="C6" i="4"/>
  <c r="C5" i="4"/>
  <c r="E9" i="4" s="1"/>
  <c r="C4" i="4"/>
  <c r="C12" i="4" s="1"/>
  <c r="C3" i="4"/>
  <c r="C9" i="4"/>
  <c r="C12" i="3"/>
  <c r="B12" i="3"/>
  <c r="C11" i="3"/>
  <c r="B11" i="3"/>
  <c r="E10" i="3"/>
  <c r="C10" i="3"/>
  <c r="B10" i="3"/>
  <c r="E9" i="3"/>
  <c r="C9" i="3"/>
  <c r="B9" i="3"/>
  <c r="A8" i="3"/>
  <c r="A7" i="3"/>
  <c r="A6" i="3"/>
  <c r="A5" i="3"/>
  <c r="A4" i="3"/>
  <c r="A3" i="3"/>
  <c r="C12" i="2"/>
  <c r="B12" i="2"/>
  <c r="C11" i="2"/>
  <c r="B11" i="2"/>
  <c r="E10" i="2"/>
  <c r="C10" i="2"/>
  <c r="B10" i="2"/>
  <c r="E9" i="2"/>
  <c r="C9" i="2"/>
  <c r="B9" i="2"/>
  <c r="A8" i="2"/>
  <c r="A7" i="2"/>
  <c r="A6" i="2"/>
  <c r="A5" i="2"/>
  <c r="A4" i="2"/>
  <c r="A3" i="2"/>
  <c r="E9" i="1"/>
  <c r="A8" i="1"/>
  <c r="A3" i="1"/>
  <c r="A7" i="1"/>
  <c r="A6" i="1"/>
  <c r="A4" i="1"/>
  <c r="A5" i="1"/>
  <c r="E10" i="1"/>
  <c r="C9" i="1"/>
  <c r="C10" i="1"/>
  <c r="C11" i="1"/>
  <c r="C12" i="1"/>
  <c r="B12" i="1"/>
  <c r="B11" i="1"/>
  <c r="B10" i="1"/>
  <c r="B9" i="1"/>
  <c r="B11" i="4" l="1"/>
  <c r="B9" i="4"/>
  <c r="C10" i="5"/>
  <c r="C12" i="5"/>
  <c r="C9" i="5"/>
  <c r="C11" i="5"/>
  <c r="C10" i="4"/>
  <c r="E10" i="4"/>
  <c r="C11" i="4"/>
</calcChain>
</file>

<file path=xl/sharedStrings.xml><?xml version="1.0" encoding="utf-8"?>
<sst xmlns="http://schemas.openxmlformats.org/spreadsheetml/2006/main" count="40" uniqueCount="8">
  <si>
    <t>x</t>
    <phoneticPr fontId="1"/>
  </si>
  <si>
    <t>y</t>
    <phoneticPr fontId="1"/>
  </si>
  <si>
    <t>total</t>
    <phoneticPr fontId="1"/>
  </si>
  <si>
    <t>m.</t>
    <phoneticPr fontId="1"/>
  </si>
  <si>
    <t>var.</t>
    <phoneticPr fontId="1"/>
  </si>
  <si>
    <t>r</t>
    <phoneticPr fontId="1"/>
  </si>
  <si>
    <t>s</t>
    <phoneticPr fontId="1"/>
  </si>
  <si>
    <r>
      <t>s</t>
    </r>
    <r>
      <rPr>
        <vertAlign val="subscript"/>
        <sz val="11"/>
        <color theme="1"/>
        <rFont val="游ゴシック"/>
        <family val="3"/>
        <charset val="128"/>
        <scheme val="minor"/>
      </rPr>
      <t>xy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</si>
</sst>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2"/>
      <name val="游ゴシック"/>
      <family val="2"/>
      <charset val="128"/>
      <scheme val="minor"/>
    </font>
    <font>
      <sz val="12"/>
      <color theme="1"/>
      <name val="Century"/>
      <family val="1"/>
    </font>
    <font>
      <i/>
      <sz val="14"/>
      <color theme="1"/>
      <name val="Century Schoolbook"/>
      <family val="1"/>
    </font>
    <font>
      <vertAlign val="sub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(5)'!$C$2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(5)'!$B$3:$B$8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xVal>
          <c:yVal>
            <c:numRef>
              <c:f>'Sheet1 (5)'!$C$3:$C$8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11</c:v>
                </c:pt>
                <c:pt idx="4">
                  <c:v>1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E-4172-9F0A-83B17EEF3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59040"/>
        <c:axId val="570953632"/>
      </c:scatterChart>
      <c:valAx>
        <c:axId val="57095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53632"/>
        <c:crosses val="autoZero"/>
        <c:crossBetween val="midCat"/>
      </c:valAx>
      <c:valAx>
        <c:axId val="5709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5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(4)'!$C$2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(4)'!$B$3:$B$8</c:f>
              <c:numCache>
                <c:formatCode>General</c:formatCode>
                <c:ptCount val="6"/>
                <c:pt idx="0">
                  <c:v>8</c:v>
                </c:pt>
                <c:pt idx="1">
                  <c:v>17</c:v>
                </c:pt>
                <c:pt idx="2">
                  <c:v>2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</c:numCache>
            </c:numRef>
          </c:xVal>
          <c:yVal>
            <c:numRef>
              <c:f>'Sheet1 (4)'!$C$3:$C$8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5-484F-BEAA-E2156865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41984"/>
        <c:axId val="570943232"/>
      </c:scatterChart>
      <c:valAx>
        <c:axId val="5709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43232"/>
        <c:crosses val="autoZero"/>
        <c:crossBetween val="midCat"/>
      </c:valAx>
      <c:valAx>
        <c:axId val="5709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094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585787</xdr:colOff>
      <xdr:row>2</xdr:row>
      <xdr:rowOff>157162</xdr:rowOff>
    </xdr:from>
    <xdr:to>
      <xdr:col>13</xdr:col>
      <xdr:colOff>357187</xdr:colOff>
      <xdr:row>12</xdr:row>
      <xdr:rowOff>100012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70EC1F8-9B21-4BFB-8DD9-A1D8D1014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585787</xdr:colOff>
      <xdr:row>2</xdr:row>
      <xdr:rowOff>157162</xdr:rowOff>
    </xdr:from>
    <xdr:to>
      <xdr:col>13</xdr:col>
      <xdr:colOff>357187</xdr:colOff>
      <xdr:row>12</xdr:row>
      <xdr:rowOff>100012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F52AB9-56FF-4DE0-9826-962A6B73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410-EAB4-44F7-8E5D-B8723C5F48CF}">
  <dimension ref="A1:E12"/>
  <sheetViews>
    <sheetView workbookViewId="0">
      <selection activeCell="B2" sqref="B2:C8"/>
    </sheetView>
  </sheetViews>
  <sheetFormatPr defaultRowHeight="18.75" x14ac:dyDescent="0.4"/>
  <cols>
    <col min="2" max="3" width="6.5" customWidth="1"/>
  </cols>
  <sheetData>
    <row r="1" spans="1:5" ht="19.5" thickBot="1" x14ac:dyDescent="0.45"/>
    <row r="2" spans="1:5" ht="24" customHeight="1" thickBot="1" x14ac:dyDescent="0.45">
      <c r="B2" s="3" t="s">
        <v>0</v>
      </c>
      <c r="C2" s="4" t="s">
        <v>1</v>
      </c>
    </row>
    <row r="3" spans="1:5" ht="24" customHeight="1" x14ac:dyDescent="0.4">
      <c r="A3" s="1">
        <f t="shared" ref="A3:A8" ca="1" si="0">RAND()</f>
        <v>0.69253984634466736</v>
      </c>
      <c r="B3" s="5">
        <v>3</v>
      </c>
      <c r="C3" s="6">
        <v>1</v>
      </c>
    </row>
    <row r="4" spans="1:5" ht="24" customHeight="1" x14ac:dyDescent="0.4">
      <c r="A4" s="1">
        <f t="shared" ca="1" si="0"/>
        <v>0.79489819560286701</v>
      </c>
      <c r="B4" s="7">
        <v>6</v>
      </c>
      <c r="C4" s="8">
        <v>3</v>
      </c>
    </row>
    <row r="5" spans="1:5" ht="24" customHeight="1" x14ac:dyDescent="0.4">
      <c r="A5" s="1">
        <f t="shared" ca="1" si="0"/>
        <v>0.73182948539956749</v>
      </c>
      <c r="B5" s="7">
        <v>1</v>
      </c>
      <c r="C5" s="8">
        <v>4</v>
      </c>
    </row>
    <row r="6" spans="1:5" ht="24" customHeight="1" x14ac:dyDescent="0.4">
      <c r="A6" s="1">
        <f t="shared" ca="1" si="0"/>
        <v>0.23930099578252573</v>
      </c>
      <c r="B6" s="7">
        <v>4</v>
      </c>
      <c r="C6" s="8">
        <v>3</v>
      </c>
    </row>
    <row r="7" spans="1:5" ht="24" customHeight="1" x14ac:dyDescent="0.4">
      <c r="A7" s="1">
        <f t="shared" ca="1" si="0"/>
        <v>0.12273998619056992</v>
      </c>
      <c r="B7" s="7">
        <v>3</v>
      </c>
      <c r="C7" s="8">
        <v>6</v>
      </c>
    </row>
    <row r="8" spans="1:5" ht="24" customHeight="1" thickBot="1" x14ac:dyDescent="0.45">
      <c r="A8" s="1">
        <f t="shared" ca="1" si="0"/>
        <v>0.20884638985724835</v>
      </c>
      <c r="B8" s="9">
        <v>1</v>
      </c>
      <c r="C8" s="10">
        <v>1</v>
      </c>
    </row>
    <row r="9" spans="1:5" ht="20.25" x14ac:dyDescent="0.4">
      <c r="A9" s="2" t="s">
        <v>2</v>
      </c>
      <c r="B9">
        <f>SUM(B3:B8)</f>
        <v>18</v>
      </c>
      <c r="C9">
        <f>SUM(C3:C8)</f>
        <v>18</v>
      </c>
      <c r="D9" s="2" t="s">
        <v>7</v>
      </c>
      <c r="E9">
        <f>_xlfn.COVARIANCE.P(B3:B8,C3:C8)</f>
        <v>0.33333333333333331</v>
      </c>
    </row>
    <row r="10" spans="1:5" x14ac:dyDescent="0.4">
      <c r="A10" s="2" t="s">
        <v>3</v>
      </c>
      <c r="B10">
        <f>AVERAGE(B3:B8)</f>
        <v>3</v>
      </c>
      <c r="C10">
        <f>AVERAGE(C3:C8)</f>
        <v>3</v>
      </c>
      <c r="D10" s="2" t="s">
        <v>5</v>
      </c>
      <c r="E10">
        <f>CORREL(B3:B8,C3:C8)</f>
        <v>0.11111111111111112</v>
      </c>
    </row>
    <row r="11" spans="1:5" x14ac:dyDescent="0.4">
      <c r="A11" s="2" t="s">
        <v>4</v>
      </c>
      <c r="B11">
        <f>_xlfn.VAR.P(B3:B8)</f>
        <v>3</v>
      </c>
      <c r="C11">
        <f>_xlfn.VAR.P(C3:C8)</f>
        <v>3</v>
      </c>
    </row>
    <row r="12" spans="1:5" x14ac:dyDescent="0.4">
      <c r="A12" s="2" t="s">
        <v>6</v>
      </c>
      <c r="B12">
        <f>_xlfn.STDEV.P(B3:B8)</f>
        <v>1.7320508075688772</v>
      </c>
      <c r="C12">
        <f>_xlfn.STDEV.P(C3:C8)</f>
        <v>1.7320508075688772</v>
      </c>
    </row>
  </sheetData>
  <sortState xmlns:xlrd2="http://schemas.microsoft.com/office/spreadsheetml/2017/richdata2" ref="A3:C8">
    <sortCondition descending="1" ref="A3:A8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73A1-D982-4F77-89CF-5B04F973F476}">
  <dimension ref="A1:E12"/>
  <sheetViews>
    <sheetView workbookViewId="0">
      <selection activeCell="C9" sqref="C9"/>
    </sheetView>
  </sheetViews>
  <sheetFormatPr defaultRowHeight="18.75" x14ac:dyDescent="0.4"/>
  <cols>
    <col min="2" max="3" width="6.5" customWidth="1"/>
  </cols>
  <sheetData>
    <row r="1" spans="1:5" ht="19.5" thickBot="1" x14ac:dyDescent="0.45"/>
    <row r="2" spans="1:5" ht="24" customHeight="1" thickBot="1" x14ac:dyDescent="0.45">
      <c r="B2" s="3" t="s">
        <v>0</v>
      </c>
      <c r="C2" s="4" t="s">
        <v>1</v>
      </c>
    </row>
    <row r="3" spans="1:5" ht="24" customHeight="1" x14ac:dyDescent="0.4">
      <c r="A3" s="1">
        <f t="shared" ref="A3:A8" ca="1" si="0">RAND()</f>
        <v>0.34148671820110943</v>
      </c>
      <c r="B3" s="5">
        <v>3</v>
      </c>
      <c r="C3" s="6">
        <v>1</v>
      </c>
    </row>
    <row r="4" spans="1:5" ht="24" customHeight="1" x14ac:dyDescent="0.4">
      <c r="A4" s="1">
        <f t="shared" ca="1" si="0"/>
        <v>0.67921003818918035</v>
      </c>
      <c r="B4" s="7">
        <v>6</v>
      </c>
      <c r="C4" s="8">
        <v>4</v>
      </c>
    </row>
    <row r="5" spans="1:5" ht="24" customHeight="1" x14ac:dyDescent="0.4">
      <c r="A5" s="1">
        <f t="shared" ca="1" si="0"/>
        <v>0.33986774438075751</v>
      </c>
      <c r="B5" s="7">
        <v>1</v>
      </c>
      <c r="C5" s="8">
        <v>3</v>
      </c>
    </row>
    <row r="6" spans="1:5" ht="24" customHeight="1" x14ac:dyDescent="0.4">
      <c r="A6" s="1">
        <f t="shared" ca="1" si="0"/>
        <v>0.45605839819563376</v>
      </c>
      <c r="B6" s="7">
        <v>4</v>
      </c>
      <c r="C6" s="8">
        <v>6</v>
      </c>
    </row>
    <row r="7" spans="1:5" ht="24" customHeight="1" x14ac:dyDescent="0.4">
      <c r="A7" s="1">
        <f t="shared" ca="1" si="0"/>
        <v>0.76747901632266791</v>
      </c>
      <c r="B7" s="7">
        <v>3</v>
      </c>
      <c r="C7" s="8">
        <v>1</v>
      </c>
    </row>
    <row r="8" spans="1:5" ht="24" customHeight="1" thickBot="1" x14ac:dyDescent="0.45">
      <c r="A8" s="1">
        <f t="shared" ca="1" si="0"/>
        <v>0.86196758555966013</v>
      </c>
      <c r="B8" s="9">
        <v>1</v>
      </c>
      <c r="C8" s="10">
        <v>3</v>
      </c>
    </row>
    <row r="9" spans="1:5" ht="20.25" x14ac:dyDescent="0.4">
      <c r="A9" s="2" t="s">
        <v>2</v>
      </c>
      <c r="B9">
        <f>SUM(B3:B8)</f>
        <v>18</v>
      </c>
      <c r="C9">
        <f>SUM(C3:C8)</f>
        <v>18</v>
      </c>
      <c r="D9" s="2" t="s">
        <v>7</v>
      </c>
      <c r="E9">
        <f>_xlfn.COVARIANCE.P(B3:B8,C3:C8)</f>
        <v>1</v>
      </c>
    </row>
    <row r="10" spans="1:5" x14ac:dyDescent="0.4">
      <c r="A10" s="2" t="s">
        <v>3</v>
      </c>
      <c r="B10">
        <f>AVERAGE(B3:B8)</f>
        <v>3</v>
      </c>
      <c r="C10">
        <f>AVERAGE(C3:C8)</f>
        <v>3</v>
      </c>
      <c r="D10" s="2" t="s">
        <v>5</v>
      </c>
      <c r="E10">
        <f>CORREL(B3:B8,C3:C8)</f>
        <v>0.33333333333333337</v>
      </c>
    </row>
    <row r="11" spans="1:5" x14ac:dyDescent="0.4">
      <c r="A11" s="2" t="s">
        <v>4</v>
      </c>
      <c r="B11">
        <f>_xlfn.VAR.P(B3:B8)</f>
        <v>3</v>
      </c>
      <c r="C11">
        <f>_xlfn.VAR.P(C3:C8)</f>
        <v>3</v>
      </c>
    </row>
    <row r="12" spans="1:5" x14ac:dyDescent="0.4">
      <c r="A12" s="2" t="s">
        <v>6</v>
      </c>
      <c r="B12">
        <f>_xlfn.STDEV.P(B3:B8)</f>
        <v>1.7320508075688772</v>
      </c>
      <c r="C12">
        <f>_xlfn.STDEV.P(C3:C8)</f>
        <v>1.7320508075688772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25D4-9A72-4EA7-8B2C-E8AFD50B5F7F}">
  <dimension ref="A1:E12"/>
  <sheetViews>
    <sheetView workbookViewId="0">
      <selection activeCell="B2" sqref="B2:C8"/>
    </sheetView>
  </sheetViews>
  <sheetFormatPr defaultRowHeight="18.75" x14ac:dyDescent="0.4"/>
  <cols>
    <col min="2" max="3" width="6.5" customWidth="1"/>
  </cols>
  <sheetData>
    <row r="1" spans="1:5" ht="19.5" thickBot="1" x14ac:dyDescent="0.45"/>
    <row r="2" spans="1:5" ht="24" customHeight="1" thickBot="1" x14ac:dyDescent="0.45">
      <c r="B2" s="3" t="s">
        <v>0</v>
      </c>
      <c r="C2" s="4" t="s">
        <v>1</v>
      </c>
    </row>
    <row r="3" spans="1:5" ht="24" customHeight="1" x14ac:dyDescent="0.4">
      <c r="A3" s="1">
        <f t="shared" ref="A3:A8" ca="1" si="0">RAND()</f>
        <v>0.27722610711548301</v>
      </c>
      <c r="B3" s="5">
        <v>3</v>
      </c>
      <c r="C3" s="6">
        <f>2*D3-1</f>
        <v>1</v>
      </c>
      <c r="D3">
        <v>1</v>
      </c>
    </row>
    <row r="4" spans="1:5" ht="24" customHeight="1" x14ac:dyDescent="0.4">
      <c r="A4" s="1">
        <f t="shared" ca="1" si="0"/>
        <v>0.64610781437044063</v>
      </c>
      <c r="B4" s="7">
        <v>6</v>
      </c>
      <c r="C4" s="8">
        <f t="shared" ref="C4:C8" si="1">2*D4-1</f>
        <v>7</v>
      </c>
      <c r="D4">
        <v>4</v>
      </c>
    </row>
    <row r="5" spans="1:5" ht="24" customHeight="1" x14ac:dyDescent="0.4">
      <c r="A5" s="1">
        <f t="shared" ca="1" si="0"/>
        <v>0.54252873978356542</v>
      </c>
      <c r="B5" s="7">
        <v>1</v>
      </c>
      <c r="C5" s="8">
        <f t="shared" si="1"/>
        <v>5</v>
      </c>
      <c r="D5">
        <v>3</v>
      </c>
    </row>
    <row r="6" spans="1:5" ht="24" customHeight="1" x14ac:dyDescent="0.4">
      <c r="A6" s="1">
        <f t="shared" ca="1" si="0"/>
        <v>0.39733250512272655</v>
      </c>
      <c r="B6" s="7">
        <v>4</v>
      </c>
      <c r="C6" s="8">
        <f t="shared" si="1"/>
        <v>11</v>
      </c>
      <c r="D6">
        <v>6</v>
      </c>
    </row>
    <row r="7" spans="1:5" ht="24" customHeight="1" x14ac:dyDescent="0.4">
      <c r="A7" s="1">
        <f t="shared" ca="1" si="0"/>
        <v>0.17512601865758937</v>
      </c>
      <c r="B7" s="7">
        <v>3</v>
      </c>
      <c r="C7" s="8">
        <f t="shared" si="1"/>
        <v>1</v>
      </c>
      <c r="D7">
        <v>1</v>
      </c>
    </row>
    <row r="8" spans="1:5" ht="24" customHeight="1" thickBot="1" x14ac:dyDescent="0.45">
      <c r="A8" s="1">
        <f t="shared" ca="1" si="0"/>
        <v>0.50283101841750766</v>
      </c>
      <c r="B8" s="9">
        <v>1</v>
      </c>
      <c r="C8" s="10">
        <f t="shared" si="1"/>
        <v>5</v>
      </c>
      <c r="D8">
        <v>3</v>
      </c>
    </row>
    <row r="9" spans="1:5" ht="20.25" x14ac:dyDescent="0.4">
      <c r="A9" s="2" t="s">
        <v>2</v>
      </c>
      <c r="B9">
        <f>SUM(B3:B8)</f>
        <v>18</v>
      </c>
      <c r="C9">
        <f>SUM(C3:C8)</f>
        <v>30</v>
      </c>
      <c r="D9" s="2" t="s">
        <v>7</v>
      </c>
      <c r="E9">
        <f>_xlfn.COVARIANCE.P(B3:B8,C3:C8)</f>
        <v>2</v>
      </c>
    </row>
    <row r="10" spans="1:5" x14ac:dyDescent="0.4">
      <c r="A10" s="2" t="s">
        <v>3</v>
      </c>
      <c r="B10">
        <f>AVERAGE(B3:B8)</f>
        <v>3</v>
      </c>
      <c r="C10">
        <f>AVERAGE(C3:C8)</f>
        <v>5</v>
      </c>
      <c r="D10" s="2" t="s">
        <v>5</v>
      </c>
      <c r="E10">
        <f>CORREL(B3:B8,C3:C8)</f>
        <v>0.33333333333333337</v>
      </c>
    </row>
    <row r="11" spans="1:5" x14ac:dyDescent="0.4">
      <c r="A11" s="2" t="s">
        <v>4</v>
      </c>
      <c r="B11">
        <f>_xlfn.VAR.P(B3:B8)</f>
        <v>3</v>
      </c>
      <c r="C11">
        <f>_xlfn.VAR.P(C3:C8)</f>
        <v>12</v>
      </c>
    </row>
    <row r="12" spans="1:5" x14ac:dyDescent="0.4">
      <c r="A12" s="2" t="s">
        <v>6</v>
      </c>
      <c r="B12">
        <f>_xlfn.STDEV.P(B3:B8)</f>
        <v>1.7320508075688772</v>
      </c>
      <c r="C12">
        <f>_xlfn.STDEV.P(C3:C8)</f>
        <v>3.4641016151377544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57CF-1690-424F-B605-FC986E385D23}">
  <dimension ref="A1:E12"/>
  <sheetViews>
    <sheetView workbookViewId="0">
      <selection activeCell="C6" sqref="C6"/>
    </sheetView>
  </sheetViews>
  <sheetFormatPr defaultRowHeight="18.75" x14ac:dyDescent="0.4"/>
  <cols>
    <col min="2" max="3" width="6.5" customWidth="1"/>
  </cols>
  <sheetData>
    <row r="1" spans="1:5" ht="19.5" thickBot="1" x14ac:dyDescent="0.45"/>
    <row r="2" spans="1:5" ht="24" customHeight="1" thickBot="1" x14ac:dyDescent="0.45">
      <c r="B2" s="3" t="s">
        <v>0</v>
      </c>
      <c r="C2" s="4" t="s">
        <v>1</v>
      </c>
    </row>
    <row r="3" spans="1:5" ht="24" customHeight="1" x14ac:dyDescent="0.4">
      <c r="A3" s="1">
        <f t="shared" ref="A3:A8" ca="1" si="0">RAND()</f>
        <v>0.72134786783016369</v>
      </c>
      <c r="B3" s="5">
        <v>3</v>
      </c>
      <c r="C3" s="6">
        <v>4</v>
      </c>
    </row>
    <row r="4" spans="1:5" ht="24" customHeight="1" x14ac:dyDescent="0.4">
      <c r="A4" s="1">
        <f t="shared" ca="1" si="0"/>
        <v>0.39581297987900177</v>
      </c>
      <c r="B4" s="7">
        <v>6</v>
      </c>
      <c r="C4" s="8">
        <v>1</v>
      </c>
    </row>
    <row r="5" spans="1:5" ht="24" customHeight="1" x14ac:dyDescent="0.4">
      <c r="A5" s="1">
        <f t="shared" ca="1" si="0"/>
        <v>0.31707245026523645</v>
      </c>
      <c r="B5" s="7">
        <v>1</v>
      </c>
      <c r="C5" s="8">
        <v>3</v>
      </c>
    </row>
    <row r="6" spans="1:5" ht="24" customHeight="1" x14ac:dyDescent="0.4">
      <c r="A6" s="1">
        <f t="shared" ca="1" si="0"/>
        <v>0.97741332199143838</v>
      </c>
      <c r="B6" s="7">
        <v>4</v>
      </c>
      <c r="C6" s="8">
        <v>3</v>
      </c>
    </row>
    <row r="7" spans="1:5" ht="24" customHeight="1" x14ac:dyDescent="0.4">
      <c r="A7" s="1">
        <f t="shared" ca="1" si="0"/>
        <v>0.98017891014423209</v>
      </c>
      <c r="B7" s="7">
        <v>3</v>
      </c>
      <c r="C7" s="8">
        <v>1</v>
      </c>
    </row>
    <row r="8" spans="1:5" ht="24" customHeight="1" thickBot="1" x14ac:dyDescent="0.45">
      <c r="A8" s="1">
        <f t="shared" ca="1" si="0"/>
        <v>0.94468442871070379</v>
      </c>
      <c r="B8" s="9">
        <v>1</v>
      </c>
      <c r="C8" s="10">
        <v>6</v>
      </c>
    </row>
    <row r="9" spans="1:5" ht="20.25" x14ac:dyDescent="0.4">
      <c r="A9" s="2" t="s">
        <v>2</v>
      </c>
      <c r="B9">
        <f>SUM(B3:B8)</f>
        <v>18</v>
      </c>
      <c r="C9">
        <f>SUM(C3:C8)</f>
        <v>18</v>
      </c>
      <c r="D9" s="2" t="s">
        <v>7</v>
      </c>
      <c r="E9">
        <f>_xlfn.COVARIANCE.P(B3:B8,C3:C8)</f>
        <v>-2</v>
      </c>
    </row>
    <row r="10" spans="1:5" x14ac:dyDescent="0.4">
      <c r="A10" s="2" t="s">
        <v>3</v>
      </c>
      <c r="B10">
        <f>AVERAGE(B3:B8)</f>
        <v>3</v>
      </c>
      <c r="C10">
        <f>AVERAGE(C3:C8)</f>
        <v>3</v>
      </c>
      <c r="D10" s="2" t="s">
        <v>5</v>
      </c>
      <c r="E10">
        <f>CORREL(B3:B8,C3:C8)</f>
        <v>-0.66666666666666674</v>
      </c>
    </row>
    <row r="11" spans="1:5" x14ac:dyDescent="0.4">
      <c r="A11" s="2" t="s">
        <v>4</v>
      </c>
      <c r="B11">
        <f>_xlfn.VAR.P(B3:B8)</f>
        <v>3</v>
      </c>
      <c r="C11">
        <f>_xlfn.VAR.P(C3:C8)</f>
        <v>3</v>
      </c>
    </row>
    <row r="12" spans="1:5" x14ac:dyDescent="0.4">
      <c r="A12" s="2" t="s">
        <v>6</v>
      </c>
      <c r="B12">
        <f>_xlfn.STDEV.P(B3:B8)</f>
        <v>1.7320508075688772</v>
      </c>
      <c r="C12">
        <f>_xlfn.STDEV.P(C3:C8)</f>
        <v>1.7320508075688772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0803-6B15-41B8-B896-DDF2B7E19C3F}">
  <dimension ref="A1:E12"/>
  <sheetViews>
    <sheetView tabSelected="1" workbookViewId="0">
      <selection activeCell="D13" sqref="D13"/>
    </sheetView>
  </sheetViews>
  <sheetFormatPr defaultRowHeight="18.75" x14ac:dyDescent="0.4"/>
  <cols>
    <col min="2" max="3" width="6.5" customWidth="1"/>
  </cols>
  <sheetData>
    <row r="1" spans="1:5" ht="19.5" thickBot="1" x14ac:dyDescent="0.45"/>
    <row r="2" spans="1:5" ht="24" customHeight="1" thickBot="1" x14ac:dyDescent="0.45">
      <c r="B2" s="3" t="s">
        <v>0</v>
      </c>
      <c r="C2" s="4" t="s">
        <v>1</v>
      </c>
    </row>
    <row r="3" spans="1:5" ht="24" customHeight="1" x14ac:dyDescent="0.4">
      <c r="A3" s="1">
        <v>3</v>
      </c>
      <c r="B3" s="5">
        <f>A3*3-1</f>
        <v>8</v>
      </c>
      <c r="C3" s="6">
        <f>D3*2-1</f>
        <v>7</v>
      </c>
      <c r="D3">
        <v>4</v>
      </c>
    </row>
    <row r="4" spans="1:5" ht="24" customHeight="1" x14ac:dyDescent="0.4">
      <c r="A4" s="1">
        <v>6</v>
      </c>
      <c r="B4" s="7">
        <f t="shared" ref="B4:B8" si="0">A4*3-1</f>
        <v>17</v>
      </c>
      <c r="C4" s="8">
        <f t="shared" ref="C4:C8" si="1">D4*2-1</f>
        <v>1</v>
      </c>
      <c r="D4">
        <v>1</v>
      </c>
    </row>
    <row r="5" spans="1:5" ht="24" customHeight="1" x14ac:dyDescent="0.4">
      <c r="A5" s="1">
        <v>1</v>
      </c>
      <c r="B5" s="7">
        <f t="shared" si="0"/>
        <v>2</v>
      </c>
      <c r="C5" s="8">
        <f t="shared" si="1"/>
        <v>5</v>
      </c>
      <c r="D5">
        <v>3</v>
      </c>
    </row>
    <row r="6" spans="1:5" ht="24" customHeight="1" x14ac:dyDescent="0.4">
      <c r="A6" s="1">
        <v>4</v>
      </c>
      <c r="B6" s="7">
        <f t="shared" si="0"/>
        <v>11</v>
      </c>
      <c r="C6" s="8">
        <f t="shared" si="1"/>
        <v>5</v>
      </c>
      <c r="D6">
        <v>3</v>
      </c>
    </row>
    <row r="7" spans="1:5" ht="24" customHeight="1" x14ac:dyDescent="0.4">
      <c r="A7" s="1">
        <v>3</v>
      </c>
      <c r="B7" s="7">
        <f t="shared" si="0"/>
        <v>8</v>
      </c>
      <c r="C7" s="8">
        <f t="shared" si="1"/>
        <v>1</v>
      </c>
      <c r="D7">
        <v>1</v>
      </c>
    </row>
    <row r="8" spans="1:5" ht="24" customHeight="1" thickBot="1" x14ac:dyDescent="0.45">
      <c r="A8" s="1">
        <v>1</v>
      </c>
      <c r="B8" s="9">
        <f t="shared" si="0"/>
        <v>2</v>
      </c>
      <c r="C8" s="10">
        <f t="shared" si="1"/>
        <v>11</v>
      </c>
      <c r="D8">
        <v>6</v>
      </c>
    </row>
    <row r="9" spans="1:5" ht="20.25" x14ac:dyDescent="0.4">
      <c r="A9" s="2" t="s">
        <v>2</v>
      </c>
      <c r="B9">
        <f>SUM(B3:B8)</f>
        <v>48</v>
      </c>
      <c r="C9">
        <f>SUM(C3:C8)</f>
        <v>30</v>
      </c>
      <c r="D9" s="2" t="s">
        <v>7</v>
      </c>
      <c r="E9">
        <f>_xlfn.COVARIANCE.P(B3:B8,C3:C8)</f>
        <v>-12</v>
      </c>
    </row>
    <row r="10" spans="1:5" x14ac:dyDescent="0.4">
      <c r="A10" s="2" t="s">
        <v>3</v>
      </c>
      <c r="B10">
        <f>AVERAGE(B3:B8)</f>
        <v>8</v>
      </c>
      <c r="C10">
        <f>AVERAGE(C3:C8)</f>
        <v>5</v>
      </c>
      <c r="D10" s="2" t="s">
        <v>5</v>
      </c>
      <c r="E10">
        <f>CORREL(B3:B8,C3:C8)</f>
        <v>-0.66666666666666663</v>
      </c>
    </row>
    <row r="11" spans="1:5" x14ac:dyDescent="0.4">
      <c r="A11" s="2" t="s">
        <v>4</v>
      </c>
      <c r="B11">
        <f>_xlfn.VAR.P(B3:B8)</f>
        <v>27</v>
      </c>
      <c r="C11">
        <f>_xlfn.VAR.P(C3:C8)</f>
        <v>12</v>
      </c>
    </row>
    <row r="12" spans="1:5" x14ac:dyDescent="0.4">
      <c r="A12" s="2" t="s">
        <v>6</v>
      </c>
      <c r="B12">
        <f>_xlfn.STDEV.P(B3:B8)</f>
        <v>5.196152422706632</v>
      </c>
      <c r="C12">
        <f>_xlfn.STDEV.P(C3:C8)</f>
        <v>3.4641016151377544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(5)</vt:lpstr>
      <vt:lpstr>Sheet1 (3)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2023-07-22T13:11:40Z</dcterms:created>
  <dcterms:modified xsi:type="dcterms:W3CDTF">2023-07-24T04:01:44Z</dcterms:modified>
</cp:coreProperties>
</file>