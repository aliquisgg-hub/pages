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ura\Documents\wwws\Sc188\Data\"/>
    </mc:Choice>
  </mc:AlternateContent>
  <xr:revisionPtr revIDLastSave="0" documentId="13_ncr:1_{DEEB742A-6F2C-4DE0-8D8F-12A004BE940E}" xr6:coauthVersionLast="36" xr6:coauthVersionMax="47" xr10:uidLastSave="{00000000-0000-0000-0000-000000000000}"/>
  <bookViews>
    <workbookView xWindow="-60" yWindow="-60" windowWidth="15480" windowHeight="11640" activeTab="2" xr2:uid="{B2AF357A-988D-4EF4-B90D-E3697D8BB6E9}"/>
  </bookViews>
  <sheets>
    <sheet name="グラフ1" sheetId="2" r:id="rId1"/>
    <sheet name="グラフ2" sheetId="3" r:id="rId2"/>
    <sheet name="in" sheetId="1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5" i="1" l="1"/>
  <c r="F6" i="1"/>
  <c r="F5" i="1"/>
  <c r="C75" i="1" s="1"/>
  <c r="C14" i="1" l="1"/>
  <c r="C19" i="1"/>
  <c r="C11" i="1"/>
  <c r="C164" i="1"/>
  <c r="C156" i="1"/>
  <c r="C148" i="1"/>
  <c r="C140" i="1"/>
  <c r="C132" i="1"/>
  <c r="C124" i="1"/>
  <c r="C116" i="1"/>
  <c r="C108" i="1"/>
  <c r="C100" i="1"/>
  <c r="C92" i="1"/>
  <c r="C79" i="1"/>
  <c r="C63" i="1"/>
  <c r="C18" i="1"/>
  <c r="C163" i="1"/>
  <c r="C147" i="1"/>
  <c r="C131" i="1"/>
  <c r="C115" i="1"/>
  <c r="C99" i="1"/>
  <c r="C23" i="1"/>
  <c r="C24" i="1"/>
  <c r="C28" i="1"/>
  <c r="C32" i="1"/>
  <c r="C36" i="1"/>
  <c r="C40" i="1"/>
  <c r="C44" i="1"/>
  <c r="C48" i="1"/>
  <c r="C52" i="1"/>
  <c r="C56" i="1"/>
  <c r="C60" i="1"/>
  <c r="C64" i="1"/>
  <c r="C68" i="1"/>
  <c r="C72" i="1"/>
  <c r="C76" i="1"/>
  <c r="C80" i="1"/>
  <c r="C84" i="1"/>
  <c r="C88" i="1"/>
  <c r="C25" i="1"/>
  <c r="C29" i="1"/>
  <c r="C33" i="1"/>
  <c r="C37" i="1"/>
  <c r="C41" i="1"/>
  <c r="C45" i="1"/>
  <c r="C49" i="1"/>
  <c r="C53" i="1"/>
  <c r="C57" i="1"/>
  <c r="C61" i="1"/>
  <c r="C65" i="1"/>
  <c r="C69" i="1"/>
  <c r="C73" i="1"/>
  <c r="C77" i="1"/>
  <c r="C81" i="1"/>
  <c r="C85" i="1"/>
  <c r="C89" i="1"/>
  <c r="C93" i="1"/>
  <c r="C97" i="1"/>
  <c r="C101" i="1"/>
  <c r="C105" i="1"/>
  <c r="C109" i="1"/>
  <c r="C113" i="1"/>
  <c r="C117" i="1"/>
  <c r="C121" i="1"/>
  <c r="C125" i="1"/>
  <c r="C129" i="1"/>
  <c r="C133" i="1"/>
  <c r="C137" i="1"/>
  <c r="C141" i="1"/>
  <c r="C145" i="1"/>
  <c r="C149" i="1"/>
  <c r="C153" i="1"/>
  <c r="C157" i="1"/>
  <c r="C161" i="1"/>
  <c r="C165" i="1"/>
  <c r="C8" i="1"/>
  <c r="C12" i="1"/>
  <c r="C16" i="1"/>
  <c r="C20" i="1"/>
  <c r="C30" i="1"/>
  <c r="C34" i="1"/>
  <c r="C38" i="1"/>
  <c r="C42" i="1"/>
  <c r="C46" i="1"/>
  <c r="C50" i="1"/>
  <c r="C54" i="1"/>
  <c r="C58" i="1"/>
  <c r="C62" i="1"/>
  <c r="C66" i="1"/>
  <c r="C70" i="1"/>
  <c r="C74" i="1"/>
  <c r="C78" i="1"/>
  <c r="C82" i="1"/>
  <c r="C86" i="1"/>
  <c r="C90" i="1"/>
  <c r="C94" i="1"/>
  <c r="C98" i="1"/>
  <c r="C102" i="1"/>
  <c r="C106" i="1"/>
  <c r="C110" i="1"/>
  <c r="C114" i="1"/>
  <c r="C118" i="1"/>
  <c r="C122" i="1"/>
  <c r="C126" i="1"/>
  <c r="C130" i="1"/>
  <c r="C134" i="1"/>
  <c r="C138" i="1"/>
  <c r="C142" i="1"/>
  <c r="C146" i="1"/>
  <c r="C150" i="1"/>
  <c r="C154" i="1"/>
  <c r="C158" i="1"/>
  <c r="C162" i="1"/>
  <c r="C5" i="1"/>
  <c r="C9" i="1"/>
  <c r="C13" i="1"/>
  <c r="C17" i="1"/>
  <c r="C21" i="1"/>
  <c r="C27" i="1"/>
  <c r="C31" i="1"/>
  <c r="C35" i="1"/>
  <c r="C39" i="1"/>
  <c r="C43" i="1"/>
  <c r="C47" i="1"/>
  <c r="C26" i="1"/>
  <c r="C15" i="1"/>
  <c r="C7" i="1"/>
  <c r="C160" i="1"/>
  <c r="C152" i="1"/>
  <c r="C144" i="1"/>
  <c r="C136" i="1"/>
  <c r="C128" i="1"/>
  <c r="C120" i="1"/>
  <c r="C112" i="1"/>
  <c r="C104" i="1"/>
  <c r="C96" i="1"/>
  <c r="C87" i="1"/>
  <c r="C71" i="1"/>
  <c r="C55" i="1"/>
  <c r="C10" i="1"/>
  <c r="C155" i="1"/>
  <c r="C139" i="1"/>
  <c r="C123" i="1"/>
  <c r="C107" i="1"/>
  <c r="C91" i="1"/>
  <c r="C59" i="1"/>
  <c r="C6" i="1"/>
  <c r="C159" i="1"/>
  <c r="C151" i="1"/>
  <c r="C143" i="1"/>
  <c r="C135" i="1"/>
  <c r="C127" i="1"/>
  <c r="C119" i="1"/>
  <c r="C111" i="1"/>
  <c r="C103" i="1"/>
  <c r="C95" i="1"/>
  <c r="C83" i="1"/>
  <c r="C67" i="1"/>
  <c r="C51" i="1"/>
  <c r="C22" i="1"/>
</calcChain>
</file>

<file path=xl/sharedStrings.xml><?xml version="1.0" encoding="utf-8"?>
<sst xmlns="http://schemas.openxmlformats.org/spreadsheetml/2006/main" count="7" uniqueCount="7">
  <si>
    <t>ダウンロードした時刻：2024/10/16 21:35:04</t>
  </si>
  <si>
    <t>神戸</t>
  </si>
  <si>
    <t>年</t>
  </si>
  <si>
    <t>8月の平均気温(℃)</t>
    <rPh sb="1" eb="2">
      <t>ガツ</t>
    </rPh>
    <phoneticPr fontId="18"/>
  </si>
  <si>
    <t>ax+b</t>
    <phoneticPr fontId="18"/>
  </si>
  <si>
    <t>a</t>
    <phoneticPr fontId="18"/>
  </si>
  <si>
    <t>b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</si>
</sst>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righ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in!$B$4</c:f>
              <c:strCache>
                <c:ptCount val="1"/>
                <c:pt idx="0">
                  <c:v>8月の平均気温(℃)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forward val="16"/>
            <c:backward val="17"/>
            <c:dispRSqr val="0"/>
            <c:dispEq val="1"/>
            <c:trendlineLbl>
              <c:layout>
                <c:manualLayout>
                  <c:x val="1.8197740322487301E-2"/>
                  <c:y val="-3.8740928576875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in!$A$22:$A$149</c:f>
              <c:numCache>
                <c:formatCode>General</c:formatCode>
                <c:ptCount val="128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  <c:pt idx="126">
                  <c:v>2023</c:v>
                </c:pt>
                <c:pt idx="127">
                  <c:v>2024</c:v>
                </c:pt>
              </c:numCache>
            </c:numRef>
          </c:xVal>
          <c:yVal>
            <c:numRef>
              <c:f>in!$B$22:$B$149</c:f>
              <c:numCache>
                <c:formatCode>General</c:formatCode>
                <c:ptCount val="128"/>
                <c:pt idx="0">
                  <c:v>27.7</c:v>
                </c:pt>
                <c:pt idx="1">
                  <c:v>27.9</c:v>
                </c:pt>
                <c:pt idx="2">
                  <c:v>26.4</c:v>
                </c:pt>
                <c:pt idx="3">
                  <c:v>27.5</c:v>
                </c:pt>
                <c:pt idx="4">
                  <c:v>27</c:v>
                </c:pt>
                <c:pt idx="5">
                  <c:v>25.4</c:v>
                </c:pt>
                <c:pt idx="6">
                  <c:v>27.5</c:v>
                </c:pt>
                <c:pt idx="7">
                  <c:v>27.3</c:v>
                </c:pt>
                <c:pt idx="8">
                  <c:v>24.5</c:v>
                </c:pt>
                <c:pt idx="9">
                  <c:v>26.6</c:v>
                </c:pt>
                <c:pt idx="10">
                  <c:v>26.7</c:v>
                </c:pt>
                <c:pt idx="11">
                  <c:v>26.2</c:v>
                </c:pt>
                <c:pt idx="12">
                  <c:v>27.1</c:v>
                </c:pt>
                <c:pt idx="13">
                  <c:v>25.9</c:v>
                </c:pt>
                <c:pt idx="14">
                  <c:v>26.3</c:v>
                </c:pt>
                <c:pt idx="15">
                  <c:v>26.9</c:v>
                </c:pt>
                <c:pt idx="16">
                  <c:v>26</c:v>
                </c:pt>
                <c:pt idx="17">
                  <c:v>27.9</c:v>
                </c:pt>
                <c:pt idx="18">
                  <c:v>27</c:v>
                </c:pt>
                <c:pt idx="19">
                  <c:v>27.4</c:v>
                </c:pt>
                <c:pt idx="20">
                  <c:v>26.1</c:v>
                </c:pt>
                <c:pt idx="21">
                  <c:v>26.4</c:v>
                </c:pt>
                <c:pt idx="22">
                  <c:v>26.2</c:v>
                </c:pt>
                <c:pt idx="23">
                  <c:v>26.2</c:v>
                </c:pt>
                <c:pt idx="24">
                  <c:v>27.4</c:v>
                </c:pt>
                <c:pt idx="25">
                  <c:v>28.5</c:v>
                </c:pt>
                <c:pt idx="26">
                  <c:v>28.5</c:v>
                </c:pt>
                <c:pt idx="27">
                  <c:v>27.5</c:v>
                </c:pt>
                <c:pt idx="28">
                  <c:v>26.8</c:v>
                </c:pt>
                <c:pt idx="29">
                  <c:v>27.9</c:v>
                </c:pt>
                <c:pt idx="30">
                  <c:v>26.6</c:v>
                </c:pt>
                <c:pt idx="31">
                  <c:v>25.9</c:v>
                </c:pt>
                <c:pt idx="32">
                  <c:v>28</c:v>
                </c:pt>
                <c:pt idx="33">
                  <c:v>28.3</c:v>
                </c:pt>
                <c:pt idx="34">
                  <c:v>27.4</c:v>
                </c:pt>
                <c:pt idx="35">
                  <c:v>26.9</c:v>
                </c:pt>
                <c:pt idx="36">
                  <c:v>27.3</c:v>
                </c:pt>
                <c:pt idx="37">
                  <c:v>27.7</c:v>
                </c:pt>
                <c:pt idx="38">
                  <c:v>26.4</c:v>
                </c:pt>
                <c:pt idx="39">
                  <c:v>26.7</c:v>
                </c:pt>
                <c:pt idx="40">
                  <c:v>28.1</c:v>
                </c:pt>
                <c:pt idx="41">
                  <c:v>26.5</c:v>
                </c:pt>
                <c:pt idx="42">
                  <c:v>27.4</c:v>
                </c:pt>
                <c:pt idx="43">
                  <c:v>25.7</c:v>
                </c:pt>
                <c:pt idx="44">
                  <c:v>26.4</c:v>
                </c:pt>
                <c:pt idx="45">
                  <c:v>27.7</c:v>
                </c:pt>
                <c:pt idx="46">
                  <c:v>26.8</c:v>
                </c:pt>
                <c:pt idx="47">
                  <c:v>27.3</c:v>
                </c:pt>
                <c:pt idx="48">
                  <c:v>27.4</c:v>
                </c:pt>
                <c:pt idx="49">
                  <c:v>26.9</c:v>
                </c:pt>
                <c:pt idx="50">
                  <c:v>28.1</c:v>
                </c:pt>
                <c:pt idx="51">
                  <c:v>27.1</c:v>
                </c:pt>
                <c:pt idx="52">
                  <c:v>26.7</c:v>
                </c:pt>
                <c:pt idx="53">
                  <c:v>27.1</c:v>
                </c:pt>
                <c:pt idx="54">
                  <c:v>28</c:v>
                </c:pt>
                <c:pt idx="55">
                  <c:v>27.5</c:v>
                </c:pt>
                <c:pt idx="56">
                  <c:v>27</c:v>
                </c:pt>
                <c:pt idx="57">
                  <c:v>27.5</c:v>
                </c:pt>
                <c:pt idx="58">
                  <c:v>27.1</c:v>
                </c:pt>
                <c:pt idx="59">
                  <c:v>26.3</c:v>
                </c:pt>
                <c:pt idx="60">
                  <c:v>27.1</c:v>
                </c:pt>
                <c:pt idx="61">
                  <c:v>26.8</c:v>
                </c:pt>
                <c:pt idx="62">
                  <c:v>27.2</c:v>
                </c:pt>
                <c:pt idx="63">
                  <c:v>27.5</c:v>
                </c:pt>
                <c:pt idx="64">
                  <c:v>27.9</c:v>
                </c:pt>
                <c:pt idx="65">
                  <c:v>27.6</c:v>
                </c:pt>
                <c:pt idx="66">
                  <c:v>27</c:v>
                </c:pt>
                <c:pt idx="67">
                  <c:v>28.5</c:v>
                </c:pt>
                <c:pt idx="68">
                  <c:v>27.2</c:v>
                </c:pt>
                <c:pt idx="69">
                  <c:v>27.7</c:v>
                </c:pt>
                <c:pt idx="70">
                  <c:v>28.2</c:v>
                </c:pt>
                <c:pt idx="71">
                  <c:v>26.6</c:v>
                </c:pt>
                <c:pt idx="72">
                  <c:v>27.2</c:v>
                </c:pt>
                <c:pt idx="73">
                  <c:v>27.4</c:v>
                </c:pt>
                <c:pt idx="74">
                  <c:v>26.8</c:v>
                </c:pt>
                <c:pt idx="75">
                  <c:v>26.6</c:v>
                </c:pt>
                <c:pt idx="76">
                  <c:v>27.8</c:v>
                </c:pt>
                <c:pt idx="77">
                  <c:v>27.5</c:v>
                </c:pt>
                <c:pt idx="78">
                  <c:v>26.8</c:v>
                </c:pt>
                <c:pt idx="79">
                  <c:v>26.2</c:v>
                </c:pt>
                <c:pt idx="80">
                  <c:v>26.9</c:v>
                </c:pt>
                <c:pt idx="81">
                  <c:v>28</c:v>
                </c:pt>
                <c:pt idx="82">
                  <c:v>27.8</c:v>
                </c:pt>
                <c:pt idx="83">
                  <c:v>25.5</c:v>
                </c:pt>
                <c:pt idx="84">
                  <c:v>26.3</c:v>
                </c:pt>
                <c:pt idx="85">
                  <c:v>26.1</c:v>
                </c:pt>
                <c:pt idx="86">
                  <c:v>28.5</c:v>
                </c:pt>
                <c:pt idx="87">
                  <c:v>28.3</c:v>
                </c:pt>
                <c:pt idx="88">
                  <c:v>28.1</c:v>
                </c:pt>
                <c:pt idx="89">
                  <c:v>27.5</c:v>
                </c:pt>
                <c:pt idx="90">
                  <c:v>27.3</c:v>
                </c:pt>
                <c:pt idx="91">
                  <c:v>27.1</c:v>
                </c:pt>
                <c:pt idx="92">
                  <c:v>26.8</c:v>
                </c:pt>
                <c:pt idx="93">
                  <c:v>28.5</c:v>
                </c:pt>
                <c:pt idx="94">
                  <c:v>27.5</c:v>
                </c:pt>
                <c:pt idx="95">
                  <c:v>27.2</c:v>
                </c:pt>
                <c:pt idx="96">
                  <c:v>25.7</c:v>
                </c:pt>
                <c:pt idx="97">
                  <c:v>29.1</c:v>
                </c:pt>
                <c:pt idx="98">
                  <c:v>29.1</c:v>
                </c:pt>
                <c:pt idx="99">
                  <c:v>27.7</c:v>
                </c:pt>
                <c:pt idx="100">
                  <c:v>27.3</c:v>
                </c:pt>
                <c:pt idx="101">
                  <c:v>28.4</c:v>
                </c:pt>
                <c:pt idx="102">
                  <c:v>28</c:v>
                </c:pt>
                <c:pt idx="103">
                  <c:v>29.1</c:v>
                </c:pt>
                <c:pt idx="104">
                  <c:v>28.7</c:v>
                </c:pt>
                <c:pt idx="105">
                  <c:v>28.5</c:v>
                </c:pt>
                <c:pt idx="106">
                  <c:v>27.8</c:v>
                </c:pt>
                <c:pt idx="107">
                  <c:v>28.2</c:v>
                </c:pt>
                <c:pt idx="108">
                  <c:v>28.3</c:v>
                </c:pt>
                <c:pt idx="109">
                  <c:v>29.4</c:v>
                </c:pt>
                <c:pt idx="110">
                  <c:v>29</c:v>
                </c:pt>
                <c:pt idx="111">
                  <c:v>28.3</c:v>
                </c:pt>
                <c:pt idx="112">
                  <c:v>27.9</c:v>
                </c:pt>
                <c:pt idx="113">
                  <c:v>29.8</c:v>
                </c:pt>
                <c:pt idx="114">
                  <c:v>28.8</c:v>
                </c:pt>
                <c:pt idx="115">
                  <c:v>29.3</c:v>
                </c:pt>
                <c:pt idx="116">
                  <c:v>29.4</c:v>
                </c:pt>
                <c:pt idx="117">
                  <c:v>27.4</c:v>
                </c:pt>
                <c:pt idx="118">
                  <c:v>28.3</c:v>
                </c:pt>
                <c:pt idx="119">
                  <c:v>29.4</c:v>
                </c:pt>
                <c:pt idx="120">
                  <c:v>29.1</c:v>
                </c:pt>
                <c:pt idx="121">
                  <c:v>29.1</c:v>
                </c:pt>
                <c:pt idx="122">
                  <c:v>28.8</c:v>
                </c:pt>
                <c:pt idx="123">
                  <c:v>30</c:v>
                </c:pt>
                <c:pt idx="124">
                  <c:v>27.8</c:v>
                </c:pt>
                <c:pt idx="125">
                  <c:v>29.2</c:v>
                </c:pt>
                <c:pt idx="126">
                  <c:v>29.7</c:v>
                </c:pt>
                <c:pt idx="127">
                  <c:v>30.2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64-4E71-8177-4CDBA7460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7103496"/>
        <c:axId val="2047105544"/>
      </c:scatterChart>
      <c:valAx>
        <c:axId val="2047103496"/>
        <c:scaling>
          <c:orientation val="minMax"/>
          <c:max val="2040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47105544"/>
        <c:crosses val="autoZero"/>
        <c:crossBetween val="midCat"/>
      </c:valAx>
      <c:valAx>
        <c:axId val="2047105544"/>
        <c:scaling>
          <c:orientation val="minMax"/>
          <c:max val="31"/>
          <c:min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47103496"/>
        <c:crosses val="autoZero"/>
        <c:crossBetween val="midCat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in!$B$4</c:f>
              <c:strCache>
                <c:ptCount val="1"/>
                <c:pt idx="0">
                  <c:v>8月の平均気温(℃)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in!$A$5:$A$165</c:f>
              <c:numCache>
                <c:formatCode>General</c:formatCode>
                <c:ptCount val="161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  <c:pt idx="35">
                  <c:v>1915</c:v>
                </c:pt>
                <c:pt idx="36">
                  <c:v>1916</c:v>
                </c:pt>
                <c:pt idx="37">
                  <c:v>1917</c:v>
                </c:pt>
                <c:pt idx="38">
                  <c:v>1918</c:v>
                </c:pt>
                <c:pt idx="39">
                  <c:v>1919</c:v>
                </c:pt>
                <c:pt idx="40">
                  <c:v>1920</c:v>
                </c:pt>
                <c:pt idx="41">
                  <c:v>1921</c:v>
                </c:pt>
                <c:pt idx="42">
                  <c:v>1922</c:v>
                </c:pt>
                <c:pt idx="43">
                  <c:v>1923</c:v>
                </c:pt>
                <c:pt idx="44">
                  <c:v>1924</c:v>
                </c:pt>
                <c:pt idx="45">
                  <c:v>1925</c:v>
                </c:pt>
                <c:pt idx="46">
                  <c:v>1926</c:v>
                </c:pt>
                <c:pt idx="47">
                  <c:v>1927</c:v>
                </c:pt>
                <c:pt idx="48">
                  <c:v>1928</c:v>
                </c:pt>
                <c:pt idx="49">
                  <c:v>1929</c:v>
                </c:pt>
                <c:pt idx="50">
                  <c:v>1930</c:v>
                </c:pt>
                <c:pt idx="51">
                  <c:v>1931</c:v>
                </c:pt>
                <c:pt idx="52">
                  <c:v>1932</c:v>
                </c:pt>
                <c:pt idx="53">
                  <c:v>1933</c:v>
                </c:pt>
                <c:pt idx="54">
                  <c:v>1934</c:v>
                </c:pt>
                <c:pt idx="55">
                  <c:v>1935</c:v>
                </c:pt>
                <c:pt idx="56">
                  <c:v>1936</c:v>
                </c:pt>
                <c:pt idx="57">
                  <c:v>1937</c:v>
                </c:pt>
                <c:pt idx="58">
                  <c:v>1938</c:v>
                </c:pt>
                <c:pt idx="59">
                  <c:v>1939</c:v>
                </c:pt>
                <c:pt idx="60">
                  <c:v>1940</c:v>
                </c:pt>
                <c:pt idx="61">
                  <c:v>1941</c:v>
                </c:pt>
                <c:pt idx="62">
                  <c:v>1942</c:v>
                </c:pt>
                <c:pt idx="63">
                  <c:v>1943</c:v>
                </c:pt>
                <c:pt idx="64">
                  <c:v>1944</c:v>
                </c:pt>
                <c:pt idx="65">
                  <c:v>1945</c:v>
                </c:pt>
                <c:pt idx="66">
                  <c:v>1946</c:v>
                </c:pt>
                <c:pt idx="67">
                  <c:v>1947</c:v>
                </c:pt>
                <c:pt idx="68">
                  <c:v>1948</c:v>
                </c:pt>
                <c:pt idx="69">
                  <c:v>1949</c:v>
                </c:pt>
                <c:pt idx="70">
                  <c:v>1950</c:v>
                </c:pt>
                <c:pt idx="71">
                  <c:v>1951</c:v>
                </c:pt>
                <c:pt idx="72">
                  <c:v>1952</c:v>
                </c:pt>
                <c:pt idx="73">
                  <c:v>1953</c:v>
                </c:pt>
                <c:pt idx="74">
                  <c:v>1954</c:v>
                </c:pt>
                <c:pt idx="75">
                  <c:v>1955</c:v>
                </c:pt>
                <c:pt idx="76">
                  <c:v>1956</c:v>
                </c:pt>
                <c:pt idx="77">
                  <c:v>1957</c:v>
                </c:pt>
                <c:pt idx="78">
                  <c:v>1958</c:v>
                </c:pt>
                <c:pt idx="79">
                  <c:v>1959</c:v>
                </c:pt>
                <c:pt idx="80">
                  <c:v>1960</c:v>
                </c:pt>
                <c:pt idx="81">
                  <c:v>1961</c:v>
                </c:pt>
                <c:pt idx="82">
                  <c:v>1962</c:v>
                </c:pt>
                <c:pt idx="83">
                  <c:v>1963</c:v>
                </c:pt>
                <c:pt idx="84">
                  <c:v>1964</c:v>
                </c:pt>
                <c:pt idx="85">
                  <c:v>1965</c:v>
                </c:pt>
                <c:pt idx="86">
                  <c:v>1966</c:v>
                </c:pt>
                <c:pt idx="87">
                  <c:v>1967</c:v>
                </c:pt>
                <c:pt idx="88">
                  <c:v>1968</c:v>
                </c:pt>
                <c:pt idx="89">
                  <c:v>1969</c:v>
                </c:pt>
                <c:pt idx="90">
                  <c:v>1970</c:v>
                </c:pt>
                <c:pt idx="91">
                  <c:v>1971</c:v>
                </c:pt>
                <c:pt idx="92">
                  <c:v>1972</c:v>
                </c:pt>
                <c:pt idx="93">
                  <c:v>1973</c:v>
                </c:pt>
                <c:pt idx="94">
                  <c:v>1974</c:v>
                </c:pt>
                <c:pt idx="95">
                  <c:v>1975</c:v>
                </c:pt>
                <c:pt idx="96">
                  <c:v>1976</c:v>
                </c:pt>
                <c:pt idx="97">
                  <c:v>1977</c:v>
                </c:pt>
                <c:pt idx="98">
                  <c:v>1978</c:v>
                </c:pt>
                <c:pt idx="99">
                  <c:v>1979</c:v>
                </c:pt>
                <c:pt idx="100">
                  <c:v>1980</c:v>
                </c:pt>
                <c:pt idx="101">
                  <c:v>1981</c:v>
                </c:pt>
                <c:pt idx="102">
                  <c:v>1982</c:v>
                </c:pt>
                <c:pt idx="103">
                  <c:v>1983</c:v>
                </c:pt>
                <c:pt idx="104">
                  <c:v>1984</c:v>
                </c:pt>
                <c:pt idx="105">
                  <c:v>1985</c:v>
                </c:pt>
                <c:pt idx="106">
                  <c:v>1986</c:v>
                </c:pt>
                <c:pt idx="107">
                  <c:v>1987</c:v>
                </c:pt>
                <c:pt idx="108">
                  <c:v>1988</c:v>
                </c:pt>
                <c:pt idx="109">
                  <c:v>1989</c:v>
                </c:pt>
                <c:pt idx="110">
                  <c:v>1990</c:v>
                </c:pt>
                <c:pt idx="111">
                  <c:v>1991</c:v>
                </c:pt>
                <c:pt idx="112">
                  <c:v>1992</c:v>
                </c:pt>
                <c:pt idx="113">
                  <c:v>1993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  <c:pt idx="117">
                  <c:v>1997</c:v>
                </c:pt>
                <c:pt idx="118">
                  <c:v>1998</c:v>
                </c:pt>
                <c:pt idx="119">
                  <c:v>1999</c:v>
                </c:pt>
                <c:pt idx="120">
                  <c:v>2000</c:v>
                </c:pt>
                <c:pt idx="121">
                  <c:v>2001</c:v>
                </c:pt>
                <c:pt idx="122">
                  <c:v>2002</c:v>
                </c:pt>
                <c:pt idx="123">
                  <c:v>2003</c:v>
                </c:pt>
                <c:pt idx="124">
                  <c:v>2004</c:v>
                </c:pt>
                <c:pt idx="125">
                  <c:v>2005</c:v>
                </c:pt>
                <c:pt idx="126">
                  <c:v>2006</c:v>
                </c:pt>
                <c:pt idx="127">
                  <c:v>2007</c:v>
                </c:pt>
                <c:pt idx="128">
                  <c:v>2008</c:v>
                </c:pt>
                <c:pt idx="129">
                  <c:v>2009</c:v>
                </c:pt>
                <c:pt idx="130">
                  <c:v>2010</c:v>
                </c:pt>
                <c:pt idx="131">
                  <c:v>2011</c:v>
                </c:pt>
                <c:pt idx="132">
                  <c:v>2012</c:v>
                </c:pt>
                <c:pt idx="133">
                  <c:v>2013</c:v>
                </c:pt>
                <c:pt idx="134">
                  <c:v>2014</c:v>
                </c:pt>
                <c:pt idx="135">
                  <c:v>2015</c:v>
                </c:pt>
                <c:pt idx="136">
                  <c:v>2016</c:v>
                </c:pt>
                <c:pt idx="137">
                  <c:v>2017</c:v>
                </c:pt>
                <c:pt idx="138">
                  <c:v>2018</c:v>
                </c:pt>
                <c:pt idx="139">
                  <c:v>2019</c:v>
                </c:pt>
                <c:pt idx="140">
                  <c:v>2020</c:v>
                </c:pt>
                <c:pt idx="141">
                  <c:v>2021</c:v>
                </c:pt>
                <c:pt idx="142">
                  <c:v>2022</c:v>
                </c:pt>
                <c:pt idx="143">
                  <c:v>2023</c:v>
                </c:pt>
                <c:pt idx="144">
                  <c:v>2024</c:v>
                </c:pt>
                <c:pt idx="145">
                  <c:v>2025</c:v>
                </c:pt>
                <c:pt idx="146">
                  <c:v>2026</c:v>
                </c:pt>
                <c:pt idx="147">
                  <c:v>2027</c:v>
                </c:pt>
                <c:pt idx="148">
                  <c:v>2028</c:v>
                </c:pt>
                <c:pt idx="149">
                  <c:v>2029</c:v>
                </c:pt>
                <c:pt idx="150">
                  <c:v>2030</c:v>
                </c:pt>
                <c:pt idx="151">
                  <c:v>2031</c:v>
                </c:pt>
                <c:pt idx="152">
                  <c:v>2032</c:v>
                </c:pt>
                <c:pt idx="153">
                  <c:v>2033</c:v>
                </c:pt>
                <c:pt idx="154">
                  <c:v>2034</c:v>
                </c:pt>
                <c:pt idx="155">
                  <c:v>2035</c:v>
                </c:pt>
                <c:pt idx="156">
                  <c:v>2036</c:v>
                </c:pt>
                <c:pt idx="157">
                  <c:v>2037</c:v>
                </c:pt>
                <c:pt idx="158">
                  <c:v>2038</c:v>
                </c:pt>
                <c:pt idx="159">
                  <c:v>2039</c:v>
                </c:pt>
                <c:pt idx="160">
                  <c:v>2040</c:v>
                </c:pt>
              </c:numCache>
            </c:numRef>
          </c:xVal>
          <c:yVal>
            <c:numRef>
              <c:f>in!$B$5:$B$165</c:f>
              <c:numCache>
                <c:formatCode>General</c:formatCode>
                <c:ptCount val="161"/>
                <c:pt idx="17">
                  <c:v>27.7</c:v>
                </c:pt>
                <c:pt idx="18">
                  <c:v>27.9</c:v>
                </c:pt>
                <c:pt idx="19">
                  <c:v>26.4</c:v>
                </c:pt>
                <c:pt idx="20">
                  <c:v>27.5</c:v>
                </c:pt>
                <c:pt idx="21">
                  <c:v>27</c:v>
                </c:pt>
                <c:pt idx="22">
                  <c:v>25.4</c:v>
                </c:pt>
                <c:pt idx="23">
                  <c:v>27.5</c:v>
                </c:pt>
                <c:pt idx="24">
                  <c:v>27.3</c:v>
                </c:pt>
                <c:pt idx="25">
                  <c:v>24.5</c:v>
                </c:pt>
                <c:pt idx="26">
                  <c:v>26.6</c:v>
                </c:pt>
                <c:pt idx="27">
                  <c:v>26.7</c:v>
                </c:pt>
                <c:pt idx="28">
                  <c:v>26.2</c:v>
                </c:pt>
                <c:pt idx="29">
                  <c:v>27.1</c:v>
                </c:pt>
                <c:pt idx="30">
                  <c:v>25.9</c:v>
                </c:pt>
                <c:pt idx="31">
                  <c:v>26.3</c:v>
                </c:pt>
                <c:pt idx="32">
                  <c:v>26.9</c:v>
                </c:pt>
                <c:pt idx="33">
                  <c:v>26</c:v>
                </c:pt>
                <c:pt idx="34">
                  <c:v>27.9</c:v>
                </c:pt>
                <c:pt idx="35">
                  <c:v>27</c:v>
                </c:pt>
                <c:pt idx="36">
                  <c:v>27.4</c:v>
                </c:pt>
                <c:pt idx="37">
                  <c:v>26.1</c:v>
                </c:pt>
                <c:pt idx="38">
                  <c:v>26.4</c:v>
                </c:pt>
                <c:pt idx="39">
                  <c:v>26.2</c:v>
                </c:pt>
                <c:pt idx="40">
                  <c:v>26.2</c:v>
                </c:pt>
                <c:pt idx="41">
                  <c:v>27.4</c:v>
                </c:pt>
                <c:pt idx="42">
                  <c:v>28.5</c:v>
                </c:pt>
                <c:pt idx="43">
                  <c:v>28.5</c:v>
                </c:pt>
                <c:pt idx="44">
                  <c:v>27.5</c:v>
                </c:pt>
                <c:pt idx="45">
                  <c:v>26.8</c:v>
                </c:pt>
                <c:pt idx="46">
                  <c:v>27.9</c:v>
                </c:pt>
                <c:pt idx="47">
                  <c:v>26.6</c:v>
                </c:pt>
                <c:pt idx="48">
                  <c:v>25.9</c:v>
                </c:pt>
                <c:pt idx="49">
                  <c:v>28</c:v>
                </c:pt>
                <c:pt idx="50">
                  <c:v>28.3</c:v>
                </c:pt>
                <c:pt idx="51">
                  <c:v>27.4</c:v>
                </c:pt>
                <c:pt idx="52">
                  <c:v>26.9</c:v>
                </c:pt>
                <c:pt idx="53">
                  <c:v>27.3</c:v>
                </c:pt>
                <c:pt idx="54">
                  <c:v>27.7</c:v>
                </c:pt>
                <c:pt idx="55">
                  <c:v>26.4</c:v>
                </c:pt>
                <c:pt idx="56">
                  <c:v>26.7</c:v>
                </c:pt>
                <c:pt idx="57">
                  <c:v>28.1</c:v>
                </c:pt>
                <c:pt idx="58">
                  <c:v>26.5</c:v>
                </c:pt>
                <c:pt idx="59">
                  <c:v>27.4</c:v>
                </c:pt>
                <c:pt idx="60">
                  <c:v>25.7</c:v>
                </c:pt>
                <c:pt idx="61">
                  <c:v>26.4</c:v>
                </c:pt>
                <c:pt idx="62">
                  <c:v>27.7</c:v>
                </c:pt>
                <c:pt idx="63">
                  <c:v>26.8</c:v>
                </c:pt>
                <c:pt idx="64">
                  <c:v>27.3</c:v>
                </c:pt>
                <c:pt idx="65">
                  <c:v>27.4</c:v>
                </c:pt>
                <c:pt idx="66">
                  <c:v>26.9</c:v>
                </c:pt>
                <c:pt idx="67">
                  <c:v>28.1</c:v>
                </c:pt>
                <c:pt idx="68">
                  <c:v>27.1</c:v>
                </c:pt>
                <c:pt idx="69">
                  <c:v>26.7</c:v>
                </c:pt>
                <c:pt idx="70">
                  <c:v>27.1</c:v>
                </c:pt>
                <c:pt idx="71">
                  <c:v>28</c:v>
                </c:pt>
                <c:pt idx="72">
                  <c:v>27.5</c:v>
                </c:pt>
                <c:pt idx="73">
                  <c:v>27</c:v>
                </c:pt>
                <c:pt idx="74">
                  <c:v>27.5</c:v>
                </c:pt>
                <c:pt idx="75">
                  <c:v>27.1</c:v>
                </c:pt>
                <c:pt idx="76">
                  <c:v>26.3</c:v>
                </c:pt>
                <c:pt idx="77">
                  <c:v>27.1</c:v>
                </c:pt>
                <c:pt idx="78">
                  <c:v>26.8</c:v>
                </c:pt>
                <c:pt idx="79">
                  <c:v>27.2</c:v>
                </c:pt>
                <c:pt idx="80">
                  <c:v>27.5</c:v>
                </c:pt>
                <c:pt idx="81">
                  <c:v>27.9</c:v>
                </c:pt>
                <c:pt idx="82">
                  <c:v>27.6</c:v>
                </c:pt>
                <c:pt idx="83">
                  <c:v>27</c:v>
                </c:pt>
                <c:pt idx="84">
                  <c:v>28.5</c:v>
                </c:pt>
                <c:pt idx="85">
                  <c:v>27.2</c:v>
                </c:pt>
                <c:pt idx="86">
                  <c:v>27.7</c:v>
                </c:pt>
                <c:pt idx="87">
                  <c:v>28.2</c:v>
                </c:pt>
                <c:pt idx="88">
                  <c:v>26.6</c:v>
                </c:pt>
                <c:pt idx="89">
                  <c:v>27.2</c:v>
                </c:pt>
                <c:pt idx="90">
                  <c:v>27.4</c:v>
                </c:pt>
                <c:pt idx="91">
                  <c:v>26.8</c:v>
                </c:pt>
                <c:pt idx="92">
                  <c:v>26.6</c:v>
                </c:pt>
                <c:pt idx="93">
                  <c:v>27.8</c:v>
                </c:pt>
                <c:pt idx="94">
                  <c:v>27.5</c:v>
                </c:pt>
                <c:pt idx="95">
                  <c:v>26.8</c:v>
                </c:pt>
                <c:pt idx="96">
                  <c:v>26.2</c:v>
                </c:pt>
                <c:pt idx="97">
                  <c:v>26.9</c:v>
                </c:pt>
                <c:pt idx="98">
                  <c:v>28</c:v>
                </c:pt>
                <c:pt idx="99">
                  <c:v>27.8</c:v>
                </c:pt>
                <c:pt idx="100">
                  <c:v>25.5</c:v>
                </c:pt>
                <c:pt idx="101">
                  <c:v>26.3</c:v>
                </c:pt>
                <c:pt idx="102">
                  <c:v>26.1</c:v>
                </c:pt>
                <c:pt idx="103">
                  <c:v>28.5</c:v>
                </c:pt>
                <c:pt idx="104">
                  <c:v>28.3</c:v>
                </c:pt>
                <c:pt idx="105">
                  <c:v>28.1</c:v>
                </c:pt>
                <c:pt idx="106">
                  <c:v>27.5</c:v>
                </c:pt>
                <c:pt idx="107">
                  <c:v>27.3</c:v>
                </c:pt>
                <c:pt idx="108">
                  <c:v>27.1</c:v>
                </c:pt>
                <c:pt idx="109">
                  <c:v>26.8</c:v>
                </c:pt>
                <c:pt idx="110">
                  <c:v>28.5</c:v>
                </c:pt>
                <c:pt idx="111">
                  <c:v>27.5</c:v>
                </c:pt>
                <c:pt idx="112">
                  <c:v>27.2</c:v>
                </c:pt>
                <c:pt idx="113">
                  <c:v>25.7</c:v>
                </c:pt>
                <c:pt idx="114">
                  <c:v>29.1</c:v>
                </c:pt>
                <c:pt idx="115">
                  <c:v>29.1</c:v>
                </c:pt>
                <c:pt idx="116">
                  <c:v>27.7</c:v>
                </c:pt>
                <c:pt idx="117">
                  <c:v>27.3</c:v>
                </c:pt>
                <c:pt idx="118">
                  <c:v>28.4</c:v>
                </c:pt>
                <c:pt idx="119">
                  <c:v>28</c:v>
                </c:pt>
                <c:pt idx="120">
                  <c:v>29.1</c:v>
                </c:pt>
                <c:pt idx="121">
                  <c:v>28.7</c:v>
                </c:pt>
                <c:pt idx="122">
                  <c:v>28.5</c:v>
                </c:pt>
                <c:pt idx="123">
                  <c:v>27.8</c:v>
                </c:pt>
                <c:pt idx="124">
                  <c:v>28.2</c:v>
                </c:pt>
                <c:pt idx="125">
                  <c:v>28.3</c:v>
                </c:pt>
                <c:pt idx="126">
                  <c:v>29.4</c:v>
                </c:pt>
                <c:pt idx="127">
                  <c:v>29</c:v>
                </c:pt>
                <c:pt idx="128">
                  <c:v>28.3</c:v>
                </c:pt>
                <c:pt idx="129">
                  <c:v>27.9</c:v>
                </c:pt>
                <c:pt idx="130">
                  <c:v>29.8</c:v>
                </c:pt>
                <c:pt idx="131">
                  <c:v>28.8</c:v>
                </c:pt>
                <c:pt idx="132">
                  <c:v>29.3</c:v>
                </c:pt>
                <c:pt idx="133">
                  <c:v>29.4</c:v>
                </c:pt>
                <c:pt idx="134">
                  <c:v>27.4</c:v>
                </c:pt>
                <c:pt idx="135">
                  <c:v>28.3</c:v>
                </c:pt>
                <c:pt idx="136">
                  <c:v>29.4</c:v>
                </c:pt>
                <c:pt idx="137">
                  <c:v>29.1</c:v>
                </c:pt>
                <c:pt idx="138">
                  <c:v>29.1</c:v>
                </c:pt>
                <c:pt idx="139">
                  <c:v>28.8</c:v>
                </c:pt>
                <c:pt idx="140">
                  <c:v>30</c:v>
                </c:pt>
                <c:pt idx="141">
                  <c:v>27.8</c:v>
                </c:pt>
                <c:pt idx="142">
                  <c:v>29.2</c:v>
                </c:pt>
                <c:pt idx="143">
                  <c:v>29.7</c:v>
                </c:pt>
                <c:pt idx="144">
                  <c:v>30.2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3A-4EA6-9654-FEE40F4B0E6D}"/>
            </c:ext>
          </c:extLst>
        </c:ser>
        <c:ser>
          <c:idx val="1"/>
          <c:order val="1"/>
          <c:tx>
            <c:strRef>
              <c:f>in!$C$4</c:f>
              <c:strCache>
                <c:ptCount val="1"/>
                <c:pt idx="0">
                  <c:v>ax+b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in!$A$5:$A$165</c:f>
              <c:numCache>
                <c:formatCode>General</c:formatCode>
                <c:ptCount val="161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  <c:pt idx="35">
                  <c:v>1915</c:v>
                </c:pt>
                <c:pt idx="36">
                  <c:v>1916</c:v>
                </c:pt>
                <c:pt idx="37">
                  <c:v>1917</c:v>
                </c:pt>
                <c:pt idx="38">
                  <c:v>1918</c:v>
                </c:pt>
                <c:pt idx="39">
                  <c:v>1919</c:v>
                </c:pt>
                <c:pt idx="40">
                  <c:v>1920</c:v>
                </c:pt>
                <c:pt idx="41">
                  <c:v>1921</c:v>
                </c:pt>
                <c:pt idx="42">
                  <c:v>1922</c:v>
                </c:pt>
                <c:pt idx="43">
                  <c:v>1923</c:v>
                </c:pt>
                <c:pt idx="44">
                  <c:v>1924</c:v>
                </c:pt>
                <c:pt idx="45">
                  <c:v>1925</c:v>
                </c:pt>
                <c:pt idx="46">
                  <c:v>1926</c:v>
                </c:pt>
                <c:pt idx="47">
                  <c:v>1927</c:v>
                </c:pt>
                <c:pt idx="48">
                  <c:v>1928</c:v>
                </c:pt>
                <c:pt idx="49">
                  <c:v>1929</c:v>
                </c:pt>
                <c:pt idx="50">
                  <c:v>1930</c:v>
                </c:pt>
                <c:pt idx="51">
                  <c:v>1931</c:v>
                </c:pt>
                <c:pt idx="52">
                  <c:v>1932</c:v>
                </c:pt>
                <c:pt idx="53">
                  <c:v>1933</c:v>
                </c:pt>
                <c:pt idx="54">
                  <c:v>1934</c:v>
                </c:pt>
                <c:pt idx="55">
                  <c:v>1935</c:v>
                </c:pt>
                <c:pt idx="56">
                  <c:v>1936</c:v>
                </c:pt>
                <c:pt idx="57">
                  <c:v>1937</c:v>
                </c:pt>
                <c:pt idx="58">
                  <c:v>1938</c:v>
                </c:pt>
                <c:pt idx="59">
                  <c:v>1939</c:v>
                </c:pt>
                <c:pt idx="60">
                  <c:v>1940</c:v>
                </c:pt>
                <c:pt idx="61">
                  <c:v>1941</c:v>
                </c:pt>
                <c:pt idx="62">
                  <c:v>1942</c:v>
                </c:pt>
                <c:pt idx="63">
                  <c:v>1943</c:v>
                </c:pt>
                <c:pt idx="64">
                  <c:v>1944</c:v>
                </c:pt>
                <c:pt idx="65">
                  <c:v>1945</c:v>
                </c:pt>
                <c:pt idx="66">
                  <c:v>1946</c:v>
                </c:pt>
                <c:pt idx="67">
                  <c:v>1947</c:v>
                </c:pt>
                <c:pt idx="68">
                  <c:v>1948</c:v>
                </c:pt>
                <c:pt idx="69">
                  <c:v>1949</c:v>
                </c:pt>
                <c:pt idx="70">
                  <c:v>1950</c:v>
                </c:pt>
                <c:pt idx="71">
                  <c:v>1951</c:v>
                </c:pt>
                <c:pt idx="72">
                  <c:v>1952</c:v>
                </c:pt>
                <c:pt idx="73">
                  <c:v>1953</c:v>
                </c:pt>
                <c:pt idx="74">
                  <c:v>1954</c:v>
                </c:pt>
                <c:pt idx="75">
                  <c:v>1955</c:v>
                </c:pt>
                <c:pt idx="76">
                  <c:v>1956</c:v>
                </c:pt>
                <c:pt idx="77">
                  <c:v>1957</c:v>
                </c:pt>
                <c:pt idx="78">
                  <c:v>1958</c:v>
                </c:pt>
                <c:pt idx="79">
                  <c:v>1959</c:v>
                </c:pt>
                <c:pt idx="80">
                  <c:v>1960</c:v>
                </c:pt>
                <c:pt idx="81">
                  <c:v>1961</c:v>
                </c:pt>
                <c:pt idx="82">
                  <c:v>1962</c:v>
                </c:pt>
                <c:pt idx="83">
                  <c:v>1963</c:v>
                </c:pt>
                <c:pt idx="84">
                  <c:v>1964</c:v>
                </c:pt>
                <c:pt idx="85">
                  <c:v>1965</c:v>
                </c:pt>
                <c:pt idx="86">
                  <c:v>1966</c:v>
                </c:pt>
                <c:pt idx="87">
                  <c:v>1967</c:v>
                </c:pt>
                <c:pt idx="88">
                  <c:v>1968</c:v>
                </c:pt>
                <c:pt idx="89">
                  <c:v>1969</c:v>
                </c:pt>
                <c:pt idx="90">
                  <c:v>1970</c:v>
                </c:pt>
                <c:pt idx="91">
                  <c:v>1971</c:v>
                </c:pt>
                <c:pt idx="92">
                  <c:v>1972</c:v>
                </c:pt>
                <c:pt idx="93">
                  <c:v>1973</c:v>
                </c:pt>
                <c:pt idx="94">
                  <c:v>1974</c:v>
                </c:pt>
                <c:pt idx="95">
                  <c:v>1975</c:v>
                </c:pt>
                <c:pt idx="96">
                  <c:v>1976</c:v>
                </c:pt>
                <c:pt idx="97">
                  <c:v>1977</c:v>
                </c:pt>
                <c:pt idx="98">
                  <c:v>1978</c:v>
                </c:pt>
                <c:pt idx="99">
                  <c:v>1979</c:v>
                </c:pt>
                <c:pt idx="100">
                  <c:v>1980</c:v>
                </c:pt>
                <c:pt idx="101">
                  <c:v>1981</c:v>
                </c:pt>
                <c:pt idx="102">
                  <c:v>1982</c:v>
                </c:pt>
                <c:pt idx="103">
                  <c:v>1983</c:v>
                </c:pt>
                <c:pt idx="104">
                  <c:v>1984</c:v>
                </c:pt>
                <c:pt idx="105">
                  <c:v>1985</c:v>
                </c:pt>
                <c:pt idx="106">
                  <c:v>1986</c:v>
                </c:pt>
                <c:pt idx="107">
                  <c:v>1987</c:v>
                </c:pt>
                <c:pt idx="108">
                  <c:v>1988</c:v>
                </c:pt>
                <c:pt idx="109">
                  <c:v>1989</c:v>
                </c:pt>
                <c:pt idx="110">
                  <c:v>1990</c:v>
                </c:pt>
                <c:pt idx="111">
                  <c:v>1991</c:v>
                </c:pt>
                <c:pt idx="112">
                  <c:v>1992</c:v>
                </c:pt>
                <c:pt idx="113">
                  <c:v>1993</c:v>
                </c:pt>
                <c:pt idx="114">
                  <c:v>1994</c:v>
                </c:pt>
                <c:pt idx="115">
                  <c:v>1995</c:v>
                </c:pt>
                <c:pt idx="116">
                  <c:v>1996</c:v>
                </c:pt>
                <c:pt idx="117">
                  <c:v>1997</c:v>
                </c:pt>
                <c:pt idx="118">
                  <c:v>1998</c:v>
                </c:pt>
                <c:pt idx="119">
                  <c:v>1999</c:v>
                </c:pt>
                <c:pt idx="120">
                  <c:v>2000</c:v>
                </c:pt>
                <c:pt idx="121">
                  <c:v>2001</c:v>
                </c:pt>
                <c:pt idx="122">
                  <c:v>2002</c:v>
                </c:pt>
                <c:pt idx="123">
                  <c:v>2003</c:v>
                </c:pt>
                <c:pt idx="124">
                  <c:v>2004</c:v>
                </c:pt>
                <c:pt idx="125">
                  <c:v>2005</c:v>
                </c:pt>
                <c:pt idx="126">
                  <c:v>2006</c:v>
                </c:pt>
                <c:pt idx="127">
                  <c:v>2007</c:v>
                </c:pt>
                <c:pt idx="128">
                  <c:v>2008</c:v>
                </c:pt>
                <c:pt idx="129">
                  <c:v>2009</c:v>
                </c:pt>
                <c:pt idx="130">
                  <c:v>2010</c:v>
                </c:pt>
                <c:pt idx="131">
                  <c:v>2011</c:v>
                </c:pt>
                <c:pt idx="132">
                  <c:v>2012</c:v>
                </c:pt>
                <c:pt idx="133">
                  <c:v>2013</c:v>
                </c:pt>
                <c:pt idx="134">
                  <c:v>2014</c:v>
                </c:pt>
                <c:pt idx="135">
                  <c:v>2015</c:v>
                </c:pt>
                <c:pt idx="136">
                  <c:v>2016</c:v>
                </c:pt>
                <c:pt idx="137">
                  <c:v>2017</c:v>
                </c:pt>
                <c:pt idx="138">
                  <c:v>2018</c:v>
                </c:pt>
                <c:pt idx="139">
                  <c:v>2019</c:v>
                </c:pt>
                <c:pt idx="140">
                  <c:v>2020</c:v>
                </c:pt>
                <c:pt idx="141">
                  <c:v>2021</c:v>
                </c:pt>
                <c:pt idx="142">
                  <c:v>2022</c:v>
                </c:pt>
                <c:pt idx="143">
                  <c:v>2023</c:v>
                </c:pt>
                <c:pt idx="144">
                  <c:v>2024</c:v>
                </c:pt>
                <c:pt idx="145">
                  <c:v>2025</c:v>
                </c:pt>
                <c:pt idx="146">
                  <c:v>2026</c:v>
                </c:pt>
                <c:pt idx="147">
                  <c:v>2027</c:v>
                </c:pt>
                <c:pt idx="148">
                  <c:v>2028</c:v>
                </c:pt>
                <c:pt idx="149">
                  <c:v>2029</c:v>
                </c:pt>
                <c:pt idx="150">
                  <c:v>2030</c:v>
                </c:pt>
                <c:pt idx="151">
                  <c:v>2031</c:v>
                </c:pt>
                <c:pt idx="152">
                  <c:v>2032</c:v>
                </c:pt>
                <c:pt idx="153">
                  <c:v>2033</c:v>
                </c:pt>
                <c:pt idx="154">
                  <c:v>2034</c:v>
                </c:pt>
                <c:pt idx="155">
                  <c:v>2035</c:v>
                </c:pt>
                <c:pt idx="156">
                  <c:v>2036</c:v>
                </c:pt>
                <c:pt idx="157">
                  <c:v>2037</c:v>
                </c:pt>
                <c:pt idx="158">
                  <c:v>2038</c:v>
                </c:pt>
                <c:pt idx="159">
                  <c:v>2039</c:v>
                </c:pt>
                <c:pt idx="160">
                  <c:v>2040</c:v>
                </c:pt>
              </c:numCache>
            </c:numRef>
          </c:xVal>
          <c:yVal>
            <c:numRef>
              <c:f>in!$C$5:$C$165</c:f>
              <c:numCache>
                <c:formatCode>0.0_ </c:formatCode>
                <c:ptCount val="161"/>
                <c:pt idx="0">
                  <c:v>26.13372121635232</c:v>
                </c:pt>
                <c:pt idx="1">
                  <c:v>26.150722738509437</c:v>
                </c:pt>
                <c:pt idx="2">
                  <c:v>26.167724260666549</c:v>
                </c:pt>
                <c:pt idx="3">
                  <c:v>26.184725782823662</c:v>
                </c:pt>
                <c:pt idx="4">
                  <c:v>26.201727304980778</c:v>
                </c:pt>
                <c:pt idx="5">
                  <c:v>26.218728827137895</c:v>
                </c:pt>
                <c:pt idx="6">
                  <c:v>26.235730349295004</c:v>
                </c:pt>
                <c:pt idx="7">
                  <c:v>26.25273187145212</c:v>
                </c:pt>
                <c:pt idx="8">
                  <c:v>26.269733393609236</c:v>
                </c:pt>
                <c:pt idx="9">
                  <c:v>26.286734915766345</c:v>
                </c:pt>
                <c:pt idx="10">
                  <c:v>26.303736437923462</c:v>
                </c:pt>
                <c:pt idx="11">
                  <c:v>26.320737960080578</c:v>
                </c:pt>
                <c:pt idx="12">
                  <c:v>26.337739482237694</c:v>
                </c:pt>
                <c:pt idx="13">
                  <c:v>26.354741004394803</c:v>
                </c:pt>
                <c:pt idx="14">
                  <c:v>26.37174252655192</c:v>
                </c:pt>
                <c:pt idx="15">
                  <c:v>26.388744048709036</c:v>
                </c:pt>
                <c:pt idx="16">
                  <c:v>26.405745570866145</c:v>
                </c:pt>
                <c:pt idx="17">
                  <c:v>26.422747093023261</c:v>
                </c:pt>
                <c:pt idx="18">
                  <c:v>26.439748615180378</c:v>
                </c:pt>
                <c:pt idx="19">
                  <c:v>26.456750137337487</c:v>
                </c:pt>
                <c:pt idx="20">
                  <c:v>26.473751659494603</c:v>
                </c:pt>
                <c:pt idx="21">
                  <c:v>26.490753181651719</c:v>
                </c:pt>
                <c:pt idx="22">
                  <c:v>26.507754703808828</c:v>
                </c:pt>
                <c:pt idx="23">
                  <c:v>26.524756225965945</c:v>
                </c:pt>
                <c:pt idx="24">
                  <c:v>26.541757748123061</c:v>
                </c:pt>
                <c:pt idx="25">
                  <c:v>26.558759270280177</c:v>
                </c:pt>
                <c:pt idx="26">
                  <c:v>26.575760792437286</c:v>
                </c:pt>
                <c:pt idx="27">
                  <c:v>26.592762314594403</c:v>
                </c:pt>
                <c:pt idx="28">
                  <c:v>26.609763836751519</c:v>
                </c:pt>
                <c:pt idx="29">
                  <c:v>26.626765358908628</c:v>
                </c:pt>
                <c:pt idx="30">
                  <c:v>26.643766881065744</c:v>
                </c:pt>
                <c:pt idx="31">
                  <c:v>26.66076840322286</c:v>
                </c:pt>
                <c:pt idx="32">
                  <c:v>26.67776992537997</c:v>
                </c:pt>
                <c:pt idx="33">
                  <c:v>26.694771447537086</c:v>
                </c:pt>
                <c:pt idx="34">
                  <c:v>26.711772969694202</c:v>
                </c:pt>
                <c:pt idx="35">
                  <c:v>26.728774491851318</c:v>
                </c:pt>
                <c:pt idx="36">
                  <c:v>26.745776014008428</c:v>
                </c:pt>
                <c:pt idx="37">
                  <c:v>26.762777536165544</c:v>
                </c:pt>
                <c:pt idx="38">
                  <c:v>26.77977905832266</c:v>
                </c:pt>
                <c:pt idx="39">
                  <c:v>26.796780580479769</c:v>
                </c:pt>
                <c:pt idx="40">
                  <c:v>26.813782102636885</c:v>
                </c:pt>
                <c:pt idx="41">
                  <c:v>26.830783624794002</c:v>
                </c:pt>
                <c:pt idx="42">
                  <c:v>26.847785146951111</c:v>
                </c:pt>
                <c:pt idx="43">
                  <c:v>26.864786669108227</c:v>
                </c:pt>
                <c:pt idx="44">
                  <c:v>26.881788191265343</c:v>
                </c:pt>
                <c:pt idx="45">
                  <c:v>26.898789713422453</c:v>
                </c:pt>
                <c:pt idx="46">
                  <c:v>26.915791235579569</c:v>
                </c:pt>
                <c:pt idx="47">
                  <c:v>26.932792757736685</c:v>
                </c:pt>
                <c:pt idx="48">
                  <c:v>26.949794279893801</c:v>
                </c:pt>
                <c:pt idx="49">
                  <c:v>26.96679580205091</c:v>
                </c:pt>
                <c:pt idx="50">
                  <c:v>26.983797324208027</c:v>
                </c:pt>
                <c:pt idx="51">
                  <c:v>27.000798846365143</c:v>
                </c:pt>
                <c:pt idx="52">
                  <c:v>27.017800368522252</c:v>
                </c:pt>
                <c:pt idx="53">
                  <c:v>27.034801890679368</c:v>
                </c:pt>
                <c:pt idx="54">
                  <c:v>27.051803412836485</c:v>
                </c:pt>
                <c:pt idx="55">
                  <c:v>27.068804934993594</c:v>
                </c:pt>
                <c:pt idx="56">
                  <c:v>27.08580645715071</c:v>
                </c:pt>
                <c:pt idx="57">
                  <c:v>27.102807979307826</c:v>
                </c:pt>
                <c:pt idx="58">
                  <c:v>27.119809501464943</c:v>
                </c:pt>
                <c:pt idx="59">
                  <c:v>27.136811023622052</c:v>
                </c:pt>
                <c:pt idx="60">
                  <c:v>27.153812545779168</c:v>
                </c:pt>
                <c:pt idx="61">
                  <c:v>27.170814067936284</c:v>
                </c:pt>
                <c:pt idx="62">
                  <c:v>27.187815590093393</c:v>
                </c:pt>
                <c:pt idx="63">
                  <c:v>27.20481711225051</c:v>
                </c:pt>
                <c:pt idx="64">
                  <c:v>27.221818634407626</c:v>
                </c:pt>
                <c:pt idx="65">
                  <c:v>27.238820156564735</c:v>
                </c:pt>
                <c:pt idx="66">
                  <c:v>27.255821678721851</c:v>
                </c:pt>
                <c:pt idx="67">
                  <c:v>27.272823200878967</c:v>
                </c:pt>
                <c:pt idx="68">
                  <c:v>27.289824723036077</c:v>
                </c:pt>
                <c:pt idx="69">
                  <c:v>27.306826245193193</c:v>
                </c:pt>
                <c:pt idx="70">
                  <c:v>27.323827767350309</c:v>
                </c:pt>
                <c:pt idx="71">
                  <c:v>27.340829289507425</c:v>
                </c:pt>
                <c:pt idx="72">
                  <c:v>27.357830811664535</c:v>
                </c:pt>
                <c:pt idx="73">
                  <c:v>27.374832333821651</c:v>
                </c:pt>
                <c:pt idx="74">
                  <c:v>27.391833855978767</c:v>
                </c:pt>
                <c:pt idx="75">
                  <c:v>27.408835378135876</c:v>
                </c:pt>
                <c:pt idx="76">
                  <c:v>27.425836900292992</c:v>
                </c:pt>
                <c:pt idx="77">
                  <c:v>27.442838422450109</c:v>
                </c:pt>
                <c:pt idx="78">
                  <c:v>27.459839944607218</c:v>
                </c:pt>
                <c:pt idx="79">
                  <c:v>27.476841466764334</c:v>
                </c:pt>
                <c:pt idx="80">
                  <c:v>27.49384298892145</c:v>
                </c:pt>
                <c:pt idx="81">
                  <c:v>27.510844511078567</c:v>
                </c:pt>
                <c:pt idx="82">
                  <c:v>27.527846033235676</c:v>
                </c:pt>
                <c:pt idx="83">
                  <c:v>27.544847555392792</c:v>
                </c:pt>
                <c:pt idx="84">
                  <c:v>27.561849077549908</c:v>
                </c:pt>
                <c:pt idx="85">
                  <c:v>27.578850599707017</c:v>
                </c:pt>
                <c:pt idx="86">
                  <c:v>27.595852121864134</c:v>
                </c:pt>
                <c:pt idx="87">
                  <c:v>27.61285364402125</c:v>
                </c:pt>
                <c:pt idx="88">
                  <c:v>27.629855166178359</c:v>
                </c:pt>
                <c:pt idx="89">
                  <c:v>27.646856688335475</c:v>
                </c:pt>
                <c:pt idx="90">
                  <c:v>27.663858210492592</c:v>
                </c:pt>
                <c:pt idx="91">
                  <c:v>27.680859732649701</c:v>
                </c:pt>
                <c:pt idx="92">
                  <c:v>27.697861254806817</c:v>
                </c:pt>
                <c:pt idx="93">
                  <c:v>27.714862776963933</c:v>
                </c:pt>
                <c:pt idx="94">
                  <c:v>27.73186429912105</c:v>
                </c:pt>
                <c:pt idx="95">
                  <c:v>27.748865821278159</c:v>
                </c:pt>
                <c:pt idx="96">
                  <c:v>27.765867343435275</c:v>
                </c:pt>
                <c:pt idx="97">
                  <c:v>27.782868865592391</c:v>
                </c:pt>
                <c:pt idx="98">
                  <c:v>27.7998703877495</c:v>
                </c:pt>
                <c:pt idx="99">
                  <c:v>27.816871909906617</c:v>
                </c:pt>
                <c:pt idx="100">
                  <c:v>27.833873432063733</c:v>
                </c:pt>
                <c:pt idx="101">
                  <c:v>27.850874954220842</c:v>
                </c:pt>
                <c:pt idx="102">
                  <c:v>27.867876476377958</c:v>
                </c:pt>
                <c:pt idx="103">
                  <c:v>27.884877998535075</c:v>
                </c:pt>
                <c:pt idx="104">
                  <c:v>27.901879520692191</c:v>
                </c:pt>
                <c:pt idx="105">
                  <c:v>27.9188810428493</c:v>
                </c:pt>
                <c:pt idx="106">
                  <c:v>27.935882565006416</c:v>
                </c:pt>
                <c:pt idx="107">
                  <c:v>27.952884087163532</c:v>
                </c:pt>
                <c:pt idx="108">
                  <c:v>27.969885609320642</c:v>
                </c:pt>
                <c:pt idx="109">
                  <c:v>27.986887131477758</c:v>
                </c:pt>
                <c:pt idx="110">
                  <c:v>28.003888653634874</c:v>
                </c:pt>
                <c:pt idx="111">
                  <c:v>28.020890175791983</c:v>
                </c:pt>
                <c:pt idx="112">
                  <c:v>28.0378916979491</c:v>
                </c:pt>
                <c:pt idx="113">
                  <c:v>28.054893220106216</c:v>
                </c:pt>
                <c:pt idx="114">
                  <c:v>28.071894742263325</c:v>
                </c:pt>
                <c:pt idx="115">
                  <c:v>28.088896264420441</c:v>
                </c:pt>
                <c:pt idx="116">
                  <c:v>28.105897786577557</c:v>
                </c:pt>
                <c:pt idx="117">
                  <c:v>28.122899308734674</c:v>
                </c:pt>
                <c:pt idx="118">
                  <c:v>28.139900830891783</c:v>
                </c:pt>
                <c:pt idx="119">
                  <c:v>28.156902353048899</c:v>
                </c:pt>
                <c:pt idx="120">
                  <c:v>28.173903875206015</c:v>
                </c:pt>
                <c:pt idx="121">
                  <c:v>28.190905397363125</c:v>
                </c:pt>
                <c:pt idx="122">
                  <c:v>28.207906919520241</c:v>
                </c:pt>
                <c:pt idx="123">
                  <c:v>28.224908441677357</c:v>
                </c:pt>
                <c:pt idx="124">
                  <c:v>28.241909963834466</c:v>
                </c:pt>
                <c:pt idx="125">
                  <c:v>28.258911485991582</c:v>
                </c:pt>
                <c:pt idx="126">
                  <c:v>28.275913008148699</c:v>
                </c:pt>
                <c:pt idx="127">
                  <c:v>28.292914530305808</c:v>
                </c:pt>
                <c:pt idx="128">
                  <c:v>28.309916052462924</c:v>
                </c:pt>
                <c:pt idx="129">
                  <c:v>28.32691757462004</c:v>
                </c:pt>
                <c:pt idx="130">
                  <c:v>28.343919096777157</c:v>
                </c:pt>
                <c:pt idx="131">
                  <c:v>28.360920618934266</c:v>
                </c:pt>
                <c:pt idx="132">
                  <c:v>28.377922141091382</c:v>
                </c:pt>
                <c:pt idx="133">
                  <c:v>28.394923663248498</c:v>
                </c:pt>
                <c:pt idx="134">
                  <c:v>28.411925185405607</c:v>
                </c:pt>
                <c:pt idx="135">
                  <c:v>28.428926707562724</c:v>
                </c:pt>
                <c:pt idx="136">
                  <c:v>28.44592822971984</c:v>
                </c:pt>
                <c:pt idx="137">
                  <c:v>28.462929751876949</c:v>
                </c:pt>
                <c:pt idx="138">
                  <c:v>28.479931274034065</c:v>
                </c:pt>
                <c:pt idx="139">
                  <c:v>28.496932796191182</c:v>
                </c:pt>
                <c:pt idx="140">
                  <c:v>28.513934318348298</c:v>
                </c:pt>
                <c:pt idx="141">
                  <c:v>28.530935840505407</c:v>
                </c:pt>
                <c:pt idx="142">
                  <c:v>28.547937362662523</c:v>
                </c:pt>
                <c:pt idx="143">
                  <c:v>28.564938884819639</c:v>
                </c:pt>
                <c:pt idx="144">
                  <c:v>28.581940406976749</c:v>
                </c:pt>
                <c:pt idx="145">
                  <c:v>28.598941929133865</c:v>
                </c:pt>
                <c:pt idx="146">
                  <c:v>28.615943451290981</c:v>
                </c:pt>
                <c:pt idx="147">
                  <c:v>28.63294497344809</c:v>
                </c:pt>
                <c:pt idx="148">
                  <c:v>28.649946495605207</c:v>
                </c:pt>
                <c:pt idx="149">
                  <c:v>28.666948017762323</c:v>
                </c:pt>
                <c:pt idx="150">
                  <c:v>28.683949539919432</c:v>
                </c:pt>
                <c:pt idx="151">
                  <c:v>28.700951062076548</c:v>
                </c:pt>
                <c:pt idx="152">
                  <c:v>28.717952584233664</c:v>
                </c:pt>
                <c:pt idx="153">
                  <c:v>28.734954106390781</c:v>
                </c:pt>
                <c:pt idx="154">
                  <c:v>28.75195562854789</c:v>
                </c:pt>
                <c:pt idx="155">
                  <c:v>28.768957150705006</c:v>
                </c:pt>
                <c:pt idx="156">
                  <c:v>28.785958672862122</c:v>
                </c:pt>
                <c:pt idx="157">
                  <c:v>28.802960195019232</c:v>
                </c:pt>
                <c:pt idx="158">
                  <c:v>28.819961717176348</c:v>
                </c:pt>
                <c:pt idx="159">
                  <c:v>28.836963239333464</c:v>
                </c:pt>
                <c:pt idx="160">
                  <c:v>28.853964761490573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3A-4EA6-9654-FEE40F4B0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175376"/>
        <c:axId val="2129570304"/>
      </c:scatterChart>
      <c:valAx>
        <c:axId val="2130175376"/>
        <c:scaling>
          <c:orientation val="minMax"/>
          <c:max val="2040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29570304"/>
        <c:crosses val="autoZero"/>
        <c:crossBetween val="midCat"/>
      </c:valAx>
      <c:valAx>
        <c:axId val="2129570304"/>
        <c:scaling>
          <c:orientation val="minMax"/>
          <c:min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30175376"/>
        <c:crosses val="autoZero"/>
        <c:crossBetween val="midCat"/>
        <c:min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9B80192-208D-4F6E-82C4-B9182172BAD6}">
  <sheetPr/>
  <sheetViews>
    <sheetView zoomScale="10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24E5D03-43D6-41CB-AB4F-5FDFFB0DD95A}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6899" cy="6281677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E7AA90D-AAAC-43B9-85B8-5D1FCB598D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1213" cy="6284632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427FADF-6A7C-437B-AFC3-9474048FE5A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DA5EA-7795-49E5-8F86-E92C40478D50}">
  <dimension ref="A1:F165"/>
  <sheetViews>
    <sheetView tabSelected="1" topLeftCell="B4" workbookViewId="0">
      <selection activeCell="E166" sqref="E166"/>
    </sheetView>
  </sheetViews>
  <sheetFormatPr defaultRowHeight="17.649999999999999" x14ac:dyDescent="0.7"/>
  <cols>
    <col min="1" max="1" width="5" bestFit="1" customWidth="1"/>
    <col min="2" max="2" width="16.4375" bestFit="1" customWidth="1"/>
    <col min="3" max="3" width="5.25" style="2" bestFit="1" customWidth="1"/>
    <col min="5" max="5" width="9" style="1"/>
  </cols>
  <sheetData>
    <row r="1" spans="1:6" x14ac:dyDescent="0.7">
      <c r="A1" t="s">
        <v>0</v>
      </c>
    </row>
    <row r="3" spans="1:6" x14ac:dyDescent="0.7">
      <c r="B3" t="s">
        <v>1</v>
      </c>
    </row>
    <row r="4" spans="1:6" x14ac:dyDescent="0.7">
      <c r="A4" t="s">
        <v>2</v>
      </c>
      <c r="B4" t="s">
        <v>3</v>
      </c>
      <c r="C4" s="2" t="s">
        <v>4</v>
      </c>
    </row>
    <row r="5" spans="1:6" x14ac:dyDescent="0.7">
      <c r="A5">
        <v>1880</v>
      </c>
      <c r="C5" s="2">
        <f>$F$5*A5+$F$6</f>
        <v>26.13372121635232</v>
      </c>
      <c r="E5" s="1" t="s">
        <v>5</v>
      </c>
      <c r="F5">
        <f>INDEX(LINEST(B22:B149,A22:A149),1,1)</f>
        <v>1.7001522157114091E-2</v>
      </c>
    </row>
    <row r="6" spans="1:6" x14ac:dyDescent="0.7">
      <c r="A6">
        <v>1881</v>
      </c>
      <c r="C6" s="2">
        <f>$F$5*A6+$F$6</f>
        <v>26.150722738509437</v>
      </c>
      <c r="E6" s="1" t="s">
        <v>6</v>
      </c>
      <c r="F6">
        <f>INDEX(LINEST(B22:B149,A22:A149),1,2)</f>
        <v>-5.8291404390221686</v>
      </c>
    </row>
    <row r="7" spans="1:6" x14ac:dyDescent="0.7">
      <c r="A7">
        <v>1882</v>
      </c>
      <c r="C7" s="2">
        <f>$F$5*A7+$F$6</f>
        <v>26.167724260666549</v>
      </c>
    </row>
    <row r="8" spans="1:6" x14ac:dyDescent="0.7">
      <c r="A8">
        <v>1883</v>
      </c>
      <c r="C8" s="2">
        <f>$F$5*A8+$F$6</f>
        <v>26.184725782823662</v>
      </c>
    </row>
    <row r="9" spans="1:6" x14ac:dyDescent="0.7">
      <c r="A9">
        <v>1884</v>
      </c>
      <c r="C9" s="2">
        <f>$F$5*A9+$F$6</f>
        <v>26.201727304980778</v>
      </c>
    </row>
    <row r="10" spans="1:6" x14ac:dyDescent="0.7">
      <c r="A10">
        <v>1885</v>
      </c>
      <c r="C10" s="2">
        <f>$F$5*A10+$F$6</f>
        <v>26.218728827137895</v>
      </c>
    </row>
    <row r="11" spans="1:6" x14ac:dyDescent="0.7">
      <c r="A11">
        <v>1886</v>
      </c>
      <c r="C11" s="2">
        <f>$F$5*A11+$F$6</f>
        <v>26.235730349295004</v>
      </c>
    </row>
    <row r="12" spans="1:6" x14ac:dyDescent="0.7">
      <c r="A12">
        <v>1887</v>
      </c>
      <c r="C12" s="2">
        <f>$F$5*A12+$F$6</f>
        <v>26.25273187145212</v>
      </c>
    </row>
    <row r="13" spans="1:6" x14ac:dyDescent="0.7">
      <c r="A13">
        <v>1888</v>
      </c>
      <c r="C13" s="2">
        <f>$F$5*A13+$F$6</f>
        <v>26.269733393609236</v>
      </c>
    </row>
    <row r="14" spans="1:6" x14ac:dyDescent="0.7">
      <c r="A14">
        <v>1889</v>
      </c>
      <c r="C14" s="2">
        <f>$F$5*A14+$F$6</f>
        <v>26.286734915766345</v>
      </c>
    </row>
    <row r="15" spans="1:6" x14ac:dyDescent="0.7">
      <c r="A15">
        <v>1890</v>
      </c>
      <c r="C15" s="2">
        <f>$F$5*A15+$F$6</f>
        <v>26.303736437923462</v>
      </c>
    </row>
    <row r="16" spans="1:6" x14ac:dyDescent="0.7">
      <c r="A16">
        <v>1891</v>
      </c>
      <c r="C16" s="2">
        <f>$F$5*A16+$F$6</f>
        <v>26.320737960080578</v>
      </c>
    </row>
    <row r="17" spans="1:3" x14ac:dyDescent="0.7">
      <c r="A17">
        <v>1892</v>
      </c>
      <c r="C17" s="2">
        <f>$F$5*A17+$F$6</f>
        <v>26.337739482237694</v>
      </c>
    </row>
    <row r="18" spans="1:3" x14ac:dyDescent="0.7">
      <c r="A18">
        <v>1893</v>
      </c>
      <c r="C18" s="2">
        <f>$F$5*A18+$F$6</f>
        <v>26.354741004394803</v>
      </c>
    </row>
    <row r="19" spans="1:3" x14ac:dyDescent="0.7">
      <c r="A19">
        <v>1894</v>
      </c>
      <c r="C19" s="2">
        <f>$F$5*A19+$F$6</f>
        <v>26.37174252655192</v>
      </c>
    </row>
    <row r="20" spans="1:3" x14ac:dyDescent="0.7">
      <c r="A20">
        <v>1895</v>
      </c>
      <c r="C20" s="2">
        <f>$F$5*A20+$F$6</f>
        <v>26.388744048709036</v>
      </c>
    </row>
    <row r="21" spans="1:3" x14ac:dyDescent="0.7">
      <c r="A21">
        <v>1896</v>
      </c>
      <c r="C21" s="2">
        <f>$F$5*A21+$F$6</f>
        <v>26.405745570866145</v>
      </c>
    </row>
    <row r="22" spans="1:3" x14ac:dyDescent="0.7">
      <c r="A22">
        <v>1897</v>
      </c>
      <c r="B22">
        <v>27.7</v>
      </c>
      <c r="C22" s="2">
        <f>$F$5*A22+$F$6</f>
        <v>26.422747093023261</v>
      </c>
    </row>
    <row r="23" spans="1:3" x14ac:dyDescent="0.7">
      <c r="A23">
        <v>1898</v>
      </c>
      <c r="B23">
        <v>27.9</v>
      </c>
      <c r="C23" s="2">
        <f>$F$5*A23+$F$6</f>
        <v>26.439748615180378</v>
      </c>
    </row>
    <row r="24" spans="1:3" x14ac:dyDescent="0.7">
      <c r="A24">
        <v>1899</v>
      </c>
      <c r="B24">
        <v>26.4</v>
      </c>
      <c r="C24" s="2">
        <f>$F$5*A24+$F$6</f>
        <v>26.456750137337487</v>
      </c>
    </row>
    <row r="25" spans="1:3" x14ac:dyDescent="0.7">
      <c r="A25">
        <v>1900</v>
      </c>
      <c r="B25">
        <v>27.5</v>
      </c>
      <c r="C25" s="2">
        <f>$F$5*A25+$F$6</f>
        <v>26.473751659494603</v>
      </c>
    </row>
    <row r="26" spans="1:3" x14ac:dyDescent="0.7">
      <c r="A26">
        <v>1901</v>
      </c>
      <c r="B26">
        <v>27</v>
      </c>
      <c r="C26" s="2">
        <f>$F$5*A26+$F$6</f>
        <v>26.490753181651719</v>
      </c>
    </row>
    <row r="27" spans="1:3" x14ac:dyDescent="0.7">
      <c r="A27">
        <v>1902</v>
      </c>
      <c r="B27">
        <v>25.4</v>
      </c>
      <c r="C27" s="2">
        <f>$F$5*A27+$F$6</f>
        <v>26.507754703808828</v>
      </c>
    </row>
    <row r="28" spans="1:3" x14ac:dyDescent="0.7">
      <c r="A28">
        <v>1903</v>
      </c>
      <c r="B28">
        <v>27.5</v>
      </c>
      <c r="C28" s="2">
        <f>$F$5*A28+$F$6</f>
        <v>26.524756225965945</v>
      </c>
    </row>
    <row r="29" spans="1:3" x14ac:dyDescent="0.7">
      <c r="A29">
        <v>1904</v>
      </c>
      <c r="B29">
        <v>27.3</v>
      </c>
      <c r="C29" s="2">
        <f>$F$5*A29+$F$6</f>
        <v>26.541757748123061</v>
      </c>
    </row>
    <row r="30" spans="1:3" x14ac:dyDescent="0.7">
      <c r="A30">
        <v>1905</v>
      </c>
      <c r="B30">
        <v>24.5</v>
      </c>
      <c r="C30" s="2">
        <f>$F$5*A30+$F$6</f>
        <v>26.558759270280177</v>
      </c>
    </row>
    <row r="31" spans="1:3" x14ac:dyDescent="0.7">
      <c r="A31">
        <v>1906</v>
      </c>
      <c r="B31">
        <v>26.6</v>
      </c>
      <c r="C31" s="2">
        <f>$F$5*A31+$F$6</f>
        <v>26.575760792437286</v>
      </c>
    </row>
    <row r="32" spans="1:3" x14ac:dyDescent="0.7">
      <c r="A32">
        <v>1907</v>
      </c>
      <c r="B32">
        <v>26.7</v>
      </c>
      <c r="C32" s="2">
        <f>$F$5*A32+$F$6</f>
        <v>26.592762314594403</v>
      </c>
    </row>
    <row r="33" spans="1:3" x14ac:dyDescent="0.7">
      <c r="A33">
        <v>1908</v>
      </c>
      <c r="B33">
        <v>26.2</v>
      </c>
      <c r="C33" s="2">
        <f>$F$5*A33+$F$6</f>
        <v>26.609763836751519</v>
      </c>
    </row>
    <row r="34" spans="1:3" x14ac:dyDescent="0.7">
      <c r="A34">
        <v>1909</v>
      </c>
      <c r="B34">
        <v>27.1</v>
      </c>
      <c r="C34" s="2">
        <f>$F$5*A34+$F$6</f>
        <v>26.626765358908628</v>
      </c>
    </row>
    <row r="35" spans="1:3" x14ac:dyDescent="0.7">
      <c r="A35">
        <v>1910</v>
      </c>
      <c r="B35">
        <v>25.9</v>
      </c>
      <c r="C35" s="2">
        <f>$F$5*A35+$F$6</f>
        <v>26.643766881065744</v>
      </c>
    </row>
    <row r="36" spans="1:3" x14ac:dyDescent="0.7">
      <c r="A36">
        <v>1911</v>
      </c>
      <c r="B36">
        <v>26.3</v>
      </c>
      <c r="C36" s="2">
        <f>$F$5*A36+$F$6</f>
        <v>26.66076840322286</v>
      </c>
    </row>
    <row r="37" spans="1:3" x14ac:dyDescent="0.7">
      <c r="A37">
        <v>1912</v>
      </c>
      <c r="B37">
        <v>26.9</v>
      </c>
      <c r="C37" s="2">
        <f>$F$5*A37+$F$6</f>
        <v>26.67776992537997</v>
      </c>
    </row>
    <row r="38" spans="1:3" x14ac:dyDescent="0.7">
      <c r="A38">
        <v>1913</v>
      </c>
      <c r="B38">
        <v>26</v>
      </c>
      <c r="C38" s="2">
        <f>$F$5*A38+$F$6</f>
        <v>26.694771447537086</v>
      </c>
    </row>
    <row r="39" spans="1:3" x14ac:dyDescent="0.7">
      <c r="A39">
        <v>1914</v>
      </c>
      <c r="B39">
        <v>27.9</v>
      </c>
      <c r="C39" s="2">
        <f>$F$5*A39+$F$6</f>
        <v>26.711772969694202</v>
      </c>
    </row>
    <row r="40" spans="1:3" x14ac:dyDescent="0.7">
      <c r="A40">
        <v>1915</v>
      </c>
      <c r="B40">
        <v>27</v>
      </c>
      <c r="C40" s="2">
        <f>$F$5*A40+$F$6</f>
        <v>26.728774491851318</v>
      </c>
    </row>
    <row r="41" spans="1:3" x14ac:dyDescent="0.7">
      <c r="A41">
        <v>1916</v>
      </c>
      <c r="B41">
        <v>27.4</v>
      </c>
      <c r="C41" s="2">
        <f>$F$5*A41+$F$6</f>
        <v>26.745776014008428</v>
      </c>
    </row>
    <row r="42" spans="1:3" x14ac:dyDescent="0.7">
      <c r="A42">
        <v>1917</v>
      </c>
      <c r="B42">
        <v>26.1</v>
      </c>
      <c r="C42" s="2">
        <f>$F$5*A42+$F$6</f>
        <v>26.762777536165544</v>
      </c>
    </row>
    <row r="43" spans="1:3" x14ac:dyDescent="0.7">
      <c r="A43">
        <v>1918</v>
      </c>
      <c r="B43">
        <v>26.4</v>
      </c>
      <c r="C43" s="2">
        <f>$F$5*A43+$F$6</f>
        <v>26.77977905832266</v>
      </c>
    </row>
    <row r="44" spans="1:3" x14ac:dyDescent="0.7">
      <c r="A44">
        <v>1919</v>
      </c>
      <c r="B44">
        <v>26.2</v>
      </c>
      <c r="C44" s="2">
        <f>$F$5*A44+$F$6</f>
        <v>26.796780580479769</v>
      </c>
    </row>
    <row r="45" spans="1:3" x14ac:dyDescent="0.7">
      <c r="A45">
        <v>1920</v>
      </c>
      <c r="B45">
        <v>26.2</v>
      </c>
      <c r="C45" s="2">
        <f>$F$5*A45+$F$6</f>
        <v>26.813782102636885</v>
      </c>
    </row>
    <row r="46" spans="1:3" x14ac:dyDescent="0.7">
      <c r="A46">
        <v>1921</v>
      </c>
      <c r="B46">
        <v>27.4</v>
      </c>
      <c r="C46" s="2">
        <f>$F$5*A46+$F$6</f>
        <v>26.830783624794002</v>
      </c>
    </row>
    <row r="47" spans="1:3" x14ac:dyDescent="0.7">
      <c r="A47">
        <v>1922</v>
      </c>
      <c r="B47">
        <v>28.5</v>
      </c>
      <c r="C47" s="2">
        <f>$F$5*A47+$F$6</f>
        <v>26.847785146951111</v>
      </c>
    </row>
    <row r="48" spans="1:3" x14ac:dyDescent="0.7">
      <c r="A48">
        <v>1923</v>
      </c>
      <c r="B48">
        <v>28.5</v>
      </c>
      <c r="C48" s="2">
        <f>$F$5*A48+$F$6</f>
        <v>26.864786669108227</v>
      </c>
    </row>
    <row r="49" spans="1:3" x14ac:dyDescent="0.7">
      <c r="A49">
        <v>1924</v>
      </c>
      <c r="B49">
        <v>27.5</v>
      </c>
      <c r="C49" s="2">
        <f>$F$5*A49+$F$6</f>
        <v>26.881788191265343</v>
      </c>
    </row>
    <row r="50" spans="1:3" x14ac:dyDescent="0.7">
      <c r="A50">
        <v>1925</v>
      </c>
      <c r="B50">
        <v>26.8</v>
      </c>
      <c r="C50" s="2">
        <f>$F$5*A50+$F$6</f>
        <v>26.898789713422453</v>
      </c>
    </row>
    <row r="51" spans="1:3" x14ac:dyDescent="0.7">
      <c r="A51">
        <v>1926</v>
      </c>
      <c r="B51">
        <v>27.9</v>
      </c>
      <c r="C51" s="2">
        <f>$F$5*A51+$F$6</f>
        <v>26.915791235579569</v>
      </c>
    </row>
    <row r="52" spans="1:3" x14ac:dyDescent="0.7">
      <c r="A52">
        <v>1927</v>
      </c>
      <c r="B52">
        <v>26.6</v>
      </c>
      <c r="C52" s="2">
        <f>$F$5*A52+$F$6</f>
        <v>26.932792757736685</v>
      </c>
    </row>
    <row r="53" spans="1:3" x14ac:dyDescent="0.7">
      <c r="A53">
        <v>1928</v>
      </c>
      <c r="B53">
        <v>25.9</v>
      </c>
      <c r="C53" s="2">
        <f>$F$5*A53+$F$6</f>
        <v>26.949794279893801</v>
      </c>
    </row>
    <row r="54" spans="1:3" x14ac:dyDescent="0.7">
      <c r="A54">
        <v>1929</v>
      </c>
      <c r="B54">
        <v>28</v>
      </c>
      <c r="C54" s="2">
        <f>$F$5*A54+$F$6</f>
        <v>26.96679580205091</v>
      </c>
    </row>
    <row r="55" spans="1:3" x14ac:dyDescent="0.7">
      <c r="A55">
        <v>1930</v>
      </c>
      <c r="B55">
        <v>28.3</v>
      </c>
      <c r="C55" s="2">
        <f>$F$5*A55+$F$6</f>
        <v>26.983797324208027</v>
      </c>
    </row>
    <row r="56" spans="1:3" x14ac:dyDescent="0.7">
      <c r="A56">
        <v>1931</v>
      </c>
      <c r="B56">
        <v>27.4</v>
      </c>
      <c r="C56" s="2">
        <f>$F$5*A56+$F$6</f>
        <v>27.000798846365143</v>
      </c>
    </row>
    <row r="57" spans="1:3" x14ac:dyDescent="0.7">
      <c r="A57">
        <v>1932</v>
      </c>
      <c r="B57">
        <v>26.9</v>
      </c>
      <c r="C57" s="2">
        <f>$F$5*A57+$F$6</f>
        <v>27.017800368522252</v>
      </c>
    </row>
    <row r="58" spans="1:3" x14ac:dyDescent="0.7">
      <c r="A58">
        <v>1933</v>
      </c>
      <c r="B58">
        <v>27.3</v>
      </c>
      <c r="C58" s="2">
        <f>$F$5*A58+$F$6</f>
        <v>27.034801890679368</v>
      </c>
    </row>
    <row r="59" spans="1:3" x14ac:dyDescent="0.7">
      <c r="A59">
        <v>1934</v>
      </c>
      <c r="B59">
        <v>27.7</v>
      </c>
      <c r="C59" s="2">
        <f>$F$5*A59+$F$6</f>
        <v>27.051803412836485</v>
      </c>
    </row>
    <row r="60" spans="1:3" x14ac:dyDescent="0.7">
      <c r="A60">
        <v>1935</v>
      </c>
      <c r="B60">
        <v>26.4</v>
      </c>
      <c r="C60" s="2">
        <f>$F$5*A60+$F$6</f>
        <v>27.068804934993594</v>
      </c>
    </row>
    <row r="61" spans="1:3" x14ac:dyDescent="0.7">
      <c r="A61">
        <v>1936</v>
      </c>
      <c r="B61">
        <v>26.7</v>
      </c>
      <c r="C61" s="2">
        <f>$F$5*A61+$F$6</f>
        <v>27.08580645715071</v>
      </c>
    </row>
    <row r="62" spans="1:3" x14ac:dyDescent="0.7">
      <c r="A62">
        <v>1937</v>
      </c>
      <c r="B62">
        <v>28.1</v>
      </c>
      <c r="C62" s="2">
        <f>$F$5*A62+$F$6</f>
        <v>27.102807979307826</v>
      </c>
    </row>
    <row r="63" spans="1:3" x14ac:dyDescent="0.7">
      <c r="A63">
        <v>1938</v>
      </c>
      <c r="B63">
        <v>26.5</v>
      </c>
      <c r="C63" s="2">
        <f>$F$5*A63+$F$6</f>
        <v>27.119809501464943</v>
      </c>
    </row>
    <row r="64" spans="1:3" x14ac:dyDescent="0.7">
      <c r="A64">
        <v>1939</v>
      </c>
      <c r="B64">
        <v>27.4</v>
      </c>
      <c r="C64" s="2">
        <f>$F$5*A64+$F$6</f>
        <v>27.136811023622052</v>
      </c>
    </row>
    <row r="65" spans="1:3" x14ac:dyDescent="0.7">
      <c r="A65">
        <v>1940</v>
      </c>
      <c r="B65">
        <v>25.7</v>
      </c>
      <c r="C65" s="2">
        <f>$F$5*A65+$F$6</f>
        <v>27.153812545779168</v>
      </c>
    </row>
    <row r="66" spans="1:3" x14ac:dyDescent="0.7">
      <c r="A66">
        <v>1941</v>
      </c>
      <c r="B66">
        <v>26.4</v>
      </c>
      <c r="C66" s="2">
        <f>$F$5*A66+$F$6</f>
        <v>27.170814067936284</v>
      </c>
    </row>
    <row r="67" spans="1:3" x14ac:dyDescent="0.7">
      <c r="A67">
        <v>1942</v>
      </c>
      <c r="B67">
        <v>27.7</v>
      </c>
      <c r="C67" s="2">
        <f>$F$5*A67+$F$6</f>
        <v>27.187815590093393</v>
      </c>
    </row>
    <row r="68" spans="1:3" x14ac:dyDescent="0.7">
      <c r="A68">
        <v>1943</v>
      </c>
      <c r="B68">
        <v>26.8</v>
      </c>
      <c r="C68" s="2">
        <f>$F$5*A68+$F$6</f>
        <v>27.20481711225051</v>
      </c>
    </row>
    <row r="69" spans="1:3" x14ac:dyDescent="0.7">
      <c r="A69">
        <v>1944</v>
      </c>
      <c r="B69">
        <v>27.3</v>
      </c>
      <c r="C69" s="2">
        <f>$F$5*A69+$F$6</f>
        <v>27.221818634407626</v>
      </c>
    </row>
    <row r="70" spans="1:3" x14ac:dyDescent="0.7">
      <c r="A70">
        <v>1945</v>
      </c>
      <c r="B70">
        <v>27.4</v>
      </c>
      <c r="C70" s="2">
        <f>$F$5*A70+$F$6</f>
        <v>27.238820156564735</v>
      </c>
    </row>
    <row r="71" spans="1:3" x14ac:dyDescent="0.7">
      <c r="A71">
        <v>1946</v>
      </c>
      <c r="B71">
        <v>26.9</v>
      </c>
      <c r="C71" s="2">
        <f>$F$5*A71+$F$6</f>
        <v>27.255821678721851</v>
      </c>
    </row>
    <row r="72" spans="1:3" x14ac:dyDescent="0.7">
      <c r="A72">
        <v>1947</v>
      </c>
      <c r="B72">
        <v>28.1</v>
      </c>
      <c r="C72" s="2">
        <f>$F$5*A72+$F$6</f>
        <v>27.272823200878967</v>
      </c>
    </row>
    <row r="73" spans="1:3" x14ac:dyDescent="0.7">
      <c r="A73">
        <v>1948</v>
      </c>
      <c r="B73">
        <v>27.1</v>
      </c>
      <c r="C73" s="2">
        <f>$F$5*A73+$F$6</f>
        <v>27.289824723036077</v>
      </c>
    </row>
    <row r="74" spans="1:3" x14ac:dyDescent="0.7">
      <c r="A74">
        <v>1949</v>
      </c>
      <c r="B74">
        <v>26.7</v>
      </c>
      <c r="C74" s="2">
        <f>$F$5*A74+$F$6</f>
        <v>27.306826245193193</v>
      </c>
    </row>
    <row r="75" spans="1:3" x14ac:dyDescent="0.7">
      <c r="A75">
        <v>1950</v>
      </c>
      <c r="B75">
        <v>27.1</v>
      </c>
      <c r="C75" s="2">
        <f>$F$5*A75+$F$6</f>
        <v>27.323827767350309</v>
      </c>
    </row>
    <row r="76" spans="1:3" x14ac:dyDescent="0.7">
      <c r="A76">
        <v>1951</v>
      </c>
      <c r="B76">
        <v>28</v>
      </c>
      <c r="C76" s="2">
        <f>$F$5*A76+$F$6</f>
        <v>27.340829289507425</v>
      </c>
    </row>
    <row r="77" spans="1:3" x14ac:dyDescent="0.7">
      <c r="A77">
        <v>1952</v>
      </c>
      <c r="B77">
        <v>27.5</v>
      </c>
      <c r="C77" s="2">
        <f>$F$5*A77+$F$6</f>
        <v>27.357830811664535</v>
      </c>
    </row>
    <row r="78" spans="1:3" x14ac:dyDescent="0.7">
      <c r="A78">
        <v>1953</v>
      </c>
      <c r="B78">
        <v>27</v>
      </c>
      <c r="C78" s="2">
        <f>$F$5*A78+$F$6</f>
        <v>27.374832333821651</v>
      </c>
    </row>
    <row r="79" spans="1:3" x14ac:dyDescent="0.7">
      <c r="A79">
        <v>1954</v>
      </c>
      <c r="B79">
        <v>27.5</v>
      </c>
      <c r="C79" s="2">
        <f>$F$5*A79+$F$6</f>
        <v>27.391833855978767</v>
      </c>
    </row>
    <row r="80" spans="1:3" x14ac:dyDescent="0.7">
      <c r="A80">
        <v>1955</v>
      </c>
      <c r="B80">
        <v>27.1</v>
      </c>
      <c r="C80" s="2">
        <f>$F$5*A80+$F$6</f>
        <v>27.408835378135876</v>
      </c>
    </row>
    <row r="81" spans="1:3" x14ac:dyDescent="0.7">
      <c r="A81">
        <v>1956</v>
      </c>
      <c r="B81">
        <v>26.3</v>
      </c>
      <c r="C81" s="2">
        <f>$F$5*A81+$F$6</f>
        <v>27.425836900292992</v>
      </c>
    </row>
    <row r="82" spans="1:3" x14ac:dyDescent="0.7">
      <c r="A82">
        <v>1957</v>
      </c>
      <c r="B82">
        <v>27.1</v>
      </c>
      <c r="C82" s="2">
        <f>$F$5*A82+$F$6</f>
        <v>27.442838422450109</v>
      </c>
    </row>
    <row r="83" spans="1:3" x14ac:dyDescent="0.7">
      <c r="A83">
        <v>1958</v>
      </c>
      <c r="B83">
        <v>26.8</v>
      </c>
      <c r="C83" s="2">
        <f>$F$5*A83+$F$6</f>
        <v>27.459839944607218</v>
      </c>
    </row>
    <row r="84" spans="1:3" x14ac:dyDescent="0.7">
      <c r="A84">
        <v>1959</v>
      </c>
      <c r="B84">
        <v>27.2</v>
      </c>
      <c r="C84" s="2">
        <f>$F$5*A84+$F$6</f>
        <v>27.476841466764334</v>
      </c>
    </row>
    <row r="85" spans="1:3" x14ac:dyDescent="0.7">
      <c r="A85">
        <v>1960</v>
      </c>
      <c r="B85">
        <v>27.5</v>
      </c>
      <c r="C85" s="2">
        <f>$F$5*A85+$F$6</f>
        <v>27.49384298892145</v>
      </c>
    </row>
    <row r="86" spans="1:3" x14ac:dyDescent="0.7">
      <c r="A86">
        <v>1961</v>
      </c>
      <c r="B86">
        <v>27.9</v>
      </c>
      <c r="C86" s="2">
        <f>$F$5*A86+$F$6</f>
        <v>27.510844511078567</v>
      </c>
    </row>
    <row r="87" spans="1:3" x14ac:dyDescent="0.7">
      <c r="A87">
        <v>1962</v>
      </c>
      <c r="B87">
        <v>27.6</v>
      </c>
      <c r="C87" s="2">
        <f>$F$5*A87+$F$6</f>
        <v>27.527846033235676</v>
      </c>
    </row>
    <row r="88" spans="1:3" x14ac:dyDescent="0.7">
      <c r="A88">
        <v>1963</v>
      </c>
      <c r="B88">
        <v>27</v>
      </c>
      <c r="C88" s="2">
        <f>$F$5*A88+$F$6</f>
        <v>27.544847555392792</v>
      </c>
    </row>
    <row r="89" spans="1:3" x14ac:dyDescent="0.7">
      <c r="A89">
        <v>1964</v>
      </c>
      <c r="B89">
        <v>28.5</v>
      </c>
      <c r="C89" s="2">
        <f>$F$5*A89+$F$6</f>
        <v>27.561849077549908</v>
      </c>
    </row>
    <row r="90" spans="1:3" x14ac:dyDescent="0.7">
      <c r="A90">
        <v>1965</v>
      </c>
      <c r="B90">
        <v>27.2</v>
      </c>
      <c r="C90" s="2">
        <f>$F$5*A90+$F$6</f>
        <v>27.578850599707017</v>
      </c>
    </row>
    <row r="91" spans="1:3" x14ac:dyDescent="0.7">
      <c r="A91">
        <v>1966</v>
      </c>
      <c r="B91">
        <v>27.7</v>
      </c>
      <c r="C91" s="2">
        <f>$F$5*A91+$F$6</f>
        <v>27.595852121864134</v>
      </c>
    </row>
    <row r="92" spans="1:3" x14ac:dyDescent="0.7">
      <c r="A92">
        <v>1967</v>
      </c>
      <c r="B92">
        <v>28.2</v>
      </c>
      <c r="C92" s="2">
        <f>$F$5*A92+$F$6</f>
        <v>27.61285364402125</v>
      </c>
    </row>
    <row r="93" spans="1:3" x14ac:dyDescent="0.7">
      <c r="A93">
        <v>1968</v>
      </c>
      <c r="B93">
        <v>26.6</v>
      </c>
      <c r="C93" s="2">
        <f>$F$5*A93+$F$6</f>
        <v>27.629855166178359</v>
      </c>
    </row>
    <row r="94" spans="1:3" x14ac:dyDescent="0.7">
      <c r="A94">
        <v>1969</v>
      </c>
      <c r="B94">
        <v>27.2</v>
      </c>
      <c r="C94" s="2">
        <f>$F$5*A94+$F$6</f>
        <v>27.646856688335475</v>
      </c>
    </row>
    <row r="95" spans="1:3" x14ac:dyDescent="0.7">
      <c r="A95">
        <v>1970</v>
      </c>
      <c r="B95">
        <v>27.4</v>
      </c>
      <c r="C95" s="2">
        <f>$F$5*A95+$F$6</f>
        <v>27.663858210492592</v>
      </c>
    </row>
    <row r="96" spans="1:3" x14ac:dyDescent="0.7">
      <c r="A96">
        <v>1971</v>
      </c>
      <c r="B96">
        <v>26.8</v>
      </c>
      <c r="C96" s="2">
        <f>$F$5*A96+$F$6</f>
        <v>27.680859732649701</v>
      </c>
    </row>
    <row r="97" spans="1:3" x14ac:dyDescent="0.7">
      <c r="A97">
        <v>1972</v>
      </c>
      <c r="B97">
        <v>26.6</v>
      </c>
      <c r="C97" s="2">
        <f>$F$5*A97+$F$6</f>
        <v>27.697861254806817</v>
      </c>
    </row>
    <row r="98" spans="1:3" x14ac:dyDescent="0.7">
      <c r="A98">
        <v>1973</v>
      </c>
      <c r="B98">
        <v>27.8</v>
      </c>
      <c r="C98" s="2">
        <f>$F$5*A98+$F$6</f>
        <v>27.714862776963933</v>
      </c>
    </row>
    <row r="99" spans="1:3" x14ac:dyDescent="0.7">
      <c r="A99">
        <v>1974</v>
      </c>
      <c r="B99">
        <v>27.5</v>
      </c>
      <c r="C99" s="2">
        <f>$F$5*A99+$F$6</f>
        <v>27.73186429912105</v>
      </c>
    </row>
    <row r="100" spans="1:3" x14ac:dyDescent="0.7">
      <c r="A100">
        <v>1975</v>
      </c>
      <c r="B100">
        <v>26.8</v>
      </c>
      <c r="C100" s="2">
        <f>$F$5*A100+$F$6</f>
        <v>27.748865821278159</v>
      </c>
    </row>
    <row r="101" spans="1:3" x14ac:dyDescent="0.7">
      <c r="A101">
        <v>1976</v>
      </c>
      <c r="B101">
        <v>26.2</v>
      </c>
      <c r="C101" s="2">
        <f>$F$5*A101+$F$6</f>
        <v>27.765867343435275</v>
      </c>
    </row>
    <row r="102" spans="1:3" x14ac:dyDescent="0.7">
      <c r="A102">
        <v>1977</v>
      </c>
      <c r="B102">
        <v>26.9</v>
      </c>
      <c r="C102" s="2">
        <f>$F$5*A102+$F$6</f>
        <v>27.782868865592391</v>
      </c>
    </row>
    <row r="103" spans="1:3" x14ac:dyDescent="0.7">
      <c r="A103">
        <v>1978</v>
      </c>
      <c r="B103">
        <v>28</v>
      </c>
      <c r="C103" s="2">
        <f>$F$5*A103+$F$6</f>
        <v>27.7998703877495</v>
      </c>
    </row>
    <row r="104" spans="1:3" x14ac:dyDescent="0.7">
      <c r="A104">
        <v>1979</v>
      </c>
      <c r="B104">
        <v>27.8</v>
      </c>
      <c r="C104" s="2">
        <f>$F$5*A104+$F$6</f>
        <v>27.816871909906617</v>
      </c>
    </row>
    <row r="105" spans="1:3" x14ac:dyDescent="0.7">
      <c r="A105">
        <v>1980</v>
      </c>
      <c r="B105">
        <v>25.5</v>
      </c>
      <c r="C105" s="2">
        <f>$F$5*A105+$F$6</f>
        <v>27.833873432063733</v>
      </c>
    </row>
    <row r="106" spans="1:3" x14ac:dyDescent="0.7">
      <c r="A106">
        <v>1981</v>
      </c>
      <c r="B106">
        <v>26.3</v>
      </c>
      <c r="C106" s="2">
        <f>$F$5*A106+$F$6</f>
        <v>27.850874954220842</v>
      </c>
    </row>
    <row r="107" spans="1:3" x14ac:dyDescent="0.7">
      <c r="A107">
        <v>1982</v>
      </c>
      <c r="B107">
        <v>26.1</v>
      </c>
      <c r="C107" s="2">
        <f>$F$5*A107+$F$6</f>
        <v>27.867876476377958</v>
      </c>
    </row>
    <row r="108" spans="1:3" x14ac:dyDescent="0.7">
      <c r="A108">
        <v>1983</v>
      </c>
      <c r="B108">
        <v>28.5</v>
      </c>
      <c r="C108" s="2">
        <f>$F$5*A108+$F$6</f>
        <v>27.884877998535075</v>
      </c>
    </row>
    <row r="109" spans="1:3" x14ac:dyDescent="0.7">
      <c r="A109">
        <v>1984</v>
      </c>
      <c r="B109">
        <v>28.3</v>
      </c>
      <c r="C109" s="2">
        <f>$F$5*A109+$F$6</f>
        <v>27.901879520692191</v>
      </c>
    </row>
    <row r="110" spans="1:3" x14ac:dyDescent="0.7">
      <c r="A110">
        <v>1985</v>
      </c>
      <c r="B110">
        <v>28.1</v>
      </c>
      <c r="C110" s="2">
        <f>$F$5*A110+$F$6</f>
        <v>27.9188810428493</v>
      </c>
    </row>
    <row r="111" spans="1:3" x14ac:dyDescent="0.7">
      <c r="A111">
        <v>1986</v>
      </c>
      <c r="B111">
        <v>27.5</v>
      </c>
      <c r="C111" s="2">
        <f>$F$5*A111+$F$6</f>
        <v>27.935882565006416</v>
      </c>
    </row>
    <row r="112" spans="1:3" x14ac:dyDescent="0.7">
      <c r="A112">
        <v>1987</v>
      </c>
      <c r="B112">
        <v>27.3</v>
      </c>
      <c r="C112" s="2">
        <f>$F$5*A112+$F$6</f>
        <v>27.952884087163532</v>
      </c>
    </row>
    <row r="113" spans="1:3" x14ac:dyDescent="0.7">
      <c r="A113">
        <v>1988</v>
      </c>
      <c r="B113">
        <v>27.1</v>
      </c>
      <c r="C113" s="2">
        <f>$F$5*A113+$F$6</f>
        <v>27.969885609320642</v>
      </c>
    </row>
    <row r="114" spans="1:3" x14ac:dyDescent="0.7">
      <c r="A114">
        <v>1989</v>
      </c>
      <c r="B114">
        <v>26.8</v>
      </c>
      <c r="C114" s="2">
        <f>$F$5*A114+$F$6</f>
        <v>27.986887131477758</v>
      </c>
    </row>
    <row r="115" spans="1:3" x14ac:dyDescent="0.7">
      <c r="A115">
        <v>1990</v>
      </c>
      <c r="B115">
        <v>28.5</v>
      </c>
      <c r="C115" s="2">
        <f>$F$5*A115+$F$6</f>
        <v>28.003888653634874</v>
      </c>
    </row>
    <row r="116" spans="1:3" x14ac:dyDescent="0.7">
      <c r="A116">
        <v>1991</v>
      </c>
      <c r="B116">
        <v>27.5</v>
      </c>
      <c r="C116" s="2">
        <f>$F$5*A116+$F$6</f>
        <v>28.020890175791983</v>
      </c>
    </row>
    <row r="117" spans="1:3" x14ac:dyDescent="0.7">
      <c r="A117">
        <v>1992</v>
      </c>
      <c r="B117">
        <v>27.2</v>
      </c>
      <c r="C117" s="2">
        <f>$F$5*A117+$F$6</f>
        <v>28.0378916979491</v>
      </c>
    </row>
    <row r="118" spans="1:3" x14ac:dyDescent="0.7">
      <c r="A118">
        <v>1993</v>
      </c>
      <c r="B118">
        <v>25.7</v>
      </c>
      <c r="C118" s="2">
        <f>$F$5*A118+$F$6</f>
        <v>28.054893220106216</v>
      </c>
    </row>
    <row r="119" spans="1:3" x14ac:dyDescent="0.7">
      <c r="A119">
        <v>1994</v>
      </c>
      <c r="B119">
        <v>29.1</v>
      </c>
      <c r="C119" s="2">
        <f>$F$5*A119+$F$6</f>
        <v>28.071894742263325</v>
      </c>
    </row>
    <row r="120" spans="1:3" x14ac:dyDescent="0.7">
      <c r="A120">
        <v>1995</v>
      </c>
      <c r="B120">
        <v>29.1</v>
      </c>
      <c r="C120" s="2">
        <f>$F$5*A120+$F$6</f>
        <v>28.088896264420441</v>
      </c>
    </row>
    <row r="121" spans="1:3" x14ac:dyDescent="0.7">
      <c r="A121">
        <v>1996</v>
      </c>
      <c r="B121">
        <v>27.7</v>
      </c>
      <c r="C121" s="2">
        <f>$F$5*A121+$F$6</f>
        <v>28.105897786577557</v>
      </c>
    </row>
    <row r="122" spans="1:3" x14ac:dyDescent="0.7">
      <c r="A122">
        <v>1997</v>
      </c>
      <c r="B122">
        <v>27.3</v>
      </c>
      <c r="C122" s="2">
        <f>$F$5*A122+$F$6</f>
        <v>28.122899308734674</v>
      </c>
    </row>
    <row r="123" spans="1:3" x14ac:dyDescent="0.7">
      <c r="A123">
        <v>1998</v>
      </c>
      <c r="B123">
        <v>28.4</v>
      </c>
      <c r="C123" s="2">
        <f>$F$5*A123+$F$6</f>
        <v>28.139900830891783</v>
      </c>
    </row>
    <row r="124" spans="1:3" x14ac:dyDescent="0.7">
      <c r="A124">
        <v>1999</v>
      </c>
      <c r="B124">
        <v>28</v>
      </c>
      <c r="C124" s="2">
        <f>$F$5*A124+$F$6</f>
        <v>28.156902353048899</v>
      </c>
    </row>
    <row r="125" spans="1:3" x14ac:dyDescent="0.7">
      <c r="A125">
        <v>2000</v>
      </c>
      <c r="B125">
        <v>29.1</v>
      </c>
      <c r="C125" s="2">
        <f>$F$5*A125+$F$6</f>
        <v>28.173903875206015</v>
      </c>
    </row>
    <row r="126" spans="1:3" x14ac:dyDescent="0.7">
      <c r="A126">
        <v>2001</v>
      </c>
      <c r="B126">
        <v>28.7</v>
      </c>
      <c r="C126" s="2">
        <f>$F$5*A126+$F$6</f>
        <v>28.190905397363125</v>
      </c>
    </row>
    <row r="127" spans="1:3" x14ac:dyDescent="0.7">
      <c r="A127">
        <v>2002</v>
      </c>
      <c r="B127">
        <v>28.5</v>
      </c>
      <c r="C127" s="2">
        <f>$F$5*A127+$F$6</f>
        <v>28.207906919520241</v>
      </c>
    </row>
    <row r="128" spans="1:3" x14ac:dyDescent="0.7">
      <c r="A128">
        <v>2003</v>
      </c>
      <c r="B128">
        <v>27.8</v>
      </c>
      <c r="C128" s="2">
        <f>$F$5*A128+$F$6</f>
        <v>28.224908441677357</v>
      </c>
    </row>
    <row r="129" spans="1:3" x14ac:dyDescent="0.7">
      <c r="A129">
        <v>2004</v>
      </c>
      <c r="B129">
        <v>28.2</v>
      </c>
      <c r="C129" s="2">
        <f>$F$5*A129+$F$6</f>
        <v>28.241909963834466</v>
      </c>
    </row>
    <row r="130" spans="1:3" x14ac:dyDescent="0.7">
      <c r="A130">
        <v>2005</v>
      </c>
      <c r="B130">
        <v>28.3</v>
      </c>
      <c r="C130" s="2">
        <f>$F$5*A130+$F$6</f>
        <v>28.258911485991582</v>
      </c>
    </row>
    <row r="131" spans="1:3" x14ac:dyDescent="0.7">
      <c r="A131">
        <v>2006</v>
      </c>
      <c r="B131">
        <v>29.4</v>
      </c>
      <c r="C131" s="2">
        <f>$F$5*A131+$F$6</f>
        <v>28.275913008148699</v>
      </c>
    </row>
    <row r="132" spans="1:3" x14ac:dyDescent="0.7">
      <c r="A132">
        <v>2007</v>
      </c>
      <c r="B132">
        <v>29</v>
      </c>
      <c r="C132" s="2">
        <f>$F$5*A132+$F$6</f>
        <v>28.292914530305808</v>
      </c>
    </row>
    <row r="133" spans="1:3" x14ac:dyDescent="0.7">
      <c r="A133">
        <v>2008</v>
      </c>
      <c r="B133">
        <v>28.3</v>
      </c>
      <c r="C133" s="2">
        <f>$F$5*A133+$F$6</f>
        <v>28.309916052462924</v>
      </c>
    </row>
    <row r="134" spans="1:3" x14ac:dyDescent="0.7">
      <c r="A134">
        <v>2009</v>
      </c>
      <c r="B134">
        <v>27.9</v>
      </c>
      <c r="C134" s="2">
        <f>$F$5*A134+$F$6</f>
        <v>28.32691757462004</v>
      </c>
    </row>
    <row r="135" spans="1:3" x14ac:dyDescent="0.7">
      <c r="A135">
        <v>2010</v>
      </c>
      <c r="B135">
        <v>29.8</v>
      </c>
      <c r="C135" s="2">
        <f>$F$5*A135+$F$6</f>
        <v>28.343919096777157</v>
      </c>
    </row>
    <row r="136" spans="1:3" x14ac:dyDescent="0.7">
      <c r="A136">
        <v>2011</v>
      </c>
      <c r="B136">
        <v>28.8</v>
      </c>
      <c r="C136" s="2">
        <f>$F$5*A136+$F$6</f>
        <v>28.360920618934266</v>
      </c>
    </row>
    <row r="137" spans="1:3" x14ac:dyDescent="0.7">
      <c r="A137">
        <v>2012</v>
      </c>
      <c r="B137">
        <v>29.3</v>
      </c>
      <c r="C137" s="2">
        <f>$F$5*A137+$F$6</f>
        <v>28.377922141091382</v>
      </c>
    </row>
    <row r="138" spans="1:3" x14ac:dyDescent="0.7">
      <c r="A138">
        <v>2013</v>
      </c>
      <c r="B138">
        <v>29.4</v>
      </c>
      <c r="C138" s="2">
        <f>$F$5*A138+$F$6</f>
        <v>28.394923663248498</v>
      </c>
    </row>
    <row r="139" spans="1:3" x14ac:dyDescent="0.7">
      <c r="A139">
        <v>2014</v>
      </c>
      <c r="B139">
        <v>27.4</v>
      </c>
      <c r="C139" s="2">
        <f>$F$5*A139+$F$6</f>
        <v>28.411925185405607</v>
      </c>
    </row>
    <row r="140" spans="1:3" x14ac:dyDescent="0.7">
      <c r="A140">
        <v>2015</v>
      </c>
      <c r="B140">
        <v>28.3</v>
      </c>
      <c r="C140" s="2">
        <f>$F$5*A140+$F$6</f>
        <v>28.428926707562724</v>
      </c>
    </row>
    <row r="141" spans="1:3" x14ac:dyDescent="0.7">
      <c r="A141">
        <v>2016</v>
      </c>
      <c r="B141">
        <v>29.4</v>
      </c>
      <c r="C141" s="2">
        <f>$F$5*A141+$F$6</f>
        <v>28.44592822971984</v>
      </c>
    </row>
    <row r="142" spans="1:3" x14ac:dyDescent="0.7">
      <c r="A142">
        <v>2017</v>
      </c>
      <c r="B142">
        <v>29.1</v>
      </c>
      <c r="C142" s="2">
        <f>$F$5*A142+$F$6</f>
        <v>28.462929751876949</v>
      </c>
    </row>
    <row r="143" spans="1:3" x14ac:dyDescent="0.7">
      <c r="A143">
        <v>2018</v>
      </c>
      <c r="B143">
        <v>29.1</v>
      </c>
      <c r="C143" s="2">
        <f>$F$5*A143+$F$6</f>
        <v>28.479931274034065</v>
      </c>
    </row>
    <row r="144" spans="1:3" x14ac:dyDescent="0.7">
      <c r="A144">
        <v>2019</v>
      </c>
      <c r="B144">
        <v>28.8</v>
      </c>
      <c r="C144" s="2">
        <f>$F$5*A144+$F$6</f>
        <v>28.496932796191182</v>
      </c>
    </row>
    <row r="145" spans="1:3" x14ac:dyDescent="0.7">
      <c r="A145">
        <v>2020</v>
      </c>
      <c r="B145">
        <v>30</v>
      </c>
      <c r="C145" s="2">
        <f>$F$5*A145+$F$6</f>
        <v>28.513934318348298</v>
      </c>
    </row>
    <row r="146" spans="1:3" x14ac:dyDescent="0.7">
      <c r="A146">
        <v>2021</v>
      </c>
      <c r="B146">
        <v>27.8</v>
      </c>
      <c r="C146" s="2">
        <f>$F$5*A146+$F$6</f>
        <v>28.530935840505407</v>
      </c>
    </row>
    <row r="147" spans="1:3" x14ac:dyDescent="0.7">
      <c r="A147">
        <v>2022</v>
      </c>
      <c r="B147">
        <v>29.2</v>
      </c>
      <c r="C147" s="2">
        <f>$F$5*A147+$F$6</f>
        <v>28.547937362662523</v>
      </c>
    </row>
    <row r="148" spans="1:3" x14ac:dyDescent="0.7">
      <c r="A148">
        <v>2023</v>
      </c>
      <c r="B148">
        <v>29.7</v>
      </c>
      <c r="C148" s="2">
        <f>$F$5*A148+$F$6</f>
        <v>28.564938884819639</v>
      </c>
    </row>
    <row r="149" spans="1:3" x14ac:dyDescent="0.7">
      <c r="A149">
        <v>2024</v>
      </c>
      <c r="B149">
        <v>30.2</v>
      </c>
      <c r="C149" s="2">
        <f>$F$5*A149+$F$6</f>
        <v>28.581940406976749</v>
      </c>
    </row>
    <row r="150" spans="1:3" x14ac:dyDescent="0.7">
      <c r="A150">
        <v>2025</v>
      </c>
      <c r="C150" s="2">
        <f>$F$5*A150+$F$6</f>
        <v>28.598941929133865</v>
      </c>
    </row>
    <row r="151" spans="1:3" x14ac:dyDescent="0.7">
      <c r="A151">
        <v>2026</v>
      </c>
      <c r="C151" s="2">
        <f>$F$5*A151+$F$6</f>
        <v>28.615943451290981</v>
      </c>
    </row>
    <row r="152" spans="1:3" x14ac:dyDescent="0.7">
      <c r="A152">
        <v>2027</v>
      </c>
      <c r="C152" s="2">
        <f>$F$5*A152+$F$6</f>
        <v>28.63294497344809</v>
      </c>
    </row>
    <row r="153" spans="1:3" x14ac:dyDescent="0.7">
      <c r="A153">
        <v>2028</v>
      </c>
      <c r="C153" s="2">
        <f>$F$5*A153+$F$6</f>
        <v>28.649946495605207</v>
      </c>
    </row>
    <row r="154" spans="1:3" x14ac:dyDescent="0.7">
      <c r="A154">
        <v>2029</v>
      </c>
      <c r="C154" s="2">
        <f>$F$5*A154+$F$6</f>
        <v>28.666948017762323</v>
      </c>
    </row>
    <row r="155" spans="1:3" x14ac:dyDescent="0.7">
      <c r="A155">
        <v>2030</v>
      </c>
      <c r="C155" s="2">
        <f>$F$5*A155+$F$6</f>
        <v>28.683949539919432</v>
      </c>
    </row>
    <row r="156" spans="1:3" x14ac:dyDescent="0.7">
      <c r="A156">
        <v>2031</v>
      </c>
      <c r="C156" s="2">
        <f>$F$5*A156+$F$6</f>
        <v>28.700951062076548</v>
      </c>
    </row>
    <row r="157" spans="1:3" x14ac:dyDescent="0.7">
      <c r="A157">
        <v>2032</v>
      </c>
      <c r="C157" s="2">
        <f>$F$5*A157+$F$6</f>
        <v>28.717952584233664</v>
      </c>
    </row>
    <row r="158" spans="1:3" x14ac:dyDescent="0.7">
      <c r="A158">
        <v>2033</v>
      </c>
      <c r="C158" s="2">
        <f>$F$5*A158+$F$6</f>
        <v>28.734954106390781</v>
      </c>
    </row>
    <row r="159" spans="1:3" x14ac:dyDescent="0.7">
      <c r="A159">
        <v>2034</v>
      </c>
      <c r="C159" s="2">
        <f>$F$5*A159+$F$6</f>
        <v>28.75195562854789</v>
      </c>
    </row>
    <row r="160" spans="1:3" x14ac:dyDescent="0.7">
      <c r="A160">
        <v>2035</v>
      </c>
      <c r="C160" s="2">
        <f>$F$5*A160+$F$6</f>
        <v>28.768957150705006</v>
      </c>
    </row>
    <row r="161" spans="1:5" x14ac:dyDescent="0.7">
      <c r="A161">
        <v>2036</v>
      </c>
      <c r="C161" s="2">
        <f>$F$5*A161+$F$6</f>
        <v>28.785958672862122</v>
      </c>
    </row>
    <row r="162" spans="1:5" x14ac:dyDescent="0.7">
      <c r="A162">
        <v>2037</v>
      </c>
      <c r="C162" s="2">
        <f>$F$5*A162+$F$6</f>
        <v>28.802960195019232</v>
      </c>
    </row>
    <row r="163" spans="1:5" x14ac:dyDescent="0.7">
      <c r="A163">
        <v>2038</v>
      </c>
      <c r="C163" s="2">
        <f>$F$5*A163+$F$6</f>
        <v>28.819961717176348</v>
      </c>
    </row>
    <row r="164" spans="1:5" x14ac:dyDescent="0.7">
      <c r="A164">
        <v>2039</v>
      </c>
      <c r="C164" s="2">
        <f>$F$5*A164+$F$6</f>
        <v>28.836963239333464</v>
      </c>
    </row>
    <row r="165" spans="1:5" x14ac:dyDescent="0.7">
      <c r="A165">
        <v>2040</v>
      </c>
      <c r="C165" s="2">
        <f>$F$5*A165+$F$6</f>
        <v>28.853964761490573</v>
      </c>
      <c r="E165" s="3">
        <f>C165-C5</f>
        <v>2.7202435451382527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2</vt:i4>
      </vt:variant>
    </vt:vector>
  </HeadingPairs>
  <TitlesOfParts>
    <vt:vector size="3" baseType="lpstr">
      <vt:lpstr>in</vt:lpstr>
      <vt:lpstr>グラフ1</vt:lpstr>
      <vt:lpstr>グラフ2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三浦　欽也</cp:lastModifiedBy>
  <cp:revision/>
  <dcterms:created xsi:type="dcterms:W3CDTF">2024-10-16T12:45:45Z</dcterms:created>
  <dcterms:modified xsi:type="dcterms:W3CDTF">2024-10-17T13:09:30Z</dcterms:modified>
  <cp:category/>
  <cp:contentStatus/>
</cp:coreProperties>
</file>