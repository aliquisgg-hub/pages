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AppData\Local\Temp\MicrosoftEdgeDownloads\55fc86b5-3f40-469d-92a7-67214816bc56\"/>
    </mc:Choice>
  </mc:AlternateContent>
  <xr:revisionPtr revIDLastSave="0" documentId="13_ncr:1_{65FB7ACA-8883-464F-A6B0-659C800FFD58}" xr6:coauthVersionLast="36" xr6:coauthVersionMax="47" xr10:uidLastSave="{00000000-0000-0000-0000-000000000000}"/>
  <bookViews>
    <workbookView xWindow="0" yWindow="0" windowWidth="19200" windowHeight="9563" xr2:uid="{00000000-000D-0000-FFFF-FFFF00000000}"/>
  </bookViews>
  <sheets>
    <sheet name="co2Profet" sheetId="1" r:id="rId1"/>
  </sheets>
  <calcPr calcId="191029"/>
</workbook>
</file>

<file path=xl/calcChain.xml><?xml version="1.0" encoding="utf-8"?>
<calcChain xmlns="http://schemas.openxmlformats.org/spreadsheetml/2006/main">
  <c r="E34" i="1" l="1"/>
  <c r="C30" i="1" l="1"/>
  <c r="F32" i="1"/>
  <c r="F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  <author>miura@mail.kobe-c.ac.jp</author>
  </authors>
  <commentList>
    <comment ref="C1" authorId="0" shapeId="0" xr:uid="{4C25E8D1-0365-4637-9DDC-E16C752B7BB3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傾向変動の推測値</t>
        </r>
      </text>
    </comment>
    <comment ref="F1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CO2の推測値</t>
        </r>
      </text>
    </comment>
    <comment ref="B3" authorId="0" shapeId="0" xr:uid="{00000000-0006-0000-0000-00000300000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3/31 に一番近い季節はここ</t>
        </r>
      </text>
    </comment>
    <comment ref="F3" authorId="0" shapeId="0" xr:uid="{00000000-0006-0000-0000-00000400000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これは推測値だが，
観測値は 317.46 
なので，あまり変わらない</t>
        </r>
      </text>
    </comment>
    <comment ref="D15" authorId="1" shapeId="0" xr:uid="{4C0319B6-C7A4-4EA4-B32C-206F34CEB40A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傾向変動の推測値の80%信頼区間の下限</t>
        </r>
      </text>
    </comment>
    <comment ref="E15" authorId="1" shapeId="0" xr:uid="{CB91C8B2-2D2F-46B0-B550-040ABAEDF4C4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傾向変動の推測値の80%信頼区間の上限</t>
        </r>
      </text>
    </comment>
  </commentList>
</comments>
</file>

<file path=xl/sharedStrings.xml><?xml version="1.0" encoding="utf-8"?>
<sst xmlns="http://schemas.openxmlformats.org/spreadsheetml/2006/main" count="26" uniqueCount="17">
  <si>
    <t>ds</t>
  </si>
  <si>
    <t>trend</t>
  </si>
  <si>
    <t>trend_lower</t>
  </si>
  <si>
    <t>trend_upper</t>
  </si>
  <si>
    <t>yhat</t>
  </si>
  <si>
    <t>yhat_lower</t>
  </si>
  <si>
    <t>yhat_upper</t>
  </si>
  <si>
    <t>yearly</t>
  </si>
  <si>
    <t>（中略）</t>
    <phoneticPr fontId="18"/>
  </si>
  <si>
    <t>↑</t>
    <phoneticPr fontId="18"/>
  </si>
  <si>
    <t>1958-04-01からの差は</t>
    <rPh sb="13" eb="14">
      <t>サ</t>
    </rPh>
    <phoneticPr fontId="18"/>
  </si>
  <si>
    <t>1958-03-01からの差は</t>
    <rPh sb="13" eb="14">
      <t>サ</t>
    </rPh>
    <phoneticPr fontId="18"/>
  </si>
  <si>
    <t>(= 460.100484 - 314.857790)</t>
    <phoneticPr fontId="18"/>
  </si>
  <si>
    <t>(推測値との差)</t>
    <rPh sb="1" eb="4">
      <t>スイソクチ</t>
    </rPh>
    <rPh sb="6" eb="7">
      <t>サ</t>
    </rPh>
    <phoneticPr fontId="18"/>
  </si>
  <si>
    <t>(観測値)</t>
    <rPh sb="1" eb="4">
      <t>カンソクチ</t>
    </rPh>
    <phoneticPr fontId="18"/>
  </si>
  <si>
    <t>(= 462.633178 - 317.515512)</t>
    <phoneticPr fontId="18"/>
  </si>
  <si>
    <t>(= 462.633178 - 317.46)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</si>
</sst>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_);[Red]\(0.000000\)"/>
    <numFmt numFmtId="177" formatCode="0.000000_ "/>
    <numFmt numFmtId="178" formatCode="yyyy\-mm\-dd"/>
  </numFmts>
  <fonts count="22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0" fillId="33" borderId="0" xfId="0" applyNumberFormat="1" applyFill="1" applyAlignment="1">
      <alignment horizontal="center" vertical="center"/>
    </xf>
    <xf numFmtId="0" fontId="19" fillId="33" borderId="0" xfId="0" applyNumberFormat="1" applyFont="1" applyFill="1" applyAlignment="1">
      <alignment horizontal="center" vertical="center"/>
    </xf>
    <xf numFmtId="0" fontId="0" fillId="34" borderId="0" xfId="0" applyFill="1">
      <alignment vertical="center"/>
    </xf>
    <xf numFmtId="178" fontId="0" fillId="34" borderId="0" xfId="0" applyNumberFormat="1" applyFill="1">
      <alignment vertical="center"/>
    </xf>
    <xf numFmtId="176" fontId="0" fillId="34" borderId="0" xfId="0" applyNumberFormat="1" applyFill="1">
      <alignment vertical="center"/>
    </xf>
    <xf numFmtId="177" fontId="0" fillId="34" borderId="0" xfId="0" applyNumberFormat="1" applyFill="1">
      <alignment vertical="center"/>
    </xf>
    <xf numFmtId="176" fontId="19" fillId="34" borderId="0" xfId="0" applyNumberFormat="1" applyFont="1" applyFill="1" applyAlignment="1">
      <alignment vertical="center" shrinkToFit="1"/>
    </xf>
    <xf numFmtId="178" fontId="19" fillId="34" borderId="0" xfId="0" applyNumberFormat="1" applyFont="1" applyFill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19" fillId="0" borderId="0" xfId="0" applyNumberFormat="1" applyFont="1" applyAlignment="1">
      <alignment vertical="center" shrinkToFit="1"/>
    </xf>
    <xf numFmtId="176" fontId="0" fillId="0" borderId="0" xfId="0" applyNumberFormat="1" applyAlignment="1">
      <alignment horizontal="left" vertical="center" indent="1"/>
    </xf>
    <xf numFmtId="176" fontId="14" fillId="34" borderId="0" xfId="0" applyNumberFormat="1" applyFont="1" applyFill="1">
      <alignment vertical="center"/>
    </xf>
    <xf numFmtId="176" fontId="19" fillId="0" borderId="0" xfId="0" applyNumberFormat="1" applyFont="1" applyAlignment="1">
      <alignment horizontal="lef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461963</xdr:colOff>
      <xdr:row>27</xdr:row>
      <xdr:rowOff>9526</xdr:rowOff>
    </xdr:from>
    <xdr:to>
      <xdr:col>4</xdr:col>
      <xdr:colOff>119062</xdr:colOff>
      <xdr:row>33</xdr:row>
      <xdr:rowOff>0</xdr:rowOff>
    </xdr:to>
    <xdr:cxnSp macro="">
      <xdr:nvCxnSpPr>
        <xdr:cNvPr id="6" name="コネクタ: カギ線 5">
          <a:extLst>
            <a:ext uri="{FF2B5EF4-FFF2-40B4-BE49-F238E27FC236}">
              <a16:creationId xmlns:a16="http://schemas.microsoft.com/office/drawing/2014/main" id="{2144D282-E010-48C9-82F4-7A1BEF53E6AB}"/>
            </a:ext>
          </a:extLst>
        </xdr:cNvPr>
        <xdr:cNvCxnSpPr/>
      </xdr:nvCxnSpPr>
      <xdr:spPr>
        <a:xfrm rot="16200000" flipV="1">
          <a:off x="2233613" y="6396039"/>
          <a:ext cx="1333499" cy="647699"/>
        </a:xfrm>
        <a:prstGeom prst="bentConnector3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123827</xdr:colOff>
      <xdr:row>27</xdr:row>
      <xdr:rowOff>14288</xdr:rowOff>
    </xdr:from>
    <xdr:to>
      <xdr:col>4</xdr:col>
      <xdr:colOff>433386</xdr:colOff>
      <xdr:row>33</xdr:row>
      <xdr:rowOff>6</xdr:rowOff>
    </xdr:to>
    <xdr:cxnSp macro="">
      <xdr:nvCxnSpPr>
        <xdr:cNvPr id="7" name="コネクタ: カギ線 6">
          <a:extLst>
            <a:ext uri="{FF2B5EF4-FFF2-40B4-BE49-F238E27FC236}">
              <a16:creationId xmlns:a16="http://schemas.microsoft.com/office/drawing/2014/main" id="{E47F4825-157D-46FF-8B05-37780A303891}"/>
            </a:ext>
          </a:extLst>
        </xdr:cNvPr>
        <xdr:cNvCxnSpPr/>
      </xdr:nvCxnSpPr>
      <xdr:spPr>
        <a:xfrm rot="5400000" flipH="1" flipV="1">
          <a:off x="2719385" y="6567493"/>
          <a:ext cx="1328743" cy="309559"/>
        </a:xfrm>
        <a:prstGeom prst="bentConnector3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3</xdr:col>
      <xdr:colOff>919161</xdr:colOff>
      <xdr:row>28</xdr:row>
      <xdr:rowOff>114300</xdr:rowOff>
    </xdr:from>
    <xdr:ext cx="389850" cy="43569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2C479672-961A-4F82-869E-EF04B7B45D81}"/>
            </a:ext>
          </a:extLst>
        </xdr:cNvPr>
        <xdr:cNvSpPr txBox="1"/>
      </xdr:nvSpPr>
      <xdr:spPr>
        <a:xfrm>
          <a:off x="3033711" y="6381750"/>
          <a:ext cx="389850" cy="4356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600">
              <a:solidFill>
                <a:srgbClr val="FF0000"/>
              </a:solidFill>
            </a:rPr>
            <a:t>差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zoomScaleNormal="100" workbookViewId="0"/>
  </sheetViews>
  <sheetFormatPr defaultRowHeight="17.649999999999999"/>
  <cols>
    <col min="1" max="1" width="4.5" bestFit="1" customWidth="1"/>
    <col min="2" max="2" width="11.375" style="3" bestFit="1" customWidth="1"/>
    <col min="3" max="3" width="11.875" style="1" bestFit="1" customWidth="1"/>
    <col min="4" max="4" width="13" style="1" bestFit="1" customWidth="1"/>
    <col min="5" max="5" width="13.125" style="1" bestFit="1" customWidth="1"/>
    <col min="6" max="6" width="11.875" style="1" bestFit="1" customWidth="1"/>
    <col min="7" max="7" width="12" style="1" bestFit="1" customWidth="1"/>
    <col min="8" max="8" width="12.125" style="1" bestFit="1" customWidth="1"/>
    <col min="9" max="9" width="10.375" style="2" bestFit="1" customWidth="1"/>
  </cols>
  <sheetData>
    <row r="1" spans="1:9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>
      <c r="A2">
        <v>0</v>
      </c>
      <c r="B2" s="3">
        <v>21245</v>
      </c>
      <c r="C2" s="14">
        <v>314.857790276505</v>
      </c>
      <c r="D2" s="1">
        <v>314.857790276505</v>
      </c>
      <c r="E2" s="1">
        <v>314.857790276505</v>
      </c>
      <c r="F2" s="1">
        <v>316.19884123063702</v>
      </c>
      <c r="G2" s="1">
        <v>315.61458365572702</v>
      </c>
      <c r="H2" s="1">
        <v>316.75219611736202</v>
      </c>
      <c r="I2" s="2">
        <v>1.34105095413167</v>
      </c>
    </row>
    <row r="3" spans="1:9">
      <c r="A3" s="6">
        <v>1</v>
      </c>
      <c r="B3" s="11">
        <v>21276</v>
      </c>
      <c r="C3" s="8">
        <v>314.93396031473901</v>
      </c>
      <c r="D3" s="8">
        <v>314.93396031473901</v>
      </c>
      <c r="E3" s="8">
        <v>314.93396031473901</v>
      </c>
      <c r="F3" s="10">
        <v>317.515511888383</v>
      </c>
      <c r="G3" s="8">
        <v>316.99537424366503</v>
      </c>
      <c r="H3" s="8">
        <v>318.04860156701301</v>
      </c>
      <c r="I3" s="9">
        <v>2.58155157364431</v>
      </c>
    </row>
    <row r="4" spans="1:9">
      <c r="A4">
        <v>2</v>
      </c>
      <c r="B4" s="3">
        <v>21306</v>
      </c>
      <c r="C4" s="1">
        <v>315.00767325496503</v>
      </c>
      <c r="D4" s="1">
        <v>315.00767325496503</v>
      </c>
      <c r="E4" s="1">
        <v>315.00767325496503</v>
      </c>
      <c r="F4" s="1">
        <v>318.08307057313101</v>
      </c>
      <c r="G4" s="1">
        <v>317.55057653094099</v>
      </c>
      <c r="H4" s="1">
        <v>318.65329963145001</v>
      </c>
      <c r="I4" s="2">
        <v>3.0753973181656602</v>
      </c>
    </row>
    <row r="5" spans="1:9">
      <c r="A5" s="6">
        <v>3</v>
      </c>
      <c r="B5" s="7">
        <v>21367</v>
      </c>
      <c r="C5" s="8">
        <v>315.157556233425</v>
      </c>
      <c r="D5" s="8">
        <v>315.157556233425</v>
      </c>
      <c r="E5" s="8">
        <v>315.157556233425</v>
      </c>
      <c r="F5" s="8">
        <v>315.88615667913098</v>
      </c>
      <c r="G5" s="8">
        <v>315.31056097345601</v>
      </c>
      <c r="H5" s="8">
        <v>316.43261979449198</v>
      </c>
      <c r="I5" s="9">
        <v>0.728600445705893</v>
      </c>
    </row>
    <row r="6" spans="1:9">
      <c r="A6">
        <v>4</v>
      </c>
      <c r="B6" s="3">
        <v>21398</v>
      </c>
      <c r="C6" s="1">
        <v>315.23372627165799</v>
      </c>
      <c r="D6" s="1">
        <v>315.23372627165799</v>
      </c>
      <c r="E6" s="1">
        <v>315.23372627165799</v>
      </c>
      <c r="F6" s="1">
        <v>313.84074653941798</v>
      </c>
      <c r="G6" s="1">
        <v>313.29639345261597</v>
      </c>
      <c r="H6" s="1">
        <v>314.39147057029697</v>
      </c>
      <c r="I6" s="2">
        <v>-1.39297973224044</v>
      </c>
    </row>
    <row r="7" spans="1:9">
      <c r="A7" s="6">
        <v>5</v>
      </c>
      <c r="B7" s="7">
        <v>21429</v>
      </c>
      <c r="C7" s="8">
        <v>315.309896309892</v>
      </c>
      <c r="D7" s="8">
        <v>315.309896309892</v>
      </c>
      <c r="E7" s="8">
        <v>315.309896309892</v>
      </c>
      <c r="F7" s="8">
        <v>312.119939284336</v>
      </c>
      <c r="G7" s="8">
        <v>311.58605569379802</v>
      </c>
      <c r="H7" s="8">
        <v>312.68487119579203</v>
      </c>
      <c r="I7" s="9">
        <v>-3.18995702555616</v>
      </c>
    </row>
    <row r="8" spans="1:9">
      <c r="A8">
        <v>6</v>
      </c>
      <c r="B8" s="3">
        <v>21490</v>
      </c>
      <c r="C8" s="1">
        <v>315.45977928835202</v>
      </c>
      <c r="D8" s="1">
        <v>315.45977928835202</v>
      </c>
      <c r="E8" s="1">
        <v>315.45977928835202</v>
      </c>
      <c r="F8" s="1">
        <v>313.39133433046402</v>
      </c>
      <c r="G8" s="1">
        <v>312.846129647353</v>
      </c>
      <c r="H8" s="1">
        <v>313.90326442112598</v>
      </c>
      <c r="I8" s="2">
        <v>-2.06844495788746</v>
      </c>
    </row>
    <row r="9" spans="1:9">
      <c r="A9" s="6">
        <v>7</v>
      </c>
      <c r="B9" s="7">
        <v>21520</v>
      </c>
      <c r="C9" s="8">
        <v>315.53349222857798</v>
      </c>
      <c r="D9" s="8">
        <v>315.53349222857798</v>
      </c>
      <c r="E9" s="8">
        <v>315.53349222857798</v>
      </c>
      <c r="F9" s="8">
        <v>314.64017260546802</v>
      </c>
      <c r="G9" s="8">
        <v>314.08737197885</v>
      </c>
      <c r="H9" s="8">
        <v>315.17400544919201</v>
      </c>
      <c r="I9" s="9">
        <v>-0.89331962311012902</v>
      </c>
    </row>
    <row r="10" spans="1:9">
      <c r="A10">
        <v>8</v>
      </c>
      <c r="B10" s="3">
        <v>21551</v>
      </c>
      <c r="C10" s="1">
        <v>315.60966226681097</v>
      </c>
      <c r="D10" s="1">
        <v>315.60966226681097</v>
      </c>
      <c r="E10" s="1">
        <v>315.60966226681097</v>
      </c>
      <c r="F10" s="1">
        <v>315.67259742733597</v>
      </c>
      <c r="G10" s="1">
        <v>315.13299067301398</v>
      </c>
      <c r="H10" s="1">
        <v>316.19663211884898</v>
      </c>
      <c r="I10" s="2">
        <v>6.2935160524635006E-2</v>
      </c>
    </row>
    <row r="11" spans="1:9">
      <c r="A11" s="6">
        <v>9</v>
      </c>
      <c r="B11" s="7">
        <v>21582</v>
      </c>
      <c r="C11" s="8">
        <v>315.68583230504498</v>
      </c>
      <c r="D11" s="8">
        <v>315.68583230504498</v>
      </c>
      <c r="E11" s="8">
        <v>315.68583230504498</v>
      </c>
      <c r="F11" s="8">
        <v>316.37060181969201</v>
      </c>
      <c r="G11" s="8">
        <v>315.824901460484</v>
      </c>
      <c r="H11" s="8">
        <v>316.88906257980398</v>
      </c>
      <c r="I11" s="9">
        <v>0.68476951464715397</v>
      </c>
    </row>
    <row r="13" spans="1:9">
      <c r="B13" s="3" t="s">
        <v>8</v>
      </c>
    </row>
    <row r="15" spans="1:9">
      <c r="A15" s="4"/>
      <c r="B15" s="5" t="s">
        <v>0</v>
      </c>
      <c r="C15" s="5" t="s">
        <v>1</v>
      </c>
      <c r="D15" s="5" t="s">
        <v>2</v>
      </c>
      <c r="E15" s="5" t="s">
        <v>3</v>
      </c>
      <c r="F15" s="5" t="s">
        <v>4</v>
      </c>
      <c r="G15" s="5" t="s">
        <v>5</v>
      </c>
      <c r="H15" s="5" t="s">
        <v>6</v>
      </c>
      <c r="I15" s="5" t="s">
        <v>7</v>
      </c>
    </row>
    <row r="16" spans="1:9">
      <c r="A16">
        <v>969</v>
      </c>
      <c r="B16" s="3">
        <v>50890</v>
      </c>
      <c r="C16" s="1">
        <v>457.92791341940102</v>
      </c>
      <c r="D16" s="1">
        <v>436.21335326431102</v>
      </c>
      <c r="E16" s="1">
        <v>473.93608686149298</v>
      </c>
      <c r="F16" s="1">
        <v>461.13472155412302</v>
      </c>
      <c r="G16" s="1">
        <v>439.83780419117898</v>
      </c>
      <c r="H16" s="1">
        <v>477.31692097892397</v>
      </c>
      <c r="I16" s="2">
        <v>3.20680813472217</v>
      </c>
    </row>
    <row r="17" spans="1:9">
      <c r="A17" s="6">
        <v>970</v>
      </c>
      <c r="B17" s="7">
        <v>50921</v>
      </c>
      <c r="C17" s="8">
        <v>458.12835891442302</v>
      </c>
      <c r="D17" s="8">
        <v>436.353460769756</v>
      </c>
      <c r="E17" s="8">
        <v>474.32308355883902</v>
      </c>
      <c r="F17" s="8">
        <v>460.59214053700902</v>
      </c>
      <c r="G17" s="8">
        <v>439.081895828602</v>
      </c>
      <c r="H17" s="8">
        <v>477.04227149681702</v>
      </c>
      <c r="I17" s="9">
        <v>2.4637816225864402</v>
      </c>
    </row>
    <row r="18" spans="1:9">
      <c r="A18">
        <v>971</v>
      </c>
      <c r="B18" s="3">
        <v>50951</v>
      </c>
      <c r="C18" s="1">
        <v>458.32233842573498</v>
      </c>
      <c r="D18" s="1">
        <v>436.48342790896697</v>
      </c>
      <c r="E18" s="1">
        <v>474.69759649175501</v>
      </c>
      <c r="F18" s="1">
        <v>459.12194186304498</v>
      </c>
      <c r="G18" s="1">
        <v>437.286216815241</v>
      </c>
      <c r="H18" s="1">
        <v>475.57251726527801</v>
      </c>
      <c r="I18" s="2">
        <v>0.79960343731017702</v>
      </c>
    </row>
    <row r="19" spans="1:9">
      <c r="A19" s="6">
        <v>972</v>
      </c>
      <c r="B19" s="7">
        <v>50982</v>
      </c>
      <c r="C19" s="8">
        <v>458.52278392075698</v>
      </c>
      <c r="D19" s="8">
        <v>436.51269270017298</v>
      </c>
      <c r="E19" s="8">
        <v>475.05540000176302</v>
      </c>
      <c r="F19" s="8">
        <v>457.20558463101702</v>
      </c>
      <c r="G19" s="8">
        <v>435.331377663924</v>
      </c>
      <c r="H19" s="8">
        <v>473.71251718784299</v>
      </c>
      <c r="I19" s="9">
        <v>-1.3171992897404901</v>
      </c>
    </row>
    <row r="20" spans="1:9">
      <c r="A20">
        <v>973</v>
      </c>
      <c r="B20" s="3">
        <v>51013</v>
      </c>
      <c r="C20" s="1">
        <v>458.72322941577897</v>
      </c>
      <c r="D20" s="1">
        <v>436.45381255076597</v>
      </c>
      <c r="E20" s="1">
        <v>475.33185761419702</v>
      </c>
      <c r="F20" s="1">
        <v>455.60167323939999</v>
      </c>
      <c r="G20" s="1">
        <v>433.23830811306601</v>
      </c>
      <c r="H20" s="1">
        <v>472.46952905297002</v>
      </c>
      <c r="I20" s="2">
        <v>-3.12155617637988</v>
      </c>
    </row>
    <row r="21" spans="1:9">
      <c r="A21" s="6">
        <v>974</v>
      </c>
      <c r="B21" s="7">
        <v>51043</v>
      </c>
      <c r="C21" s="8">
        <v>458.917208927091</v>
      </c>
      <c r="D21" s="8">
        <v>436.46265453869802</v>
      </c>
      <c r="E21" s="8">
        <v>475.684563687197</v>
      </c>
      <c r="F21" s="8">
        <v>455.38222786253101</v>
      </c>
      <c r="G21" s="8">
        <v>432.75141624581499</v>
      </c>
      <c r="H21" s="8">
        <v>472.14545626739101</v>
      </c>
      <c r="I21" s="9">
        <v>-3.5349810645606499</v>
      </c>
    </row>
    <row r="22" spans="1:9">
      <c r="A22">
        <v>975</v>
      </c>
      <c r="B22" s="3">
        <v>51074</v>
      </c>
      <c r="C22" s="1">
        <v>459.11765442211401</v>
      </c>
      <c r="D22" s="1">
        <v>436.50540659894102</v>
      </c>
      <c r="E22" s="1">
        <v>476.04902662929601</v>
      </c>
      <c r="F22" s="1">
        <v>457.01023415869599</v>
      </c>
      <c r="G22" s="1">
        <v>434.49611605502099</v>
      </c>
      <c r="H22" s="1">
        <v>474.00315145237403</v>
      </c>
      <c r="I22" s="2">
        <v>-2.1074202634178598</v>
      </c>
    </row>
    <row r="23" spans="1:9">
      <c r="A23" s="6">
        <v>976</v>
      </c>
      <c r="B23" s="7">
        <v>51104</v>
      </c>
      <c r="C23" s="8">
        <v>459.31163393342598</v>
      </c>
      <c r="D23" s="8">
        <v>436.480198931806</v>
      </c>
      <c r="E23" s="8">
        <v>476.399351144094</v>
      </c>
      <c r="F23" s="8">
        <v>458.45449406429702</v>
      </c>
      <c r="G23" s="8">
        <v>435.63335464471601</v>
      </c>
      <c r="H23" s="8">
        <v>475.45393046544802</v>
      </c>
      <c r="I23" s="9">
        <v>-0.857139869128412</v>
      </c>
    </row>
    <row r="24" spans="1:9">
      <c r="A24">
        <v>977</v>
      </c>
      <c r="B24" s="3">
        <v>51135</v>
      </c>
      <c r="C24" s="1">
        <v>459.51207942844798</v>
      </c>
      <c r="D24" s="1">
        <v>436.47033990181302</v>
      </c>
      <c r="E24" s="1">
        <v>476.75879955305697</v>
      </c>
      <c r="F24" s="1">
        <v>459.64606830357201</v>
      </c>
      <c r="G24" s="1">
        <v>436.63180881629398</v>
      </c>
      <c r="H24" s="1">
        <v>476.853767581093</v>
      </c>
      <c r="I24" s="2">
        <v>0.133988875124158</v>
      </c>
    </row>
    <row r="25" spans="1:9">
      <c r="A25" s="6">
        <v>978</v>
      </c>
      <c r="B25" s="7">
        <v>51166</v>
      </c>
      <c r="C25" s="8">
        <v>459.71252492347003</v>
      </c>
      <c r="D25" s="8">
        <v>436.54225761330599</v>
      </c>
      <c r="E25" s="8">
        <v>477.11824796202001</v>
      </c>
      <c r="F25" s="8">
        <v>460.387459294498</v>
      </c>
      <c r="G25" s="8">
        <v>437.17581654907502</v>
      </c>
      <c r="H25" s="8">
        <v>477.60889827558498</v>
      </c>
      <c r="I25" s="9">
        <v>0.674934371028028</v>
      </c>
    </row>
    <row r="26" spans="1:9">
      <c r="A26">
        <v>979</v>
      </c>
      <c r="B26" s="3">
        <v>51195</v>
      </c>
      <c r="C26" s="1">
        <v>459.90003845107202</v>
      </c>
      <c r="D26" s="1">
        <v>436.53530754107697</v>
      </c>
      <c r="E26" s="1">
        <v>477.44744549149499</v>
      </c>
      <c r="F26" s="1">
        <v>461.16627892342098</v>
      </c>
      <c r="G26" s="1">
        <v>437.72076097337998</v>
      </c>
      <c r="H26" s="1">
        <v>478.61631713342399</v>
      </c>
      <c r="I26" s="2">
        <v>1.26624047234925</v>
      </c>
    </row>
    <row r="27" spans="1:9">
      <c r="A27" s="6">
        <v>980</v>
      </c>
      <c r="B27" s="11">
        <v>51226</v>
      </c>
      <c r="C27" s="10">
        <v>460.10048394609402</v>
      </c>
      <c r="D27" s="16">
        <v>436.59605518767</v>
      </c>
      <c r="E27" s="16">
        <v>477.77073932734601</v>
      </c>
      <c r="F27" s="10">
        <v>462.63317773646901</v>
      </c>
      <c r="G27" s="8">
        <v>439.19878364762297</v>
      </c>
      <c r="H27" s="8">
        <v>480.24467269838499</v>
      </c>
      <c r="I27" s="9">
        <v>2.5326937903748701</v>
      </c>
    </row>
    <row r="28" spans="1:9">
      <c r="C28" s="12" t="s">
        <v>9</v>
      </c>
      <c r="F28" s="12" t="s">
        <v>9</v>
      </c>
    </row>
    <row r="29" spans="1:9">
      <c r="C29" s="13" t="s">
        <v>11</v>
      </c>
      <c r="F29" s="13" t="s">
        <v>10</v>
      </c>
    </row>
    <row r="30" spans="1:9">
      <c r="C30" s="14">
        <f>C27-C2</f>
        <v>145.24269366958902</v>
      </c>
      <c r="F30" s="14">
        <f>F27-F3</f>
        <v>145.11766584808601</v>
      </c>
      <c r="G30" s="1" t="s">
        <v>13</v>
      </c>
    </row>
    <row r="31" spans="1:9">
      <c r="C31" s="15" t="s">
        <v>12</v>
      </c>
      <c r="F31" s="15" t="s">
        <v>15</v>
      </c>
    </row>
    <row r="32" spans="1:9">
      <c r="F32" s="14">
        <f>F27- 317.46</f>
        <v>145.17317773646903</v>
      </c>
      <c r="G32" s="1" t="s">
        <v>14</v>
      </c>
    </row>
    <row r="33" spans="5:6">
      <c r="F33" s="15" t="s">
        <v>16</v>
      </c>
    </row>
    <row r="34" spans="5:6">
      <c r="E34" s="17">
        <f>E27-D27</f>
        <v>41.174684139676003</v>
      </c>
    </row>
  </sheetData>
  <phoneticPr fontId="18"/>
  <pageMargins left="0.7" right="0.7" top="0.75" bottom="0.75" header="0.3" footer="0.3"/>
  <pageSetup scale="83" orientation="portrait" r:id="rId1"/>
  <drawing r:id="rId2"/>
  <legacyDrawing r:id="rId3"/>
  <webPublishItems count="2">
    <webPublishItem id="24989" divId="co2Profet_24989" sourceType="sheet" destinationFile="C:\Users\miura\Documents\wwws\Sc188\Data\appendix\co2Profet.htm" title="co2Prophet"/>
    <webPublishItem id="18055" divId="co2Profet_18055" sourceType="range" sourceRef="A1:I34" destinationFile="C:\Users\miura\AppData\Local\Temp\MicrosoftEdgeDownloads\55fc86b5-3f40-469d-92a7-67214816bc56\co2Profet.html" title="co2Prophet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co2Profet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　欽也</dc:creator>
  <cp:lastModifiedBy>miura@mail.kobe-c.ac.jp</cp:lastModifiedBy>
  <cp:lastPrinted>2023-11-21T07:39:15Z</cp:lastPrinted>
  <dcterms:created xsi:type="dcterms:W3CDTF">2023-11-21T03:42:27Z</dcterms:created>
  <dcterms:modified xsi:type="dcterms:W3CDTF">2023-11-21T07:40:30Z</dcterms:modified>
</cp:coreProperties>
</file>