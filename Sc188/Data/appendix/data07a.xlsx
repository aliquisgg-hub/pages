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ura\Documents\wwws\Sc188\Data\"/>
    </mc:Choice>
  </mc:AlternateContent>
  <xr:revisionPtr revIDLastSave="0" documentId="13_ncr:1_{DD0557A9-4E77-4567-A9DC-DDF05A1B5C3E}" xr6:coauthVersionLast="36" xr6:coauthVersionMax="47" xr10:uidLastSave="{00000000-0000-0000-0000-000000000000}"/>
  <bookViews>
    <workbookView xWindow="-120" yWindow="525" windowWidth="29040" windowHeight="15195" xr2:uid="{024D5B3C-FCA5-4E61-AF03-CE792B539281}"/>
  </bookViews>
  <sheets>
    <sheet name="誕生日" sheetId="1" r:id="rId1"/>
    <sheet name="（参考）クーポン収集問題" sheetId="8" r:id="rId2"/>
    <sheet name="（参考）スターリング数" sheetId="5" r:id="rId3"/>
  </sheets>
  <definedNames>
    <definedName name="k" localSheetId="1">'（参考）クーポン収集問題'!$B$1</definedName>
    <definedName name="S">'（参考）スターリング数'!$A$2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8" l="1"/>
  <c r="C3" i="8"/>
  <c r="B3" i="8"/>
  <c r="B4" i="8"/>
  <c r="D4" i="8" s="1"/>
  <c r="D3" i="5"/>
  <c r="B3" i="1"/>
  <c r="A6" i="8"/>
  <c r="A7" i="8" s="1"/>
  <c r="A8" i="8" s="1"/>
  <c r="C1" i="5"/>
  <c r="D1" i="5" s="1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A94" i="5" s="1"/>
  <c r="A95" i="5" s="1"/>
  <c r="A96" i="5" s="1"/>
  <c r="A97" i="5" s="1"/>
  <c r="A98" i="5" s="1"/>
  <c r="A99" i="5" s="1"/>
  <c r="A100" i="5" s="1"/>
  <c r="A101" i="5" s="1"/>
  <c r="A102" i="5" s="1"/>
  <c r="E2" i="1"/>
  <c r="D4" i="1" l="1"/>
  <c r="E4" i="1" s="1"/>
  <c r="C3" i="1"/>
  <c r="B4" i="1"/>
  <c r="C4" i="8"/>
  <c r="D3" i="1"/>
  <c r="E3" i="1" s="1"/>
  <c r="A9" i="8"/>
  <c r="C3" i="5"/>
  <c r="E1" i="5"/>
  <c r="E3" i="5" s="1"/>
  <c r="C2" i="1"/>
  <c r="B5" i="1" l="1"/>
  <c r="D5" i="1"/>
  <c r="E5" i="1" s="1"/>
  <c r="C4" i="1"/>
  <c r="D4" i="5"/>
  <c r="C4" i="5"/>
  <c r="C5" i="5" s="1"/>
  <c r="E4" i="5"/>
  <c r="F4" i="5"/>
  <c r="A10" i="8"/>
  <c r="F1" i="5"/>
  <c r="F3" i="5" s="1"/>
  <c r="D6" i="1" l="1"/>
  <c r="E6" i="1" s="1"/>
  <c r="C5" i="1"/>
  <c r="B6" i="1"/>
  <c r="F5" i="5"/>
  <c r="C6" i="5"/>
  <c r="D5" i="5"/>
  <c r="E5" i="5"/>
  <c r="A11" i="8"/>
  <c r="G1" i="5"/>
  <c r="G3" i="5" s="1"/>
  <c r="B7" i="1" l="1"/>
  <c r="D7" i="1"/>
  <c r="E7" i="1" s="1"/>
  <c r="C6" i="1"/>
  <c r="F6" i="5"/>
  <c r="C7" i="5"/>
  <c r="E6" i="5"/>
  <c r="D6" i="5"/>
  <c r="D7" i="5" s="1"/>
  <c r="G4" i="5"/>
  <c r="G5" i="5" s="1"/>
  <c r="A12" i="8"/>
  <c r="H1" i="5"/>
  <c r="H3" i="5" s="1"/>
  <c r="F7" i="5" l="1"/>
  <c r="D8" i="1"/>
  <c r="E8" i="1" s="1"/>
  <c r="C7" i="1"/>
  <c r="B8" i="1"/>
  <c r="G6" i="5"/>
  <c r="H4" i="5"/>
  <c r="C8" i="5"/>
  <c r="D8" i="5"/>
  <c r="E7" i="5"/>
  <c r="E8" i="5" s="1"/>
  <c r="A13" i="8"/>
  <c r="I1" i="5"/>
  <c r="I3" i="5" s="1"/>
  <c r="B9" i="1" l="1"/>
  <c r="D9" i="1"/>
  <c r="E9" i="1" s="1"/>
  <c r="C8" i="1"/>
  <c r="I4" i="5"/>
  <c r="G7" i="5"/>
  <c r="C9" i="5"/>
  <c r="D9" i="5"/>
  <c r="H5" i="5"/>
  <c r="I5" i="5"/>
  <c r="F8" i="5"/>
  <c r="E9" i="5"/>
  <c r="A14" i="8"/>
  <c r="J1" i="5"/>
  <c r="J3" i="5" s="1"/>
  <c r="D10" i="1" l="1"/>
  <c r="E10" i="1" s="1"/>
  <c r="C9" i="1"/>
  <c r="B10" i="1"/>
  <c r="B5" i="8"/>
  <c r="G8" i="5"/>
  <c r="I6" i="5"/>
  <c r="H6" i="5"/>
  <c r="J4" i="5"/>
  <c r="J5" i="5" s="1"/>
  <c r="J6" i="5" s="1"/>
  <c r="E10" i="5"/>
  <c r="G9" i="5"/>
  <c r="C10" i="5"/>
  <c r="D10" i="5"/>
  <c r="E11" i="5" s="1"/>
  <c r="F9" i="5"/>
  <c r="A15" i="8"/>
  <c r="K1" i="5"/>
  <c r="K3" i="5" s="1"/>
  <c r="C10" i="1" l="1"/>
  <c r="D11" i="1"/>
  <c r="E11" i="1" s="1"/>
  <c r="B11" i="1"/>
  <c r="G10" i="5"/>
  <c r="I7" i="5"/>
  <c r="H7" i="5"/>
  <c r="B8" i="8"/>
  <c r="D8" i="8" s="1"/>
  <c r="J7" i="5"/>
  <c r="C11" i="5"/>
  <c r="D11" i="5"/>
  <c r="E12" i="5" s="1"/>
  <c r="K4" i="5"/>
  <c r="B7" i="8"/>
  <c r="D7" i="8" s="1"/>
  <c r="F10" i="5"/>
  <c r="G11" i="5" s="1"/>
  <c r="B6" i="8"/>
  <c r="D6" i="8" s="1"/>
  <c r="K5" i="5"/>
  <c r="K6" i="5" s="1"/>
  <c r="K7" i="5" s="1"/>
  <c r="D5" i="8"/>
  <c r="C5" i="8"/>
  <c r="A16" i="8"/>
  <c r="C11" i="1" l="1"/>
  <c r="B12" i="1"/>
  <c r="D12" i="1"/>
  <c r="E12" i="1" s="1"/>
  <c r="C8" i="8"/>
  <c r="C7" i="8"/>
  <c r="D12" i="5"/>
  <c r="E13" i="5" s="1"/>
  <c r="C12" i="5"/>
  <c r="I8" i="5"/>
  <c r="H8" i="5"/>
  <c r="B9" i="8"/>
  <c r="K8" i="5"/>
  <c r="C6" i="8"/>
  <c r="F11" i="5"/>
  <c r="J8" i="5"/>
  <c r="A17" i="8"/>
  <c r="B13" i="1" l="1"/>
  <c r="C12" i="1"/>
  <c r="D13" i="1"/>
  <c r="E13" i="1" s="1"/>
  <c r="D9" i="8"/>
  <c r="I9" i="5"/>
  <c r="H9" i="5"/>
  <c r="C9" i="8"/>
  <c r="J9" i="5"/>
  <c r="C13" i="5"/>
  <c r="D13" i="5"/>
  <c r="E14" i="5" s="1"/>
  <c r="B10" i="8"/>
  <c r="D10" i="8" s="1"/>
  <c r="K9" i="5"/>
  <c r="G12" i="5"/>
  <c r="F12" i="5"/>
  <c r="A18" i="8"/>
  <c r="D14" i="1" l="1"/>
  <c r="E14" i="1" s="1"/>
  <c r="C13" i="1"/>
  <c r="B14" i="1"/>
  <c r="C10" i="8"/>
  <c r="C14" i="5"/>
  <c r="D14" i="5"/>
  <c r="E15" i="5" s="1"/>
  <c r="I10" i="5"/>
  <c r="H10" i="5"/>
  <c r="G13" i="5"/>
  <c r="F13" i="5"/>
  <c r="B11" i="8"/>
  <c r="D11" i="8" s="1"/>
  <c r="K10" i="5"/>
  <c r="J10" i="5"/>
  <c r="A19" i="8"/>
  <c r="B15" i="1" l="1"/>
  <c r="D15" i="1"/>
  <c r="E15" i="1" s="1"/>
  <c r="C14" i="1"/>
  <c r="G14" i="5"/>
  <c r="F14" i="5"/>
  <c r="I11" i="5"/>
  <c r="H11" i="5"/>
  <c r="C11" i="8"/>
  <c r="B12" i="8"/>
  <c r="K11" i="5"/>
  <c r="J11" i="5"/>
  <c r="C15" i="5"/>
  <c r="D15" i="5"/>
  <c r="E16" i="5" s="1"/>
  <c r="A20" i="8"/>
  <c r="C15" i="1" l="1"/>
  <c r="B16" i="1"/>
  <c r="D16" i="1"/>
  <c r="E16" i="1" s="1"/>
  <c r="D12" i="8"/>
  <c r="C12" i="8"/>
  <c r="I12" i="5"/>
  <c r="H12" i="5"/>
  <c r="B13" i="8"/>
  <c r="K12" i="5"/>
  <c r="D16" i="5"/>
  <c r="E17" i="5" s="1"/>
  <c r="C16" i="5"/>
  <c r="J12" i="5"/>
  <c r="G15" i="5"/>
  <c r="F15" i="5"/>
  <c r="A21" i="8"/>
  <c r="B17" i="1" l="1"/>
  <c r="D17" i="1"/>
  <c r="E17" i="1" s="1"/>
  <c r="C16" i="1"/>
  <c r="D13" i="8"/>
  <c r="I13" i="5"/>
  <c r="H13" i="5"/>
  <c r="C13" i="8"/>
  <c r="B14" i="8"/>
  <c r="K13" i="5"/>
  <c r="J13" i="5"/>
  <c r="G16" i="5"/>
  <c r="F16" i="5"/>
  <c r="D17" i="5"/>
  <c r="E18" i="5" s="1"/>
  <c r="C17" i="5"/>
  <c r="A22" i="8"/>
  <c r="B18" i="1" l="1"/>
  <c r="C17" i="1"/>
  <c r="D18" i="1"/>
  <c r="E18" i="1" s="1"/>
  <c r="B15" i="8"/>
  <c r="K14" i="5"/>
  <c r="J14" i="5"/>
  <c r="G17" i="5"/>
  <c r="F17" i="5"/>
  <c r="C18" i="5"/>
  <c r="D18" i="5"/>
  <c r="E19" i="5" s="1"/>
  <c r="D14" i="8"/>
  <c r="C14" i="8"/>
  <c r="I14" i="5"/>
  <c r="J15" i="5" s="1"/>
  <c r="H14" i="5"/>
  <c r="A23" i="8"/>
  <c r="C18" i="1" l="1"/>
  <c r="B19" i="1"/>
  <c r="D19" i="1"/>
  <c r="E19" i="1" s="1"/>
  <c r="B16" i="8"/>
  <c r="K15" i="5"/>
  <c r="K16" i="5" s="1"/>
  <c r="I15" i="5"/>
  <c r="J16" i="5" s="1"/>
  <c r="H15" i="5"/>
  <c r="G18" i="5"/>
  <c r="F18" i="5"/>
  <c r="B17" i="8"/>
  <c r="D19" i="5"/>
  <c r="E20" i="5" s="1"/>
  <c r="C19" i="5"/>
  <c r="D15" i="8"/>
  <c r="C15" i="8"/>
  <c r="A24" i="8"/>
  <c r="B20" i="1" l="1"/>
  <c r="D20" i="1"/>
  <c r="E20" i="1" s="1"/>
  <c r="C19" i="1"/>
  <c r="D16" i="8"/>
  <c r="C16" i="8"/>
  <c r="C20" i="5"/>
  <c r="D20" i="5"/>
  <c r="E21" i="5" s="1"/>
  <c r="I16" i="5"/>
  <c r="J17" i="5" s="1"/>
  <c r="H16" i="5"/>
  <c r="D17" i="8"/>
  <c r="C17" i="8"/>
  <c r="G19" i="5"/>
  <c r="F19" i="5"/>
  <c r="B18" i="8"/>
  <c r="K17" i="5"/>
  <c r="A25" i="8"/>
  <c r="B21" i="1" l="1"/>
  <c r="D21" i="1"/>
  <c r="E21" i="1" s="1"/>
  <c r="C20" i="1"/>
  <c r="I17" i="5"/>
  <c r="J18" i="5" s="1"/>
  <c r="H17" i="5"/>
  <c r="D18" i="8"/>
  <c r="C18" i="8"/>
  <c r="G20" i="5"/>
  <c r="F20" i="5"/>
  <c r="D21" i="5"/>
  <c r="E22" i="5" s="1"/>
  <c r="C21" i="5"/>
  <c r="B19" i="8"/>
  <c r="K18" i="5"/>
  <c r="A26" i="8"/>
  <c r="C21" i="1" l="1"/>
  <c r="B22" i="1"/>
  <c r="D22" i="1"/>
  <c r="E22" i="1" s="1"/>
  <c r="G21" i="5"/>
  <c r="F21" i="5"/>
  <c r="I18" i="5"/>
  <c r="J19" i="5" s="1"/>
  <c r="H18" i="5"/>
  <c r="C22" i="5"/>
  <c r="D22" i="5"/>
  <c r="E23" i="5" s="1"/>
  <c r="B20" i="8"/>
  <c r="K19" i="5"/>
  <c r="D19" i="8"/>
  <c r="C19" i="8"/>
  <c r="A27" i="8"/>
  <c r="B23" i="1" l="1"/>
  <c r="D23" i="1"/>
  <c r="E23" i="1" s="1"/>
  <c r="C22" i="1"/>
  <c r="D20" i="8"/>
  <c r="C20" i="8"/>
  <c r="B21" i="8"/>
  <c r="K20" i="5"/>
  <c r="D23" i="5"/>
  <c r="E24" i="5" s="1"/>
  <c r="C23" i="5"/>
  <c r="G22" i="5"/>
  <c r="F22" i="5"/>
  <c r="I19" i="5"/>
  <c r="J20" i="5" s="1"/>
  <c r="H19" i="5"/>
  <c r="A28" i="8"/>
  <c r="B24" i="1" l="1"/>
  <c r="D24" i="1"/>
  <c r="E24" i="1" s="1"/>
  <c r="C23" i="1"/>
  <c r="I20" i="5"/>
  <c r="J21" i="5" s="1"/>
  <c r="H20" i="5"/>
  <c r="D24" i="5"/>
  <c r="E25" i="5" s="1"/>
  <c r="C24" i="5"/>
  <c r="G23" i="5"/>
  <c r="F23" i="5"/>
  <c r="D21" i="8"/>
  <c r="C21" i="8"/>
  <c r="B22" i="8"/>
  <c r="K21" i="5"/>
  <c r="A29" i="8"/>
  <c r="C24" i="1" l="1"/>
  <c r="B25" i="1"/>
  <c r="D25" i="1"/>
  <c r="E25" i="1" s="1"/>
  <c r="G24" i="5"/>
  <c r="F24" i="5"/>
  <c r="I21" i="5"/>
  <c r="J22" i="5" s="1"/>
  <c r="H21" i="5"/>
  <c r="D22" i="8"/>
  <c r="C22" i="8"/>
  <c r="B23" i="8"/>
  <c r="K22" i="5"/>
  <c r="C25" i="5"/>
  <c r="D25" i="5"/>
  <c r="E26" i="5" s="1"/>
  <c r="A30" i="8"/>
  <c r="B26" i="1" l="1"/>
  <c r="D26" i="1"/>
  <c r="E26" i="1" s="1"/>
  <c r="C25" i="1"/>
  <c r="C26" i="5"/>
  <c r="D26" i="5"/>
  <c r="E27" i="5" s="1"/>
  <c r="B24" i="8"/>
  <c r="K23" i="5"/>
  <c r="G25" i="5"/>
  <c r="F25" i="5"/>
  <c r="D23" i="8"/>
  <c r="C23" i="8"/>
  <c r="I22" i="5"/>
  <c r="J23" i="5" s="1"/>
  <c r="H22" i="5"/>
  <c r="A31" i="8"/>
  <c r="C26" i="1" l="1"/>
  <c r="D27" i="1"/>
  <c r="E27" i="1" s="1"/>
  <c r="B27" i="1"/>
  <c r="B25" i="8"/>
  <c r="K24" i="5"/>
  <c r="G26" i="5"/>
  <c r="F26" i="5"/>
  <c r="D27" i="5"/>
  <c r="E28" i="5" s="1"/>
  <c r="C27" i="5"/>
  <c r="D24" i="8"/>
  <c r="C24" i="8"/>
  <c r="I23" i="5"/>
  <c r="J24" i="5" s="1"/>
  <c r="H23" i="5"/>
  <c r="A32" i="8"/>
  <c r="B28" i="1" l="1"/>
  <c r="D28" i="1"/>
  <c r="E28" i="1" s="1"/>
  <c r="C27" i="1"/>
  <c r="B26" i="8"/>
  <c r="K25" i="5"/>
  <c r="G27" i="5"/>
  <c r="F27" i="5"/>
  <c r="I24" i="5"/>
  <c r="J25" i="5" s="1"/>
  <c r="H24" i="5"/>
  <c r="C28" i="5"/>
  <c r="D28" i="5"/>
  <c r="E29" i="5" s="1"/>
  <c r="D25" i="8"/>
  <c r="C25" i="8"/>
  <c r="A33" i="8"/>
  <c r="C28" i="1" l="1"/>
  <c r="B29" i="1"/>
  <c r="D29" i="1"/>
  <c r="E29" i="1" s="1"/>
  <c r="B27" i="8"/>
  <c r="K26" i="5"/>
  <c r="C29" i="5"/>
  <c r="D29" i="5"/>
  <c r="E30" i="5" s="1"/>
  <c r="G28" i="5"/>
  <c r="F28" i="5"/>
  <c r="I25" i="5"/>
  <c r="J26" i="5" s="1"/>
  <c r="H25" i="5"/>
  <c r="D26" i="8"/>
  <c r="C26" i="8"/>
  <c r="A34" i="8"/>
  <c r="B30" i="1" l="1"/>
  <c r="D30" i="1"/>
  <c r="E30" i="1" s="1"/>
  <c r="C29" i="1"/>
  <c r="G29" i="5"/>
  <c r="F29" i="5"/>
  <c r="D27" i="8"/>
  <c r="C27" i="8"/>
  <c r="I26" i="5"/>
  <c r="J27" i="5" s="1"/>
  <c r="H26" i="5"/>
  <c r="B28" i="8"/>
  <c r="K27" i="5"/>
  <c r="C30" i="5"/>
  <c r="D30" i="5"/>
  <c r="E31" i="5" s="1"/>
  <c r="A35" i="8"/>
  <c r="B31" i="1" l="1"/>
  <c r="D31" i="1"/>
  <c r="E31" i="1" s="1"/>
  <c r="C30" i="1"/>
  <c r="C31" i="5"/>
  <c r="D31" i="5"/>
  <c r="E32" i="5" s="1"/>
  <c r="I27" i="5"/>
  <c r="J28" i="5" s="1"/>
  <c r="H27" i="5"/>
  <c r="D28" i="8"/>
  <c r="C28" i="8"/>
  <c r="B29" i="8"/>
  <c r="K28" i="5"/>
  <c r="G30" i="5"/>
  <c r="F30" i="5"/>
  <c r="A36" i="8"/>
  <c r="C31" i="1" l="1"/>
  <c r="B32" i="1"/>
  <c r="D32" i="1"/>
  <c r="E32" i="1" s="1"/>
  <c r="B30" i="8"/>
  <c r="K29" i="5"/>
  <c r="G31" i="5"/>
  <c r="F31" i="5"/>
  <c r="C32" i="5"/>
  <c r="D32" i="5"/>
  <c r="E33" i="5" s="1"/>
  <c r="D29" i="8"/>
  <c r="C29" i="8"/>
  <c r="I28" i="5"/>
  <c r="J29" i="5" s="1"/>
  <c r="H28" i="5"/>
  <c r="A37" i="8"/>
  <c r="B33" i="1" l="1"/>
  <c r="D33" i="1"/>
  <c r="E33" i="1" s="1"/>
  <c r="C32" i="1"/>
  <c r="B31" i="8"/>
  <c r="K30" i="5"/>
  <c r="C33" i="5"/>
  <c r="D33" i="5"/>
  <c r="E34" i="5" s="1"/>
  <c r="I29" i="5"/>
  <c r="J30" i="5" s="1"/>
  <c r="H29" i="5"/>
  <c r="G32" i="5"/>
  <c r="F32" i="5"/>
  <c r="D30" i="8"/>
  <c r="C30" i="8"/>
  <c r="A38" i="8"/>
  <c r="B34" i="1" l="1"/>
  <c r="D34" i="1"/>
  <c r="E34" i="1" s="1"/>
  <c r="C33" i="1"/>
  <c r="I30" i="5"/>
  <c r="J31" i="5" s="1"/>
  <c r="H30" i="5"/>
  <c r="C34" i="5"/>
  <c r="D34" i="5"/>
  <c r="E35" i="5" s="1"/>
  <c r="G33" i="5"/>
  <c r="F33" i="5"/>
  <c r="B32" i="8"/>
  <c r="K31" i="5"/>
  <c r="D31" i="8"/>
  <c r="C31" i="8"/>
  <c r="A39" i="8"/>
  <c r="C34" i="1" l="1"/>
  <c r="B35" i="1"/>
  <c r="D35" i="1"/>
  <c r="E35" i="1" s="1"/>
  <c r="D32" i="8"/>
  <c r="C32" i="8"/>
  <c r="C35" i="5"/>
  <c r="D35" i="5"/>
  <c r="E36" i="5" s="1"/>
  <c r="G34" i="5"/>
  <c r="F34" i="5"/>
  <c r="I31" i="5"/>
  <c r="J32" i="5" s="1"/>
  <c r="H31" i="5"/>
  <c r="B33" i="8"/>
  <c r="K32" i="5"/>
  <c r="A40" i="8"/>
  <c r="C35" i="1" l="1"/>
  <c r="B36" i="1"/>
  <c r="D36" i="1"/>
  <c r="E36" i="1" s="1"/>
  <c r="D33" i="8"/>
  <c r="C33" i="8"/>
  <c r="G35" i="5"/>
  <c r="F35" i="5"/>
  <c r="I32" i="5"/>
  <c r="J33" i="5" s="1"/>
  <c r="H32" i="5"/>
  <c r="B34" i="8"/>
  <c r="K33" i="5"/>
  <c r="D36" i="5"/>
  <c r="E37" i="5" s="1"/>
  <c r="C36" i="5"/>
  <c r="A41" i="8"/>
  <c r="B37" i="1" l="1"/>
  <c r="D37" i="1"/>
  <c r="E37" i="1" s="1"/>
  <c r="C36" i="1"/>
  <c r="B35" i="8"/>
  <c r="K34" i="5"/>
  <c r="D34" i="8"/>
  <c r="C34" i="8"/>
  <c r="I33" i="5"/>
  <c r="J34" i="5" s="1"/>
  <c r="H33" i="5"/>
  <c r="D37" i="5"/>
  <c r="E38" i="5" s="1"/>
  <c r="C37" i="5"/>
  <c r="G36" i="5"/>
  <c r="F36" i="5"/>
  <c r="A42" i="8"/>
  <c r="C37" i="1" l="1"/>
  <c r="B38" i="1"/>
  <c r="D38" i="1"/>
  <c r="E38" i="1" s="1"/>
  <c r="D35" i="8"/>
  <c r="C35" i="8"/>
  <c r="C38" i="5"/>
  <c r="D38" i="5"/>
  <c r="E39" i="5" s="1"/>
  <c r="B36" i="8"/>
  <c r="K35" i="5"/>
  <c r="G37" i="5"/>
  <c r="F37" i="5"/>
  <c r="I34" i="5"/>
  <c r="J35" i="5" s="1"/>
  <c r="H34" i="5"/>
  <c r="A43" i="8"/>
  <c r="B39" i="1" l="1"/>
  <c r="D39" i="1"/>
  <c r="E39" i="1" s="1"/>
  <c r="C38" i="1"/>
  <c r="B37" i="8"/>
  <c r="K36" i="5"/>
  <c r="D36" i="8"/>
  <c r="C36" i="8"/>
  <c r="G38" i="5"/>
  <c r="F38" i="5"/>
  <c r="I35" i="5"/>
  <c r="J36" i="5" s="1"/>
  <c r="H35" i="5"/>
  <c r="D39" i="5"/>
  <c r="E40" i="5" s="1"/>
  <c r="C39" i="5"/>
  <c r="A44" i="8"/>
  <c r="C39" i="1" l="1"/>
  <c r="B40" i="1"/>
  <c r="D40" i="1"/>
  <c r="E40" i="1" s="1"/>
  <c r="G39" i="5"/>
  <c r="F39" i="5"/>
  <c r="C40" i="5"/>
  <c r="D40" i="5"/>
  <c r="E41" i="5" s="1"/>
  <c r="I36" i="5"/>
  <c r="J37" i="5" s="1"/>
  <c r="H36" i="5"/>
  <c r="B38" i="8"/>
  <c r="K37" i="5"/>
  <c r="D37" i="8"/>
  <c r="C37" i="8"/>
  <c r="A45" i="8"/>
  <c r="C40" i="1" l="1"/>
  <c r="B41" i="1"/>
  <c r="D41" i="1"/>
  <c r="E41" i="1" s="1"/>
  <c r="D41" i="5"/>
  <c r="E42" i="5" s="1"/>
  <c r="C41" i="5"/>
  <c r="B39" i="8"/>
  <c r="K38" i="5"/>
  <c r="G40" i="5"/>
  <c r="F40" i="5"/>
  <c r="I37" i="5"/>
  <c r="J38" i="5" s="1"/>
  <c r="H37" i="5"/>
  <c r="D38" i="8"/>
  <c r="C38" i="8"/>
  <c r="A46" i="8"/>
  <c r="C41" i="1" l="1"/>
  <c r="B42" i="1"/>
  <c r="D42" i="1"/>
  <c r="E42" i="1" s="1"/>
  <c r="I38" i="5"/>
  <c r="J39" i="5" s="1"/>
  <c r="H38" i="5"/>
  <c r="B40" i="8"/>
  <c r="K39" i="5"/>
  <c r="C42" i="5"/>
  <c r="D42" i="5"/>
  <c r="E43" i="5" s="1"/>
  <c r="D39" i="8"/>
  <c r="C39" i="8"/>
  <c r="G41" i="5"/>
  <c r="F41" i="5"/>
  <c r="A47" i="8"/>
  <c r="C42" i="1" l="1"/>
  <c r="B43" i="1"/>
  <c r="D43" i="1"/>
  <c r="E43" i="1" s="1"/>
  <c r="D40" i="8"/>
  <c r="C40" i="8"/>
  <c r="G42" i="5"/>
  <c r="F42" i="5"/>
  <c r="I39" i="5"/>
  <c r="J40" i="5" s="1"/>
  <c r="H39" i="5"/>
  <c r="C43" i="5"/>
  <c r="D43" i="5"/>
  <c r="E44" i="5" s="1"/>
  <c r="B41" i="8"/>
  <c r="K40" i="5"/>
  <c r="A48" i="8"/>
  <c r="B44" i="1" l="1"/>
  <c r="D44" i="1"/>
  <c r="E44" i="1" s="1"/>
  <c r="C43" i="1"/>
  <c r="I40" i="5"/>
  <c r="J41" i="5" s="1"/>
  <c r="H40" i="5"/>
  <c r="B42" i="8"/>
  <c r="K41" i="5"/>
  <c r="D44" i="5"/>
  <c r="E45" i="5" s="1"/>
  <c r="C44" i="5"/>
  <c r="D41" i="8"/>
  <c r="C41" i="8"/>
  <c r="G43" i="5"/>
  <c r="F43" i="5"/>
  <c r="A49" i="8"/>
  <c r="C44" i="1" l="1"/>
  <c r="B45" i="1"/>
  <c r="D45" i="1"/>
  <c r="E45" i="1" s="1"/>
  <c r="B43" i="8"/>
  <c r="K42" i="5"/>
  <c r="D42" i="8"/>
  <c r="C42" i="8"/>
  <c r="G44" i="5"/>
  <c r="F44" i="5"/>
  <c r="C45" i="5"/>
  <c r="D45" i="5"/>
  <c r="E46" i="5" s="1"/>
  <c r="I41" i="5"/>
  <c r="J42" i="5" s="1"/>
  <c r="H41" i="5"/>
  <c r="A50" i="8"/>
  <c r="C45" i="1" l="1"/>
  <c r="B46" i="1"/>
  <c r="D46" i="1"/>
  <c r="E46" i="1" s="1"/>
  <c r="D46" i="5"/>
  <c r="E47" i="5" s="1"/>
  <c r="C46" i="5"/>
  <c r="B44" i="8"/>
  <c r="K43" i="5"/>
  <c r="I42" i="5"/>
  <c r="J43" i="5" s="1"/>
  <c r="H42" i="5"/>
  <c r="G45" i="5"/>
  <c r="F45" i="5"/>
  <c r="D43" i="8"/>
  <c r="C43" i="8"/>
  <c r="A51" i="8"/>
  <c r="C46" i="1" l="1"/>
  <c r="B47" i="1"/>
  <c r="D47" i="1"/>
  <c r="E47" i="1" s="1"/>
  <c r="B45" i="8"/>
  <c r="K44" i="5"/>
  <c r="G46" i="5"/>
  <c r="F46" i="5"/>
  <c r="D44" i="8"/>
  <c r="C44" i="8"/>
  <c r="I43" i="5"/>
  <c r="J44" i="5" s="1"/>
  <c r="H43" i="5"/>
  <c r="C47" i="5"/>
  <c r="D47" i="5"/>
  <c r="E48" i="5" s="1"/>
  <c r="A52" i="8"/>
  <c r="C47" i="1" l="1"/>
  <c r="B48" i="1"/>
  <c r="D48" i="1"/>
  <c r="E48" i="1" s="1"/>
  <c r="D48" i="5"/>
  <c r="E49" i="5" s="1"/>
  <c r="C48" i="5"/>
  <c r="I44" i="5"/>
  <c r="J45" i="5" s="1"/>
  <c r="H44" i="5"/>
  <c r="B46" i="8"/>
  <c r="K45" i="5"/>
  <c r="G47" i="5"/>
  <c r="F47" i="5"/>
  <c r="D45" i="8"/>
  <c r="C45" i="8"/>
  <c r="A53" i="8"/>
  <c r="C48" i="1" l="1"/>
  <c r="B49" i="1"/>
  <c r="D49" i="1"/>
  <c r="E49" i="1" s="1"/>
  <c r="D49" i="5"/>
  <c r="E50" i="5" s="1"/>
  <c r="C49" i="5"/>
  <c r="G48" i="5"/>
  <c r="F48" i="5"/>
  <c r="D46" i="8"/>
  <c r="C46" i="8"/>
  <c r="I45" i="5"/>
  <c r="J46" i="5" s="1"/>
  <c r="H45" i="5"/>
  <c r="B47" i="8"/>
  <c r="K46" i="5"/>
  <c r="A54" i="8"/>
  <c r="C49" i="1" l="1"/>
  <c r="B50" i="1"/>
  <c r="D50" i="1"/>
  <c r="E50" i="1" s="1"/>
  <c r="G49" i="5"/>
  <c r="F49" i="5"/>
  <c r="D47" i="8"/>
  <c r="C47" i="8"/>
  <c r="I46" i="5"/>
  <c r="J47" i="5" s="1"/>
  <c r="H46" i="5"/>
  <c r="B48" i="8"/>
  <c r="K47" i="5"/>
  <c r="D50" i="5"/>
  <c r="E51" i="5" s="1"/>
  <c r="C50" i="5"/>
  <c r="A55" i="8"/>
  <c r="C50" i="1" l="1"/>
  <c r="B51" i="1"/>
  <c r="D51" i="1"/>
  <c r="E51" i="1" s="1"/>
  <c r="G50" i="5"/>
  <c r="F50" i="5"/>
  <c r="D48" i="8"/>
  <c r="C48" i="8"/>
  <c r="B49" i="8"/>
  <c r="K48" i="5"/>
  <c r="D51" i="5"/>
  <c r="E52" i="5" s="1"/>
  <c r="C51" i="5"/>
  <c r="I47" i="5"/>
  <c r="J48" i="5" s="1"/>
  <c r="H47" i="5"/>
  <c r="A56" i="8"/>
  <c r="C51" i="1" l="1"/>
  <c r="B52" i="1"/>
  <c r="D52" i="1"/>
  <c r="E52" i="1" s="1"/>
  <c r="B50" i="8"/>
  <c r="K49" i="5"/>
  <c r="C52" i="5"/>
  <c r="D52" i="5"/>
  <c r="E53" i="5" s="1"/>
  <c r="D49" i="8"/>
  <c r="C49" i="8"/>
  <c r="G51" i="5"/>
  <c r="F51" i="5"/>
  <c r="I48" i="5"/>
  <c r="J49" i="5" s="1"/>
  <c r="H48" i="5"/>
  <c r="A57" i="8"/>
  <c r="C52" i="1" l="1"/>
  <c r="B53" i="1"/>
  <c r="D53" i="1"/>
  <c r="E53" i="1" s="1"/>
  <c r="C53" i="5"/>
  <c r="D53" i="5"/>
  <c r="E54" i="5" s="1"/>
  <c r="B51" i="8"/>
  <c r="K50" i="5"/>
  <c r="D50" i="8"/>
  <c r="C50" i="8"/>
  <c r="I49" i="5"/>
  <c r="J50" i="5" s="1"/>
  <c r="H49" i="5"/>
  <c r="G52" i="5"/>
  <c r="F52" i="5"/>
  <c r="A58" i="8"/>
  <c r="C53" i="1" l="1"/>
  <c r="B54" i="1"/>
  <c r="D54" i="1"/>
  <c r="E54" i="1" s="1"/>
  <c r="G53" i="5"/>
  <c r="F53" i="5"/>
  <c r="D51" i="8"/>
  <c r="C51" i="8"/>
  <c r="I50" i="5"/>
  <c r="J51" i="5" s="1"/>
  <c r="H50" i="5"/>
  <c r="D54" i="5"/>
  <c r="E55" i="5" s="1"/>
  <c r="C54" i="5"/>
  <c r="B52" i="8"/>
  <c r="K51" i="5"/>
  <c r="A59" i="8"/>
  <c r="C54" i="1" l="1"/>
  <c r="B55" i="1"/>
  <c r="D55" i="1"/>
  <c r="E55" i="1" s="1"/>
  <c r="D52" i="8"/>
  <c r="C52" i="8"/>
  <c r="G54" i="5"/>
  <c r="F54" i="5"/>
  <c r="B53" i="8"/>
  <c r="K52" i="5"/>
  <c r="C55" i="5"/>
  <c r="D55" i="5"/>
  <c r="E56" i="5" s="1"/>
  <c r="I51" i="5"/>
  <c r="J52" i="5" s="1"/>
  <c r="H51" i="5"/>
  <c r="A60" i="8"/>
  <c r="D56" i="1" l="1"/>
  <c r="E56" i="1" s="1"/>
  <c r="B56" i="1"/>
  <c r="C55" i="1"/>
  <c r="C56" i="5"/>
  <c r="D56" i="5"/>
  <c r="E57" i="5" s="1"/>
  <c r="G55" i="5"/>
  <c r="F55" i="5"/>
  <c r="I52" i="5"/>
  <c r="J53" i="5" s="1"/>
  <c r="H52" i="5"/>
  <c r="B54" i="8"/>
  <c r="K53" i="5"/>
  <c r="D53" i="8"/>
  <c r="C53" i="8"/>
  <c r="A61" i="8"/>
  <c r="D57" i="1" l="1"/>
  <c r="E57" i="1" s="1"/>
  <c r="B57" i="1"/>
  <c r="C56" i="1"/>
  <c r="I53" i="5"/>
  <c r="J54" i="5" s="1"/>
  <c r="H53" i="5"/>
  <c r="B55" i="8"/>
  <c r="K54" i="5"/>
  <c r="D57" i="5"/>
  <c r="E58" i="5" s="1"/>
  <c r="C57" i="5"/>
  <c r="D54" i="8"/>
  <c r="C54" i="8"/>
  <c r="G56" i="5"/>
  <c r="F56" i="5"/>
  <c r="A62" i="8"/>
  <c r="D58" i="1" l="1"/>
  <c r="E58" i="1" s="1"/>
  <c r="B58" i="1"/>
  <c r="C57" i="1"/>
  <c r="B56" i="8"/>
  <c r="K55" i="5"/>
  <c r="D55" i="8"/>
  <c r="C55" i="8"/>
  <c r="G57" i="5"/>
  <c r="F57" i="5"/>
  <c r="D58" i="5"/>
  <c r="E59" i="5" s="1"/>
  <c r="C58" i="5"/>
  <c r="I54" i="5"/>
  <c r="J55" i="5" s="1"/>
  <c r="H54" i="5"/>
  <c r="A63" i="8"/>
  <c r="D59" i="1" l="1"/>
  <c r="E59" i="1" s="1"/>
  <c r="B59" i="1"/>
  <c r="C58" i="1"/>
  <c r="B57" i="8"/>
  <c r="K56" i="5"/>
  <c r="D56" i="8"/>
  <c r="C56" i="8"/>
  <c r="C59" i="5"/>
  <c r="D59" i="5"/>
  <c r="E60" i="5" s="1"/>
  <c r="I55" i="5"/>
  <c r="J56" i="5" s="1"/>
  <c r="H55" i="5"/>
  <c r="G58" i="5"/>
  <c r="F58" i="5"/>
  <c r="A64" i="8"/>
  <c r="D60" i="1" l="1"/>
  <c r="E60" i="1" s="1"/>
  <c r="B60" i="1"/>
  <c r="C59" i="1"/>
  <c r="I56" i="5"/>
  <c r="J57" i="5" s="1"/>
  <c r="H56" i="5"/>
  <c r="C60" i="5"/>
  <c r="D60" i="5"/>
  <c r="E61" i="5" s="1"/>
  <c r="B58" i="8"/>
  <c r="K57" i="5"/>
  <c r="G59" i="5"/>
  <c r="F59" i="5"/>
  <c r="D57" i="8"/>
  <c r="C57" i="8"/>
  <c r="A65" i="8"/>
  <c r="D61" i="1" l="1"/>
  <c r="E61" i="1" s="1"/>
  <c r="B61" i="1"/>
  <c r="C60" i="1"/>
  <c r="G60" i="5"/>
  <c r="F60" i="5"/>
  <c r="D61" i="5"/>
  <c r="E62" i="5" s="1"/>
  <c r="C61" i="5"/>
  <c r="B59" i="8"/>
  <c r="K58" i="5"/>
  <c r="D58" i="8"/>
  <c r="C58" i="8"/>
  <c r="I57" i="5"/>
  <c r="J58" i="5" s="1"/>
  <c r="H57" i="5"/>
  <c r="A66" i="8"/>
  <c r="D62" i="1" l="1"/>
  <c r="E62" i="1" s="1"/>
  <c r="B62" i="1"/>
  <c r="C61" i="1"/>
  <c r="I58" i="5"/>
  <c r="J59" i="5" s="1"/>
  <c r="H58" i="5"/>
  <c r="B60" i="8"/>
  <c r="K59" i="5"/>
  <c r="G61" i="5"/>
  <c r="F61" i="5"/>
  <c r="D59" i="8"/>
  <c r="C59" i="8"/>
  <c r="D62" i="5"/>
  <c r="E63" i="5" s="1"/>
  <c r="C62" i="5"/>
  <c r="A67" i="8"/>
  <c r="D63" i="1" l="1"/>
  <c r="E63" i="1" s="1"/>
  <c r="C62" i="1"/>
  <c r="B63" i="1"/>
  <c r="G62" i="5"/>
  <c r="F62" i="5"/>
  <c r="I59" i="5"/>
  <c r="J60" i="5" s="1"/>
  <c r="H59" i="5"/>
  <c r="C63" i="5"/>
  <c r="D63" i="5"/>
  <c r="E64" i="5" s="1"/>
  <c r="D60" i="8"/>
  <c r="C60" i="8"/>
  <c r="B61" i="8"/>
  <c r="K60" i="5"/>
  <c r="A68" i="8"/>
  <c r="B64" i="1" l="1"/>
  <c r="D64" i="1"/>
  <c r="E64" i="1" s="1"/>
  <c r="C63" i="1"/>
  <c r="D61" i="8"/>
  <c r="C61" i="8"/>
  <c r="I60" i="5"/>
  <c r="J61" i="5" s="1"/>
  <c r="H60" i="5"/>
  <c r="D64" i="5"/>
  <c r="E65" i="5" s="1"/>
  <c r="C64" i="5"/>
  <c r="B62" i="8"/>
  <c r="K61" i="5"/>
  <c r="G63" i="5"/>
  <c r="F63" i="5"/>
  <c r="A69" i="8"/>
  <c r="D65" i="1" l="1"/>
  <c r="E65" i="1" s="1"/>
  <c r="B65" i="1"/>
  <c r="C64" i="1"/>
  <c r="D65" i="5"/>
  <c r="E66" i="5" s="1"/>
  <c r="C65" i="5"/>
  <c r="B63" i="8"/>
  <c r="K62" i="5"/>
  <c r="G64" i="5"/>
  <c r="F64" i="5"/>
  <c r="D62" i="8"/>
  <c r="C62" i="8"/>
  <c r="I61" i="5"/>
  <c r="J62" i="5" s="1"/>
  <c r="H61" i="5"/>
  <c r="A70" i="8"/>
  <c r="D66" i="1" l="1"/>
  <c r="E66" i="1" s="1"/>
  <c r="C65" i="1"/>
  <c r="B66" i="1"/>
  <c r="D66" i="5"/>
  <c r="E67" i="5" s="1"/>
  <c r="C66" i="5"/>
  <c r="B64" i="8"/>
  <c r="K63" i="5"/>
  <c r="I62" i="5"/>
  <c r="J63" i="5" s="1"/>
  <c r="H62" i="5"/>
  <c r="G65" i="5"/>
  <c r="F65" i="5"/>
  <c r="D63" i="8"/>
  <c r="C63" i="8"/>
  <c r="A71" i="8"/>
  <c r="D67" i="1" l="1"/>
  <c r="E67" i="1" s="1"/>
  <c r="B67" i="1"/>
  <c r="C66" i="1"/>
  <c r="B65" i="8"/>
  <c r="K64" i="5"/>
  <c r="D67" i="5"/>
  <c r="E68" i="5" s="1"/>
  <c r="C67" i="5"/>
  <c r="G66" i="5"/>
  <c r="F66" i="5"/>
  <c r="D64" i="8"/>
  <c r="C64" i="8"/>
  <c r="I63" i="5"/>
  <c r="J64" i="5" s="1"/>
  <c r="H63" i="5"/>
  <c r="A72" i="8"/>
  <c r="D68" i="1" l="1"/>
  <c r="E68" i="1" s="1"/>
  <c r="B68" i="1"/>
  <c r="C67" i="1"/>
  <c r="D68" i="5"/>
  <c r="E69" i="5" s="1"/>
  <c r="C68" i="5"/>
  <c r="I64" i="5"/>
  <c r="J65" i="5" s="1"/>
  <c r="H64" i="5"/>
  <c r="B66" i="8"/>
  <c r="K65" i="5"/>
  <c r="G67" i="5"/>
  <c r="F67" i="5"/>
  <c r="D65" i="8"/>
  <c r="C65" i="8"/>
  <c r="A73" i="8"/>
  <c r="D69" i="1" l="1"/>
  <c r="E69" i="1" s="1"/>
  <c r="B69" i="1"/>
  <c r="C68" i="1"/>
  <c r="D66" i="8"/>
  <c r="C66" i="8"/>
  <c r="B67" i="8"/>
  <c r="K66" i="5"/>
  <c r="C69" i="5"/>
  <c r="D69" i="5"/>
  <c r="E70" i="5" s="1"/>
  <c r="G68" i="5"/>
  <c r="F68" i="5"/>
  <c r="I65" i="5"/>
  <c r="J66" i="5" s="1"/>
  <c r="H65" i="5"/>
  <c r="A74" i="8"/>
  <c r="D70" i="1" l="1"/>
  <c r="E70" i="1" s="1"/>
  <c r="B70" i="1"/>
  <c r="C69" i="1"/>
  <c r="D67" i="8"/>
  <c r="C67" i="8"/>
  <c r="B68" i="8"/>
  <c r="K67" i="5"/>
  <c r="C70" i="5"/>
  <c r="D70" i="5"/>
  <c r="E71" i="5" s="1"/>
  <c r="I66" i="5"/>
  <c r="J67" i="5" s="1"/>
  <c r="H66" i="5"/>
  <c r="G69" i="5"/>
  <c r="F69" i="5"/>
  <c r="A75" i="8"/>
  <c r="D71" i="1" l="1"/>
  <c r="E71" i="1" s="1"/>
  <c r="B71" i="1"/>
  <c r="C70" i="1"/>
  <c r="D68" i="8"/>
  <c r="C68" i="8"/>
  <c r="D71" i="5"/>
  <c r="E72" i="5" s="1"/>
  <c r="C71" i="5"/>
  <c r="I67" i="5"/>
  <c r="J68" i="5" s="1"/>
  <c r="H67" i="5"/>
  <c r="B69" i="8"/>
  <c r="K68" i="5"/>
  <c r="G70" i="5"/>
  <c r="F70" i="5"/>
  <c r="A76" i="8"/>
  <c r="D72" i="1" l="1"/>
  <c r="E72" i="1" s="1"/>
  <c r="B72" i="1"/>
  <c r="C71" i="1"/>
  <c r="G71" i="5"/>
  <c r="F71" i="5"/>
  <c r="I68" i="5"/>
  <c r="J69" i="5" s="1"/>
  <c r="H68" i="5"/>
  <c r="B70" i="8"/>
  <c r="K69" i="5"/>
  <c r="D72" i="5"/>
  <c r="E73" i="5" s="1"/>
  <c r="C72" i="5"/>
  <c r="D69" i="8"/>
  <c r="C69" i="8"/>
  <c r="A77" i="8"/>
  <c r="D73" i="1" l="1"/>
  <c r="E73" i="1" s="1"/>
  <c r="B73" i="1"/>
  <c r="C72" i="1"/>
  <c r="G72" i="5"/>
  <c r="F72" i="5"/>
  <c r="D70" i="8"/>
  <c r="C70" i="8"/>
  <c r="D73" i="5"/>
  <c r="E74" i="5" s="1"/>
  <c r="C73" i="5"/>
  <c r="I69" i="5"/>
  <c r="J70" i="5" s="1"/>
  <c r="H69" i="5"/>
  <c r="B71" i="8"/>
  <c r="K70" i="5"/>
  <c r="A78" i="8"/>
  <c r="D74" i="1" l="1"/>
  <c r="E74" i="1" s="1"/>
  <c r="B74" i="1"/>
  <c r="C73" i="1"/>
  <c r="G73" i="5"/>
  <c r="F73" i="5"/>
  <c r="C74" i="5"/>
  <c r="D74" i="5"/>
  <c r="E75" i="5" s="1"/>
  <c r="I70" i="5"/>
  <c r="J71" i="5" s="1"/>
  <c r="H70" i="5"/>
  <c r="D71" i="8"/>
  <c r="C71" i="8"/>
  <c r="B72" i="8"/>
  <c r="K71" i="5"/>
  <c r="A79" i="8"/>
  <c r="D75" i="1" l="1"/>
  <c r="E75" i="1" s="1"/>
  <c r="C74" i="1"/>
  <c r="B75" i="1"/>
  <c r="G74" i="5"/>
  <c r="F74" i="5"/>
  <c r="D72" i="8"/>
  <c r="C72" i="8"/>
  <c r="B73" i="8"/>
  <c r="K72" i="5"/>
  <c r="I71" i="5"/>
  <c r="J72" i="5" s="1"/>
  <c r="H71" i="5"/>
  <c r="C75" i="5"/>
  <c r="D75" i="5"/>
  <c r="E76" i="5" s="1"/>
  <c r="A80" i="8"/>
  <c r="D76" i="1" l="1"/>
  <c r="E76" i="1" s="1"/>
  <c r="B76" i="1"/>
  <c r="C75" i="1"/>
  <c r="C76" i="5"/>
  <c r="D76" i="5"/>
  <c r="E77" i="5" s="1"/>
  <c r="I72" i="5"/>
  <c r="J73" i="5" s="1"/>
  <c r="H72" i="5"/>
  <c r="G75" i="5"/>
  <c r="F75" i="5"/>
  <c r="D73" i="8"/>
  <c r="C73" i="8"/>
  <c r="B74" i="8"/>
  <c r="K73" i="5"/>
  <c r="A81" i="8"/>
  <c r="D77" i="1" l="1"/>
  <c r="E77" i="1" s="1"/>
  <c r="B77" i="1"/>
  <c r="C76" i="1"/>
  <c r="D74" i="8"/>
  <c r="C74" i="8"/>
  <c r="B75" i="8"/>
  <c r="K74" i="5"/>
  <c r="G76" i="5"/>
  <c r="F76" i="5"/>
  <c r="I73" i="5"/>
  <c r="J74" i="5" s="1"/>
  <c r="H73" i="5"/>
  <c r="C77" i="5"/>
  <c r="D77" i="5"/>
  <c r="E78" i="5" s="1"/>
  <c r="A82" i="8"/>
  <c r="D78" i="1" l="1"/>
  <c r="E78" i="1" s="1"/>
  <c r="B78" i="1"/>
  <c r="C77" i="1"/>
  <c r="D78" i="5"/>
  <c r="E79" i="5" s="1"/>
  <c r="C78" i="5"/>
  <c r="I74" i="5"/>
  <c r="J75" i="5" s="1"/>
  <c r="H74" i="5"/>
  <c r="G77" i="5"/>
  <c r="F77" i="5"/>
  <c r="B76" i="8"/>
  <c r="K75" i="5"/>
  <c r="D75" i="8"/>
  <c r="C75" i="8"/>
  <c r="A83" i="8"/>
  <c r="D79" i="1" l="1"/>
  <c r="E79" i="1" s="1"/>
  <c r="B79" i="1"/>
  <c r="C78" i="1"/>
  <c r="G78" i="5"/>
  <c r="F78" i="5"/>
  <c r="I75" i="5"/>
  <c r="J76" i="5" s="1"/>
  <c r="H75" i="5"/>
  <c r="B77" i="8"/>
  <c r="K76" i="5"/>
  <c r="D79" i="5"/>
  <c r="E80" i="5" s="1"/>
  <c r="C79" i="5"/>
  <c r="D76" i="8"/>
  <c r="C76" i="8"/>
  <c r="A84" i="8"/>
  <c r="D80" i="1" l="1"/>
  <c r="E80" i="1" s="1"/>
  <c r="B80" i="1"/>
  <c r="C79" i="1"/>
  <c r="I76" i="5"/>
  <c r="J77" i="5" s="1"/>
  <c r="H76" i="5"/>
  <c r="B78" i="8"/>
  <c r="K77" i="5"/>
  <c r="D77" i="8"/>
  <c r="C77" i="8"/>
  <c r="C80" i="5"/>
  <c r="D80" i="5"/>
  <c r="E81" i="5" s="1"/>
  <c r="G79" i="5"/>
  <c r="F79" i="5"/>
  <c r="A85" i="8"/>
  <c r="D81" i="1" l="1"/>
  <c r="E81" i="1" s="1"/>
  <c r="B81" i="1"/>
  <c r="C80" i="1"/>
  <c r="C81" i="5"/>
  <c r="D81" i="5"/>
  <c r="E82" i="5" s="1"/>
  <c r="I77" i="5"/>
  <c r="J78" i="5" s="1"/>
  <c r="H77" i="5"/>
  <c r="D78" i="8"/>
  <c r="C78" i="8"/>
  <c r="G80" i="5"/>
  <c r="F80" i="5"/>
  <c r="B79" i="8"/>
  <c r="K78" i="5"/>
  <c r="A86" i="8"/>
  <c r="D82" i="1" l="1"/>
  <c r="E82" i="1" s="1"/>
  <c r="C81" i="1"/>
  <c r="B82" i="1"/>
  <c r="D79" i="8"/>
  <c r="C79" i="8"/>
  <c r="G81" i="5"/>
  <c r="F81" i="5"/>
  <c r="I78" i="5"/>
  <c r="J79" i="5" s="1"/>
  <c r="H78" i="5"/>
  <c r="B80" i="8"/>
  <c r="K79" i="5"/>
  <c r="C82" i="5"/>
  <c r="D82" i="5"/>
  <c r="E83" i="5" s="1"/>
  <c r="A87" i="8"/>
  <c r="D83" i="1" l="1"/>
  <c r="E83" i="1" s="1"/>
  <c r="B83" i="1"/>
  <c r="C82" i="1"/>
  <c r="C83" i="5"/>
  <c r="D83" i="5"/>
  <c r="E84" i="5" s="1"/>
  <c r="B81" i="8"/>
  <c r="K80" i="5"/>
  <c r="G82" i="5"/>
  <c r="F82" i="5"/>
  <c r="D80" i="8"/>
  <c r="C80" i="8"/>
  <c r="I79" i="5"/>
  <c r="J80" i="5" s="1"/>
  <c r="H79" i="5"/>
  <c r="A88" i="8"/>
  <c r="D84" i="1" l="1"/>
  <c r="E84" i="1" s="1"/>
  <c r="B84" i="1"/>
  <c r="C83" i="1"/>
  <c r="B82" i="8"/>
  <c r="K81" i="5"/>
  <c r="D81" i="8"/>
  <c r="C81" i="8"/>
  <c r="G83" i="5"/>
  <c r="F83" i="5"/>
  <c r="I80" i="5"/>
  <c r="J81" i="5" s="1"/>
  <c r="H80" i="5"/>
  <c r="C84" i="5"/>
  <c r="D84" i="5"/>
  <c r="E85" i="5" s="1"/>
  <c r="A89" i="8"/>
  <c r="D85" i="1" l="1"/>
  <c r="E85" i="1" s="1"/>
  <c r="B85" i="1"/>
  <c r="C84" i="1"/>
  <c r="G84" i="5"/>
  <c r="F84" i="5"/>
  <c r="C85" i="5"/>
  <c r="D85" i="5"/>
  <c r="E86" i="5" s="1"/>
  <c r="I81" i="5"/>
  <c r="J82" i="5" s="1"/>
  <c r="H81" i="5"/>
  <c r="B83" i="8"/>
  <c r="K82" i="5"/>
  <c r="D82" i="8"/>
  <c r="C82" i="8"/>
  <c r="A90" i="8"/>
  <c r="D86" i="1" l="1"/>
  <c r="E86" i="1" s="1"/>
  <c r="B86" i="1"/>
  <c r="C85" i="1"/>
  <c r="C86" i="5"/>
  <c r="D86" i="5"/>
  <c r="E87" i="5" s="1"/>
  <c r="D83" i="8"/>
  <c r="C83" i="8"/>
  <c r="G85" i="5"/>
  <c r="F85" i="5"/>
  <c r="I82" i="5"/>
  <c r="J83" i="5" s="1"/>
  <c r="H82" i="5"/>
  <c r="B84" i="8"/>
  <c r="K83" i="5"/>
  <c r="A91" i="8"/>
  <c r="D87" i="1" l="1"/>
  <c r="E87" i="1" s="1"/>
  <c r="C86" i="1"/>
  <c r="B87" i="1"/>
  <c r="D84" i="8"/>
  <c r="C84" i="8"/>
  <c r="D87" i="5"/>
  <c r="E88" i="5" s="1"/>
  <c r="C87" i="5"/>
  <c r="B85" i="8"/>
  <c r="K84" i="5"/>
  <c r="G86" i="5"/>
  <c r="F86" i="5"/>
  <c r="I83" i="5"/>
  <c r="J84" i="5" s="1"/>
  <c r="H83" i="5"/>
  <c r="A92" i="8"/>
  <c r="D88" i="1" l="1"/>
  <c r="E88" i="1" s="1"/>
  <c r="B88" i="1"/>
  <c r="C87" i="1"/>
  <c r="D85" i="8"/>
  <c r="C85" i="8"/>
  <c r="B86" i="8"/>
  <c r="K85" i="5"/>
  <c r="G87" i="5"/>
  <c r="F87" i="5"/>
  <c r="I84" i="5"/>
  <c r="J85" i="5" s="1"/>
  <c r="H84" i="5"/>
  <c r="C88" i="5"/>
  <c r="D88" i="5"/>
  <c r="E89" i="5" s="1"/>
  <c r="A93" i="8"/>
  <c r="D89" i="1" l="1"/>
  <c r="E89" i="1" s="1"/>
  <c r="B89" i="1"/>
  <c r="C88" i="1"/>
  <c r="D89" i="5"/>
  <c r="E90" i="5" s="1"/>
  <c r="C89" i="5"/>
  <c r="D86" i="8"/>
  <c r="C86" i="8"/>
  <c r="G88" i="5"/>
  <c r="F88" i="5"/>
  <c r="I85" i="5"/>
  <c r="J86" i="5" s="1"/>
  <c r="H85" i="5"/>
  <c r="B87" i="8"/>
  <c r="K86" i="5"/>
  <c r="A94" i="8"/>
  <c r="D90" i="1" l="1"/>
  <c r="E90" i="1" s="1"/>
  <c r="C89" i="1"/>
  <c r="B90" i="1"/>
  <c r="D87" i="8"/>
  <c r="C87" i="8"/>
  <c r="C90" i="5"/>
  <c r="D90" i="5"/>
  <c r="E91" i="5" s="1"/>
  <c r="I86" i="5"/>
  <c r="J87" i="5" s="1"/>
  <c r="H86" i="5"/>
  <c r="G89" i="5"/>
  <c r="F89" i="5"/>
  <c r="B88" i="8"/>
  <c r="K87" i="5"/>
  <c r="A95" i="8"/>
  <c r="B91" i="1" l="1"/>
  <c r="D91" i="1"/>
  <c r="E91" i="1" s="1"/>
  <c r="C90" i="1"/>
  <c r="C91" i="5"/>
  <c r="D91" i="5"/>
  <c r="E92" i="5" s="1"/>
  <c r="G90" i="5"/>
  <c r="F90" i="5"/>
  <c r="I87" i="5"/>
  <c r="J88" i="5" s="1"/>
  <c r="H87" i="5"/>
  <c r="D88" i="8"/>
  <c r="C88" i="8"/>
  <c r="B89" i="8"/>
  <c r="K88" i="5"/>
  <c r="A96" i="8"/>
  <c r="B92" i="1" l="1"/>
  <c r="D92" i="1"/>
  <c r="E92" i="1" s="1"/>
  <c r="C91" i="1"/>
  <c r="G91" i="5"/>
  <c r="F91" i="5"/>
  <c r="D89" i="8"/>
  <c r="C89" i="8"/>
  <c r="I88" i="5"/>
  <c r="J89" i="5" s="1"/>
  <c r="H88" i="5"/>
  <c r="B90" i="8"/>
  <c r="K89" i="5"/>
  <c r="C92" i="5"/>
  <c r="D92" i="5"/>
  <c r="E93" i="5" s="1"/>
  <c r="A97" i="8"/>
  <c r="B93" i="1" l="1"/>
  <c r="C92" i="1"/>
  <c r="D93" i="1"/>
  <c r="E93" i="1" s="1"/>
  <c r="B91" i="8"/>
  <c r="K90" i="5"/>
  <c r="D93" i="5"/>
  <c r="E94" i="5" s="1"/>
  <c r="C93" i="5"/>
  <c r="G92" i="5"/>
  <c r="F92" i="5"/>
  <c r="D90" i="8"/>
  <c r="C90" i="8"/>
  <c r="I89" i="5"/>
  <c r="J90" i="5" s="1"/>
  <c r="H89" i="5"/>
  <c r="A98" i="8"/>
  <c r="B94" i="1" l="1"/>
  <c r="D94" i="1"/>
  <c r="E94" i="1" s="1"/>
  <c r="C93" i="1"/>
  <c r="I90" i="5"/>
  <c r="J91" i="5" s="1"/>
  <c r="H90" i="5"/>
  <c r="B92" i="8"/>
  <c r="K91" i="5"/>
  <c r="G93" i="5"/>
  <c r="F93" i="5"/>
  <c r="C94" i="5"/>
  <c r="D94" i="5"/>
  <c r="E95" i="5" s="1"/>
  <c r="D91" i="8"/>
  <c r="C91" i="8"/>
  <c r="A99" i="8"/>
  <c r="B95" i="1" l="1"/>
  <c r="C94" i="1"/>
  <c r="D95" i="1"/>
  <c r="E95" i="1" s="1"/>
  <c r="G94" i="5"/>
  <c r="F94" i="5"/>
  <c r="I91" i="5"/>
  <c r="J92" i="5" s="1"/>
  <c r="H91" i="5"/>
  <c r="C95" i="5"/>
  <c r="D95" i="5"/>
  <c r="E96" i="5" s="1"/>
  <c r="B93" i="8"/>
  <c r="K92" i="5"/>
  <c r="D92" i="8"/>
  <c r="C92" i="8"/>
  <c r="A100" i="8"/>
  <c r="B96" i="1" l="1"/>
  <c r="D96" i="1"/>
  <c r="E96" i="1" s="1"/>
  <c r="C95" i="1"/>
  <c r="G95" i="5"/>
  <c r="F95" i="5"/>
  <c r="C96" i="5"/>
  <c r="D96" i="5"/>
  <c r="E97" i="5" s="1"/>
  <c r="I92" i="5"/>
  <c r="J93" i="5" s="1"/>
  <c r="H92" i="5"/>
  <c r="D93" i="8"/>
  <c r="C93" i="8"/>
  <c r="B94" i="8"/>
  <c r="K93" i="5"/>
  <c r="A101" i="8"/>
  <c r="B97" i="1" l="1"/>
  <c r="D97" i="1"/>
  <c r="E97" i="1" s="1"/>
  <c r="C96" i="1"/>
  <c r="C97" i="5"/>
  <c r="D97" i="5"/>
  <c r="E98" i="5" s="1"/>
  <c r="B95" i="8"/>
  <c r="K94" i="5"/>
  <c r="G96" i="5"/>
  <c r="F96" i="5"/>
  <c r="D94" i="8"/>
  <c r="C94" i="8"/>
  <c r="I93" i="5"/>
  <c r="J94" i="5" s="1"/>
  <c r="H93" i="5"/>
  <c r="A102" i="8"/>
  <c r="B98" i="1" l="1"/>
  <c r="D98" i="1"/>
  <c r="E98" i="1" s="1"/>
  <c r="C97" i="1"/>
  <c r="D95" i="8"/>
  <c r="C95" i="8"/>
  <c r="I94" i="5"/>
  <c r="J95" i="5" s="1"/>
  <c r="H94" i="5"/>
  <c r="G97" i="5"/>
  <c r="F97" i="5"/>
  <c r="B96" i="8"/>
  <c r="K95" i="5"/>
  <c r="C98" i="5"/>
  <c r="D98" i="5"/>
  <c r="E99" i="5" s="1"/>
  <c r="A103" i="8"/>
  <c r="C98" i="1" l="1"/>
  <c r="B99" i="1"/>
  <c r="D99" i="1"/>
  <c r="E99" i="1" s="1"/>
  <c r="C99" i="5"/>
  <c r="D99" i="5"/>
  <c r="E100" i="5" s="1"/>
  <c r="G98" i="5"/>
  <c r="F98" i="5"/>
  <c r="I95" i="5"/>
  <c r="J96" i="5" s="1"/>
  <c r="H95" i="5"/>
  <c r="D96" i="8"/>
  <c r="C96" i="8"/>
  <c r="B97" i="8"/>
  <c r="K96" i="5"/>
  <c r="C99" i="1" l="1"/>
  <c r="B100" i="1"/>
  <c r="D100" i="1"/>
  <c r="E100" i="1" s="1"/>
  <c r="D97" i="8"/>
  <c r="C97" i="8"/>
  <c r="G99" i="5"/>
  <c r="F99" i="5"/>
  <c r="I96" i="5"/>
  <c r="J97" i="5" s="1"/>
  <c r="H96" i="5"/>
  <c r="B98" i="8"/>
  <c r="K97" i="5"/>
  <c r="C100" i="5"/>
  <c r="D100" i="5"/>
  <c r="E101" i="5" s="1"/>
  <c r="D101" i="1" l="1"/>
  <c r="E101" i="1" s="1"/>
  <c r="C100" i="1"/>
  <c r="B101" i="1"/>
  <c r="I97" i="5"/>
  <c r="J98" i="5" s="1"/>
  <c r="H97" i="5"/>
  <c r="B99" i="8"/>
  <c r="K98" i="5"/>
  <c r="D101" i="5"/>
  <c r="E102" i="5" s="1"/>
  <c r="C101" i="5"/>
  <c r="G100" i="5"/>
  <c r="F100" i="5"/>
  <c r="D98" i="8"/>
  <c r="C98" i="8"/>
  <c r="C101" i="1" l="1"/>
  <c r="D102" i="1"/>
  <c r="E102" i="1" s="1"/>
  <c r="B102" i="1"/>
  <c r="C102" i="5"/>
  <c r="D102" i="5"/>
  <c r="I98" i="5"/>
  <c r="J99" i="5" s="1"/>
  <c r="H98" i="5"/>
  <c r="D99" i="8"/>
  <c r="C99" i="8"/>
  <c r="G101" i="5"/>
  <c r="F101" i="5"/>
  <c r="B100" i="8"/>
  <c r="K99" i="5"/>
  <c r="C102" i="1" l="1"/>
  <c r="B103" i="1"/>
  <c r="D103" i="1"/>
  <c r="E103" i="1" s="1"/>
  <c r="B101" i="8"/>
  <c r="K100" i="5"/>
  <c r="D100" i="8"/>
  <c r="C100" i="8"/>
  <c r="G102" i="5"/>
  <c r="F102" i="5"/>
  <c r="I99" i="5"/>
  <c r="J100" i="5" s="1"/>
  <c r="H99" i="5"/>
  <c r="C103" i="1" l="1"/>
  <c r="B104" i="1"/>
  <c r="D104" i="1"/>
  <c r="E104" i="1" s="1"/>
  <c r="B102" i="8"/>
  <c r="K101" i="5"/>
  <c r="D101" i="8"/>
  <c r="C101" i="8"/>
  <c r="I100" i="5"/>
  <c r="J101" i="5" s="1"/>
  <c r="H100" i="5"/>
  <c r="D105" i="1" l="1"/>
  <c r="E105" i="1" s="1"/>
  <c r="C104" i="1"/>
  <c r="B105" i="1"/>
  <c r="I101" i="5"/>
  <c r="J102" i="5" s="1"/>
  <c r="H101" i="5"/>
  <c r="B103" i="8"/>
  <c r="K102" i="5"/>
  <c r="D102" i="8"/>
  <c r="C102" i="8"/>
  <c r="D106" i="1" l="1"/>
  <c r="E106" i="1" s="1"/>
  <c r="C105" i="1"/>
  <c r="B106" i="1"/>
  <c r="D103" i="8"/>
  <c r="C103" i="8"/>
  <c r="I102" i="5"/>
  <c r="H102" i="5"/>
  <c r="G12" i="8"/>
  <c r="B107" i="1" l="1"/>
  <c r="C106" i="1"/>
  <c r="D107" i="1"/>
  <c r="E107" i="1" s="1"/>
  <c r="C107" i="1" l="1"/>
  <c r="B108" i="1"/>
  <c r="D108" i="1"/>
  <c r="E108" i="1" s="1"/>
  <c r="D109" i="1" l="1"/>
  <c r="E109" i="1" s="1"/>
  <c r="C108" i="1"/>
  <c r="B109" i="1"/>
  <c r="D110" i="1" l="1"/>
  <c r="E110" i="1" s="1"/>
  <c r="C109" i="1"/>
  <c r="B110" i="1"/>
  <c r="C110" i="1" l="1"/>
  <c r="B111" i="1"/>
  <c r="D111" i="1"/>
  <c r="E111" i="1" s="1"/>
  <c r="C111" i="1" l="1"/>
  <c r="D112" i="1"/>
  <c r="E112" i="1" s="1"/>
  <c r="B112" i="1"/>
  <c r="D113" i="1" l="1"/>
  <c r="E113" i="1" s="1"/>
  <c r="B113" i="1"/>
  <c r="C112" i="1"/>
  <c r="D114" i="1" l="1"/>
  <c r="E114" i="1" s="1"/>
  <c r="C113" i="1"/>
  <c r="B114" i="1"/>
  <c r="C114" i="1" l="1"/>
  <c r="D115" i="1"/>
  <c r="E115" i="1" s="1"/>
  <c r="B115" i="1"/>
  <c r="C115" i="1" l="1"/>
  <c r="B116" i="1"/>
  <c r="D116" i="1"/>
  <c r="E116" i="1" s="1"/>
  <c r="D117" i="1" l="1"/>
  <c r="E117" i="1" s="1"/>
  <c r="C116" i="1"/>
  <c r="B117" i="1"/>
  <c r="C117" i="1" l="1"/>
  <c r="B118" i="1"/>
  <c r="D118" i="1"/>
  <c r="E118" i="1" s="1"/>
  <c r="C118" i="1" l="1"/>
  <c r="D119" i="1"/>
  <c r="E119" i="1" s="1"/>
  <c r="B119" i="1"/>
  <c r="C119" i="1" l="1"/>
  <c r="B120" i="1"/>
  <c r="D120" i="1"/>
  <c r="E120" i="1" s="1"/>
  <c r="C120" i="1" l="1"/>
  <c r="D121" i="1"/>
  <c r="E121" i="1" s="1"/>
  <c r="B121" i="1"/>
  <c r="D122" i="1" l="1"/>
  <c r="E122" i="1" s="1"/>
  <c r="C121" i="1"/>
  <c r="B122" i="1"/>
  <c r="C122" i="1" l="1"/>
  <c r="B123" i="1"/>
  <c r="D123" i="1"/>
  <c r="E123" i="1" s="1"/>
  <c r="C123" i="1" l="1"/>
  <c r="B124" i="1"/>
  <c r="D124" i="1"/>
  <c r="E124" i="1" s="1"/>
  <c r="D125" i="1" l="1"/>
  <c r="E125" i="1" s="1"/>
  <c r="B125" i="1"/>
  <c r="C124" i="1"/>
  <c r="D126" i="1" l="1"/>
  <c r="E126" i="1" s="1"/>
  <c r="C125" i="1"/>
  <c r="B126" i="1"/>
  <c r="C126" i="1" l="1"/>
  <c r="B127" i="1"/>
  <c r="D127" i="1"/>
  <c r="E127" i="1" s="1"/>
  <c r="C127" i="1" l="1"/>
  <c r="D128" i="1"/>
  <c r="E128" i="1" s="1"/>
  <c r="B128" i="1"/>
  <c r="D129" i="1" l="1"/>
  <c r="E129" i="1" s="1"/>
  <c r="B129" i="1"/>
  <c r="C128" i="1"/>
  <c r="D130" i="1" l="1"/>
  <c r="E130" i="1" s="1"/>
  <c r="C129" i="1"/>
  <c r="B130" i="1"/>
  <c r="C130" i="1" l="1"/>
  <c r="D131" i="1"/>
  <c r="E131" i="1" s="1"/>
  <c r="B131" i="1"/>
  <c r="C131" i="1" l="1"/>
  <c r="B132" i="1"/>
  <c r="D132" i="1"/>
  <c r="E132" i="1" s="1"/>
  <c r="D133" i="1" l="1"/>
  <c r="E133" i="1" s="1"/>
  <c r="B133" i="1"/>
  <c r="C132" i="1"/>
  <c r="C133" i="1" l="1"/>
  <c r="D134" i="1"/>
  <c r="E134" i="1" s="1"/>
  <c r="B134" i="1"/>
  <c r="C134" i="1" l="1"/>
  <c r="B135" i="1"/>
  <c r="D135" i="1"/>
  <c r="E135" i="1" s="1"/>
  <c r="C135" i="1" l="1"/>
  <c r="B136" i="1"/>
  <c r="D136" i="1"/>
  <c r="E136" i="1" s="1"/>
  <c r="D137" i="1" l="1"/>
  <c r="E137" i="1" s="1"/>
  <c r="B137" i="1"/>
  <c r="C136" i="1"/>
  <c r="D138" i="1" l="1"/>
  <c r="E138" i="1" s="1"/>
  <c r="C137" i="1"/>
  <c r="B138" i="1"/>
  <c r="C138" i="1" l="1"/>
  <c r="B139" i="1"/>
  <c r="D139" i="1"/>
  <c r="E139" i="1" s="1"/>
  <c r="C139" i="1" l="1"/>
  <c r="D140" i="1"/>
  <c r="E140" i="1" s="1"/>
  <c r="B140" i="1"/>
  <c r="D141" i="1" l="1"/>
  <c r="E141" i="1" s="1"/>
  <c r="C140" i="1"/>
  <c r="B141" i="1"/>
  <c r="D142" i="1" l="1"/>
  <c r="E142" i="1" s="1"/>
  <c r="C141" i="1"/>
  <c r="B142" i="1"/>
  <c r="C142" i="1" l="1"/>
  <c r="B143" i="1"/>
  <c r="D143" i="1"/>
  <c r="E143" i="1" s="1"/>
  <c r="C143" i="1" l="1"/>
  <c r="B144" i="1"/>
  <c r="D144" i="1"/>
  <c r="E144" i="1" s="1"/>
  <c r="D145" i="1" l="1"/>
  <c r="E145" i="1" s="1"/>
  <c r="B145" i="1"/>
  <c r="C144" i="1"/>
  <c r="D146" i="1" l="1"/>
  <c r="E146" i="1" s="1"/>
  <c r="C145" i="1"/>
  <c r="B146" i="1"/>
  <c r="C146" i="1" l="1"/>
  <c r="D147" i="1"/>
  <c r="E147" i="1" s="1"/>
  <c r="B147" i="1"/>
  <c r="C147" i="1" l="1"/>
  <c r="D148" i="1"/>
  <c r="E148" i="1" s="1"/>
  <c r="B148" i="1"/>
  <c r="D149" i="1" l="1"/>
  <c r="E149" i="1" s="1"/>
  <c r="C148" i="1"/>
  <c r="B149" i="1"/>
  <c r="C149" i="1" l="1"/>
  <c r="D150" i="1"/>
  <c r="E150" i="1" s="1"/>
  <c r="B150" i="1"/>
  <c r="C150" i="1" l="1"/>
  <c r="B151" i="1"/>
  <c r="D151" i="1"/>
  <c r="E151" i="1" s="1"/>
  <c r="C151" i="1" l="1"/>
  <c r="B152" i="1"/>
  <c r="D152" i="1"/>
  <c r="E152" i="1" s="1"/>
  <c r="D153" i="1" l="1"/>
  <c r="E153" i="1" s="1"/>
  <c r="C152" i="1"/>
  <c r="B153" i="1"/>
  <c r="D154" i="1" l="1"/>
  <c r="E154" i="1" s="1"/>
  <c r="C153" i="1"/>
  <c r="B154" i="1"/>
  <c r="C154" i="1" l="1"/>
  <c r="D155" i="1"/>
  <c r="E155" i="1" s="1"/>
  <c r="B155" i="1"/>
  <c r="C155" i="1" l="1"/>
  <c r="B156" i="1"/>
  <c r="D156" i="1"/>
  <c r="E156" i="1" s="1"/>
  <c r="D157" i="1" l="1"/>
  <c r="E157" i="1" s="1"/>
  <c r="C156" i="1"/>
  <c r="B157" i="1"/>
  <c r="D158" i="1" l="1"/>
  <c r="E158" i="1" s="1"/>
  <c r="C157" i="1"/>
  <c r="B158" i="1"/>
  <c r="C158" i="1" l="1"/>
  <c r="B159" i="1"/>
  <c r="D159" i="1"/>
  <c r="E159" i="1" s="1"/>
  <c r="C159" i="1" l="1"/>
  <c r="B160" i="1"/>
  <c r="D160" i="1"/>
  <c r="E160" i="1" s="1"/>
  <c r="D161" i="1" l="1"/>
  <c r="E161" i="1" s="1"/>
  <c r="C160" i="1"/>
  <c r="B161" i="1"/>
  <c r="D162" i="1" l="1"/>
  <c r="E162" i="1" s="1"/>
  <c r="C161" i="1"/>
  <c r="B162" i="1"/>
  <c r="C162" i="1" l="1"/>
  <c r="B163" i="1"/>
  <c r="D163" i="1"/>
  <c r="E163" i="1" s="1"/>
  <c r="C163" i="1" l="1"/>
  <c r="B164" i="1"/>
  <c r="D164" i="1"/>
  <c r="E164" i="1" s="1"/>
  <c r="D165" i="1" l="1"/>
  <c r="E165" i="1" s="1"/>
  <c r="C164" i="1"/>
  <c r="B165" i="1"/>
  <c r="C165" i="1" l="1"/>
  <c r="D166" i="1"/>
  <c r="E166" i="1" s="1"/>
  <c r="B166" i="1"/>
  <c r="C166" i="1" l="1"/>
  <c r="B167" i="1"/>
  <c r="D167" i="1"/>
  <c r="E167" i="1" s="1"/>
  <c r="C167" i="1" l="1"/>
  <c r="B168" i="1"/>
  <c r="D168" i="1"/>
  <c r="E168" i="1" s="1"/>
  <c r="D169" i="1" l="1"/>
  <c r="E169" i="1" s="1"/>
  <c r="B169" i="1"/>
  <c r="C168" i="1"/>
  <c r="D170" i="1" l="1"/>
  <c r="E170" i="1" s="1"/>
  <c r="C169" i="1"/>
  <c r="B170" i="1"/>
  <c r="C170" i="1" l="1"/>
  <c r="B171" i="1"/>
  <c r="D171" i="1"/>
  <c r="E171" i="1" s="1"/>
  <c r="C171" i="1" l="1"/>
  <c r="B172" i="1"/>
  <c r="D172" i="1"/>
  <c r="E172" i="1" s="1"/>
  <c r="D173" i="1" l="1"/>
  <c r="E173" i="1" s="1"/>
  <c r="C172" i="1"/>
  <c r="B173" i="1"/>
  <c r="D174" i="1" l="1"/>
  <c r="E174" i="1" s="1"/>
  <c r="C173" i="1"/>
  <c r="B174" i="1"/>
  <c r="C174" i="1" l="1"/>
  <c r="B175" i="1"/>
  <c r="D175" i="1"/>
  <c r="E175" i="1" s="1"/>
  <c r="C175" i="1" l="1"/>
  <c r="B176" i="1"/>
  <c r="D176" i="1"/>
  <c r="E176" i="1" s="1"/>
  <c r="D177" i="1" l="1"/>
  <c r="E177" i="1" s="1"/>
  <c r="B177" i="1"/>
  <c r="C176" i="1"/>
  <c r="D178" i="1" l="1"/>
  <c r="E178" i="1" s="1"/>
  <c r="C177" i="1"/>
  <c r="B178" i="1"/>
  <c r="C178" i="1" l="1"/>
  <c r="B179" i="1"/>
  <c r="D179" i="1"/>
  <c r="E179" i="1" s="1"/>
  <c r="C179" i="1" l="1"/>
  <c r="B180" i="1"/>
  <c r="D180" i="1"/>
  <c r="E180" i="1" s="1"/>
  <c r="D181" i="1" l="1"/>
  <c r="E181" i="1" s="1"/>
  <c r="C180" i="1"/>
  <c r="B181" i="1"/>
  <c r="C181" i="1" l="1"/>
  <c r="D182" i="1"/>
  <c r="E182" i="1" s="1"/>
  <c r="B182" i="1"/>
  <c r="C182" i="1" l="1"/>
  <c r="B183" i="1"/>
  <c r="D183" i="1"/>
  <c r="E183" i="1" s="1"/>
  <c r="C183" i="1" l="1"/>
  <c r="D184" i="1"/>
  <c r="E184" i="1" s="1"/>
  <c r="B184" i="1"/>
  <c r="D185" i="1" l="1"/>
  <c r="E185" i="1" s="1"/>
  <c r="C184" i="1"/>
  <c r="B185" i="1"/>
  <c r="D186" i="1" l="1"/>
  <c r="E186" i="1" s="1"/>
  <c r="C185" i="1"/>
  <c r="B186" i="1"/>
  <c r="C186" i="1" l="1"/>
  <c r="B187" i="1"/>
  <c r="D187" i="1"/>
  <c r="E187" i="1" s="1"/>
  <c r="C187" i="1" l="1"/>
  <c r="B188" i="1"/>
  <c r="D188" i="1"/>
  <c r="E188" i="1" s="1"/>
  <c r="D189" i="1" l="1"/>
  <c r="E189" i="1" s="1"/>
  <c r="C188" i="1"/>
  <c r="B189" i="1"/>
  <c r="D190" i="1" l="1"/>
  <c r="E190" i="1" s="1"/>
  <c r="C189" i="1"/>
  <c r="B190" i="1"/>
  <c r="C190" i="1" l="1"/>
  <c r="B191" i="1"/>
  <c r="D191" i="1"/>
  <c r="E191" i="1" s="1"/>
  <c r="C191" i="1" l="1"/>
  <c r="B192" i="1"/>
  <c r="D192" i="1"/>
  <c r="E192" i="1" s="1"/>
  <c r="D193" i="1" l="1"/>
  <c r="E193" i="1" s="1"/>
  <c r="C192" i="1"/>
  <c r="B193" i="1"/>
  <c r="D194" i="1" l="1"/>
  <c r="E194" i="1" s="1"/>
  <c r="C193" i="1"/>
  <c r="B194" i="1"/>
  <c r="C194" i="1" l="1"/>
  <c r="B195" i="1"/>
  <c r="D195" i="1"/>
  <c r="E195" i="1" s="1"/>
  <c r="C195" i="1" l="1"/>
  <c r="B196" i="1"/>
  <c r="D196" i="1"/>
  <c r="E196" i="1" s="1"/>
  <c r="D197" i="1" l="1"/>
  <c r="E197" i="1" s="1"/>
  <c r="C196" i="1"/>
  <c r="B197" i="1"/>
  <c r="C197" i="1" l="1"/>
  <c r="D198" i="1"/>
  <c r="E198" i="1" s="1"/>
  <c r="B198" i="1"/>
  <c r="C198" i="1" l="1"/>
  <c r="D199" i="1"/>
  <c r="E199" i="1" s="1"/>
  <c r="B199" i="1"/>
  <c r="C199" i="1" l="1"/>
  <c r="B200" i="1"/>
  <c r="D200" i="1"/>
  <c r="E200" i="1" s="1"/>
  <c r="D201" i="1" l="1"/>
  <c r="E201" i="1" s="1"/>
  <c r="C200" i="1"/>
  <c r="B201" i="1"/>
  <c r="D202" i="1" l="1"/>
  <c r="E202" i="1" s="1"/>
  <c r="C201" i="1"/>
  <c r="B202" i="1"/>
  <c r="C202" i="1" l="1"/>
  <c r="B203" i="1"/>
  <c r="D203" i="1"/>
  <c r="E203" i="1" s="1"/>
  <c r="C203" i="1" l="1"/>
  <c r="B204" i="1"/>
  <c r="D204" i="1"/>
  <c r="E204" i="1" s="1"/>
  <c r="D205" i="1" l="1"/>
  <c r="E205" i="1" s="1"/>
  <c r="B205" i="1"/>
  <c r="C204" i="1"/>
  <c r="D206" i="1" l="1"/>
  <c r="E206" i="1" s="1"/>
  <c r="C205" i="1"/>
  <c r="B206" i="1"/>
  <c r="C206" i="1" l="1"/>
  <c r="B207" i="1"/>
  <c r="D207" i="1"/>
  <c r="E207" i="1" s="1"/>
  <c r="C207" i="1" l="1"/>
  <c r="D208" i="1"/>
  <c r="E208" i="1" s="1"/>
  <c r="B208" i="1"/>
  <c r="D209" i="1" l="1"/>
  <c r="E209" i="1" s="1"/>
  <c r="C208" i="1"/>
  <c r="B209" i="1"/>
  <c r="D210" i="1" l="1"/>
  <c r="E210" i="1" s="1"/>
  <c r="C209" i="1"/>
  <c r="B210" i="1"/>
  <c r="C210" i="1" l="1"/>
  <c r="B211" i="1"/>
  <c r="D211" i="1"/>
  <c r="E211" i="1" s="1"/>
  <c r="C211" i="1" l="1"/>
  <c r="B212" i="1"/>
  <c r="D212" i="1"/>
  <c r="E212" i="1" s="1"/>
  <c r="D213" i="1" l="1"/>
  <c r="E213" i="1" s="1"/>
  <c r="B213" i="1"/>
  <c r="C212" i="1"/>
  <c r="C213" i="1" l="1"/>
  <c r="D214" i="1"/>
  <c r="E214" i="1" s="1"/>
  <c r="B214" i="1"/>
  <c r="C214" i="1" l="1"/>
  <c r="B215" i="1"/>
  <c r="D215" i="1"/>
  <c r="E215" i="1" s="1"/>
  <c r="C215" i="1" l="1"/>
  <c r="B216" i="1"/>
  <c r="D216" i="1"/>
  <c r="E216" i="1" s="1"/>
  <c r="D217" i="1" l="1"/>
  <c r="E217" i="1" s="1"/>
  <c r="C216" i="1"/>
  <c r="B217" i="1"/>
  <c r="D218" i="1" l="1"/>
  <c r="E218" i="1" s="1"/>
  <c r="C217" i="1"/>
  <c r="B218" i="1"/>
  <c r="C218" i="1" l="1"/>
  <c r="B219" i="1"/>
  <c r="D219" i="1"/>
  <c r="E219" i="1" s="1"/>
  <c r="C219" i="1" l="1"/>
  <c r="B220" i="1"/>
  <c r="D220" i="1"/>
  <c r="E220" i="1" s="1"/>
  <c r="D221" i="1" l="1"/>
  <c r="E221" i="1" s="1"/>
  <c r="C220" i="1"/>
  <c r="B221" i="1"/>
  <c r="D222" i="1" l="1"/>
  <c r="E222" i="1" s="1"/>
  <c r="C221" i="1"/>
  <c r="B222" i="1"/>
  <c r="C222" i="1" l="1"/>
  <c r="B223" i="1"/>
  <c r="D223" i="1"/>
  <c r="E223" i="1" s="1"/>
  <c r="C223" i="1" l="1"/>
  <c r="B224" i="1"/>
  <c r="D224" i="1"/>
  <c r="E224" i="1" s="1"/>
  <c r="D225" i="1" l="1"/>
  <c r="E225" i="1" s="1"/>
  <c r="C224" i="1"/>
  <c r="B225" i="1"/>
  <c r="D226" i="1" l="1"/>
  <c r="E226" i="1" s="1"/>
  <c r="C225" i="1"/>
  <c r="B226" i="1"/>
  <c r="C226" i="1" l="1"/>
  <c r="B227" i="1"/>
  <c r="D227" i="1"/>
  <c r="E227" i="1" s="1"/>
  <c r="C227" i="1" l="1"/>
  <c r="B228" i="1"/>
  <c r="D228" i="1"/>
  <c r="E228" i="1" s="1"/>
  <c r="D229" i="1" l="1"/>
  <c r="E229" i="1" s="1"/>
  <c r="C228" i="1"/>
  <c r="B229" i="1"/>
  <c r="C229" i="1" l="1"/>
  <c r="D230" i="1"/>
  <c r="E230" i="1" s="1"/>
  <c r="B230" i="1"/>
  <c r="C230" i="1" l="1"/>
  <c r="B231" i="1"/>
  <c r="D231" i="1"/>
  <c r="E231" i="1" s="1"/>
  <c r="C231" i="1" l="1"/>
  <c r="B232" i="1"/>
  <c r="D232" i="1"/>
  <c r="E232" i="1" s="1"/>
  <c r="D233" i="1" l="1"/>
  <c r="E233" i="1" s="1"/>
  <c r="C232" i="1"/>
  <c r="B233" i="1"/>
  <c r="D234" i="1" l="1"/>
  <c r="E234" i="1" s="1"/>
  <c r="C233" i="1"/>
  <c r="B234" i="1"/>
  <c r="C234" i="1" l="1"/>
  <c r="B235" i="1"/>
  <c r="D235" i="1"/>
  <c r="E235" i="1" s="1"/>
  <c r="B236" i="1" l="1"/>
  <c r="D236" i="1"/>
  <c r="E236" i="1" s="1"/>
  <c r="C235" i="1"/>
  <c r="D237" i="1" l="1"/>
  <c r="E237" i="1" s="1"/>
  <c r="B237" i="1"/>
  <c r="C236" i="1"/>
  <c r="D238" i="1" l="1"/>
  <c r="E238" i="1" s="1"/>
  <c r="C237" i="1"/>
  <c r="B238" i="1"/>
  <c r="C238" i="1" l="1"/>
  <c r="B239" i="1"/>
  <c r="D239" i="1"/>
  <c r="E239" i="1" s="1"/>
  <c r="D240" i="1" l="1"/>
  <c r="E240" i="1" s="1"/>
  <c r="C239" i="1"/>
  <c r="B240" i="1"/>
  <c r="D241" i="1" l="1"/>
  <c r="E241" i="1" s="1"/>
  <c r="B241" i="1"/>
  <c r="C240" i="1"/>
  <c r="B242" i="1" l="1"/>
  <c r="D242" i="1"/>
  <c r="E242" i="1" s="1"/>
  <c r="C241" i="1"/>
  <c r="D243" i="1" l="1"/>
  <c r="E243" i="1" s="1"/>
  <c r="B243" i="1"/>
  <c r="C242" i="1"/>
  <c r="D244" i="1" l="1"/>
  <c r="E244" i="1" s="1"/>
  <c r="C243" i="1"/>
  <c r="B244" i="1"/>
  <c r="D245" i="1" l="1"/>
  <c r="E245" i="1" s="1"/>
  <c r="C244" i="1"/>
  <c r="B245" i="1"/>
  <c r="D246" i="1" l="1"/>
  <c r="E246" i="1" s="1"/>
  <c r="C245" i="1"/>
  <c r="B246" i="1"/>
  <c r="D247" i="1" l="1"/>
  <c r="E247" i="1" s="1"/>
  <c r="B247" i="1"/>
  <c r="C246" i="1"/>
  <c r="D248" i="1" l="1"/>
  <c r="E248" i="1" s="1"/>
  <c r="B248" i="1"/>
  <c r="C247" i="1"/>
  <c r="D249" i="1" l="1"/>
  <c r="E249" i="1" s="1"/>
  <c r="B249" i="1"/>
  <c r="C248" i="1"/>
  <c r="B250" i="1" l="1"/>
  <c r="C249" i="1"/>
  <c r="D250" i="1"/>
  <c r="E250" i="1" s="1"/>
  <c r="D251" i="1" l="1"/>
  <c r="E251" i="1" s="1"/>
  <c r="B251" i="1"/>
  <c r="C250" i="1"/>
  <c r="D252" i="1" l="1"/>
  <c r="E252" i="1" s="1"/>
  <c r="C251" i="1"/>
  <c r="B252" i="1"/>
  <c r="B253" i="1" l="1"/>
  <c r="C252" i="1"/>
  <c r="D253" i="1"/>
  <c r="E253" i="1" s="1"/>
  <c r="D254" i="1" l="1"/>
  <c r="E254" i="1" s="1"/>
  <c r="C253" i="1"/>
  <c r="B254" i="1"/>
  <c r="D255" i="1" l="1"/>
  <c r="E255" i="1" s="1"/>
  <c r="B255" i="1"/>
  <c r="C254" i="1"/>
  <c r="D256" i="1" l="1"/>
  <c r="E256" i="1" s="1"/>
  <c r="B256" i="1"/>
  <c r="C255" i="1"/>
  <c r="D257" i="1" l="1"/>
  <c r="E257" i="1" s="1"/>
  <c r="B257" i="1"/>
  <c r="C256" i="1"/>
  <c r="B258" i="1" l="1"/>
  <c r="D258" i="1"/>
  <c r="E258" i="1" s="1"/>
  <c r="C257" i="1"/>
  <c r="D259" i="1" l="1"/>
  <c r="E259" i="1" s="1"/>
  <c r="C258" i="1"/>
  <c r="B259" i="1"/>
  <c r="D260" i="1" l="1"/>
  <c r="E260" i="1" s="1"/>
  <c r="C259" i="1"/>
  <c r="B260" i="1"/>
  <c r="D261" i="1" l="1"/>
  <c r="E261" i="1" s="1"/>
  <c r="C260" i="1"/>
  <c r="B261" i="1"/>
  <c r="D262" i="1" l="1"/>
  <c r="E262" i="1" s="1"/>
  <c r="B262" i="1"/>
  <c r="C261" i="1"/>
  <c r="D263" i="1" l="1"/>
  <c r="E263" i="1" s="1"/>
  <c r="C262" i="1"/>
  <c r="B263" i="1"/>
  <c r="D264" i="1" l="1"/>
  <c r="E264" i="1" s="1"/>
  <c r="B264" i="1"/>
  <c r="C263" i="1"/>
  <c r="B265" i="1" l="1"/>
  <c r="C264" i="1"/>
  <c r="D265" i="1"/>
  <c r="E265" i="1" s="1"/>
  <c r="B266" i="1" l="1"/>
  <c r="D266" i="1"/>
  <c r="E266" i="1" s="1"/>
  <c r="C265" i="1"/>
  <c r="D267" i="1" l="1"/>
  <c r="E267" i="1" s="1"/>
  <c r="C266" i="1"/>
  <c r="B267" i="1"/>
  <c r="D268" i="1" l="1"/>
  <c r="E268" i="1" s="1"/>
  <c r="B268" i="1"/>
  <c r="C267" i="1"/>
  <c r="C268" i="1" l="1"/>
  <c r="B269" i="1"/>
  <c r="D269" i="1"/>
  <c r="E269" i="1" s="1"/>
  <c r="C269" i="1" l="1"/>
  <c r="D270" i="1"/>
  <c r="E270" i="1" s="1"/>
  <c r="B270" i="1"/>
  <c r="C270" i="1" l="1"/>
  <c r="D271" i="1"/>
  <c r="E271" i="1" s="1"/>
  <c r="B271" i="1"/>
  <c r="C271" i="1" l="1"/>
  <c r="B272" i="1"/>
  <c r="D272" i="1"/>
  <c r="E272" i="1" s="1"/>
  <c r="C272" i="1" l="1"/>
  <c r="D273" i="1"/>
  <c r="E273" i="1" s="1"/>
  <c r="B273" i="1"/>
  <c r="C273" i="1" l="1"/>
  <c r="D274" i="1"/>
  <c r="E274" i="1" s="1"/>
  <c r="B274" i="1"/>
  <c r="C274" i="1" l="1"/>
  <c r="B275" i="1"/>
  <c r="D275" i="1"/>
  <c r="E275" i="1" s="1"/>
  <c r="C275" i="1" l="1"/>
  <c r="D276" i="1"/>
  <c r="E276" i="1" s="1"/>
  <c r="B276" i="1"/>
  <c r="C276" i="1" l="1"/>
  <c r="D277" i="1"/>
  <c r="E277" i="1" s="1"/>
  <c r="B277" i="1"/>
  <c r="B278" i="1" l="1"/>
  <c r="D278" i="1"/>
  <c r="E278" i="1" s="1"/>
  <c r="C277" i="1"/>
  <c r="C278" i="1" l="1"/>
  <c r="B279" i="1"/>
  <c r="D279" i="1"/>
  <c r="E279" i="1" s="1"/>
  <c r="C279" i="1" l="1"/>
  <c r="B280" i="1"/>
  <c r="D280" i="1"/>
  <c r="E280" i="1" s="1"/>
  <c r="C280" i="1" l="1"/>
  <c r="B281" i="1"/>
  <c r="D281" i="1"/>
  <c r="E281" i="1" s="1"/>
  <c r="C281" i="1" l="1"/>
  <c r="B282" i="1"/>
  <c r="D282" i="1"/>
  <c r="E282" i="1" s="1"/>
  <c r="B283" i="1" l="1"/>
  <c r="D283" i="1"/>
  <c r="E283" i="1" s="1"/>
  <c r="C282" i="1"/>
  <c r="B284" i="1" l="1"/>
  <c r="C283" i="1"/>
  <c r="D284" i="1"/>
  <c r="E284" i="1" s="1"/>
  <c r="B285" i="1" l="1"/>
  <c r="C284" i="1"/>
  <c r="D285" i="1"/>
  <c r="E285" i="1" s="1"/>
  <c r="B286" i="1" l="1"/>
  <c r="C285" i="1"/>
  <c r="D286" i="1"/>
  <c r="E286" i="1" s="1"/>
  <c r="B287" i="1" l="1"/>
  <c r="C286" i="1"/>
  <c r="D287" i="1"/>
  <c r="E287" i="1" s="1"/>
  <c r="B288" i="1" l="1"/>
  <c r="C287" i="1"/>
  <c r="D288" i="1"/>
  <c r="E288" i="1" s="1"/>
  <c r="B289" i="1" l="1"/>
  <c r="C288" i="1"/>
  <c r="D289" i="1"/>
  <c r="E289" i="1" s="1"/>
  <c r="B290" i="1" l="1"/>
  <c r="C289" i="1"/>
  <c r="D290" i="1"/>
  <c r="E290" i="1" s="1"/>
  <c r="B291" i="1" l="1"/>
  <c r="C290" i="1"/>
  <c r="D291" i="1"/>
  <c r="E291" i="1" s="1"/>
  <c r="C291" i="1" l="1"/>
  <c r="D292" i="1"/>
  <c r="E292" i="1" s="1"/>
  <c r="B292" i="1"/>
  <c r="B293" i="1" l="1"/>
  <c r="C292" i="1"/>
  <c r="D293" i="1"/>
  <c r="E293" i="1" s="1"/>
  <c r="B294" i="1" l="1"/>
  <c r="C293" i="1"/>
  <c r="D294" i="1"/>
  <c r="E294" i="1" s="1"/>
  <c r="B295" i="1" l="1"/>
  <c r="C294" i="1"/>
  <c r="D295" i="1"/>
  <c r="E295" i="1" s="1"/>
  <c r="B296" i="1" l="1"/>
  <c r="C295" i="1"/>
  <c r="D296" i="1"/>
  <c r="E296" i="1" s="1"/>
  <c r="C296" i="1" l="1"/>
  <c r="D297" i="1"/>
  <c r="E297" i="1" s="1"/>
  <c r="B297" i="1"/>
  <c r="B298" i="1" l="1"/>
  <c r="C297" i="1"/>
  <c r="D298" i="1"/>
  <c r="E298" i="1" s="1"/>
  <c r="B299" i="1" l="1"/>
  <c r="C298" i="1"/>
  <c r="D299" i="1"/>
  <c r="E299" i="1" s="1"/>
  <c r="B300" i="1" l="1"/>
  <c r="D300" i="1"/>
  <c r="E300" i="1" s="1"/>
  <c r="C299" i="1"/>
  <c r="B301" i="1" l="1"/>
  <c r="C300" i="1"/>
  <c r="D301" i="1"/>
  <c r="E301" i="1" s="1"/>
  <c r="B302" i="1" l="1"/>
  <c r="C301" i="1"/>
  <c r="D302" i="1"/>
  <c r="E302" i="1" s="1"/>
  <c r="B303" i="1" l="1"/>
  <c r="D303" i="1"/>
  <c r="E303" i="1" s="1"/>
  <c r="C302" i="1"/>
  <c r="B304" i="1" l="1"/>
  <c r="C303" i="1"/>
  <c r="D304" i="1"/>
  <c r="E304" i="1" s="1"/>
  <c r="B305" i="1" l="1"/>
  <c r="C304" i="1"/>
  <c r="D305" i="1"/>
  <c r="E305" i="1" s="1"/>
  <c r="B306" i="1" l="1"/>
  <c r="C305" i="1"/>
  <c r="D306" i="1"/>
  <c r="E306" i="1" s="1"/>
  <c r="B307" i="1" l="1"/>
  <c r="C306" i="1"/>
  <c r="D307" i="1"/>
  <c r="E307" i="1" s="1"/>
  <c r="B308" i="1" l="1"/>
  <c r="C307" i="1"/>
  <c r="D308" i="1"/>
  <c r="E308" i="1" s="1"/>
  <c r="B309" i="1" l="1"/>
  <c r="C308" i="1"/>
  <c r="D309" i="1"/>
  <c r="E309" i="1" s="1"/>
  <c r="B310" i="1" l="1"/>
  <c r="C309" i="1"/>
  <c r="D310" i="1"/>
  <c r="E310" i="1" s="1"/>
  <c r="B311" i="1" l="1"/>
  <c r="C310" i="1"/>
  <c r="D311" i="1"/>
  <c r="E311" i="1" s="1"/>
  <c r="B312" i="1" l="1"/>
  <c r="C311" i="1"/>
  <c r="D312" i="1"/>
  <c r="E312" i="1" s="1"/>
  <c r="B313" i="1" l="1"/>
  <c r="C312" i="1"/>
  <c r="D313" i="1"/>
  <c r="E313" i="1" s="1"/>
  <c r="C313" i="1" l="1"/>
  <c r="B314" i="1"/>
  <c r="D314" i="1"/>
  <c r="E314" i="1" s="1"/>
  <c r="B315" i="1" l="1"/>
  <c r="D315" i="1"/>
  <c r="E315" i="1" s="1"/>
  <c r="C314" i="1"/>
  <c r="B316" i="1" l="1"/>
  <c r="D316" i="1"/>
  <c r="E316" i="1" s="1"/>
  <c r="C315" i="1"/>
  <c r="B317" i="1" l="1"/>
  <c r="C316" i="1"/>
  <c r="D317" i="1"/>
  <c r="E317" i="1" s="1"/>
  <c r="B318" i="1" l="1"/>
  <c r="C317" i="1"/>
  <c r="D318" i="1"/>
  <c r="E318" i="1" s="1"/>
  <c r="B319" i="1" l="1"/>
  <c r="C318" i="1"/>
  <c r="D319" i="1"/>
  <c r="E319" i="1" s="1"/>
  <c r="B320" i="1" l="1"/>
  <c r="C319" i="1"/>
  <c r="D320" i="1"/>
  <c r="E320" i="1" s="1"/>
  <c r="B321" i="1" l="1"/>
  <c r="C320" i="1"/>
  <c r="D321" i="1"/>
  <c r="E321" i="1" s="1"/>
  <c r="B322" i="1" l="1"/>
  <c r="C321" i="1"/>
  <c r="D322" i="1"/>
  <c r="E322" i="1" s="1"/>
  <c r="B323" i="1" l="1"/>
  <c r="C322" i="1"/>
  <c r="D323" i="1"/>
  <c r="E323" i="1" s="1"/>
  <c r="B324" i="1" l="1"/>
  <c r="C323" i="1"/>
  <c r="D324" i="1"/>
  <c r="E324" i="1" s="1"/>
  <c r="B325" i="1" l="1"/>
  <c r="C324" i="1"/>
  <c r="D325" i="1"/>
  <c r="E325" i="1" s="1"/>
  <c r="B326" i="1" l="1"/>
  <c r="C325" i="1"/>
  <c r="D326" i="1"/>
  <c r="E326" i="1" s="1"/>
  <c r="B327" i="1" l="1"/>
  <c r="C326" i="1"/>
  <c r="D327" i="1"/>
  <c r="E327" i="1" s="1"/>
  <c r="B328" i="1" l="1"/>
  <c r="C327" i="1"/>
  <c r="D328" i="1"/>
  <c r="E328" i="1" s="1"/>
  <c r="B329" i="1" l="1"/>
  <c r="C328" i="1"/>
  <c r="D329" i="1"/>
  <c r="E329" i="1" s="1"/>
  <c r="B330" i="1" l="1"/>
  <c r="C329" i="1"/>
  <c r="D330" i="1"/>
  <c r="E330" i="1" s="1"/>
  <c r="B331" i="1" l="1"/>
  <c r="C330" i="1"/>
  <c r="D331" i="1"/>
  <c r="E331" i="1" s="1"/>
  <c r="B332" i="1" l="1"/>
  <c r="D332" i="1"/>
  <c r="E332" i="1" s="1"/>
  <c r="C331" i="1"/>
  <c r="B333" i="1" l="1"/>
  <c r="C332" i="1"/>
  <c r="D333" i="1"/>
  <c r="E333" i="1" s="1"/>
  <c r="B334" i="1" l="1"/>
  <c r="C333" i="1"/>
  <c r="D334" i="1"/>
  <c r="E334" i="1" s="1"/>
  <c r="B335" i="1" l="1"/>
  <c r="C334" i="1"/>
  <c r="D335" i="1"/>
  <c r="E335" i="1" s="1"/>
  <c r="C335" i="1" l="1"/>
  <c r="B336" i="1"/>
  <c r="D336" i="1"/>
  <c r="E336" i="1" s="1"/>
  <c r="B337" i="1" l="1"/>
  <c r="D337" i="1"/>
  <c r="E337" i="1" s="1"/>
  <c r="C336" i="1"/>
  <c r="B338" i="1" l="1"/>
  <c r="C337" i="1"/>
  <c r="D338" i="1"/>
  <c r="E338" i="1" s="1"/>
  <c r="B339" i="1" l="1"/>
  <c r="C338" i="1"/>
  <c r="D339" i="1"/>
  <c r="E339" i="1" s="1"/>
  <c r="B340" i="1" l="1"/>
  <c r="D340" i="1"/>
  <c r="E340" i="1" s="1"/>
  <c r="C339" i="1"/>
  <c r="B341" i="1" l="1"/>
  <c r="C340" i="1"/>
  <c r="D341" i="1"/>
  <c r="E341" i="1" s="1"/>
  <c r="B342" i="1" l="1"/>
  <c r="C341" i="1"/>
  <c r="D342" i="1"/>
  <c r="E342" i="1" s="1"/>
  <c r="B343" i="1" l="1"/>
  <c r="C342" i="1"/>
  <c r="D343" i="1"/>
  <c r="E343" i="1" s="1"/>
  <c r="B344" i="1" l="1"/>
  <c r="C343" i="1"/>
  <c r="D344" i="1"/>
  <c r="E344" i="1" s="1"/>
  <c r="B345" i="1" l="1"/>
  <c r="C344" i="1"/>
  <c r="D345" i="1"/>
  <c r="E345" i="1" s="1"/>
  <c r="B346" i="1" l="1"/>
  <c r="C345" i="1"/>
  <c r="D346" i="1"/>
  <c r="E346" i="1" s="1"/>
  <c r="B347" i="1" l="1"/>
  <c r="C346" i="1"/>
  <c r="D347" i="1"/>
  <c r="E347" i="1" s="1"/>
  <c r="B348" i="1" l="1"/>
  <c r="C347" i="1"/>
  <c r="D348" i="1"/>
  <c r="E348" i="1" s="1"/>
  <c r="B349" i="1" l="1"/>
  <c r="C348" i="1"/>
  <c r="D349" i="1"/>
  <c r="E349" i="1" s="1"/>
  <c r="B350" i="1" l="1"/>
  <c r="C349" i="1"/>
  <c r="D350" i="1"/>
  <c r="E350" i="1" s="1"/>
  <c r="B351" i="1" l="1"/>
  <c r="C350" i="1"/>
  <c r="D351" i="1"/>
  <c r="E351" i="1" s="1"/>
  <c r="B352" i="1" l="1"/>
  <c r="C351" i="1"/>
  <c r="D352" i="1"/>
  <c r="E352" i="1" s="1"/>
  <c r="B353" i="1" l="1"/>
  <c r="C352" i="1"/>
  <c r="D353" i="1"/>
  <c r="E353" i="1" s="1"/>
  <c r="B354" i="1" l="1"/>
  <c r="D354" i="1"/>
  <c r="E354" i="1" s="1"/>
  <c r="C353" i="1"/>
  <c r="B355" i="1" l="1"/>
  <c r="C354" i="1"/>
  <c r="D355" i="1"/>
  <c r="E355" i="1" s="1"/>
  <c r="B356" i="1" l="1"/>
  <c r="C355" i="1"/>
  <c r="D356" i="1"/>
  <c r="E356" i="1" s="1"/>
  <c r="B357" i="1" l="1"/>
  <c r="D357" i="1"/>
  <c r="E357" i="1" s="1"/>
  <c r="C356" i="1"/>
  <c r="B358" i="1" l="1"/>
  <c r="C357" i="1"/>
  <c r="D358" i="1"/>
  <c r="E358" i="1" s="1"/>
  <c r="B359" i="1" l="1"/>
  <c r="C358" i="1"/>
  <c r="D359" i="1"/>
  <c r="E359" i="1" s="1"/>
  <c r="B360" i="1" l="1"/>
  <c r="C359" i="1"/>
  <c r="D360" i="1"/>
  <c r="E360" i="1" s="1"/>
  <c r="B361" i="1" l="1"/>
  <c r="C360" i="1"/>
  <c r="D361" i="1"/>
  <c r="E361" i="1" s="1"/>
  <c r="B362" i="1" l="1"/>
  <c r="C361" i="1"/>
  <c r="D362" i="1"/>
  <c r="E362" i="1" s="1"/>
  <c r="B363" i="1" l="1"/>
  <c r="C362" i="1"/>
  <c r="D363" i="1"/>
  <c r="E363" i="1" s="1"/>
  <c r="B364" i="1" l="1"/>
  <c r="C363" i="1"/>
  <c r="D364" i="1"/>
  <c r="E364" i="1" s="1"/>
  <c r="B365" i="1" l="1"/>
  <c r="C364" i="1"/>
  <c r="D365" i="1"/>
  <c r="E365" i="1" s="1"/>
  <c r="B366" i="1" l="1"/>
  <c r="C365" i="1"/>
  <c r="D366" i="1"/>
  <c r="E366" i="1" s="1"/>
  <c r="B367" i="1" l="1"/>
  <c r="C367" i="1" s="1"/>
  <c r="C366" i="1"/>
  <c r="D367" i="1"/>
  <c r="E367" i="1" s="1"/>
  <c r="J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</authors>
  <commentList>
    <comment ref="B2" authorId="0" shapeId="0" xr:uid="{1277AF06-622C-40B3-8F5E-125A095AE53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p(1) = 1</t>
        </r>
      </text>
    </comment>
    <comment ref="C2" authorId="0" shapeId="0" xr:uid="{CECAB185-6C48-4764-8A2F-AA80BB99833E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q(n) = 1-p(n)
以下，C367までコピー</t>
        </r>
      </text>
    </comment>
    <comment ref="D2" authorId="0" shapeId="0" xr:uid="{B36E7265-7744-45AA-923B-EDE711C25C08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r(1) = 0</t>
        </r>
      </text>
    </comment>
    <comment ref="E2" authorId="0" shapeId="0" xr:uid="{B09D48EE-A4A6-441C-8933-1A1A4AB7E28B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n×r(n)
以下，E367までコピー</t>
        </r>
      </text>
    </comment>
    <comment ref="B3" authorId="0" shapeId="0" xr:uid="{8A9AD689-F89F-4374-95A3-A2F04B05F6C9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p(n) = p(n-1)×(366-n)/365
以下，B367までコピー</t>
        </r>
      </text>
    </comment>
    <comment ref="D3" authorId="0" shapeId="0" xr:uid="{B4C96DC6-035F-45A3-B9C7-D64C9FADF8C1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r(n) = p(n-1)×(n-1)/365
以下，D367までコピー</t>
        </r>
      </text>
    </comment>
    <comment ref="J34" authorId="0" shapeId="0" xr:uid="{4674609B-F650-4FF2-9206-B92FB36619F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E2 から E367 までの合計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</authors>
  <commentList>
    <comment ref="B4" authorId="0" shapeId="0" xr:uid="{D770C3D6-B6B3-4EAA-9978-3DAA67F6EA51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k! × S(n-1, k-1) / (kのn乗)</t>
        </r>
      </text>
    </comment>
    <comment ref="C4" authorId="0" shapeId="0" xr:uid="{009682F7-2568-4716-B1F2-480B82399495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q(n, k) =  p(1, k) + p(2, k) + … + p(n, 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</authors>
  <commentList>
    <comment ref="A2" authorId="0" shapeId="0" xr:uid="{C58FE817-6C2E-43D3-BB73-C4D3F60C86D6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名前 S のセル</t>
        </r>
      </text>
    </comment>
    <comment ref="C3" authorId="0" shapeId="0" xr:uid="{11F17F0D-03AB-48F7-9095-4A917FE10D33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S(n,k) = S(n-1, k-1)+k×S(n-1, k)
これをC3:K102にコピー</t>
        </r>
      </text>
    </comment>
  </commentList>
</comments>
</file>

<file path=xl/sharedStrings.xml><?xml version="1.0" encoding="utf-8"?>
<sst xmlns="http://schemas.openxmlformats.org/spreadsheetml/2006/main" count="64" uniqueCount="59">
  <si>
    <t>ｎ</t>
    <phoneticPr fontId="1"/>
  </si>
  <si>
    <t>k=</t>
    <phoneticPr fontId="1"/>
  </si>
  <si>
    <t>n＼k</t>
    <phoneticPr fontId="1"/>
  </si>
  <si>
    <t>(第2)スターリング数 S(n, k)</t>
    <rPh sb="1" eb="2">
      <t>ダイ</t>
    </rPh>
    <rPh sb="10" eb="11">
      <t>スウ</t>
    </rPh>
    <phoneticPr fontId="1"/>
  </si>
  <si>
    <t>S(n, k)=</t>
    <phoneticPr fontId="1"/>
  </si>
  <si>
    <t>（n=0）</t>
    <phoneticPr fontId="1"/>
  </si>
  <si>
    <t>（n&gt;0, k=1）</t>
    <phoneticPr fontId="1"/>
  </si>
  <si>
    <t>https://manabitimes.jp/math/841</t>
  </si>
  <si>
    <t>cf.</t>
    <phoneticPr fontId="1"/>
  </si>
  <si>
    <t>n人の誕生日がすべて異なる確率</t>
    <phoneticPr fontId="1"/>
  </si>
  <si>
    <t>n人の中に，同じ誕生日の人がいる確率</t>
    <phoneticPr fontId="1"/>
  </si>
  <si>
    <t>1人ずつ誕生日を調べ，何人目で初めて同じ誕生日の人が出現するかの期待値</t>
    <rPh sb="11" eb="12">
      <t>ナニ</t>
    </rPh>
    <rPh sb="32" eb="35">
      <t>キタイチ</t>
    </rPh>
    <phoneticPr fontId="1"/>
  </si>
  <si>
    <t>{</t>
    <phoneticPr fontId="1"/>
  </si>
  <si>
    <t xml:space="preserve">※ </t>
    <phoneticPr fontId="1"/>
  </si>
  <si>
    <t>S(n-1, k-1)+k×S(n-1, k)</t>
    <phoneticPr fontId="1"/>
  </si>
  <si>
    <t>{</t>
    <phoneticPr fontId="1"/>
  </si>
  <si>
    <t>（n&gt;0, k&gt;1）</t>
    <phoneticPr fontId="1"/>
  </si>
  <si>
    <t>n枚目に初めてk種のクーポンのすべてがそろう確率</t>
    <rPh sb="1" eb="2">
      <t>マイ</t>
    </rPh>
    <rPh sb="2" eb="3">
      <t>メ</t>
    </rPh>
    <rPh sb="4" eb="5">
      <t>ハジ</t>
    </rPh>
    <rPh sb="8" eb="9">
      <t>シュ</t>
    </rPh>
    <rPh sb="22" eb="24">
      <t>カクリツ</t>
    </rPh>
    <phoneticPr fontId="1"/>
  </si>
  <si>
    <t>n枚でk種のクーポンのすべてがそろっている確率</t>
    <rPh sb="1" eb="2">
      <t>マイ</t>
    </rPh>
    <rPh sb="4" eb="5">
      <t>シュ</t>
    </rPh>
    <rPh sb="21" eb="23">
      <t>カクリツ</t>
    </rPh>
    <phoneticPr fontId="1"/>
  </si>
  <si>
    <r>
      <t>k! × S(n-1, k-1) / k</t>
    </r>
    <r>
      <rPr>
        <vertAlign val="superscript"/>
        <sz val="11"/>
        <color theme="1"/>
        <rFont val="游ゴシック"/>
        <family val="3"/>
        <charset val="128"/>
        <scheme val="minor"/>
      </rPr>
      <t>n</t>
    </r>
    <phoneticPr fontId="1"/>
  </si>
  <si>
    <t>E(k)：</t>
    <phoneticPr fontId="1"/>
  </si>
  <si>
    <t>E(k)≒</t>
    <phoneticPr fontId="1"/>
  </si>
  <si>
    <t>E(k)=</t>
    <phoneticPr fontId="1"/>
  </si>
  <si>
    <t>何枚目でk種のクーポンのすべてがそろうかの期待値</t>
    <rPh sb="0" eb="1">
      <t>ナニ</t>
    </rPh>
    <rPh sb="1" eb="2">
      <t>マイ</t>
    </rPh>
    <rPh sb="2" eb="3">
      <t>メ</t>
    </rPh>
    <rPh sb="5" eb="6">
      <t>シュ</t>
    </rPh>
    <rPh sb="21" eb="24">
      <t>キタイチ</t>
    </rPh>
    <phoneticPr fontId="1"/>
  </si>
  <si>
    <t>n</t>
    <phoneticPr fontId="1"/>
  </si>
  <si>
    <t>p(n)</t>
    <phoneticPr fontId="1"/>
  </si>
  <si>
    <t>q(n)</t>
    <phoneticPr fontId="1"/>
  </si>
  <si>
    <t>r(n)</t>
    <phoneticPr fontId="1"/>
  </si>
  <si>
    <t>n×r(n)</t>
    <phoneticPr fontId="1"/>
  </si>
  <si>
    <t>p(n):</t>
    <phoneticPr fontId="1"/>
  </si>
  <si>
    <t>q(n):</t>
    <phoneticPr fontId="1"/>
  </si>
  <si>
    <t>r(n):</t>
    <phoneticPr fontId="1"/>
  </si>
  <si>
    <t>p(n)=</t>
    <phoneticPr fontId="1"/>
  </si>
  <si>
    <t>q(n)=</t>
    <phoneticPr fontId="1"/>
  </si>
  <si>
    <t>1-p(n)</t>
    <phoneticPr fontId="1"/>
  </si>
  <si>
    <t>r(n)=</t>
    <phoneticPr fontId="1"/>
  </si>
  <si>
    <t>（n=1）</t>
  </si>
  <si>
    <t>p(n-1)×(366-n)/365</t>
    <phoneticPr fontId="1"/>
  </si>
  <si>
    <t>（n&gt;1）</t>
  </si>
  <si>
    <t>p(n-1)×(n-1)/365</t>
    <phoneticPr fontId="1"/>
  </si>
  <si>
    <t>p(n, k)：</t>
    <phoneticPr fontId="1"/>
  </si>
  <si>
    <t>q(n, k)：</t>
    <phoneticPr fontId="1"/>
  </si>
  <si>
    <t>p(n, k)=</t>
    <phoneticPr fontId="1"/>
  </si>
  <si>
    <t>q(n, k)=</t>
    <phoneticPr fontId="1"/>
  </si>
  <si>
    <r>
      <t>p(1, k) + p(2, k) + … + p(n, k) = ∑</t>
    </r>
    <r>
      <rPr>
        <vertAlign val="subscript"/>
        <sz val="11"/>
        <color theme="1"/>
        <rFont val="游ゴシック"/>
        <family val="3"/>
        <charset val="128"/>
        <scheme val="minor"/>
      </rPr>
      <t>i=1</t>
    </r>
    <r>
      <rPr>
        <vertAlign val="superscript"/>
        <sz val="11"/>
        <color theme="1"/>
        <rFont val="游ゴシック"/>
        <family val="3"/>
        <charset val="128"/>
        <scheme val="minor"/>
      </rPr>
      <t xml:space="preserve">n </t>
    </r>
    <r>
      <rPr>
        <sz val="11"/>
        <color theme="1"/>
        <rFont val="游ゴシック"/>
        <family val="3"/>
        <charset val="128"/>
        <scheme val="minor"/>
      </rPr>
      <t>{p(i, k)}</t>
    </r>
    <phoneticPr fontId="1"/>
  </si>
  <si>
    <r>
      <t>1×p(1, k) + 2×p(2, k) + 3×p(3, k) + … = ∑</t>
    </r>
    <r>
      <rPr>
        <vertAlign val="subscript"/>
        <sz val="11"/>
        <color theme="1"/>
        <rFont val="游ゴシック"/>
        <family val="3"/>
        <charset val="128"/>
        <scheme val="minor"/>
      </rPr>
      <t>i=1</t>
    </r>
    <r>
      <rPr>
        <vertAlign val="superscript"/>
        <sz val="11"/>
        <color theme="1"/>
        <rFont val="游ゴシック"/>
        <family val="3"/>
        <charset val="128"/>
        <scheme val="minor"/>
      </rPr>
      <t xml:space="preserve">∞ </t>
    </r>
    <r>
      <rPr>
        <sz val="11"/>
        <color theme="1"/>
        <rFont val="游ゴシック"/>
        <family val="3"/>
        <charset val="128"/>
        <scheme val="minor"/>
      </rPr>
      <t>{i×p(i, k)}</t>
    </r>
    <phoneticPr fontId="1"/>
  </si>
  <si>
    <r>
      <t>1×r(1) + 2×r(2) + 3×r(3) + … + 366×r(366) = Σ</t>
    </r>
    <r>
      <rPr>
        <vertAlign val="subscript"/>
        <sz val="11"/>
        <color theme="1"/>
        <rFont val="游ゴシック"/>
        <family val="3"/>
        <charset val="128"/>
        <scheme val="minor"/>
      </rPr>
      <t>i=1</t>
    </r>
    <r>
      <rPr>
        <vertAlign val="superscript"/>
        <sz val="11"/>
        <color theme="1"/>
        <rFont val="游ゴシック"/>
        <family val="3"/>
        <charset val="128"/>
        <scheme val="minor"/>
      </rPr>
      <t xml:space="preserve">366 </t>
    </r>
    <r>
      <rPr>
        <sz val="11"/>
        <color theme="1"/>
        <rFont val="游ゴシック"/>
        <family val="2"/>
        <charset val="128"/>
        <scheme val="minor"/>
      </rPr>
      <t>{n×r(n)}</t>
    </r>
    <phoneticPr fontId="1"/>
  </si>
  <si>
    <t>1人ずつ誕生日を調べ，n人目で初めて同じ誕生日の人が出現する事象 (X=n) の生起確率</t>
    <rPh sb="0" eb="2">
      <t>ヒトリ</t>
    </rPh>
    <rPh sb="4" eb="7">
      <t>タンジョウビ</t>
    </rPh>
    <rPh sb="8" eb="9">
      <t>シラ</t>
    </rPh>
    <rPh sb="12" eb="14">
      <t>ニンメ</t>
    </rPh>
    <rPh sb="15" eb="16">
      <t>ハジ</t>
    </rPh>
    <rPh sb="18" eb="19">
      <t>オナ</t>
    </rPh>
    <rPh sb="20" eb="23">
      <t>タンジョウビ</t>
    </rPh>
    <rPh sb="24" eb="25">
      <t>ヒト</t>
    </rPh>
    <rPh sb="26" eb="28">
      <t>シュツゲン</t>
    </rPh>
    <rPh sb="30" eb="32">
      <t>ジショウ</t>
    </rPh>
    <rPh sb="40" eb="42">
      <t>セイキ</t>
    </rPh>
    <rPh sb="42" eb="44">
      <t>カクリツ</t>
    </rPh>
    <phoneticPr fontId="1"/>
  </si>
  <si>
    <t>E(X):</t>
    <phoneticPr fontId="1"/>
  </si>
  <si>
    <t>E(X)=</t>
    <phoneticPr fontId="1"/>
  </si>
  <si>
    <t>そのため，E(X) は以下の式で計算できる．</t>
    <rPh sb="11" eb="13">
      <t>イカ</t>
    </rPh>
    <rPh sb="14" eb="15">
      <t>シキ</t>
    </rPh>
    <rPh sb="16" eb="18">
      <t>ケイサン</t>
    </rPh>
    <phoneticPr fontId="1"/>
  </si>
  <si>
    <t>← この値を変更してみよう (2～10)</t>
    <rPh sb="4" eb="5">
      <t>アタイ</t>
    </rPh>
    <rPh sb="6" eb="8">
      <t>ヘンコウ</t>
    </rPh>
    <phoneticPr fontId="1"/>
  </si>
  <si>
    <t>← 計算結果</t>
    <rPh sb="2" eb="4">
      <t>ケイサン</t>
    </rPh>
    <rPh sb="4" eb="6">
      <t>ケッカ</t>
    </rPh>
    <phoneticPr fontId="1"/>
  </si>
  <si>
    <t>← 期待値の計算結果</t>
    <rPh sb="2" eb="5">
      <t>キタイチ</t>
    </rPh>
    <rPh sb="6" eb="8">
      <t>ケイサン</t>
    </rPh>
    <rPh sb="8" eb="10">
      <t>ケッカ</t>
    </rPh>
    <phoneticPr fontId="1"/>
  </si>
  <si>
    <t>366人以上いれば，必ず同じ誕生日の者がいるので，n&gt;366 に対しては，r(n)=0 となる</t>
    <rPh sb="3" eb="6">
      <t>ニンイジョウ</t>
    </rPh>
    <rPh sb="10" eb="11">
      <t>カナラ</t>
    </rPh>
    <rPh sb="12" eb="13">
      <t>オナ</t>
    </rPh>
    <rPh sb="14" eb="17">
      <t>タンジョウビ</t>
    </rPh>
    <rPh sb="18" eb="19">
      <t>モノ</t>
    </rPh>
    <rPh sb="32" eb="33">
      <t>タイ</t>
    </rPh>
    <phoneticPr fontId="1"/>
  </si>
  <si>
    <t xml:space="preserve">※ </t>
    <phoneticPr fontId="1"/>
  </si>
  <si>
    <t>S(n,k) は (第2) スターリング数（右隣のワークシートを参照）</t>
    <rPh sb="10" eb="11">
      <t>ダイ</t>
    </rPh>
    <rPh sb="20" eb="21">
      <t>スウ</t>
    </rPh>
    <rPh sb="22" eb="24">
      <t>ミギドナリ</t>
    </rPh>
    <rPh sb="32" eb="34">
      <t>サンショウ</t>
    </rPh>
    <phoneticPr fontId="1"/>
  </si>
  <si>
    <t>表が完成したら，横軸 n，縦軸 q(n) の散布図を描いてみよう</t>
    <rPh sb="0" eb="1">
      <t>ヒョウ</t>
    </rPh>
    <rPh sb="2" eb="4">
      <t>カンセイ</t>
    </rPh>
    <rPh sb="8" eb="10">
      <t>ヨコジク</t>
    </rPh>
    <rPh sb="13" eb="15">
      <t>タテジク</t>
    </rPh>
    <rPh sb="21" eb="24">
      <t>サンプズ</t>
    </rPh>
    <rPh sb="25" eb="26">
      <t>カ</t>
    </rPh>
    <rPh sb="26" eb="27">
      <t>エガ</t>
    </rPh>
    <phoneticPr fontId="1"/>
  </si>
  <si>
    <t>横軸 n，縦軸 r(n) の散布図も書いてみよう（最大値を取るのはどのあたりだろうか）</t>
    <rPh sb="18" eb="19">
      <t>カ</t>
    </rPh>
    <rPh sb="25" eb="28">
      <t>サイダイチ</t>
    </rPh>
    <rPh sb="29" eb="30">
      <t>ト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</si>
</sst>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vertAlign val="superscript"/>
      <sz val="11"/>
      <color theme="1"/>
      <name val="游ゴシック"/>
      <family val="3"/>
      <charset val="128"/>
      <scheme val="minor"/>
    </font>
    <font>
      <sz val="28"/>
      <color theme="1"/>
      <name val="游ゴシック"/>
      <family val="2"/>
      <charset val="128"/>
      <scheme val="minor"/>
    </font>
    <font>
      <sz val="28"/>
      <color theme="1"/>
      <name val="游ゴシック"/>
      <family val="3"/>
      <charset val="128"/>
      <scheme val="minor"/>
    </font>
    <font>
      <vertAlign val="subscript"/>
      <sz val="11"/>
      <color theme="1"/>
      <name val="游ゴシック"/>
      <family val="3"/>
      <charset val="128"/>
      <scheme val="minor"/>
    </font>
    <font>
      <sz val="4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8"/>
      </left>
      <right style="thin">
        <color indexed="64"/>
      </right>
      <top style="medium">
        <color theme="8"/>
      </top>
      <bottom style="medium">
        <color theme="8"/>
      </bottom>
      <diagonal/>
    </border>
    <border>
      <left/>
      <right/>
      <top style="medium">
        <color theme="8"/>
      </top>
      <bottom style="medium">
        <color theme="8"/>
      </bottom>
      <diagonal/>
    </border>
    <border>
      <left/>
      <right style="medium">
        <color theme="8"/>
      </right>
      <top style="medium">
        <color theme="8"/>
      </top>
      <bottom style="medium">
        <color theme="8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0" borderId="0" xfId="0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0" xfId="0" applyFill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4" xfId="0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vertical="center"/>
    </xf>
    <xf numFmtId="0" fontId="2" fillId="0" borderId="0" xfId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0" fillId="0" borderId="6" xfId="0" applyFill="1" applyBorder="1" applyAlignment="1">
      <alignment horizontal="center" vertical="center"/>
    </xf>
    <xf numFmtId="0" fontId="0" fillId="0" borderId="8" xfId="0" applyFill="1" applyBorder="1" applyAlignment="1">
      <alignment vertical="center"/>
    </xf>
    <xf numFmtId="0" fontId="0" fillId="0" borderId="8" xfId="0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vertical="center"/>
    </xf>
    <xf numFmtId="0" fontId="11" fillId="0" borderId="8" xfId="0" applyFont="1" applyBorder="1">
      <alignment vertical="center"/>
    </xf>
    <xf numFmtId="0" fontId="11" fillId="0" borderId="9" xfId="0" applyFont="1" applyBorder="1">
      <alignment vertical="center"/>
    </xf>
    <xf numFmtId="0" fontId="0" fillId="0" borderId="10" xfId="0" applyBorder="1">
      <alignment vertical="center"/>
    </xf>
    <xf numFmtId="0" fontId="11" fillId="0" borderId="10" xfId="0" applyFont="1" applyBorder="1">
      <alignment vertical="center"/>
    </xf>
    <xf numFmtId="0" fontId="0" fillId="0" borderId="11" xfId="0" applyBorder="1">
      <alignment vertical="center"/>
    </xf>
    <xf numFmtId="0" fontId="11" fillId="0" borderId="12" xfId="0" applyFont="1" applyBorder="1">
      <alignment vertical="center"/>
    </xf>
    <xf numFmtId="0" fontId="0" fillId="0" borderId="13" xfId="0" applyBorder="1">
      <alignment vertical="center"/>
    </xf>
    <xf numFmtId="0" fontId="11" fillId="0" borderId="13" xfId="0" applyFont="1" applyBorder="1">
      <alignment vertical="center"/>
    </xf>
    <xf numFmtId="0" fontId="0" fillId="0" borderId="14" xfId="0" applyBorder="1">
      <alignment vertical="center"/>
    </xf>
    <xf numFmtId="0" fontId="11" fillId="0" borderId="15" xfId="0" applyFont="1" applyBorder="1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2" fillId="0" borderId="0" xfId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0" borderId="6" xfId="0" applyFont="1" applyBorder="1" applyAlignment="1">
      <alignment horizontal="left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誕生日!$C$1</c:f>
              <c:strCache>
                <c:ptCount val="1"/>
                <c:pt idx="0">
                  <c:v>q(n)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誕生日!$A$2:$A$368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誕生日!$C$2:$C$368</c:f>
              <c:numCache>
                <c:formatCode>General</c:formatCode>
                <c:ptCount val="367"/>
                <c:pt idx="0">
                  <c:v>0</c:v>
                </c:pt>
                <c:pt idx="1">
                  <c:v>2.739726027397249E-3</c:v>
                </c:pt>
                <c:pt idx="2">
                  <c:v>8.2041658847814558E-3</c:v>
                </c:pt>
                <c:pt idx="3">
                  <c:v>1.6355912466550326E-2</c:v>
                </c:pt>
                <c:pt idx="4">
                  <c:v>2.7135573699793691E-2</c:v>
                </c:pt>
                <c:pt idx="5">
                  <c:v>4.0462483649111647E-2</c:v>
                </c:pt>
                <c:pt idx="6">
                  <c:v>5.6235703095975587E-2</c:v>
                </c:pt>
                <c:pt idx="7">
                  <c:v>7.4335292351669247E-2</c:v>
                </c:pt>
                <c:pt idx="8">
                  <c:v>9.4623833889166953E-2</c:v>
                </c:pt>
                <c:pt idx="9">
                  <c:v>0.11694817771107791</c:v>
                </c:pt>
                <c:pt idx="10">
                  <c:v>0.14114137832173335</c:v>
                </c:pt>
                <c:pt idx="11">
                  <c:v>0.16702478883806471</c:v>
                </c:pt>
                <c:pt idx="12">
                  <c:v>0.19441027523242982</c:v>
                </c:pt>
                <c:pt idx="13">
                  <c:v>0.22310251200497344</c:v>
                </c:pt>
                <c:pt idx="14">
                  <c:v>0.25290131976368668</c:v>
                </c:pt>
                <c:pt idx="15">
                  <c:v>0.28360400525285023</c:v>
                </c:pt>
                <c:pt idx="16">
                  <c:v>0.31500766529656088</c:v>
                </c:pt>
                <c:pt idx="17">
                  <c:v>0.34691141787178947</c:v>
                </c:pt>
                <c:pt idx="18">
                  <c:v>0.37911852603153684</c:v>
                </c:pt>
                <c:pt idx="19">
                  <c:v>0.41143838358058016</c:v>
                </c:pt>
                <c:pt idx="20">
                  <c:v>0.44368833516520589</c:v>
                </c:pt>
                <c:pt idx="21">
                  <c:v>0.47569530766255019</c:v>
                </c:pt>
                <c:pt idx="22">
                  <c:v>0.50729723432398555</c:v>
                </c:pt>
                <c:pt idx="23">
                  <c:v>0.53834425791452889</c:v>
                </c:pt>
                <c:pt idx="24">
                  <c:v>0.56869970396946401</c:v>
                </c:pt>
                <c:pt idx="25">
                  <c:v>0.59824082013593904</c:v>
                </c:pt>
                <c:pt idx="26">
                  <c:v>0.62685928226324206</c:v>
                </c:pt>
                <c:pt idx="27">
                  <c:v>0.65446147234239949</c:v>
                </c:pt>
                <c:pt idx="28">
                  <c:v>0.68096853747777697</c:v>
                </c:pt>
                <c:pt idx="29">
                  <c:v>0.70631624271926863</c:v>
                </c:pt>
                <c:pt idx="30">
                  <c:v>0.73045463372864383</c:v>
                </c:pt>
                <c:pt idx="31">
                  <c:v>0.75334752785032066</c:v>
                </c:pt>
                <c:pt idx="32">
                  <c:v>0.77497185417577197</c:v>
                </c:pt>
                <c:pt idx="33">
                  <c:v>0.79531686462015427</c:v>
                </c:pt>
                <c:pt idx="34">
                  <c:v>0.8143832388747152</c:v>
                </c:pt>
                <c:pt idx="35">
                  <c:v>0.83218210637987955</c:v>
                </c:pt>
                <c:pt idx="36">
                  <c:v>0.84873400821638456</c:v>
                </c:pt>
                <c:pt idx="37">
                  <c:v>0.86406782108212088</c:v>
                </c:pt>
                <c:pt idx="38">
                  <c:v>0.87821966436672205</c:v>
                </c:pt>
                <c:pt idx="39">
                  <c:v>0.89123180981794903</c:v>
                </c:pt>
                <c:pt idx="40">
                  <c:v>0.90315161148173539</c:v>
                </c:pt>
                <c:pt idx="41">
                  <c:v>0.91403047156186923</c:v>
                </c:pt>
                <c:pt idx="42">
                  <c:v>0.92392285565611987</c:v>
                </c:pt>
                <c:pt idx="43">
                  <c:v>0.93288536855142634</c:v>
                </c:pt>
                <c:pt idx="44">
                  <c:v>0.94097589946577487</c:v>
                </c:pt>
                <c:pt idx="45">
                  <c:v>0.94825284336725468</c:v>
                </c:pt>
                <c:pt idx="46">
                  <c:v>0.95477440283329928</c:v>
                </c:pt>
                <c:pt idx="47">
                  <c:v>0.96059797287942239</c:v>
                </c:pt>
                <c:pt idx="48">
                  <c:v>0.96577960932267648</c:v>
                </c:pt>
                <c:pt idx="49">
                  <c:v>0.97037357957798842</c:v>
                </c:pt>
                <c:pt idx="50">
                  <c:v>0.97443199333442831</c:v>
                </c:pt>
                <c:pt idx="51">
                  <c:v>0.9780045093342753</c:v>
                </c:pt>
                <c:pt idx="52">
                  <c:v>0.98113811348391278</c:v>
                </c:pt>
                <c:pt idx="53">
                  <c:v>0.9838769627588515</c:v>
                </c:pt>
                <c:pt idx="54">
                  <c:v>0.98626228881644606</c:v>
                </c:pt>
                <c:pt idx="55">
                  <c:v>0.98833235488520077</c:v>
                </c:pt>
                <c:pt idx="56">
                  <c:v>0.99012245934116994</c:v>
                </c:pt>
                <c:pt idx="57">
                  <c:v>0.99166497938926124</c:v>
                </c:pt>
                <c:pt idx="58">
                  <c:v>0.992989448417817</c:v>
                </c:pt>
                <c:pt idx="59">
                  <c:v>0.99412266086534795</c:v>
                </c:pt>
                <c:pt idx="60">
                  <c:v>0.99508879880529078</c:v>
                </c:pt>
                <c:pt idx="61">
                  <c:v>0.99590957489536547</c:v>
                </c:pt>
                <c:pt idx="62">
                  <c:v>0.99660438683094721</c:v>
                </c:pt>
                <c:pt idx="63">
                  <c:v>0.99719047896697555</c:v>
                </c:pt>
                <c:pt idx="64">
                  <c:v>0.9976831073124921</c:v>
                </c:pt>
                <c:pt idx="65">
                  <c:v>0.99809570464040454</c:v>
                </c:pt>
                <c:pt idx="66">
                  <c:v>0.99844004297939981</c:v>
                </c:pt>
                <c:pt idx="67">
                  <c:v>0.99872639125441409</c:v>
                </c:pt>
                <c:pt idx="68">
                  <c:v>0.99896366630838629</c:v>
                </c:pt>
                <c:pt idx="69">
                  <c:v>0.99915957596515714</c:v>
                </c:pt>
                <c:pt idx="70">
                  <c:v>0.99932075317731872</c:v>
                </c:pt>
                <c:pt idx="71">
                  <c:v>0.99945288064145676</c:v>
                </c:pt>
                <c:pt idx="72">
                  <c:v>0.99956080555601867</c:v>
                </c:pt>
                <c:pt idx="73">
                  <c:v>0.99964864444481494</c:v>
                </c:pt>
                <c:pt idx="74">
                  <c:v>0.99971987817381136</c:v>
                </c:pt>
                <c:pt idx="75">
                  <c:v>0.99977743745316516</c:v>
                </c:pt>
                <c:pt idx="76">
                  <c:v>0.999823779243739</c:v>
                </c:pt>
                <c:pt idx="77">
                  <c:v>0.99986095458136115</c:v>
                </c:pt>
                <c:pt idx="78">
                  <c:v>0.99989066839685115</c:v>
                </c:pt>
                <c:pt idx="79">
                  <c:v>0.99991433194931345</c:v>
                </c:pt>
                <c:pt idx="80">
                  <c:v>0.99993310850836803</c:v>
                </c:pt>
                <c:pt idx="81">
                  <c:v>0.99994795292157956</c:v>
                </c:pt>
                <c:pt idx="82">
                  <c:v>0.99995964568988227</c:v>
                </c:pt>
                <c:pt idx="83">
                  <c:v>0.99996882214944327</c:v>
                </c:pt>
                <c:pt idx="84">
                  <c:v>0.99997599732600972</c:v>
                </c:pt>
                <c:pt idx="85">
                  <c:v>0.99998158698981565</c:v>
                </c:pt>
                <c:pt idx="86">
                  <c:v>0.99998592539769471</c:v>
                </c:pt>
                <c:pt idx="87">
                  <c:v>0.99998928016591548</c:v>
                </c:pt>
                <c:pt idx="88">
                  <c:v>0.99999186467385914</c:v>
                </c:pt>
                <c:pt idx="89">
                  <c:v>0.99999384835612359</c:v>
                </c:pt>
                <c:pt idx="90">
                  <c:v>0.99999536519981913</c:v>
                </c:pt>
                <c:pt idx="91">
                  <c:v>0.99999652072534373</c:v>
                </c:pt>
                <c:pt idx="92">
                  <c:v>0.99999739769320228</c:v>
                </c:pt>
                <c:pt idx="93">
                  <c:v>0.99999806074671516</c:v>
                </c:pt>
                <c:pt idx="94">
                  <c:v>0.99999856017084876</c:v>
                </c:pt>
                <c:pt idx="95">
                  <c:v>0.99999893492090186</c:v>
                </c:pt>
                <c:pt idx="96">
                  <c:v>0.99999921505129474</c:v>
                </c:pt>
                <c:pt idx="97">
                  <c:v>0.99999942365410133</c:v>
                </c:pt>
                <c:pt idx="98">
                  <c:v>0.99999957839902753</c:v>
                </c:pt>
                <c:pt idx="99">
                  <c:v>0.99999969275107214</c:v>
                </c:pt>
                <c:pt idx="100">
                  <c:v>0.99999977692886055</c:v>
                </c:pt>
                <c:pt idx="101">
                  <c:v>0.9999998386553951</c:v>
                </c:pt>
                <c:pt idx="102">
                  <c:v>0.99999988374347648</c:v>
                </c:pt>
                <c:pt idx="103">
                  <c:v>0.99999991655011189</c:v>
                </c:pt>
                <c:pt idx="104">
                  <c:v>0.99999994032761419</c:v>
                </c:pt>
                <c:pt idx="105">
                  <c:v>0.99999995749364301</c:v>
                </c:pt>
                <c:pt idx="106">
                  <c:v>0.99999996983795492</c:v>
                </c:pt>
                <c:pt idx="107">
                  <c:v>0.99999997867997914</c:v>
                </c:pt>
                <c:pt idx="108">
                  <c:v>0.99999998498836884</c:v>
                </c:pt>
                <c:pt idx="109">
                  <c:v>0.99999998947129431</c:v>
                </c:pt>
                <c:pt idx="110">
                  <c:v>0.99999999264432893</c:v>
                </c:pt>
                <c:pt idx="111">
                  <c:v>0.99999999488125901</c:v>
                </c:pt>
                <c:pt idx="112">
                  <c:v>0.99999999645194115</c:v>
                </c:pt>
                <c:pt idx="113">
                  <c:v>0.99999999755038127</c:v>
                </c:pt>
                <c:pt idx="114">
                  <c:v>0.99999999831546771</c:v>
                </c:pt>
                <c:pt idx="115">
                  <c:v>0.99999999884621071</c:v>
                </c:pt>
                <c:pt idx="116">
                  <c:v>0.99999999921289451</c:v>
                </c:pt>
                <c:pt idx="117">
                  <c:v>0.99999999946519957</c:v>
                </c:pt>
                <c:pt idx="118">
                  <c:v>0.99999999963809394</c:v>
                </c:pt>
                <c:pt idx="119">
                  <c:v>0.99999999975608522</c:v>
                </c:pt>
                <c:pt idx="120">
                  <c:v>0.99999999983627641</c:v>
                </c:pt>
                <c:pt idx="121">
                  <c:v>0.99999999989055188</c:v>
                </c:pt>
                <c:pt idx="122">
                  <c:v>0.99999999992713451</c:v>
                </c:pt>
                <c:pt idx="123">
                  <c:v>0.9999999999516892</c:v>
                </c:pt>
                <c:pt idx="124">
                  <c:v>0.99999999996810163</c:v>
                </c:pt>
                <c:pt idx="125">
                  <c:v>0.99999999997902578</c:v>
                </c:pt>
                <c:pt idx="126">
                  <c:v>0.99999999998626621</c:v>
                </c:pt>
                <c:pt idx="127">
                  <c:v>0.99999999999104483</c:v>
                </c:pt>
                <c:pt idx="128">
                  <c:v>0.99999999999418521</c:v>
                </c:pt>
                <c:pt idx="129">
                  <c:v>0.99999999999624034</c:v>
                </c:pt>
                <c:pt idx="130">
                  <c:v>0.99999999999757938</c:v>
                </c:pt>
                <c:pt idx="131">
                  <c:v>0.99999999999844813</c:v>
                </c:pt>
                <c:pt idx="132">
                  <c:v>0.99999999999900935</c:v>
                </c:pt>
                <c:pt idx="133">
                  <c:v>0.99999999999937039</c:v>
                </c:pt>
                <c:pt idx="134">
                  <c:v>0.99999999999960154</c:v>
                </c:pt>
                <c:pt idx="135">
                  <c:v>0.99999999999974887</c:v>
                </c:pt>
                <c:pt idx="136">
                  <c:v>0.99999999999984246</c:v>
                </c:pt>
                <c:pt idx="137">
                  <c:v>0.99999999999990163</c:v>
                </c:pt>
                <c:pt idx="138">
                  <c:v>0.99999999999993883</c:v>
                </c:pt>
                <c:pt idx="139">
                  <c:v>0.99999999999996214</c:v>
                </c:pt>
                <c:pt idx="140">
                  <c:v>0.99999999999997669</c:v>
                </c:pt>
                <c:pt idx="141">
                  <c:v>0.99999999999998568</c:v>
                </c:pt>
                <c:pt idx="142">
                  <c:v>0.99999999999999123</c:v>
                </c:pt>
                <c:pt idx="143">
                  <c:v>0.99999999999999467</c:v>
                </c:pt>
                <c:pt idx="144">
                  <c:v>0.99999999999999678</c:v>
                </c:pt>
                <c:pt idx="145">
                  <c:v>0.999999999999998</c:v>
                </c:pt>
                <c:pt idx="146">
                  <c:v>0.99999999999999878</c:v>
                </c:pt>
                <c:pt idx="147">
                  <c:v>0.99999999999999933</c:v>
                </c:pt>
                <c:pt idx="148">
                  <c:v>0.99999999999999956</c:v>
                </c:pt>
                <c:pt idx="149">
                  <c:v>0.99999999999999978</c:v>
                </c:pt>
                <c:pt idx="150">
                  <c:v>0.99999999999999989</c:v>
                </c:pt>
                <c:pt idx="151">
                  <c:v>0.99999999999999989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1</c:v>
                </c:pt>
                <c:pt idx="202">
                  <c:v>1</c:v>
                </c:pt>
                <c:pt idx="203">
                  <c:v>1</c:v>
                </c:pt>
                <c:pt idx="204">
                  <c:v>1</c:v>
                </c:pt>
                <c:pt idx="205">
                  <c:v>1</c:v>
                </c:pt>
                <c:pt idx="206">
                  <c:v>1</c:v>
                </c:pt>
                <c:pt idx="207">
                  <c:v>1</c:v>
                </c:pt>
                <c:pt idx="208">
                  <c:v>1</c:v>
                </c:pt>
                <c:pt idx="209">
                  <c:v>1</c:v>
                </c:pt>
                <c:pt idx="210">
                  <c:v>1</c:v>
                </c:pt>
                <c:pt idx="211">
                  <c:v>1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1</c:v>
                </c:pt>
                <c:pt idx="216">
                  <c:v>1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1</c:v>
                </c:pt>
                <c:pt idx="221">
                  <c:v>1</c:v>
                </c:pt>
                <c:pt idx="222">
                  <c:v>1</c:v>
                </c:pt>
                <c:pt idx="223">
                  <c:v>1</c:v>
                </c:pt>
                <c:pt idx="224">
                  <c:v>1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1</c:v>
                </c:pt>
                <c:pt idx="230">
                  <c:v>1</c:v>
                </c:pt>
                <c:pt idx="231">
                  <c:v>1</c:v>
                </c:pt>
                <c:pt idx="232">
                  <c:v>1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</c:v>
                </c:pt>
                <c:pt idx="237">
                  <c:v>1</c:v>
                </c:pt>
                <c:pt idx="238">
                  <c:v>1</c:v>
                </c:pt>
                <c:pt idx="239">
                  <c:v>1</c:v>
                </c:pt>
                <c:pt idx="240">
                  <c:v>1</c:v>
                </c:pt>
                <c:pt idx="241">
                  <c:v>1</c:v>
                </c:pt>
                <c:pt idx="242">
                  <c:v>1</c:v>
                </c:pt>
                <c:pt idx="243">
                  <c:v>1</c:v>
                </c:pt>
                <c:pt idx="244">
                  <c:v>1</c:v>
                </c:pt>
                <c:pt idx="245">
                  <c:v>1</c:v>
                </c:pt>
                <c:pt idx="246">
                  <c:v>1</c:v>
                </c:pt>
                <c:pt idx="247">
                  <c:v>1</c:v>
                </c:pt>
                <c:pt idx="248">
                  <c:v>1</c:v>
                </c:pt>
                <c:pt idx="249">
                  <c:v>1</c:v>
                </c:pt>
                <c:pt idx="250">
                  <c:v>1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1</c:v>
                </c:pt>
                <c:pt idx="255">
                  <c:v>1</c:v>
                </c:pt>
                <c:pt idx="256">
                  <c:v>1</c:v>
                </c:pt>
                <c:pt idx="257">
                  <c:v>1</c:v>
                </c:pt>
                <c:pt idx="258">
                  <c:v>1</c:v>
                </c:pt>
                <c:pt idx="259">
                  <c:v>1</c:v>
                </c:pt>
                <c:pt idx="260">
                  <c:v>1</c:v>
                </c:pt>
                <c:pt idx="261">
                  <c:v>1</c:v>
                </c:pt>
                <c:pt idx="262">
                  <c:v>1</c:v>
                </c:pt>
                <c:pt idx="263">
                  <c:v>1</c:v>
                </c:pt>
                <c:pt idx="264">
                  <c:v>1</c:v>
                </c:pt>
                <c:pt idx="265">
                  <c:v>1</c:v>
                </c:pt>
                <c:pt idx="266">
                  <c:v>1</c:v>
                </c:pt>
                <c:pt idx="267">
                  <c:v>1</c:v>
                </c:pt>
                <c:pt idx="268">
                  <c:v>1</c:v>
                </c:pt>
                <c:pt idx="269">
                  <c:v>1</c:v>
                </c:pt>
                <c:pt idx="270">
                  <c:v>1</c:v>
                </c:pt>
                <c:pt idx="271">
                  <c:v>1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1</c:v>
                </c:pt>
                <c:pt idx="276">
                  <c:v>1</c:v>
                </c:pt>
                <c:pt idx="277">
                  <c:v>1</c:v>
                </c:pt>
                <c:pt idx="278">
                  <c:v>1</c:v>
                </c:pt>
                <c:pt idx="279">
                  <c:v>1</c:v>
                </c:pt>
                <c:pt idx="280">
                  <c:v>1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1</c:v>
                </c:pt>
                <c:pt idx="285">
                  <c:v>1</c:v>
                </c:pt>
                <c:pt idx="286">
                  <c:v>1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1</c:v>
                </c:pt>
                <c:pt idx="292">
                  <c:v>1</c:v>
                </c:pt>
                <c:pt idx="293">
                  <c:v>1</c:v>
                </c:pt>
                <c:pt idx="294">
                  <c:v>1</c:v>
                </c:pt>
                <c:pt idx="295">
                  <c:v>1</c:v>
                </c:pt>
                <c:pt idx="296">
                  <c:v>1</c:v>
                </c:pt>
                <c:pt idx="297">
                  <c:v>1</c:v>
                </c:pt>
                <c:pt idx="298">
                  <c:v>1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1</c:v>
                </c:pt>
                <c:pt idx="303">
                  <c:v>1</c:v>
                </c:pt>
                <c:pt idx="304">
                  <c:v>1</c:v>
                </c:pt>
                <c:pt idx="305">
                  <c:v>1</c:v>
                </c:pt>
                <c:pt idx="306">
                  <c:v>1</c:v>
                </c:pt>
                <c:pt idx="307">
                  <c:v>1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1</c:v>
                </c:pt>
                <c:pt idx="315">
                  <c:v>1</c:v>
                </c:pt>
                <c:pt idx="316">
                  <c:v>1</c:v>
                </c:pt>
                <c:pt idx="317">
                  <c:v>1</c:v>
                </c:pt>
                <c:pt idx="318">
                  <c:v>1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1</c:v>
                </c:pt>
                <c:pt idx="324">
                  <c:v>1</c:v>
                </c:pt>
                <c:pt idx="325">
                  <c:v>1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1</c:v>
                </c:pt>
                <c:pt idx="334">
                  <c:v>1</c:v>
                </c:pt>
                <c:pt idx="335">
                  <c:v>1</c:v>
                </c:pt>
                <c:pt idx="336">
                  <c:v>1</c:v>
                </c:pt>
                <c:pt idx="337">
                  <c:v>1</c:v>
                </c:pt>
                <c:pt idx="338">
                  <c:v>1</c:v>
                </c:pt>
                <c:pt idx="339">
                  <c:v>1</c:v>
                </c:pt>
                <c:pt idx="340">
                  <c:v>1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1</c:v>
                </c:pt>
                <c:pt idx="345">
                  <c:v>1</c:v>
                </c:pt>
                <c:pt idx="346">
                  <c:v>1</c:v>
                </c:pt>
                <c:pt idx="347">
                  <c:v>1</c:v>
                </c:pt>
                <c:pt idx="348">
                  <c:v>1</c:v>
                </c:pt>
                <c:pt idx="349">
                  <c:v>1</c:v>
                </c:pt>
                <c:pt idx="350">
                  <c:v>1</c:v>
                </c:pt>
                <c:pt idx="351">
                  <c:v>1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1</c:v>
                </c:pt>
                <c:pt idx="358">
                  <c:v>1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1</c:v>
                </c:pt>
                <c:pt idx="364">
                  <c:v>1</c:v>
                </c:pt>
                <c:pt idx="36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A2-4719-9884-A99FE0F917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5588144"/>
        <c:axId val="740430736"/>
      </c:scatterChart>
      <c:valAx>
        <c:axId val="73558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0430736"/>
        <c:crosses val="autoZero"/>
        <c:crossBetween val="midCat"/>
      </c:valAx>
      <c:valAx>
        <c:axId val="74043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3558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誕生日!$D$1</c:f>
              <c:strCache>
                <c:ptCount val="1"/>
                <c:pt idx="0">
                  <c:v>r(n)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誕生日!$A$2:$A$368</c:f>
              <c:numCache>
                <c:formatCode>General</c:formatCode>
                <c:ptCount val="36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</c:numCache>
            </c:numRef>
          </c:xVal>
          <c:yVal>
            <c:numRef>
              <c:f>誕生日!$D$2:$D$368</c:f>
              <c:numCache>
                <c:formatCode>General</c:formatCode>
                <c:ptCount val="367"/>
                <c:pt idx="0">
                  <c:v>0</c:v>
                </c:pt>
                <c:pt idx="1">
                  <c:v>2.7397260273972603E-3</c:v>
                </c:pt>
                <c:pt idx="2">
                  <c:v>5.4644398573841244E-3</c:v>
                </c:pt>
                <c:pt idx="3">
                  <c:v>8.1517465817689191E-3</c:v>
                </c:pt>
                <c:pt idx="4">
                  <c:v>1.0779661233243283E-2</c:v>
                </c:pt>
                <c:pt idx="5">
                  <c:v>1.3326909949317895E-2</c:v>
                </c:pt>
                <c:pt idx="6">
                  <c:v>1.5773219446863919E-2</c:v>
                </c:pt>
                <c:pt idx="7">
                  <c:v>1.8099589255693618E-2</c:v>
                </c:pt>
                <c:pt idx="8">
                  <c:v>2.0288541537497661E-2</c:v>
                </c:pt>
                <c:pt idx="9">
                  <c:v>2.2324343821910956E-2</c:v>
                </c:pt>
                <c:pt idx="10">
                  <c:v>2.4193200610655403E-2</c:v>
                </c:pt>
                <c:pt idx="11">
                  <c:v>2.5883410516331324E-2</c:v>
                </c:pt>
                <c:pt idx="12">
                  <c:v>2.7385486394364996E-2</c:v>
                </c:pt>
                <c:pt idx="13">
                  <c:v>2.8692236772543595E-2</c:v>
                </c:pt>
                <c:pt idx="14">
                  <c:v>2.9798807758713349E-2</c:v>
                </c:pt>
                <c:pt idx="15">
                  <c:v>3.0702685489163561E-2</c:v>
                </c:pt>
                <c:pt idx="16">
                  <c:v>3.1403660043710674E-2</c:v>
                </c:pt>
                <c:pt idx="17">
                  <c:v>3.1903752575228671E-2</c:v>
                </c:pt>
                <c:pt idx="18">
                  <c:v>3.2207108159747373E-2</c:v>
                </c:pt>
                <c:pt idx="19">
                  <c:v>3.231985754904329E-2</c:v>
                </c:pt>
                <c:pt idx="20">
                  <c:v>3.2249951584625743E-2</c:v>
                </c:pt>
                <c:pt idx="21">
                  <c:v>3.2006972497344313E-2</c:v>
                </c:pt>
                <c:pt idx="22">
                  <c:v>3.1601926661435333E-2</c:v>
                </c:pt>
                <c:pt idx="23">
                  <c:v>3.1047023590543378E-2</c:v>
                </c:pt>
                <c:pt idx="24">
                  <c:v>3.0355446054935085E-2</c:v>
                </c:pt>
                <c:pt idx="25">
                  <c:v>2.9541116166475069E-2</c:v>
                </c:pt>
                <c:pt idx="26">
                  <c:v>2.8618462127302971E-2</c:v>
                </c:pt>
                <c:pt idx="27">
                  <c:v>2.7602190079157436E-2</c:v>
                </c:pt>
                <c:pt idx="28">
                  <c:v>2.6507065135377574E-2</c:v>
                </c:pt>
                <c:pt idx="29">
                  <c:v>2.5347705241491689E-2</c:v>
                </c:pt>
                <c:pt idx="30">
                  <c:v>2.4138391009375176E-2</c:v>
                </c:pt>
                <c:pt idx="31">
                  <c:v>2.2892894121676829E-2</c:v>
                </c:pt>
                <c:pt idx="32">
                  <c:v>2.1624326325451342E-2</c:v>
                </c:pt>
                <c:pt idx="33">
                  <c:v>2.0345010444382257E-2</c:v>
                </c:pt>
                <c:pt idx="34">
                  <c:v>1.9066374254560974E-2</c:v>
                </c:pt>
                <c:pt idx="35">
                  <c:v>1.7798867505164292E-2</c:v>
                </c:pt>
                <c:pt idx="36">
                  <c:v>1.6551901836505033E-2</c:v>
                </c:pt>
                <c:pt idx="37">
                  <c:v>1.533381286573636E-2</c:v>
                </c:pt>
                <c:pt idx="38">
                  <c:v>1.4151843284601111E-2</c:v>
                </c:pt>
                <c:pt idx="39">
                  <c:v>1.3012145451226961E-2</c:v>
                </c:pt>
                <c:pt idx="40">
                  <c:v>1.1919801663786412E-2</c:v>
                </c:pt>
                <c:pt idx="41">
                  <c:v>1.0878860080133834E-2</c:v>
                </c:pt>
                <c:pt idx="42">
                  <c:v>9.8923840942506652E-3</c:v>
                </c:pt>
                <c:pt idx="43">
                  <c:v>8.9625128953064251E-3</c:v>
                </c:pt>
                <c:pt idx="44">
                  <c:v>8.0905309143486093E-3</c:v>
                </c:pt>
                <c:pt idx="45">
                  <c:v>7.2769439014798041E-3</c:v>
                </c:pt>
                <c:pt idx="46">
                  <c:v>6.5215594660446097E-3</c:v>
                </c:pt>
                <c:pt idx="47">
                  <c:v>5.8235700461230994E-3</c:v>
                </c:pt>
                <c:pt idx="48">
                  <c:v>5.1816364432540367E-3</c:v>
                </c:pt>
                <c:pt idx="49">
                  <c:v>4.5939702553119254E-3</c:v>
                </c:pt>
                <c:pt idx="50">
                  <c:v>4.0584137564399457E-3</c:v>
                </c:pt>
                <c:pt idx="51">
                  <c:v>3.5725159998469991E-3</c:v>
                </c:pt>
                <c:pt idx="52">
                  <c:v>3.1336041496374855E-3</c:v>
                </c:pt>
                <c:pt idx="53">
                  <c:v>2.7388492749386849E-3</c:v>
                </c:pt>
                <c:pt idx="54">
                  <c:v>2.3853260575945707E-3</c:v>
                </c:pt>
                <c:pt idx="55">
                  <c:v>2.0700660687546996E-3</c:v>
                </c:pt>
                <c:pt idx="56">
                  <c:v>1.7901044559691945E-3</c:v>
                </c:pt>
                <c:pt idx="57">
                  <c:v>1.5425200480912635E-3</c:v>
                </c:pt>
                <c:pt idx="58">
                  <c:v>1.3244690285557476E-3</c:v>
                </c:pt>
                <c:pt idx="59">
                  <c:v>1.1332124475309522E-3</c:v>
                </c:pt>
                <c:pt idx="60">
                  <c:v>9.6613793994280409E-4</c:v>
                </c:pt>
                <c:pt idx="61">
                  <c:v>8.2077609007469722E-4</c:v>
                </c:pt>
                <c:pt idx="62">
                  <c:v>6.9481193558176032E-4</c:v>
                </c:pt>
                <c:pt idx="63">
                  <c:v>5.8609213602829092E-4</c:v>
                </c:pt>
                <c:pt idx="64">
                  <c:v>4.9262834551662567E-4</c:v>
                </c:pt>
                <c:pt idx="65">
                  <c:v>4.125973279123622E-4</c:v>
                </c:pt>
                <c:pt idx="66">
                  <c:v>3.4433833899535389E-4</c:v>
                </c:pt>
                <c:pt idx="67">
                  <c:v>2.8634827501427667E-4</c:v>
                </c:pt>
                <c:pt idx="68">
                  <c:v>2.3727505397216531E-4</c:v>
                </c:pt>
                <c:pt idx="69">
                  <c:v>1.9590965677081319E-4</c:v>
                </c:pt>
                <c:pt idx="70">
                  <c:v>1.6117721216165376E-4</c:v>
                </c:pt>
                <c:pt idx="71">
                  <c:v>1.3212746413799757E-4</c:v>
                </c:pt>
                <c:pt idx="72">
                  <c:v>1.0792491456195767E-4</c:v>
                </c:pt>
                <c:pt idx="73">
                  <c:v>8.7838888796259974E-5</c:v>
                </c:pt>
                <c:pt idx="74">
                  <c:v>7.1233728996419044E-5</c:v>
                </c:pt>
                <c:pt idx="75">
                  <c:v>5.7559279353826207E-5</c:v>
                </c:pt>
                <c:pt idx="76">
                  <c:v>4.6341790573820258E-5</c:v>
                </c:pt>
                <c:pt idx="77">
                  <c:v>3.7175337622178169E-5</c:v>
                </c:pt>
                <c:pt idx="78">
                  <c:v>2.9713815489934541E-5</c:v>
                </c:pt>
                <c:pt idx="79">
                  <c:v>2.366355246235637E-5</c:v>
                </c:pt>
                <c:pt idx="80">
                  <c:v>1.8776559054576515E-5</c:v>
                </c:pt>
                <c:pt idx="81">
                  <c:v>1.4844413211469138E-5</c:v>
                </c:pt>
                <c:pt idx="82">
                  <c:v>1.1692768302678616E-5</c:v>
                </c:pt>
                <c:pt idx="83">
                  <c:v>9.1764595610296693E-6</c:v>
                </c:pt>
                <c:pt idx="84">
                  <c:v>7.1751765664852561E-6</c:v>
                </c:pt>
                <c:pt idx="85">
                  <c:v>5.5896638059523928E-6</c:v>
                </c:pt>
                <c:pt idx="86">
                  <c:v>4.3384078790437917E-6</c:v>
                </c:pt>
                <c:pt idx="87">
                  <c:v>3.3547682207081856E-6</c:v>
                </c:pt>
                <c:pt idx="88">
                  <c:v>2.5845079436751709E-6</c:v>
                </c:pt>
                <c:pt idx="89">
                  <c:v>1.9836822644901617E-6</c:v>
                </c:pt>
                <c:pt idx="90">
                  <c:v>1.5168436955498114E-6</c:v>
                </c:pt>
                <c:pt idx="91">
                  <c:v>1.1555255245398487E-6</c:v>
                </c:pt>
                <c:pt idx="92">
                  <c:v>8.7696785857595997E-7</c:v>
                </c:pt>
                <c:pt idx="93">
                  <c:v>6.6305351284648744E-7</c:v>
                </c:pt>
                <c:pt idx="94">
                  <c:v>4.9942413364144918E-7</c:v>
                </c:pt>
                <c:pt idx="95">
                  <c:v>3.7475005306322087E-7</c:v>
                </c:pt>
                <c:pt idx="96">
                  <c:v>2.8013039294588847E-7</c:v>
                </c:pt>
                <c:pt idx="97">
                  <c:v>2.0860280659637752E-7</c:v>
                </c:pt>
                <c:pt idx="98">
                  <c:v>1.547449262094975E-7</c:v>
                </c:pt>
                <c:pt idx="99">
                  <c:v>1.1435204457633905E-7</c:v>
                </c:pt>
                <c:pt idx="100">
                  <c:v>8.4177788452487012E-8</c:v>
                </c:pt>
                <c:pt idx="101">
                  <c:v>6.1726534463857938E-8</c:v>
                </c:pt>
                <c:pt idx="102">
                  <c:v>4.5088081379160901E-8</c:v>
                </c:pt>
                <c:pt idx="103">
                  <c:v>3.2806635414453125E-8</c:v>
                </c:pt>
                <c:pt idx="104">
                  <c:v>2.3777502374598183E-8</c:v>
                </c:pt>
                <c:pt idx="105">
                  <c:v>1.7166028782293553E-8</c:v>
                </c:pt>
                <c:pt idx="106">
                  <c:v>1.234431189145493E-8</c:v>
                </c:pt>
                <c:pt idx="107">
                  <c:v>8.8420241780276694E-9</c:v>
                </c:pt>
                <c:pt idx="108">
                  <c:v>6.3083897502640636E-9</c:v>
                </c:pt>
                <c:pt idx="109">
                  <c:v>4.4829254711858753E-9</c:v>
                </c:pt>
                <c:pt idx="110">
                  <c:v>3.1730345926503517E-9</c:v>
                </c:pt>
                <c:pt idx="111">
                  <c:v>2.236930115690366E-9</c:v>
                </c:pt>
                <c:pt idx="112">
                  <c:v>1.5706821653994702E-9</c:v>
                </c:pt>
                <c:pt idx="113">
                  <c:v>1.0984401278523839E-9</c:v>
                </c:pt>
                <c:pt idx="114">
                  <c:v>7.6508638605754123E-10</c:v>
                </c:pt>
                <c:pt idx="115">
                  <c:v>5.3074305536051264E-10</c:v>
                </c:pt>
                <c:pt idx="116">
                  <c:v>3.6668370709838866E-10</c:v>
                </c:pt>
                <c:pt idx="117">
                  <c:v>2.5230506468817568E-10</c:v>
                </c:pt>
                <c:pt idx="118">
                  <c:v>1.728944014292184E-10</c:v>
                </c:pt>
                <c:pt idx="119">
                  <c:v>1.1799129652215034E-10</c:v>
                </c:pt>
                <c:pt idx="120">
                  <c:v>8.019116089176652E-11</c:v>
                </c:pt>
                <c:pt idx="121">
                  <c:v>5.4275501475717321E-11</c:v>
                </c:pt>
                <c:pt idx="122">
                  <c:v>3.6582658845899536E-11</c:v>
                </c:pt>
                <c:pt idx="123">
                  <c:v>2.4554661806536974E-11</c:v>
                </c:pt>
                <c:pt idx="124">
                  <c:v>1.6412435493720047E-11</c:v>
                </c:pt>
                <c:pt idx="125">
                  <c:v>1.0924096757585428E-11</c:v>
                </c:pt>
                <c:pt idx="126">
                  <c:v>7.2404314728631963E-12</c:v>
                </c:pt>
                <c:pt idx="127">
                  <c:v>4.7786217981260404E-12</c:v>
                </c:pt>
                <c:pt idx="128">
                  <c:v>3.140458083445404E-12</c:v>
                </c:pt>
                <c:pt idx="129">
                  <c:v>2.0550775895799731E-12</c:v>
                </c:pt>
                <c:pt idx="130">
                  <c:v>1.3390629807436248E-12</c:v>
                </c:pt>
                <c:pt idx="131">
                  <c:v>8.6876825842344548E-13</c:v>
                </c:pt>
                <c:pt idx="132">
                  <c:v>5.6121539195196872E-13</c:v>
                </c:pt>
                <c:pt idx="133">
                  <c:v>3.6096936034038108E-13</c:v>
                </c:pt>
                <c:pt idx="134">
                  <c:v>2.3116315736454358E-13</c:v>
                </c:pt>
                <c:pt idx="135">
                  <c:v>1.4738955351489044E-13</c:v>
                </c:pt>
                <c:pt idx="136">
                  <c:v>9.3563576538727003E-14</c:v>
                </c:pt>
                <c:pt idx="137">
                  <c:v>5.9133160490521393E-14</c:v>
                </c:pt>
                <c:pt idx="138">
                  <c:v>3.7207594474027904E-14</c:v>
                </c:pt>
                <c:pt idx="139">
                  <c:v>2.3307747239209895E-14</c:v>
                </c:pt>
                <c:pt idx="140">
                  <c:v>1.4535471028847957E-14</c:v>
                </c:pt>
                <c:pt idx="141">
                  <c:v>9.0242234518630409E-15</c:v>
                </c:pt>
                <c:pt idx="142">
                  <c:v>5.5774312553552834E-15</c:v>
                </c:pt>
                <c:pt idx="143">
                  <c:v>3.4315783388389856E-15</c:v>
                </c:pt>
                <c:pt idx="144">
                  <c:v>2.1017472236038834E-15</c:v>
                </c:pt>
                <c:pt idx="145">
                  <c:v>1.2814020125644301E-15</c:v>
                </c:pt>
                <c:pt idx="146">
                  <c:v>7.7767846279772304E-16</c:v>
                </c:pt>
                <c:pt idx="147">
                  <c:v>4.6980301656684363E-16</c:v>
                </c:pt>
                <c:pt idx="148">
                  <c:v>2.8250348572384015E-16</c:v>
                </c:pt>
                <c:pt idx="149">
                  <c:v>1.6908895231227183E-16</c:v>
                </c:pt>
                <c:pt idx="150">
                  <c:v>1.0073516695628586E-16</c:v>
                </c:pt>
                <c:pt idx="151">
                  <c:v>5.9732734159558352E-17</c:v>
                </c:pt>
                <c:pt idx="152">
                  <c:v>3.5253313557871978E-17</c:v>
                </c:pt>
                <c:pt idx="153">
                  <c:v>2.0707826884237381E-17</c:v>
                </c:pt>
                <c:pt idx="154">
                  <c:v>1.2106171226010959E-17</c:v>
                </c:pt>
                <c:pt idx="155">
                  <c:v>7.0438059054739081E-18</c:v>
                </c:pt>
                <c:pt idx="156">
                  <c:v>4.0787464686403047E-18</c:v>
                </c:pt>
                <c:pt idx="157">
                  <c:v>2.3504725654284219E-18</c:v>
                </c:pt>
                <c:pt idx="158">
                  <c:v>1.3479788917239272E-18</c:v>
                </c:pt>
                <c:pt idx="159">
                  <c:v>7.6930863990479663E-19</c:v>
                </c:pt>
                <c:pt idx="160">
                  <c:v>4.3691587440789346E-19</c:v>
                </c:pt>
                <c:pt idx="161">
                  <c:v>2.4692480196631037E-19</c:v>
                </c:pt>
                <c:pt idx="162">
                  <c:v>1.3886447469382495E-19</c:v>
                </c:pt>
                <c:pt idx="163">
                  <c:v>7.7708212466497122E-20</c:v>
                </c:pt>
                <c:pt idx="164">
                  <c:v>4.3269479159427119E-20</c:v>
                </c:pt>
                <c:pt idx="165">
                  <c:v>2.3973141936558645E-20</c:v>
                </c:pt>
                <c:pt idx="166">
                  <c:v>1.3215580112806093E-20</c:v>
                </c:pt>
                <c:pt idx="167">
                  <c:v>7.2486115512276761E-21</c:v>
                </c:pt>
                <c:pt idx="168">
                  <c:v>3.9556691762781956E-21</c:v>
                </c:pt>
                <c:pt idx="169">
                  <c:v>2.1476858102711994E-21</c:v>
                </c:pt>
                <c:pt idx="170">
                  <c:v>1.1601019891097733E-21</c:v>
                </c:pt>
                <c:pt idx="171">
                  <c:v>6.2342628246358411E-22</c:v>
                </c:pt>
                <c:pt idx="172">
                  <c:v>3.3329308969390163E-22</c:v>
                </c:pt>
                <c:pt idx="173">
                  <c:v>1.7725904701799434E-22</c:v>
                </c:pt>
                <c:pt idx="174">
                  <c:v>9.3782092687895392E-23</c:v>
                </c:pt>
                <c:pt idx="175">
                  <c:v>4.9357053189937075E-23</c:v>
                </c:pt>
                <c:pt idx="176">
                  <c:v>2.5839528120101694E-23</c:v>
                </c:pt>
                <c:pt idx="177">
                  <c:v>1.3455942313227924E-23</c:v>
                </c:pt>
                <c:pt idx="178">
                  <c:v>6.9698886087742334E-24</c:v>
                </c:pt>
                <c:pt idx="179">
                  <c:v>3.590935530267814E-24</c:v>
                </c:pt>
                <c:pt idx="180">
                  <c:v>1.8401243063192228E-24</c:v>
                </c:pt>
                <c:pt idx="181">
                  <c:v>9.3784722065599958E-25</c:v>
                </c:pt>
                <c:pt idx="182">
                  <c:v>4.7538980890529195E-25</c:v>
                </c:pt>
                <c:pt idx="183">
                  <c:v>2.3965571745339939E-25</c:v>
                </c:pt>
                <c:pt idx="184">
                  <c:v>1.2015256630106203E-25</c:v>
                </c:pt>
                <c:pt idx="185">
                  <c:v>5.9906323445370194E-26</c:v>
                </c:pt>
                <c:pt idx="186">
                  <c:v>2.9702535489833308E-26</c:v>
                </c:pt>
                <c:pt idx="187">
                  <c:v>1.4644763152911921E-26</c:v>
                </c:pt>
                <c:pt idx="188">
                  <c:v>7.1800213046523284E-27</c:v>
                </c:pt>
                <c:pt idx="189">
                  <c:v>3.500338861913937E-27</c:v>
                </c:pt>
                <c:pt idx="190">
                  <c:v>1.696764971260449E-27</c:v>
                </c:pt>
                <c:pt idx="191">
                  <c:v>8.1779912277405183E-28</c:v>
                </c:pt>
                <c:pt idx="192">
                  <c:v>3.9189604953934629E-28</c:v>
                </c:pt>
                <c:pt idx="193">
                  <c:v>1.8671542805464087E-28</c:v>
                </c:pt>
                <c:pt idx="194">
                  <c:v>8.8442336621864675E-29</c:v>
                </c:pt>
                <c:pt idx="195">
                  <c:v>4.1648209499450322E-29</c:v>
                </c:pt>
                <c:pt idx="196">
                  <c:v>1.9497272083198944E-29</c:v>
                </c:pt>
                <c:pt idx="197">
                  <c:v>9.0735627546259775E-30</c:v>
                </c:pt>
                <c:pt idx="198">
                  <c:v>4.1975243928778041E-30</c:v>
                </c:pt>
                <c:pt idx="199">
                  <c:v>1.9302107118930133E-30</c:v>
                </c:pt>
                <c:pt idx="200">
                  <c:v>8.822605580622021E-31</c:v>
                </c:pt>
                <c:pt idx="201">
                  <c:v>4.0082426586483466E-31</c:v>
                </c:pt>
                <c:pt idx="202">
                  <c:v>1.809923843736147E-31</c:v>
                </c:pt>
                <c:pt idx="203">
                  <c:v>8.1226868391950852E-32</c:v>
                </c:pt>
                <c:pt idx="204">
                  <c:v>3.6228970195251929E-32</c:v>
                </c:pt>
                <c:pt idx="205">
                  <c:v>1.6058785405510205E-32</c:v>
                </c:pt>
                <c:pt idx="206">
                  <c:v>7.0738064412377725E-33</c:v>
                </c:pt>
                <c:pt idx="207">
                  <c:v>3.0964249421526641E-33</c:v>
                </c:pt>
                <c:pt idx="208">
                  <c:v>1.3468454675257118E-33</c:v>
                </c:pt>
                <c:pt idx="209">
                  <c:v>5.8211328142678058E-34</c:v>
                </c:pt>
                <c:pt idx="210">
                  <c:v>2.4998402175449081E-34</c:v>
                </c:pt>
                <c:pt idx="211">
                  <c:v>1.0666311065206291E-34</c:v>
                </c:pt>
                <c:pt idx="212">
                  <c:v>4.5216350536500024E-35</c:v>
                </c:pt>
                <c:pt idx="213">
                  <c:v>1.9043107361514592E-35</c:v>
                </c:pt>
                <c:pt idx="214">
                  <c:v>7.9675116889233596E-36</c:v>
                </c:pt>
                <c:pt idx="215">
                  <c:v>3.311551235192637E-36</c:v>
                </c:pt>
                <c:pt idx="216">
                  <c:v>1.3672412872920221E-36</c:v>
                </c:pt>
                <c:pt idx="217">
                  <c:v>5.6071806877236106E-37</c:v>
                </c:pt>
                <c:pt idx="218">
                  <c:v>2.2840739562996603E-37</c:v>
                </c:pt>
                <c:pt idx="219">
                  <c:v>9.2410698598912859E-38</c:v>
                </c:pt>
                <c:pt idx="220">
                  <c:v>3.7133066103672751E-38</c:v>
                </c:pt>
                <c:pt idx="221">
                  <c:v>1.4818544250214115E-38</c:v>
                </c:pt>
                <c:pt idx="222">
                  <c:v>5.8726736824006041E-39</c:v>
                </c:pt>
                <c:pt idx="223">
                  <c:v>2.3111648902637649E-39</c:v>
                </c:pt>
                <c:pt idx="224">
                  <c:v>9.0317013120596883E-40</c:v>
                </c:pt>
                <c:pt idx="225">
                  <c:v>3.5045342970290318E-40</c:v>
                </c:pt>
                <c:pt idx="226">
                  <c:v>1.3501791800060709E-40</c:v>
                </c:pt>
                <c:pt idx="227">
                  <c:v>5.1645294783284711E-41</c:v>
                </c:pt>
                <c:pt idx="228">
                  <c:v>1.9612184600341197E-41</c:v>
                </c:pt>
                <c:pt idx="229">
                  <c:v>7.3935720676100006E-42</c:v>
                </c:pt>
                <c:pt idx="230">
                  <c:v>2.7668951878308416E-42</c:v>
                </c:pt>
                <c:pt idx="231">
                  <c:v>1.0278216370756973E-42</c:v>
                </c:pt>
                <c:pt idx="232">
                  <c:v>3.7897075316858542E-43</c:v>
                </c:pt>
                <c:pt idx="233">
                  <c:v>1.3868593138806437E-43</c:v>
                </c:pt>
                <c:pt idx="234">
                  <c:v>5.0370169307008444E-44</c:v>
                </c:pt>
                <c:pt idx="235">
                  <c:v>1.8155317434916928E-44</c:v>
                </c:pt>
                <c:pt idx="236">
                  <c:v>6.4937935167968683E-45</c:v>
                </c:pt>
                <c:pt idx="237">
                  <c:v>2.3047916088812478E-45</c:v>
                </c:pt>
                <c:pt idx="238">
                  <c:v>8.1166604904870613E-46</c:v>
                </c:pt>
                <c:pt idx="239">
                  <c:v>2.836019291674385E-46</c:v>
                </c:pt>
                <c:pt idx="240">
                  <c:v>9.8310567295504553E-47</c:v>
                </c:pt>
                <c:pt idx="241">
                  <c:v>3.3808285842204047E-47</c:v>
                </c:pt>
                <c:pt idx="242">
                  <c:v>1.1533212545363032E-47</c:v>
                </c:pt>
                <c:pt idx="243">
                  <c:v>3.9025946990643685E-48</c:v>
                </c:pt>
                <c:pt idx="244">
                  <c:v>1.3097969333304935E-48</c:v>
                </c:pt>
                <c:pt idx="245">
                  <c:v>4.3598619008064762E-49</c:v>
                </c:pt>
                <c:pt idx="246">
                  <c:v>1.4392297826313355E-49</c:v>
                </c:pt>
                <c:pt idx="247">
                  <c:v>4.7113577236755597E-50</c:v>
                </c:pt>
                <c:pt idx="248">
                  <c:v>1.5292903602200828E-50</c:v>
                </c:pt>
                <c:pt idx="249">
                  <c:v>4.9218753937573668E-51</c:v>
                </c:pt>
                <c:pt idx="250">
                  <c:v>1.5704944316329828E-51</c:v>
                </c:pt>
                <c:pt idx="251">
                  <c:v>4.9679256733244981E-52</c:v>
                </c:pt>
                <c:pt idx="252">
                  <c:v>1.5578078780032327E-52</c:v>
                </c:pt>
                <c:pt idx="253">
                  <c:v>4.8419405766725839E-53</c:v>
                </c:pt>
                <c:pt idx="254">
                  <c:v>1.4916186639794433E-53</c:v>
                </c:pt>
                <c:pt idx="255">
                  <c:v>4.5540142685727682E-54</c:v>
                </c:pt>
                <c:pt idx="256">
                  <c:v>1.3778247843460559E-54</c:v>
                </c:pt>
                <c:pt idx="257">
                  <c:v>4.1306726973336974E-55</c:v>
                </c:pt>
                <c:pt idx="258">
                  <c:v>1.2269821868611069E-55</c:v>
                </c:pt>
                <c:pt idx="259">
                  <c:v>3.6108481835490977E-56</c:v>
                </c:pt>
                <c:pt idx="260">
                  <c:v>1.0526786474703881E-56</c:v>
                </c:pt>
                <c:pt idx="261">
                  <c:v>3.0399007728056891E-57</c:v>
                </c:pt>
                <c:pt idx="262">
                  <c:v>8.6948214199768451E-58</c:v>
                </c:pt>
                <c:pt idx="263">
                  <c:v>2.4629720531815618E-58</c:v>
                </c:pt>
                <c:pt idx="264">
                  <c:v>6.9089964527395291E-59</c:v>
                </c:pt>
                <c:pt idx="265">
                  <c:v>1.919046181585445E-59</c:v>
                </c:pt>
                <c:pt idx="266">
                  <c:v>5.277501000793263E-60</c:v>
                </c:pt>
                <c:pt idx="267">
                  <c:v>1.4368131007721531E-60</c:v>
                </c:pt>
                <c:pt idx="268">
                  <c:v>3.8721932459781261E-61</c:v>
                </c:pt>
                <c:pt idx="269">
                  <c:v>1.0328883496964552E-61</c:v>
                </c:pt>
                <c:pt idx="270">
                  <c:v>2.7267368767257846E-62</c:v>
                </c:pt>
                <c:pt idx="271">
                  <c:v>7.1232715262613217E-63</c:v>
                </c:pt>
                <c:pt idx="272">
                  <c:v>1.8412556880498353E-63</c:v>
                </c:pt>
                <c:pt idx="273">
                  <c:v>4.7086664649372752E-64</c:v>
                </c:pt>
                <c:pt idx="274">
                  <c:v>1.1911893647261661E-64</c:v>
                </c:pt>
                <c:pt idx="275">
                  <c:v>2.9806533198952412E-65</c:v>
                </c:pt>
                <c:pt idx="276">
                  <c:v>7.3762817899076267E-66</c:v>
                </c:pt>
                <c:pt idx="277">
                  <c:v>1.8051168847190064E-66</c:v>
                </c:pt>
                <c:pt idx="278">
                  <c:v>4.3677740435948534E-67</c:v>
                </c:pt>
                <c:pt idx="279">
                  <c:v>1.0448307811193249E-67</c:v>
                </c:pt>
                <c:pt idx="280">
                  <c:v>2.4706167044094209E-68</c:v>
                </c:pt>
                <c:pt idx="281">
                  <c:v>5.7740391374578296E-69</c:v>
                </c:pt>
                <c:pt idx="282">
                  <c:v>1.333548862556438E-69</c:v>
                </c:pt>
                <c:pt idx="283">
                  <c:v>3.0432069593498668E-70</c:v>
                </c:pt>
                <c:pt idx="284">
                  <c:v>6.860951998580733E-71</c:v>
                </c:pt>
                <c:pt idx="285">
                  <c:v>1.5279285827439345E-71</c:v>
                </c:pt>
                <c:pt idx="286">
                  <c:v>3.3606350370758207E-72</c:v>
                </c:pt>
                <c:pt idx="287">
                  <c:v>7.2991357597107071E-73</c:v>
                </c:pt>
                <c:pt idx="288">
                  <c:v>1.5652502095951632E-73</c:v>
                </c:pt>
                <c:pt idx="289">
                  <c:v>3.3135000869597765E-74</c:v>
                </c:pt>
                <c:pt idx="290">
                  <c:v>6.9232158047678323E-75</c:v>
                </c:pt>
                <c:pt idx="291">
                  <c:v>1.4274840334346522E-75</c:v>
                </c:pt>
                <c:pt idx="292">
                  <c:v>2.9040225010079522E-76</c:v>
                </c:pt>
                <c:pt idx="293">
                  <c:v>5.8279355670913015E-77</c:v>
                </c:pt>
                <c:pt idx="294">
                  <c:v>1.1535437849753487E-77</c:v>
                </c:pt>
                <c:pt idx="295">
                  <c:v>2.2515119351699451E-78</c:v>
                </c:pt>
                <c:pt idx="296">
                  <c:v>4.3326052748289998E-79</c:v>
                </c:pt>
                <c:pt idx="297">
                  <c:v>8.2180747775889189E-80</c:v>
                </c:pt>
                <c:pt idx="298">
                  <c:v>1.5361936007846672E-80</c:v>
                </c:pt>
                <c:pt idx="299">
                  <c:v>2.829324851017674E-81</c:v>
                </c:pt>
                <c:pt idx="300">
                  <c:v>5.1331499564896641E-82</c:v>
                </c:pt>
                <c:pt idx="301">
                  <c:v>9.1716967030794786E-83</c:v>
                </c:pt>
                <c:pt idx="302">
                  <c:v>1.613530732054068E-83</c:v>
                </c:pt>
                <c:pt idx="303">
                  <c:v>2.7942200983561733E-84</c:v>
                </c:pt>
                <c:pt idx="304">
                  <c:v>4.7620109782374576E-85</c:v>
                </c:pt>
                <c:pt idx="305">
                  <c:v>7.9846083498655283E-86</c:v>
                </c:pt>
                <c:pt idx="306">
                  <c:v>1.3168417633373555E-86</c:v>
                </c:pt>
                <c:pt idx="307">
                  <c:v>2.135549723281361E-87</c:v>
                </c:pt>
                <c:pt idx="308">
                  <c:v>3.4045299412519054E-88</c:v>
                </c:pt>
                <c:pt idx="309">
                  <c:v>5.3339250894209053E-89</c:v>
                </c:pt>
                <c:pt idx="310">
                  <c:v>8.2100403025532575E-90</c:v>
                </c:pt>
                <c:pt idx="311">
                  <c:v>1.2411201005318027E-90</c:v>
                </c:pt>
                <c:pt idx="312">
                  <c:v>1.8420817912839547E-91</c:v>
                </c:pt>
                <c:pt idx="313">
                  <c:v>2.683376785705086E-92</c:v>
                </c:pt>
                <c:pt idx="314">
                  <c:v>3.8351066704882181E-93</c:v>
                </c:pt>
                <c:pt idx="315">
                  <c:v>5.3757079366018E-94</c:v>
                </c:pt>
                <c:pt idx="316">
                  <c:v>7.3873612001138003E-95</c:v>
                </c:pt>
                <c:pt idx="317">
                  <c:v>9.9486632149616491E-96</c:v>
                </c:pt>
                <c:pt idx="318">
                  <c:v>1.3124445383792802E-96</c:v>
                </c:pt>
                <c:pt idx="319">
                  <c:v>1.6953115330335613E-97</c:v>
                </c:pt>
                <c:pt idx="320">
                  <c:v>2.1432546713835207E-98</c:v>
                </c:pt>
                <c:pt idx="321">
                  <c:v>2.65062617535402E-99</c:v>
                </c:pt>
                <c:pt idx="322">
                  <c:v>3.205229518407012E-100</c:v>
                </c:pt>
                <c:pt idx="323">
                  <c:v>3.7877505982434268E-101</c:v>
                </c:pt>
                <c:pt idx="324">
                  <c:v>4.3720013690908483E-102</c:v>
                </c:pt>
                <c:pt idx="325">
                  <c:v>4.9261726909466899E-103</c:v>
                </c:pt>
                <c:pt idx="326">
                  <c:v>5.4151563237045163E-104</c:v>
                </c:pt>
                <c:pt idx="327">
                  <c:v>5.8038060842258758E-105</c:v>
                </c:pt>
                <c:pt idx="328">
                  <c:v>6.0607967017545415E-106</c:v>
                </c:pt>
                <c:pt idx="329">
                  <c:v>6.1625524766503528E-107</c:v>
                </c:pt>
                <c:pt idx="330">
                  <c:v>6.0966085208482486E-108</c:v>
                </c:pt>
                <c:pt idx="331">
                  <c:v>5.8637783075157298E-109</c:v>
                </c:pt>
                <c:pt idx="332">
                  <c:v>5.4786516190239254E-110</c:v>
                </c:pt>
                <c:pt idx="333">
                  <c:v>4.9682210464972699E-111</c:v>
                </c:pt>
                <c:pt idx="334">
                  <c:v>4.3687808256170818E-112</c:v>
                </c:pt>
                <c:pt idx="335">
                  <c:v>3.7215805819074226E-113</c:v>
                </c:pt>
                <c:pt idx="336">
                  <c:v>3.0679642008282009E-114</c:v>
                </c:pt>
                <c:pt idx="337">
                  <c:v>2.444815242554958E-115</c:v>
                </c:pt>
                <c:pt idx="338">
                  <c:v>1.8810399134620642E-116</c:v>
                </c:pt>
                <c:pt idx="339">
                  <c:v>1.3955709109117512E-117</c:v>
                </c:pt>
                <c:pt idx="340">
                  <c:v>9.9703777043357834E-119</c:v>
                </c:pt>
                <c:pt idx="341">
                  <c:v>6.8491111949607208E-120</c:v>
                </c:pt>
                <c:pt idx="342">
                  <c:v>4.5167319879675094E-121</c:v>
                </c:pt>
                <c:pt idx="343">
                  <c:v>2.8544819877493936E-122</c:v>
                </c:pt>
                <c:pt idx="344">
                  <c:v>1.725525754485995E-123</c:v>
                </c:pt>
                <c:pt idx="345">
                  <c:v>9.9565419649976357E-125</c:v>
                </c:pt>
                <c:pt idx="346">
                  <c:v>5.4714528805069399E-126</c:v>
                </c:pt>
                <c:pt idx="347">
                  <c:v>2.8563852119076931E-127</c:v>
                </c:pt>
                <c:pt idx="348">
                  <c:v>1.4126877712991822E-128</c:v>
                </c:pt>
                <c:pt idx="349">
                  <c:v>6.5985486908502968E-130</c:v>
                </c:pt>
                <c:pt idx="350">
                  <c:v>2.9008025017672148E-131</c:v>
                </c:pt>
                <c:pt idx="351">
                  <c:v>1.1955166474993649E-132</c:v>
                </c:pt>
                <c:pt idx="352">
                  <c:v>4.5986075314185457E-134</c:v>
                </c:pt>
                <c:pt idx="353">
                  <c:v>1.6425132286487939E-135</c:v>
                </c:pt>
                <c:pt idx="354">
                  <c:v>5.4153410650782532E-137</c:v>
                </c:pt>
                <c:pt idx="355">
                  <c:v>1.6366308226244544E-138</c:v>
                </c:pt>
                <c:pt idx="356">
                  <c:v>4.4965508227227922E-140</c:v>
                </c:pt>
                <c:pt idx="357">
                  <c:v>1.1118529931821096E-141</c:v>
                </c:pt>
                <c:pt idx="358">
                  <c:v>2.4437642242995753E-143</c:v>
                </c:pt>
                <c:pt idx="359">
                  <c:v>4.6997623751931063E-145</c:v>
                </c:pt>
                <c:pt idx="360">
                  <c:v>7.747156660752556E-147</c:v>
                </c:pt>
                <c:pt idx="361">
                  <c:v>1.0642022658035285E-148</c:v>
                </c:pt>
                <c:pt idx="362">
                  <c:v>1.1694796652248389E-150</c:v>
                </c:pt>
                <c:pt idx="363">
                  <c:v>9.63871456467002E-153</c:v>
                </c:pt>
                <c:pt idx="364">
                  <c:v>5.2960369848520878E-155</c:v>
                </c:pt>
                <c:pt idx="365">
                  <c:v>1.4549552156187055E-157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46-4C71-9339-2D0A61A59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4105968"/>
        <c:axId val="740419920"/>
      </c:scatterChart>
      <c:valAx>
        <c:axId val="6841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40419920"/>
        <c:crosses val="autoZero"/>
        <c:crossBetween val="midCat"/>
      </c:valAx>
      <c:valAx>
        <c:axId val="740419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841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15</xdr:row>
      <xdr:rowOff>0</xdr:rowOff>
    </xdr:from>
    <xdr:to>
      <xdr:col>13</xdr:col>
      <xdr:colOff>171450</xdr:colOff>
      <xdr:row>27</xdr:row>
      <xdr:rowOff>57150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0674B82-37A0-466C-BBDC-D08D3D569D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195283</xdr:colOff>
      <xdr:row>15</xdr:row>
      <xdr:rowOff>0</xdr:rowOff>
    </xdr:from>
    <xdr:to>
      <xdr:col>19</xdr:col>
      <xdr:colOff>652483</xdr:colOff>
      <xdr:row>27</xdr:row>
      <xdr:rowOff>57150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8454C1D9-A0A7-4C00-A53E-6AD5AEA25D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47625</xdr:colOff>
      <xdr:row>25</xdr:row>
      <xdr:rowOff>104775</xdr:rowOff>
    </xdr:from>
    <xdr:to>
      <xdr:col>7</xdr:col>
      <xdr:colOff>400051</xdr:colOff>
      <xdr:row>33</xdr:row>
      <xdr:rowOff>85726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C259D150-F31F-479D-BE50-421608581615}"/>
            </a:ext>
          </a:extLst>
        </xdr:cNvPr>
        <xdr:cNvCxnSpPr/>
      </xdr:nvCxnSpPr>
      <xdr:spPr>
        <a:xfrm flipH="1" flipV="1">
          <a:off x="4276725" y="6057900"/>
          <a:ext cx="1685926" cy="1905001"/>
        </a:xfrm>
        <a:prstGeom prst="straightConnector1">
          <a:avLst/>
        </a:prstGeom>
        <a:ln w="3810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485775</xdr:colOff>
      <xdr:row>12</xdr:row>
      <xdr:rowOff>190500</xdr:rowOff>
    </xdr:from>
    <xdr:to>
      <xdr:col>15</xdr:col>
      <xdr:colOff>352425</xdr:colOff>
      <xdr:row>14</xdr:row>
      <xdr:rowOff>66675</xdr:rowOff>
    </xdr:to>
    <xdr:sp macro="" textlink="">
      <xdr:nvSpPr>
        <xdr:cNvPr id="9" name="吹き出し: 角を丸めた四角形 8">
          <a:extLst>
            <a:ext uri="{FF2B5EF4-FFF2-40B4-BE49-F238E27FC236}">
              <a16:creationId xmlns:a16="http://schemas.microsoft.com/office/drawing/2014/main" id="{04382E8F-BEA6-4F5D-AE5C-0CE48EE89E48}"/>
            </a:ext>
          </a:extLst>
        </xdr:cNvPr>
        <xdr:cNvSpPr/>
      </xdr:nvSpPr>
      <xdr:spPr>
        <a:xfrm>
          <a:off x="11134725" y="3048000"/>
          <a:ext cx="552450" cy="352425"/>
        </a:xfrm>
        <a:prstGeom prst="wedgeRoundRectCallout">
          <a:avLst>
            <a:gd name="adj1" fmla="val -112212"/>
            <a:gd name="adj2" fmla="val 276014"/>
            <a:gd name="adj3" fmla="val 16667"/>
          </a:avLst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200"/>
            <a:t>n=20</a:t>
          </a:r>
          <a:endParaRPr kumimoji="1" lang="ja-JP" altLang="en-US" sz="1200"/>
        </a:p>
      </xdr:txBody>
    </xdr:sp>
    <xdr:clientData/>
  </xdr:twoCellAnchor>
  <xdr:twoCellAnchor>
    <xdr:from>
      <xdr:col>4</xdr:col>
      <xdr:colOff>962025</xdr:colOff>
      <xdr:row>13</xdr:row>
      <xdr:rowOff>128588</xdr:rowOff>
    </xdr:from>
    <xdr:to>
      <xdr:col>14</xdr:col>
      <xdr:colOff>485775</xdr:colOff>
      <xdr:row>20</xdr:row>
      <xdr:rowOff>104775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D60888F6-0A35-4B1E-BBEF-4D4407305CEF}"/>
            </a:ext>
          </a:extLst>
        </xdr:cNvPr>
        <xdr:cNvCxnSpPr>
          <a:stCxn id="9" idx="1"/>
        </xdr:cNvCxnSpPr>
      </xdr:nvCxnSpPr>
      <xdr:spPr>
        <a:xfrm flipH="1">
          <a:off x="4219575" y="3224213"/>
          <a:ext cx="6915150" cy="1643062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hyperlink" Target="https://manabitimes.jp/math/8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4270-9886-4BB3-83CB-F6FFDCD5151D}">
  <sheetPr>
    <pageSetUpPr fitToPage="1"/>
  </sheetPr>
  <dimension ref="A1:K368"/>
  <sheetViews>
    <sheetView tabSelected="1" workbookViewId="0"/>
  </sheetViews>
  <sheetFormatPr defaultRowHeight="17.649999999999999"/>
  <cols>
    <col min="1" max="1" width="4.5" bestFit="1" customWidth="1"/>
    <col min="2" max="2" width="12.75" customWidth="1"/>
    <col min="3" max="3" width="12.75" bestFit="1" customWidth="1"/>
    <col min="4" max="4" width="12.75" customWidth="1"/>
    <col min="5" max="5" width="12.75" bestFit="1" customWidth="1"/>
    <col min="7" max="7" width="8.5" style="1" bestFit="1" customWidth="1"/>
    <col min="9" max="9" width="2.375" customWidth="1"/>
    <col min="10" max="10" width="19.375" bestFit="1" customWidth="1"/>
  </cols>
  <sheetData>
    <row r="1" spans="1:11">
      <c r="A1" s="21" t="s">
        <v>0</v>
      </c>
      <c r="B1" s="20" t="s">
        <v>25</v>
      </c>
      <c r="C1" s="20" t="s">
        <v>26</v>
      </c>
      <c r="D1" s="20" t="s">
        <v>27</v>
      </c>
      <c r="E1" s="20" t="s">
        <v>28</v>
      </c>
      <c r="F1" s="14"/>
      <c r="G1" s="1" t="s">
        <v>29</v>
      </c>
      <c r="H1" t="s">
        <v>9</v>
      </c>
    </row>
    <row r="2" spans="1:11">
      <c r="A2" s="22">
        <v>1</v>
      </c>
      <c r="B2">
        <v>1</v>
      </c>
      <c r="C2">
        <f>1-B2</f>
        <v>0</v>
      </c>
      <c r="D2">
        <v>0</v>
      </c>
      <c r="E2">
        <f t="shared" ref="E2:E3" si="0">A2*D2</f>
        <v>0</v>
      </c>
      <c r="F2" s="14"/>
      <c r="G2" s="1" t="s">
        <v>30</v>
      </c>
      <c r="H2" t="s">
        <v>10</v>
      </c>
    </row>
    <row r="3" spans="1:11">
      <c r="A3" s="22">
        <v>2</v>
      </c>
      <c r="B3">
        <f>B2*(366-A3)/365</f>
        <v>0.99726027397260275</v>
      </c>
      <c r="C3">
        <f>1-B3</f>
        <v>2.739726027397249E-3</v>
      </c>
      <c r="D3">
        <f t="shared" ref="D3" si="1">B2*A2/365</f>
        <v>2.7397260273972603E-3</v>
      </c>
      <c r="E3">
        <f t="shared" si="0"/>
        <v>5.4794520547945206E-3</v>
      </c>
      <c r="F3" s="14"/>
      <c r="G3" s="1" t="s">
        <v>31</v>
      </c>
      <c r="H3" t="s">
        <v>47</v>
      </c>
    </row>
    <row r="4" spans="1:11">
      <c r="A4" s="22">
        <v>3</v>
      </c>
      <c r="B4">
        <f t="shared" ref="B4:B67" si="2">B3*(366-A4)/365</f>
        <v>0.99179583411521854</v>
      </c>
      <c r="C4">
        <f t="shared" ref="C4:C67" si="3">1-B4</f>
        <v>8.2041658847814558E-3</v>
      </c>
      <c r="D4">
        <f t="shared" ref="D4:D67" si="4">B3*A3/365</f>
        <v>5.4644398573841244E-3</v>
      </c>
      <c r="E4">
        <f t="shared" ref="E4:E67" si="5">A4*D4</f>
        <v>1.6393319572152374E-2</v>
      </c>
      <c r="F4" s="14"/>
      <c r="G4" s="1" t="s">
        <v>48</v>
      </c>
      <c r="H4" t="s">
        <v>11</v>
      </c>
    </row>
    <row r="5" spans="1:11">
      <c r="A5" s="22">
        <v>4</v>
      </c>
      <c r="B5">
        <f t="shared" si="2"/>
        <v>0.98364408753344967</v>
      </c>
      <c r="C5">
        <f t="shared" si="3"/>
        <v>1.6355912466550326E-2</v>
      </c>
      <c r="D5">
        <f t="shared" si="4"/>
        <v>8.1517465817689191E-3</v>
      </c>
      <c r="E5">
        <f t="shared" si="5"/>
        <v>3.2606986327075677E-2</v>
      </c>
      <c r="F5" s="14"/>
    </row>
    <row r="6" spans="1:11">
      <c r="A6" s="22">
        <v>5</v>
      </c>
      <c r="B6">
        <f t="shared" si="2"/>
        <v>0.97286442630020631</v>
      </c>
      <c r="C6">
        <f t="shared" si="3"/>
        <v>2.7135573699793691E-2</v>
      </c>
      <c r="D6">
        <f t="shared" si="4"/>
        <v>1.0779661233243283E-2</v>
      </c>
      <c r="E6">
        <f t="shared" si="5"/>
        <v>5.3898306166216416E-2</v>
      </c>
      <c r="F6" s="14"/>
      <c r="H6" s="46" t="s">
        <v>32</v>
      </c>
      <c r="I6" s="47" t="s">
        <v>12</v>
      </c>
      <c r="J6" s="32">
        <v>1</v>
      </c>
      <c r="K6" t="s">
        <v>36</v>
      </c>
    </row>
    <row r="7" spans="1:11">
      <c r="A7" s="22">
        <v>6</v>
      </c>
      <c r="B7">
        <f t="shared" si="2"/>
        <v>0.95953751635088835</v>
      </c>
      <c r="C7">
        <f t="shared" si="3"/>
        <v>4.0462483649111647E-2</v>
      </c>
      <c r="D7">
        <f t="shared" si="4"/>
        <v>1.3326909949317895E-2</v>
      </c>
      <c r="E7">
        <f t="shared" si="5"/>
        <v>7.9961459695907372E-2</v>
      </c>
      <c r="F7" s="14"/>
      <c r="H7" s="46"/>
      <c r="I7" s="48"/>
      <c r="J7" s="16" t="s">
        <v>37</v>
      </c>
      <c r="K7" t="s">
        <v>38</v>
      </c>
    </row>
    <row r="8" spans="1:11">
      <c r="A8" s="22">
        <v>7</v>
      </c>
      <c r="B8">
        <f t="shared" si="2"/>
        <v>0.94376429690402441</v>
      </c>
      <c r="C8">
        <f t="shared" si="3"/>
        <v>5.6235703095975587E-2</v>
      </c>
      <c r="D8">
        <f t="shared" si="4"/>
        <v>1.5773219446863919E-2</v>
      </c>
      <c r="E8">
        <f t="shared" si="5"/>
        <v>0.11041253612804744</v>
      </c>
      <c r="F8" s="14"/>
    </row>
    <row r="9" spans="1:11">
      <c r="A9" s="22">
        <v>8</v>
      </c>
      <c r="B9">
        <f t="shared" si="2"/>
        <v>0.92566470764833075</v>
      </c>
      <c r="C9">
        <f t="shared" si="3"/>
        <v>7.4335292351669247E-2</v>
      </c>
      <c r="D9">
        <f t="shared" si="4"/>
        <v>1.8099589255693618E-2</v>
      </c>
      <c r="E9">
        <f t="shared" si="5"/>
        <v>0.14479671404554895</v>
      </c>
      <c r="F9" s="14"/>
      <c r="H9" s="1" t="s">
        <v>33</v>
      </c>
      <c r="I9" s="3" t="s">
        <v>34</v>
      </c>
    </row>
    <row r="10" spans="1:11">
      <c r="A10" s="22">
        <v>9</v>
      </c>
      <c r="B10">
        <f t="shared" si="2"/>
        <v>0.90537616611083305</v>
      </c>
      <c r="C10">
        <f t="shared" si="3"/>
        <v>9.4623833889166953E-2</v>
      </c>
      <c r="D10">
        <f t="shared" si="4"/>
        <v>2.0288541537497661E-2</v>
      </c>
      <c r="E10">
        <f t="shared" si="5"/>
        <v>0.18259687383747894</v>
      </c>
      <c r="F10" s="14"/>
      <c r="I10" s="3"/>
    </row>
    <row r="11" spans="1:11">
      <c r="A11" s="22">
        <v>10</v>
      </c>
      <c r="B11">
        <f t="shared" si="2"/>
        <v>0.88305182228892209</v>
      </c>
      <c r="C11">
        <f t="shared" si="3"/>
        <v>0.11694817771107791</v>
      </c>
      <c r="D11">
        <f t="shared" si="4"/>
        <v>2.2324343821910956E-2</v>
      </c>
      <c r="E11">
        <f t="shared" si="5"/>
        <v>0.22324343821910955</v>
      </c>
      <c r="F11" s="14"/>
      <c r="H11" s="49" t="s">
        <v>35</v>
      </c>
      <c r="I11" s="47" t="s">
        <v>12</v>
      </c>
      <c r="J11" s="18">
        <v>0</v>
      </c>
      <c r="K11" t="s">
        <v>36</v>
      </c>
    </row>
    <row r="12" spans="1:11">
      <c r="A12" s="22">
        <v>11</v>
      </c>
      <c r="B12">
        <f t="shared" si="2"/>
        <v>0.85885862167826665</v>
      </c>
      <c r="C12">
        <f t="shared" si="3"/>
        <v>0.14114137832173335</v>
      </c>
      <c r="D12">
        <f t="shared" si="4"/>
        <v>2.4193200610655403E-2</v>
      </c>
      <c r="E12">
        <f t="shared" si="5"/>
        <v>0.26612520671720941</v>
      </c>
      <c r="F12" s="14"/>
      <c r="H12" s="49"/>
      <c r="I12" s="48"/>
      <c r="J12" s="3" t="s">
        <v>39</v>
      </c>
      <c r="K12" t="s">
        <v>38</v>
      </c>
    </row>
    <row r="13" spans="1:11">
      <c r="A13" s="22">
        <v>12</v>
      </c>
      <c r="B13">
        <f t="shared" si="2"/>
        <v>0.83297521116193529</v>
      </c>
      <c r="C13">
        <f t="shared" si="3"/>
        <v>0.16702478883806471</v>
      </c>
      <c r="D13">
        <f t="shared" si="4"/>
        <v>2.5883410516331324E-2</v>
      </c>
      <c r="E13">
        <f t="shared" si="5"/>
        <v>0.3106009261959759</v>
      </c>
      <c r="F13" s="14"/>
    </row>
    <row r="14" spans="1:11">
      <c r="A14" s="22">
        <v>13</v>
      </c>
      <c r="B14">
        <f t="shared" si="2"/>
        <v>0.80558972476757018</v>
      </c>
      <c r="C14">
        <f t="shared" si="3"/>
        <v>0.19441027523242982</v>
      </c>
      <c r="D14">
        <f t="shared" si="4"/>
        <v>2.7385486394364996E-2</v>
      </c>
      <c r="E14">
        <f t="shared" si="5"/>
        <v>0.35601132312674494</v>
      </c>
      <c r="F14" s="14"/>
      <c r="G14" s="1" t="s">
        <v>13</v>
      </c>
      <c r="H14" t="s">
        <v>57</v>
      </c>
    </row>
    <row r="15" spans="1:11">
      <c r="A15" s="22">
        <v>14</v>
      </c>
      <c r="B15">
        <f t="shared" si="2"/>
        <v>0.77689748799502656</v>
      </c>
      <c r="C15">
        <f t="shared" si="3"/>
        <v>0.22310251200497344</v>
      </c>
      <c r="D15">
        <f t="shared" si="4"/>
        <v>2.8692236772543595E-2</v>
      </c>
      <c r="E15">
        <f t="shared" si="5"/>
        <v>0.40169131481561032</v>
      </c>
      <c r="F15" s="14"/>
      <c r="H15" t="s">
        <v>58</v>
      </c>
    </row>
    <row r="16" spans="1:11">
      <c r="A16" s="22">
        <v>15</v>
      </c>
      <c r="B16">
        <f t="shared" si="2"/>
        <v>0.74709868023631332</v>
      </c>
      <c r="C16">
        <f t="shared" si="3"/>
        <v>0.25290131976368668</v>
      </c>
      <c r="D16">
        <f t="shared" si="4"/>
        <v>2.9798807758713349E-2</v>
      </c>
      <c r="E16">
        <f t="shared" si="5"/>
        <v>0.44698211638070023</v>
      </c>
      <c r="F16" s="14"/>
    </row>
    <row r="17" spans="1:10">
      <c r="A17" s="22">
        <v>16</v>
      </c>
      <c r="B17">
        <f t="shared" si="2"/>
        <v>0.71639599474714977</v>
      </c>
      <c r="C17">
        <f t="shared" si="3"/>
        <v>0.28360400525285023</v>
      </c>
      <c r="D17">
        <f t="shared" si="4"/>
        <v>3.0702685489163561E-2</v>
      </c>
      <c r="E17">
        <f t="shared" si="5"/>
        <v>0.49124296782661697</v>
      </c>
      <c r="F17" s="14"/>
    </row>
    <row r="18" spans="1:10">
      <c r="A18" s="22">
        <v>17</v>
      </c>
      <c r="B18">
        <f t="shared" si="2"/>
        <v>0.68499233470343912</v>
      </c>
      <c r="C18">
        <f t="shared" si="3"/>
        <v>0.31500766529656088</v>
      </c>
      <c r="D18">
        <f t="shared" si="4"/>
        <v>3.1403660043710674E-2</v>
      </c>
      <c r="E18">
        <f t="shared" si="5"/>
        <v>0.53386222074308143</v>
      </c>
      <c r="F18" s="14"/>
    </row>
    <row r="19" spans="1:10">
      <c r="A19" s="22">
        <v>18</v>
      </c>
      <c r="B19">
        <f t="shared" si="2"/>
        <v>0.65308858212821053</v>
      </c>
      <c r="C19">
        <f t="shared" si="3"/>
        <v>0.34691141787178947</v>
      </c>
      <c r="D19">
        <f t="shared" si="4"/>
        <v>3.1903752575228671E-2</v>
      </c>
      <c r="E19">
        <f t="shared" si="5"/>
        <v>0.57426754635411603</v>
      </c>
      <c r="F19" s="14"/>
    </row>
    <row r="20" spans="1:10" ht="18" thickBot="1">
      <c r="A20" s="22">
        <v>19</v>
      </c>
      <c r="B20">
        <f t="shared" si="2"/>
        <v>0.62088147396846316</v>
      </c>
      <c r="C20">
        <f t="shared" si="3"/>
        <v>0.37911852603153684</v>
      </c>
      <c r="D20">
        <f t="shared" si="4"/>
        <v>3.2207108159747373E-2</v>
      </c>
      <c r="E20">
        <f t="shared" si="5"/>
        <v>0.61193505503520007</v>
      </c>
      <c r="F20" s="14"/>
    </row>
    <row r="21" spans="1:10" ht="18" thickBot="1">
      <c r="A21" s="36">
        <v>20</v>
      </c>
      <c r="B21" s="37">
        <f t="shared" si="2"/>
        <v>0.58856161641941984</v>
      </c>
      <c r="C21" s="37">
        <f t="shared" si="3"/>
        <v>0.41143838358058016</v>
      </c>
      <c r="D21" s="38">
        <f t="shared" si="4"/>
        <v>3.231985754904329E-2</v>
      </c>
      <c r="E21" s="39">
        <f t="shared" si="5"/>
        <v>0.64639715098086581</v>
      </c>
      <c r="F21" s="10"/>
    </row>
    <row r="22" spans="1:10">
      <c r="A22" s="22">
        <v>21</v>
      </c>
      <c r="B22">
        <f t="shared" si="2"/>
        <v>0.55631166483479411</v>
      </c>
      <c r="C22">
        <f t="shared" si="3"/>
        <v>0.44368833516520589</v>
      </c>
      <c r="D22">
        <f t="shared" si="4"/>
        <v>3.2249951584625743E-2</v>
      </c>
      <c r="E22">
        <f t="shared" si="5"/>
        <v>0.67724898327714056</v>
      </c>
      <c r="F22" s="14"/>
    </row>
    <row r="23" spans="1:10" ht="18" thickBot="1">
      <c r="A23" s="22">
        <v>22</v>
      </c>
      <c r="B23">
        <f t="shared" si="2"/>
        <v>0.52430469233744981</v>
      </c>
      <c r="C23">
        <f t="shared" si="3"/>
        <v>0.47569530766255019</v>
      </c>
      <c r="D23">
        <f t="shared" si="4"/>
        <v>3.2006972497344313E-2</v>
      </c>
      <c r="E23">
        <f t="shared" si="5"/>
        <v>0.70415339494157492</v>
      </c>
      <c r="F23" s="14"/>
    </row>
    <row r="24" spans="1:10" ht="18" thickBot="1">
      <c r="A24" s="35">
        <v>23</v>
      </c>
      <c r="B24">
        <f t="shared" si="2"/>
        <v>0.49270276567601445</v>
      </c>
      <c r="C24" s="44">
        <f t="shared" si="3"/>
        <v>0.50729723432398555</v>
      </c>
      <c r="D24">
        <f t="shared" si="4"/>
        <v>3.1601926661435333E-2</v>
      </c>
      <c r="E24">
        <f t="shared" si="5"/>
        <v>0.72684431321301268</v>
      </c>
      <c r="F24" s="14"/>
    </row>
    <row r="25" spans="1:10" ht="18" thickBot="1">
      <c r="A25" s="22">
        <v>24</v>
      </c>
      <c r="B25">
        <f t="shared" si="2"/>
        <v>0.46165574208547111</v>
      </c>
      <c r="C25">
        <f t="shared" si="3"/>
        <v>0.53834425791452889</v>
      </c>
      <c r="D25">
        <f t="shared" si="4"/>
        <v>3.1047023590543378E-2</v>
      </c>
      <c r="E25">
        <f t="shared" si="5"/>
        <v>0.74512856617304113</v>
      </c>
      <c r="F25" s="14"/>
    </row>
    <row r="26" spans="1:10" ht="18" thickBot="1">
      <c r="A26" s="40">
        <v>25</v>
      </c>
      <c r="B26" s="41">
        <f t="shared" si="2"/>
        <v>0.43130029603053599</v>
      </c>
      <c r="C26" s="42">
        <f t="shared" si="3"/>
        <v>0.56869970396946401</v>
      </c>
      <c r="D26" s="41">
        <f t="shared" si="4"/>
        <v>3.0355446054935085E-2</v>
      </c>
      <c r="E26" s="43">
        <f t="shared" si="5"/>
        <v>0.75888615137337712</v>
      </c>
      <c r="F26" s="10"/>
    </row>
    <row r="27" spans="1:10">
      <c r="A27" s="22">
        <v>26</v>
      </c>
      <c r="B27">
        <f t="shared" si="2"/>
        <v>0.40175917986406096</v>
      </c>
      <c r="C27">
        <f t="shared" si="3"/>
        <v>0.59824082013593904</v>
      </c>
      <c r="D27">
        <f t="shared" si="4"/>
        <v>2.9541116166475069E-2</v>
      </c>
      <c r="E27">
        <f t="shared" si="5"/>
        <v>0.76806902032835178</v>
      </c>
      <c r="F27" s="14"/>
    </row>
    <row r="28" spans="1:10">
      <c r="A28" s="22">
        <v>27</v>
      </c>
      <c r="B28">
        <f t="shared" si="2"/>
        <v>0.37314071773675794</v>
      </c>
      <c r="C28">
        <f t="shared" si="3"/>
        <v>0.62685928226324206</v>
      </c>
      <c r="D28">
        <f t="shared" si="4"/>
        <v>2.8618462127302971E-2</v>
      </c>
      <c r="E28">
        <f t="shared" si="5"/>
        <v>0.77269847743718023</v>
      </c>
      <c r="F28" s="14"/>
    </row>
    <row r="29" spans="1:10">
      <c r="A29" s="22">
        <v>28</v>
      </c>
      <c r="B29">
        <f t="shared" si="2"/>
        <v>0.34553852765760051</v>
      </c>
      <c r="C29">
        <f t="shared" si="3"/>
        <v>0.65446147234239949</v>
      </c>
      <c r="D29">
        <f t="shared" si="4"/>
        <v>2.7602190079157436E-2</v>
      </c>
      <c r="E29">
        <f t="shared" si="5"/>
        <v>0.77286132221640824</v>
      </c>
      <c r="F29" s="14"/>
      <c r="G29" s="15" t="s">
        <v>13</v>
      </c>
      <c r="H29" t="s">
        <v>54</v>
      </c>
    </row>
    <row r="30" spans="1:10">
      <c r="A30" s="22">
        <v>29</v>
      </c>
      <c r="B30">
        <f t="shared" si="2"/>
        <v>0.31903146252222297</v>
      </c>
      <c r="C30">
        <f t="shared" si="3"/>
        <v>0.68096853747777697</v>
      </c>
      <c r="D30">
        <f t="shared" si="4"/>
        <v>2.6507065135377574E-2</v>
      </c>
      <c r="E30">
        <f t="shared" si="5"/>
        <v>0.76870488892594968</v>
      </c>
      <c r="F30" s="14"/>
      <c r="G30" s="34"/>
      <c r="H30" t="s">
        <v>50</v>
      </c>
    </row>
    <row r="31" spans="1:10">
      <c r="A31" s="22">
        <v>30</v>
      </c>
      <c r="B31">
        <f t="shared" si="2"/>
        <v>0.29368375728073132</v>
      </c>
      <c r="C31">
        <f t="shared" si="3"/>
        <v>0.70631624271926863</v>
      </c>
      <c r="D31">
        <f t="shared" si="4"/>
        <v>2.5347705241491689E-2</v>
      </c>
      <c r="E31">
        <f t="shared" si="5"/>
        <v>0.76043115724475063</v>
      </c>
      <c r="F31" s="14"/>
      <c r="G31" s="34"/>
    </row>
    <row r="32" spans="1:10" ht="19.149999999999999">
      <c r="A32" s="22">
        <v>31</v>
      </c>
      <c r="B32">
        <f t="shared" si="2"/>
        <v>0.26954536627135617</v>
      </c>
      <c r="C32">
        <f t="shared" si="3"/>
        <v>0.73045463372864383</v>
      </c>
      <c r="D32">
        <f t="shared" si="4"/>
        <v>2.4138391009375176E-2</v>
      </c>
      <c r="E32">
        <f t="shared" si="5"/>
        <v>0.74829012129063044</v>
      </c>
      <c r="F32" s="14"/>
      <c r="G32" s="34"/>
      <c r="I32" s="45" t="s">
        <v>49</v>
      </c>
      <c r="J32" s="3" t="s">
        <v>46</v>
      </c>
    </row>
    <row r="33" spans="1:11">
      <c r="A33" s="22">
        <v>32</v>
      </c>
      <c r="B33">
        <f t="shared" si="2"/>
        <v>0.24665247214967936</v>
      </c>
      <c r="C33">
        <f t="shared" si="3"/>
        <v>0.75334752785032066</v>
      </c>
      <c r="D33">
        <f t="shared" si="4"/>
        <v>2.2892894121676829E-2</v>
      </c>
      <c r="E33">
        <f t="shared" si="5"/>
        <v>0.73257261189365852</v>
      </c>
      <c r="F33" s="14"/>
      <c r="G33" s="34"/>
    </row>
    <row r="34" spans="1:11">
      <c r="A34" s="22">
        <v>33</v>
      </c>
      <c r="B34">
        <f t="shared" si="2"/>
        <v>0.225028145824228</v>
      </c>
      <c r="C34">
        <f t="shared" si="3"/>
        <v>0.77497185417577197</v>
      </c>
      <c r="D34">
        <f t="shared" si="4"/>
        <v>2.1624326325451342E-2</v>
      </c>
      <c r="E34">
        <f t="shared" si="5"/>
        <v>0.71360276873989426</v>
      </c>
      <c r="F34" s="14"/>
      <c r="G34" s="34"/>
      <c r="I34" s="45" t="s">
        <v>49</v>
      </c>
      <c r="J34" s="53">
        <f>SUM(E2:E367)</f>
        <v>24.61658589459887</v>
      </c>
      <c r="K34" t="s">
        <v>53</v>
      </c>
    </row>
    <row r="35" spans="1:11">
      <c r="A35" s="22">
        <v>34</v>
      </c>
      <c r="B35">
        <f t="shared" si="2"/>
        <v>0.20468313537984573</v>
      </c>
      <c r="C35">
        <f t="shared" si="3"/>
        <v>0.79531686462015427</v>
      </c>
      <c r="D35">
        <f t="shared" si="4"/>
        <v>2.0345010444382257E-2</v>
      </c>
      <c r="E35">
        <f t="shared" si="5"/>
        <v>0.69173035510899672</v>
      </c>
      <c r="F35" s="14"/>
    </row>
    <row r="36" spans="1:11">
      <c r="A36" s="22">
        <v>35</v>
      </c>
      <c r="B36">
        <f t="shared" si="2"/>
        <v>0.18561676112528477</v>
      </c>
      <c r="C36">
        <f t="shared" si="3"/>
        <v>0.8143832388747152</v>
      </c>
      <c r="D36">
        <f t="shared" si="4"/>
        <v>1.9066374254560974E-2</v>
      </c>
      <c r="E36">
        <f t="shared" si="5"/>
        <v>0.66732309890963404</v>
      </c>
      <c r="F36" s="14"/>
    </row>
    <row r="37" spans="1:11">
      <c r="A37" s="22">
        <v>36</v>
      </c>
      <c r="B37">
        <f t="shared" si="2"/>
        <v>0.16781789362012048</v>
      </c>
      <c r="C37">
        <f t="shared" si="3"/>
        <v>0.83218210637987955</v>
      </c>
      <c r="D37">
        <f t="shared" si="4"/>
        <v>1.7798867505164292E-2</v>
      </c>
      <c r="E37">
        <f t="shared" si="5"/>
        <v>0.64075923018591452</v>
      </c>
      <c r="F37" s="14"/>
    </row>
    <row r="38" spans="1:11">
      <c r="A38" s="22">
        <v>37</v>
      </c>
      <c r="B38">
        <f t="shared" si="2"/>
        <v>0.15126599178361544</v>
      </c>
      <c r="C38">
        <f t="shared" si="3"/>
        <v>0.84873400821638456</v>
      </c>
      <c r="D38">
        <f t="shared" si="4"/>
        <v>1.6551901836505033E-2</v>
      </c>
      <c r="E38">
        <f t="shared" si="5"/>
        <v>0.61242036795068622</v>
      </c>
      <c r="F38" s="14"/>
    </row>
    <row r="39" spans="1:11">
      <c r="A39" s="22">
        <v>38</v>
      </c>
      <c r="B39">
        <f t="shared" si="2"/>
        <v>0.13593217891787909</v>
      </c>
      <c r="C39">
        <f t="shared" si="3"/>
        <v>0.86406782108212088</v>
      </c>
      <c r="D39">
        <f t="shared" si="4"/>
        <v>1.533381286573636E-2</v>
      </c>
      <c r="E39">
        <f t="shared" si="5"/>
        <v>0.58268488889798165</v>
      </c>
      <c r="F39" s="14"/>
    </row>
    <row r="40" spans="1:11">
      <c r="A40" s="22">
        <v>39</v>
      </c>
      <c r="B40">
        <f t="shared" si="2"/>
        <v>0.12178033563327798</v>
      </c>
      <c r="C40">
        <f t="shared" si="3"/>
        <v>0.87821966436672205</v>
      </c>
      <c r="D40">
        <f t="shared" si="4"/>
        <v>1.4151843284601111E-2</v>
      </c>
      <c r="E40">
        <f t="shared" si="5"/>
        <v>0.55192188809944331</v>
      </c>
      <c r="F40" s="14"/>
    </row>
    <row r="41" spans="1:11" ht="18" thickBot="1">
      <c r="A41" s="22">
        <v>40</v>
      </c>
      <c r="B41">
        <f t="shared" si="2"/>
        <v>0.10876819018205103</v>
      </c>
      <c r="C41">
        <f t="shared" si="3"/>
        <v>0.89123180981794903</v>
      </c>
      <c r="D41">
        <f t="shared" si="4"/>
        <v>1.3012145451226961E-2</v>
      </c>
      <c r="E41">
        <f t="shared" si="5"/>
        <v>0.52048581804907845</v>
      </c>
      <c r="F41" s="14"/>
    </row>
    <row r="42" spans="1:11" ht="18" thickBot="1">
      <c r="A42" s="35">
        <v>41</v>
      </c>
      <c r="B42">
        <f t="shared" si="2"/>
        <v>9.6848388518264619E-2</v>
      </c>
      <c r="C42" s="44">
        <f t="shared" si="3"/>
        <v>0.90315161148173539</v>
      </c>
      <c r="D42">
        <f t="shared" si="4"/>
        <v>1.1919801663786412E-2</v>
      </c>
      <c r="E42">
        <f t="shared" si="5"/>
        <v>0.48871186821524287</v>
      </c>
      <c r="F42" s="14"/>
    </row>
    <row r="43" spans="1:11">
      <c r="A43" s="22">
        <v>42</v>
      </c>
      <c r="B43">
        <f t="shared" si="2"/>
        <v>8.5969528438130785E-2</v>
      </c>
      <c r="C43">
        <f t="shared" si="3"/>
        <v>0.91403047156186923</v>
      </c>
      <c r="D43">
        <f t="shared" si="4"/>
        <v>1.0878860080133834E-2</v>
      </c>
      <c r="E43">
        <f t="shared" si="5"/>
        <v>0.45691212336562104</v>
      </c>
      <c r="F43" s="14"/>
    </row>
    <row r="44" spans="1:11">
      <c r="A44" s="22">
        <v>43</v>
      </c>
      <c r="B44">
        <f t="shared" si="2"/>
        <v>7.6077144343880118E-2</v>
      </c>
      <c r="C44">
        <f t="shared" si="3"/>
        <v>0.92392285565611987</v>
      </c>
      <c r="D44">
        <f t="shared" si="4"/>
        <v>9.8923840942506652E-3</v>
      </c>
      <c r="E44">
        <f t="shared" si="5"/>
        <v>0.42537251605277859</v>
      </c>
      <c r="F44" s="14"/>
    </row>
    <row r="45" spans="1:11">
      <c r="A45" s="22">
        <v>44</v>
      </c>
      <c r="B45">
        <f t="shared" si="2"/>
        <v>6.7114631448573686E-2</v>
      </c>
      <c r="C45">
        <f t="shared" si="3"/>
        <v>0.93288536855142634</v>
      </c>
      <c r="D45">
        <f t="shared" si="4"/>
        <v>8.9625128953064251E-3</v>
      </c>
      <c r="E45">
        <f t="shared" si="5"/>
        <v>0.39435056739348273</v>
      </c>
      <c r="F45" s="14"/>
    </row>
    <row r="46" spans="1:11">
      <c r="A46" s="22">
        <v>45</v>
      </c>
      <c r="B46">
        <f t="shared" si="2"/>
        <v>5.9024100534225077E-2</v>
      </c>
      <c r="C46">
        <f t="shared" si="3"/>
        <v>0.94097589946577487</v>
      </c>
      <c r="D46">
        <f t="shared" si="4"/>
        <v>8.0905309143486093E-3</v>
      </c>
      <c r="E46">
        <f t="shared" si="5"/>
        <v>0.36407389114568744</v>
      </c>
      <c r="F46" s="14"/>
    </row>
    <row r="47" spans="1:11">
      <c r="A47" s="22">
        <v>46</v>
      </c>
      <c r="B47">
        <f t="shared" si="2"/>
        <v>5.1747156632745275E-2</v>
      </c>
      <c r="C47">
        <f t="shared" si="3"/>
        <v>0.94825284336725468</v>
      </c>
      <c r="D47">
        <f t="shared" si="4"/>
        <v>7.2769439014798041E-3</v>
      </c>
      <c r="E47">
        <f t="shared" si="5"/>
        <v>0.33473941946807101</v>
      </c>
      <c r="F47" s="14"/>
    </row>
    <row r="48" spans="1:11">
      <c r="A48" s="22">
        <v>47</v>
      </c>
      <c r="B48">
        <f t="shared" si="2"/>
        <v>4.5225597166700666E-2</v>
      </c>
      <c r="C48">
        <f t="shared" si="3"/>
        <v>0.95477440283329928</v>
      </c>
      <c r="D48">
        <f t="shared" si="4"/>
        <v>6.5215594660446097E-3</v>
      </c>
      <c r="E48">
        <f t="shared" si="5"/>
        <v>0.30651329490409668</v>
      </c>
      <c r="F48" s="14"/>
    </row>
    <row r="49" spans="1:6">
      <c r="A49" s="22">
        <v>48</v>
      </c>
      <c r="B49">
        <f t="shared" si="2"/>
        <v>3.9402027120577568E-2</v>
      </c>
      <c r="C49">
        <f t="shared" si="3"/>
        <v>0.96059797287942239</v>
      </c>
      <c r="D49">
        <f t="shared" si="4"/>
        <v>5.8235700461230994E-3</v>
      </c>
      <c r="E49">
        <f t="shared" si="5"/>
        <v>0.27953136221390879</v>
      </c>
      <c r="F49" s="14"/>
    </row>
    <row r="50" spans="1:6">
      <c r="A50" s="22">
        <v>49</v>
      </c>
      <c r="B50">
        <f t="shared" si="2"/>
        <v>3.4220390677323527E-2</v>
      </c>
      <c r="C50">
        <f t="shared" si="3"/>
        <v>0.96577960932267648</v>
      </c>
      <c r="D50">
        <f t="shared" si="4"/>
        <v>5.1816364432540367E-3</v>
      </c>
      <c r="E50">
        <f t="shared" si="5"/>
        <v>0.25390018571944778</v>
      </c>
      <c r="F50" s="14"/>
    </row>
    <row r="51" spans="1:6">
      <c r="A51" s="22">
        <v>50</v>
      </c>
      <c r="B51">
        <f t="shared" si="2"/>
        <v>2.9626420422011603E-2</v>
      </c>
      <c r="C51">
        <f t="shared" si="3"/>
        <v>0.97037357957798842</v>
      </c>
      <c r="D51">
        <f t="shared" si="4"/>
        <v>4.5939702553119254E-3</v>
      </c>
      <c r="E51">
        <f t="shared" si="5"/>
        <v>0.22969851276559627</v>
      </c>
      <c r="F51" s="14"/>
    </row>
    <row r="52" spans="1:6">
      <c r="A52" s="22">
        <v>51</v>
      </c>
      <c r="B52">
        <f t="shared" si="2"/>
        <v>2.5568006665571658E-2</v>
      </c>
      <c r="C52">
        <f t="shared" si="3"/>
        <v>0.97443199333442831</v>
      </c>
      <c r="D52">
        <f t="shared" si="4"/>
        <v>4.0584137564399457E-3</v>
      </c>
      <c r="E52">
        <f t="shared" si="5"/>
        <v>0.20697910157843724</v>
      </c>
      <c r="F52" s="14"/>
    </row>
    <row r="53" spans="1:6">
      <c r="A53" s="22">
        <v>52</v>
      </c>
      <c r="B53">
        <f t="shared" si="2"/>
        <v>2.1995490665724659E-2</v>
      </c>
      <c r="C53">
        <f t="shared" si="3"/>
        <v>0.9780045093342753</v>
      </c>
      <c r="D53">
        <f t="shared" si="4"/>
        <v>3.5725159998469991E-3</v>
      </c>
      <c r="E53">
        <f t="shared" si="5"/>
        <v>0.18577083199204394</v>
      </c>
      <c r="F53" s="14"/>
    </row>
    <row r="54" spans="1:6">
      <c r="A54" s="22">
        <v>53</v>
      </c>
      <c r="B54">
        <f t="shared" si="2"/>
        <v>1.8861886516087171E-2</v>
      </c>
      <c r="C54">
        <f t="shared" si="3"/>
        <v>0.98113811348391278</v>
      </c>
      <c r="D54">
        <f t="shared" si="4"/>
        <v>3.1336041496374855E-3</v>
      </c>
      <c r="E54">
        <f t="shared" si="5"/>
        <v>0.16608101993078672</v>
      </c>
      <c r="F54" s="14"/>
    </row>
    <row r="55" spans="1:6">
      <c r="A55" s="22">
        <v>54</v>
      </c>
      <c r="B55">
        <f t="shared" si="2"/>
        <v>1.6123037241148486E-2</v>
      </c>
      <c r="C55">
        <f t="shared" si="3"/>
        <v>0.9838769627588515</v>
      </c>
      <c r="D55">
        <f t="shared" si="4"/>
        <v>2.7388492749386849E-3</v>
      </c>
      <c r="E55">
        <f t="shared" si="5"/>
        <v>0.14789786084668899</v>
      </c>
      <c r="F55" s="14"/>
    </row>
    <row r="56" spans="1:6">
      <c r="A56" s="22">
        <v>55</v>
      </c>
      <c r="B56">
        <f t="shared" si="2"/>
        <v>1.3737711183553915E-2</v>
      </c>
      <c r="C56">
        <f t="shared" si="3"/>
        <v>0.98626228881644606</v>
      </c>
      <c r="D56">
        <f t="shared" si="4"/>
        <v>2.3853260575945707E-3</v>
      </c>
      <c r="E56">
        <f t="shared" si="5"/>
        <v>0.13119293316770139</v>
      </c>
      <c r="F56" s="14"/>
    </row>
    <row r="57" spans="1:6" ht="18" thickBot="1">
      <c r="A57" s="22">
        <v>56</v>
      </c>
      <c r="B57">
        <f t="shared" si="2"/>
        <v>1.1667645114799214E-2</v>
      </c>
      <c r="C57">
        <f t="shared" si="3"/>
        <v>0.98833235488520077</v>
      </c>
      <c r="D57">
        <f t="shared" si="4"/>
        <v>2.0700660687546996E-3</v>
      </c>
      <c r="E57">
        <f t="shared" si="5"/>
        <v>0.11592369985026318</v>
      </c>
      <c r="F57" s="14"/>
    </row>
    <row r="58" spans="1:6" ht="18" thickBot="1">
      <c r="A58" s="35">
        <v>57</v>
      </c>
      <c r="B58">
        <f t="shared" si="2"/>
        <v>9.8775406588300207E-3</v>
      </c>
      <c r="C58" s="44">
        <f t="shared" si="3"/>
        <v>0.99012245934116994</v>
      </c>
      <c r="D58">
        <f t="shared" si="4"/>
        <v>1.7901044559691945E-3</v>
      </c>
      <c r="E58">
        <f t="shared" si="5"/>
        <v>0.10203595399024409</v>
      </c>
      <c r="F58" s="14"/>
    </row>
    <row r="59" spans="1:6">
      <c r="A59" s="22">
        <v>58</v>
      </c>
      <c r="B59">
        <f t="shared" si="2"/>
        <v>8.3350206107387567E-3</v>
      </c>
      <c r="C59">
        <f t="shared" si="3"/>
        <v>0.99166497938926124</v>
      </c>
      <c r="D59">
        <f t="shared" si="4"/>
        <v>1.5425200480912635E-3</v>
      </c>
      <c r="E59">
        <f t="shared" si="5"/>
        <v>8.9466162789293285E-2</v>
      </c>
      <c r="F59" s="14"/>
    </row>
    <row r="60" spans="1:6">
      <c r="A60" s="22">
        <v>59</v>
      </c>
      <c r="B60">
        <f t="shared" si="2"/>
        <v>7.0105515821830095E-3</v>
      </c>
      <c r="C60">
        <f t="shared" si="3"/>
        <v>0.992989448417817</v>
      </c>
      <c r="D60">
        <f t="shared" si="4"/>
        <v>1.3244690285557476E-3</v>
      </c>
      <c r="E60">
        <f t="shared" si="5"/>
        <v>7.8143672684789112E-2</v>
      </c>
      <c r="F60" s="14"/>
    </row>
    <row r="61" spans="1:6">
      <c r="A61" s="22">
        <v>60</v>
      </c>
      <c r="B61">
        <f t="shared" si="2"/>
        <v>5.8773391346520583E-3</v>
      </c>
      <c r="C61">
        <f t="shared" si="3"/>
        <v>0.99412266086534795</v>
      </c>
      <c r="D61">
        <f t="shared" si="4"/>
        <v>1.1332124475309522E-3</v>
      </c>
      <c r="E61">
        <f t="shared" si="5"/>
        <v>6.7992746851857133E-2</v>
      </c>
      <c r="F61" s="14"/>
    </row>
    <row r="62" spans="1:6">
      <c r="A62" s="22">
        <v>61</v>
      </c>
      <c r="B62">
        <f t="shared" si="2"/>
        <v>4.9112011947092544E-3</v>
      </c>
      <c r="C62">
        <f t="shared" si="3"/>
        <v>0.99508879880529078</v>
      </c>
      <c r="D62">
        <f t="shared" si="4"/>
        <v>9.6613793994280409E-4</v>
      </c>
      <c r="E62">
        <f t="shared" si="5"/>
        <v>5.8934414336511053E-2</v>
      </c>
      <c r="F62" s="14"/>
    </row>
    <row r="63" spans="1:6">
      <c r="A63" s="22">
        <v>62</v>
      </c>
      <c r="B63">
        <f t="shared" si="2"/>
        <v>4.0904251046345571E-3</v>
      </c>
      <c r="C63">
        <f t="shared" si="3"/>
        <v>0.99590957489536547</v>
      </c>
      <c r="D63">
        <f t="shared" si="4"/>
        <v>8.2077609007469722E-4</v>
      </c>
      <c r="E63">
        <f t="shared" si="5"/>
        <v>5.0888117584631229E-2</v>
      </c>
      <c r="F63" s="14"/>
    </row>
    <row r="64" spans="1:6">
      <c r="A64" s="22">
        <v>63</v>
      </c>
      <c r="B64">
        <f t="shared" si="2"/>
        <v>3.3956131690527965E-3</v>
      </c>
      <c r="C64">
        <f t="shared" si="3"/>
        <v>0.99660438683094721</v>
      </c>
      <c r="D64">
        <f t="shared" si="4"/>
        <v>6.9481193558176032E-4</v>
      </c>
      <c r="E64">
        <f t="shared" si="5"/>
        <v>4.3773151941650899E-2</v>
      </c>
      <c r="F64" s="14"/>
    </row>
    <row r="65" spans="1:6">
      <c r="A65" s="22">
        <v>64</v>
      </c>
      <c r="B65">
        <f t="shared" si="2"/>
        <v>2.8095210330245056E-3</v>
      </c>
      <c r="C65">
        <f t="shared" si="3"/>
        <v>0.99719047896697555</v>
      </c>
      <c r="D65">
        <f t="shared" si="4"/>
        <v>5.8609213602829092E-4</v>
      </c>
      <c r="E65">
        <f t="shared" si="5"/>
        <v>3.7509896705810619E-2</v>
      </c>
      <c r="F65" s="14"/>
    </row>
    <row r="66" spans="1:6">
      <c r="A66" s="22">
        <v>65</v>
      </c>
      <c r="B66">
        <f t="shared" si="2"/>
        <v>2.3168926875078801E-3</v>
      </c>
      <c r="C66">
        <f t="shared" si="3"/>
        <v>0.9976831073124921</v>
      </c>
      <c r="D66">
        <f t="shared" si="4"/>
        <v>4.9262834551662567E-4</v>
      </c>
      <c r="E66">
        <f t="shared" si="5"/>
        <v>3.2020842458580667E-2</v>
      </c>
      <c r="F66" s="14"/>
    </row>
    <row r="67" spans="1:6">
      <c r="A67" s="22">
        <v>66</v>
      </c>
      <c r="B67">
        <f t="shared" si="2"/>
        <v>1.9042953595955179E-3</v>
      </c>
      <c r="C67">
        <f t="shared" si="3"/>
        <v>0.99809570464040454</v>
      </c>
      <c r="D67">
        <f t="shared" si="4"/>
        <v>4.125973279123622E-4</v>
      </c>
      <c r="E67">
        <f t="shared" si="5"/>
        <v>2.7231423642215907E-2</v>
      </c>
      <c r="F67" s="14"/>
    </row>
    <row r="68" spans="1:6">
      <c r="A68" s="22">
        <v>67</v>
      </c>
      <c r="B68">
        <f t="shared" ref="B68:B131" si="6">B67*(366-A68)/365</f>
        <v>1.559957020600164E-3</v>
      </c>
      <c r="C68">
        <f t="shared" ref="C68:C131" si="7">1-B68</f>
        <v>0.99844004297939981</v>
      </c>
      <c r="D68">
        <f t="shared" ref="D68:D131" si="8">B67*A67/365</f>
        <v>3.4433833899535389E-4</v>
      </c>
      <c r="E68">
        <f t="shared" ref="E68:E131" si="9">A68*D68</f>
        <v>2.3070668712688709E-2</v>
      </c>
      <c r="F68" s="14"/>
    </row>
    <row r="69" spans="1:6">
      <c r="A69" s="22">
        <v>68</v>
      </c>
      <c r="B69">
        <f t="shared" si="6"/>
        <v>1.2736087455858874E-3</v>
      </c>
      <c r="C69">
        <f t="shared" si="7"/>
        <v>0.99872639125441409</v>
      </c>
      <c r="D69">
        <f t="shared" si="8"/>
        <v>2.8634827501427667E-4</v>
      </c>
      <c r="E69">
        <f t="shared" si="9"/>
        <v>1.9471682700970813E-2</v>
      </c>
      <c r="F69" s="14"/>
    </row>
    <row r="70" spans="1:6">
      <c r="A70" s="22">
        <v>69</v>
      </c>
      <c r="B70">
        <f t="shared" si="6"/>
        <v>1.036333691613722E-3</v>
      </c>
      <c r="C70">
        <f t="shared" si="7"/>
        <v>0.99896366630838629</v>
      </c>
      <c r="D70">
        <f t="shared" si="8"/>
        <v>2.3727505397216531E-4</v>
      </c>
      <c r="E70">
        <f t="shared" si="9"/>
        <v>1.6371978724079406E-2</v>
      </c>
      <c r="F70" s="14"/>
    </row>
    <row r="71" spans="1:6">
      <c r="A71" s="22">
        <v>70</v>
      </c>
      <c r="B71">
        <f t="shared" si="6"/>
        <v>8.4042403484290882E-4</v>
      </c>
      <c r="C71">
        <f t="shared" si="7"/>
        <v>0.99915957596515714</v>
      </c>
      <c r="D71">
        <f t="shared" si="8"/>
        <v>1.9590965677081319E-4</v>
      </c>
      <c r="E71">
        <f t="shared" si="9"/>
        <v>1.3713675973956924E-2</v>
      </c>
      <c r="F71" s="14"/>
    </row>
    <row r="72" spans="1:6">
      <c r="A72" s="22">
        <v>71</v>
      </c>
      <c r="B72">
        <f t="shared" si="6"/>
        <v>6.7924682268125515E-4</v>
      </c>
      <c r="C72">
        <f t="shared" si="7"/>
        <v>0.99932075317731872</v>
      </c>
      <c r="D72">
        <f t="shared" si="8"/>
        <v>1.6117721216165376E-4</v>
      </c>
      <c r="E72">
        <f t="shared" si="9"/>
        <v>1.1443582063477417E-2</v>
      </c>
      <c r="F72" s="14"/>
    </row>
    <row r="73" spans="1:6">
      <c r="A73" s="22">
        <v>72</v>
      </c>
      <c r="B73">
        <f t="shared" si="6"/>
        <v>5.4711935854325757E-4</v>
      </c>
      <c r="C73">
        <f t="shared" si="7"/>
        <v>0.99945288064145676</v>
      </c>
      <c r="D73">
        <f t="shared" si="8"/>
        <v>1.3212746413799757E-4</v>
      </c>
      <c r="E73">
        <f t="shared" si="9"/>
        <v>9.513177417935826E-3</v>
      </c>
      <c r="F73" s="14"/>
    </row>
    <row r="74" spans="1:6">
      <c r="A74" s="22">
        <v>73</v>
      </c>
      <c r="B74">
        <f t="shared" si="6"/>
        <v>4.3919444398129987E-4</v>
      </c>
      <c r="C74">
        <f t="shared" si="7"/>
        <v>0.99956080555601867</v>
      </c>
      <c r="D74">
        <f t="shared" si="8"/>
        <v>1.0792491456195767E-4</v>
      </c>
      <c r="E74">
        <f t="shared" si="9"/>
        <v>7.8785187630229098E-3</v>
      </c>
      <c r="F74" s="14"/>
    </row>
    <row r="75" spans="1:6">
      <c r="A75" s="22">
        <v>74</v>
      </c>
      <c r="B75">
        <f t="shared" si="6"/>
        <v>3.5135555518503989E-4</v>
      </c>
      <c r="C75">
        <f t="shared" si="7"/>
        <v>0.99964864444481494</v>
      </c>
      <c r="D75">
        <f t="shared" si="8"/>
        <v>8.7838888796259974E-5</v>
      </c>
      <c r="E75">
        <f t="shared" si="9"/>
        <v>6.5000777709232384E-3</v>
      </c>
      <c r="F75" s="14"/>
    </row>
    <row r="76" spans="1:6">
      <c r="A76" s="22">
        <v>75</v>
      </c>
      <c r="B76">
        <f t="shared" si="6"/>
        <v>2.8012182618862086E-4</v>
      </c>
      <c r="C76">
        <f t="shared" si="7"/>
        <v>0.99971987817381136</v>
      </c>
      <c r="D76">
        <f t="shared" si="8"/>
        <v>7.1233728996419044E-5</v>
      </c>
      <c r="E76">
        <f t="shared" si="9"/>
        <v>5.3425296747314282E-3</v>
      </c>
      <c r="F76" s="14"/>
    </row>
    <row r="77" spans="1:6">
      <c r="A77" s="22">
        <v>76</v>
      </c>
      <c r="B77">
        <f t="shared" si="6"/>
        <v>2.2256254683479466E-4</v>
      </c>
      <c r="C77">
        <f t="shared" si="7"/>
        <v>0.99977743745316516</v>
      </c>
      <c r="D77">
        <f t="shared" si="8"/>
        <v>5.7559279353826207E-5</v>
      </c>
      <c r="E77">
        <f t="shared" si="9"/>
        <v>4.3745052308907916E-3</v>
      </c>
      <c r="F77" s="14"/>
    </row>
    <row r="78" spans="1:6">
      <c r="A78" s="22">
        <v>77</v>
      </c>
      <c r="B78">
        <f t="shared" si="6"/>
        <v>1.7622075626097443E-4</v>
      </c>
      <c r="C78">
        <f t="shared" si="7"/>
        <v>0.999823779243739</v>
      </c>
      <c r="D78">
        <f t="shared" si="8"/>
        <v>4.6341790573820258E-5</v>
      </c>
      <c r="E78">
        <f t="shared" si="9"/>
        <v>3.5683178741841596E-3</v>
      </c>
      <c r="F78" s="14"/>
    </row>
    <row r="79" spans="1:6">
      <c r="A79" s="22">
        <v>78</v>
      </c>
      <c r="B79">
        <f t="shared" si="6"/>
        <v>1.3904541863879626E-4</v>
      </c>
      <c r="C79">
        <f t="shared" si="7"/>
        <v>0.99986095458136115</v>
      </c>
      <c r="D79">
        <f t="shared" si="8"/>
        <v>3.7175337622178169E-5</v>
      </c>
      <c r="E79">
        <f t="shared" si="9"/>
        <v>2.8996763345298972E-3</v>
      </c>
      <c r="F79" s="14"/>
    </row>
    <row r="80" spans="1:6">
      <c r="A80" s="22">
        <v>79</v>
      </c>
      <c r="B80">
        <f t="shared" si="6"/>
        <v>1.0933160314886171E-4</v>
      </c>
      <c r="C80">
        <f t="shared" si="7"/>
        <v>0.99989066839685115</v>
      </c>
      <c r="D80">
        <f t="shared" si="8"/>
        <v>2.9713815489934541E-5</v>
      </c>
      <c r="E80">
        <f t="shared" si="9"/>
        <v>2.3473914237048285E-3</v>
      </c>
      <c r="F80" s="14"/>
    </row>
    <row r="81" spans="1:6">
      <c r="A81" s="22">
        <v>80</v>
      </c>
      <c r="B81">
        <f t="shared" si="6"/>
        <v>8.5668050686505347E-5</v>
      </c>
      <c r="C81">
        <f t="shared" si="7"/>
        <v>0.99991433194931345</v>
      </c>
      <c r="D81">
        <f t="shared" si="8"/>
        <v>2.366355246235637E-5</v>
      </c>
      <c r="E81">
        <f t="shared" si="9"/>
        <v>1.8930841969885097E-3</v>
      </c>
      <c r="F81" s="14"/>
    </row>
    <row r="82" spans="1:6">
      <c r="A82" s="22">
        <v>81</v>
      </c>
      <c r="B82">
        <f t="shared" si="6"/>
        <v>6.6891491631928832E-5</v>
      </c>
      <c r="C82">
        <f t="shared" si="7"/>
        <v>0.99993310850836803</v>
      </c>
      <c r="D82">
        <f t="shared" si="8"/>
        <v>1.8776559054576515E-5</v>
      </c>
      <c r="E82">
        <f t="shared" si="9"/>
        <v>1.5209012834206978E-3</v>
      </c>
      <c r="F82" s="14"/>
    </row>
    <row r="83" spans="1:6">
      <c r="A83" s="22">
        <v>82</v>
      </c>
      <c r="B83">
        <f t="shared" si="6"/>
        <v>5.2047078420459693E-5</v>
      </c>
      <c r="C83">
        <f t="shared" si="7"/>
        <v>0.99994795292157956</v>
      </c>
      <c r="D83">
        <f t="shared" si="8"/>
        <v>1.4844413211469138E-5</v>
      </c>
      <c r="E83">
        <f t="shared" si="9"/>
        <v>1.2172418833404693E-3</v>
      </c>
      <c r="F83" s="14"/>
    </row>
    <row r="84" spans="1:6">
      <c r="A84" s="22">
        <v>83</v>
      </c>
      <c r="B84">
        <f t="shared" si="6"/>
        <v>4.0354310117781078E-5</v>
      </c>
      <c r="C84">
        <f t="shared" si="7"/>
        <v>0.99995964568988227</v>
      </c>
      <c r="D84">
        <f t="shared" si="8"/>
        <v>1.1692768302678616E-5</v>
      </c>
      <c r="E84">
        <f t="shared" si="9"/>
        <v>9.7049976912232517E-4</v>
      </c>
      <c r="F84" s="14"/>
    </row>
    <row r="85" spans="1:6">
      <c r="A85" s="22">
        <v>84</v>
      </c>
      <c r="B85">
        <f t="shared" si="6"/>
        <v>3.117785055675141E-5</v>
      </c>
      <c r="C85">
        <f t="shared" si="7"/>
        <v>0.99996882214944327</v>
      </c>
      <c r="D85">
        <f t="shared" si="8"/>
        <v>9.1764595610296693E-6</v>
      </c>
      <c r="E85">
        <f t="shared" si="9"/>
        <v>7.7082260312649222E-4</v>
      </c>
      <c r="F85" s="14"/>
    </row>
    <row r="86" spans="1:6">
      <c r="A86" s="22">
        <v>85</v>
      </c>
      <c r="B86">
        <f t="shared" si="6"/>
        <v>2.4002673990266157E-5</v>
      </c>
      <c r="C86">
        <f t="shared" si="7"/>
        <v>0.99997599732600972</v>
      </c>
      <c r="D86">
        <f t="shared" si="8"/>
        <v>7.1751765664852561E-6</v>
      </c>
      <c r="E86">
        <f t="shared" si="9"/>
        <v>6.098900081512468E-4</v>
      </c>
      <c r="F86" s="14"/>
    </row>
    <row r="87" spans="1:6">
      <c r="A87" s="22">
        <v>86</v>
      </c>
      <c r="B87">
        <f t="shared" si="6"/>
        <v>1.8413010184313765E-5</v>
      </c>
      <c r="C87">
        <f t="shared" si="7"/>
        <v>0.99998158698981565</v>
      </c>
      <c r="D87">
        <f t="shared" si="8"/>
        <v>5.5896638059523928E-6</v>
      </c>
      <c r="E87">
        <f t="shared" si="9"/>
        <v>4.8071108731190579E-4</v>
      </c>
      <c r="F87" s="14"/>
    </row>
    <row r="88" spans="1:6">
      <c r="A88" s="22">
        <v>87</v>
      </c>
      <c r="B88">
        <f t="shared" si="6"/>
        <v>1.4074602305269974E-5</v>
      </c>
      <c r="C88">
        <f t="shared" si="7"/>
        <v>0.99998592539769471</v>
      </c>
      <c r="D88">
        <f t="shared" si="8"/>
        <v>4.3384078790437917E-6</v>
      </c>
      <c r="E88">
        <f t="shared" si="9"/>
        <v>3.7744148547680986E-4</v>
      </c>
      <c r="F88" s="14"/>
    </row>
    <row r="89" spans="1:6">
      <c r="A89" s="22">
        <v>88</v>
      </c>
      <c r="B89">
        <f t="shared" si="6"/>
        <v>1.0719834084561789E-5</v>
      </c>
      <c r="C89">
        <f t="shared" si="7"/>
        <v>0.99998928016591548</v>
      </c>
      <c r="D89">
        <f t="shared" si="8"/>
        <v>3.3547682207081856E-6</v>
      </c>
      <c r="E89">
        <f t="shared" si="9"/>
        <v>2.9521960342232035E-4</v>
      </c>
      <c r="F89" s="14"/>
    </row>
    <row r="90" spans="1:6">
      <c r="A90" s="22">
        <v>89</v>
      </c>
      <c r="B90">
        <f t="shared" si="6"/>
        <v>8.1353261408866184E-6</v>
      </c>
      <c r="C90">
        <f t="shared" si="7"/>
        <v>0.99999186467385914</v>
      </c>
      <c r="D90">
        <f t="shared" si="8"/>
        <v>2.5845079436751709E-6</v>
      </c>
      <c r="E90">
        <f t="shared" si="9"/>
        <v>2.3002120698709021E-4</v>
      </c>
      <c r="F90" s="14"/>
    </row>
    <row r="91" spans="1:6">
      <c r="A91" s="22">
        <v>90</v>
      </c>
      <c r="B91">
        <f t="shared" si="6"/>
        <v>6.1516438763964572E-6</v>
      </c>
      <c r="C91">
        <f t="shared" si="7"/>
        <v>0.99999384835612359</v>
      </c>
      <c r="D91">
        <f t="shared" si="8"/>
        <v>1.9836822644901617E-6</v>
      </c>
      <c r="E91">
        <f t="shared" si="9"/>
        <v>1.7853140380411455E-4</v>
      </c>
      <c r="F91" s="14"/>
    </row>
    <row r="92" spans="1:6">
      <c r="A92" s="22">
        <v>91</v>
      </c>
      <c r="B92">
        <f t="shared" si="6"/>
        <v>4.6348001808466462E-6</v>
      </c>
      <c r="C92">
        <f t="shared" si="7"/>
        <v>0.99999536519981913</v>
      </c>
      <c r="D92">
        <f t="shared" si="8"/>
        <v>1.5168436955498114E-6</v>
      </c>
      <c r="E92">
        <f t="shared" si="9"/>
        <v>1.3803277629503285E-4</v>
      </c>
      <c r="F92" s="14"/>
    </row>
    <row r="93" spans="1:6">
      <c r="A93" s="22">
        <v>92</v>
      </c>
      <c r="B93">
        <f t="shared" si="6"/>
        <v>3.4792746563067977E-6</v>
      </c>
      <c r="C93">
        <f t="shared" si="7"/>
        <v>0.99999652072534373</v>
      </c>
      <c r="D93">
        <f t="shared" si="8"/>
        <v>1.1555255245398487E-6</v>
      </c>
      <c r="E93">
        <f t="shared" si="9"/>
        <v>1.0630834825766607E-4</v>
      </c>
      <c r="F93" s="14"/>
    </row>
    <row r="94" spans="1:6">
      <c r="A94" s="22">
        <v>93</v>
      </c>
      <c r="B94">
        <f t="shared" si="6"/>
        <v>2.6023067977308379E-6</v>
      </c>
      <c r="C94">
        <f t="shared" si="7"/>
        <v>0.99999739769320228</v>
      </c>
      <c r="D94">
        <f t="shared" si="8"/>
        <v>8.7696785857595997E-7</v>
      </c>
      <c r="E94">
        <f t="shared" si="9"/>
        <v>8.1558010847564282E-5</v>
      </c>
      <c r="F94" s="14"/>
    </row>
    <row r="95" spans="1:6">
      <c r="A95" s="22">
        <v>94</v>
      </c>
      <c r="B95">
        <f t="shared" si="6"/>
        <v>1.9392532848843504E-6</v>
      </c>
      <c r="C95">
        <f t="shared" si="7"/>
        <v>0.99999806074671516</v>
      </c>
      <c r="D95">
        <f t="shared" si="8"/>
        <v>6.6305351284648744E-7</v>
      </c>
      <c r="E95">
        <f t="shared" si="9"/>
        <v>6.2327030207569818E-5</v>
      </c>
      <c r="F95" s="14"/>
    </row>
    <row r="96" spans="1:6">
      <c r="A96" s="22">
        <v>95</v>
      </c>
      <c r="B96">
        <f t="shared" si="6"/>
        <v>1.4398291512429012E-6</v>
      </c>
      <c r="C96">
        <f t="shared" si="7"/>
        <v>0.99999856017084876</v>
      </c>
      <c r="D96">
        <f t="shared" si="8"/>
        <v>4.9942413364144918E-7</v>
      </c>
      <c r="E96">
        <f t="shared" si="9"/>
        <v>4.7445292695937675E-5</v>
      </c>
      <c r="F96" s="14"/>
    </row>
    <row r="97" spans="1:6">
      <c r="A97" s="22">
        <v>96</v>
      </c>
      <c r="B97">
        <f t="shared" si="6"/>
        <v>1.0650790981796802E-6</v>
      </c>
      <c r="C97">
        <f t="shared" si="7"/>
        <v>0.99999893492090186</v>
      </c>
      <c r="D97">
        <f t="shared" si="8"/>
        <v>3.7475005306322087E-7</v>
      </c>
      <c r="E97">
        <f t="shared" si="9"/>
        <v>3.5976005094069205E-5</v>
      </c>
      <c r="F97" s="14"/>
    </row>
    <row r="98" spans="1:6">
      <c r="A98" s="22">
        <v>97</v>
      </c>
      <c r="B98">
        <f t="shared" si="6"/>
        <v>7.8494870523379175E-7</v>
      </c>
      <c r="C98">
        <f t="shared" si="7"/>
        <v>0.99999921505129474</v>
      </c>
      <c r="D98">
        <f t="shared" si="8"/>
        <v>2.8013039294588847E-7</v>
      </c>
      <c r="E98">
        <f t="shared" si="9"/>
        <v>2.7172648115751182E-5</v>
      </c>
      <c r="F98" s="14"/>
    </row>
    <row r="99" spans="1:6">
      <c r="A99" s="22">
        <v>98</v>
      </c>
      <c r="B99">
        <f t="shared" si="6"/>
        <v>5.7634589863741415E-7</v>
      </c>
      <c r="C99">
        <f t="shared" si="7"/>
        <v>0.99999942365410133</v>
      </c>
      <c r="D99">
        <f t="shared" si="8"/>
        <v>2.0860280659637752E-7</v>
      </c>
      <c r="E99">
        <f t="shared" si="9"/>
        <v>2.0443075046444998E-5</v>
      </c>
      <c r="F99" s="14"/>
    </row>
    <row r="100" spans="1:6">
      <c r="A100" s="22">
        <v>99</v>
      </c>
      <c r="B100">
        <f t="shared" si="6"/>
        <v>4.216009724279167E-7</v>
      </c>
      <c r="C100">
        <f t="shared" si="7"/>
        <v>0.99999957839902753</v>
      </c>
      <c r="D100">
        <f t="shared" si="8"/>
        <v>1.547449262094975E-7</v>
      </c>
      <c r="E100">
        <f t="shared" si="9"/>
        <v>1.5319747694740252E-5</v>
      </c>
      <c r="F100" s="14"/>
    </row>
    <row r="101" spans="1:6">
      <c r="A101" s="22">
        <v>100</v>
      </c>
      <c r="B101">
        <f t="shared" si="6"/>
        <v>3.0724892785157762E-7</v>
      </c>
      <c r="C101">
        <f t="shared" si="7"/>
        <v>0.99999969275107214</v>
      </c>
      <c r="D101">
        <f t="shared" si="8"/>
        <v>1.1435204457633905E-7</v>
      </c>
      <c r="E101">
        <f t="shared" si="9"/>
        <v>1.1435204457633905E-5</v>
      </c>
      <c r="F101" s="14"/>
    </row>
    <row r="102" spans="1:6">
      <c r="A102" s="22">
        <v>101</v>
      </c>
      <c r="B102">
        <f t="shared" si="6"/>
        <v>2.2307113939909059E-7</v>
      </c>
      <c r="C102">
        <f t="shared" si="7"/>
        <v>0.99999977692886055</v>
      </c>
      <c r="D102">
        <f t="shared" si="8"/>
        <v>8.4177788452487012E-8</v>
      </c>
      <c r="E102">
        <f t="shared" si="9"/>
        <v>8.5019566337011881E-6</v>
      </c>
      <c r="F102" s="14"/>
    </row>
    <row r="103" spans="1:6">
      <c r="A103" s="22">
        <v>102</v>
      </c>
      <c r="B103">
        <f t="shared" si="6"/>
        <v>1.6134460493523265E-7</v>
      </c>
      <c r="C103">
        <f t="shared" si="7"/>
        <v>0.9999998386553951</v>
      </c>
      <c r="D103">
        <f t="shared" si="8"/>
        <v>6.1726534463857938E-8</v>
      </c>
      <c r="E103">
        <f t="shared" si="9"/>
        <v>6.2961065153135095E-6</v>
      </c>
      <c r="F103" s="14"/>
    </row>
    <row r="104" spans="1:6">
      <c r="A104" s="22">
        <v>103</v>
      </c>
      <c r="B104">
        <f t="shared" si="6"/>
        <v>1.1625652355607175E-7</v>
      </c>
      <c r="C104">
        <f t="shared" si="7"/>
        <v>0.99999988374347648</v>
      </c>
      <c r="D104">
        <f t="shared" si="8"/>
        <v>4.5088081379160901E-8</v>
      </c>
      <c r="E104">
        <f t="shared" si="9"/>
        <v>4.6440723820535724E-6</v>
      </c>
      <c r="F104" s="14"/>
    </row>
    <row r="105" spans="1:6">
      <c r="A105" s="22">
        <v>104</v>
      </c>
      <c r="B105">
        <f t="shared" si="6"/>
        <v>8.3449888141618628E-8</v>
      </c>
      <c r="C105">
        <f t="shared" si="7"/>
        <v>0.99999991655011189</v>
      </c>
      <c r="D105">
        <f t="shared" si="8"/>
        <v>3.2806635414453125E-8</v>
      </c>
      <c r="E105">
        <f t="shared" si="9"/>
        <v>3.411890083103125E-6</v>
      </c>
      <c r="F105" s="14"/>
    </row>
    <row r="106" spans="1:6">
      <c r="A106" s="22">
        <v>105</v>
      </c>
      <c r="B106">
        <f t="shared" si="6"/>
        <v>5.9672385767020442E-8</v>
      </c>
      <c r="C106">
        <f t="shared" si="7"/>
        <v>0.99999994032761419</v>
      </c>
      <c r="D106">
        <f t="shared" si="8"/>
        <v>2.3777502374598183E-8</v>
      </c>
      <c r="E106">
        <f t="shared" si="9"/>
        <v>2.4966377493328094E-6</v>
      </c>
      <c r="F106" s="14"/>
    </row>
    <row r="107" spans="1:6">
      <c r="A107" s="22">
        <v>106</v>
      </c>
      <c r="B107">
        <f t="shared" si="6"/>
        <v>4.2506356984726886E-8</v>
      </c>
      <c r="C107">
        <f t="shared" si="7"/>
        <v>0.99999995749364301</v>
      </c>
      <c r="D107">
        <f t="shared" si="8"/>
        <v>1.7166028782293553E-8</v>
      </c>
      <c r="E107">
        <f t="shared" si="9"/>
        <v>1.8195990509231167E-6</v>
      </c>
      <c r="F107" s="14"/>
    </row>
    <row r="108" spans="1:6">
      <c r="A108" s="22">
        <v>107</v>
      </c>
      <c r="B108">
        <f t="shared" si="6"/>
        <v>3.0162045093271953E-8</v>
      </c>
      <c r="C108">
        <f t="shared" si="7"/>
        <v>0.99999996983795492</v>
      </c>
      <c r="D108">
        <f t="shared" si="8"/>
        <v>1.234431189145493E-8</v>
      </c>
      <c r="E108">
        <f t="shared" si="9"/>
        <v>1.3208413723856775E-6</v>
      </c>
      <c r="F108" s="14"/>
    </row>
    <row r="109" spans="1:6">
      <c r="A109" s="22">
        <v>108</v>
      </c>
      <c r="B109">
        <f t="shared" si="6"/>
        <v>2.1320020915244287E-8</v>
      </c>
      <c r="C109">
        <f t="shared" si="7"/>
        <v>0.99999997867997914</v>
      </c>
      <c r="D109">
        <f t="shared" si="8"/>
        <v>8.8420241780276694E-9</v>
      </c>
      <c r="E109">
        <f t="shared" si="9"/>
        <v>9.5493861122698825E-7</v>
      </c>
      <c r="F109" s="14"/>
    </row>
    <row r="110" spans="1:6">
      <c r="A110" s="22">
        <v>109</v>
      </c>
      <c r="B110">
        <f t="shared" si="6"/>
        <v>1.5011631164980224E-8</v>
      </c>
      <c r="C110">
        <f t="shared" si="7"/>
        <v>0.99999998498836884</v>
      </c>
      <c r="D110">
        <f t="shared" si="8"/>
        <v>6.3083897502640636E-9</v>
      </c>
      <c r="E110">
        <f t="shared" si="9"/>
        <v>6.8761448277878296E-7</v>
      </c>
      <c r="F110" s="14"/>
    </row>
    <row r="111" spans="1:6">
      <c r="A111" s="22">
        <v>110</v>
      </c>
      <c r="B111">
        <f t="shared" si="6"/>
        <v>1.0528705693794349E-8</v>
      </c>
      <c r="C111">
        <f t="shared" si="7"/>
        <v>0.99999998947129431</v>
      </c>
      <c r="D111">
        <f t="shared" si="8"/>
        <v>4.4829254711858753E-9</v>
      </c>
      <c r="E111">
        <f t="shared" si="9"/>
        <v>4.9312180183044633E-7</v>
      </c>
      <c r="F111" s="14"/>
    </row>
    <row r="112" spans="1:6">
      <c r="A112" s="22">
        <v>111</v>
      </c>
      <c r="B112">
        <f t="shared" si="6"/>
        <v>7.3556711011439966E-9</v>
      </c>
      <c r="C112">
        <f t="shared" si="7"/>
        <v>0.99999999264432893</v>
      </c>
      <c r="D112">
        <f t="shared" si="8"/>
        <v>3.1730345926503517E-9</v>
      </c>
      <c r="E112">
        <f t="shared" si="9"/>
        <v>3.5220683978418906E-7</v>
      </c>
      <c r="F112" s="14"/>
    </row>
    <row r="113" spans="1:6">
      <c r="A113" s="22">
        <v>112</v>
      </c>
      <c r="B113">
        <f t="shared" si="6"/>
        <v>5.1187409854536306E-9</v>
      </c>
      <c r="C113">
        <f t="shared" si="7"/>
        <v>0.99999999488125901</v>
      </c>
      <c r="D113">
        <f t="shared" si="8"/>
        <v>2.236930115690366E-9</v>
      </c>
      <c r="E113">
        <f t="shared" si="9"/>
        <v>2.5053617295732098E-7</v>
      </c>
      <c r="F113" s="14"/>
    </row>
    <row r="114" spans="1:6">
      <c r="A114" s="22">
        <v>113</v>
      </c>
      <c r="B114">
        <f t="shared" si="6"/>
        <v>3.5480588200541604E-9</v>
      </c>
      <c r="C114">
        <f t="shared" si="7"/>
        <v>0.99999999645194115</v>
      </c>
      <c r="D114">
        <f t="shared" si="8"/>
        <v>1.5706821653994702E-9</v>
      </c>
      <c r="E114">
        <f t="shared" si="9"/>
        <v>1.7748708469014012E-7</v>
      </c>
      <c r="F114" s="14"/>
    </row>
    <row r="115" spans="1:6">
      <c r="A115" s="22">
        <v>114</v>
      </c>
      <c r="B115">
        <f t="shared" si="6"/>
        <v>2.4496186922017768E-9</v>
      </c>
      <c r="C115">
        <f t="shared" si="7"/>
        <v>0.99999999755038127</v>
      </c>
      <c r="D115">
        <f t="shared" si="8"/>
        <v>1.0984401278523839E-9</v>
      </c>
      <c r="E115">
        <f t="shared" si="9"/>
        <v>1.2522217457517177E-7</v>
      </c>
      <c r="F115" s="14"/>
    </row>
    <row r="116" spans="1:6">
      <c r="A116" s="22">
        <v>115</v>
      </c>
      <c r="B116">
        <f t="shared" si="6"/>
        <v>1.6845323061442356E-9</v>
      </c>
      <c r="C116">
        <f t="shared" si="7"/>
        <v>0.99999999831546771</v>
      </c>
      <c r="D116">
        <f t="shared" si="8"/>
        <v>7.6508638605754123E-10</v>
      </c>
      <c r="E116">
        <f t="shared" si="9"/>
        <v>8.7984934396617237E-8</v>
      </c>
      <c r="F116" s="14"/>
    </row>
    <row r="117" spans="1:6">
      <c r="A117" s="22">
        <v>116</v>
      </c>
      <c r="B117">
        <f t="shared" si="6"/>
        <v>1.153789250783723E-9</v>
      </c>
      <c r="C117">
        <f t="shared" si="7"/>
        <v>0.99999999884621071</v>
      </c>
      <c r="D117">
        <f t="shared" si="8"/>
        <v>5.3074305536051264E-10</v>
      </c>
      <c r="E117">
        <f t="shared" si="9"/>
        <v>6.1566194421819469E-8</v>
      </c>
      <c r="F117" s="14"/>
    </row>
    <row r="118" spans="1:6">
      <c r="A118" s="22">
        <v>117</v>
      </c>
      <c r="B118">
        <f t="shared" si="6"/>
        <v>7.8710554368533434E-10</v>
      </c>
      <c r="C118">
        <f t="shared" si="7"/>
        <v>0.99999999921289451</v>
      </c>
      <c r="D118">
        <f t="shared" si="8"/>
        <v>3.6668370709838866E-10</v>
      </c>
      <c r="E118">
        <f t="shared" si="9"/>
        <v>4.2901993730511472E-8</v>
      </c>
      <c r="F118" s="14"/>
    </row>
    <row r="119" spans="1:6">
      <c r="A119" s="22">
        <v>118</v>
      </c>
      <c r="B119">
        <f t="shared" si="6"/>
        <v>5.3480047899715861E-10</v>
      </c>
      <c r="C119">
        <f t="shared" si="7"/>
        <v>0.99999999946519957</v>
      </c>
      <c r="D119">
        <f t="shared" si="8"/>
        <v>2.5230506468817568E-10</v>
      </c>
      <c r="E119">
        <f t="shared" si="9"/>
        <v>2.977199763320473E-8</v>
      </c>
      <c r="F119" s="14"/>
    </row>
    <row r="120" spans="1:6">
      <c r="A120" s="22">
        <v>119</v>
      </c>
      <c r="B120">
        <f t="shared" si="6"/>
        <v>3.6190607756794016E-10</v>
      </c>
      <c r="C120">
        <f t="shared" si="7"/>
        <v>0.99999999963809394</v>
      </c>
      <c r="D120">
        <f t="shared" si="8"/>
        <v>1.728944014292184E-10</v>
      </c>
      <c r="E120">
        <f t="shared" si="9"/>
        <v>2.0574433770076988E-8</v>
      </c>
      <c r="F120" s="14"/>
    </row>
    <row r="121" spans="1:6">
      <c r="A121" s="22">
        <v>120</v>
      </c>
      <c r="B121">
        <f t="shared" si="6"/>
        <v>2.439147810457898E-10</v>
      </c>
      <c r="C121">
        <f t="shared" si="7"/>
        <v>0.99999999975608522</v>
      </c>
      <c r="D121">
        <f t="shared" si="8"/>
        <v>1.1799129652215034E-10</v>
      </c>
      <c r="E121">
        <f t="shared" si="9"/>
        <v>1.4158955582658041E-8</v>
      </c>
      <c r="F121" s="14"/>
    </row>
    <row r="122" spans="1:6">
      <c r="A122" s="22">
        <v>121</v>
      </c>
      <c r="B122">
        <f t="shared" si="6"/>
        <v>1.6372362015402331E-10</v>
      </c>
      <c r="C122">
        <f t="shared" si="7"/>
        <v>0.99999999983627641</v>
      </c>
      <c r="D122">
        <f t="shared" si="8"/>
        <v>8.019116089176652E-11</v>
      </c>
      <c r="E122">
        <f t="shared" si="9"/>
        <v>9.703130467903749E-9</v>
      </c>
      <c r="F122" s="14"/>
    </row>
    <row r="123" spans="1:6">
      <c r="A123" s="22">
        <v>122</v>
      </c>
      <c r="B123">
        <f t="shared" si="6"/>
        <v>1.09448118678306E-10</v>
      </c>
      <c r="C123">
        <f t="shared" si="7"/>
        <v>0.99999999989055188</v>
      </c>
      <c r="D123">
        <f t="shared" si="8"/>
        <v>5.4275501475717321E-11</v>
      </c>
      <c r="E123">
        <f t="shared" si="9"/>
        <v>6.6216111800375136E-9</v>
      </c>
      <c r="F123" s="14"/>
    </row>
    <row r="124" spans="1:6">
      <c r="A124" s="22">
        <v>123</v>
      </c>
      <c r="B124">
        <f t="shared" si="6"/>
        <v>7.2865459832406467E-11</v>
      </c>
      <c r="C124">
        <f t="shared" si="7"/>
        <v>0.99999999992713451</v>
      </c>
      <c r="D124">
        <f t="shared" si="8"/>
        <v>3.6582658845899536E-11</v>
      </c>
      <c r="E124">
        <f t="shared" si="9"/>
        <v>4.4996670380456432E-9</v>
      </c>
      <c r="F124" s="14"/>
    </row>
    <row r="125" spans="1:6">
      <c r="A125" s="22">
        <v>124</v>
      </c>
      <c r="B125">
        <f t="shared" si="6"/>
        <v>4.8310798025869493E-11</v>
      </c>
      <c r="C125">
        <f t="shared" si="7"/>
        <v>0.9999999999516892</v>
      </c>
      <c r="D125">
        <f t="shared" si="8"/>
        <v>2.4554661806536974E-11</v>
      </c>
      <c r="E125">
        <f t="shared" si="9"/>
        <v>3.0447780640105847E-9</v>
      </c>
      <c r="F125" s="14"/>
    </row>
    <row r="126" spans="1:6">
      <c r="A126" s="22">
        <v>125</v>
      </c>
      <c r="B126">
        <f t="shared" si="6"/>
        <v>3.189836253214945E-11</v>
      </c>
      <c r="C126">
        <f t="shared" si="7"/>
        <v>0.99999999996810163</v>
      </c>
      <c r="D126">
        <f t="shared" si="8"/>
        <v>1.6412435493720047E-11</v>
      </c>
      <c r="E126">
        <f t="shared" si="9"/>
        <v>2.051554436715006E-9</v>
      </c>
      <c r="F126" s="14"/>
    </row>
    <row r="127" spans="1:6">
      <c r="A127" s="22">
        <v>126</v>
      </c>
      <c r="B127">
        <f t="shared" si="6"/>
        <v>2.0974265774564022E-11</v>
      </c>
      <c r="C127">
        <f t="shared" si="7"/>
        <v>0.99999999997902578</v>
      </c>
      <c r="D127">
        <f t="shared" si="8"/>
        <v>1.0924096757585428E-11</v>
      </c>
      <c r="E127">
        <f t="shared" si="9"/>
        <v>1.3764361914557639E-9</v>
      </c>
      <c r="F127" s="14"/>
    </row>
    <row r="128" spans="1:6">
      <c r="A128" s="22">
        <v>127</v>
      </c>
      <c r="B128">
        <f t="shared" si="6"/>
        <v>1.3733834301700825E-11</v>
      </c>
      <c r="C128">
        <f t="shared" si="7"/>
        <v>0.99999999998626621</v>
      </c>
      <c r="D128">
        <f t="shared" si="8"/>
        <v>7.2404314728631963E-12</v>
      </c>
      <c r="E128">
        <f t="shared" si="9"/>
        <v>9.1953479705362589E-10</v>
      </c>
      <c r="F128" s="14"/>
    </row>
    <row r="129" spans="1:6">
      <c r="A129" s="22">
        <v>128</v>
      </c>
      <c r="B129">
        <f t="shared" si="6"/>
        <v>8.955212503574785E-12</v>
      </c>
      <c r="C129">
        <f t="shared" si="7"/>
        <v>0.99999999999104483</v>
      </c>
      <c r="D129">
        <f t="shared" si="8"/>
        <v>4.7786217981260404E-12</v>
      </c>
      <c r="E129">
        <f t="shared" si="9"/>
        <v>6.1166359016013317E-10</v>
      </c>
      <c r="F129" s="14"/>
    </row>
    <row r="130" spans="1:6">
      <c r="A130" s="22">
        <v>129</v>
      </c>
      <c r="B130">
        <f t="shared" si="6"/>
        <v>5.8147544201293814E-12</v>
      </c>
      <c r="C130">
        <f t="shared" si="7"/>
        <v>0.99999999999418521</v>
      </c>
      <c r="D130">
        <f t="shared" si="8"/>
        <v>3.140458083445404E-12</v>
      </c>
      <c r="E130">
        <f t="shared" si="9"/>
        <v>4.0511909276445712E-10</v>
      </c>
      <c r="F130" s="14"/>
    </row>
    <row r="131" spans="1:6">
      <c r="A131" s="22">
        <v>130</v>
      </c>
      <c r="B131">
        <f t="shared" si="6"/>
        <v>3.7596768305494079E-12</v>
      </c>
      <c r="C131">
        <f t="shared" si="7"/>
        <v>0.99999999999624034</v>
      </c>
      <c r="D131">
        <f t="shared" si="8"/>
        <v>2.0550775895799731E-12</v>
      </c>
      <c r="E131">
        <f t="shared" si="9"/>
        <v>2.671600866453965E-10</v>
      </c>
      <c r="F131" s="14"/>
    </row>
    <row r="132" spans="1:6">
      <c r="A132" s="22">
        <v>131</v>
      </c>
      <c r="B132">
        <f t="shared" ref="B132:B195" si="10">B131*(366-A132)/365</f>
        <v>2.4206138498057833E-12</v>
      </c>
      <c r="C132">
        <f t="shared" ref="C132:C195" si="11">1-B132</f>
        <v>0.99999999999757938</v>
      </c>
      <c r="D132">
        <f t="shared" ref="D132:D195" si="12">B131*A131/365</f>
        <v>1.3390629807436248E-12</v>
      </c>
      <c r="E132">
        <f t="shared" ref="E132:E195" si="13">A132*D132</f>
        <v>1.7541725047741484E-10</v>
      </c>
      <c r="F132" s="14"/>
    </row>
    <row r="133" spans="1:6">
      <c r="A133" s="22">
        <v>132</v>
      </c>
      <c r="B133">
        <f t="shared" si="10"/>
        <v>1.5518455913823378E-12</v>
      </c>
      <c r="C133">
        <f t="shared" si="11"/>
        <v>0.99999999999844813</v>
      </c>
      <c r="D133">
        <f t="shared" si="12"/>
        <v>8.6876825842344548E-13</v>
      </c>
      <c r="E133">
        <f t="shared" si="13"/>
        <v>1.146774101118948E-10</v>
      </c>
      <c r="F133" s="14"/>
    </row>
    <row r="134" spans="1:6">
      <c r="A134" s="22">
        <v>133</v>
      </c>
      <c r="B134">
        <f t="shared" si="10"/>
        <v>9.9063019943036912E-13</v>
      </c>
      <c r="C134">
        <f t="shared" si="11"/>
        <v>0.99999999999900935</v>
      </c>
      <c r="D134">
        <f t="shared" si="12"/>
        <v>5.6121539195196872E-13</v>
      </c>
      <c r="E134">
        <f t="shared" si="13"/>
        <v>7.4641647129611836E-11</v>
      </c>
      <c r="F134" s="14"/>
    </row>
    <row r="135" spans="1:6">
      <c r="A135" s="22">
        <v>134</v>
      </c>
      <c r="B135">
        <f t="shared" si="10"/>
        <v>6.296608390899881E-13</v>
      </c>
      <c r="C135">
        <f t="shared" si="11"/>
        <v>0.99999999999937039</v>
      </c>
      <c r="D135">
        <f t="shared" si="12"/>
        <v>3.6096936034038108E-13</v>
      </c>
      <c r="E135">
        <f t="shared" si="13"/>
        <v>4.8369894285611061E-11</v>
      </c>
      <c r="F135" s="14"/>
    </row>
    <row r="136" spans="1:6">
      <c r="A136" s="22">
        <v>135</v>
      </c>
      <c r="B136">
        <f t="shared" si="10"/>
        <v>3.9849768172544452E-13</v>
      </c>
      <c r="C136">
        <f t="shared" si="11"/>
        <v>0.99999999999960154</v>
      </c>
      <c r="D136">
        <f t="shared" si="12"/>
        <v>2.3116315736454358E-13</v>
      </c>
      <c r="E136">
        <f t="shared" si="13"/>
        <v>3.1207026244213383E-11</v>
      </c>
      <c r="F136" s="14"/>
    </row>
    <row r="137" spans="1:6">
      <c r="A137" s="22">
        <v>136</v>
      </c>
      <c r="B137">
        <f t="shared" si="10"/>
        <v>2.5110812821055408E-13</v>
      </c>
      <c r="C137">
        <f t="shared" si="11"/>
        <v>0.99999999999974887</v>
      </c>
      <c r="D137">
        <f t="shared" si="12"/>
        <v>1.4738955351489044E-13</v>
      </c>
      <c r="E137">
        <f t="shared" si="13"/>
        <v>2.0044979278025099E-11</v>
      </c>
      <c r="F137" s="14"/>
    </row>
    <row r="138" spans="1:6">
      <c r="A138" s="22">
        <v>137</v>
      </c>
      <c r="B138">
        <f t="shared" si="10"/>
        <v>1.5754455167182709E-13</v>
      </c>
      <c r="C138">
        <f t="shared" si="11"/>
        <v>0.99999999999984246</v>
      </c>
      <c r="D138">
        <f t="shared" si="12"/>
        <v>9.3563576538727003E-14</v>
      </c>
      <c r="E138">
        <f t="shared" si="13"/>
        <v>1.28182099858056E-11</v>
      </c>
      <c r="F138" s="14"/>
    </row>
    <row r="139" spans="1:6">
      <c r="A139" s="22">
        <v>138</v>
      </c>
      <c r="B139">
        <f t="shared" si="10"/>
        <v>9.8411391181305697E-14</v>
      </c>
      <c r="C139">
        <f t="shared" si="11"/>
        <v>0.99999999999990163</v>
      </c>
      <c r="D139">
        <f t="shared" si="12"/>
        <v>5.9133160490521393E-14</v>
      </c>
      <c r="E139">
        <f t="shared" si="13"/>
        <v>8.1603761476919526E-12</v>
      </c>
      <c r="F139" s="14"/>
    </row>
    <row r="140" spans="1:6">
      <c r="A140" s="22">
        <v>139</v>
      </c>
      <c r="B140">
        <f t="shared" si="10"/>
        <v>6.1203796707277786E-14</v>
      </c>
      <c r="C140">
        <f t="shared" si="11"/>
        <v>0.99999999999993883</v>
      </c>
      <c r="D140">
        <f t="shared" si="12"/>
        <v>3.7207594474027904E-14</v>
      </c>
      <c r="E140">
        <f t="shared" si="13"/>
        <v>5.171855631889879E-12</v>
      </c>
      <c r="F140" s="14"/>
    </row>
    <row r="141" spans="1:6">
      <c r="A141" s="22">
        <v>140</v>
      </c>
      <c r="B141">
        <f t="shared" si="10"/>
        <v>3.7896049468067891E-14</v>
      </c>
      <c r="C141">
        <f t="shared" si="11"/>
        <v>0.99999999999996214</v>
      </c>
      <c r="D141">
        <f t="shared" si="12"/>
        <v>2.3307747239209895E-14</v>
      </c>
      <c r="E141">
        <f t="shared" si="13"/>
        <v>3.2630846134893853E-12</v>
      </c>
      <c r="F141" s="14"/>
    </row>
    <row r="142" spans="1:6">
      <c r="A142" s="22">
        <v>141</v>
      </c>
      <c r="B142">
        <f t="shared" si="10"/>
        <v>2.3360578439219931E-14</v>
      </c>
      <c r="C142">
        <f t="shared" si="11"/>
        <v>0.99999999999997669</v>
      </c>
      <c r="D142">
        <f t="shared" si="12"/>
        <v>1.4535471028847957E-14</v>
      </c>
      <c r="E142">
        <f t="shared" si="13"/>
        <v>2.0495014150675619E-12</v>
      </c>
      <c r="F142" s="14"/>
    </row>
    <row r="143" spans="1:6">
      <c r="A143" s="22">
        <v>142</v>
      </c>
      <c r="B143">
        <f t="shared" si="10"/>
        <v>1.433635498735689E-14</v>
      </c>
      <c r="C143">
        <f t="shared" si="11"/>
        <v>0.99999999999998568</v>
      </c>
      <c r="D143">
        <f t="shared" si="12"/>
        <v>9.0242234518630409E-15</v>
      </c>
      <c r="E143">
        <f t="shared" si="13"/>
        <v>1.2814397301645517E-12</v>
      </c>
      <c r="F143" s="14"/>
    </row>
    <row r="144" spans="1:6">
      <c r="A144" s="22">
        <v>143</v>
      </c>
      <c r="B144">
        <f t="shared" si="10"/>
        <v>8.7589237320016068E-15</v>
      </c>
      <c r="C144">
        <f t="shared" si="11"/>
        <v>0.99999999999999123</v>
      </c>
      <c r="D144">
        <f t="shared" si="12"/>
        <v>5.5774312553552834E-15</v>
      </c>
      <c r="E144">
        <f t="shared" si="13"/>
        <v>7.975726695158055E-13</v>
      </c>
      <c r="F144" s="14"/>
    </row>
    <row r="145" spans="1:6">
      <c r="A145" s="22">
        <v>144</v>
      </c>
      <c r="B145">
        <f t="shared" si="10"/>
        <v>5.3273453931626208E-15</v>
      </c>
      <c r="C145">
        <f t="shared" si="11"/>
        <v>0.99999999999999467</v>
      </c>
      <c r="D145">
        <f t="shared" si="12"/>
        <v>3.4315783388389856E-15</v>
      </c>
      <c r="E145">
        <f t="shared" si="13"/>
        <v>4.941472807928139E-13</v>
      </c>
      <c r="F145" s="14"/>
    </row>
    <row r="146" spans="1:6">
      <c r="A146" s="22">
        <v>145</v>
      </c>
      <c r="B146">
        <f t="shared" si="10"/>
        <v>3.2255981695587378E-15</v>
      </c>
      <c r="C146">
        <f t="shared" si="11"/>
        <v>0.99999999999999678</v>
      </c>
      <c r="D146">
        <f t="shared" si="12"/>
        <v>2.1017472236038834E-15</v>
      </c>
      <c r="E146">
        <f t="shared" si="13"/>
        <v>3.0475334742256307E-13</v>
      </c>
      <c r="F146" s="14"/>
    </row>
    <row r="147" spans="1:6">
      <c r="A147" s="22">
        <v>146</v>
      </c>
      <c r="B147">
        <f t="shared" si="10"/>
        <v>1.9441961569943076E-15</v>
      </c>
      <c r="C147">
        <f t="shared" si="11"/>
        <v>0.999999999999998</v>
      </c>
      <c r="D147">
        <f t="shared" si="12"/>
        <v>1.2814020125644301E-15</v>
      </c>
      <c r="E147">
        <f t="shared" si="13"/>
        <v>1.8708469383440681E-13</v>
      </c>
      <c r="F147" s="14"/>
    </row>
    <row r="148" spans="1:6">
      <c r="A148" s="22">
        <v>147</v>
      </c>
      <c r="B148">
        <f t="shared" si="10"/>
        <v>1.1665176941965845E-15</v>
      </c>
      <c r="C148">
        <f t="shared" si="11"/>
        <v>0.99999999999999878</v>
      </c>
      <c r="D148">
        <f t="shared" si="12"/>
        <v>7.7767846279772304E-16</v>
      </c>
      <c r="E148">
        <f t="shared" si="13"/>
        <v>1.143187340312653E-13</v>
      </c>
      <c r="F148" s="14"/>
    </row>
    <row r="149" spans="1:6">
      <c r="A149" s="22">
        <v>148</v>
      </c>
      <c r="B149">
        <f t="shared" si="10"/>
        <v>6.9671467762974088E-16</v>
      </c>
      <c r="C149">
        <f t="shared" si="11"/>
        <v>0.99999999999999933</v>
      </c>
      <c r="D149">
        <f t="shared" si="12"/>
        <v>4.6980301656684363E-16</v>
      </c>
      <c r="E149">
        <f t="shared" si="13"/>
        <v>6.9530846451892855E-14</v>
      </c>
      <c r="F149" s="14"/>
    </row>
    <row r="150" spans="1:6">
      <c r="A150" s="22">
        <v>149</v>
      </c>
      <c r="B150">
        <f t="shared" si="10"/>
        <v>4.1421119190590073E-16</v>
      </c>
      <c r="C150">
        <f t="shared" si="11"/>
        <v>0.99999999999999956</v>
      </c>
      <c r="D150">
        <f t="shared" si="12"/>
        <v>2.8250348572384015E-16</v>
      </c>
      <c r="E150">
        <f t="shared" si="13"/>
        <v>4.2093019372852184E-14</v>
      </c>
      <c r="F150" s="14"/>
    </row>
    <row r="151" spans="1:6">
      <c r="A151" s="22">
        <v>150</v>
      </c>
      <c r="B151">
        <f t="shared" si="10"/>
        <v>2.4512223959362892E-16</v>
      </c>
      <c r="C151">
        <f t="shared" si="11"/>
        <v>0.99999999999999978</v>
      </c>
      <c r="D151">
        <f t="shared" si="12"/>
        <v>1.6908895231227183E-16</v>
      </c>
      <c r="E151">
        <f t="shared" si="13"/>
        <v>2.5363342846840774E-14</v>
      </c>
      <c r="F151" s="14"/>
    </row>
    <row r="152" spans="1:6">
      <c r="A152" s="22">
        <v>151</v>
      </c>
      <c r="B152">
        <f t="shared" si="10"/>
        <v>1.4438707263734305E-16</v>
      </c>
      <c r="C152">
        <f t="shared" si="11"/>
        <v>0.99999999999999989</v>
      </c>
      <c r="D152">
        <f t="shared" si="12"/>
        <v>1.0073516695628586E-16</v>
      </c>
      <c r="E152">
        <f t="shared" si="13"/>
        <v>1.5211010210399165E-14</v>
      </c>
      <c r="F152" s="14"/>
    </row>
    <row r="153" spans="1:6">
      <c r="A153" s="22">
        <v>152</v>
      </c>
      <c r="B153">
        <f t="shared" si="10"/>
        <v>8.4654338477784686E-17</v>
      </c>
      <c r="C153">
        <f t="shared" si="11"/>
        <v>0.99999999999999989</v>
      </c>
      <c r="D153">
        <f t="shared" si="12"/>
        <v>5.9732734159558352E-17</v>
      </c>
      <c r="E153">
        <f t="shared" si="13"/>
        <v>9.0793755922528696E-15</v>
      </c>
      <c r="F153" s="14"/>
    </row>
    <row r="154" spans="1:6">
      <c r="A154" s="22">
        <v>153</v>
      </c>
      <c r="B154">
        <f t="shared" si="10"/>
        <v>4.9401024919912708E-17</v>
      </c>
      <c r="C154">
        <f t="shared" si="11"/>
        <v>1</v>
      </c>
      <c r="D154">
        <f t="shared" si="12"/>
        <v>3.5253313557871978E-17</v>
      </c>
      <c r="E154">
        <f t="shared" si="13"/>
        <v>5.3937569743544129E-15</v>
      </c>
      <c r="F154" s="14"/>
    </row>
    <row r="155" spans="1:6">
      <c r="A155" s="22">
        <v>154</v>
      </c>
      <c r="B155">
        <f t="shared" si="10"/>
        <v>2.8693198035675327E-17</v>
      </c>
      <c r="C155">
        <f t="shared" si="11"/>
        <v>1</v>
      </c>
      <c r="D155">
        <f t="shared" si="12"/>
        <v>2.0707826884237381E-17</v>
      </c>
      <c r="E155">
        <f t="shared" si="13"/>
        <v>3.1890053401725568E-15</v>
      </c>
      <c r="F155" s="14"/>
    </row>
    <row r="156" spans="1:6">
      <c r="A156" s="22">
        <v>155</v>
      </c>
      <c r="B156">
        <f t="shared" si="10"/>
        <v>1.6587026809664365E-17</v>
      </c>
      <c r="C156">
        <f t="shared" si="11"/>
        <v>1</v>
      </c>
      <c r="D156">
        <f t="shared" si="12"/>
        <v>1.2106171226010959E-17</v>
      </c>
      <c r="E156">
        <f t="shared" si="13"/>
        <v>1.8764565400316988E-15</v>
      </c>
      <c r="F156" s="14"/>
    </row>
    <row r="157" spans="1:6">
      <c r="A157" s="22">
        <v>156</v>
      </c>
      <c r="B157">
        <f t="shared" si="10"/>
        <v>9.5432209041904572E-18</v>
      </c>
      <c r="C157">
        <f t="shared" si="11"/>
        <v>1</v>
      </c>
      <c r="D157">
        <f t="shared" si="12"/>
        <v>7.0438059054739081E-18</v>
      </c>
      <c r="E157">
        <f t="shared" si="13"/>
        <v>1.0988337212539296E-15</v>
      </c>
      <c r="F157" s="14"/>
    </row>
    <row r="158" spans="1:6">
      <c r="A158" s="22">
        <v>157</v>
      </c>
      <c r="B158">
        <f t="shared" si="10"/>
        <v>5.4644744355501525E-18</v>
      </c>
      <c r="C158">
        <f t="shared" si="11"/>
        <v>1</v>
      </c>
      <c r="D158">
        <f t="shared" si="12"/>
        <v>4.0787464686403047E-18</v>
      </c>
      <c r="E158">
        <f t="shared" si="13"/>
        <v>6.4036319557652788E-16</v>
      </c>
      <c r="F158" s="14"/>
    </row>
    <row r="159" spans="1:6">
      <c r="A159" s="22">
        <v>158</v>
      </c>
      <c r="B159">
        <f t="shared" si="10"/>
        <v>3.114001870121731E-18</v>
      </c>
      <c r="C159">
        <f t="shared" si="11"/>
        <v>1</v>
      </c>
      <c r="D159">
        <f t="shared" si="12"/>
        <v>2.3504725654284219E-18</v>
      </c>
      <c r="E159">
        <f t="shared" si="13"/>
        <v>3.7137466533769065E-16</v>
      </c>
      <c r="F159" s="14"/>
    </row>
    <row r="160" spans="1:6">
      <c r="A160" s="22">
        <v>159</v>
      </c>
      <c r="B160">
        <f t="shared" si="10"/>
        <v>1.7660229783978037E-18</v>
      </c>
      <c r="C160">
        <f t="shared" si="11"/>
        <v>1</v>
      </c>
      <c r="D160">
        <f t="shared" si="12"/>
        <v>1.3479788917239272E-18</v>
      </c>
      <c r="E160">
        <f t="shared" si="13"/>
        <v>2.1432864378410443E-16</v>
      </c>
      <c r="F160" s="14"/>
    </row>
    <row r="161" spans="1:6">
      <c r="A161" s="22">
        <v>160</v>
      </c>
      <c r="B161">
        <f t="shared" si="10"/>
        <v>9.9671433849300699E-19</v>
      </c>
      <c r="C161">
        <f t="shared" si="11"/>
        <v>1</v>
      </c>
      <c r="D161">
        <f t="shared" si="12"/>
        <v>7.6930863990479663E-19</v>
      </c>
      <c r="E161">
        <f t="shared" si="13"/>
        <v>1.2308938238476747E-16</v>
      </c>
      <c r="F161" s="14"/>
    </row>
    <row r="162" spans="1:6">
      <c r="A162" s="22">
        <v>161</v>
      </c>
      <c r="B162">
        <f t="shared" si="10"/>
        <v>5.5979846408511353E-19</v>
      </c>
      <c r="C162">
        <f t="shared" si="11"/>
        <v>1</v>
      </c>
      <c r="D162">
        <f t="shared" si="12"/>
        <v>4.3691587440789346E-19</v>
      </c>
      <c r="E162">
        <f t="shared" si="13"/>
        <v>7.0343455779670843E-17</v>
      </c>
      <c r="F162" s="14"/>
    </row>
    <row r="163" spans="1:6">
      <c r="A163" s="22">
        <v>162</v>
      </c>
      <c r="B163">
        <f t="shared" si="10"/>
        <v>3.1287366211880316E-19</v>
      </c>
      <c r="C163">
        <f t="shared" si="11"/>
        <v>1</v>
      </c>
      <c r="D163">
        <f t="shared" si="12"/>
        <v>2.4692480196631037E-19</v>
      </c>
      <c r="E163">
        <f t="shared" si="13"/>
        <v>4.0001817918542278E-17</v>
      </c>
      <c r="F163" s="14"/>
    </row>
    <row r="164" spans="1:6">
      <c r="A164" s="22">
        <v>163</v>
      </c>
      <c r="B164">
        <f t="shared" si="10"/>
        <v>1.7400918742497821E-19</v>
      </c>
      <c r="C164">
        <f t="shared" si="11"/>
        <v>1</v>
      </c>
      <c r="D164">
        <f t="shared" si="12"/>
        <v>1.3886447469382495E-19</v>
      </c>
      <c r="E164">
        <f t="shared" si="13"/>
        <v>2.2634909375093469E-17</v>
      </c>
      <c r="F164" s="14"/>
    </row>
    <row r="165" spans="1:6">
      <c r="A165" s="22">
        <v>164</v>
      </c>
      <c r="B165">
        <f t="shared" si="10"/>
        <v>9.6300974958481084E-20</v>
      </c>
      <c r="C165">
        <f t="shared" si="11"/>
        <v>1</v>
      </c>
      <c r="D165">
        <f t="shared" si="12"/>
        <v>7.7708212466497122E-20</v>
      </c>
      <c r="E165">
        <f t="shared" si="13"/>
        <v>1.2744146844505528E-17</v>
      </c>
      <c r="F165" s="14"/>
    </row>
    <row r="166" spans="1:6">
      <c r="A166" s="22">
        <v>165</v>
      </c>
      <c r="B166">
        <f t="shared" si="10"/>
        <v>5.3031495799053965E-20</v>
      </c>
      <c r="C166">
        <f t="shared" si="11"/>
        <v>1</v>
      </c>
      <c r="D166">
        <f t="shared" si="12"/>
        <v>4.3269479159427119E-20</v>
      </c>
      <c r="E166">
        <f t="shared" si="13"/>
        <v>7.139464061305475E-18</v>
      </c>
      <c r="F166" s="14"/>
    </row>
    <row r="167" spans="1:6">
      <c r="A167" s="22">
        <v>166</v>
      </c>
      <c r="B167">
        <f t="shared" si="10"/>
        <v>2.9058353862495324E-20</v>
      </c>
      <c r="C167">
        <f t="shared" si="11"/>
        <v>1</v>
      </c>
      <c r="D167">
        <f t="shared" si="12"/>
        <v>2.3973141936558645E-20</v>
      </c>
      <c r="E167">
        <f t="shared" si="13"/>
        <v>3.9795415614687351E-18</v>
      </c>
      <c r="F167" s="14"/>
    </row>
    <row r="168" spans="1:6">
      <c r="A168" s="22">
        <v>167</v>
      </c>
      <c r="B168">
        <f t="shared" si="10"/>
        <v>1.584277374968923E-20</v>
      </c>
      <c r="C168">
        <f t="shared" si="11"/>
        <v>1</v>
      </c>
      <c r="D168">
        <f t="shared" si="12"/>
        <v>1.3215580112806093E-20</v>
      </c>
      <c r="E168">
        <f t="shared" si="13"/>
        <v>2.2070018788386175E-18</v>
      </c>
      <c r="F168" s="14"/>
    </row>
    <row r="169" spans="1:6">
      <c r="A169" s="22">
        <v>168</v>
      </c>
      <c r="B169">
        <f t="shared" si="10"/>
        <v>8.5941621984615556E-21</v>
      </c>
      <c r="C169">
        <f t="shared" si="11"/>
        <v>1</v>
      </c>
      <c r="D169">
        <f t="shared" si="12"/>
        <v>7.2486115512276761E-21</v>
      </c>
      <c r="E169">
        <f t="shared" si="13"/>
        <v>1.2177667406062496E-18</v>
      </c>
      <c r="F169" s="14"/>
    </row>
    <row r="170" spans="1:6">
      <c r="A170" s="22">
        <v>169</v>
      </c>
      <c r="B170">
        <f t="shared" si="10"/>
        <v>4.63849302218336E-21</v>
      </c>
      <c r="C170">
        <f t="shared" si="11"/>
        <v>1</v>
      </c>
      <c r="D170">
        <f t="shared" si="12"/>
        <v>3.9556691762781956E-21</v>
      </c>
      <c r="E170">
        <f t="shared" si="13"/>
        <v>6.6850809079101509E-19</v>
      </c>
      <c r="F170" s="14"/>
    </row>
    <row r="171" spans="1:6">
      <c r="A171" s="22">
        <v>170</v>
      </c>
      <c r="B171">
        <f t="shared" si="10"/>
        <v>2.4908072119121602E-21</v>
      </c>
      <c r="C171">
        <f t="shared" si="11"/>
        <v>1</v>
      </c>
      <c r="D171">
        <f t="shared" si="12"/>
        <v>2.1476858102711994E-21</v>
      </c>
      <c r="E171">
        <f t="shared" si="13"/>
        <v>3.6510658774610391E-19</v>
      </c>
      <c r="F171" s="14"/>
    </row>
    <row r="172" spans="1:6">
      <c r="A172" s="22">
        <v>171</v>
      </c>
      <c r="B172">
        <f t="shared" si="10"/>
        <v>1.330705222802387E-21</v>
      </c>
      <c r="C172">
        <f t="shared" si="11"/>
        <v>1</v>
      </c>
      <c r="D172">
        <f t="shared" si="12"/>
        <v>1.1601019891097733E-21</v>
      </c>
      <c r="E172">
        <f t="shared" si="13"/>
        <v>1.9837744013777123E-19</v>
      </c>
      <c r="F172" s="14"/>
    </row>
    <row r="173" spans="1:6">
      <c r="A173" s="22">
        <v>172</v>
      </c>
      <c r="B173">
        <f t="shared" si="10"/>
        <v>7.0727894033880294E-22</v>
      </c>
      <c r="C173">
        <f t="shared" si="11"/>
        <v>1</v>
      </c>
      <c r="D173">
        <f t="shared" si="12"/>
        <v>6.2342628246358411E-22</v>
      </c>
      <c r="E173">
        <f t="shared" si="13"/>
        <v>1.0722932058373647E-19</v>
      </c>
      <c r="F173" s="14"/>
    </row>
    <row r="174" spans="1:6">
      <c r="A174" s="22">
        <v>173</v>
      </c>
      <c r="B174">
        <f t="shared" si="10"/>
        <v>3.7398585064490132E-22</v>
      </c>
      <c r="C174">
        <f t="shared" si="11"/>
        <v>1</v>
      </c>
      <c r="D174">
        <f t="shared" si="12"/>
        <v>3.3329308969390163E-22</v>
      </c>
      <c r="E174">
        <f t="shared" si="13"/>
        <v>5.765970451704498E-20</v>
      </c>
      <c r="F174" s="14"/>
    </row>
    <row r="175" spans="1:6">
      <c r="A175" s="22">
        <v>174</v>
      </c>
      <c r="B175">
        <f t="shared" si="10"/>
        <v>1.96726803626907E-22</v>
      </c>
      <c r="C175">
        <f t="shared" si="11"/>
        <v>1</v>
      </c>
      <c r="D175">
        <f t="shared" si="12"/>
        <v>1.7725904701799434E-22</v>
      </c>
      <c r="E175">
        <f t="shared" si="13"/>
        <v>3.0843074181131015E-20</v>
      </c>
      <c r="F175" s="14"/>
    </row>
    <row r="176" spans="1:6">
      <c r="A176" s="22">
        <v>175</v>
      </c>
      <c r="B176">
        <f t="shared" si="10"/>
        <v>1.0294471093901161E-22</v>
      </c>
      <c r="C176">
        <f t="shared" si="11"/>
        <v>1</v>
      </c>
      <c r="D176">
        <f t="shared" si="12"/>
        <v>9.3782092687895392E-23</v>
      </c>
      <c r="E176">
        <f t="shared" si="13"/>
        <v>1.6411866220381693E-20</v>
      </c>
      <c r="F176" s="14"/>
    </row>
    <row r="177" spans="1:6">
      <c r="A177" s="22">
        <v>176</v>
      </c>
      <c r="B177">
        <f t="shared" si="10"/>
        <v>5.3587657749074534E-23</v>
      </c>
      <c r="C177">
        <f t="shared" si="11"/>
        <v>1</v>
      </c>
      <c r="D177">
        <f t="shared" si="12"/>
        <v>4.9357053189937075E-23</v>
      </c>
      <c r="E177">
        <f t="shared" si="13"/>
        <v>8.686841361428925E-21</v>
      </c>
      <c r="F177" s="14"/>
    </row>
    <row r="178" spans="1:6">
      <c r="A178" s="22">
        <v>177</v>
      </c>
      <c r="B178">
        <f t="shared" si="10"/>
        <v>2.774812962897284E-23</v>
      </c>
      <c r="C178">
        <f t="shared" si="11"/>
        <v>1</v>
      </c>
      <c r="D178">
        <f t="shared" si="12"/>
        <v>2.5839528120101694E-23</v>
      </c>
      <c r="E178">
        <f t="shared" si="13"/>
        <v>4.5735964772580001E-21</v>
      </c>
      <c r="F178" s="14"/>
    </row>
    <row r="179" spans="1:6">
      <c r="A179" s="22">
        <v>178</v>
      </c>
      <c r="B179">
        <f t="shared" si="10"/>
        <v>1.4292187315744916E-23</v>
      </c>
      <c r="C179">
        <f t="shared" si="11"/>
        <v>1</v>
      </c>
      <c r="D179">
        <f t="shared" si="12"/>
        <v>1.3455942313227924E-23</v>
      </c>
      <c r="E179">
        <f t="shared" si="13"/>
        <v>2.3951577317545706E-21</v>
      </c>
      <c r="F179" s="14"/>
    </row>
    <row r="180" spans="1:6">
      <c r="A180" s="22">
        <v>179</v>
      </c>
      <c r="B180">
        <f t="shared" si="10"/>
        <v>7.3222987069706823E-24</v>
      </c>
      <c r="C180">
        <f t="shared" si="11"/>
        <v>1</v>
      </c>
      <c r="D180">
        <f t="shared" si="12"/>
        <v>6.9698886087742334E-24</v>
      </c>
      <c r="E180">
        <f t="shared" si="13"/>
        <v>1.2476100609705877E-21</v>
      </c>
      <c r="F180" s="14"/>
    </row>
    <row r="181" spans="1:6">
      <c r="A181" s="22">
        <v>180</v>
      </c>
      <c r="B181">
        <f t="shared" si="10"/>
        <v>3.7313631767028684E-24</v>
      </c>
      <c r="C181">
        <f t="shared" si="11"/>
        <v>1</v>
      </c>
      <c r="D181">
        <f t="shared" si="12"/>
        <v>3.590935530267814E-24</v>
      </c>
      <c r="E181">
        <f t="shared" si="13"/>
        <v>6.4636839544820653E-22</v>
      </c>
      <c r="F181" s="14"/>
    </row>
    <row r="182" spans="1:6">
      <c r="A182" s="22">
        <v>181</v>
      </c>
      <c r="B182">
        <f t="shared" si="10"/>
        <v>1.8912388703836456E-24</v>
      </c>
      <c r="C182">
        <f t="shared" si="11"/>
        <v>1</v>
      </c>
      <c r="D182">
        <f t="shared" si="12"/>
        <v>1.8401243063192228E-24</v>
      </c>
      <c r="E182">
        <f t="shared" si="13"/>
        <v>3.3306249944377932E-22</v>
      </c>
      <c r="F182" s="14"/>
    </row>
    <row r="183" spans="1:6">
      <c r="A183" s="22">
        <v>182</v>
      </c>
      <c r="B183">
        <f t="shared" si="10"/>
        <v>9.5339164972764603E-25</v>
      </c>
      <c r="C183">
        <f t="shared" si="11"/>
        <v>1</v>
      </c>
      <c r="D183">
        <f t="shared" si="12"/>
        <v>9.3784722065599958E-25</v>
      </c>
      <c r="E183">
        <f t="shared" si="13"/>
        <v>1.7068819415939193E-22</v>
      </c>
      <c r="F183" s="14"/>
    </row>
    <row r="184" spans="1:6">
      <c r="A184" s="22">
        <v>183</v>
      </c>
      <c r="B184">
        <f t="shared" si="10"/>
        <v>4.7800184082235399E-25</v>
      </c>
      <c r="C184">
        <f t="shared" si="11"/>
        <v>1</v>
      </c>
      <c r="D184">
        <f t="shared" si="12"/>
        <v>4.7538980890529195E-25</v>
      </c>
      <c r="E184">
        <f t="shared" si="13"/>
        <v>8.6996335029668428E-23</v>
      </c>
      <c r="F184" s="14"/>
    </row>
    <row r="185" spans="1:6">
      <c r="A185" s="22">
        <v>184</v>
      </c>
      <c r="B185">
        <f t="shared" si="10"/>
        <v>2.383461233689546E-25</v>
      </c>
      <c r="C185">
        <f t="shared" si="11"/>
        <v>1</v>
      </c>
      <c r="D185">
        <f t="shared" si="12"/>
        <v>2.3965571745339939E-25</v>
      </c>
      <c r="E185">
        <f t="shared" si="13"/>
        <v>4.4096652011425485E-23</v>
      </c>
      <c r="F185" s="14"/>
    </row>
    <row r="186" spans="1:6">
      <c r="A186" s="22">
        <v>185</v>
      </c>
      <c r="B186">
        <f t="shared" si="10"/>
        <v>1.1819355706789255E-25</v>
      </c>
      <c r="C186">
        <f t="shared" si="11"/>
        <v>1</v>
      </c>
      <c r="D186">
        <f t="shared" si="12"/>
        <v>1.2015256630106203E-25</v>
      </c>
      <c r="E186">
        <f t="shared" si="13"/>
        <v>2.2228224765696474E-23</v>
      </c>
      <c r="F186" s="14"/>
    </row>
    <row r="187" spans="1:6">
      <c r="A187" s="22">
        <v>186</v>
      </c>
      <c r="B187">
        <f t="shared" si="10"/>
        <v>5.8287233622522355E-26</v>
      </c>
      <c r="C187">
        <f t="shared" si="11"/>
        <v>1</v>
      </c>
      <c r="D187">
        <f t="shared" si="12"/>
        <v>5.9906323445370194E-26</v>
      </c>
      <c r="E187">
        <f t="shared" si="13"/>
        <v>1.1142576160838856E-23</v>
      </c>
      <c r="F187" s="14"/>
    </row>
    <row r="188" spans="1:6">
      <c r="A188" s="22">
        <v>187</v>
      </c>
      <c r="B188">
        <f t="shared" si="10"/>
        <v>2.8584698132689047E-26</v>
      </c>
      <c r="C188">
        <f t="shared" si="11"/>
        <v>1</v>
      </c>
      <c r="D188">
        <f t="shared" si="12"/>
        <v>2.9702535489833308E-26</v>
      </c>
      <c r="E188">
        <f t="shared" si="13"/>
        <v>5.5543741365988282E-24</v>
      </c>
      <c r="F188" s="14"/>
    </row>
    <row r="189" spans="1:6">
      <c r="A189" s="22">
        <v>188</v>
      </c>
      <c r="B189">
        <f t="shared" si="10"/>
        <v>1.3939934979777126E-26</v>
      </c>
      <c r="C189">
        <f t="shared" si="11"/>
        <v>1</v>
      </c>
      <c r="D189">
        <f t="shared" si="12"/>
        <v>1.4644763152911921E-26</v>
      </c>
      <c r="E189">
        <f t="shared" si="13"/>
        <v>2.7532154727474413E-24</v>
      </c>
      <c r="F189" s="14"/>
    </row>
    <row r="190" spans="1:6">
      <c r="A190" s="22">
        <v>189</v>
      </c>
      <c r="B190">
        <f t="shared" si="10"/>
        <v>6.7599136751247992E-27</v>
      </c>
      <c r="C190">
        <f t="shared" si="11"/>
        <v>1</v>
      </c>
      <c r="D190">
        <f t="shared" si="12"/>
        <v>7.1800213046523284E-27</v>
      </c>
      <c r="E190">
        <f t="shared" si="13"/>
        <v>1.35702402657929E-24</v>
      </c>
      <c r="F190" s="14"/>
    </row>
    <row r="191" spans="1:6">
      <c r="A191" s="22">
        <v>190</v>
      </c>
      <c r="B191">
        <f t="shared" si="10"/>
        <v>3.2595748132108622E-27</v>
      </c>
      <c r="C191">
        <f t="shared" si="11"/>
        <v>1</v>
      </c>
      <c r="D191">
        <f t="shared" si="12"/>
        <v>3.500338861913937E-27</v>
      </c>
      <c r="E191">
        <f t="shared" si="13"/>
        <v>6.6506438376364801E-25</v>
      </c>
      <c r="F191" s="14"/>
    </row>
    <row r="192" spans="1:6">
      <c r="A192" s="22">
        <v>191</v>
      </c>
      <c r="B192">
        <f t="shared" si="10"/>
        <v>1.5628098419504134E-27</v>
      </c>
      <c r="C192">
        <f t="shared" si="11"/>
        <v>1</v>
      </c>
      <c r="D192">
        <f t="shared" si="12"/>
        <v>1.696764971260449E-27</v>
      </c>
      <c r="E192">
        <f t="shared" si="13"/>
        <v>3.2408210951074574E-25</v>
      </c>
      <c r="F192" s="14"/>
    </row>
    <row r="193" spans="1:6">
      <c r="A193" s="22">
        <v>192</v>
      </c>
      <c r="B193">
        <f t="shared" si="10"/>
        <v>7.450107191763614E-28</v>
      </c>
      <c r="C193">
        <f t="shared" si="11"/>
        <v>1</v>
      </c>
      <c r="D193">
        <f t="shared" si="12"/>
        <v>8.1779912277405183E-28</v>
      </c>
      <c r="E193">
        <f t="shared" si="13"/>
        <v>1.5701743157261795E-25</v>
      </c>
      <c r="F193" s="14"/>
    </row>
    <row r="194" spans="1:6">
      <c r="A194" s="22">
        <v>193</v>
      </c>
      <c r="B194">
        <f t="shared" si="10"/>
        <v>3.5311466963701511E-28</v>
      </c>
      <c r="C194">
        <f t="shared" si="11"/>
        <v>1</v>
      </c>
      <c r="D194">
        <f t="shared" si="12"/>
        <v>3.9189604953934629E-28</v>
      </c>
      <c r="E194">
        <f t="shared" si="13"/>
        <v>7.5635937561093836E-26</v>
      </c>
      <c r="F194" s="14"/>
    </row>
    <row r="195" spans="1:6">
      <c r="A195" s="22">
        <v>194</v>
      </c>
      <c r="B195">
        <f t="shared" si="10"/>
        <v>1.6639924158237426E-28</v>
      </c>
      <c r="C195">
        <f t="shared" si="11"/>
        <v>1</v>
      </c>
      <c r="D195">
        <f t="shared" si="12"/>
        <v>1.8671542805464087E-28</v>
      </c>
      <c r="E195">
        <f t="shared" si="13"/>
        <v>3.6222793042600328E-26</v>
      </c>
      <c r="F195" s="14"/>
    </row>
    <row r="196" spans="1:6">
      <c r="A196" s="22">
        <v>195</v>
      </c>
      <c r="B196">
        <f t="shared" ref="B196:B259" si="14">B195*(366-A196)/365</f>
        <v>7.7956904960509585E-29</v>
      </c>
      <c r="C196">
        <f t="shared" ref="C196:C259" si="15">1-B196</f>
        <v>1</v>
      </c>
      <c r="D196">
        <f t="shared" ref="D196:D259" si="16">B195*A195/365</f>
        <v>8.8442336621864675E-29</v>
      </c>
      <c r="E196">
        <f t="shared" ref="E196:E259" si="17">A196*D196</f>
        <v>1.7246255641263613E-26</v>
      </c>
      <c r="F196" s="14"/>
    </row>
    <row r="197" spans="1:6">
      <c r="A197" s="22">
        <v>196</v>
      </c>
      <c r="B197">
        <f t="shared" si="14"/>
        <v>3.6308695461059258E-29</v>
      </c>
      <c r="C197">
        <f t="shared" si="15"/>
        <v>1</v>
      </c>
      <c r="D197">
        <f t="shared" si="16"/>
        <v>4.1648209499450322E-29</v>
      </c>
      <c r="E197">
        <f t="shared" si="17"/>
        <v>8.1630490618922637E-27</v>
      </c>
      <c r="F197" s="14"/>
    </row>
    <row r="198" spans="1:6">
      <c r="A198" s="22">
        <v>197</v>
      </c>
      <c r="B198">
        <f t="shared" si="14"/>
        <v>1.6811423377860314E-29</v>
      </c>
      <c r="C198">
        <f t="shared" si="15"/>
        <v>1</v>
      </c>
      <c r="D198">
        <f t="shared" si="16"/>
        <v>1.9497272083198944E-29</v>
      </c>
      <c r="E198">
        <f t="shared" si="17"/>
        <v>3.8409626003901917E-27</v>
      </c>
      <c r="F198" s="14"/>
    </row>
    <row r="199" spans="1:6">
      <c r="A199" s="22">
        <v>198</v>
      </c>
      <c r="B199">
        <f t="shared" si="14"/>
        <v>7.7378606232343354E-30</v>
      </c>
      <c r="C199">
        <f t="shared" si="15"/>
        <v>1</v>
      </c>
      <c r="D199">
        <f t="shared" si="16"/>
        <v>9.0735627546259775E-30</v>
      </c>
      <c r="E199">
        <f t="shared" si="17"/>
        <v>1.7965654254159435E-27</v>
      </c>
      <c r="F199" s="14"/>
    </row>
    <row r="200" spans="1:6">
      <c r="A200" s="22">
        <v>199</v>
      </c>
      <c r="B200">
        <f t="shared" si="14"/>
        <v>3.540336230356532E-30</v>
      </c>
      <c r="C200">
        <f t="shared" si="15"/>
        <v>1</v>
      </c>
      <c r="D200">
        <f t="shared" si="16"/>
        <v>4.1975243928778041E-30</v>
      </c>
      <c r="E200">
        <f t="shared" si="17"/>
        <v>8.3530735418268307E-28</v>
      </c>
      <c r="F200" s="14"/>
    </row>
    <row r="201" spans="1:6">
      <c r="A201" s="22">
        <v>200</v>
      </c>
      <c r="B201">
        <f t="shared" si="14"/>
        <v>1.6101255184635187E-30</v>
      </c>
      <c r="C201">
        <f t="shared" si="15"/>
        <v>1</v>
      </c>
      <c r="D201">
        <f t="shared" si="16"/>
        <v>1.9302107118930133E-30</v>
      </c>
      <c r="E201">
        <f t="shared" si="17"/>
        <v>3.8604214237860264E-28</v>
      </c>
      <c r="F201" s="14"/>
    </row>
    <row r="202" spans="1:6">
      <c r="A202" s="22">
        <v>201</v>
      </c>
      <c r="B202">
        <f t="shared" si="14"/>
        <v>7.2786496040131671E-31</v>
      </c>
      <c r="C202">
        <f t="shared" si="15"/>
        <v>1</v>
      </c>
      <c r="D202">
        <f t="shared" si="16"/>
        <v>8.822605580622021E-31</v>
      </c>
      <c r="E202">
        <f t="shared" si="17"/>
        <v>1.7733437217050263E-28</v>
      </c>
      <c r="F202" s="14"/>
    </row>
    <row r="203" spans="1:6">
      <c r="A203" s="22">
        <v>202</v>
      </c>
      <c r="B203">
        <f t="shared" si="14"/>
        <v>3.2704069453648201E-31</v>
      </c>
      <c r="C203">
        <f t="shared" si="15"/>
        <v>1</v>
      </c>
      <c r="D203">
        <f t="shared" si="16"/>
        <v>4.0082426586483466E-31</v>
      </c>
      <c r="E203">
        <f t="shared" si="17"/>
        <v>8.0966501704696602E-29</v>
      </c>
      <c r="F203" s="14"/>
    </row>
    <row r="204" spans="1:6">
      <c r="A204" s="22">
        <v>203</v>
      </c>
      <c r="B204">
        <f t="shared" si="14"/>
        <v>1.4604831016286728E-31</v>
      </c>
      <c r="C204">
        <f t="shared" si="15"/>
        <v>1</v>
      </c>
      <c r="D204">
        <f t="shared" si="16"/>
        <v>1.809923843736147E-31</v>
      </c>
      <c r="E204">
        <f t="shared" si="17"/>
        <v>3.6741454027843783E-29</v>
      </c>
      <c r="F204" s="14"/>
    </row>
    <row r="205" spans="1:6">
      <c r="A205" s="22">
        <v>204</v>
      </c>
      <c r="B205">
        <f t="shared" si="14"/>
        <v>6.482144177091644E-32</v>
      </c>
      <c r="C205">
        <f t="shared" si="15"/>
        <v>1</v>
      </c>
      <c r="D205">
        <f t="shared" si="16"/>
        <v>8.1226868391950852E-32</v>
      </c>
      <c r="E205">
        <f t="shared" si="17"/>
        <v>1.6570281151957973E-29</v>
      </c>
      <c r="F205" s="14"/>
    </row>
    <row r="206" spans="1:6">
      <c r="A206" s="22">
        <v>205</v>
      </c>
      <c r="B206">
        <f t="shared" si="14"/>
        <v>2.8592471575664511E-32</v>
      </c>
      <c r="C206">
        <f t="shared" si="15"/>
        <v>1</v>
      </c>
      <c r="D206">
        <f t="shared" si="16"/>
        <v>3.6228970195251929E-32</v>
      </c>
      <c r="E206">
        <f t="shared" si="17"/>
        <v>7.4269388900266451E-30</v>
      </c>
      <c r="F206" s="14"/>
    </row>
    <row r="207" spans="1:6">
      <c r="A207" s="22">
        <v>206</v>
      </c>
      <c r="B207">
        <f t="shared" si="14"/>
        <v>1.2533686170154306E-32</v>
      </c>
      <c r="C207">
        <f t="shared" si="15"/>
        <v>1</v>
      </c>
      <c r="D207">
        <f t="shared" si="16"/>
        <v>1.6058785405510205E-32</v>
      </c>
      <c r="E207">
        <f t="shared" si="17"/>
        <v>3.3081097935351022E-30</v>
      </c>
      <c r="F207" s="14"/>
    </row>
    <row r="208" spans="1:6">
      <c r="A208" s="22">
        <v>207</v>
      </c>
      <c r="B208">
        <f t="shared" si="14"/>
        <v>5.4598797289165334E-33</v>
      </c>
      <c r="C208">
        <f t="shared" si="15"/>
        <v>1</v>
      </c>
      <c r="D208">
        <f t="shared" si="16"/>
        <v>7.0738064412377725E-33</v>
      </c>
      <c r="E208">
        <f t="shared" si="17"/>
        <v>1.4642779333362189E-30</v>
      </c>
      <c r="F208" s="14"/>
    </row>
    <row r="209" spans="1:6">
      <c r="A209" s="22">
        <v>208</v>
      </c>
      <c r="B209">
        <f t="shared" si="14"/>
        <v>2.3634547867638693E-33</v>
      </c>
      <c r="C209">
        <f t="shared" si="15"/>
        <v>1</v>
      </c>
      <c r="D209">
        <f t="shared" si="16"/>
        <v>3.0964249421526641E-33</v>
      </c>
      <c r="E209">
        <f t="shared" si="17"/>
        <v>6.4405638796775413E-31</v>
      </c>
      <c r="F209" s="14"/>
    </row>
    <row r="210" spans="1:6">
      <c r="A210" s="22">
        <v>209</v>
      </c>
      <c r="B210">
        <f t="shared" si="14"/>
        <v>1.0166093192381575E-33</v>
      </c>
      <c r="C210">
        <f t="shared" si="15"/>
        <v>1</v>
      </c>
      <c r="D210">
        <f t="shared" si="16"/>
        <v>1.3468454675257118E-33</v>
      </c>
      <c r="E210">
        <f t="shared" si="17"/>
        <v>2.8149070271287377E-31</v>
      </c>
      <c r="F210" s="14"/>
    </row>
    <row r="211" spans="1:6">
      <c r="A211" s="22">
        <v>210</v>
      </c>
      <c r="B211">
        <f t="shared" si="14"/>
        <v>4.344960378113769E-34</v>
      </c>
      <c r="C211">
        <f t="shared" si="15"/>
        <v>1</v>
      </c>
      <c r="D211">
        <f t="shared" si="16"/>
        <v>5.8211328142678058E-34</v>
      </c>
      <c r="E211">
        <f t="shared" si="17"/>
        <v>1.2224378909962393E-31</v>
      </c>
      <c r="F211" s="14"/>
    </row>
    <row r="212" spans="1:6">
      <c r="A212" s="22">
        <v>211</v>
      </c>
      <c r="B212">
        <f t="shared" si="14"/>
        <v>1.8451201605688607E-34</v>
      </c>
      <c r="C212">
        <f t="shared" si="15"/>
        <v>1</v>
      </c>
      <c r="D212">
        <f t="shared" si="16"/>
        <v>2.4998402175449081E-34</v>
      </c>
      <c r="E212">
        <f t="shared" si="17"/>
        <v>5.2746628590197562E-32</v>
      </c>
      <c r="F212" s="14"/>
    </row>
    <row r="213" spans="1:6">
      <c r="A213" s="22">
        <v>212</v>
      </c>
      <c r="B213">
        <f t="shared" si="14"/>
        <v>7.7848905404823159E-35</v>
      </c>
      <c r="C213">
        <f t="shared" si="15"/>
        <v>1</v>
      </c>
      <c r="D213">
        <f t="shared" si="16"/>
        <v>1.0666311065206291E-34</v>
      </c>
      <c r="E213">
        <f t="shared" si="17"/>
        <v>2.2612579458237339E-32</v>
      </c>
      <c r="F213" s="14"/>
    </row>
    <row r="214" spans="1:6">
      <c r="A214" s="22">
        <v>213</v>
      </c>
      <c r="B214">
        <f t="shared" si="14"/>
        <v>3.263255486832313E-35</v>
      </c>
      <c r="C214">
        <f t="shared" si="15"/>
        <v>1</v>
      </c>
      <c r="D214">
        <f t="shared" si="16"/>
        <v>4.5216350536500024E-35</v>
      </c>
      <c r="E214">
        <f t="shared" si="17"/>
        <v>9.6310826642745051E-33</v>
      </c>
      <c r="F214" s="14"/>
    </row>
    <row r="215" spans="1:6">
      <c r="A215" s="22">
        <v>214</v>
      </c>
      <c r="B215">
        <f t="shared" si="14"/>
        <v>1.3589447506808536E-35</v>
      </c>
      <c r="C215">
        <f t="shared" si="15"/>
        <v>1</v>
      </c>
      <c r="D215">
        <f t="shared" si="16"/>
        <v>1.9043107361514592E-35</v>
      </c>
      <c r="E215">
        <f t="shared" si="17"/>
        <v>4.0752249753641228E-33</v>
      </c>
      <c r="F215" s="14"/>
    </row>
    <row r="216" spans="1:6">
      <c r="A216" s="22">
        <v>215</v>
      </c>
      <c r="B216">
        <f t="shared" si="14"/>
        <v>5.6219358178851747E-36</v>
      </c>
      <c r="C216">
        <f t="shared" si="15"/>
        <v>1</v>
      </c>
      <c r="D216">
        <f t="shared" si="16"/>
        <v>7.9675116889233596E-36</v>
      </c>
      <c r="E216">
        <f t="shared" si="17"/>
        <v>1.7130150131185223E-33</v>
      </c>
      <c r="F216" s="14"/>
    </row>
    <row r="217" spans="1:6">
      <c r="A217" s="22">
        <v>216</v>
      </c>
      <c r="B217">
        <f t="shared" si="14"/>
        <v>2.3103845826925374E-36</v>
      </c>
      <c r="C217">
        <f t="shared" si="15"/>
        <v>1</v>
      </c>
      <c r="D217">
        <f t="shared" si="16"/>
        <v>3.311551235192637E-36</v>
      </c>
      <c r="E217">
        <f t="shared" si="17"/>
        <v>7.1529506680160959E-34</v>
      </c>
      <c r="F217" s="14"/>
    </row>
    <row r="218" spans="1:6">
      <c r="A218" s="22">
        <v>217</v>
      </c>
      <c r="B218">
        <f t="shared" si="14"/>
        <v>9.4314329540051517E-37</v>
      </c>
      <c r="C218">
        <f t="shared" si="15"/>
        <v>1</v>
      </c>
      <c r="D218">
        <f t="shared" si="16"/>
        <v>1.3672412872920221E-36</v>
      </c>
      <c r="E218">
        <f t="shared" si="17"/>
        <v>2.9669135934236878E-34</v>
      </c>
      <c r="F218" s="14"/>
    </row>
    <row r="219" spans="1:6">
      <c r="A219" s="22">
        <v>218</v>
      </c>
      <c r="B219">
        <f t="shared" si="14"/>
        <v>3.8242522662815411E-37</v>
      </c>
      <c r="C219">
        <f t="shared" si="15"/>
        <v>1</v>
      </c>
      <c r="D219">
        <f t="shared" si="16"/>
        <v>5.6071806877236106E-37</v>
      </c>
      <c r="E219">
        <f t="shared" si="17"/>
        <v>1.2223653899237472E-34</v>
      </c>
      <c r="F219" s="14"/>
    </row>
    <row r="220" spans="1:6">
      <c r="A220" s="22">
        <v>219</v>
      </c>
      <c r="B220">
        <f t="shared" si="14"/>
        <v>1.540178309981881E-37</v>
      </c>
      <c r="C220">
        <f t="shared" si="15"/>
        <v>1</v>
      </c>
      <c r="D220">
        <f t="shared" si="16"/>
        <v>2.2840739562996603E-37</v>
      </c>
      <c r="E220">
        <f t="shared" si="17"/>
        <v>5.0021219642962557E-35</v>
      </c>
      <c r="F220" s="14"/>
    </row>
    <row r="221" spans="1:6">
      <c r="A221" s="22">
        <v>220</v>
      </c>
      <c r="B221">
        <f t="shared" si="14"/>
        <v>6.1607132399275246E-38</v>
      </c>
      <c r="C221">
        <f t="shared" si="15"/>
        <v>1</v>
      </c>
      <c r="D221">
        <f t="shared" si="16"/>
        <v>9.2410698598912859E-38</v>
      </c>
      <c r="E221">
        <f t="shared" si="17"/>
        <v>2.033035369176083E-35</v>
      </c>
      <c r="F221" s="14"/>
    </row>
    <row r="222" spans="1:6">
      <c r="A222" s="22">
        <v>221</v>
      </c>
      <c r="B222">
        <f t="shared" si="14"/>
        <v>2.4474066295602496E-38</v>
      </c>
      <c r="C222">
        <f t="shared" si="15"/>
        <v>1</v>
      </c>
      <c r="D222">
        <f t="shared" si="16"/>
        <v>3.7133066103672751E-38</v>
      </c>
      <c r="E222">
        <f t="shared" si="17"/>
        <v>8.2064076089116779E-36</v>
      </c>
      <c r="F222" s="14"/>
    </row>
    <row r="223" spans="1:6">
      <c r="A223" s="22">
        <v>222</v>
      </c>
      <c r="B223">
        <f t="shared" si="14"/>
        <v>9.6555220453883807E-39</v>
      </c>
      <c r="C223">
        <f t="shared" si="15"/>
        <v>1</v>
      </c>
      <c r="D223">
        <f t="shared" si="16"/>
        <v>1.4818544250214115E-38</v>
      </c>
      <c r="E223">
        <f t="shared" si="17"/>
        <v>3.2897168235475335E-36</v>
      </c>
      <c r="F223" s="14"/>
    </row>
    <row r="224" spans="1:6">
      <c r="A224" s="22">
        <v>223</v>
      </c>
      <c r="B224">
        <f t="shared" si="14"/>
        <v>3.7828483629877766E-39</v>
      </c>
      <c r="C224">
        <f t="shared" si="15"/>
        <v>1</v>
      </c>
      <c r="D224">
        <f t="shared" si="16"/>
        <v>5.8726736824006041E-39</v>
      </c>
      <c r="E224">
        <f t="shared" si="17"/>
        <v>1.3096062311753347E-36</v>
      </c>
      <c r="F224" s="14"/>
    </row>
    <row r="225" spans="1:6">
      <c r="A225" s="22">
        <v>224</v>
      </c>
      <c r="B225">
        <f t="shared" si="14"/>
        <v>1.4716834727240118E-39</v>
      </c>
      <c r="C225">
        <f t="shared" si="15"/>
        <v>1</v>
      </c>
      <c r="D225">
        <f t="shared" si="16"/>
        <v>2.3111648902637649E-39</v>
      </c>
      <c r="E225">
        <f t="shared" si="17"/>
        <v>5.1770093541908335E-37</v>
      </c>
      <c r="F225" s="14"/>
    </row>
    <row r="226" spans="1:6">
      <c r="A226" s="22">
        <v>225</v>
      </c>
      <c r="B226">
        <f t="shared" si="14"/>
        <v>5.6851334151804294E-40</v>
      </c>
      <c r="C226">
        <f t="shared" si="15"/>
        <v>1</v>
      </c>
      <c r="D226">
        <f t="shared" si="16"/>
        <v>9.0317013120596883E-40</v>
      </c>
      <c r="E226">
        <f t="shared" si="17"/>
        <v>2.0321327952134297E-37</v>
      </c>
      <c r="F226" s="14"/>
    </row>
    <row r="227" spans="1:6">
      <c r="A227" s="22">
        <v>226</v>
      </c>
      <c r="B227">
        <f t="shared" si="14"/>
        <v>2.1805991181513975E-40</v>
      </c>
      <c r="C227">
        <f t="shared" si="15"/>
        <v>1</v>
      </c>
      <c r="D227">
        <f t="shared" si="16"/>
        <v>3.5045342970290318E-40</v>
      </c>
      <c r="E227">
        <f t="shared" si="17"/>
        <v>7.9202475112856117E-38</v>
      </c>
      <c r="F227" s="14"/>
    </row>
    <row r="228" spans="1:6">
      <c r="A228" s="22">
        <v>227</v>
      </c>
      <c r="B228">
        <f t="shared" si="14"/>
        <v>8.3041993814532674E-41</v>
      </c>
      <c r="C228">
        <f t="shared" si="15"/>
        <v>1</v>
      </c>
      <c r="D228">
        <f t="shared" si="16"/>
        <v>1.3501791800060709E-40</v>
      </c>
      <c r="E228">
        <f t="shared" si="17"/>
        <v>3.0649067386137809E-38</v>
      </c>
      <c r="F228" s="14"/>
    </row>
    <row r="229" spans="1:6">
      <c r="A229" s="22">
        <v>228</v>
      </c>
      <c r="B229">
        <f t="shared" si="14"/>
        <v>3.1396699031247968E-41</v>
      </c>
      <c r="C229">
        <f t="shared" si="15"/>
        <v>1</v>
      </c>
      <c r="D229">
        <f t="shared" si="16"/>
        <v>5.1645294783284711E-41</v>
      </c>
      <c r="E229">
        <f t="shared" si="17"/>
        <v>1.1775127210588915E-38</v>
      </c>
      <c r="F229" s="14"/>
    </row>
    <row r="230" spans="1:6">
      <c r="A230" s="22">
        <v>229</v>
      </c>
      <c r="B230">
        <f t="shared" si="14"/>
        <v>1.1784514430906771E-41</v>
      </c>
      <c r="C230">
        <f t="shared" si="15"/>
        <v>1</v>
      </c>
      <c r="D230">
        <f t="shared" si="16"/>
        <v>1.9612184600341197E-41</v>
      </c>
      <c r="E230">
        <f t="shared" si="17"/>
        <v>4.4911902734781338E-39</v>
      </c>
      <c r="F230" s="14"/>
    </row>
    <row r="231" spans="1:6">
      <c r="A231" s="22">
        <v>230</v>
      </c>
      <c r="B231">
        <f t="shared" si="14"/>
        <v>4.39094236329677E-42</v>
      </c>
      <c r="C231">
        <f t="shared" si="15"/>
        <v>1</v>
      </c>
      <c r="D231">
        <f t="shared" si="16"/>
        <v>7.3935720676100006E-42</v>
      </c>
      <c r="E231">
        <f t="shared" si="17"/>
        <v>1.7005215755503E-39</v>
      </c>
      <c r="F231" s="14"/>
    </row>
    <row r="232" spans="1:6">
      <c r="A232" s="22">
        <v>231</v>
      </c>
      <c r="B232">
        <f t="shared" si="14"/>
        <v>1.6240471754659287E-42</v>
      </c>
      <c r="C232">
        <f t="shared" si="15"/>
        <v>1</v>
      </c>
      <c r="D232">
        <f t="shared" si="16"/>
        <v>2.7668951878308416E-42</v>
      </c>
      <c r="E232">
        <f t="shared" si="17"/>
        <v>6.3915278838892443E-40</v>
      </c>
      <c r="F232" s="14"/>
    </row>
    <row r="233" spans="1:6">
      <c r="A233" s="22">
        <v>232</v>
      </c>
      <c r="B233">
        <f t="shared" si="14"/>
        <v>5.9622553839023131E-43</v>
      </c>
      <c r="C233">
        <f t="shared" si="15"/>
        <v>1</v>
      </c>
      <c r="D233">
        <f t="shared" si="16"/>
        <v>1.0278216370756973E-42</v>
      </c>
      <c r="E233">
        <f t="shared" si="17"/>
        <v>2.3845461980156178E-40</v>
      </c>
      <c r="F233" s="14"/>
    </row>
    <row r="234" spans="1:6">
      <c r="A234" s="22">
        <v>233</v>
      </c>
      <c r="B234">
        <f t="shared" si="14"/>
        <v>2.1725478522164593E-43</v>
      </c>
      <c r="C234">
        <f t="shared" si="15"/>
        <v>1</v>
      </c>
      <c r="D234">
        <f t="shared" si="16"/>
        <v>3.7897075316858542E-43</v>
      </c>
      <c r="E234">
        <f t="shared" si="17"/>
        <v>8.8300185488280408E-41</v>
      </c>
      <c r="F234" s="14"/>
    </row>
    <row r="235" spans="1:6">
      <c r="A235" s="22">
        <v>234</v>
      </c>
      <c r="B235">
        <f t="shared" si="14"/>
        <v>7.8568853833581546E-44</v>
      </c>
      <c r="C235">
        <f t="shared" si="15"/>
        <v>1</v>
      </c>
      <c r="D235">
        <f t="shared" si="16"/>
        <v>1.3868593138806437E-43</v>
      </c>
      <c r="E235">
        <f t="shared" si="17"/>
        <v>3.2452507944807064E-41</v>
      </c>
      <c r="F235" s="14"/>
    </row>
    <row r="236" spans="1:6">
      <c r="A236" s="22">
        <v>235</v>
      </c>
      <c r="B236">
        <f t="shared" si="14"/>
        <v>2.8198684526573102E-44</v>
      </c>
      <c r="C236">
        <f t="shared" si="15"/>
        <v>1</v>
      </c>
      <c r="D236">
        <f t="shared" si="16"/>
        <v>5.0370169307008444E-44</v>
      </c>
      <c r="E236">
        <f t="shared" si="17"/>
        <v>1.1836989787146984E-41</v>
      </c>
      <c r="F236" s="14"/>
    </row>
    <row r="237" spans="1:6">
      <c r="A237" s="22">
        <v>236</v>
      </c>
      <c r="B237">
        <f t="shared" si="14"/>
        <v>1.0043367091656174E-44</v>
      </c>
      <c r="C237">
        <f t="shared" si="15"/>
        <v>1</v>
      </c>
      <c r="D237">
        <f t="shared" si="16"/>
        <v>1.8155317434916928E-44</v>
      </c>
      <c r="E237">
        <f t="shared" si="17"/>
        <v>4.2846549146403947E-42</v>
      </c>
      <c r="F237" s="14"/>
    </row>
    <row r="238" spans="1:6">
      <c r="A238" s="22">
        <v>237</v>
      </c>
      <c r="B238">
        <f t="shared" si="14"/>
        <v>3.5495735748593055E-45</v>
      </c>
      <c r="C238">
        <f t="shared" si="15"/>
        <v>1</v>
      </c>
      <c r="D238">
        <f t="shared" si="16"/>
        <v>6.4937935167968683E-45</v>
      </c>
      <c r="E238">
        <f t="shared" si="17"/>
        <v>1.5390290634808577E-42</v>
      </c>
      <c r="F238" s="14"/>
    </row>
    <row r="239" spans="1:6">
      <c r="A239" s="22">
        <v>238</v>
      </c>
      <c r="B239">
        <f t="shared" si="14"/>
        <v>1.2447819659780578E-45</v>
      </c>
      <c r="C239">
        <f t="shared" si="15"/>
        <v>1</v>
      </c>
      <c r="D239">
        <f t="shared" si="16"/>
        <v>2.3047916088812478E-45</v>
      </c>
      <c r="E239">
        <f t="shared" si="17"/>
        <v>5.4854040291373698E-43</v>
      </c>
      <c r="F239" s="14"/>
    </row>
    <row r="240" spans="1:6">
      <c r="A240" s="22">
        <v>239</v>
      </c>
      <c r="B240">
        <f t="shared" si="14"/>
        <v>4.3311591692935164E-46</v>
      </c>
      <c r="C240">
        <f t="shared" si="15"/>
        <v>1</v>
      </c>
      <c r="D240">
        <f t="shared" si="16"/>
        <v>8.1166604904870613E-46</v>
      </c>
      <c r="E240">
        <f t="shared" si="17"/>
        <v>1.9398818572264075E-43</v>
      </c>
      <c r="F240" s="14"/>
    </row>
    <row r="241" spans="1:6">
      <c r="A241" s="22">
        <v>240</v>
      </c>
      <c r="B241">
        <f t="shared" si="14"/>
        <v>1.4951398776191318E-46</v>
      </c>
      <c r="C241">
        <f t="shared" si="15"/>
        <v>1</v>
      </c>
      <c r="D241">
        <f t="shared" si="16"/>
        <v>2.836019291674385E-46</v>
      </c>
      <c r="E241">
        <f t="shared" si="17"/>
        <v>6.8064463000185243E-44</v>
      </c>
      <c r="F241" s="14"/>
    </row>
    <row r="242" spans="1:6">
      <c r="A242" s="22">
        <v>241</v>
      </c>
      <c r="B242">
        <f t="shared" si="14"/>
        <v>5.1203420466408619E-47</v>
      </c>
      <c r="C242">
        <f t="shared" si="15"/>
        <v>1</v>
      </c>
      <c r="D242">
        <f t="shared" si="16"/>
        <v>9.8310567295504553E-47</v>
      </c>
      <c r="E242">
        <f t="shared" si="17"/>
        <v>2.3692846718216598E-44</v>
      </c>
      <c r="F242" s="14"/>
    </row>
    <row r="243" spans="1:6">
      <c r="A243" s="22">
        <v>242</v>
      </c>
      <c r="B243">
        <f t="shared" si="14"/>
        <v>1.7395134624204572E-47</v>
      </c>
      <c r="C243">
        <f t="shared" si="15"/>
        <v>1</v>
      </c>
      <c r="D243">
        <f t="shared" si="16"/>
        <v>3.3808285842204047E-47</v>
      </c>
      <c r="E243">
        <f t="shared" si="17"/>
        <v>8.1816051738133793E-45</v>
      </c>
      <c r="F243" s="14"/>
    </row>
    <row r="244" spans="1:6">
      <c r="A244" s="22">
        <v>243</v>
      </c>
      <c r="B244">
        <f t="shared" si="14"/>
        <v>5.8619220788415411E-48</v>
      </c>
      <c r="C244">
        <f t="shared" si="15"/>
        <v>1</v>
      </c>
      <c r="D244">
        <f t="shared" si="16"/>
        <v>1.1533212545363032E-47</v>
      </c>
      <c r="E244">
        <f t="shared" si="17"/>
        <v>2.8025706485232168E-45</v>
      </c>
      <c r="F244" s="14"/>
    </row>
    <row r="245" spans="1:6">
      <c r="A245" s="22">
        <v>244</v>
      </c>
      <c r="B245">
        <f t="shared" si="14"/>
        <v>1.9593273797771726E-48</v>
      </c>
      <c r="C245">
        <f t="shared" si="15"/>
        <v>1</v>
      </c>
      <c r="D245">
        <f t="shared" si="16"/>
        <v>3.9025946990643685E-48</v>
      </c>
      <c r="E245">
        <f t="shared" si="17"/>
        <v>9.5223310657170591E-46</v>
      </c>
      <c r="F245" s="14"/>
    </row>
    <row r="246" spans="1:6">
      <c r="A246" s="22">
        <v>245</v>
      </c>
      <c r="B246">
        <f t="shared" si="14"/>
        <v>6.4953044644667916E-49</v>
      </c>
      <c r="C246">
        <f t="shared" si="15"/>
        <v>1</v>
      </c>
      <c r="D246">
        <f t="shared" si="16"/>
        <v>1.3097969333304935E-48</v>
      </c>
      <c r="E246">
        <f t="shared" si="17"/>
        <v>3.209002486659709E-46</v>
      </c>
      <c r="F246" s="14"/>
    </row>
    <row r="247" spans="1:6">
      <c r="A247" s="22">
        <v>246</v>
      </c>
      <c r="B247">
        <f t="shared" si="14"/>
        <v>2.1354425636603151E-49</v>
      </c>
      <c r="C247">
        <f t="shared" si="15"/>
        <v>1</v>
      </c>
      <c r="D247">
        <f t="shared" si="16"/>
        <v>4.3598619008064762E-49</v>
      </c>
      <c r="E247">
        <f t="shared" si="17"/>
        <v>1.0725260275983931E-46</v>
      </c>
      <c r="F247" s="14"/>
    </row>
    <row r="248" spans="1:6">
      <c r="A248" s="22">
        <v>247</v>
      </c>
      <c r="B248">
        <f t="shared" si="14"/>
        <v>6.9621278102897944E-50</v>
      </c>
      <c r="C248">
        <f t="shared" si="15"/>
        <v>1</v>
      </c>
      <c r="D248">
        <f t="shared" si="16"/>
        <v>1.4392297826313355E-49</v>
      </c>
      <c r="E248">
        <f t="shared" si="17"/>
        <v>3.5548975630993983E-47</v>
      </c>
      <c r="F248" s="14"/>
    </row>
    <row r="249" spans="1:6">
      <c r="A249" s="22">
        <v>248</v>
      </c>
      <c r="B249">
        <f t="shared" si="14"/>
        <v>2.2507700866142351E-50</v>
      </c>
      <c r="C249">
        <f t="shared" si="15"/>
        <v>1</v>
      </c>
      <c r="D249">
        <f t="shared" si="16"/>
        <v>4.7113577236755597E-50</v>
      </c>
      <c r="E249">
        <f t="shared" si="17"/>
        <v>1.1684167154715388E-47</v>
      </c>
      <c r="F249" s="14"/>
    </row>
    <row r="250" spans="1:6">
      <c r="A250" s="22">
        <v>249</v>
      </c>
      <c r="B250">
        <f t="shared" si="14"/>
        <v>7.2147972639415214E-51</v>
      </c>
      <c r="C250">
        <f t="shared" si="15"/>
        <v>1</v>
      </c>
      <c r="D250">
        <f t="shared" si="16"/>
        <v>1.5292903602200828E-50</v>
      </c>
      <c r="E250">
        <f t="shared" si="17"/>
        <v>3.8079329969480066E-48</v>
      </c>
      <c r="F250" s="14"/>
    </row>
    <row r="251" spans="1:6">
      <c r="A251" s="22">
        <v>250</v>
      </c>
      <c r="B251">
        <f t="shared" si="14"/>
        <v>2.2929218701841549E-51</v>
      </c>
      <c r="C251">
        <f t="shared" si="15"/>
        <v>1</v>
      </c>
      <c r="D251">
        <f t="shared" si="16"/>
        <v>4.9218753937573668E-51</v>
      </c>
      <c r="E251">
        <f t="shared" si="17"/>
        <v>1.2304688484393418E-48</v>
      </c>
      <c r="F251" s="14"/>
    </row>
    <row r="252" spans="1:6">
      <c r="A252" s="22">
        <v>251</v>
      </c>
      <c r="B252">
        <f t="shared" si="14"/>
        <v>7.2242743855117203E-52</v>
      </c>
      <c r="C252">
        <f t="shared" si="15"/>
        <v>1</v>
      </c>
      <c r="D252">
        <f t="shared" si="16"/>
        <v>1.5704944316329828E-51</v>
      </c>
      <c r="E252">
        <f t="shared" si="17"/>
        <v>3.9419410233987868E-49</v>
      </c>
      <c r="F252" s="14"/>
    </row>
    <row r="253" spans="1:6">
      <c r="A253" s="22">
        <v>252</v>
      </c>
      <c r="B253">
        <f t="shared" si="14"/>
        <v>2.2563487121872222E-52</v>
      </c>
      <c r="C253">
        <f t="shared" si="15"/>
        <v>1</v>
      </c>
      <c r="D253">
        <f t="shared" si="16"/>
        <v>4.9679256733244981E-52</v>
      </c>
      <c r="E253">
        <f t="shared" si="17"/>
        <v>1.2519172696777734E-49</v>
      </c>
      <c r="F253" s="14"/>
    </row>
    <row r="254" spans="1:6">
      <c r="A254" s="22">
        <v>253</v>
      </c>
      <c r="B254">
        <f t="shared" si="14"/>
        <v>6.9854083418398939E-53</v>
      </c>
      <c r="C254">
        <f t="shared" si="15"/>
        <v>1</v>
      </c>
      <c r="D254">
        <f t="shared" si="16"/>
        <v>1.5578078780032327E-52</v>
      </c>
      <c r="E254">
        <f t="shared" si="17"/>
        <v>3.9412539313481786E-50</v>
      </c>
      <c r="F254" s="14"/>
    </row>
    <row r="255" spans="1:6">
      <c r="A255" s="22">
        <v>254</v>
      </c>
      <c r="B255">
        <f t="shared" si="14"/>
        <v>2.14346776516731E-53</v>
      </c>
      <c r="C255">
        <f t="shared" si="15"/>
        <v>1</v>
      </c>
      <c r="D255">
        <f t="shared" si="16"/>
        <v>4.8419405766725839E-53</v>
      </c>
      <c r="E255">
        <f t="shared" si="17"/>
        <v>1.2298529064748364E-50</v>
      </c>
      <c r="F255" s="14"/>
    </row>
    <row r="256" spans="1:6">
      <c r="A256" s="22">
        <v>255</v>
      </c>
      <c r="B256">
        <f t="shared" si="14"/>
        <v>6.5184910118786688E-54</v>
      </c>
      <c r="C256">
        <f t="shared" si="15"/>
        <v>1</v>
      </c>
      <c r="D256">
        <f t="shared" si="16"/>
        <v>1.4916186639794433E-53</v>
      </c>
      <c r="E256">
        <f t="shared" si="17"/>
        <v>3.8036275931475801E-51</v>
      </c>
      <c r="F256" s="14"/>
    </row>
    <row r="257" spans="1:6">
      <c r="A257" s="22">
        <v>256</v>
      </c>
      <c r="B257">
        <f t="shared" si="14"/>
        <v>1.9644767433059001E-54</v>
      </c>
      <c r="C257">
        <f t="shared" si="15"/>
        <v>1</v>
      </c>
      <c r="D257">
        <f t="shared" si="16"/>
        <v>4.5540142685727682E-54</v>
      </c>
      <c r="E257">
        <f t="shared" si="17"/>
        <v>1.1658276527546286E-51</v>
      </c>
      <c r="F257" s="14"/>
    </row>
    <row r="258" spans="1:6">
      <c r="A258" s="22">
        <v>257</v>
      </c>
      <c r="B258">
        <f t="shared" si="14"/>
        <v>5.8665195895984413E-55</v>
      </c>
      <c r="C258">
        <f t="shared" si="15"/>
        <v>1</v>
      </c>
      <c r="D258">
        <f t="shared" si="16"/>
        <v>1.3778247843460559E-54</v>
      </c>
      <c r="E258">
        <f t="shared" si="17"/>
        <v>3.5410096957693638E-52</v>
      </c>
      <c r="F258" s="14"/>
    </row>
    <row r="259" spans="1:6">
      <c r="A259" s="22">
        <v>258</v>
      </c>
      <c r="B259">
        <f t="shared" si="14"/>
        <v>1.7358468922647443E-55</v>
      </c>
      <c r="C259">
        <f t="shared" si="15"/>
        <v>1</v>
      </c>
      <c r="D259">
        <f t="shared" si="16"/>
        <v>4.1306726973336974E-55</v>
      </c>
      <c r="E259">
        <f t="shared" si="17"/>
        <v>1.065713555912094E-52</v>
      </c>
      <c r="F259" s="14"/>
    </row>
    <row r="260" spans="1:6">
      <c r="A260" s="22">
        <v>259</v>
      </c>
      <c r="B260">
        <f t="shared" ref="B260:B323" si="18">B259*(366-A260)/365</f>
        <v>5.0886470540363736E-56</v>
      </c>
      <c r="C260">
        <f t="shared" ref="C260:C323" si="19">1-B260</f>
        <v>1</v>
      </c>
      <c r="D260">
        <f t="shared" ref="D260:D323" si="20">B259*A259/365</f>
        <v>1.2269821868611069E-55</v>
      </c>
      <c r="E260">
        <f t="shared" ref="E260:E323" si="21">A260*D260</f>
        <v>3.1778838639702666E-53</v>
      </c>
      <c r="F260" s="14"/>
    </row>
    <row r="261" spans="1:6">
      <c r="A261" s="22">
        <v>260</v>
      </c>
      <c r="B261">
        <f t="shared" si="18"/>
        <v>1.4777988704872757E-56</v>
      </c>
      <c r="C261">
        <f t="shared" si="19"/>
        <v>1</v>
      </c>
      <c r="D261">
        <f t="shared" si="20"/>
        <v>3.6108481835490977E-56</v>
      </c>
      <c r="E261">
        <f t="shared" si="21"/>
        <v>9.3882052772276544E-54</v>
      </c>
      <c r="F261" s="14"/>
    </row>
    <row r="262" spans="1:6">
      <c r="A262" s="22">
        <v>261</v>
      </c>
      <c r="B262">
        <f t="shared" si="18"/>
        <v>4.2512022301688754E-57</v>
      </c>
      <c r="C262">
        <f t="shared" si="19"/>
        <v>1</v>
      </c>
      <c r="D262">
        <f t="shared" si="20"/>
        <v>1.0526786474703881E-56</v>
      </c>
      <c r="E262">
        <f t="shared" si="21"/>
        <v>2.7474912698977131E-54</v>
      </c>
      <c r="F262" s="14"/>
    </row>
    <row r="263" spans="1:6">
      <c r="A263" s="22">
        <v>262</v>
      </c>
      <c r="B263">
        <f t="shared" si="18"/>
        <v>1.2113014573631865E-57</v>
      </c>
      <c r="C263">
        <f t="shared" si="19"/>
        <v>1</v>
      </c>
      <c r="D263">
        <f t="shared" si="20"/>
        <v>3.0399007728056891E-57</v>
      </c>
      <c r="E263">
        <f t="shared" si="21"/>
        <v>7.9645400247509057E-55</v>
      </c>
      <c r="F263" s="14"/>
    </row>
    <row r="264" spans="1:6">
      <c r="A264" s="22">
        <v>263</v>
      </c>
      <c r="B264">
        <f t="shared" si="18"/>
        <v>3.4181931536550195E-58</v>
      </c>
      <c r="C264">
        <f t="shared" si="19"/>
        <v>1</v>
      </c>
      <c r="D264">
        <f t="shared" si="20"/>
        <v>8.6948214199768451E-58</v>
      </c>
      <c r="E264">
        <f t="shared" si="21"/>
        <v>2.2867380334539102E-55</v>
      </c>
      <c r="F264" s="14"/>
    </row>
    <row r="265" spans="1:6">
      <c r="A265" s="22">
        <v>264</v>
      </c>
      <c r="B265">
        <f t="shared" si="18"/>
        <v>9.5522110047345752E-59</v>
      </c>
      <c r="C265">
        <f t="shared" si="19"/>
        <v>1</v>
      </c>
      <c r="D265">
        <f t="shared" si="20"/>
        <v>2.4629720531815618E-58</v>
      </c>
      <c r="E265">
        <f t="shared" si="21"/>
        <v>6.5022462203993234E-56</v>
      </c>
      <c r="F265" s="14"/>
    </row>
    <row r="266" spans="1:6">
      <c r="A266" s="22">
        <v>265</v>
      </c>
      <c r="B266">
        <f t="shared" si="18"/>
        <v>2.643214551995047E-59</v>
      </c>
      <c r="C266">
        <f t="shared" si="19"/>
        <v>1</v>
      </c>
      <c r="D266">
        <f t="shared" si="20"/>
        <v>6.9089964527395291E-59</v>
      </c>
      <c r="E266">
        <f t="shared" si="21"/>
        <v>1.8308840599759752E-56</v>
      </c>
      <c r="F266" s="14"/>
    </row>
    <row r="267" spans="1:6">
      <c r="A267" s="22">
        <v>266</v>
      </c>
      <c r="B267">
        <f t="shared" si="18"/>
        <v>7.2416837040960194E-60</v>
      </c>
      <c r="C267">
        <f t="shared" si="19"/>
        <v>1</v>
      </c>
      <c r="D267">
        <f t="shared" si="20"/>
        <v>1.919046181585445E-59</v>
      </c>
      <c r="E267">
        <f t="shared" si="21"/>
        <v>5.1046628430172836E-57</v>
      </c>
      <c r="F267" s="14"/>
    </row>
    <row r="268" spans="1:6">
      <c r="A268" s="22">
        <v>267</v>
      </c>
      <c r="B268">
        <f t="shared" si="18"/>
        <v>1.9641827033027561E-60</v>
      </c>
      <c r="C268">
        <f t="shared" si="19"/>
        <v>1</v>
      </c>
      <c r="D268">
        <f t="shared" si="20"/>
        <v>5.277501000793263E-60</v>
      </c>
      <c r="E268">
        <f t="shared" si="21"/>
        <v>1.4090927672118011E-57</v>
      </c>
      <c r="F268" s="14"/>
    </row>
    <row r="269" spans="1:6">
      <c r="A269" s="22">
        <v>268</v>
      </c>
      <c r="B269">
        <f t="shared" si="18"/>
        <v>5.2736960253060304E-61</v>
      </c>
      <c r="C269">
        <f t="shared" si="19"/>
        <v>1</v>
      </c>
      <c r="D269">
        <f t="shared" si="20"/>
        <v>1.4368131007721531E-60</v>
      </c>
      <c r="E269">
        <f t="shared" si="21"/>
        <v>3.8506591100693703E-58</v>
      </c>
      <c r="F269" s="14"/>
    </row>
    <row r="270" spans="1:6">
      <c r="A270" s="22">
        <v>269</v>
      </c>
      <c r="B270">
        <f t="shared" si="18"/>
        <v>1.4015027793279039E-61</v>
      </c>
      <c r="C270">
        <f t="shared" si="19"/>
        <v>1</v>
      </c>
      <c r="D270">
        <f t="shared" si="20"/>
        <v>3.8721932459781261E-61</v>
      </c>
      <c r="E270">
        <f t="shared" si="21"/>
        <v>1.0416199831681159E-58</v>
      </c>
      <c r="F270" s="14"/>
    </row>
    <row r="271" spans="1:6">
      <c r="A271" s="22">
        <v>270</v>
      </c>
      <c r="B271">
        <f t="shared" si="18"/>
        <v>3.6861442963144866E-62</v>
      </c>
      <c r="C271">
        <f t="shared" si="19"/>
        <v>1</v>
      </c>
      <c r="D271">
        <f t="shared" si="20"/>
        <v>1.0328883496964552E-61</v>
      </c>
      <c r="E271">
        <f t="shared" si="21"/>
        <v>2.7887985441804292E-59</v>
      </c>
      <c r="F271" s="14"/>
    </row>
    <row r="272" spans="1:6">
      <c r="A272" s="22">
        <v>271</v>
      </c>
      <c r="B272">
        <f t="shared" si="18"/>
        <v>9.5940741958870205E-63</v>
      </c>
      <c r="C272">
        <f t="shared" si="19"/>
        <v>1</v>
      </c>
      <c r="D272">
        <f t="shared" si="20"/>
        <v>2.7267368767257846E-62</v>
      </c>
      <c r="E272">
        <f t="shared" si="21"/>
        <v>7.3894569359268767E-60</v>
      </c>
      <c r="F272" s="14"/>
    </row>
    <row r="273" spans="1:6">
      <c r="A273" s="22">
        <v>272</v>
      </c>
      <c r="B273">
        <f t="shared" si="18"/>
        <v>2.4708026696256982E-63</v>
      </c>
      <c r="C273">
        <f t="shared" si="19"/>
        <v>1</v>
      </c>
      <c r="D273">
        <f t="shared" si="20"/>
        <v>7.1232715262613217E-63</v>
      </c>
      <c r="E273">
        <f t="shared" si="21"/>
        <v>1.9375298551430794E-60</v>
      </c>
      <c r="F273" s="14"/>
    </row>
    <row r="274" spans="1:6">
      <c r="A274" s="22">
        <v>273</v>
      </c>
      <c r="B274">
        <f t="shared" si="18"/>
        <v>6.2954698157586279E-64</v>
      </c>
      <c r="C274">
        <f t="shared" si="19"/>
        <v>1</v>
      </c>
      <c r="D274">
        <f t="shared" si="20"/>
        <v>1.8412556880498353E-63</v>
      </c>
      <c r="E274">
        <f t="shared" si="21"/>
        <v>5.0266280283760505E-61</v>
      </c>
      <c r="F274" s="14"/>
    </row>
    <row r="275" spans="1:6">
      <c r="A275" s="22">
        <v>274</v>
      </c>
      <c r="B275">
        <f t="shared" si="18"/>
        <v>1.5868033508213528E-64</v>
      </c>
      <c r="C275">
        <f t="shared" si="19"/>
        <v>1</v>
      </c>
      <c r="D275">
        <f t="shared" si="20"/>
        <v>4.7086664649372752E-64</v>
      </c>
      <c r="E275">
        <f t="shared" si="21"/>
        <v>1.2901746113928135E-61</v>
      </c>
      <c r="F275" s="14"/>
    </row>
    <row r="276" spans="1:6">
      <c r="A276" s="22">
        <v>275</v>
      </c>
      <c r="B276">
        <f t="shared" si="18"/>
        <v>3.9561398609518655E-65</v>
      </c>
      <c r="C276">
        <f t="shared" si="19"/>
        <v>1</v>
      </c>
      <c r="D276">
        <f t="shared" si="20"/>
        <v>1.1911893647261661E-64</v>
      </c>
      <c r="E276">
        <f t="shared" si="21"/>
        <v>3.2757707529969569E-62</v>
      </c>
      <c r="F276" s="14"/>
    </row>
    <row r="277" spans="1:6">
      <c r="A277" s="22">
        <v>276</v>
      </c>
      <c r="B277">
        <f t="shared" si="18"/>
        <v>9.7548654105662444E-66</v>
      </c>
      <c r="C277">
        <f t="shared" si="19"/>
        <v>1</v>
      </c>
      <c r="D277">
        <f t="shared" si="20"/>
        <v>2.9806533198952412E-65</v>
      </c>
      <c r="E277">
        <f t="shared" si="21"/>
        <v>8.2266031629108657E-63</v>
      </c>
      <c r="F277" s="14"/>
    </row>
    <row r="278" spans="1:6">
      <c r="A278" s="22">
        <v>277</v>
      </c>
      <c r="B278">
        <f t="shared" si="18"/>
        <v>2.3785836206586182E-66</v>
      </c>
      <c r="C278">
        <f t="shared" si="19"/>
        <v>1</v>
      </c>
      <c r="D278">
        <f t="shared" si="20"/>
        <v>7.3762817899076267E-66</v>
      </c>
      <c r="E278">
        <f t="shared" si="21"/>
        <v>2.0432300558044126E-63</v>
      </c>
      <c r="F278" s="14"/>
    </row>
    <row r="279" spans="1:6">
      <c r="A279" s="22">
        <v>278</v>
      </c>
      <c r="B279">
        <f t="shared" si="18"/>
        <v>5.7346673593961206E-67</v>
      </c>
      <c r="C279">
        <f t="shared" si="19"/>
        <v>1</v>
      </c>
      <c r="D279">
        <f t="shared" si="20"/>
        <v>1.8051168847190064E-66</v>
      </c>
      <c r="E279">
        <f t="shared" si="21"/>
        <v>5.0182249395188378E-64</v>
      </c>
      <c r="F279" s="14"/>
    </row>
    <row r="280" spans="1:6">
      <c r="A280" s="22">
        <v>279</v>
      </c>
      <c r="B280">
        <f t="shared" si="18"/>
        <v>1.3668933158012671E-67</v>
      </c>
      <c r="C280">
        <f t="shared" si="19"/>
        <v>1</v>
      </c>
      <c r="D280">
        <f t="shared" si="20"/>
        <v>4.3677740435948534E-67</v>
      </c>
      <c r="E280">
        <f t="shared" si="21"/>
        <v>1.2186089581629642E-64</v>
      </c>
      <c r="F280" s="14"/>
    </row>
    <row r="281" spans="1:6">
      <c r="A281" s="22">
        <v>280</v>
      </c>
      <c r="B281">
        <f t="shared" si="18"/>
        <v>3.2206253468194237E-68</v>
      </c>
      <c r="C281">
        <f t="shared" si="19"/>
        <v>1</v>
      </c>
      <c r="D281">
        <f t="shared" si="20"/>
        <v>1.0448307811193249E-67</v>
      </c>
      <c r="E281">
        <f t="shared" si="21"/>
        <v>2.9255261871341097E-65</v>
      </c>
      <c r="F281" s="14"/>
    </row>
    <row r="282" spans="1:6">
      <c r="A282" s="22">
        <v>281</v>
      </c>
      <c r="B282">
        <f t="shared" si="18"/>
        <v>7.5000864241000285E-69</v>
      </c>
      <c r="C282">
        <f t="shared" si="19"/>
        <v>1</v>
      </c>
      <c r="D282">
        <f t="shared" si="20"/>
        <v>2.4706167044094209E-68</v>
      </c>
      <c r="E282">
        <f t="shared" si="21"/>
        <v>6.9424329393904726E-66</v>
      </c>
      <c r="F282" s="14"/>
    </row>
    <row r="283" spans="1:6">
      <c r="A283" s="22">
        <v>282</v>
      </c>
      <c r="B283">
        <f t="shared" si="18"/>
        <v>1.7260472866421981E-69</v>
      </c>
      <c r="C283">
        <f t="shared" si="19"/>
        <v>1</v>
      </c>
      <c r="D283">
        <f t="shared" si="20"/>
        <v>5.7740391374578296E-69</v>
      </c>
      <c r="E283">
        <f t="shared" si="21"/>
        <v>1.628279036763108E-66</v>
      </c>
      <c r="F283" s="14"/>
    </row>
    <row r="284" spans="1:6">
      <c r="A284" s="22">
        <v>283</v>
      </c>
      <c r="B284">
        <f t="shared" si="18"/>
        <v>3.9249842408576017E-70</v>
      </c>
      <c r="C284">
        <f t="shared" si="19"/>
        <v>1</v>
      </c>
      <c r="D284">
        <f t="shared" si="20"/>
        <v>1.333548862556438E-69</v>
      </c>
      <c r="E284">
        <f t="shared" si="21"/>
        <v>3.7739432810347198E-67</v>
      </c>
      <c r="F284" s="14"/>
    </row>
    <row r="285" spans="1:6">
      <c r="A285" s="22">
        <v>284</v>
      </c>
      <c r="B285">
        <f t="shared" si="18"/>
        <v>8.8177728150773508E-71</v>
      </c>
      <c r="C285">
        <f t="shared" si="19"/>
        <v>1</v>
      </c>
      <c r="D285">
        <f t="shared" si="20"/>
        <v>3.0432069593498668E-70</v>
      </c>
      <c r="E285">
        <f t="shared" si="21"/>
        <v>8.6427077645536224E-68</v>
      </c>
      <c r="F285" s="14"/>
    </row>
    <row r="286" spans="1:6">
      <c r="A286" s="22">
        <v>285</v>
      </c>
      <c r="B286">
        <f t="shared" si="18"/>
        <v>1.9568208164966178E-71</v>
      </c>
      <c r="C286">
        <f t="shared" si="19"/>
        <v>1</v>
      </c>
      <c r="D286">
        <f t="shared" si="20"/>
        <v>6.860951998580733E-71</v>
      </c>
      <c r="E286">
        <f t="shared" si="21"/>
        <v>1.955371319595509E-68</v>
      </c>
      <c r="F286" s="14"/>
    </row>
    <row r="287" spans="1:6">
      <c r="A287" s="22">
        <v>286</v>
      </c>
      <c r="B287">
        <f t="shared" si="18"/>
        <v>4.2889223375268337E-72</v>
      </c>
      <c r="C287">
        <f t="shared" si="19"/>
        <v>1</v>
      </c>
      <c r="D287">
        <f t="shared" si="20"/>
        <v>1.5279285827439345E-71</v>
      </c>
      <c r="E287">
        <f t="shared" si="21"/>
        <v>4.3698757466476526E-69</v>
      </c>
      <c r="F287" s="14"/>
    </row>
    <row r="288" spans="1:6">
      <c r="A288" s="22">
        <v>287</v>
      </c>
      <c r="B288">
        <f t="shared" si="18"/>
        <v>9.2828730045101332E-73</v>
      </c>
      <c r="C288">
        <f t="shared" si="19"/>
        <v>1</v>
      </c>
      <c r="D288">
        <f t="shared" si="20"/>
        <v>3.3606350370758207E-72</v>
      </c>
      <c r="E288">
        <f t="shared" si="21"/>
        <v>9.6450225564076055E-70</v>
      </c>
      <c r="F288" s="14"/>
    </row>
    <row r="289" spans="1:6">
      <c r="A289" s="22">
        <v>288</v>
      </c>
      <c r="B289">
        <f t="shared" si="18"/>
        <v>1.9837372447994257E-73</v>
      </c>
      <c r="C289">
        <f t="shared" si="19"/>
        <v>1</v>
      </c>
      <c r="D289">
        <f t="shared" si="20"/>
        <v>7.2991357597107071E-73</v>
      </c>
      <c r="E289">
        <f t="shared" si="21"/>
        <v>2.1021510987966836E-70</v>
      </c>
      <c r="F289" s="14"/>
    </row>
    <row r="290" spans="1:6">
      <c r="A290" s="22">
        <v>289</v>
      </c>
      <c r="B290">
        <f t="shared" si="18"/>
        <v>4.1848703520426245E-74</v>
      </c>
      <c r="C290">
        <f t="shared" si="19"/>
        <v>1</v>
      </c>
      <c r="D290">
        <f t="shared" si="20"/>
        <v>1.5652502095951632E-73</v>
      </c>
      <c r="E290">
        <f t="shared" si="21"/>
        <v>4.5235731057300218E-71</v>
      </c>
      <c r="F290" s="14"/>
    </row>
    <row r="291" spans="1:6">
      <c r="A291" s="22">
        <v>290</v>
      </c>
      <c r="B291">
        <f t="shared" si="18"/>
        <v>8.7137026508284789E-75</v>
      </c>
      <c r="C291">
        <f t="shared" si="19"/>
        <v>1</v>
      </c>
      <c r="D291">
        <f t="shared" si="20"/>
        <v>3.3135000869597765E-74</v>
      </c>
      <c r="E291">
        <f t="shared" si="21"/>
        <v>9.6091502521833518E-72</v>
      </c>
      <c r="F291" s="14"/>
    </row>
    <row r="292" spans="1:6">
      <c r="A292" s="22">
        <v>291</v>
      </c>
      <c r="B292">
        <f t="shared" si="18"/>
        <v>1.7904868460606461E-75</v>
      </c>
      <c r="C292">
        <f t="shared" si="19"/>
        <v>1</v>
      </c>
      <c r="D292">
        <f t="shared" si="20"/>
        <v>6.9232158047678323E-75</v>
      </c>
      <c r="E292">
        <f t="shared" si="21"/>
        <v>2.0146557991874393E-72</v>
      </c>
      <c r="F292" s="14"/>
    </row>
    <row r="293" spans="1:6">
      <c r="A293" s="22">
        <v>292</v>
      </c>
      <c r="B293">
        <f t="shared" si="18"/>
        <v>3.6300281262599402E-76</v>
      </c>
      <c r="C293">
        <f t="shared" si="19"/>
        <v>1</v>
      </c>
      <c r="D293">
        <f t="shared" si="20"/>
        <v>1.4274840334346522E-75</v>
      </c>
      <c r="E293">
        <f t="shared" si="21"/>
        <v>4.1682533776291846E-73</v>
      </c>
      <c r="F293" s="14"/>
    </row>
    <row r="294" spans="1:6">
      <c r="A294" s="22">
        <v>293</v>
      </c>
      <c r="B294">
        <f t="shared" si="18"/>
        <v>7.2600562525198805E-77</v>
      </c>
      <c r="C294">
        <f t="shared" si="19"/>
        <v>1</v>
      </c>
      <c r="D294">
        <f t="shared" si="20"/>
        <v>2.9040225010079522E-76</v>
      </c>
      <c r="E294">
        <f t="shared" si="21"/>
        <v>8.5087859279533007E-74</v>
      </c>
      <c r="F294" s="14"/>
    </row>
    <row r="295" spans="1:6">
      <c r="A295" s="22">
        <v>294</v>
      </c>
      <c r="B295">
        <f t="shared" si="18"/>
        <v>1.4321206854285791E-77</v>
      </c>
      <c r="C295">
        <f t="shared" si="19"/>
        <v>1</v>
      </c>
      <c r="D295">
        <f t="shared" si="20"/>
        <v>5.8279355670913015E-77</v>
      </c>
      <c r="E295">
        <f t="shared" si="21"/>
        <v>1.7134130567248426E-74</v>
      </c>
      <c r="F295" s="14"/>
    </row>
    <row r="296" spans="1:6">
      <c r="A296" s="22">
        <v>295</v>
      </c>
      <c r="B296">
        <f t="shared" si="18"/>
        <v>2.7857690045323046E-78</v>
      </c>
      <c r="C296">
        <f t="shared" si="19"/>
        <v>1</v>
      </c>
      <c r="D296">
        <f t="shared" si="20"/>
        <v>1.1535437849753487E-77</v>
      </c>
      <c r="E296">
        <f t="shared" si="21"/>
        <v>3.4029541656772787E-75</v>
      </c>
      <c r="F296" s="14"/>
    </row>
    <row r="297" spans="1:6">
      <c r="A297" s="22">
        <v>296</v>
      </c>
      <c r="B297">
        <f t="shared" si="18"/>
        <v>5.3425706936235976E-79</v>
      </c>
      <c r="C297">
        <f t="shared" si="19"/>
        <v>1</v>
      </c>
      <c r="D297">
        <f t="shared" si="20"/>
        <v>2.2515119351699451E-78</v>
      </c>
      <c r="E297">
        <f t="shared" si="21"/>
        <v>6.6644753281030373E-76</v>
      </c>
      <c r="F297" s="14"/>
    </row>
    <row r="298" spans="1:6">
      <c r="A298" s="22">
        <v>297</v>
      </c>
      <c r="B298">
        <f t="shared" si="18"/>
        <v>1.0099654187945979E-79</v>
      </c>
      <c r="C298">
        <f t="shared" si="19"/>
        <v>1</v>
      </c>
      <c r="D298">
        <f t="shared" si="20"/>
        <v>4.3326052748289998E-79</v>
      </c>
      <c r="E298">
        <f t="shared" si="21"/>
        <v>1.286783766624213E-76</v>
      </c>
      <c r="F298" s="14"/>
    </row>
    <row r="299" spans="1:6">
      <c r="A299" s="22">
        <v>298</v>
      </c>
      <c r="B299">
        <f t="shared" si="18"/>
        <v>1.8815794103570589E-80</v>
      </c>
      <c r="C299">
        <f t="shared" si="19"/>
        <v>1</v>
      </c>
      <c r="D299">
        <f t="shared" si="20"/>
        <v>8.2180747775889189E-80</v>
      </c>
      <c r="E299">
        <f t="shared" si="21"/>
        <v>2.4489862837214978E-77</v>
      </c>
      <c r="F299" s="14"/>
    </row>
    <row r="300" spans="1:6">
      <c r="A300" s="22">
        <v>299</v>
      </c>
      <c r="B300">
        <f t="shared" si="18"/>
        <v>3.4538580957239163E-81</v>
      </c>
      <c r="C300">
        <f t="shared" si="19"/>
        <v>1</v>
      </c>
      <c r="D300">
        <f t="shared" si="20"/>
        <v>1.5361936007846672E-80</v>
      </c>
      <c r="E300">
        <f t="shared" si="21"/>
        <v>4.5932188663461553E-78</v>
      </c>
      <c r="F300" s="14"/>
    </row>
    <row r="301" spans="1:6">
      <c r="A301" s="22">
        <v>300</v>
      </c>
      <c r="B301">
        <f t="shared" si="18"/>
        <v>6.2453324470624246E-82</v>
      </c>
      <c r="C301">
        <f t="shared" si="19"/>
        <v>1</v>
      </c>
      <c r="D301">
        <f t="shared" si="20"/>
        <v>2.829324851017674E-81</v>
      </c>
      <c r="E301">
        <f t="shared" si="21"/>
        <v>8.4879745530530215E-79</v>
      </c>
      <c r="F301" s="14"/>
    </row>
    <row r="302" spans="1:6">
      <c r="A302" s="22">
        <v>301</v>
      </c>
      <c r="B302">
        <f t="shared" si="18"/>
        <v>1.1121824905727607E-82</v>
      </c>
      <c r="C302">
        <f t="shared" si="19"/>
        <v>1</v>
      </c>
      <c r="D302">
        <f t="shared" si="20"/>
        <v>5.1331499564896641E-82</v>
      </c>
      <c r="E302">
        <f t="shared" si="21"/>
        <v>1.5450781369033889E-79</v>
      </c>
      <c r="F302" s="14"/>
    </row>
    <row r="303" spans="1:6">
      <c r="A303" s="22">
        <v>302</v>
      </c>
      <c r="B303">
        <f t="shared" si="18"/>
        <v>1.9501282026481284E-83</v>
      </c>
      <c r="C303">
        <f t="shared" si="19"/>
        <v>1</v>
      </c>
      <c r="D303">
        <f t="shared" si="20"/>
        <v>9.1716967030794786E-83</v>
      </c>
      <c r="E303">
        <f t="shared" si="21"/>
        <v>2.7698524043300024E-80</v>
      </c>
      <c r="F303" s="14"/>
    </row>
    <row r="304" spans="1:6">
      <c r="A304" s="22">
        <v>303</v>
      </c>
      <c r="B304">
        <f t="shared" si="18"/>
        <v>3.3659747059406051E-84</v>
      </c>
      <c r="C304">
        <f t="shared" si="19"/>
        <v>1</v>
      </c>
      <c r="D304">
        <f t="shared" si="20"/>
        <v>1.613530732054068E-83</v>
      </c>
      <c r="E304">
        <f t="shared" si="21"/>
        <v>4.8889981181238258E-81</v>
      </c>
      <c r="F304" s="14"/>
    </row>
    <row r="305" spans="1:6">
      <c r="A305" s="22">
        <v>304</v>
      </c>
      <c r="B305">
        <f t="shared" si="18"/>
        <v>5.7175460758443156E-85</v>
      </c>
      <c r="C305">
        <f t="shared" si="19"/>
        <v>1</v>
      </c>
      <c r="D305">
        <f t="shared" si="20"/>
        <v>2.7942200983561733E-84</v>
      </c>
      <c r="E305">
        <f t="shared" si="21"/>
        <v>8.4944290990027672E-82</v>
      </c>
      <c r="F305" s="14"/>
    </row>
    <row r="306" spans="1:6">
      <c r="A306" s="22">
        <v>305</v>
      </c>
      <c r="B306">
        <f t="shared" si="18"/>
        <v>9.5553509760685831E-86</v>
      </c>
      <c r="C306">
        <f t="shared" si="19"/>
        <v>1</v>
      </c>
      <c r="D306">
        <f t="shared" si="20"/>
        <v>4.7620109782374576E-85</v>
      </c>
      <c r="E306">
        <f t="shared" si="21"/>
        <v>1.4524133483624245E-82</v>
      </c>
      <c r="F306" s="14"/>
    </row>
    <row r="307" spans="1:6">
      <c r="A307" s="22">
        <v>306</v>
      </c>
      <c r="B307">
        <f t="shared" si="18"/>
        <v>1.5707426262030548E-86</v>
      </c>
      <c r="C307">
        <f t="shared" si="19"/>
        <v>1</v>
      </c>
      <c r="D307">
        <f t="shared" si="20"/>
        <v>7.9846083498655283E-86</v>
      </c>
      <c r="E307">
        <f t="shared" si="21"/>
        <v>2.4432901550588518E-83</v>
      </c>
      <c r="F307" s="14"/>
    </row>
    <row r="308" spans="1:6">
      <c r="A308" s="22">
        <v>307</v>
      </c>
      <c r="B308">
        <f t="shared" si="18"/>
        <v>2.5390086286569925E-87</v>
      </c>
      <c r="C308">
        <f t="shared" si="19"/>
        <v>1</v>
      </c>
      <c r="D308">
        <f t="shared" si="20"/>
        <v>1.3168417633373555E-86</v>
      </c>
      <c r="E308">
        <f t="shared" si="21"/>
        <v>4.0427042134456815E-84</v>
      </c>
      <c r="F308" s="14"/>
    </row>
    <row r="309" spans="1:6">
      <c r="A309" s="22">
        <v>308</v>
      </c>
      <c r="B309">
        <f t="shared" si="18"/>
        <v>4.0345890537563167E-88</v>
      </c>
      <c r="C309">
        <f t="shared" si="19"/>
        <v>1</v>
      </c>
      <c r="D309">
        <f t="shared" si="20"/>
        <v>2.135549723281361E-87</v>
      </c>
      <c r="E309">
        <f t="shared" si="21"/>
        <v>6.5774931477065918E-85</v>
      </c>
      <c r="F309" s="14"/>
    </row>
    <row r="310" spans="1:6">
      <c r="A310" s="22">
        <v>309</v>
      </c>
      <c r="B310">
        <f t="shared" si="18"/>
        <v>6.3005911250441113E-89</v>
      </c>
      <c r="C310">
        <f t="shared" si="19"/>
        <v>1</v>
      </c>
      <c r="D310">
        <f t="shared" si="20"/>
        <v>3.4045299412519054E-88</v>
      </c>
      <c r="E310">
        <f t="shared" si="21"/>
        <v>1.0519997518468388E-85</v>
      </c>
      <c r="F310" s="14"/>
    </row>
    <row r="311" spans="1:6">
      <c r="A311" s="22">
        <v>310</v>
      </c>
      <c r="B311">
        <f t="shared" si="18"/>
        <v>9.6666603562320612E-90</v>
      </c>
      <c r="C311">
        <f t="shared" si="19"/>
        <v>1</v>
      </c>
      <c r="D311">
        <f t="shared" si="20"/>
        <v>5.3339250894209053E-89</v>
      </c>
      <c r="E311">
        <f t="shared" si="21"/>
        <v>1.6535167777204805E-86</v>
      </c>
      <c r="F311" s="14"/>
    </row>
    <row r="312" spans="1:6">
      <c r="A312" s="22">
        <v>311</v>
      </c>
      <c r="B312">
        <f t="shared" si="18"/>
        <v>1.4566200536788037E-90</v>
      </c>
      <c r="C312">
        <f t="shared" si="19"/>
        <v>1</v>
      </c>
      <c r="D312">
        <f t="shared" si="20"/>
        <v>8.2100403025532575E-90</v>
      </c>
      <c r="E312">
        <f t="shared" si="21"/>
        <v>2.5533225340940631E-87</v>
      </c>
      <c r="F312" s="14"/>
    </row>
    <row r="313" spans="1:6">
      <c r="A313" s="22">
        <v>312</v>
      </c>
      <c r="B313">
        <f t="shared" si="18"/>
        <v>2.1549995314700111E-91</v>
      </c>
      <c r="C313">
        <f t="shared" si="19"/>
        <v>1</v>
      </c>
      <c r="D313">
        <f t="shared" si="20"/>
        <v>1.2411201005318027E-90</v>
      </c>
      <c r="E313">
        <f t="shared" si="21"/>
        <v>3.8722947136592244E-88</v>
      </c>
      <c r="F313" s="14"/>
    </row>
    <row r="314" spans="1:6">
      <c r="A314" s="22">
        <v>313</v>
      </c>
      <c r="B314">
        <f t="shared" si="18"/>
        <v>3.1291774018605638E-92</v>
      </c>
      <c r="C314">
        <f t="shared" si="19"/>
        <v>1</v>
      </c>
      <c r="D314">
        <f t="shared" si="20"/>
        <v>1.8420817912839547E-91</v>
      </c>
      <c r="E314">
        <f t="shared" si="21"/>
        <v>5.7657160067187783E-89</v>
      </c>
      <c r="F314" s="14"/>
    </row>
    <row r="315" spans="1:6">
      <c r="A315" s="22">
        <v>314</v>
      </c>
      <c r="B315">
        <f t="shared" si="18"/>
        <v>4.458006161554776E-93</v>
      </c>
      <c r="C315">
        <f t="shared" si="19"/>
        <v>1</v>
      </c>
      <c r="D315">
        <f t="shared" si="20"/>
        <v>2.683376785705086E-92</v>
      </c>
      <c r="E315">
        <f t="shared" si="21"/>
        <v>8.4258031071139707E-90</v>
      </c>
      <c r="F315" s="14"/>
    </row>
    <row r="316" spans="1:6">
      <c r="A316" s="22">
        <v>315</v>
      </c>
      <c r="B316">
        <f t="shared" si="18"/>
        <v>6.2289949106655773E-94</v>
      </c>
      <c r="C316">
        <f t="shared" si="19"/>
        <v>1</v>
      </c>
      <c r="D316">
        <f t="shared" si="20"/>
        <v>3.8351066704882181E-93</v>
      </c>
      <c r="E316">
        <f t="shared" si="21"/>
        <v>1.2080586012037886E-90</v>
      </c>
      <c r="F316" s="14"/>
    </row>
    <row r="317" spans="1:6">
      <c r="A317" s="22">
        <v>316</v>
      </c>
      <c r="B317">
        <f t="shared" si="18"/>
        <v>8.5328697406377761E-95</v>
      </c>
      <c r="C317">
        <f t="shared" si="19"/>
        <v>1</v>
      </c>
      <c r="D317">
        <f t="shared" si="20"/>
        <v>5.3757079366018E-94</v>
      </c>
      <c r="E317">
        <f t="shared" si="21"/>
        <v>1.6987237079661688E-91</v>
      </c>
      <c r="F317" s="14"/>
    </row>
    <row r="318" spans="1:6">
      <c r="A318" s="22">
        <v>317</v>
      </c>
      <c r="B318">
        <f t="shared" si="18"/>
        <v>1.1455085405239754E-95</v>
      </c>
      <c r="C318">
        <f t="shared" si="19"/>
        <v>1</v>
      </c>
      <c r="D318">
        <f t="shared" si="20"/>
        <v>7.3873612001138003E-95</v>
      </c>
      <c r="E318">
        <f t="shared" si="21"/>
        <v>2.3417935004360746E-92</v>
      </c>
      <c r="F318" s="14"/>
    </row>
    <row r="319" spans="1:6">
      <c r="A319" s="22">
        <v>318</v>
      </c>
      <c r="B319">
        <f t="shared" si="18"/>
        <v>1.5064221902781046E-96</v>
      </c>
      <c r="C319">
        <f t="shared" si="19"/>
        <v>1</v>
      </c>
      <c r="D319">
        <f t="shared" si="20"/>
        <v>9.9486632149616491E-96</v>
      </c>
      <c r="E319">
        <f t="shared" si="21"/>
        <v>3.1636749023578046E-93</v>
      </c>
      <c r="F319" s="14"/>
    </row>
    <row r="320" spans="1:6">
      <c r="A320" s="22">
        <v>319</v>
      </c>
      <c r="B320">
        <f t="shared" si="18"/>
        <v>1.9397765189882442E-97</v>
      </c>
      <c r="C320">
        <f t="shared" si="19"/>
        <v>1</v>
      </c>
      <c r="D320">
        <f t="shared" si="20"/>
        <v>1.3124445383792802E-96</v>
      </c>
      <c r="E320">
        <f t="shared" si="21"/>
        <v>4.186698077429904E-94</v>
      </c>
      <c r="F320" s="14"/>
    </row>
    <row r="321" spans="1:6">
      <c r="A321" s="22">
        <v>320</v>
      </c>
      <c r="B321">
        <f t="shared" si="18"/>
        <v>2.4446498595468281E-98</v>
      </c>
      <c r="C321">
        <f t="shared" si="19"/>
        <v>1</v>
      </c>
      <c r="D321">
        <f t="shared" si="20"/>
        <v>1.6953115330335613E-97</v>
      </c>
      <c r="E321">
        <f t="shared" si="21"/>
        <v>5.4249969057073962E-95</v>
      </c>
      <c r="F321" s="14"/>
    </row>
    <row r="322" spans="1:6">
      <c r="A322" s="22">
        <v>321</v>
      </c>
      <c r="B322">
        <f t="shared" si="18"/>
        <v>3.0139518816330757E-99</v>
      </c>
      <c r="C322">
        <f t="shared" si="19"/>
        <v>1</v>
      </c>
      <c r="D322">
        <f t="shared" si="20"/>
        <v>2.1432546713835207E-98</v>
      </c>
      <c r="E322">
        <f t="shared" si="21"/>
        <v>6.8798474951411015E-96</v>
      </c>
      <c r="F322" s="14"/>
    </row>
    <row r="323" spans="1:6">
      <c r="A323" s="22">
        <v>322</v>
      </c>
      <c r="B323">
        <f t="shared" si="18"/>
        <v>3.6332570627905572E-100</v>
      </c>
      <c r="C323">
        <f t="shared" si="19"/>
        <v>1</v>
      </c>
      <c r="D323">
        <f t="shared" si="20"/>
        <v>2.65062617535402E-99</v>
      </c>
      <c r="E323">
        <f t="shared" si="21"/>
        <v>8.5350162846399447E-97</v>
      </c>
      <c r="F323" s="14"/>
    </row>
    <row r="324" spans="1:6">
      <c r="A324" s="22">
        <v>323</v>
      </c>
      <c r="B324">
        <f t="shared" ref="B324:B367" si="22">B323*(366-A324)/365</f>
        <v>4.2802754438354511E-101</v>
      </c>
      <c r="C324">
        <f t="shared" ref="C324:C367" si="23">1-B324</f>
        <v>1</v>
      </c>
      <c r="D324">
        <f t="shared" ref="D324:D367" si="24">B323*A323/365</f>
        <v>3.205229518407012E-100</v>
      </c>
      <c r="E324">
        <f t="shared" ref="E324:E367" si="25">A324*D324</f>
        <v>1.0352891344454648E-97</v>
      </c>
      <c r="F324" s="14"/>
    </row>
    <row r="325" spans="1:6">
      <c r="A325" s="22">
        <v>324</v>
      </c>
      <c r="B325">
        <f t="shared" si="22"/>
        <v>4.9252484559202452E-102</v>
      </c>
      <c r="C325">
        <f t="shared" si="23"/>
        <v>1</v>
      </c>
      <c r="D325">
        <f t="shared" si="24"/>
        <v>3.7877505982434268E-101</v>
      </c>
      <c r="E325">
        <f t="shared" si="25"/>
        <v>1.2272311938308703E-98</v>
      </c>
      <c r="F325" s="14"/>
    </row>
    <row r="326" spans="1:6">
      <c r="A326" s="22">
        <v>325</v>
      </c>
      <c r="B326">
        <f t="shared" si="22"/>
        <v>5.5324708682939746E-103</v>
      </c>
      <c r="C326">
        <f t="shared" si="23"/>
        <v>1</v>
      </c>
      <c r="D326">
        <f t="shared" si="24"/>
        <v>4.3720013690908483E-102</v>
      </c>
      <c r="E326">
        <f t="shared" si="25"/>
        <v>1.4209004449545257E-99</v>
      </c>
      <c r="F326" s="14"/>
    </row>
    <row r="327" spans="1:6">
      <c r="A327" s="22">
        <v>326</v>
      </c>
      <c r="B327">
        <f t="shared" si="22"/>
        <v>6.0629817734728482E-104</v>
      </c>
      <c r="C327">
        <f t="shared" si="23"/>
        <v>1</v>
      </c>
      <c r="D327">
        <f t="shared" si="24"/>
        <v>4.9261726909466899E-103</v>
      </c>
      <c r="E327">
        <f t="shared" si="25"/>
        <v>1.6059322972486209E-100</v>
      </c>
      <c r="F327" s="14"/>
    </row>
    <row r="328" spans="1:6">
      <c r="A328" s="22">
        <v>327</v>
      </c>
      <c r="B328">
        <f t="shared" si="22"/>
        <v>6.4782544976833176E-105</v>
      </c>
      <c r="C328">
        <f t="shared" si="23"/>
        <v>1</v>
      </c>
      <c r="D328">
        <f t="shared" si="24"/>
        <v>5.4151563237045163E-104</v>
      </c>
      <c r="E328">
        <f t="shared" si="25"/>
        <v>1.770756117851377E-101</v>
      </c>
      <c r="F328" s="14"/>
    </row>
    <row r="329" spans="1:6">
      <c r="A329" s="22">
        <v>328</v>
      </c>
      <c r="B329">
        <f t="shared" si="22"/>
        <v>6.7444841345744131E-106</v>
      </c>
      <c r="C329">
        <f t="shared" si="23"/>
        <v>1</v>
      </c>
      <c r="D329">
        <f t="shared" si="24"/>
        <v>5.8038060842258758E-105</v>
      </c>
      <c r="E329">
        <f t="shared" si="25"/>
        <v>1.9036483956260873E-102</v>
      </c>
      <c r="F329" s="14"/>
    </row>
    <row r="330" spans="1:6">
      <c r="A330" s="22">
        <v>329</v>
      </c>
      <c r="B330">
        <f t="shared" si="22"/>
        <v>6.8368743281987198E-107</v>
      </c>
      <c r="C330">
        <f t="shared" si="23"/>
        <v>1</v>
      </c>
      <c r="D330">
        <f t="shared" si="24"/>
        <v>6.0607967017545415E-106</v>
      </c>
      <c r="E330">
        <f t="shared" si="25"/>
        <v>1.9940021148772443E-103</v>
      </c>
      <c r="F330" s="14"/>
    </row>
    <row r="331" spans="1:6">
      <c r="A331" s="22">
        <v>330</v>
      </c>
      <c r="B331">
        <f t="shared" si="22"/>
        <v>6.7432185154836686E-108</v>
      </c>
      <c r="C331">
        <f t="shared" si="23"/>
        <v>1</v>
      </c>
      <c r="D331">
        <f t="shared" si="24"/>
        <v>6.1625524766503528E-107</v>
      </c>
      <c r="E331">
        <f t="shared" si="25"/>
        <v>2.0336423172946164E-104</v>
      </c>
      <c r="F331" s="14"/>
    </row>
    <row r="332" spans="1:6">
      <c r="A332" s="22">
        <v>331</v>
      </c>
      <c r="B332">
        <f t="shared" si="22"/>
        <v>6.4660999463542035E-109</v>
      </c>
      <c r="C332">
        <f t="shared" si="23"/>
        <v>1</v>
      </c>
      <c r="D332">
        <f t="shared" si="24"/>
        <v>6.0966085208482486E-108</v>
      </c>
      <c r="E332">
        <f t="shared" si="25"/>
        <v>2.0179774204007701E-105</v>
      </c>
      <c r="F332" s="14"/>
    </row>
    <row r="333" spans="1:6">
      <c r="A333" s="22">
        <v>332</v>
      </c>
      <c r="B333">
        <f t="shared" si="22"/>
        <v>6.0232163883847376E-110</v>
      </c>
      <c r="C333">
        <f t="shared" si="23"/>
        <v>1</v>
      </c>
      <c r="D333">
        <f t="shared" si="24"/>
        <v>5.8637783075157298E-109</v>
      </c>
      <c r="E333">
        <f t="shared" si="25"/>
        <v>1.9467743980952222E-106</v>
      </c>
      <c r="F333" s="14"/>
    </row>
    <row r="334" spans="1:6">
      <c r="A334" s="22">
        <v>333</v>
      </c>
      <c r="B334">
        <f t="shared" si="22"/>
        <v>5.4456476936081191E-111</v>
      </c>
      <c r="C334">
        <f t="shared" si="23"/>
        <v>1</v>
      </c>
      <c r="D334">
        <f t="shared" si="24"/>
        <v>5.4786516190239254E-110</v>
      </c>
      <c r="E334">
        <f t="shared" si="25"/>
        <v>1.8243909891349671E-107</v>
      </c>
      <c r="F334" s="14"/>
    </row>
    <row r="335" spans="1:6">
      <c r="A335" s="22">
        <v>334</v>
      </c>
      <c r="B335">
        <f t="shared" si="22"/>
        <v>4.7742664711084877E-112</v>
      </c>
      <c r="C335">
        <f t="shared" si="23"/>
        <v>1</v>
      </c>
      <c r="D335">
        <f t="shared" si="24"/>
        <v>4.9682210464972699E-111</v>
      </c>
      <c r="E335">
        <f t="shared" si="25"/>
        <v>1.6593858295300882E-108</v>
      </c>
      <c r="F335" s="14"/>
    </row>
    <row r="336" spans="1:6">
      <c r="A336" s="22">
        <v>335</v>
      </c>
      <c r="B336">
        <f t="shared" si="22"/>
        <v>4.054856454914058E-113</v>
      </c>
      <c r="C336">
        <f t="shared" si="23"/>
        <v>1</v>
      </c>
      <c r="D336">
        <f t="shared" si="24"/>
        <v>4.3687808256170818E-112</v>
      </c>
      <c r="E336">
        <f t="shared" si="25"/>
        <v>1.4635415765817224E-109</v>
      </c>
      <c r="F336" s="14"/>
    </row>
    <row r="337" spans="1:6">
      <c r="A337" s="22">
        <v>336</v>
      </c>
      <c r="B337">
        <f t="shared" si="22"/>
        <v>3.3327587300663493E-114</v>
      </c>
      <c r="C337">
        <f t="shared" si="23"/>
        <v>1</v>
      </c>
      <c r="D337">
        <f t="shared" si="24"/>
        <v>3.7215805819074226E-113</v>
      </c>
      <c r="E337">
        <f t="shared" si="25"/>
        <v>1.2504510755208939E-110</v>
      </c>
      <c r="F337" s="14"/>
    </row>
    <row r="338" spans="1:6">
      <c r="A338" s="22">
        <v>337</v>
      </c>
      <c r="B338">
        <f t="shared" si="22"/>
        <v>2.6479452923814828E-115</v>
      </c>
      <c r="C338">
        <f t="shared" si="23"/>
        <v>1</v>
      </c>
      <c r="D338">
        <f t="shared" si="24"/>
        <v>3.0679642008282009E-114</v>
      </c>
      <c r="E338">
        <f t="shared" si="25"/>
        <v>1.0339039356791037E-111</v>
      </c>
      <c r="F338" s="14"/>
    </row>
    <row r="339" spans="1:6">
      <c r="A339" s="22">
        <v>338</v>
      </c>
      <c r="B339">
        <f t="shared" si="22"/>
        <v>2.0313004982652469E-116</v>
      </c>
      <c r="C339">
        <f t="shared" si="23"/>
        <v>1</v>
      </c>
      <c r="D339">
        <f t="shared" si="24"/>
        <v>2.444815242554958E-115</v>
      </c>
      <c r="E339">
        <f t="shared" si="25"/>
        <v>8.263475519835758E-113</v>
      </c>
      <c r="F339" s="14"/>
    </row>
    <row r="340" spans="1:6">
      <c r="A340" s="22">
        <v>339</v>
      </c>
      <c r="B340">
        <f t="shared" si="22"/>
        <v>1.5026058480318266E-117</v>
      </c>
      <c r="C340">
        <f t="shared" si="23"/>
        <v>1</v>
      </c>
      <c r="D340">
        <f t="shared" si="24"/>
        <v>1.8810399134620642E-116</v>
      </c>
      <c r="E340">
        <f t="shared" si="25"/>
        <v>6.3767253066363976E-114</v>
      </c>
      <c r="F340" s="14"/>
    </row>
    <row r="341" spans="1:6">
      <c r="A341" s="22">
        <v>340</v>
      </c>
      <c r="B341">
        <f t="shared" si="22"/>
        <v>1.0703493712007532E-118</v>
      </c>
      <c r="C341">
        <f t="shared" si="23"/>
        <v>1</v>
      </c>
      <c r="D341">
        <f t="shared" si="24"/>
        <v>1.3955709109117512E-117</v>
      </c>
      <c r="E341">
        <f t="shared" si="25"/>
        <v>4.7449410970999547E-115</v>
      </c>
      <c r="F341" s="14"/>
    </row>
    <row r="342" spans="1:6">
      <c r="A342" s="22">
        <v>341</v>
      </c>
      <c r="B342">
        <f t="shared" si="22"/>
        <v>7.3311600767174873E-120</v>
      </c>
      <c r="C342">
        <f t="shared" si="23"/>
        <v>1</v>
      </c>
      <c r="D342">
        <f t="shared" si="24"/>
        <v>9.9703777043357834E-119</v>
      </c>
      <c r="E342">
        <f t="shared" si="25"/>
        <v>3.3998987971785021E-116</v>
      </c>
      <c r="F342" s="14"/>
    </row>
    <row r="343" spans="1:6">
      <c r="A343" s="22">
        <v>342</v>
      </c>
      <c r="B343">
        <f t="shared" si="22"/>
        <v>4.8204888175676631E-121</v>
      </c>
      <c r="C343">
        <f t="shared" si="23"/>
        <v>1</v>
      </c>
      <c r="D343">
        <f t="shared" si="24"/>
        <v>6.8491111949607208E-120</v>
      </c>
      <c r="E343">
        <f t="shared" si="25"/>
        <v>2.3423960286765664E-117</v>
      </c>
      <c r="F343" s="14"/>
    </row>
    <row r="344" spans="1:6">
      <c r="A344" s="22">
        <v>343</v>
      </c>
      <c r="B344">
        <f t="shared" si="22"/>
        <v>3.0375682960015412E-122</v>
      </c>
      <c r="C344">
        <f t="shared" si="23"/>
        <v>1</v>
      </c>
      <c r="D344">
        <f t="shared" si="24"/>
        <v>4.5167319879675094E-121</v>
      </c>
      <c r="E344">
        <f t="shared" si="25"/>
        <v>1.5492390718728557E-118</v>
      </c>
      <c r="F344" s="14"/>
    </row>
    <row r="345" spans="1:6">
      <c r="A345" s="22">
        <v>344</v>
      </c>
      <c r="B345">
        <f t="shared" si="22"/>
        <v>1.830863082521477E-123</v>
      </c>
      <c r="C345">
        <f t="shared" si="23"/>
        <v>1</v>
      </c>
      <c r="D345">
        <f t="shared" si="24"/>
        <v>2.8544819877493936E-122</v>
      </c>
      <c r="E345">
        <f t="shared" si="25"/>
        <v>9.8194180378579146E-120</v>
      </c>
      <c r="F345" s="14"/>
    </row>
    <row r="346" spans="1:6">
      <c r="A346" s="22">
        <v>345</v>
      </c>
      <c r="B346">
        <f t="shared" si="22"/>
        <v>1.0533732803548224E-124</v>
      </c>
      <c r="C346">
        <f t="shared" si="23"/>
        <v>1</v>
      </c>
      <c r="D346">
        <f t="shared" si="24"/>
        <v>1.725525754485995E-123</v>
      </c>
      <c r="E346">
        <f t="shared" si="25"/>
        <v>5.9530638529766829E-121</v>
      </c>
      <c r="F346" s="14"/>
    </row>
    <row r="347" spans="1:6">
      <c r="A347" s="22">
        <v>346</v>
      </c>
      <c r="B347">
        <f t="shared" si="22"/>
        <v>5.771908385505876E-126</v>
      </c>
      <c r="C347">
        <f t="shared" si="23"/>
        <v>1</v>
      </c>
      <c r="D347">
        <f t="shared" si="24"/>
        <v>9.9565419649976357E-125</v>
      </c>
      <c r="E347">
        <f t="shared" si="25"/>
        <v>3.444963519889182E-122</v>
      </c>
      <c r="F347" s="14"/>
    </row>
    <row r="348" spans="1:6">
      <c r="A348" s="22">
        <v>347</v>
      </c>
      <c r="B348">
        <f t="shared" si="22"/>
        <v>3.00455504998936E-127</v>
      </c>
      <c r="C348">
        <f t="shared" si="23"/>
        <v>1</v>
      </c>
      <c r="D348">
        <f t="shared" si="24"/>
        <v>5.4714528805069399E-126</v>
      </c>
      <c r="E348">
        <f t="shared" si="25"/>
        <v>1.8985941495359082E-123</v>
      </c>
      <c r="F348" s="14"/>
    </row>
    <row r="349" spans="1:6">
      <c r="A349" s="22">
        <v>348</v>
      </c>
      <c r="B349">
        <f t="shared" si="22"/>
        <v>1.4816983808166708E-128</v>
      </c>
      <c r="C349">
        <f t="shared" si="23"/>
        <v>1</v>
      </c>
      <c r="D349">
        <f t="shared" si="24"/>
        <v>2.8563852119076931E-127</v>
      </c>
      <c r="E349">
        <f t="shared" si="25"/>
        <v>9.9402205374387712E-125</v>
      </c>
      <c r="F349" s="14"/>
    </row>
    <row r="350" spans="1:6">
      <c r="A350" s="22">
        <v>349</v>
      </c>
      <c r="B350">
        <f t="shared" si="22"/>
        <v>6.9010609517488783E-130</v>
      </c>
      <c r="C350">
        <f t="shared" si="23"/>
        <v>1</v>
      </c>
      <c r="D350">
        <f t="shared" si="24"/>
        <v>1.4126877712991822E-128</v>
      </c>
      <c r="E350">
        <f t="shared" si="25"/>
        <v>4.9302803218341457E-126</v>
      </c>
      <c r="F350" s="14"/>
    </row>
    <row r="351" spans="1:6">
      <c r="A351" s="22">
        <v>350</v>
      </c>
      <c r="B351">
        <f t="shared" si="22"/>
        <v>3.0251226089858094E-131</v>
      </c>
      <c r="C351">
        <f t="shared" si="23"/>
        <v>1</v>
      </c>
      <c r="D351">
        <f t="shared" si="24"/>
        <v>6.5985486908502968E-130</v>
      </c>
      <c r="E351">
        <f t="shared" si="25"/>
        <v>2.3094920417976039E-127</v>
      </c>
      <c r="F351" s="14"/>
    </row>
    <row r="352" spans="1:6">
      <c r="A352" s="22">
        <v>351</v>
      </c>
      <c r="B352">
        <f t="shared" si="22"/>
        <v>1.2432010721859491E-132</v>
      </c>
      <c r="C352">
        <f t="shared" si="23"/>
        <v>1</v>
      </c>
      <c r="D352">
        <f t="shared" si="24"/>
        <v>2.9008025017672148E-131</v>
      </c>
      <c r="E352">
        <f t="shared" si="25"/>
        <v>1.0181816781202923E-128</v>
      </c>
      <c r="F352" s="14"/>
    </row>
    <row r="353" spans="1:6">
      <c r="A353" s="22">
        <v>352</v>
      </c>
      <c r="B353">
        <f t="shared" si="22"/>
        <v>4.7684424686584346E-134</v>
      </c>
      <c r="C353">
        <f t="shared" si="23"/>
        <v>1</v>
      </c>
      <c r="D353">
        <f t="shared" si="24"/>
        <v>1.1955166474993649E-132</v>
      </c>
      <c r="E353">
        <f t="shared" si="25"/>
        <v>4.2082185991977639E-130</v>
      </c>
      <c r="F353" s="14"/>
    </row>
    <row r="354" spans="1:6">
      <c r="A354" s="22">
        <v>353</v>
      </c>
      <c r="B354">
        <f t="shared" si="22"/>
        <v>1.6983493723988944E-135</v>
      </c>
      <c r="C354">
        <f t="shared" si="23"/>
        <v>1</v>
      </c>
      <c r="D354">
        <f t="shared" si="24"/>
        <v>4.5986075314185457E-134</v>
      </c>
      <c r="E354">
        <f t="shared" si="25"/>
        <v>1.6233084585907467E-131</v>
      </c>
      <c r="F354" s="14"/>
    </row>
    <row r="355" spans="1:6">
      <c r="A355" s="22">
        <v>354</v>
      </c>
      <c r="B355">
        <f t="shared" si="22"/>
        <v>5.5836143750100635E-137</v>
      </c>
      <c r="C355">
        <f t="shared" si="23"/>
        <v>1</v>
      </c>
      <c r="D355">
        <f t="shared" si="24"/>
        <v>1.6425132286487939E-135</v>
      </c>
      <c r="E355">
        <f t="shared" si="25"/>
        <v>5.8144968294167303E-133</v>
      </c>
      <c r="F355" s="14"/>
    </row>
    <row r="356" spans="1:6">
      <c r="A356" s="22">
        <v>355</v>
      </c>
      <c r="B356">
        <f t="shared" si="22"/>
        <v>1.6827330993181011E-138</v>
      </c>
      <c r="C356">
        <f t="shared" si="23"/>
        <v>1</v>
      </c>
      <c r="D356">
        <f t="shared" si="24"/>
        <v>5.4153410650782532E-137</v>
      </c>
      <c r="E356">
        <f t="shared" si="25"/>
        <v>1.92244607810278E-134</v>
      </c>
      <c r="F356" s="14"/>
    </row>
    <row r="357" spans="1:6">
      <c r="A357" s="22">
        <v>356</v>
      </c>
      <c r="B357">
        <f t="shared" si="22"/>
        <v>4.6102276693646607E-140</v>
      </c>
      <c r="C357">
        <f t="shared" si="23"/>
        <v>1</v>
      </c>
      <c r="D357">
        <f t="shared" si="24"/>
        <v>1.6366308226244544E-138</v>
      </c>
      <c r="E357">
        <f t="shared" si="25"/>
        <v>5.8264057285430575E-136</v>
      </c>
      <c r="F357" s="14"/>
    </row>
    <row r="358" spans="1:6">
      <c r="A358" s="22">
        <v>357</v>
      </c>
      <c r="B358">
        <f t="shared" si="22"/>
        <v>1.1367684664186835E-141</v>
      </c>
      <c r="C358">
        <f t="shared" si="23"/>
        <v>1</v>
      </c>
      <c r="D358">
        <f t="shared" si="24"/>
        <v>4.4965508227227922E-140</v>
      </c>
      <c r="E358">
        <f t="shared" si="25"/>
        <v>1.6052686437120368E-137</v>
      </c>
      <c r="F358" s="14"/>
    </row>
    <row r="359" spans="1:6">
      <c r="A359" s="22">
        <v>358</v>
      </c>
      <c r="B359">
        <f t="shared" si="22"/>
        <v>2.4915473236573883E-143</v>
      </c>
      <c r="C359">
        <f t="shared" si="23"/>
        <v>1</v>
      </c>
      <c r="D359">
        <f t="shared" si="24"/>
        <v>1.1118529931821096E-141</v>
      </c>
      <c r="E359">
        <f t="shared" si="25"/>
        <v>3.9804337155919527E-139</v>
      </c>
      <c r="F359" s="14"/>
    </row>
    <row r="360" spans="1:6">
      <c r="A360" s="22">
        <v>359</v>
      </c>
      <c r="B360">
        <f t="shared" si="22"/>
        <v>4.7783099357812922E-145</v>
      </c>
      <c r="C360">
        <f t="shared" si="23"/>
        <v>1</v>
      </c>
      <c r="D360">
        <f t="shared" si="24"/>
        <v>2.4437642242995753E-143</v>
      </c>
      <c r="E360">
        <f t="shared" si="25"/>
        <v>8.773113565235475E-141</v>
      </c>
      <c r="F360" s="14"/>
    </row>
    <row r="361" spans="1:6">
      <c r="A361" s="22">
        <v>360</v>
      </c>
      <c r="B361">
        <f t="shared" si="22"/>
        <v>7.8547560588185633E-147</v>
      </c>
      <c r="C361">
        <f t="shared" si="23"/>
        <v>1</v>
      </c>
      <c r="D361">
        <f t="shared" si="24"/>
        <v>4.6997623751931063E-145</v>
      </c>
      <c r="E361">
        <f t="shared" si="25"/>
        <v>1.6919144550695183E-142</v>
      </c>
      <c r="F361" s="14"/>
    </row>
    <row r="362" spans="1:6">
      <c r="A362" s="22">
        <v>361</v>
      </c>
      <c r="B362">
        <f t="shared" si="22"/>
        <v>1.0759939806600772E-148</v>
      </c>
      <c r="C362">
        <f t="shared" si="23"/>
        <v>1</v>
      </c>
      <c r="D362">
        <f t="shared" si="24"/>
        <v>7.747156660752556E-147</v>
      </c>
      <c r="E362">
        <f t="shared" si="25"/>
        <v>2.7967235545316726E-144</v>
      </c>
      <c r="F362" s="14"/>
    </row>
    <row r="363" spans="1:6">
      <c r="A363" s="22">
        <v>362</v>
      </c>
      <c r="B363">
        <f t="shared" si="22"/>
        <v>1.1791714856548791E-150</v>
      </c>
      <c r="C363">
        <f t="shared" si="23"/>
        <v>1</v>
      </c>
      <c r="D363">
        <f t="shared" si="24"/>
        <v>1.0642022658035285E-148</v>
      </c>
      <c r="E363">
        <f t="shared" si="25"/>
        <v>3.8524122022087729E-146</v>
      </c>
      <c r="F363" s="14"/>
    </row>
    <row r="364" spans="1:6">
      <c r="A364" s="22">
        <v>363</v>
      </c>
      <c r="B364">
        <f t="shared" si="22"/>
        <v>9.6918204300401017E-153</v>
      </c>
      <c r="C364">
        <f t="shared" si="23"/>
        <v>1</v>
      </c>
      <c r="D364">
        <f t="shared" si="24"/>
        <v>1.1694796652248389E-150</v>
      </c>
      <c r="E364">
        <f t="shared" si="25"/>
        <v>4.245211184766165E-148</v>
      </c>
      <c r="F364" s="14"/>
    </row>
    <row r="365" spans="1:6">
      <c r="A365" s="22">
        <v>364</v>
      </c>
      <c r="B365">
        <f t="shared" si="22"/>
        <v>5.3105865370082749E-155</v>
      </c>
      <c r="C365">
        <f t="shared" si="23"/>
        <v>1</v>
      </c>
      <c r="D365">
        <f t="shared" si="24"/>
        <v>9.63871456467002E-153</v>
      </c>
      <c r="E365">
        <f t="shared" si="25"/>
        <v>3.5084921015398872E-150</v>
      </c>
      <c r="F365" s="14"/>
    </row>
    <row r="366" spans="1:6">
      <c r="A366" s="22">
        <v>365</v>
      </c>
      <c r="B366">
        <f t="shared" si="22"/>
        <v>1.4549552156187055E-157</v>
      </c>
      <c r="C366">
        <f t="shared" si="23"/>
        <v>1</v>
      </c>
      <c r="D366">
        <f t="shared" si="24"/>
        <v>5.2960369848520878E-155</v>
      </c>
      <c r="E366">
        <f t="shared" si="25"/>
        <v>1.9330534994710122E-152</v>
      </c>
      <c r="F366" s="14"/>
    </row>
    <row r="367" spans="1:6">
      <c r="A367" s="22">
        <v>366</v>
      </c>
      <c r="B367">
        <f t="shared" si="22"/>
        <v>0</v>
      </c>
      <c r="C367">
        <f t="shared" si="23"/>
        <v>1</v>
      </c>
      <c r="D367">
        <f t="shared" si="24"/>
        <v>1.4549552156187055E-157</v>
      </c>
      <c r="E367">
        <f t="shared" si="25"/>
        <v>5.325136089164462E-155</v>
      </c>
      <c r="F367" s="14"/>
    </row>
    <row r="368" spans="1:6">
      <c r="A368" s="19"/>
      <c r="B368" s="19"/>
      <c r="C368" s="19"/>
      <c r="D368" s="19"/>
      <c r="E368" s="19"/>
    </row>
  </sheetData>
  <mergeCells count="4">
    <mergeCell ref="H6:H7"/>
    <mergeCell ref="I6:I7"/>
    <mergeCell ref="H11:H12"/>
    <mergeCell ref="I11:I12"/>
  </mergeCells>
  <phoneticPr fontId="1"/>
  <pageMargins left="0.7" right="0.7" top="0.75" bottom="0.75" header="0.3" footer="0.3"/>
  <pageSetup scale="43" fitToHeight="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FEC96-9740-454D-88E8-22A5AFA399E6}">
  <dimension ref="A1:H104"/>
  <sheetViews>
    <sheetView workbookViewId="0">
      <selection activeCell="B1" sqref="B1"/>
    </sheetView>
  </sheetViews>
  <sheetFormatPr defaultRowHeight="17.649999999999999"/>
  <cols>
    <col min="1" max="1" width="5.5" bestFit="1" customWidth="1"/>
    <col min="2" max="2" width="13.375" style="3" bestFit="1" customWidth="1"/>
    <col min="3" max="3" width="13.375" style="3" customWidth="1"/>
    <col min="4" max="4" width="13.375" customWidth="1"/>
  </cols>
  <sheetData>
    <row r="1" spans="1:8">
      <c r="A1" s="11" t="s">
        <v>1</v>
      </c>
      <c r="B1" s="24">
        <v>10</v>
      </c>
      <c r="C1" s="12" t="s">
        <v>51</v>
      </c>
    </row>
    <row r="3" spans="1:8" s="2" customFormat="1">
      <c r="A3" s="25" t="s">
        <v>24</v>
      </c>
      <c r="B3" s="23" t="str">
        <f>"p(n, "&amp;k&amp;")"</f>
        <v>p(n, 10)</v>
      </c>
      <c r="C3" s="23" t="str">
        <f>"q(n, "&amp;k&amp;")"</f>
        <v>q(n, 10)</v>
      </c>
      <c r="D3" s="23" t="str">
        <f>"n×p(n, "&amp;k&amp;")"</f>
        <v>n×p(n, 10)</v>
      </c>
      <c r="E3" s="28"/>
      <c r="F3" s="1" t="s">
        <v>40</v>
      </c>
      <c r="G3" t="s">
        <v>17</v>
      </c>
    </row>
    <row r="4" spans="1:8" s="3" customFormat="1">
      <c r="A4" s="26">
        <v>1</v>
      </c>
      <c r="B4" s="13">
        <f t="shared" ref="B4:B35" ca="1" si="0">FACT(k)*OFFSET(S, $A4-1, k-1)/k^$A4</f>
        <v>0</v>
      </c>
      <c r="C4" s="13">
        <f ca="1">SUM(B$4:B4)</f>
        <v>0</v>
      </c>
      <c r="D4" s="13">
        <f ca="1">A4*B4</f>
        <v>0</v>
      </c>
      <c r="E4" s="29"/>
      <c r="F4" s="1" t="s">
        <v>41</v>
      </c>
      <c r="G4" t="s">
        <v>18</v>
      </c>
    </row>
    <row r="5" spans="1:8">
      <c r="A5" s="27">
        <v>2</v>
      </c>
      <c r="B5" s="13">
        <f t="shared" ca="1" si="0"/>
        <v>0</v>
      </c>
      <c r="C5" s="13">
        <f ca="1">SUM(B$4:B5)</f>
        <v>0</v>
      </c>
      <c r="D5" s="13">
        <f t="shared" ref="D5:D68" ca="1" si="1">A5*B5</f>
        <v>0</v>
      </c>
      <c r="E5" s="14"/>
      <c r="F5" s="1" t="s">
        <v>20</v>
      </c>
      <c r="G5" t="s">
        <v>23</v>
      </c>
    </row>
    <row r="6" spans="1:8">
      <c r="A6" s="27">
        <f>A5+1</f>
        <v>3</v>
      </c>
      <c r="B6" s="13">
        <f t="shared" ca="1" si="0"/>
        <v>0</v>
      </c>
      <c r="C6" s="13">
        <f ca="1">SUM(B$4:B6)</f>
        <v>0</v>
      </c>
      <c r="D6" s="13">
        <f t="shared" ca="1" si="1"/>
        <v>0</v>
      </c>
      <c r="E6" s="14"/>
    </row>
    <row r="7" spans="1:8" ht="19.149999999999999">
      <c r="A7" s="27">
        <f t="shared" ref="A7:A70" si="2">A6+1</f>
        <v>4</v>
      </c>
      <c r="B7" s="13">
        <f t="shared" ca="1" si="0"/>
        <v>0</v>
      </c>
      <c r="C7" s="13">
        <f ca="1">SUM(B$4:B7)</f>
        <v>0</v>
      </c>
      <c r="D7" s="13">
        <f t="shared" ca="1" si="1"/>
        <v>0</v>
      </c>
      <c r="E7" s="14"/>
      <c r="F7" s="1" t="s">
        <v>42</v>
      </c>
      <c r="G7" t="s">
        <v>19</v>
      </c>
    </row>
    <row r="8" spans="1:8" ht="19.149999999999999">
      <c r="A8" s="27">
        <f t="shared" si="2"/>
        <v>5</v>
      </c>
      <c r="B8" s="13">
        <f t="shared" ca="1" si="0"/>
        <v>0</v>
      </c>
      <c r="C8" s="13">
        <f ca="1">SUM(B$4:B8)</f>
        <v>0</v>
      </c>
      <c r="D8" s="13">
        <f t="shared" ca="1" si="1"/>
        <v>0</v>
      </c>
      <c r="E8" s="14"/>
      <c r="F8" s="1" t="s">
        <v>43</v>
      </c>
      <c r="G8" s="31" t="s">
        <v>44</v>
      </c>
    </row>
    <row r="9" spans="1:8" ht="19.149999999999999">
      <c r="A9" s="27">
        <f>A8+1</f>
        <v>6</v>
      </c>
      <c r="B9" s="13">
        <f t="shared" ca="1" si="0"/>
        <v>0</v>
      </c>
      <c r="C9" s="13">
        <f ca="1">SUM(B$4:B9)</f>
        <v>0</v>
      </c>
      <c r="D9" s="13">
        <f t="shared" ca="1" si="1"/>
        <v>0</v>
      </c>
      <c r="E9" s="14"/>
      <c r="F9" s="1" t="s">
        <v>22</v>
      </c>
      <c r="G9" s="31" t="s">
        <v>45</v>
      </c>
    </row>
    <row r="10" spans="1:8">
      <c r="A10" s="27">
        <f t="shared" si="2"/>
        <v>7</v>
      </c>
      <c r="B10" s="13">
        <f t="shared" ca="1" si="0"/>
        <v>0</v>
      </c>
      <c r="C10" s="13">
        <f ca="1">SUM(B$4:B10)</f>
        <v>0</v>
      </c>
      <c r="D10" s="13">
        <f t="shared" ca="1" si="1"/>
        <v>0</v>
      </c>
      <c r="E10" s="14"/>
      <c r="F10" s="33" t="s">
        <v>55</v>
      </c>
      <c r="G10" s="31" t="s">
        <v>56</v>
      </c>
    </row>
    <row r="11" spans="1:8">
      <c r="A11" s="27">
        <f t="shared" si="2"/>
        <v>8</v>
      </c>
      <c r="B11" s="13">
        <f t="shared" ca="1" si="0"/>
        <v>0</v>
      </c>
      <c r="C11" s="13">
        <f ca="1">SUM(B$4:B11)</f>
        <v>0</v>
      </c>
      <c r="D11" s="13">
        <f t="shared" ca="1" si="1"/>
        <v>0</v>
      </c>
      <c r="E11" s="14"/>
    </row>
    <row r="12" spans="1:8" ht="20.25" customHeight="1">
      <c r="A12" s="27">
        <f t="shared" si="2"/>
        <v>9</v>
      </c>
      <c r="B12" s="13">
        <f t="shared" ca="1" si="0"/>
        <v>0</v>
      </c>
      <c r="C12" s="13">
        <f ca="1">SUM(B$4:B12)</f>
        <v>0</v>
      </c>
      <c r="D12" s="13">
        <f t="shared" ca="1" si="1"/>
        <v>0</v>
      </c>
      <c r="E12" s="14"/>
      <c r="F12" s="1" t="s">
        <v>21</v>
      </c>
      <c r="G12" s="24">
        <f ca="1">SUM(D4:D103)</f>
        <v>29.260465963401671</v>
      </c>
      <c r="H12" t="s">
        <v>52</v>
      </c>
    </row>
    <row r="13" spans="1:8">
      <c r="A13" s="27">
        <f t="shared" si="2"/>
        <v>10</v>
      </c>
      <c r="B13" s="13">
        <f t="shared" ca="1" si="0"/>
        <v>3.6288E-4</v>
      </c>
      <c r="C13" s="13">
        <f ca="1">SUM(B$4:B13)</f>
        <v>3.6288E-4</v>
      </c>
      <c r="D13" s="13">
        <f t="shared" ca="1" si="1"/>
        <v>3.6287999999999997E-3</v>
      </c>
      <c r="E13" s="14"/>
    </row>
    <row r="14" spans="1:8">
      <c r="A14" s="27">
        <f t="shared" si="2"/>
        <v>11</v>
      </c>
      <c r="B14" s="13">
        <f t="shared" ca="1" si="0"/>
        <v>1.6329599999999999E-3</v>
      </c>
      <c r="C14" s="13">
        <f ca="1">SUM(B$4:B14)</f>
        <v>1.99584E-3</v>
      </c>
      <c r="D14" s="13">
        <f t="shared" ca="1" si="1"/>
        <v>1.7962559999999999E-2</v>
      </c>
      <c r="E14" s="14"/>
    </row>
    <row r="15" spans="1:8">
      <c r="A15" s="27">
        <f t="shared" si="2"/>
        <v>12</v>
      </c>
      <c r="B15" s="13">
        <f t="shared" ca="1" si="0"/>
        <v>4.1912640000000001E-3</v>
      </c>
      <c r="C15" s="13">
        <f ca="1">SUM(B$4:B15)</f>
        <v>6.1871040000000006E-3</v>
      </c>
      <c r="D15" s="13">
        <f t="shared" ca="1" si="1"/>
        <v>5.0295168000000001E-2</v>
      </c>
      <c r="E15" s="14"/>
    </row>
    <row r="16" spans="1:8">
      <c r="A16" s="27">
        <f t="shared" si="2"/>
        <v>13</v>
      </c>
      <c r="B16" s="13">
        <f t="shared" ca="1" si="0"/>
        <v>8.0831519999999997E-3</v>
      </c>
      <c r="C16" s="13">
        <f ca="1">SUM(B$4:B16)</f>
        <v>1.4270256E-2</v>
      </c>
      <c r="D16" s="13">
        <f t="shared" ca="1" si="1"/>
        <v>0.10508097599999999</v>
      </c>
      <c r="E16" s="14"/>
    </row>
    <row r="17" spans="1:5">
      <c r="A17" s="27">
        <f t="shared" si="2"/>
        <v>14</v>
      </c>
      <c r="B17" s="13">
        <f t="shared" ca="1" si="0"/>
        <v>1.3045608576E-2</v>
      </c>
      <c r="C17" s="13">
        <f ca="1">SUM(B$4:B17)</f>
        <v>2.7315864576E-2</v>
      </c>
      <c r="D17" s="13">
        <f t="shared" ca="1" si="1"/>
        <v>0.182638520064</v>
      </c>
      <c r="E17" s="14"/>
    </row>
    <row r="18" spans="1:5">
      <c r="A18" s="27">
        <f t="shared" si="2"/>
        <v>15</v>
      </c>
      <c r="B18" s="13">
        <f t="shared" ca="1" si="0"/>
        <v>1.8634359744E-2</v>
      </c>
      <c r="C18" s="13">
        <f ca="1">SUM(B$4:B18)</f>
        <v>4.5950224319999997E-2</v>
      </c>
      <c r="D18" s="13">
        <f t="shared" ca="1" si="1"/>
        <v>0.27951539615999998</v>
      </c>
      <c r="E18" s="14"/>
    </row>
    <row r="19" spans="1:5">
      <c r="A19" s="27">
        <f t="shared" si="2"/>
        <v>16</v>
      </c>
      <c r="B19" s="13">
        <f t="shared" ca="1" si="0"/>
        <v>2.43595864512E-2</v>
      </c>
      <c r="C19" s="13">
        <f ca="1">SUM(B$4:B19)</f>
        <v>7.0309810771199993E-2</v>
      </c>
      <c r="D19" s="13">
        <f t="shared" ca="1" si="1"/>
        <v>0.3897533832192</v>
      </c>
      <c r="E19" s="14"/>
    </row>
    <row r="20" spans="1:5">
      <c r="A20" s="27">
        <f t="shared" si="2"/>
        <v>17</v>
      </c>
      <c r="B20" s="13">
        <f t="shared" ca="1" si="0"/>
        <v>2.9784618863999999E-2</v>
      </c>
      <c r="C20" s="13">
        <f ca="1">SUM(B$4:B20)</f>
        <v>0.10009442963519999</v>
      </c>
      <c r="D20" s="13">
        <f t="shared" ca="1" si="1"/>
        <v>0.506338520688</v>
      </c>
      <c r="E20" s="14"/>
    </row>
    <row r="21" spans="1:5">
      <c r="A21" s="27">
        <f t="shared" si="2"/>
        <v>18</v>
      </c>
      <c r="B21" s="13">
        <f t="shared" ca="1" si="0"/>
        <v>3.45781903731264E-2</v>
      </c>
      <c r="C21" s="13">
        <f ca="1">SUM(B$4:B21)</f>
        <v>0.13467262000832639</v>
      </c>
      <c r="D21" s="13">
        <f t="shared" ca="1" si="1"/>
        <v>0.62240742671627514</v>
      </c>
      <c r="E21" s="14"/>
    </row>
    <row r="22" spans="1:5">
      <c r="A22" s="27">
        <f t="shared" si="2"/>
        <v>19</v>
      </c>
      <c r="B22" s="13">
        <f t="shared" ca="1" si="0"/>
        <v>3.85289276115744E-2</v>
      </c>
      <c r="C22" s="13">
        <f ca="1">SUM(B$4:B22)</f>
        <v>0.17320154761990078</v>
      </c>
      <c r="D22" s="13">
        <f t="shared" ca="1" si="1"/>
        <v>0.73204962461991363</v>
      </c>
      <c r="E22" s="14"/>
    </row>
    <row r="23" spans="1:5">
      <c r="A23" s="27">
        <f t="shared" si="2"/>
        <v>20</v>
      </c>
      <c r="B23" s="13">
        <f t="shared" ca="1" si="0"/>
        <v>4.1535775577499844E-2</v>
      </c>
      <c r="C23" s="13">
        <f ca="1">SUM(B$4:B23)</f>
        <v>0.21473732319740063</v>
      </c>
      <c r="D23" s="13">
        <f t="shared" ca="1" si="1"/>
        <v>0.8307155115499969</v>
      </c>
      <c r="E23" s="14"/>
    </row>
    <row r="24" spans="1:5">
      <c r="A24" s="27">
        <f t="shared" si="2"/>
        <v>21</v>
      </c>
      <c r="B24" s="13">
        <f t="shared" ca="1" si="0"/>
        <v>4.3586542461178074E-2</v>
      </c>
      <c r="C24" s="13">
        <f ca="1">SUM(B$4:B24)</f>
        <v>0.25832386565857868</v>
      </c>
      <c r="D24" s="13">
        <f t="shared" ca="1" si="1"/>
        <v>0.91531739168473958</v>
      </c>
      <c r="E24" s="14"/>
    </row>
    <row r="25" spans="1:5">
      <c r="A25" s="27">
        <f t="shared" si="2"/>
        <v>22</v>
      </c>
      <c r="B25" s="13">
        <f t="shared" ca="1" si="0"/>
        <v>4.4733116259693229E-2</v>
      </c>
      <c r="C25" s="13">
        <f ca="1">SUM(B$4:B25)</f>
        <v>0.30305698191827191</v>
      </c>
      <c r="D25" s="13">
        <f t="shared" ca="1" si="1"/>
        <v>0.98412855771325103</v>
      </c>
      <c r="E25" s="14"/>
    </row>
    <row r="26" spans="1:5">
      <c r="A26" s="27">
        <f t="shared" si="2"/>
        <v>23</v>
      </c>
      <c r="B26" s="13">
        <f t="shared" ca="1" si="0"/>
        <v>4.5068364358638896E-2</v>
      </c>
      <c r="C26" s="13">
        <f ca="1">SUM(B$4:B26)</f>
        <v>0.34812534627691083</v>
      </c>
      <c r="D26" s="13">
        <f t="shared" ca="1" si="1"/>
        <v>1.0365723802486946</v>
      </c>
      <c r="E26" s="14"/>
    </row>
    <row r="27" spans="1:5">
      <c r="A27" s="27">
        <f t="shared" si="2"/>
        <v>24</v>
      </c>
      <c r="B27" s="13">
        <f t="shared" ca="1" si="0"/>
        <v>4.4707065704248587E-2</v>
      </c>
      <c r="C27" s="13">
        <f ca="1">SUM(B$4:B27)</f>
        <v>0.39283241198115942</v>
      </c>
      <c r="D27" s="13">
        <f t="shared" ca="1" si="1"/>
        <v>1.072969576901966</v>
      </c>
      <c r="E27" s="14"/>
    </row>
    <row r="28" spans="1:5">
      <c r="A28" s="27">
        <f t="shared" si="2"/>
        <v>25</v>
      </c>
      <c r="B28" s="13">
        <f t="shared" ca="1" si="0"/>
        <v>4.3771519771445187E-2</v>
      </c>
      <c r="C28" s="13">
        <f ca="1">SUM(B$4:B28)</f>
        <v>0.43660393175260459</v>
      </c>
      <c r="D28" s="13">
        <f t="shared" ca="1" si="1"/>
        <v>1.0942879942861297</v>
      </c>
      <c r="E28" s="14"/>
    </row>
    <row r="29" spans="1:5">
      <c r="A29" s="27">
        <f t="shared" si="2"/>
        <v>26</v>
      </c>
      <c r="B29" s="13">
        <f t="shared" ca="1" si="0"/>
        <v>4.2381533617261803E-2</v>
      </c>
      <c r="C29" s="13">
        <f ca="1">SUM(B$4:B29)</f>
        <v>0.47898546536986641</v>
      </c>
      <c r="D29" s="13">
        <f t="shared" ca="1" si="1"/>
        <v>1.101919874048807</v>
      </c>
      <c r="E29" s="14"/>
    </row>
    <row r="30" spans="1:5">
      <c r="A30" s="27">
        <f t="shared" si="2"/>
        <v>27</v>
      </c>
      <c r="B30" s="13">
        <f t="shared" ca="1" si="0"/>
        <v>4.0648064094729958E-2</v>
      </c>
      <c r="C30" s="13">
        <f ca="1">SUM(B$4:B30)</f>
        <v>0.5196335294645964</v>
      </c>
      <c r="D30" s="13">
        <f t="shared" ca="1" si="1"/>
        <v>1.0974977305577089</v>
      </c>
      <c r="E30" s="14"/>
    </row>
    <row r="31" spans="1:5">
      <c r="A31" s="27">
        <f t="shared" si="2"/>
        <v>28</v>
      </c>
      <c r="B31" s="13">
        <f t="shared" ca="1" si="0"/>
        <v>3.866968060804301E-2</v>
      </c>
      <c r="C31" s="13">
        <f ca="1">SUM(B$4:B31)</f>
        <v>0.55830321007263939</v>
      </c>
      <c r="D31" s="13">
        <f t="shared" ca="1" si="1"/>
        <v>1.0827510570252044</v>
      </c>
      <c r="E31" s="14"/>
    </row>
    <row r="32" spans="1:5">
      <c r="A32" s="27">
        <f t="shared" si="2"/>
        <v>29</v>
      </c>
      <c r="B32" s="13">
        <f t="shared" ca="1" si="0"/>
        <v>3.6531067596089047E-2</v>
      </c>
      <c r="C32" s="13">
        <f ca="1">SUM(B$4:B32)</f>
        <v>0.59483427766872843</v>
      </c>
      <c r="D32" s="13">
        <f t="shared" ca="1" si="1"/>
        <v>1.0594009602865824</v>
      </c>
      <c r="E32" s="14"/>
    </row>
    <row r="33" spans="1:5">
      <c r="A33" s="27">
        <f t="shared" si="2"/>
        <v>30</v>
      </c>
      <c r="B33" s="13">
        <f t="shared" ca="1" si="0"/>
        <v>3.4302911584009943E-2</v>
      </c>
      <c r="C33" s="13">
        <f ca="1">SUM(B$4:B33)</f>
        <v>0.62913718925273843</v>
      </c>
      <c r="D33" s="13">
        <f t="shared" ca="1" si="1"/>
        <v>1.0290873475202984</v>
      </c>
      <c r="E33" s="14"/>
    </row>
    <row r="34" spans="1:5">
      <c r="A34" s="27">
        <f t="shared" si="2"/>
        <v>31</v>
      </c>
      <c r="B34" s="13">
        <f t="shared" ca="1" si="0"/>
        <v>3.204266116424976E-2</v>
      </c>
      <c r="C34" s="13">
        <f ca="1">SUM(B$4:B34)</f>
        <v>0.66117985041698824</v>
      </c>
      <c r="D34" s="13">
        <f t="shared" ca="1" si="1"/>
        <v>0.9933224960917425</v>
      </c>
      <c r="E34" s="14"/>
    </row>
    <row r="35" spans="1:5">
      <c r="A35" s="27">
        <f t="shared" si="2"/>
        <v>32</v>
      </c>
      <c r="B35" s="13">
        <f t="shared" ca="1" si="0"/>
        <v>2.9795782029831519E-2</v>
      </c>
      <c r="C35" s="13">
        <f ca="1">SUM(B$4:B35)</f>
        <v>0.6909756324468197</v>
      </c>
      <c r="D35" s="13">
        <f t="shared" ca="1" si="1"/>
        <v>0.95346502495460861</v>
      </c>
      <c r="E35" s="14"/>
    </row>
    <row r="36" spans="1:5">
      <c r="A36" s="27">
        <f t="shared" si="2"/>
        <v>33</v>
      </c>
      <c r="B36" s="13">
        <f t="shared" ref="B36:B67" ca="1" si="3">FACT(k)*OFFSET(S, $A36-1, k-1)/k^$A36</f>
        <v>2.759724157745656E-2</v>
      </c>
      <c r="C36" s="13">
        <f ca="1">SUM(B$4:B36)</f>
        <v>0.71857287402427628</v>
      </c>
      <c r="D36" s="13">
        <f t="shared" ca="1" si="1"/>
        <v>0.91070897205606649</v>
      </c>
      <c r="E36" s="14"/>
    </row>
    <row r="37" spans="1:5">
      <c r="A37" s="27">
        <f t="shared" si="2"/>
        <v>34</v>
      </c>
      <c r="B37" s="13">
        <f t="shared" ca="1" si="3"/>
        <v>2.5473045949349498E-2</v>
      </c>
      <c r="C37" s="13">
        <f ca="1">SUM(B$4:B37)</f>
        <v>0.74404591997362579</v>
      </c>
      <c r="D37" s="13">
        <f t="shared" ca="1" si="1"/>
        <v>0.86608356227788297</v>
      </c>
      <c r="E37" s="14"/>
    </row>
    <row r="38" spans="1:5">
      <c r="A38" s="27">
        <f t="shared" si="2"/>
        <v>35</v>
      </c>
      <c r="B38" s="13">
        <f t="shared" ca="1" si="3"/>
        <v>2.3441718456611263E-2</v>
      </c>
      <c r="C38" s="13">
        <f ca="1">SUM(B$4:B38)</f>
        <v>0.76748763843023704</v>
      </c>
      <c r="D38" s="13">
        <f t="shared" ca="1" si="1"/>
        <v>0.82046014598139416</v>
      </c>
      <c r="E38" s="14"/>
    </row>
    <row r="39" spans="1:5">
      <c r="A39" s="27">
        <f t="shared" si="2"/>
        <v>36</v>
      </c>
      <c r="B39" s="13">
        <f t="shared" ca="1" si="3"/>
        <v>2.1515655696614108E-2</v>
      </c>
      <c r="C39" s="13">
        <f ca="1">SUM(B$4:B39)</f>
        <v>0.78900329412685111</v>
      </c>
      <c r="D39" s="13">
        <f t="shared" ca="1" si="1"/>
        <v>0.77456360507810795</v>
      </c>
      <c r="E39" s="14"/>
    </row>
    <row r="40" spans="1:5">
      <c r="A40" s="27">
        <f t="shared" si="2"/>
        <v>37</v>
      </c>
      <c r="B40" s="13">
        <f t="shared" ca="1" si="3"/>
        <v>1.9702330293727529E-2</v>
      </c>
      <c r="C40" s="13">
        <f ca="1">SUM(B$4:B40)</f>
        <v>0.80870562442057858</v>
      </c>
      <c r="D40" s="13">
        <f t="shared" ca="1" si="1"/>
        <v>0.72898622086791853</v>
      </c>
      <c r="E40" s="14"/>
    </row>
    <row r="41" spans="1:5">
      <c r="A41" s="27">
        <f t="shared" si="2"/>
        <v>38</v>
      </c>
      <c r="B41" s="13">
        <f t="shared" ca="1" si="3"/>
        <v>1.8005330690943067E-2</v>
      </c>
      <c r="C41" s="13">
        <f ca="1">SUM(B$4:B41)</f>
        <v>0.82671095511152171</v>
      </c>
      <c r="D41" s="13">
        <f t="shared" ca="1" si="1"/>
        <v>0.68420256625583653</v>
      </c>
      <c r="E41" s="14"/>
    </row>
    <row r="42" spans="1:5">
      <c r="A42" s="27">
        <f t="shared" si="2"/>
        <v>39</v>
      </c>
      <c r="B42" s="13">
        <f t="shared" ca="1" si="3"/>
        <v>1.6425241844533384E-2</v>
      </c>
      <c r="C42" s="13">
        <f ca="1">SUM(B$4:B42)</f>
        <v>0.84313619695605513</v>
      </c>
      <c r="D42" s="13">
        <f t="shared" ca="1" si="1"/>
        <v>0.64058443193680203</v>
      </c>
      <c r="E42" s="14"/>
    </row>
    <row r="43" spans="1:5">
      <c r="A43" s="27">
        <f t="shared" si="2"/>
        <v>40</v>
      </c>
      <c r="B43" s="13">
        <f t="shared" ca="1" si="3"/>
        <v>1.4960378429718349E-2</v>
      </c>
      <c r="C43" s="13">
        <f ca="1">SUM(B$4:B43)</f>
        <v>0.85809657538577344</v>
      </c>
      <c r="D43" s="13">
        <f t="shared" ca="1" si="1"/>
        <v>0.59841513718873396</v>
      </c>
      <c r="E43" s="14"/>
    </row>
    <row r="44" spans="1:5">
      <c r="A44" s="27">
        <f t="shared" si="2"/>
        <v>41</v>
      </c>
      <c r="B44" s="13">
        <f t="shared" ca="1" si="3"/>
        <v>1.360738607359442E-2</v>
      </c>
      <c r="C44" s="13">
        <f ca="1">SUM(B$4:B44)</f>
        <v>0.8717039614593679</v>
      </c>
      <c r="D44" s="13">
        <f t="shared" ca="1" si="1"/>
        <v>0.5579028290173712</v>
      </c>
      <c r="E44" s="14"/>
    </row>
    <row r="45" spans="1:5">
      <c r="A45" s="27">
        <f t="shared" si="2"/>
        <v>42</v>
      </c>
      <c r="B45" s="13">
        <f t="shared" ca="1" si="3"/>
        <v>1.2361727525963085E-2</v>
      </c>
      <c r="C45" s="13">
        <f ca="1">SUM(B$4:B45)</f>
        <v>0.884065688985331</v>
      </c>
      <c r="D45" s="13">
        <f t="shared" ca="1" si="1"/>
        <v>0.51919255609044956</v>
      </c>
      <c r="E45" s="14"/>
    </row>
    <row r="46" spans="1:5">
      <c r="A46" s="27">
        <f t="shared" si="2"/>
        <v>43</v>
      </c>
      <c r="B46" s="13">
        <f t="shared" ca="1" si="3"/>
        <v>1.1218070507695313E-2</v>
      </c>
      <c r="C46" s="13">
        <f ca="1">SUM(B$4:B46)</f>
        <v>0.8952837594930263</v>
      </c>
      <c r="D46" s="13">
        <f t="shared" ca="1" si="1"/>
        <v>0.48237703183089847</v>
      </c>
      <c r="E46" s="14"/>
    </row>
    <row r="47" spans="1:5">
      <c r="A47" s="27">
        <f t="shared" si="2"/>
        <v>44</v>
      </c>
      <c r="B47" s="13">
        <f t="shared" ca="1" si="3"/>
        <v>1.0170592895943176E-2</v>
      </c>
      <c r="C47" s="13">
        <f ca="1">SUM(B$4:B47)</f>
        <v>0.90545435238896943</v>
      </c>
      <c r="D47" s="13">
        <f t="shared" ca="1" si="1"/>
        <v>0.44750608742149978</v>
      </c>
      <c r="E47" s="14"/>
    </row>
    <row r="48" spans="1:5">
      <c r="A48" s="27">
        <f t="shared" si="2"/>
        <v>45</v>
      </c>
      <c r="B48" s="13">
        <f t="shared" ca="1" si="3"/>
        <v>9.2132193565092127E-3</v>
      </c>
      <c r="C48" s="13">
        <f ca="1">SUM(B$4:B48)</f>
        <v>0.91466757174547864</v>
      </c>
      <c r="D48" s="13">
        <f t="shared" ca="1" si="1"/>
        <v>0.41459487104291459</v>
      </c>
      <c r="E48" s="14"/>
    </row>
    <row r="49" spans="1:5">
      <c r="A49" s="27">
        <f t="shared" si="2"/>
        <v>46</v>
      </c>
      <c r="B49" s="13">
        <f t="shared" ca="1" si="3"/>
        <v>8.3398018021014712E-3</v>
      </c>
      <c r="C49" s="13">
        <f ca="1">SUM(B$4:B49)</f>
        <v>0.92300737354758011</v>
      </c>
      <c r="D49" s="13">
        <f t="shared" ca="1" si="1"/>
        <v>0.38363088289666769</v>
      </c>
      <c r="E49" s="14"/>
    </row>
    <row r="50" spans="1:5">
      <c r="A50" s="27">
        <f t="shared" si="2"/>
        <v>47</v>
      </c>
      <c r="B50" s="13">
        <f t="shared" ca="1" si="3"/>
        <v>7.5442543188464547E-3</v>
      </c>
      <c r="C50" s="13">
        <f ca="1">SUM(B$4:B50)</f>
        <v>0.93055162786642653</v>
      </c>
      <c r="D50" s="13">
        <f t="shared" ca="1" si="1"/>
        <v>0.35457995298578338</v>
      </c>
      <c r="E50" s="14"/>
    </row>
    <row r="51" spans="1:5">
      <c r="A51" s="27">
        <f t="shared" si="2"/>
        <v>48</v>
      </c>
      <c r="B51" s="13">
        <f t="shared" ca="1" si="3"/>
        <v>6.820651566040792E-3</v>
      </c>
      <c r="C51" s="13">
        <f ca="1">SUM(B$4:B51)</f>
        <v>0.93737227943246737</v>
      </c>
      <c r="D51" s="13">
        <f t="shared" ca="1" si="1"/>
        <v>0.32739127516995803</v>
      </c>
      <c r="E51" s="14"/>
    </row>
    <row r="52" spans="1:5">
      <c r="A52" s="27">
        <f t="shared" si="2"/>
        <v>49</v>
      </c>
      <c r="B52" s="13">
        <f t="shared" ca="1" si="3"/>
        <v>6.1632981700629769E-3</v>
      </c>
      <c r="C52" s="13">
        <f ca="1">SUM(B$4:B52)</f>
        <v>0.94353557760253037</v>
      </c>
      <c r="D52" s="13">
        <f t="shared" ca="1" si="1"/>
        <v>0.30200161033308587</v>
      </c>
      <c r="E52" s="14"/>
    </row>
    <row r="53" spans="1:5">
      <c r="A53" s="27">
        <f t="shared" si="2"/>
        <v>50</v>
      </c>
      <c r="B53" s="13">
        <f t="shared" ca="1" si="3"/>
        <v>5.5667753251020342E-3</v>
      </c>
      <c r="C53" s="13">
        <f ca="1">SUM(B$4:B53)</f>
        <v>0.94910235292763245</v>
      </c>
      <c r="D53" s="13">
        <f t="shared" ca="1" si="1"/>
        <v>0.27833876625510173</v>
      </c>
      <c r="E53" s="14"/>
    </row>
    <row r="54" spans="1:5">
      <c r="A54" s="27">
        <f t="shared" si="2"/>
        <v>51</v>
      </c>
      <c r="B54" s="13">
        <f t="shared" ca="1" si="3"/>
        <v>5.0259696835475674E-3</v>
      </c>
      <c r="C54" s="13">
        <f ca="1">SUM(B$4:B54)</f>
        <v>0.95412832261117997</v>
      </c>
      <c r="D54" s="13">
        <f t="shared" ca="1" si="1"/>
        <v>0.25632445386092595</v>
      </c>
      <c r="E54" s="14"/>
    </row>
    <row r="55" spans="1:5">
      <c r="A55" s="27">
        <f t="shared" si="2"/>
        <v>52</v>
      </c>
      <c r="B55" s="13">
        <f t="shared" ca="1" si="3"/>
        <v>4.5360886585862122E-3</v>
      </c>
      <c r="C55" s="13">
        <f ca="1">SUM(B$4:B55)</f>
        <v>0.9586644112697662</v>
      </c>
      <c r="D55" s="13">
        <f t="shared" ca="1" si="1"/>
        <v>0.23587661024648304</v>
      </c>
      <c r="E55" s="14"/>
    </row>
    <row r="56" spans="1:5">
      <c r="A56" s="27">
        <f t="shared" si="2"/>
        <v>53</v>
      </c>
      <c r="B56" s="13">
        <f t="shared" ca="1" si="3"/>
        <v>4.0926654556666725E-3</v>
      </c>
      <c r="C56" s="13">
        <f ca="1">SUM(B$4:B56)</f>
        <v>0.96275707672543287</v>
      </c>
      <c r="D56" s="13">
        <f t="shared" ca="1" si="1"/>
        <v>0.21691126915033365</v>
      </c>
      <c r="E56" s="14"/>
    </row>
    <row r="57" spans="1:5">
      <c r="A57" s="27">
        <f t="shared" si="2"/>
        <v>54</v>
      </c>
      <c r="B57" s="13">
        <f t="shared" ca="1" si="3"/>
        <v>3.6915564802793726E-3</v>
      </c>
      <c r="C57" s="13">
        <f ca="1">SUM(B$4:B57)</f>
        <v>0.96644863320571228</v>
      </c>
      <c r="D57" s="13">
        <f t="shared" ca="1" si="1"/>
        <v>0.19934404993508612</v>
      </c>
      <c r="E57" s="14"/>
    </row>
    <row r="58" spans="1:5">
      <c r="A58" s="27">
        <f t="shared" si="2"/>
        <v>55</v>
      </c>
      <c r="B58" s="13">
        <f t="shared" ca="1" si="3"/>
        <v>3.3289332187175029E-3</v>
      </c>
      <c r="C58" s="13">
        <f ca="1">SUM(B$4:B58)</f>
        <v>0.9697775664244298</v>
      </c>
      <c r="D58" s="13">
        <f t="shared" ca="1" si="1"/>
        <v>0.18309132702946265</v>
      </c>
      <c r="E58" s="14"/>
    </row>
    <row r="59" spans="1:5">
      <c r="A59" s="27">
        <f t="shared" si="2"/>
        <v>56</v>
      </c>
      <c r="B59" s="13">
        <f t="shared" ca="1" si="3"/>
        <v>3.0012702387102806E-3</v>
      </c>
      <c r="C59" s="13">
        <f ca="1">SUM(B$4:B59)</f>
        <v>0.97277883666314013</v>
      </c>
      <c r="D59" s="13">
        <f t="shared" ca="1" si="1"/>
        <v>0.16807113336777571</v>
      </c>
      <c r="E59" s="14"/>
    </row>
    <row r="60" spans="1:5">
      <c r="A60" s="27">
        <f t="shared" si="2"/>
        <v>57</v>
      </c>
      <c r="B60" s="13">
        <f t="shared" ca="1" si="3"/>
        <v>2.7053305920946391E-3</v>
      </c>
      <c r="C60" s="13">
        <f ca="1">SUM(B$4:B60)</f>
        <v>0.97548416725523479</v>
      </c>
      <c r="D60" s="13">
        <f t="shared" ca="1" si="1"/>
        <v>0.15420384374939441</v>
      </c>
      <c r="E60" s="14"/>
    </row>
    <row r="61" spans="1:5">
      <c r="A61" s="27">
        <f t="shared" si="2"/>
        <v>58</v>
      </c>
      <c r="B61" s="13">
        <f t="shared" ca="1" si="3"/>
        <v>2.4381496078519078E-3</v>
      </c>
      <c r="C61" s="13">
        <f ca="1">SUM(B$4:B61)</f>
        <v>0.97792231686308673</v>
      </c>
      <c r="D61" s="13">
        <f t="shared" ca="1" si="1"/>
        <v>0.14141267725541065</v>
      </c>
      <c r="E61" s="14"/>
    </row>
    <row r="62" spans="1:5">
      <c r="A62" s="27">
        <f t="shared" si="2"/>
        <v>59</v>
      </c>
      <c r="B62" s="13">
        <f t="shared" ca="1" si="3"/>
        <v>2.197017828570489E-3</v>
      </c>
      <c r="C62" s="13">
        <f ca="1">SUM(B$4:B62)</f>
        <v>0.98011933469165724</v>
      </c>
      <c r="D62" s="13">
        <f t="shared" ca="1" si="1"/>
        <v>0.12962405188565884</v>
      </c>
      <c r="E62" s="14"/>
    </row>
    <row r="63" spans="1:5">
      <c r="A63" s="27">
        <f t="shared" si="2"/>
        <v>60</v>
      </c>
      <c r="B63" s="13">
        <f t="shared" ca="1" si="3"/>
        <v>1.97946365617775E-3</v>
      </c>
      <c r="C63" s="13">
        <f ca="1">SUM(B$4:B63)</f>
        <v>0.98209879834783498</v>
      </c>
      <c r="D63" s="13">
        <f t="shared" ca="1" si="1"/>
        <v>0.118767819370665</v>
      </c>
      <c r="E63" s="14"/>
    </row>
    <row r="64" spans="1:5">
      <c r="A64" s="27">
        <f t="shared" si="2"/>
        <v>61</v>
      </c>
      <c r="B64" s="13">
        <f t="shared" ca="1" si="3"/>
        <v>1.7832361247283458E-3</v>
      </c>
      <c r="C64" s="13">
        <f ca="1">SUM(B$4:B64)</f>
        <v>0.98388203447256328</v>
      </c>
      <c r="D64" s="13">
        <f t="shared" ca="1" si="1"/>
        <v>0.10877740360842909</v>
      </c>
      <c r="E64" s="14"/>
    </row>
    <row r="65" spans="1:5">
      <c r="A65" s="27">
        <f t="shared" si="2"/>
        <v>62</v>
      </c>
      <c r="B65" s="13">
        <f t="shared" ca="1" si="3"/>
        <v>1.606288101716466E-3</v>
      </c>
      <c r="C65" s="13">
        <f ca="1">SUM(B$4:B65)</f>
        <v>0.98548832257427976</v>
      </c>
      <c r="D65" s="13">
        <f t="shared" ca="1" si="1"/>
        <v>9.958986230642089E-2</v>
      </c>
      <c r="E65" s="14"/>
    </row>
    <row r="66" spans="1:5">
      <c r="A66" s="27">
        <f t="shared" si="2"/>
        <v>63</v>
      </c>
      <c r="B66" s="13">
        <f t="shared" ca="1" si="3"/>
        <v>1.4467601286430128E-3</v>
      </c>
      <c r="C66" s="13">
        <f ca="1">SUM(B$4:B66)</f>
        <v>0.98693508270292274</v>
      </c>
      <c r="D66" s="13">
        <f t="shared" ca="1" si="1"/>
        <v>9.1145888104509798E-2</v>
      </c>
      <c r="E66" s="14"/>
    </row>
    <row r="67" spans="1:5">
      <c r="A67" s="27">
        <f t="shared" si="2"/>
        <v>64</v>
      </c>
      <c r="B67" s="13">
        <f t="shared" ca="1" si="3"/>
        <v>1.3029650413524968E-3</v>
      </c>
      <c r="C67" s="13">
        <f ca="1">SUM(B$4:B67)</f>
        <v>0.98823804774427526</v>
      </c>
      <c r="D67" s="13">
        <f t="shared" ca="1" si="1"/>
        <v>8.3389762646559798E-2</v>
      </c>
      <c r="E67" s="14"/>
    </row>
    <row r="68" spans="1:5">
      <c r="A68" s="27">
        <f t="shared" si="2"/>
        <v>65</v>
      </c>
      <c r="B68" s="13">
        <f t="shared" ref="B68:B103" ca="1" si="4">FACT(k)*OFFSET(S, $A68-1, k-1)/k^$A68</f>
        <v>1.1733734568177146E-3</v>
      </c>
      <c r="C68" s="13">
        <f ca="1">SUM(B$4:B68)</f>
        <v>0.98941142120109293</v>
      </c>
      <c r="D68" s="13">
        <f t="shared" ca="1" si="1"/>
        <v>7.6269274693151451E-2</v>
      </c>
      <c r="E68" s="14"/>
    </row>
    <row r="69" spans="1:5">
      <c r="A69" s="27">
        <f t="shared" si="2"/>
        <v>66</v>
      </c>
      <c r="B69" s="13">
        <f t="shared" ca="1" si="4"/>
        <v>1.0566001722241915E-3</v>
      </c>
      <c r="C69" s="13">
        <f ca="1">SUM(B$4:B69)</f>
        <v>0.99046802137331713</v>
      </c>
      <c r="D69" s="13">
        <f t="shared" ref="D69:D103" ca="1" si="5">A69*B69</f>
        <v>6.9735611366796638E-2</v>
      </c>
      <c r="E69" s="14"/>
    </row>
    <row r="70" spans="1:5">
      <c r="A70" s="27">
        <f t="shared" si="2"/>
        <v>67</v>
      </c>
      <c r="B70" s="13">
        <f t="shared" ca="1" si="4"/>
        <v>9.5139149166320375E-4</v>
      </c>
      <c r="C70" s="13">
        <f ca="1">SUM(B$4:B70)</f>
        <v>0.99141941286498037</v>
      </c>
      <c r="D70" s="13">
        <f t="shared" ca="1" si="5"/>
        <v>6.3743229941434651E-2</v>
      </c>
      <c r="E70" s="14"/>
    </row>
    <row r="71" spans="1:5">
      <c r="A71" s="27">
        <f t="shared" ref="A71:A103" si="6">A70+1</f>
        <v>68</v>
      </c>
      <c r="B71" s="13">
        <f t="shared" ca="1" si="4"/>
        <v>8.5661347328280324E-4</v>
      </c>
      <c r="C71" s="13">
        <f ca="1">SUM(B$4:B71)</f>
        <v>0.99227602633826317</v>
      </c>
      <c r="D71" s="13">
        <f t="shared" ca="1" si="5"/>
        <v>5.8249716183230618E-2</v>
      </c>
      <c r="E71" s="14"/>
    </row>
    <row r="72" spans="1:5">
      <c r="A72" s="27">
        <f t="shared" si="6"/>
        <v>69</v>
      </c>
      <c r="B72" s="13">
        <f t="shared" ca="1" si="4"/>
        <v>7.7124107360491642E-4</v>
      </c>
      <c r="C72" s="13">
        <f ca="1">SUM(B$4:B72)</f>
        <v>0.99304726741186811</v>
      </c>
      <c r="D72" s="13">
        <f t="shared" ca="1" si="5"/>
        <v>5.3215634078739235E-2</v>
      </c>
      <c r="E72" s="14"/>
    </row>
    <row r="73" spans="1:5">
      <c r="A73" s="27">
        <f t="shared" si="6"/>
        <v>70</v>
      </c>
      <c r="B73" s="13">
        <f t="shared" ca="1" si="4"/>
        <v>6.9434815448104928E-4</v>
      </c>
      <c r="C73" s="13">
        <f ca="1">SUM(B$4:B73)</f>
        <v>0.9937416155663491</v>
      </c>
      <c r="D73" s="13">
        <f t="shared" ca="1" si="5"/>
        <v>4.8604370813673449E-2</v>
      </c>
      <c r="E73" s="14"/>
    </row>
    <row r="74" spans="1:5">
      <c r="A74" s="27">
        <f t="shared" si="6"/>
        <v>71</v>
      </c>
      <c r="B74" s="13">
        <f t="shared" ca="1" si="4"/>
        <v>6.250983107043502E-4</v>
      </c>
      <c r="C74" s="13">
        <f ca="1">SUM(B$4:B74)</f>
        <v>0.99436671387705344</v>
      </c>
      <c r="D74" s="13">
        <f t="shared" ca="1" si="5"/>
        <v>4.4381980060008867E-2</v>
      </c>
      <c r="E74" s="14"/>
    </row>
    <row r="75" spans="1:5">
      <c r="A75" s="27">
        <f t="shared" si="6"/>
        <v>72</v>
      </c>
      <c r="B75" s="13">
        <f t="shared" ca="1" si="4"/>
        <v>5.6273647172892804E-4</v>
      </c>
      <c r="C75" s="13">
        <f ca="1">SUM(B$4:B75)</f>
        <v>0.99492945034878233</v>
      </c>
      <c r="D75" s="13">
        <f t="shared" ca="1" si="5"/>
        <v>4.0517025964482818E-2</v>
      </c>
      <c r="E75" s="14"/>
    </row>
    <row r="76" spans="1:5">
      <c r="A76" s="27">
        <f t="shared" si="6"/>
        <v>73</v>
      </c>
      <c r="B76" s="13">
        <f t="shared" ca="1" si="4"/>
        <v>5.0658122856281546E-4</v>
      </c>
      <c r="C76" s="13">
        <f ca="1">SUM(B$4:B76)</f>
        <v>0.99543603157734517</v>
      </c>
      <c r="D76" s="13">
        <f t="shared" ca="1" si="5"/>
        <v>3.6980429685085532E-2</v>
      </c>
      <c r="E76" s="14"/>
    </row>
    <row r="77" spans="1:5">
      <c r="A77" s="27">
        <f t="shared" si="6"/>
        <v>74</v>
      </c>
      <c r="B77" s="13">
        <f t="shared" ca="1" si="4"/>
        <v>4.5601783614364593E-4</v>
      </c>
      <c r="C77" s="13">
        <f ca="1">SUM(B$4:B77)</f>
        <v>0.99589204941348886</v>
      </c>
      <c r="D77" s="13">
        <f t="shared" ca="1" si="5"/>
        <v>3.3745319874629802E-2</v>
      </c>
      <c r="E77" s="14"/>
    </row>
    <row r="78" spans="1:5">
      <c r="A78" s="27">
        <f t="shared" si="6"/>
        <v>75</v>
      </c>
      <c r="B78" s="13">
        <f t="shared" ca="1" si="4"/>
        <v>4.1049184194124185E-4</v>
      </c>
      <c r="C78" s="13">
        <f ca="1">SUM(B$4:B78)</f>
        <v>0.99630254125543005</v>
      </c>
      <c r="D78" s="13">
        <f t="shared" ca="1" si="5"/>
        <v>3.078688814559314E-2</v>
      </c>
      <c r="E78" s="14"/>
    </row>
    <row r="79" spans="1:5">
      <c r="A79" s="27">
        <f t="shared" si="6"/>
        <v>76</v>
      </c>
      <c r="B79" s="13">
        <f t="shared" ca="1" si="4"/>
        <v>3.6950329282032927E-4</v>
      </c>
      <c r="C79" s="13">
        <f ca="1">SUM(B$4:B79)</f>
        <v>0.99667204454825042</v>
      </c>
      <c r="D79" s="13">
        <f t="shared" ca="1" si="5"/>
        <v>2.8082250254345024E-2</v>
      </c>
      <c r="E79" s="14"/>
    </row>
    <row r="80" spans="1:5">
      <c r="A80" s="27">
        <f t="shared" si="6"/>
        <v>77</v>
      </c>
      <c r="B80" s="13">
        <f t="shared" ca="1" si="4"/>
        <v>3.3260147407744806E-4</v>
      </c>
      <c r="C80" s="13">
        <f ca="1">SUM(B$4:B80)</f>
        <v>0.99700464602232786</v>
      </c>
      <c r="D80" s="13">
        <f t="shared" ca="1" si="5"/>
        <v>2.5610313503963502E-2</v>
      </c>
      <c r="E80" s="14"/>
    </row>
    <row r="81" spans="1:5">
      <c r="A81" s="27">
        <f t="shared" si="6"/>
        <v>78</v>
      </c>
      <c r="B81" s="13">
        <f t="shared" ca="1" si="4"/>
        <v>2.993801368374516E-4</v>
      </c>
      <c r="C81" s="13">
        <f ca="1">SUM(B$4:B81)</f>
        <v>0.99730402615916536</v>
      </c>
      <c r="D81" s="13">
        <f t="shared" ca="1" si="5"/>
        <v>2.3351650673321227E-2</v>
      </c>
      <c r="E81" s="14"/>
    </row>
    <row r="82" spans="1:5">
      <c r="A82" s="27">
        <f t="shared" si="6"/>
        <v>79</v>
      </c>
      <c r="B82" s="13">
        <f t="shared" ca="1" si="4"/>
        <v>2.6947317250341563E-4</v>
      </c>
      <c r="C82" s="13">
        <f ca="1">SUM(B$4:B82)</f>
        <v>0.99757349933166872</v>
      </c>
      <c r="D82" s="13">
        <f t="shared" ca="1" si="5"/>
        <v>2.1288380627769835E-2</v>
      </c>
      <c r="E82" s="14"/>
    </row>
    <row r="83" spans="1:5">
      <c r="A83" s="27">
        <f t="shared" si="6"/>
        <v>80</v>
      </c>
      <c r="B83" s="13">
        <f t="shared" ca="1" si="4"/>
        <v>2.4255069558370575E-4</v>
      </c>
      <c r="C83" s="13">
        <f ca="1">SUM(B$4:B83)</f>
        <v>0.99781605002725238</v>
      </c>
      <c r="D83" s="13">
        <f t="shared" ca="1" si="5"/>
        <v>1.940405564669646E-2</v>
      </c>
      <c r="E83" s="14"/>
    </row>
    <row r="84" spans="1:5">
      <c r="A84" s="27">
        <f t="shared" si="6"/>
        <v>81</v>
      </c>
      <c r="B84" s="13">
        <f t="shared" ca="1" si="4"/>
        <v>2.1831549888544967E-4</v>
      </c>
      <c r="C84" s="13">
        <f ca="1">SUM(B$4:B84)</f>
        <v>0.99803436552613778</v>
      </c>
      <c r="D84" s="13">
        <f t="shared" ca="1" si="5"/>
        <v>1.7683555409721424E-2</v>
      </c>
      <c r="E84" s="14"/>
    </row>
    <row r="85" spans="1:5">
      <c r="A85" s="27">
        <f t="shared" si="6"/>
        <v>82</v>
      </c>
      <c r="B85" s="13">
        <f t="shared" ca="1" si="4"/>
        <v>1.9649984770192522E-4</v>
      </c>
      <c r="C85" s="13">
        <f ca="1">SUM(B$4:B85)</f>
        <v>0.99823086537383965</v>
      </c>
      <c r="D85" s="13">
        <f t="shared" ca="1" si="5"/>
        <v>1.6112987511557868E-2</v>
      </c>
      <c r="E85" s="14"/>
    </row>
    <row r="86" spans="1:5">
      <c r="A86" s="27">
        <f t="shared" si="6"/>
        <v>83</v>
      </c>
      <c r="B86" s="13">
        <f t="shared" ca="1" si="4"/>
        <v>1.7686258218760082E-4</v>
      </c>
      <c r="C86" s="13">
        <f ca="1">SUM(B$4:B86)</f>
        <v>0.99840772795602728</v>
      </c>
      <c r="D86" s="13">
        <f t="shared" ca="1" si="5"/>
        <v>1.4679594321570868E-2</v>
      </c>
      <c r="E86" s="14"/>
    </row>
    <row r="87" spans="1:5">
      <c r="A87" s="27">
        <f t="shared" si="6"/>
        <v>84</v>
      </c>
      <c r="B87" s="13">
        <f t="shared" ca="1" si="4"/>
        <v>1.5918649957783241E-4</v>
      </c>
      <c r="C87" s="13">
        <f ca="1">SUM(B$4:B87)</f>
        <v>0.99856691445560508</v>
      </c>
      <c r="D87" s="13">
        <f t="shared" ca="1" si="5"/>
        <v>1.3371665964537923E-2</v>
      </c>
      <c r="E87" s="14"/>
    </row>
    <row r="88" spans="1:5">
      <c r="A88" s="27">
        <f t="shared" si="6"/>
        <v>85</v>
      </c>
      <c r="B88" s="13">
        <f t="shared" ca="1" si="4"/>
        <v>1.4327599025025102E-4</v>
      </c>
      <c r="C88" s="13">
        <f ca="1">SUM(B$4:B88)</f>
        <v>0.99871019044585529</v>
      </c>
      <c r="D88" s="13">
        <f t="shared" ca="1" si="5"/>
        <v>1.2178459171271337E-2</v>
      </c>
      <c r="E88" s="14"/>
    </row>
    <row r="89" spans="1:5">
      <c r="A89" s="27">
        <f t="shared" si="6"/>
        <v>86</v>
      </c>
      <c r="B89" s="13">
        <f t="shared" ca="1" si="4"/>
        <v>1.2895490382949367E-4</v>
      </c>
      <c r="C89" s="13">
        <f ca="1">SUM(B$4:B89)</f>
        <v>0.99883914534968476</v>
      </c>
      <c r="D89" s="13">
        <f t="shared" ca="1" si="5"/>
        <v>1.1090121729336455E-2</v>
      </c>
      <c r="E89" s="14"/>
    </row>
    <row r="90" spans="1:5">
      <c r="A90" s="27">
        <f t="shared" si="6"/>
        <v>87</v>
      </c>
      <c r="B90" s="13">
        <f t="shared" ca="1" si="4"/>
        <v>1.1606462360003314E-4</v>
      </c>
      <c r="C90" s="13">
        <f ca="1">SUM(B$4:B90)</f>
        <v>0.9989552099732848</v>
      </c>
      <c r="D90" s="13">
        <f t="shared" ca="1" si="5"/>
        <v>1.0097622253202883E-2</v>
      </c>
      <c r="E90" s="14"/>
    </row>
    <row r="91" spans="1:5">
      <c r="A91" s="27">
        <f t="shared" si="6"/>
        <v>88</v>
      </c>
      <c r="B91" s="13">
        <f t="shared" ca="1" si="4"/>
        <v>1.0446232941187323E-4</v>
      </c>
      <c r="C91" s="13">
        <f ca="1">SUM(B$4:B91)</f>
        <v>0.99905967230269666</v>
      </c>
      <c r="D91" s="13">
        <f t="shared" ca="1" si="5"/>
        <v>9.1926849882448449E-3</v>
      </c>
      <c r="E91" s="14"/>
    </row>
    <row r="92" spans="1:5">
      <c r="A92" s="27">
        <f t="shared" si="6"/>
        <v>89</v>
      </c>
      <c r="B92" s="13">
        <f t="shared" ca="1" si="4"/>
        <v>9.4019431042497304E-5</v>
      </c>
      <c r="C92" s="13">
        <f ca="1">SUM(B$4:B92)</f>
        <v>0.99915369173373914</v>
      </c>
      <c r="D92" s="13">
        <f t="shared" ca="1" si="5"/>
        <v>8.3677293627822599E-3</v>
      </c>
      <c r="E92" s="14"/>
    </row>
    <row r="93" spans="1:5">
      <c r="A93" s="27">
        <f t="shared" si="6"/>
        <v>90</v>
      </c>
      <c r="B93" s="13">
        <f t="shared" ca="1" si="4"/>
        <v>8.4620155619732459E-5</v>
      </c>
      <c r="C93" s="13">
        <f ca="1">SUM(B$4:B93)</f>
        <v>0.99923831188935885</v>
      </c>
      <c r="D93" s="13">
        <f t="shared" ca="1" si="5"/>
        <v>7.6158140057759217E-3</v>
      </c>
      <c r="E93" s="14"/>
    </row>
    <row r="94" spans="1:5">
      <c r="A94" s="27">
        <f t="shared" si="6"/>
        <v>91</v>
      </c>
      <c r="B94" s="13">
        <f t="shared" ca="1" si="4"/>
        <v>7.6160274219772136E-5</v>
      </c>
      <c r="C94" s="13">
        <f ca="1">SUM(B$4:B94)</f>
        <v>0.9993144721635786</v>
      </c>
      <c r="D94" s="13">
        <f t="shared" ca="1" si="5"/>
        <v>6.9305849539992642E-3</v>
      </c>
      <c r="E94" s="14"/>
    </row>
    <row r="95" spans="1:5">
      <c r="A95" s="27">
        <f t="shared" si="6"/>
        <v>92</v>
      </c>
      <c r="B95" s="13">
        <f t="shared" ca="1" si="4"/>
        <v>6.8545954139182812E-5</v>
      </c>
      <c r="C95" s="13">
        <f ca="1">SUM(B$4:B95)</f>
        <v>0.99938301811771779</v>
      </c>
      <c r="D95" s="13">
        <f t="shared" ca="1" si="5"/>
        <v>6.3062277808048186E-3</v>
      </c>
      <c r="E95" s="14"/>
    </row>
    <row r="96" spans="1:5">
      <c r="A96" s="27">
        <f t="shared" si="6"/>
        <v>93</v>
      </c>
      <c r="B96" s="13">
        <f t="shared" ca="1" si="4"/>
        <v>6.1692724606619137E-5</v>
      </c>
      <c r="C96" s="13">
        <f ca="1">SUM(B$4:B96)</f>
        <v>0.99944471084232445</v>
      </c>
      <c r="D96" s="13">
        <f t="shared" ca="1" si="5"/>
        <v>5.7374233884155794E-3</v>
      </c>
      <c r="E96" s="14"/>
    </row>
    <row r="97" spans="1:5">
      <c r="A97" s="27">
        <f t="shared" si="6"/>
        <v>94</v>
      </c>
      <c r="B97" s="13">
        <f t="shared" ca="1" si="4"/>
        <v>5.5524544856811916E-5</v>
      </c>
      <c r="C97" s="13">
        <f ca="1">SUM(B$4:B97)</f>
        <v>0.99950023538718125</v>
      </c>
      <c r="D97" s="13">
        <f t="shared" ca="1" si="5"/>
        <v>5.2193072165403198E-3</v>
      </c>
      <c r="E97" s="14"/>
    </row>
    <row r="98" spans="1:5">
      <c r="A98" s="27">
        <f t="shared" si="6"/>
        <v>95</v>
      </c>
      <c r="B98" s="13">
        <f t="shared" ca="1" si="4"/>
        <v>4.9972964543854186E-5</v>
      </c>
      <c r="C98" s="13">
        <f ca="1">SUM(B$4:B98)</f>
        <v>0.99955020835172514</v>
      </c>
      <c r="D98" s="13">
        <f t="shared" ca="1" si="5"/>
        <v>4.7474316316661481E-3</v>
      </c>
      <c r="E98" s="14"/>
    </row>
    <row r="99" spans="1:5">
      <c r="A99" s="27">
        <f t="shared" si="6"/>
        <v>96</v>
      </c>
      <c r="B99" s="13">
        <f t="shared" ca="1" si="4"/>
        <v>4.4976367430475339E-5</v>
      </c>
      <c r="C99" s="13">
        <f ca="1">SUM(B$4:B99)</f>
        <v>0.99959518471915565</v>
      </c>
      <c r="D99" s="13">
        <f t="shared" ca="1" si="5"/>
        <v>4.317731273325633E-3</v>
      </c>
      <c r="E99" s="14"/>
    </row>
    <row r="100" spans="1:5">
      <c r="A100" s="27">
        <f t="shared" si="6"/>
        <v>97</v>
      </c>
      <c r="B100" s="13">
        <f t="shared" ca="1" si="4"/>
        <v>4.0479290162212518E-5</v>
      </c>
      <c r="C100" s="13">
        <f ca="1">SUM(B$4:B100)</f>
        <v>0.99963566400931791</v>
      </c>
      <c r="D100" s="13">
        <f t="shared" ca="1" si="5"/>
        <v>3.9264911457346143E-3</v>
      </c>
      <c r="E100" s="14"/>
    </row>
    <row r="101" spans="1:5">
      <c r="A101" s="27">
        <f t="shared" si="6"/>
        <v>98</v>
      </c>
      <c r="B101" s="13">
        <f t="shared" ca="1" si="4"/>
        <v>3.6431808727204661E-5</v>
      </c>
      <c r="C101" s="13">
        <f ca="1">SUM(B$4:B101)</f>
        <v>0.99967209581804517</v>
      </c>
      <c r="D101" s="13">
        <f t="shared" ca="1" si="5"/>
        <v>3.5703172552660569E-3</v>
      </c>
      <c r="E101" s="14"/>
    </row>
    <row r="102" spans="1:5">
      <c r="A102" s="27">
        <f t="shared" si="6"/>
        <v>99</v>
      </c>
      <c r="B102" s="13">
        <f t="shared" ca="1" si="4"/>
        <v>3.2788985920424842E-5</v>
      </c>
      <c r="C102" s="13">
        <f ca="1">SUM(B$4:B102)</f>
        <v>0.99970488480396558</v>
      </c>
      <c r="D102" s="13">
        <f t="shared" ca="1" si="5"/>
        <v>3.2461096061220593E-3</v>
      </c>
      <c r="E102" s="14"/>
    </row>
    <row r="103" spans="1:5">
      <c r="A103" s="27">
        <f t="shared" si="6"/>
        <v>100</v>
      </c>
      <c r="B103" s="13">
        <f t="shared" ca="1" si="4"/>
        <v>2.951037378181384E-5</v>
      </c>
      <c r="C103" s="13">
        <f ca="1">SUM(B$4:B103)</f>
        <v>0.99973439517774743</v>
      </c>
      <c r="D103" s="13">
        <f t="shared" ca="1" si="5"/>
        <v>2.9510373781813839E-3</v>
      </c>
      <c r="E103" s="14"/>
    </row>
    <row r="104" spans="1:5">
      <c r="A104" s="19"/>
      <c r="B104" s="30"/>
      <c r="C104" s="30"/>
      <c r="D104" s="19"/>
    </row>
  </sheetData>
  <phoneticPr fontId="1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63426-1279-4210-A010-1160783C923B}">
  <dimension ref="A1:Q102"/>
  <sheetViews>
    <sheetView workbookViewId="0">
      <selection activeCell="N7" sqref="N7:P7"/>
    </sheetView>
  </sheetViews>
  <sheetFormatPr defaultRowHeight="17.649999999999999"/>
  <cols>
    <col min="1" max="1" width="5.5" bestFit="1" customWidth="1"/>
    <col min="2" max="2" width="13.375" customWidth="1"/>
    <col min="3" max="11" width="12.75" customWidth="1"/>
    <col min="14" max="14" width="2.875" customWidth="1"/>
    <col min="15" max="15" width="24.25" bestFit="1" customWidth="1"/>
    <col min="16" max="16" width="13.5" bestFit="1" customWidth="1"/>
  </cols>
  <sheetData>
    <row r="1" spans="1:17">
      <c r="A1" s="8" t="s">
        <v>2</v>
      </c>
      <c r="B1" s="9">
        <v>1</v>
      </c>
      <c r="C1" s="9">
        <f>B1+1</f>
        <v>2</v>
      </c>
      <c r="D1" s="9">
        <f t="shared" ref="D1:G1" si="0">C1+1</f>
        <v>3</v>
      </c>
      <c r="E1" s="9">
        <f t="shared" si="0"/>
        <v>4</v>
      </c>
      <c r="F1" s="9">
        <f t="shared" si="0"/>
        <v>5</v>
      </c>
      <c r="G1" s="9">
        <f t="shared" si="0"/>
        <v>6</v>
      </c>
      <c r="H1" s="9">
        <f t="shared" ref="H1:K1" si="1">G1+1</f>
        <v>7</v>
      </c>
      <c r="I1" s="9">
        <f t="shared" si="1"/>
        <v>8</v>
      </c>
      <c r="J1" s="9">
        <f t="shared" si="1"/>
        <v>9</v>
      </c>
      <c r="K1" s="9">
        <f t="shared" si="1"/>
        <v>10</v>
      </c>
    </row>
    <row r="2" spans="1:17">
      <c r="A2" s="6">
        <v>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M2" t="s">
        <v>3</v>
      </c>
    </row>
    <row r="3" spans="1:17">
      <c r="A3" s="7">
        <v>1</v>
      </c>
      <c r="B3" s="4">
        <v>1</v>
      </c>
      <c r="C3" s="10">
        <f>B2+C$1*C2</f>
        <v>0</v>
      </c>
      <c r="D3" s="10">
        <f t="shared" ref="D3:K3" si="2">C2+D$1*D2</f>
        <v>0</v>
      </c>
      <c r="E3" s="10">
        <f t="shared" si="2"/>
        <v>0</v>
      </c>
      <c r="F3" s="10">
        <f t="shared" si="2"/>
        <v>0</v>
      </c>
      <c r="G3" s="10">
        <f t="shared" si="2"/>
        <v>0</v>
      </c>
      <c r="H3" s="10">
        <f t="shared" si="2"/>
        <v>0</v>
      </c>
      <c r="I3" s="10">
        <f t="shared" si="2"/>
        <v>0</v>
      </c>
      <c r="J3" s="10">
        <f t="shared" si="2"/>
        <v>0</v>
      </c>
      <c r="K3" s="10">
        <f t="shared" si="2"/>
        <v>0</v>
      </c>
      <c r="M3" s="49" t="s">
        <v>4</v>
      </c>
      <c r="N3" s="51" t="s">
        <v>15</v>
      </c>
      <c r="O3" s="18">
        <v>0</v>
      </c>
      <c r="P3" t="s">
        <v>5</v>
      </c>
    </row>
    <row r="4" spans="1:17">
      <c r="A4" s="7">
        <f>A3+1</f>
        <v>2</v>
      </c>
      <c r="B4" s="4">
        <v>1</v>
      </c>
      <c r="C4" s="10">
        <f t="shared" ref="C4:C67" si="3">B3+C$1*C3</f>
        <v>1</v>
      </c>
      <c r="D4" s="10">
        <f t="shared" ref="D4:D67" si="4">C3+D$1*D3</f>
        <v>0</v>
      </c>
      <c r="E4" s="10">
        <f t="shared" ref="E4:E67" si="5">D3+E$1*E3</f>
        <v>0</v>
      </c>
      <c r="F4" s="10">
        <f t="shared" ref="F4:F67" si="6">E3+F$1*F3</f>
        <v>0</v>
      </c>
      <c r="G4" s="10">
        <f t="shared" ref="G4:G67" si="7">F3+G$1*G3</f>
        <v>0</v>
      </c>
      <c r="H4" s="10">
        <f t="shared" ref="H4:H67" si="8">G3+H$1*H3</f>
        <v>0</v>
      </c>
      <c r="I4" s="10">
        <f t="shared" ref="I4:I67" si="9">H3+I$1*I3</f>
        <v>0</v>
      </c>
      <c r="J4" s="10">
        <f t="shared" ref="J4:J67" si="10">I3+J$1*J3</f>
        <v>0</v>
      </c>
      <c r="K4" s="10">
        <f t="shared" ref="K4:K67" si="11">J3+K$1*K3</f>
        <v>0</v>
      </c>
      <c r="M4" s="49"/>
      <c r="N4" s="52"/>
      <c r="O4" s="18">
        <v>1</v>
      </c>
      <c r="P4" t="s">
        <v>6</v>
      </c>
    </row>
    <row r="5" spans="1:17">
      <c r="A5" s="7">
        <f t="shared" ref="A5:A27" si="12">A4+1</f>
        <v>3</v>
      </c>
      <c r="B5" s="4">
        <v>1</v>
      </c>
      <c r="C5" s="10">
        <f t="shared" si="3"/>
        <v>3</v>
      </c>
      <c r="D5" s="10">
        <f t="shared" si="4"/>
        <v>1</v>
      </c>
      <c r="E5" s="10">
        <f t="shared" si="5"/>
        <v>0</v>
      </c>
      <c r="F5" s="10">
        <f t="shared" si="6"/>
        <v>0</v>
      </c>
      <c r="G5" s="10">
        <f t="shared" si="7"/>
        <v>0</v>
      </c>
      <c r="H5" s="10">
        <f t="shared" si="8"/>
        <v>0</v>
      </c>
      <c r="I5" s="10">
        <f t="shared" si="9"/>
        <v>0</v>
      </c>
      <c r="J5" s="10">
        <f t="shared" si="10"/>
        <v>0</v>
      </c>
      <c r="K5" s="10">
        <f t="shared" si="11"/>
        <v>0</v>
      </c>
      <c r="M5" s="49"/>
      <c r="N5" s="52"/>
      <c r="O5" s="18" t="s">
        <v>14</v>
      </c>
      <c r="P5" t="s">
        <v>16</v>
      </c>
    </row>
    <row r="6" spans="1:17">
      <c r="A6" s="7">
        <f t="shared" si="12"/>
        <v>4</v>
      </c>
      <c r="B6" s="4">
        <v>1</v>
      </c>
      <c r="C6" s="10">
        <f t="shared" si="3"/>
        <v>7</v>
      </c>
      <c r="D6" s="10">
        <f t="shared" si="4"/>
        <v>6</v>
      </c>
      <c r="E6" s="10">
        <f t="shared" si="5"/>
        <v>1</v>
      </c>
      <c r="F6" s="10">
        <f t="shared" si="6"/>
        <v>0</v>
      </c>
      <c r="G6" s="10">
        <f t="shared" si="7"/>
        <v>0</v>
      </c>
      <c r="H6" s="10">
        <f t="shared" si="8"/>
        <v>0</v>
      </c>
      <c r="I6" s="10">
        <f t="shared" si="9"/>
        <v>0</v>
      </c>
      <c r="J6" s="10">
        <f t="shared" si="10"/>
        <v>0</v>
      </c>
      <c r="K6" s="10">
        <f t="shared" si="11"/>
        <v>0</v>
      </c>
    </row>
    <row r="7" spans="1:17">
      <c r="A7" s="7">
        <f t="shared" si="12"/>
        <v>5</v>
      </c>
      <c r="B7" s="4">
        <v>1</v>
      </c>
      <c r="C7" s="10">
        <f t="shared" si="3"/>
        <v>15</v>
      </c>
      <c r="D7" s="10">
        <f t="shared" si="4"/>
        <v>25</v>
      </c>
      <c r="E7" s="10">
        <f t="shared" si="5"/>
        <v>10</v>
      </c>
      <c r="F7" s="10">
        <f t="shared" si="6"/>
        <v>1</v>
      </c>
      <c r="G7" s="10">
        <f t="shared" si="7"/>
        <v>0</v>
      </c>
      <c r="H7" s="10">
        <f t="shared" si="8"/>
        <v>0</v>
      </c>
      <c r="I7" s="10">
        <f t="shared" si="9"/>
        <v>0</v>
      </c>
      <c r="J7" s="10">
        <f t="shared" si="10"/>
        <v>0</v>
      </c>
      <c r="K7" s="10">
        <f t="shared" si="11"/>
        <v>0</v>
      </c>
      <c r="M7" s="1" t="s">
        <v>8</v>
      </c>
      <c r="N7" s="50" t="s">
        <v>7</v>
      </c>
      <c r="O7" s="50"/>
      <c r="P7" s="50"/>
      <c r="Q7" s="17"/>
    </row>
    <row r="8" spans="1:17">
      <c r="A8" s="7">
        <f t="shared" si="12"/>
        <v>6</v>
      </c>
      <c r="B8" s="4">
        <v>1</v>
      </c>
      <c r="C8" s="10">
        <f t="shared" si="3"/>
        <v>31</v>
      </c>
      <c r="D8" s="10">
        <f t="shared" si="4"/>
        <v>90</v>
      </c>
      <c r="E8" s="10">
        <f t="shared" si="5"/>
        <v>65</v>
      </c>
      <c r="F8" s="10">
        <f t="shared" si="6"/>
        <v>15</v>
      </c>
      <c r="G8" s="10">
        <f t="shared" si="7"/>
        <v>1</v>
      </c>
      <c r="H8" s="10">
        <f t="shared" si="8"/>
        <v>0</v>
      </c>
      <c r="I8" s="10">
        <f t="shared" si="9"/>
        <v>0</v>
      </c>
      <c r="J8" s="10">
        <f t="shared" si="10"/>
        <v>0</v>
      </c>
      <c r="K8" s="10">
        <f t="shared" si="11"/>
        <v>0</v>
      </c>
    </row>
    <row r="9" spans="1:17">
      <c r="A9" s="7">
        <f t="shared" si="12"/>
        <v>7</v>
      </c>
      <c r="B9" s="4">
        <v>1</v>
      </c>
      <c r="C9" s="10">
        <f t="shared" si="3"/>
        <v>63</v>
      </c>
      <c r="D9" s="10">
        <f t="shared" si="4"/>
        <v>301</v>
      </c>
      <c r="E9" s="10">
        <f t="shared" si="5"/>
        <v>350</v>
      </c>
      <c r="F9" s="10">
        <f t="shared" si="6"/>
        <v>140</v>
      </c>
      <c r="G9" s="10">
        <f t="shared" si="7"/>
        <v>21</v>
      </c>
      <c r="H9" s="10">
        <f t="shared" si="8"/>
        <v>1</v>
      </c>
      <c r="I9" s="10">
        <f t="shared" si="9"/>
        <v>0</v>
      </c>
      <c r="J9" s="10">
        <f t="shared" si="10"/>
        <v>0</v>
      </c>
      <c r="K9" s="10">
        <f t="shared" si="11"/>
        <v>0</v>
      </c>
    </row>
    <row r="10" spans="1:17">
      <c r="A10" s="7">
        <f t="shared" si="12"/>
        <v>8</v>
      </c>
      <c r="B10" s="4">
        <v>1</v>
      </c>
      <c r="C10" s="10">
        <f t="shared" si="3"/>
        <v>127</v>
      </c>
      <c r="D10" s="10">
        <f t="shared" si="4"/>
        <v>966</v>
      </c>
      <c r="E10" s="10">
        <f t="shared" si="5"/>
        <v>1701</v>
      </c>
      <c r="F10" s="10">
        <f t="shared" si="6"/>
        <v>1050</v>
      </c>
      <c r="G10" s="10">
        <f t="shared" si="7"/>
        <v>266</v>
      </c>
      <c r="H10" s="10">
        <f t="shared" si="8"/>
        <v>28</v>
      </c>
      <c r="I10" s="10">
        <f t="shared" si="9"/>
        <v>1</v>
      </c>
      <c r="J10" s="10">
        <f t="shared" si="10"/>
        <v>0</v>
      </c>
      <c r="K10" s="10">
        <f t="shared" si="11"/>
        <v>0</v>
      </c>
    </row>
    <row r="11" spans="1:17">
      <c r="A11" s="7">
        <f t="shared" si="12"/>
        <v>9</v>
      </c>
      <c r="B11" s="4">
        <v>1</v>
      </c>
      <c r="C11" s="10">
        <f t="shared" si="3"/>
        <v>255</v>
      </c>
      <c r="D11" s="10">
        <f t="shared" si="4"/>
        <v>3025</v>
      </c>
      <c r="E11" s="10">
        <f t="shared" si="5"/>
        <v>7770</v>
      </c>
      <c r="F11" s="10">
        <f t="shared" si="6"/>
        <v>6951</v>
      </c>
      <c r="G11" s="10">
        <f t="shared" si="7"/>
        <v>2646</v>
      </c>
      <c r="H11" s="10">
        <f t="shared" si="8"/>
        <v>462</v>
      </c>
      <c r="I11" s="10">
        <f t="shared" si="9"/>
        <v>36</v>
      </c>
      <c r="J11" s="10">
        <f t="shared" si="10"/>
        <v>1</v>
      </c>
      <c r="K11" s="10">
        <f t="shared" si="11"/>
        <v>0</v>
      </c>
    </row>
    <row r="12" spans="1:17">
      <c r="A12" s="7">
        <f t="shared" si="12"/>
        <v>10</v>
      </c>
      <c r="B12" s="4">
        <v>1</v>
      </c>
      <c r="C12" s="10">
        <f t="shared" si="3"/>
        <v>511</v>
      </c>
      <c r="D12" s="10">
        <f t="shared" si="4"/>
        <v>9330</v>
      </c>
      <c r="E12" s="10">
        <f t="shared" si="5"/>
        <v>34105</v>
      </c>
      <c r="F12" s="10">
        <f t="shared" si="6"/>
        <v>42525</v>
      </c>
      <c r="G12" s="10">
        <f t="shared" si="7"/>
        <v>22827</v>
      </c>
      <c r="H12" s="10">
        <f t="shared" si="8"/>
        <v>5880</v>
      </c>
      <c r="I12" s="10">
        <f t="shared" si="9"/>
        <v>750</v>
      </c>
      <c r="J12" s="10">
        <f t="shared" si="10"/>
        <v>45</v>
      </c>
      <c r="K12" s="10">
        <f t="shared" si="11"/>
        <v>1</v>
      </c>
    </row>
    <row r="13" spans="1:17">
      <c r="A13" s="7">
        <f t="shared" si="12"/>
        <v>11</v>
      </c>
      <c r="B13" s="4">
        <v>1</v>
      </c>
      <c r="C13" s="10">
        <f t="shared" si="3"/>
        <v>1023</v>
      </c>
      <c r="D13" s="10">
        <f t="shared" si="4"/>
        <v>28501</v>
      </c>
      <c r="E13" s="10">
        <f t="shared" si="5"/>
        <v>145750</v>
      </c>
      <c r="F13" s="10">
        <f t="shared" si="6"/>
        <v>246730</v>
      </c>
      <c r="G13" s="10">
        <f t="shared" si="7"/>
        <v>179487</v>
      </c>
      <c r="H13" s="10">
        <f t="shared" si="8"/>
        <v>63987</v>
      </c>
      <c r="I13" s="10">
        <f t="shared" si="9"/>
        <v>11880</v>
      </c>
      <c r="J13" s="10">
        <f t="shared" si="10"/>
        <v>1155</v>
      </c>
      <c r="K13" s="10">
        <f t="shared" si="11"/>
        <v>55</v>
      </c>
    </row>
    <row r="14" spans="1:17">
      <c r="A14" s="7">
        <f t="shared" si="12"/>
        <v>12</v>
      </c>
      <c r="B14" s="4">
        <v>1</v>
      </c>
      <c r="C14" s="10">
        <f t="shared" si="3"/>
        <v>2047</v>
      </c>
      <c r="D14" s="10">
        <f t="shared" si="4"/>
        <v>86526</v>
      </c>
      <c r="E14" s="10">
        <f t="shared" si="5"/>
        <v>611501</v>
      </c>
      <c r="F14" s="10">
        <f t="shared" si="6"/>
        <v>1379400</v>
      </c>
      <c r="G14" s="10">
        <f t="shared" si="7"/>
        <v>1323652</v>
      </c>
      <c r="H14" s="10">
        <f t="shared" si="8"/>
        <v>627396</v>
      </c>
      <c r="I14" s="10">
        <f t="shared" si="9"/>
        <v>159027</v>
      </c>
      <c r="J14" s="10">
        <f t="shared" si="10"/>
        <v>22275</v>
      </c>
      <c r="K14" s="10">
        <f t="shared" si="11"/>
        <v>1705</v>
      </c>
    </row>
    <row r="15" spans="1:17">
      <c r="A15" s="7">
        <f t="shared" si="12"/>
        <v>13</v>
      </c>
      <c r="B15" s="4">
        <v>1</v>
      </c>
      <c r="C15" s="10">
        <f t="shared" si="3"/>
        <v>4095</v>
      </c>
      <c r="D15" s="10">
        <f t="shared" si="4"/>
        <v>261625</v>
      </c>
      <c r="E15" s="10">
        <f t="shared" si="5"/>
        <v>2532530</v>
      </c>
      <c r="F15" s="10">
        <f t="shared" si="6"/>
        <v>7508501</v>
      </c>
      <c r="G15" s="10">
        <f t="shared" si="7"/>
        <v>9321312</v>
      </c>
      <c r="H15" s="10">
        <f t="shared" si="8"/>
        <v>5715424</v>
      </c>
      <c r="I15" s="10">
        <f t="shared" si="9"/>
        <v>1899612</v>
      </c>
      <c r="J15" s="10">
        <f t="shared" si="10"/>
        <v>359502</v>
      </c>
      <c r="K15" s="10">
        <f t="shared" si="11"/>
        <v>39325</v>
      </c>
    </row>
    <row r="16" spans="1:17">
      <c r="A16" s="7">
        <f t="shared" si="12"/>
        <v>14</v>
      </c>
      <c r="B16" s="4">
        <v>1</v>
      </c>
      <c r="C16" s="10">
        <f t="shared" si="3"/>
        <v>8191</v>
      </c>
      <c r="D16" s="10">
        <f t="shared" si="4"/>
        <v>788970</v>
      </c>
      <c r="E16" s="10">
        <f t="shared" si="5"/>
        <v>10391745</v>
      </c>
      <c r="F16" s="10">
        <f t="shared" si="6"/>
        <v>40075035</v>
      </c>
      <c r="G16" s="10">
        <f t="shared" si="7"/>
        <v>63436373</v>
      </c>
      <c r="H16" s="10">
        <f t="shared" si="8"/>
        <v>49329280</v>
      </c>
      <c r="I16" s="10">
        <f t="shared" si="9"/>
        <v>20912320</v>
      </c>
      <c r="J16" s="10">
        <f t="shared" si="10"/>
        <v>5135130</v>
      </c>
      <c r="K16" s="10">
        <f t="shared" si="11"/>
        <v>752752</v>
      </c>
    </row>
    <row r="17" spans="1:11">
      <c r="A17" s="7">
        <f t="shared" si="12"/>
        <v>15</v>
      </c>
      <c r="B17" s="4">
        <v>1</v>
      </c>
      <c r="C17" s="10">
        <f t="shared" si="3"/>
        <v>16383</v>
      </c>
      <c r="D17" s="10">
        <f t="shared" si="4"/>
        <v>2375101</v>
      </c>
      <c r="E17" s="10">
        <f t="shared" si="5"/>
        <v>42355950</v>
      </c>
      <c r="F17" s="10">
        <f t="shared" si="6"/>
        <v>210766920</v>
      </c>
      <c r="G17" s="10">
        <f t="shared" si="7"/>
        <v>420693273</v>
      </c>
      <c r="H17" s="10">
        <f t="shared" si="8"/>
        <v>408741333</v>
      </c>
      <c r="I17" s="10">
        <f t="shared" si="9"/>
        <v>216627840</v>
      </c>
      <c r="J17" s="10">
        <f t="shared" si="10"/>
        <v>67128490</v>
      </c>
      <c r="K17" s="10">
        <f t="shared" si="11"/>
        <v>12662650</v>
      </c>
    </row>
    <row r="18" spans="1:11">
      <c r="A18" s="7">
        <f t="shared" si="12"/>
        <v>16</v>
      </c>
      <c r="B18" s="4">
        <v>1</v>
      </c>
      <c r="C18" s="10">
        <f t="shared" si="3"/>
        <v>32767</v>
      </c>
      <c r="D18" s="10">
        <f t="shared" si="4"/>
        <v>7141686</v>
      </c>
      <c r="E18" s="10">
        <f t="shared" si="5"/>
        <v>171798901</v>
      </c>
      <c r="F18" s="10">
        <f t="shared" si="6"/>
        <v>1096190550</v>
      </c>
      <c r="G18" s="10">
        <f t="shared" si="7"/>
        <v>2734926558</v>
      </c>
      <c r="H18" s="10">
        <f t="shared" si="8"/>
        <v>3281882604</v>
      </c>
      <c r="I18" s="10">
        <f t="shared" si="9"/>
        <v>2141764053</v>
      </c>
      <c r="J18" s="10">
        <f t="shared" si="10"/>
        <v>820784250</v>
      </c>
      <c r="K18" s="10">
        <f t="shared" si="11"/>
        <v>193754990</v>
      </c>
    </row>
    <row r="19" spans="1:11">
      <c r="A19" s="7">
        <f t="shared" si="12"/>
        <v>17</v>
      </c>
      <c r="B19" s="4">
        <v>1</v>
      </c>
      <c r="C19" s="10">
        <f t="shared" si="3"/>
        <v>65535</v>
      </c>
      <c r="D19" s="10">
        <f t="shared" si="4"/>
        <v>21457825</v>
      </c>
      <c r="E19" s="10">
        <f t="shared" si="5"/>
        <v>694337290</v>
      </c>
      <c r="F19" s="10">
        <f t="shared" si="6"/>
        <v>5652751651</v>
      </c>
      <c r="G19" s="10">
        <f t="shared" si="7"/>
        <v>17505749898</v>
      </c>
      <c r="H19" s="10">
        <f t="shared" si="8"/>
        <v>25708104786</v>
      </c>
      <c r="I19" s="10">
        <f t="shared" si="9"/>
        <v>20415995028</v>
      </c>
      <c r="J19" s="10">
        <f t="shared" si="10"/>
        <v>9528822303</v>
      </c>
      <c r="K19" s="10">
        <f t="shared" si="11"/>
        <v>2758334150</v>
      </c>
    </row>
    <row r="20" spans="1:11">
      <c r="A20" s="7">
        <f t="shared" si="12"/>
        <v>18</v>
      </c>
      <c r="B20" s="4">
        <v>1</v>
      </c>
      <c r="C20" s="10">
        <f t="shared" si="3"/>
        <v>131071</v>
      </c>
      <c r="D20" s="10">
        <f t="shared" si="4"/>
        <v>64439010</v>
      </c>
      <c r="E20" s="10">
        <f t="shared" si="5"/>
        <v>2798806985</v>
      </c>
      <c r="F20" s="10">
        <f t="shared" si="6"/>
        <v>28958095545</v>
      </c>
      <c r="G20" s="10">
        <f t="shared" si="7"/>
        <v>110687251039</v>
      </c>
      <c r="H20" s="10">
        <f t="shared" si="8"/>
        <v>197462483400</v>
      </c>
      <c r="I20" s="10">
        <f t="shared" si="9"/>
        <v>189036065010</v>
      </c>
      <c r="J20" s="10">
        <f t="shared" si="10"/>
        <v>106175395755</v>
      </c>
      <c r="K20" s="10">
        <f t="shared" si="11"/>
        <v>37112163803</v>
      </c>
    </row>
    <row r="21" spans="1:11">
      <c r="A21" s="7">
        <f t="shared" si="12"/>
        <v>19</v>
      </c>
      <c r="B21" s="4">
        <v>1</v>
      </c>
      <c r="C21" s="10">
        <f t="shared" si="3"/>
        <v>262143</v>
      </c>
      <c r="D21" s="10">
        <f t="shared" si="4"/>
        <v>193448101</v>
      </c>
      <c r="E21" s="10">
        <f t="shared" si="5"/>
        <v>11259666950</v>
      </c>
      <c r="F21" s="10">
        <f t="shared" si="6"/>
        <v>147589284710</v>
      </c>
      <c r="G21" s="10">
        <f t="shared" si="7"/>
        <v>693081601779</v>
      </c>
      <c r="H21" s="10">
        <f t="shared" si="8"/>
        <v>1492924634839</v>
      </c>
      <c r="I21" s="10">
        <f t="shared" si="9"/>
        <v>1709751003480</v>
      </c>
      <c r="J21" s="10">
        <f t="shared" si="10"/>
        <v>1144614626805</v>
      </c>
      <c r="K21" s="10">
        <f t="shared" si="11"/>
        <v>477297033785</v>
      </c>
    </row>
    <row r="22" spans="1:11">
      <c r="A22" s="7">
        <f t="shared" si="12"/>
        <v>20</v>
      </c>
      <c r="B22" s="4">
        <v>1</v>
      </c>
      <c r="C22" s="10">
        <f t="shared" si="3"/>
        <v>524287</v>
      </c>
      <c r="D22" s="10">
        <f t="shared" si="4"/>
        <v>580606446</v>
      </c>
      <c r="E22" s="10">
        <f t="shared" si="5"/>
        <v>45232115901</v>
      </c>
      <c r="F22" s="10">
        <f t="shared" si="6"/>
        <v>749206090500</v>
      </c>
      <c r="G22" s="10">
        <f t="shared" si="7"/>
        <v>4306078895384</v>
      </c>
      <c r="H22" s="10">
        <f t="shared" si="8"/>
        <v>11143554045652</v>
      </c>
      <c r="I22" s="10">
        <f t="shared" si="9"/>
        <v>15170932662679</v>
      </c>
      <c r="J22" s="10">
        <f t="shared" si="10"/>
        <v>12011282644725</v>
      </c>
      <c r="K22" s="10">
        <f t="shared" si="11"/>
        <v>5917584964655</v>
      </c>
    </row>
    <row r="23" spans="1:11">
      <c r="A23" s="7">
        <f t="shared" si="12"/>
        <v>21</v>
      </c>
      <c r="B23" s="4">
        <v>1</v>
      </c>
      <c r="C23" s="10">
        <f t="shared" si="3"/>
        <v>1048575</v>
      </c>
      <c r="D23" s="10">
        <f t="shared" si="4"/>
        <v>1742343625</v>
      </c>
      <c r="E23" s="10">
        <f t="shared" si="5"/>
        <v>181509070050</v>
      </c>
      <c r="F23" s="10">
        <f t="shared" si="6"/>
        <v>3791262568401</v>
      </c>
      <c r="G23" s="10">
        <f t="shared" si="7"/>
        <v>26585679462804</v>
      </c>
      <c r="H23" s="10">
        <f t="shared" si="8"/>
        <v>82310957214948</v>
      </c>
      <c r="I23" s="10">
        <f t="shared" si="9"/>
        <v>132511015347084</v>
      </c>
      <c r="J23" s="10">
        <f t="shared" si="10"/>
        <v>123272476465204</v>
      </c>
      <c r="K23" s="10">
        <f t="shared" si="11"/>
        <v>71187132291275</v>
      </c>
    </row>
    <row r="24" spans="1:11">
      <c r="A24" s="7">
        <f t="shared" si="12"/>
        <v>22</v>
      </c>
      <c r="B24" s="4">
        <v>1</v>
      </c>
      <c r="C24" s="10">
        <f t="shared" si="3"/>
        <v>2097151</v>
      </c>
      <c r="D24" s="10">
        <f t="shared" si="4"/>
        <v>5228079450</v>
      </c>
      <c r="E24" s="10">
        <f t="shared" si="5"/>
        <v>727778623825</v>
      </c>
      <c r="F24" s="10">
        <f t="shared" si="6"/>
        <v>19137821912055</v>
      </c>
      <c r="G24" s="10">
        <f t="shared" si="7"/>
        <v>163305339345225</v>
      </c>
      <c r="H24" s="10">
        <f t="shared" si="8"/>
        <v>602762379967440</v>
      </c>
      <c r="I24" s="10">
        <f t="shared" si="9"/>
        <v>1142399079991620</v>
      </c>
      <c r="J24" s="10">
        <f t="shared" si="10"/>
        <v>1241963303533920</v>
      </c>
      <c r="K24" s="10">
        <f t="shared" si="11"/>
        <v>835143799377954</v>
      </c>
    </row>
    <row r="25" spans="1:11">
      <c r="A25" s="7">
        <f t="shared" si="12"/>
        <v>23</v>
      </c>
      <c r="B25" s="4">
        <v>1</v>
      </c>
      <c r="C25" s="10">
        <f t="shared" si="3"/>
        <v>4194303</v>
      </c>
      <c r="D25" s="10">
        <f t="shared" si="4"/>
        <v>15686335501</v>
      </c>
      <c r="E25" s="10">
        <f t="shared" si="5"/>
        <v>2916342574750</v>
      </c>
      <c r="F25" s="10">
        <f t="shared" si="6"/>
        <v>96416888184100</v>
      </c>
      <c r="G25" s="10">
        <f t="shared" si="7"/>
        <v>998969857983405</v>
      </c>
      <c r="H25" s="10">
        <f t="shared" si="8"/>
        <v>4382641999117305</v>
      </c>
      <c r="I25" s="10">
        <f t="shared" si="9"/>
        <v>9741955019900400</v>
      </c>
      <c r="J25" s="10">
        <f t="shared" si="10"/>
        <v>1.23200688117969E+16</v>
      </c>
      <c r="K25" s="10">
        <f t="shared" si="11"/>
        <v>9593401297313460</v>
      </c>
    </row>
    <row r="26" spans="1:11">
      <c r="A26" s="7">
        <f t="shared" si="12"/>
        <v>24</v>
      </c>
      <c r="B26" s="4">
        <v>1</v>
      </c>
      <c r="C26" s="10">
        <f t="shared" si="3"/>
        <v>8388607</v>
      </c>
      <c r="D26" s="10">
        <f t="shared" si="4"/>
        <v>47063200806</v>
      </c>
      <c r="E26" s="10">
        <f t="shared" si="5"/>
        <v>11681056634501</v>
      </c>
      <c r="F26" s="10">
        <f t="shared" si="6"/>
        <v>485000783495250</v>
      </c>
      <c r="G26" s="10">
        <f t="shared" si="7"/>
        <v>6090236036084530</v>
      </c>
      <c r="H26" s="10">
        <f t="shared" si="8"/>
        <v>3.167746385180454E+16</v>
      </c>
      <c r="I26" s="10">
        <f t="shared" si="9"/>
        <v>8.2318282158320512E+16</v>
      </c>
      <c r="J26" s="10">
        <f t="shared" si="10"/>
        <v>1.206225743260725E+17</v>
      </c>
      <c r="K26" s="10">
        <f t="shared" si="11"/>
        <v>1.0825408178493149E+17</v>
      </c>
    </row>
    <row r="27" spans="1:11">
      <c r="A27" s="7">
        <f t="shared" si="12"/>
        <v>25</v>
      </c>
      <c r="B27" s="4">
        <v>1</v>
      </c>
      <c r="C27" s="10">
        <f t="shared" si="3"/>
        <v>16777215</v>
      </c>
      <c r="D27" s="10">
        <f t="shared" si="4"/>
        <v>141197991025</v>
      </c>
      <c r="E27" s="10">
        <f t="shared" si="5"/>
        <v>46771289738810</v>
      </c>
      <c r="F27" s="10">
        <f t="shared" si="6"/>
        <v>2436684974110751</v>
      </c>
      <c r="G27" s="10">
        <f t="shared" si="7"/>
        <v>3.7026417000002432E+16</v>
      </c>
      <c r="H27" s="10">
        <f t="shared" si="8"/>
        <v>2.2783248299871632E+17</v>
      </c>
      <c r="I27" s="10">
        <f t="shared" si="9"/>
        <v>6.9022372111836864E+17</v>
      </c>
      <c r="J27" s="10">
        <f t="shared" si="10"/>
        <v>1.1679214510929731E+18</v>
      </c>
      <c r="K27" s="10">
        <f t="shared" si="11"/>
        <v>1.2031633921753874E+18</v>
      </c>
    </row>
    <row r="28" spans="1:11">
      <c r="A28" s="7">
        <f t="shared" ref="A28:A32" si="13">A27+1</f>
        <v>26</v>
      </c>
      <c r="B28" s="4">
        <v>1</v>
      </c>
      <c r="C28" s="10">
        <f t="shared" si="3"/>
        <v>33554431</v>
      </c>
      <c r="D28" s="10">
        <f t="shared" si="4"/>
        <v>423610750290</v>
      </c>
      <c r="E28" s="10">
        <f t="shared" si="5"/>
        <v>187226356946265</v>
      </c>
      <c r="F28" s="10">
        <f t="shared" si="6"/>
        <v>1.2230196160292566E+16</v>
      </c>
      <c r="G28" s="10">
        <f t="shared" si="7"/>
        <v>2.2459518697412534E+17</v>
      </c>
      <c r="H28" s="10">
        <f t="shared" si="8"/>
        <v>1.6318537979910164E+18</v>
      </c>
      <c r="I28" s="10">
        <f t="shared" si="9"/>
        <v>5.7496222519456655E+18</v>
      </c>
      <c r="J28" s="10">
        <f t="shared" si="10"/>
        <v>1.1201516780955126E+19</v>
      </c>
      <c r="K28" s="10">
        <f t="shared" si="11"/>
        <v>1.3199555372846848E+19</v>
      </c>
    </row>
    <row r="29" spans="1:11">
      <c r="A29" s="7">
        <f t="shared" si="13"/>
        <v>27</v>
      </c>
      <c r="B29" s="4">
        <v>1</v>
      </c>
      <c r="C29" s="10">
        <f t="shared" si="3"/>
        <v>67108863</v>
      </c>
      <c r="D29" s="10">
        <f t="shared" si="4"/>
        <v>1270865805301</v>
      </c>
      <c r="E29" s="10">
        <f t="shared" si="5"/>
        <v>749329038535350</v>
      </c>
      <c r="F29" s="10">
        <f t="shared" si="6"/>
        <v>6.1338207158409096E+16</v>
      </c>
      <c r="G29" s="10">
        <f t="shared" si="7"/>
        <v>1.3598013180050447E+18</v>
      </c>
      <c r="H29" s="10">
        <f t="shared" si="8"/>
        <v>1.1647571772911241E+19</v>
      </c>
      <c r="I29" s="10">
        <f t="shared" si="9"/>
        <v>4.7628831813556339E+19</v>
      </c>
      <c r="J29" s="10">
        <f t="shared" si="10"/>
        <v>1.065632732805418E+20</v>
      </c>
      <c r="K29" s="10">
        <f t="shared" si="11"/>
        <v>1.4319707050942361E+20</v>
      </c>
    </row>
    <row r="30" spans="1:11">
      <c r="A30" s="7">
        <f t="shared" si="13"/>
        <v>28</v>
      </c>
      <c r="B30" s="4">
        <v>1</v>
      </c>
      <c r="C30" s="10">
        <f t="shared" si="3"/>
        <v>134217727</v>
      </c>
      <c r="D30" s="10">
        <f t="shared" si="4"/>
        <v>3812664524766</v>
      </c>
      <c r="E30" s="10">
        <f t="shared" si="5"/>
        <v>2998587019946701</v>
      </c>
      <c r="F30" s="10">
        <f t="shared" si="6"/>
        <v>3.0744036483058086E+17</v>
      </c>
      <c r="G30" s="10">
        <f t="shared" si="7"/>
        <v>8.2201461151886776E+18</v>
      </c>
      <c r="H30" s="10">
        <f t="shared" si="8"/>
        <v>8.2892803728383738E+19</v>
      </c>
      <c r="I30" s="10">
        <f t="shared" si="9"/>
        <v>3.9267822628136197E+20</v>
      </c>
      <c r="J30" s="10">
        <f t="shared" si="10"/>
        <v>1.0066982913384326E+21</v>
      </c>
      <c r="K30" s="10">
        <f t="shared" si="11"/>
        <v>1.5385339783747779E+21</v>
      </c>
    </row>
    <row r="31" spans="1:11">
      <c r="A31" s="7">
        <f t="shared" si="13"/>
        <v>29</v>
      </c>
      <c r="B31" s="4">
        <v>1</v>
      </c>
      <c r="C31" s="10">
        <f t="shared" si="3"/>
        <v>268435455</v>
      </c>
      <c r="D31" s="10">
        <f t="shared" si="4"/>
        <v>11438127792025</v>
      </c>
      <c r="E31" s="10">
        <f t="shared" si="5"/>
        <v>1.199816074431157E+16</v>
      </c>
      <c r="F31" s="10">
        <f t="shared" si="6"/>
        <v>1.5402004111728509E+18</v>
      </c>
      <c r="G31" s="10">
        <f t="shared" si="7"/>
        <v>4.9628317055962644E+19</v>
      </c>
      <c r="H31" s="10">
        <f t="shared" si="8"/>
        <v>5.8846977221387485E+20</v>
      </c>
      <c r="I31" s="10">
        <f t="shared" si="9"/>
        <v>3.2243186139792797E+21</v>
      </c>
      <c r="J31" s="10">
        <f t="shared" si="10"/>
        <v>9.4529628483272562E+21</v>
      </c>
      <c r="K31" s="10">
        <f t="shared" si="11"/>
        <v>1.6392038075086211E+22</v>
      </c>
    </row>
    <row r="32" spans="1:11">
      <c r="A32" s="7">
        <f t="shared" si="13"/>
        <v>30</v>
      </c>
      <c r="B32" s="4">
        <v>1</v>
      </c>
      <c r="C32" s="10">
        <f t="shared" si="3"/>
        <v>536870911</v>
      </c>
      <c r="D32" s="10">
        <f t="shared" si="4"/>
        <v>34314651811530</v>
      </c>
      <c r="E32" s="10">
        <f t="shared" si="5"/>
        <v>4.8004081105038304E+16</v>
      </c>
      <c r="F32" s="10">
        <f t="shared" si="6"/>
        <v>7.7130002166085663E+18</v>
      </c>
      <c r="G32" s="10">
        <f t="shared" si="7"/>
        <v>2.993101027469487E+20</v>
      </c>
      <c r="H32" s="10">
        <f t="shared" si="8"/>
        <v>4.1689167225530865E+21</v>
      </c>
      <c r="I32" s="10">
        <f t="shared" si="9"/>
        <v>2.6383018684048111E+22</v>
      </c>
      <c r="J32" s="10">
        <f t="shared" si="10"/>
        <v>8.8300984248924591E+22</v>
      </c>
      <c r="K32" s="10">
        <f t="shared" si="11"/>
        <v>1.7337334359918936E+23</v>
      </c>
    </row>
    <row r="33" spans="1:11">
      <c r="A33" s="7">
        <f t="shared" ref="A33:A39" si="14">A32+1</f>
        <v>31</v>
      </c>
      <c r="B33" s="4">
        <v>1</v>
      </c>
      <c r="C33" s="10">
        <f t="shared" si="3"/>
        <v>1073741823</v>
      </c>
      <c r="D33" s="10">
        <f t="shared" si="4"/>
        <v>102944492305501</v>
      </c>
      <c r="E33" s="10">
        <f t="shared" si="5"/>
        <v>1.9205063907196474E+17</v>
      </c>
      <c r="F33" s="10">
        <f t="shared" si="6"/>
        <v>3.8613005164147868E+19</v>
      </c>
      <c r="G33" s="10">
        <f t="shared" si="7"/>
        <v>1.8035736166983008E+21</v>
      </c>
      <c r="H33" s="10">
        <f t="shared" si="8"/>
        <v>2.9481727160618553E+22</v>
      </c>
      <c r="I33" s="10">
        <f t="shared" si="9"/>
        <v>2.1523306619493797E+23</v>
      </c>
      <c r="J33" s="10">
        <f t="shared" si="10"/>
        <v>8.2109187692436946E+23</v>
      </c>
      <c r="K33" s="10">
        <f t="shared" si="11"/>
        <v>1.8220344202408182E+24</v>
      </c>
    </row>
    <row r="34" spans="1:11">
      <c r="A34" s="7">
        <f t="shared" si="14"/>
        <v>32</v>
      </c>
      <c r="B34" s="4">
        <v>1</v>
      </c>
      <c r="C34" s="10">
        <f t="shared" si="3"/>
        <v>2147483647</v>
      </c>
      <c r="D34" s="10">
        <f t="shared" si="4"/>
        <v>308834550658326</v>
      </c>
      <c r="E34" s="10">
        <f t="shared" si="5"/>
        <v>7.6830550078016448E+17</v>
      </c>
      <c r="F34" s="10">
        <f t="shared" si="6"/>
        <v>1.9325707645981131E+20</v>
      </c>
      <c r="G34" s="10">
        <f t="shared" si="7"/>
        <v>1.0860054705353953E+22</v>
      </c>
      <c r="H34" s="10">
        <f t="shared" si="8"/>
        <v>2.0817566374102817E+23</v>
      </c>
      <c r="I34" s="10">
        <f t="shared" si="9"/>
        <v>1.7513462567201222E+24</v>
      </c>
      <c r="J34" s="10">
        <f t="shared" si="10"/>
        <v>7.6050599585142623E+24</v>
      </c>
      <c r="K34" s="10">
        <f t="shared" si="11"/>
        <v>1.9041436079332553E+25</v>
      </c>
    </row>
    <row r="35" spans="1:11">
      <c r="A35" s="7">
        <f t="shared" si="14"/>
        <v>33</v>
      </c>
      <c r="B35" s="4">
        <v>1</v>
      </c>
      <c r="C35" s="10">
        <f t="shared" si="3"/>
        <v>4294967295</v>
      </c>
      <c r="D35" s="10">
        <f t="shared" si="4"/>
        <v>926505799458625</v>
      </c>
      <c r="E35" s="10">
        <f t="shared" si="5"/>
        <v>3.0735308376713165E+18</v>
      </c>
      <c r="F35" s="10">
        <f t="shared" si="6"/>
        <v>9.670536877998367E+20</v>
      </c>
      <c r="G35" s="10">
        <f t="shared" si="7"/>
        <v>6.5353585308583525E+22</v>
      </c>
      <c r="H35" s="10">
        <f t="shared" si="8"/>
        <v>1.4680897008925511E+24</v>
      </c>
      <c r="I35" s="10">
        <f t="shared" si="9"/>
        <v>1.4218945717502005E+25</v>
      </c>
      <c r="J35" s="10">
        <f t="shared" si="10"/>
        <v>7.0196885883348483E+25</v>
      </c>
      <c r="K35" s="10">
        <f t="shared" si="11"/>
        <v>1.9801942075183979E+26</v>
      </c>
    </row>
    <row r="36" spans="1:11">
      <c r="A36" s="7">
        <f t="shared" si="14"/>
        <v>34</v>
      </c>
      <c r="B36" s="4">
        <v>1</v>
      </c>
      <c r="C36" s="10">
        <f t="shared" si="3"/>
        <v>8589934591</v>
      </c>
      <c r="D36" s="10">
        <f t="shared" si="4"/>
        <v>2779521693343170</v>
      </c>
      <c r="E36" s="10">
        <f t="shared" si="5"/>
        <v>1.2295049856484725E+19</v>
      </c>
      <c r="F36" s="10">
        <f t="shared" si="6"/>
        <v>4.8383419698368553E+21</v>
      </c>
      <c r="G36" s="10">
        <f t="shared" si="7"/>
        <v>3.9308856553930099E+23</v>
      </c>
      <c r="H36" s="10">
        <f t="shared" si="8"/>
        <v>1.0341981491556442E+25</v>
      </c>
      <c r="I36" s="10">
        <f t="shared" si="9"/>
        <v>1.1521965544090859E+26</v>
      </c>
      <c r="J36" s="10">
        <f t="shared" si="10"/>
        <v>6.4599091866763842E+26</v>
      </c>
      <c r="K36" s="10">
        <f t="shared" si="11"/>
        <v>2.0503910934017463E+27</v>
      </c>
    </row>
    <row r="37" spans="1:11">
      <c r="A37" s="7">
        <f t="shared" si="14"/>
        <v>35</v>
      </c>
      <c r="B37" s="4">
        <v>1</v>
      </c>
      <c r="C37" s="10">
        <f t="shared" si="3"/>
        <v>17179869183</v>
      </c>
      <c r="D37" s="10">
        <f t="shared" si="4"/>
        <v>8338573669964101</v>
      </c>
      <c r="E37" s="10">
        <f t="shared" si="5"/>
        <v>4.9182978947632243E+19</v>
      </c>
      <c r="F37" s="10">
        <f t="shared" si="6"/>
        <v>2.4204004899040761E+22</v>
      </c>
      <c r="G37" s="10">
        <f t="shared" si="7"/>
        <v>2.3633697352056428E+24</v>
      </c>
      <c r="H37" s="10">
        <f t="shared" si="8"/>
        <v>7.2786959006434398E+25</v>
      </c>
      <c r="I37" s="10">
        <f t="shared" si="9"/>
        <v>9.3209922501882511E+26</v>
      </c>
      <c r="J37" s="10">
        <f t="shared" si="10"/>
        <v>5.929137923449655E+27</v>
      </c>
      <c r="K37" s="10">
        <f t="shared" si="11"/>
        <v>2.1149901852685103E+28</v>
      </c>
    </row>
    <row r="38" spans="1:11">
      <c r="A38" s="7">
        <f t="shared" si="14"/>
        <v>36</v>
      </c>
      <c r="B38" s="4">
        <v>1</v>
      </c>
      <c r="C38" s="10">
        <f t="shared" si="3"/>
        <v>34359738367</v>
      </c>
      <c r="D38" s="10">
        <f t="shared" si="4"/>
        <v>2.5015738189761488E+16</v>
      </c>
      <c r="E38" s="10">
        <f t="shared" si="5"/>
        <v>1.9674025436419893E+20</v>
      </c>
      <c r="F38" s="10">
        <f t="shared" si="6"/>
        <v>1.2106920747415144E+23</v>
      </c>
      <c r="G38" s="10">
        <f t="shared" si="7"/>
        <v>1.4204422416132897E+25</v>
      </c>
      <c r="H38" s="10">
        <f t="shared" si="8"/>
        <v>5.1187208278024644E+26</v>
      </c>
      <c r="I38" s="10">
        <f t="shared" si="9"/>
        <v>7.5295807591570348E+27</v>
      </c>
      <c r="J38" s="10">
        <f t="shared" si="10"/>
        <v>5.4294340536065715E+28</v>
      </c>
      <c r="K38" s="10">
        <f t="shared" si="11"/>
        <v>2.1742815645030069E+29</v>
      </c>
    </row>
    <row r="39" spans="1:11">
      <c r="A39" s="7">
        <f t="shared" si="14"/>
        <v>37</v>
      </c>
      <c r="B39" s="4">
        <v>1</v>
      </c>
      <c r="C39" s="10">
        <f t="shared" si="3"/>
        <v>68719476735</v>
      </c>
      <c r="D39" s="10">
        <f t="shared" si="4"/>
        <v>7.5047248929022832E+16</v>
      </c>
      <c r="E39" s="10">
        <f t="shared" si="5"/>
        <v>7.8698603319498546E+20</v>
      </c>
      <c r="F39" s="10">
        <f t="shared" si="6"/>
        <v>6.0554277762512141E+23</v>
      </c>
      <c r="G39" s="10">
        <f t="shared" si="7"/>
        <v>8.5347603704271547E+25</v>
      </c>
      <c r="H39" s="10">
        <f t="shared" si="8"/>
        <v>3.5973090018778579E+27</v>
      </c>
      <c r="I39" s="10">
        <f t="shared" si="9"/>
        <v>6.0748518156036521E+28</v>
      </c>
      <c r="J39" s="10">
        <f t="shared" si="10"/>
        <v>4.9617864558374848E+29</v>
      </c>
      <c r="K39" s="10">
        <f t="shared" si="11"/>
        <v>2.2285759050390725E+30</v>
      </c>
    </row>
    <row r="40" spans="1:11">
      <c r="A40" s="7">
        <f t="shared" ref="A40:A102" si="15">A39+1</f>
        <v>38</v>
      </c>
      <c r="B40" s="4">
        <v>1</v>
      </c>
      <c r="C40" s="10">
        <f t="shared" si="3"/>
        <v>137438953471</v>
      </c>
      <c r="D40" s="10">
        <f t="shared" si="4"/>
        <v>2.2514181550654522E+17</v>
      </c>
      <c r="E40" s="10">
        <f t="shared" si="5"/>
        <v>3.1480191800288708E+21</v>
      </c>
      <c r="F40" s="10">
        <f t="shared" si="6"/>
        <v>3.0285008741588017E+24</v>
      </c>
      <c r="G40" s="10">
        <f t="shared" si="7"/>
        <v>5.1269116500325447E+26</v>
      </c>
      <c r="H40" s="10">
        <f t="shared" si="8"/>
        <v>2.5266510616849279E+28</v>
      </c>
      <c r="I40" s="10">
        <f t="shared" si="9"/>
        <v>4.8958545425017006E+29</v>
      </c>
      <c r="J40" s="10">
        <f t="shared" si="10"/>
        <v>4.5263563284097727E+30</v>
      </c>
      <c r="K40" s="10">
        <f t="shared" si="11"/>
        <v>2.2781937695974474E+31</v>
      </c>
    </row>
    <row r="41" spans="1:11">
      <c r="A41" s="7">
        <f t="shared" si="15"/>
        <v>39</v>
      </c>
      <c r="B41" s="4">
        <v>1</v>
      </c>
      <c r="C41" s="10">
        <f t="shared" si="3"/>
        <v>274877906943</v>
      </c>
      <c r="D41" s="10">
        <f t="shared" si="4"/>
        <v>6.7542558395858918E+17</v>
      </c>
      <c r="E41" s="10">
        <f t="shared" si="5"/>
        <v>1.259230186193099E+22</v>
      </c>
      <c r="F41" s="10">
        <f t="shared" si="6"/>
        <v>1.5145652389974037E+25</v>
      </c>
      <c r="G41" s="10">
        <f t="shared" si="7"/>
        <v>3.0791754908936856E+27</v>
      </c>
      <c r="H41" s="10">
        <f t="shared" si="8"/>
        <v>1.7737826548294822E+29</v>
      </c>
      <c r="I41" s="10">
        <f t="shared" si="9"/>
        <v>3.9419501446182096E+30</v>
      </c>
      <c r="J41" s="10">
        <f t="shared" si="10"/>
        <v>4.1226792409938132E+31</v>
      </c>
      <c r="K41" s="10">
        <f t="shared" si="11"/>
        <v>2.3234573328815449E+32</v>
      </c>
    </row>
    <row r="42" spans="1:11">
      <c r="A42" s="7">
        <f t="shared" si="15"/>
        <v>40</v>
      </c>
      <c r="B42" s="4">
        <v>1</v>
      </c>
      <c r="C42" s="10">
        <f t="shared" si="3"/>
        <v>549755813887</v>
      </c>
      <c r="D42" s="10">
        <f t="shared" si="4"/>
        <v>2.0262770267536745E+18</v>
      </c>
      <c r="E42" s="10">
        <f t="shared" si="5"/>
        <v>5.0369882873307918E+22</v>
      </c>
      <c r="F42" s="10">
        <f t="shared" si="6"/>
        <v>7.5740854251732122E+25</v>
      </c>
      <c r="G42" s="10">
        <f t="shared" si="7"/>
        <v>1.8490198597752089E+28</v>
      </c>
      <c r="H42" s="10">
        <f t="shared" si="8"/>
        <v>1.2447270338715311E+30</v>
      </c>
      <c r="I42" s="10">
        <f t="shared" si="9"/>
        <v>3.1712979422428627E+31</v>
      </c>
      <c r="J42" s="10">
        <f t="shared" si="10"/>
        <v>3.749830818340614E+32</v>
      </c>
      <c r="K42" s="10">
        <f t="shared" si="11"/>
        <v>2.364684125291483E+33</v>
      </c>
    </row>
    <row r="43" spans="1:11">
      <c r="A43" s="7">
        <f t="shared" si="15"/>
        <v>41</v>
      </c>
      <c r="B43" s="4">
        <v>1</v>
      </c>
      <c r="C43" s="10">
        <f t="shared" si="3"/>
        <v>1099511627775</v>
      </c>
      <c r="D43" s="10">
        <f t="shared" si="4"/>
        <v>6.0788316300168376E+18</v>
      </c>
      <c r="E43" s="10">
        <f t="shared" si="5"/>
        <v>2.0148155777025842E+23</v>
      </c>
      <c r="F43" s="10">
        <f t="shared" si="6"/>
        <v>3.7875464114153388E+26</v>
      </c>
      <c r="G43" s="10">
        <f t="shared" si="7"/>
        <v>1.1101693244076427E+29</v>
      </c>
      <c r="H43" s="10">
        <f t="shared" si="8"/>
        <v>8.7315794356984696E+30</v>
      </c>
      <c r="I43" s="10">
        <f t="shared" si="9"/>
        <v>2.5494856241330055E+32</v>
      </c>
      <c r="J43" s="10">
        <f t="shared" si="10"/>
        <v>3.4065607159289807E+33</v>
      </c>
      <c r="K43" s="10">
        <f t="shared" si="11"/>
        <v>2.4021824334748891E+34</v>
      </c>
    </row>
    <row r="44" spans="1:11">
      <c r="A44" s="7">
        <f t="shared" si="15"/>
        <v>42</v>
      </c>
      <c r="B44" s="4">
        <v>1</v>
      </c>
      <c r="C44" s="10">
        <f t="shared" si="3"/>
        <v>2199023255551</v>
      </c>
      <c r="D44" s="10">
        <f t="shared" si="4"/>
        <v>1.8236495989562141E+19</v>
      </c>
      <c r="E44" s="10">
        <f t="shared" si="5"/>
        <v>8.0593230991266376E+23</v>
      </c>
      <c r="F44" s="10">
        <f t="shared" si="6"/>
        <v>1.8939746872654396E+27</v>
      </c>
      <c r="G44" s="10">
        <f t="shared" si="7"/>
        <v>6.6648034928572715E+29</v>
      </c>
      <c r="H44" s="10">
        <f t="shared" si="8"/>
        <v>6.1232072982330052E+31</v>
      </c>
      <c r="I44" s="10">
        <f t="shared" si="9"/>
        <v>2.0483200787421029E+33</v>
      </c>
      <c r="J44" s="10">
        <f t="shared" si="10"/>
        <v>3.0913995005774125E+34</v>
      </c>
      <c r="K44" s="10">
        <f t="shared" si="11"/>
        <v>2.4362480406341787E+35</v>
      </c>
    </row>
    <row r="45" spans="1:11">
      <c r="A45" s="7">
        <f t="shared" si="15"/>
        <v>43</v>
      </c>
      <c r="B45" s="4">
        <v>1</v>
      </c>
      <c r="C45" s="10">
        <f t="shared" si="3"/>
        <v>4398046511103</v>
      </c>
      <c r="D45" s="10">
        <f t="shared" si="4"/>
        <v>5.470949016770968E+19</v>
      </c>
      <c r="E45" s="10">
        <f t="shared" si="5"/>
        <v>3.2237474761466446E+24</v>
      </c>
      <c r="F45" s="10">
        <f t="shared" si="6"/>
        <v>9.4706793686371104E+27</v>
      </c>
      <c r="G45" s="10">
        <f t="shared" si="7"/>
        <v>4.0007760704016286E+30</v>
      </c>
      <c r="H45" s="10">
        <f t="shared" si="8"/>
        <v>4.2929099122559606E+32</v>
      </c>
      <c r="I45" s="10">
        <f t="shared" si="9"/>
        <v>1.6447792702919153E+34</v>
      </c>
      <c r="J45" s="10">
        <f t="shared" si="10"/>
        <v>2.8027427513070922E+35</v>
      </c>
      <c r="K45" s="10">
        <f t="shared" si="11"/>
        <v>2.4671620356399526E+36</v>
      </c>
    </row>
    <row r="46" spans="1:11">
      <c r="A46" s="7">
        <f t="shared" si="15"/>
        <v>44</v>
      </c>
      <c r="B46" s="4">
        <v>1</v>
      </c>
      <c r="C46" s="10">
        <f t="shared" si="3"/>
        <v>8796093022207</v>
      </c>
      <c r="D46" s="10">
        <f t="shared" si="4"/>
        <v>1.6412847490117553E+20</v>
      </c>
      <c r="E46" s="10">
        <f t="shared" si="5"/>
        <v>1.2895044614076745E+25</v>
      </c>
      <c r="F46" s="10">
        <f t="shared" si="6"/>
        <v>4.7356620590661701E+28</v>
      </c>
      <c r="G46" s="10">
        <f t="shared" si="7"/>
        <v>2.4014127101778409E+31</v>
      </c>
      <c r="H46" s="10">
        <f t="shared" si="8"/>
        <v>3.0090377146495741E+33</v>
      </c>
      <c r="I46" s="10">
        <f t="shared" si="9"/>
        <v>1.3201163261457881E+35</v>
      </c>
      <c r="J46" s="10">
        <f t="shared" si="10"/>
        <v>2.5389162688793022E+36</v>
      </c>
      <c r="K46" s="10">
        <f t="shared" si="11"/>
        <v>2.4951894631530238E+37</v>
      </c>
    </row>
    <row r="47" spans="1:11">
      <c r="A47" s="7">
        <f t="shared" si="15"/>
        <v>45</v>
      </c>
      <c r="B47" s="4">
        <v>1</v>
      </c>
      <c r="C47" s="10">
        <f t="shared" si="3"/>
        <v>17592186044415</v>
      </c>
      <c r="D47" s="10">
        <f t="shared" si="4"/>
        <v>4.9238543349961962E+20</v>
      </c>
      <c r="E47" s="10">
        <f t="shared" si="5"/>
        <v>5.1580342584781886E+25</v>
      </c>
      <c r="F47" s="10">
        <f t="shared" si="6"/>
        <v>2.3679599799792256E+29</v>
      </c>
      <c r="G47" s="10">
        <f t="shared" si="7"/>
        <v>1.4413211923126113E+32</v>
      </c>
      <c r="H47" s="10">
        <f t="shared" si="8"/>
        <v>2.1087278129648797E+34</v>
      </c>
      <c r="I47" s="10">
        <f t="shared" si="9"/>
        <v>1.0591020986312801E+36</v>
      </c>
      <c r="J47" s="10">
        <f t="shared" si="10"/>
        <v>2.2982258052528301E+37</v>
      </c>
      <c r="K47" s="10">
        <f t="shared" si="11"/>
        <v>2.5205786258418168E+38</v>
      </c>
    </row>
    <row r="48" spans="1:11">
      <c r="A48" s="7">
        <f t="shared" si="15"/>
        <v>46</v>
      </c>
      <c r="B48" s="4">
        <v>1</v>
      </c>
      <c r="C48" s="10">
        <f t="shared" si="3"/>
        <v>35184372088831</v>
      </c>
      <c r="D48" s="10">
        <f t="shared" si="4"/>
        <v>1.477156318091045E+21</v>
      </c>
      <c r="E48" s="10">
        <f t="shared" si="5"/>
        <v>2.0632186272456105E+26</v>
      </c>
      <c r="F48" s="10">
        <f t="shared" si="6"/>
        <v>1.1840315703321975E+30</v>
      </c>
      <c r="G48" s="10">
        <f t="shared" si="7"/>
        <v>8.6502951138556466E+32</v>
      </c>
      <c r="H48" s="10">
        <f t="shared" si="8"/>
        <v>1.4775507902677285E+35</v>
      </c>
      <c r="I48" s="10">
        <f t="shared" si="9"/>
        <v>8.4939040671798901E+36</v>
      </c>
      <c r="J48" s="10">
        <f t="shared" si="10"/>
        <v>2.0789942457138602E+38</v>
      </c>
      <c r="K48" s="10">
        <f t="shared" si="11"/>
        <v>2.5435608838943449E+39</v>
      </c>
    </row>
    <row r="49" spans="1:11">
      <c r="A49" s="7">
        <f t="shared" si="15"/>
        <v>47</v>
      </c>
      <c r="B49" s="4">
        <v>1</v>
      </c>
      <c r="C49" s="10">
        <f t="shared" si="3"/>
        <v>70368744177663</v>
      </c>
      <c r="D49" s="10">
        <f t="shared" si="4"/>
        <v>4.431468989457507E+21</v>
      </c>
      <c r="E49" s="10">
        <f t="shared" si="5"/>
        <v>8.2528892805456228E+26</v>
      </c>
      <c r="F49" s="10">
        <f t="shared" si="6"/>
        <v>5.9203641735237114E+30</v>
      </c>
      <c r="G49" s="10">
        <f t="shared" si="7"/>
        <v>5.1913610998837199E+33</v>
      </c>
      <c r="H49" s="10">
        <f t="shared" si="8"/>
        <v>1.0351505826987955E+36</v>
      </c>
      <c r="I49" s="10">
        <f t="shared" si="9"/>
        <v>6.8098987616465895E+37</v>
      </c>
      <c r="J49" s="10">
        <f t="shared" si="10"/>
        <v>1.879588725209654E+39</v>
      </c>
      <c r="K49" s="10">
        <f t="shared" si="11"/>
        <v>2.5643508263514835E+40</v>
      </c>
    </row>
    <row r="50" spans="1:11">
      <c r="A50" s="7">
        <f t="shared" si="15"/>
        <v>48</v>
      </c>
      <c r="B50" s="4">
        <v>1</v>
      </c>
      <c r="C50" s="10">
        <f t="shared" si="3"/>
        <v>140737488355327</v>
      </c>
      <c r="D50" s="10">
        <f t="shared" si="4"/>
        <v>1.3294407038741265E+22</v>
      </c>
      <c r="E50" s="10">
        <f t="shared" si="5"/>
        <v>3.3011601436872386E+27</v>
      </c>
      <c r="F50" s="10">
        <f t="shared" si="6"/>
        <v>2.9602646156546612E+31</v>
      </c>
      <c r="G50" s="10">
        <f t="shared" si="7"/>
        <v>3.1154086963475842E+34</v>
      </c>
      <c r="H50" s="10">
        <f t="shared" si="8"/>
        <v>7.2512454399914527E+36</v>
      </c>
      <c r="I50" s="10">
        <f t="shared" si="9"/>
        <v>5.4582705151442598E+38</v>
      </c>
      <c r="J50" s="10">
        <f t="shared" si="10"/>
        <v>1.6984397514503353E+40</v>
      </c>
      <c r="K50" s="10">
        <f t="shared" si="11"/>
        <v>2.5831467136035801E+41</v>
      </c>
    </row>
    <row r="51" spans="1:11">
      <c r="A51" s="7">
        <f t="shared" si="15"/>
        <v>49</v>
      </c>
      <c r="B51" s="4">
        <v>1</v>
      </c>
      <c r="C51" s="10">
        <f t="shared" si="3"/>
        <v>281474976710655</v>
      </c>
      <c r="D51" s="10">
        <f t="shared" si="4"/>
        <v>3.988322125696128E+22</v>
      </c>
      <c r="E51" s="10">
        <f t="shared" si="5"/>
        <v>1.3204653869155992E+28</v>
      </c>
      <c r="F51" s="10">
        <f t="shared" si="6"/>
        <v>1.4801653194287675E+32</v>
      </c>
      <c r="G51" s="10">
        <f t="shared" si="7"/>
        <v>1.8695412442701159E+35</v>
      </c>
      <c r="H51" s="10">
        <f t="shared" si="8"/>
        <v>5.0789872166903645E+37</v>
      </c>
      <c r="I51" s="10">
        <f t="shared" si="9"/>
        <v>4.3738676575553993E+39</v>
      </c>
      <c r="J51" s="10">
        <f t="shared" si="10"/>
        <v>1.534054046820446E+41</v>
      </c>
      <c r="K51" s="10">
        <f t="shared" si="11"/>
        <v>2.6001311111180834E+42</v>
      </c>
    </row>
    <row r="52" spans="1:11">
      <c r="A52" s="7">
        <f t="shared" si="15"/>
        <v>50</v>
      </c>
      <c r="B52" s="4">
        <v>1</v>
      </c>
      <c r="C52" s="10">
        <f t="shared" si="3"/>
        <v>562949953421311</v>
      </c>
      <c r="D52" s="10">
        <f t="shared" si="4"/>
        <v>1.1964966405235881E+23</v>
      </c>
      <c r="E52" s="10">
        <f t="shared" si="5"/>
        <v>5.2818655359845227E+28</v>
      </c>
      <c r="F52" s="10">
        <f t="shared" si="6"/>
        <v>7.4009586436825291E+32</v>
      </c>
      <c r="G52" s="10">
        <f t="shared" si="7"/>
        <v>1.1218727630940124E+36</v>
      </c>
      <c r="H52" s="10">
        <f t="shared" si="8"/>
        <v>3.5571605929275258E+38</v>
      </c>
      <c r="I52" s="10">
        <f t="shared" si="9"/>
        <v>3.5041731132610097E+40</v>
      </c>
      <c r="J52" s="10">
        <f t="shared" si="10"/>
        <v>1.3850225097959567E+42</v>
      </c>
      <c r="K52" s="10">
        <f t="shared" si="11"/>
        <v>2.6154716515862879E+43</v>
      </c>
    </row>
    <row r="53" spans="1:11">
      <c r="A53" s="7">
        <f t="shared" si="15"/>
        <v>51</v>
      </c>
      <c r="B53" s="4">
        <v>1</v>
      </c>
      <c r="C53" s="10">
        <f t="shared" si="3"/>
        <v>1125899906842623</v>
      </c>
      <c r="D53" s="10">
        <f t="shared" si="4"/>
        <v>3.5894899272002638E+23</v>
      </c>
      <c r="E53" s="10">
        <f t="shared" si="5"/>
        <v>2.1127474108904495E+29</v>
      </c>
      <c r="F53" s="10">
        <f t="shared" si="6"/>
        <v>3.7005321404966241E+33</v>
      </c>
      <c r="G53" s="10">
        <f t="shared" si="7"/>
        <v>6.7319766744284423E+36</v>
      </c>
      <c r="H53" s="10">
        <f t="shared" si="8"/>
        <v>2.4911342878123621E+39</v>
      </c>
      <c r="I53" s="10">
        <f t="shared" si="9"/>
        <v>2.8068956512017354E+41</v>
      </c>
      <c r="J53" s="10">
        <f t="shared" si="10"/>
        <v>1.2500244319296219E+43</v>
      </c>
      <c r="K53" s="10">
        <f t="shared" si="11"/>
        <v>2.6293218766842474E+44</v>
      </c>
    </row>
    <row r="54" spans="1:11">
      <c r="A54" s="7">
        <f t="shared" si="15"/>
        <v>52</v>
      </c>
      <c r="B54" s="4">
        <v>1</v>
      </c>
      <c r="C54" s="10">
        <f t="shared" si="3"/>
        <v>2251799813685247</v>
      </c>
      <c r="D54" s="10">
        <f t="shared" si="4"/>
        <v>1.0768469792859791E+24</v>
      </c>
      <c r="E54" s="10">
        <f t="shared" si="5"/>
        <v>8.4509932330517256E+29</v>
      </c>
      <c r="F54" s="10">
        <f t="shared" si="6"/>
        <v>1.8502871977224211E+34</v>
      </c>
      <c r="G54" s="10">
        <f t="shared" si="7"/>
        <v>4.039556057871115E+37</v>
      </c>
      <c r="H54" s="10">
        <f t="shared" si="8"/>
        <v>1.7444671991360962E+40</v>
      </c>
      <c r="I54" s="10">
        <f t="shared" si="9"/>
        <v>2.2480076552492007E+42</v>
      </c>
      <c r="J54" s="10">
        <f t="shared" si="10"/>
        <v>1.1278288843878616E+44</v>
      </c>
      <c r="K54" s="10">
        <f t="shared" si="11"/>
        <v>2.6418221210035436E+45</v>
      </c>
    </row>
    <row r="55" spans="1:11">
      <c r="A55" s="7">
        <f t="shared" si="15"/>
        <v>53</v>
      </c>
      <c r="B55" s="4">
        <v>1</v>
      </c>
      <c r="C55" s="10">
        <f t="shared" si="3"/>
        <v>4503599627370495</v>
      </c>
      <c r="D55" s="10">
        <f t="shared" si="4"/>
        <v>3.2305409401097368E+24</v>
      </c>
      <c r="E55" s="10">
        <f t="shared" si="5"/>
        <v>3.3803983700676697E+30</v>
      </c>
      <c r="F55" s="10">
        <f t="shared" si="6"/>
        <v>9.2515204985444355E+34</v>
      </c>
      <c r="G55" s="10">
        <f t="shared" si="7"/>
        <v>2.4239186634424416E+38</v>
      </c>
      <c r="H55" s="10">
        <f t="shared" si="8"/>
        <v>1.2215309950010544E+41</v>
      </c>
      <c r="I55" s="10">
        <f t="shared" si="9"/>
        <v>1.8001505913984966E+43</v>
      </c>
      <c r="J55" s="10">
        <f t="shared" si="10"/>
        <v>1.0172940036043246E+45</v>
      </c>
      <c r="K55" s="10">
        <f t="shared" si="11"/>
        <v>2.6531004098474221E+46</v>
      </c>
    </row>
    <row r="56" spans="1:11">
      <c r="A56" s="7">
        <f t="shared" si="15"/>
        <v>54</v>
      </c>
      <c r="B56" s="4">
        <v>1</v>
      </c>
      <c r="C56" s="10">
        <f t="shared" si="3"/>
        <v>9007199254740991</v>
      </c>
      <c r="D56" s="10">
        <f t="shared" si="4"/>
        <v>9.6916228248328107E+24</v>
      </c>
      <c r="E56" s="10">
        <f t="shared" si="5"/>
        <v>1.3521596710811618E+31</v>
      </c>
      <c r="F56" s="10">
        <f t="shared" si="6"/>
        <v>4.6257940532559188E+35</v>
      </c>
      <c r="G56" s="10">
        <f t="shared" si="7"/>
        <v>1.4544437132704503E+39</v>
      </c>
      <c r="H56" s="10">
        <f t="shared" si="8"/>
        <v>8.5531408836708229E+41</v>
      </c>
      <c r="I56" s="10">
        <f t="shared" si="9"/>
        <v>1.4413420041137983E+44</v>
      </c>
      <c r="J56" s="10">
        <f t="shared" si="10"/>
        <v>9.1736475383529072E+45</v>
      </c>
      <c r="K56" s="10">
        <f t="shared" si="11"/>
        <v>2.6632733498834652E+47</v>
      </c>
    </row>
    <row r="57" spans="1:11">
      <c r="A57" s="7">
        <f t="shared" si="15"/>
        <v>55</v>
      </c>
      <c r="B57" s="4">
        <v>1</v>
      </c>
      <c r="C57" s="10">
        <f t="shared" si="3"/>
        <v>1.8014398509481984E+16</v>
      </c>
      <c r="D57" s="10">
        <f t="shared" si="4"/>
        <v>2.9074868483505629E+25</v>
      </c>
      <c r="E57" s="10">
        <f t="shared" si="5"/>
        <v>5.40863965348693E+31</v>
      </c>
      <c r="F57" s="10">
        <f t="shared" si="6"/>
        <v>2.3129105482246703E+36</v>
      </c>
      <c r="G57" s="10">
        <f t="shared" si="7"/>
        <v>8.7271248590280286E+39</v>
      </c>
      <c r="H57" s="10">
        <f t="shared" si="8"/>
        <v>5.988653062282846E+42</v>
      </c>
      <c r="I57" s="10">
        <f t="shared" si="9"/>
        <v>1.1539289173794057E+45</v>
      </c>
      <c r="J57" s="10">
        <f t="shared" si="10"/>
        <v>8.2706962045587544E+46</v>
      </c>
      <c r="K57" s="10">
        <f t="shared" si="11"/>
        <v>2.6724469974218181E+48</v>
      </c>
    </row>
    <row r="58" spans="1:11">
      <c r="A58" s="7">
        <f t="shared" si="15"/>
        <v>56</v>
      </c>
      <c r="B58" s="4">
        <v>1</v>
      </c>
      <c r="C58" s="10">
        <f t="shared" si="3"/>
        <v>3.6028797018963968E+16</v>
      </c>
      <c r="D58" s="10">
        <f t="shared" si="4"/>
        <v>8.7224605468531286E+25</v>
      </c>
      <c r="E58" s="10">
        <f t="shared" si="5"/>
        <v>2.1634561521434569E+32</v>
      </c>
      <c r="F58" s="10">
        <f t="shared" si="6"/>
        <v>1.1564606827519887E+37</v>
      </c>
      <c r="G58" s="10">
        <f t="shared" si="7"/>
        <v>5.23650620647164E+40</v>
      </c>
      <c r="H58" s="10">
        <f t="shared" si="8"/>
        <v>4.1929298560838949E+43</v>
      </c>
      <c r="I58" s="10">
        <f t="shared" si="9"/>
        <v>9.2374199920975284E+45</v>
      </c>
      <c r="J58" s="10">
        <f t="shared" si="10"/>
        <v>7.4551658732766735E+47</v>
      </c>
      <c r="K58" s="10">
        <f t="shared" si="11"/>
        <v>2.6807176936263773E+49</v>
      </c>
    </row>
    <row r="59" spans="1:11">
      <c r="A59" s="7">
        <f t="shared" si="15"/>
        <v>57</v>
      </c>
      <c r="B59" s="4">
        <v>1</v>
      </c>
      <c r="C59" s="10">
        <f t="shared" si="3"/>
        <v>7.2057594037927936E+16</v>
      </c>
      <c r="D59" s="10">
        <f t="shared" si="4"/>
        <v>2.6167381644162266E+26</v>
      </c>
      <c r="E59" s="10">
        <f t="shared" si="5"/>
        <v>8.6538254808198822E+32</v>
      </c>
      <c r="F59" s="10">
        <f t="shared" si="6"/>
        <v>5.7823250483214651E+37</v>
      </c>
      <c r="G59" s="10">
        <f t="shared" si="7"/>
        <v>3.1420193699512592E+41</v>
      </c>
      <c r="H59" s="10">
        <f t="shared" si="8"/>
        <v>2.9355745498793735E+44</v>
      </c>
      <c r="I59" s="10">
        <f t="shared" si="9"/>
        <v>7.3941289235341065E+46</v>
      </c>
      <c r="J59" s="10">
        <f t="shared" si="10"/>
        <v>6.7188867059411034E+48</v>
      </c>
      <c r="K59" s="10">
        <f t="shared" si="11"/>
        <v>2.6881728594996541E+50</v>
      </c>
    </row>
    <row r="60" spans="1:11">
      <c r="A60" s="7">
        <f t="shared" si="15"/>
        <v>58</v>
      </c>
      <c r="B60" s="4">
        <v>1</v>
      </c>
      <c r="C60" s="10">
        <f t="shared" si="3"/>
        <v>1.4411518807585587E+17</v>
      </c>
      <c r="D60" s="10">
        <f t="shared" si="4"/>
        <v>7.8502144939692563E+26</v>
      </c>
      <c r="E60" s="10">
        <f t="shared" si="5"/>
        <v>3.4615304540017691E+33</v>
      </c>
      <c r="F60" s="10">
        <f t="shared" si="6"/>
        <v>2.8911711779862135E+38</v>
      </c>
      <c r="G60" s="10">
        <f t="shared" si="7"/>
        <v>1.8852694452212385E+42</v>
      </c>
      <c r="H60" s="10">
        <f t="shared" si="8"/>
        <v>2.0552163868525566E+45</v>
      </c>
      <c r="I60" s="10">
        <f t="shared" si="9"/>
        <v>5.9182387133771645E+47</v>
      </c>
      <c r="J60" s="10">
        <f t="shared" si="10"/>
        <v>6.0543921642705267E+49</v>
      </c>
      <c r="K60" s="10">
        <f t="shared" si="11"/>
        <v>2.6948917462055954E+51</v>
      </c>
    </row>
    <row r="61" spans="1:11">
      <c r="A61" s="7">
        <f t="shared" si="15"/>
        <v>59</v>
      </c>
      <c r="B61" s="4">
        <v>1</v>
      </c>
      <c r="C61" s="10">
        <f t="shared" si="3"/>
        <v>2.8823037615171174E+17</v>
      </c>
      <c r="D61" s="10">
        <f t="shared" si="4"/>
        <v>2.3550643483348921E+27</v>
      </c>
      <c r="E61" s="10">
        <f t="shared" si="5"/>
        <v>1.3846122601028525E+34</v>
      </c>
      <c r="F61" s="10">
        <f t="shared" si="6"/>
        <v>1.4455890505235606E+39</v>
      </c>
      <c r="G61" s="10">
        <f t="shared" si="7"/>
        <v>1.131190578844523E+43</v>
      </c>
      <c r="H61" s="10">
        <f t="shared" si="8"/>
        <v>1.4388399977413118E+46</v>
      </c>
      <c r="I61" s="10">
        <f t="shared" si="9"/>
        <v>4.7366461870885843E+48</v>
      </c>
      <c r="J61" s="10">
        <f t="shared" si="10"/>
        <v>5.4548711865568509E+50</v>
      </c>
      <c r="K61" s="10">
        <f t="shared" si="11"/>
        <v>2.7009461383698655E+52</v>
      </c>
    </row>
    <row r="62" spans="1:11">
      <c r="A62" s="7">
        <f t="shared" si="15"/>
        <v>60</v>
      </c>
      <c r="B62" s="4">
        <v>1</v>
      </c>
      <c r="C62" s="10">
        <f t="shared" si="3"/>
        <v>5.7646075230342349E+17</v>
      </c>
      <c r="D62" s="10">
        <f t="shared" si="4"/>
        <v>7.0651930452929069E+27</v>
      </c>
      <c r="E62" s="10">
        <f t="shared" si="5"/>
        <v>5.5384492759178445E+34</v>
      </c>
      <c r="F62" s="10">
        <f t="shared" si="6"/>
        <v>7.2279590987404037E+39</v>
      </c>
      <c r="G62" s="10">
        <f t="shared" si="7"/>
        <v>6.7872880319721904E+43</v>
      </c>
      <c r="H62" s="10">
        <f t="shared" si="8"/>
        <v>1.0073011174768027E+47</v>
      </c>
      <c r="I62" s="10">
        <f t="shared" si="9"/>
        <v>3.7907557896686088E+49</v>
      </c>
      <c r="J62" s="10">
        <f t="shared" si="10"/>
        <v>4.9141207140882541E+51</v>
      </c>
      <c r="K62" s="10">
        <f t="shared" si="11"/>
        <v>2.7064010095564226E+53</v>
      </c>
    </row>
    <row r="63" spans="1:11">
      <c r="A63" s="7">
        <f t="shared" si="15"/>
        <v>61</v>
      </c>
      <c r="B63" s="4">
        <v>1</v>
      </c>
      <c r="C63" s="10">
        <f t="shared" si="3"/>
        <v>1.152921504606847E+18</v>
      </c>
      <c r="D63" s="10">
        <f t="shared" si="4"/>
        <v>2.119557913645518E+28</v>
      </c>
      <c r="E63" s="10">
        <f t="shared" si="5"/>
        <v>2.2153797810190682E+35</v>
      </c>
      <c r="F63" s="10">
        <f t="shared" si="6"/>
        <v>3.6139850878194778E+40</v>
      </c>
      <c r="G63" s="10">
        <f t="shared" si="7"/>
        <v>4.0724450987743021E+44</v>
      </c>
      <c r="H63" s="10">
        <f t="shared" si="8"/>
        <v>7.0517865511408158E+47</v>
      </c>
      <c r="I63" s="10">
        <f t="shared" si="9"/>
        <v>3.0336119328523638E+50</v>
      </c>
      <c r="J63" s="10">
        <f t="shared" si="10"/>
        <v>4.4264993984690971E+52</v>
      </c>
      <c r="K63" s="10">
        <f t="shared" si="11"/>
        <v>2.7113151302705108E+54</v>
      </c>
    </row>
    <row r="64" spans="1:11">
      <c r="A64" s="7">
        <f t="shared" si="15"/>
        <v>62</v>
      </c>
      <c r="B64" s="4">
        <v>1</v>
      </c>
      <c r="C64" s="10">
        <f t="shared" si="3"/>
        <v>2.305843009213694E+18</v>
      </c>
      <c r="D64" s="10">
        <f t="shared" si="4"/>
        <v>6.3586737410518467E+28</v>
      </c>
      <c r="E64" s="10">
        <f t="shared" si="5"/>
        <v>8.8615193360320642E+35</v>
      </c>
      <c r="F64" s="10">
        <f t="shared" si="6"/>
        <v>1.8069947592895197E+41</v>
      </c>
      <c r="G64" s="10">
        <f t="shared" si="7"/>
        <v>2.4435031991154593E+45</v>
      </c>
      <c r="H64" s="10">
        <f t="shared" si="8"/>
        <v>4.9366578303084484E+48</v>
      </c>
      <c r="I64" s="10">
        <f t="shared" si="9"/>
        <v>2.4275947249370051E+51</v>
      </c>
      <c r="J64" s="10">
        <f t="shared" si="10"/>
        <v>3.98688307055504E+53</v>
      </c>
      <c r="K64" s="10">
        <f t="shared" si="11"/>
        <v>2.71574162966898E+55</v>
      </c>
    </row>
    <row r="65" spans="1:11">
      <c r="A65" s="7">
        <f t="shared" si="15"/>
        <v>63</v>
      </c>
      <c r="B65" s="4">
        <v>1</v>
      </c>
      <c r="C65" s="10">
        <f t="shared" si="3"/>
        <v>4.6116860184273879E+18</v>
      </c>
      <c r="D65" s="10">
        <f t="shared" si="4"/>
        <v>1.9076021223386124E+29</v>
      </c>
      <c r="E65" s="10">
        <f t="shared" si="5"/>
        <v>3.544607797999563E+36</v>
      </c>
      <c r="F65" s="10">
        <f t="shared" si="6"/>
        <v>9.0349826579669342E+41</v>
      </c>
      <c r="G65" s="10">
        <f t="shared" si="7"/>
        <v>1.4661199894168683E+46</v>
      </c>
      <c r="H65" s="10">
        <f t="shared" si="8"/>
        <v>3.4559048315358255E+49</v>
      </c>
      <c r="I65" s="10">
        <f t="shared" si="9"/>
        <v>1.9425694457326348E+52</v>
      </c>
      <c r="J65" s="10">
        <f t="shared" si="10"/>
        <v>3.590622358224473E+54</v>
      </c>
      <c r="K65" s="10">
        <f t="shared" si="11"/>
        <v>2.719728512739535E+56</v>
      </c>
    </row>
    <row r="66" spans="1:11">
      <c r="A66" s="7">
        <f t="shared" si="15"/>
        <v>64</v>
      </c>
      <c r="B66" s="4">
        <v>1</v>
      </c>
      <c r="C66" s="10">
        <f t="shared" si="3"/>
        <v>9.2233720368547758E+18</v>
      </c>
      <c r="D66" s="10">
        <f t="shared" si="4"/>
        <v>5.7228063670619542E+29</v>
      </c>
      <c r="E66" s="10">
        <f t="shared" si="5"/>
        <v>1.4178431382758463E+37</v>
      </c>
      <c r="F66" s="10">
        <f t="shared" si="6"/>
        <v>4.5174948735912653E+42</v>
      </c>
      <c r="G66" s="10">
        <f t="shared" si="7"/>
        <v>8.7968102863277894E+46</v>
      </c>
      <c r="H66" s="10">
        <f t="shared" si="8"/>
        <v>2.4192799940740192E+50</v>
      </c>
      <c r="I66" s="10">
        <f t="shared" si="9"/>
        <v>1.5544011470692614E+53</v>
      </c>
      <c r="J66" s="10">
        <f t="shared" si="10"/>
        <v>3.2335026918477583E+55</v>
      </c>
      <c r="K66" s="10">
        <f t="shared" si="11"/>
        <v>2.7233191350977595E+57</v>
      </c>
    </row>
    <row r="67" spans="1:11">
      <c r="A67" s="7">
        <f t="shared" si="15"/>
        <v>65</v>
      </c>
      <c r="B67" s="4">
        <v>1</v>
      </c>
      <c r="C67" s="10">
        <f t="shared" si="3"/>
        <v>1.8446744073709552E+19</v>
      </c>
      <c r="D67" s="10">
        <f t="shared" si="4"/>
        <v>1.7168419101278098E+30</v>
      </c>
      <c r="E67" s="10">
        <f t="shared" si="5"/>
        <v>5.6713726103314487E+37</v>
      </c>
      <c r="F67" s="10">
        <f t="shared" si="6"/>
        <v>2.2587488546387709E+43</v>
      </c>
      <c r="G67" s="10">
        <f t="shared" si="7"/>
        <v>5.2781313467454093E+47</v>
      </c>
      <c r="H67" s="10">
        <f t="shared" si="8"/>
        <v>1.6935839639546767E+51</v>
      </c>
      <c r="I67" s="10">
        <f t="shared" si="9"/>
        <v>1.2437628456548166E+54</v>
      </c>
      <c r="J67" s="10">
        <f t="shared" si="10"/>
        <v>2.9117068238100517E+56</v>
      </c>
      <c r="K67" s="10">
        <f t="shared" si="11"/>
        <v>2.7265526377896075E+58</v>
      </c>
    </row>
    <row r="68" spans="1:11">
      <c r="A68" s="7">
        <f t="shared" si="15"/>
        <v>66</v>
      </c>
      <c r="B68" s="4">
        <v>1</v>
      </c>
      <c r="C68" s="10">
        <f t="shared" ref="C68:C102" si="16">B67+C$1*C67</f>
        <v>3.6893488147419103E+19</v>
      </c>
      <c r="D68" s="10">
        <f t="shared" ref="D68:D102" si="17">C67+D$1*D67</f>
        <v>5.1505257304018766E+30</v>
      </c>
      <c r="E68" s="10">
        <f t="shared" ref="E68:E102" si="18">D67+E$1*E67</f>
        <v>2.2685490613009986E+38</v>
      </c>
      <c r="F68" s="10">
        <f t="shared" ref="F68:F102" si="19">E67+F$1*F67</f>
        <v>1.1293749944566465E+44</v>
      </c>
      <c r="G68" s="10">
        <f t="shared" ref="G68:G102" si="20">F67+G$1*G67</f>
        <v>3.166901395535792E+48</v>
      </c>
      <c r="H68" s="10">
        <f t="shared" ref="H68:H102" si="21">G67+H$1*H67</f>
        <v>1.1855615560817412E+52</v>
      </c>
      <c r="I68" s="10">
        <f t="shared" ref="I68:I102" si="22">H67+I$1*I67</f>
        <v>9.9517963492024874E+54</v>
      </c>
      <c r="J68" s="10">
        <f t="shared" ref="J68:J102" si="23">I67+J$1*J67</f>
        <v>2.6217799042747015E+57</v>
      </c>
      <c r="K68" s="10">
        <f t="shared" ref="K68:K102" si="24">J67+K$1*K67</f>
        <v>2.7294643446134178E+59</v>
      </c>
    </row>
    <row r="69" spans="1:11">
      <c r="A69" s="7">
        <f t="shared" si="15"/>
        <v>67</v>
      </c>
      <c r="B69" s="4">
        <v>1</v>
      </c>
      <c r="C69" s="10">
        <f t="shared" si="16"/>
        <v>7.3786976294838206E+19</v>
      </c>
      <c r="D69" s="10">
        <f t="shared" si="17"/>
        <v>1.5451577191242523E+31</v>
      </c>
      <c r="E69" s="10">
        <f t="shared" si="18"/>
        <v>9.0741962967092513E+38</v>
      </c>
      <c r="F69" s="10">
        <f t="shared" si="19"/>
        <v>5.6468772408322935E+44</v>
      </c>
      <c r="G69" s="10">
        <f t="shared" si="20"/>
        <v>1.9001521310714197E+49</v>
      </c>
      <c r="H69" s="10">
        <f t="shared" si="21"/>
        <v>8.2992475827117416E+52</v>
      </c>
      <c r="I69" s="10">
        <f t="shared" si="22"/>
        <v>7.9626226409180716E+55</v>
      </c>
      <c r="J69" s="10">
        <f t="shared" si="23"/>
        <v>2.3605970934821516E+58</v>
      </c>
      <c r="K69" s="10">
        <f t="shared" si="24"/>
        <v>2.7320861245176925E+60</v>
      </c>
    </row>
    <row r="70" spans="1:11">
      <c r="A70" s="7">
        <f t="shared" si="15"/>
        <v>68</v>
      </c>
      <c r="B70" s="4">
        <v>1</v>
      </c>
      <c r="C70" s="10">
        <f t="shared" si="16"/>
        <v>1.4757395258967641E+20</v>
      </c>
      <c r="D70" s="10">
        <f t="shared" si="17"/>
        <v>4.6354731573801352E+31</v>
      </c>
      <c r="E70" s="10">
        <f t="shared" si="18"/>
        <v>3.6296785341352776E+39</v>
      </c>
      <c r="F70" s="10">
        <f t="shared" si="19"/>
        <v>2.8234395278357764E+45</v>
      </c>
      <c r="G70" s="10">
        <f t="shared" si="20"/>
        <v>1.1400969255200925E+50</v>
      </c>
      <c r="H70" s="10">
        <f t="shared" si="21"/>
        <v>5.8096633231113262E+53</v>
      </c>
      <c r="I70" s="10">
        <f t="shared" si="22"/>
        <v>6.3709280374927281E+56</v>
      </c>
      <c r="J70" s="10">
        <f t="shared" si="23"/>
        <v>2.1253336463980281E+59</v>
      </c>
      <c r="K70" s="10">
        <f t="shared" si="24"/>
        <v>2.7344467216111746E+61</v>
      </c>
    </row>
    <row r="71" spans="1:11">
      <c r="A71" s="7">
        <f t="shared" si="15"/>
        <v>69</v>
      </c>
      <c r="B71" s="4">
        <v>1</v>
      </c>
      <c r="C71" s="10">
        <f t="shared" si="16"/>
        <v>2.9514790517935283E+20</v>
      </c>
      <c r="D71" s="10">
        <f t="shared" si="17"/>
        <v>1.3906419472155163E+32</v>
      </c>
      <c r="E71" s="10">
        <f t="shared" si="18"/>
        <v>1.4518714182895843E+40</v>
      </c>
      <c r="F71" s="10">
        <f t="shared" si="19"/>
        <v>1.4117201268857416E+46</v>
      </c>
      <c r="G71" s="10">
        <f t="shared" si="20"/>
        <v>6.8406097875158335E+50</v>
      </c>
      <c r="H71" s="10">
        <f t="shared" si="21"/>
        <v>4.0668783358704803E+54</v>
      </c>
      <c r="I71" s="10">
        <f t="shared" si="22"/>
        <v>5.0973233963264936E+57</v>
      </c>
      <c r="J71" s="10">
        <f t="shared" si="23"/>
        <v>1.9134373745619744E+60</v>
      </c>
      <c r="K71" s="10">
        <f t="shared" si="24"/>
        <v>2.7365720552575727E+62</v>
      </c>
    </row>
    <row r="72" spans="1:11">
      <c r="A72" s="7">
        <f t="shared" si="15"/>
        <v>70</v>
      </c>
      <c r="B72" s="4">
        <v>1</v>
      </c>
      <c r="C72" s="10">
        <f t="shared" si="16"/>
        <v>5.9029581035870565E+20</v>
      </c>
      <c r="D72" s="10">
        <f t="shared" si="17"/>
        <v>4.1719258416495002E+32</v>
      </c>
      <c r="E72" s="10">
        <f t="shared" si="18"/>
        <v>5.8074856870647569E+40</v>
      </c>
      <c r="F72" s="10">
        <f t="shared" si="19"/>
        <v>7.0586020863001272E+46</v>
      </c>
      <c r="G72" s="10">
        <f t="shared" si="20"/>
        <v>4.1043799897107685E+51</v>
      </c>
      <c r="H72" s="10">
        <f t="shared" si="21"/>
        <v>2.8468832412072116E+55</v>
      </c>
      <c r="I72" s="10">
        <f t="shared" si="22"/>
        <v>4.0782654048947817E+58</v>
      </c>
      <c r="J72" s="10">
        <f t="shared" si="23"/>
        <v>1.7226033694454096E+61</v>
      </c>
      <c r="K72" s="10">
        <f t="shared" si="24"/>
        <v>2.7384854926321348E+63</v>
      </c>
    </row>
    <row r="73" spans="1:11">
      <c r="A73" s="7">
        <f t="shared" si="15"/>
        <v>71</v>
      </c>
      <c r="B73" s="4">
        <v>1</v>
      </c>
      <c r="C73" s="10">
        <f t="shared" si="16"/>
        <v>1.1805916207174113E+21</v>
      </c>
      <c r="D73" s="10">
        <f t="shared" si="17"/>
        <v>1.2515777524954404E+33</v>
      </c>
      <c r="E73" s="10">
        <f t="shared" si="18"/>
        <v>2.3229942789978288E+41</v>
      </c>
      <c r="F73" s="10">
        <f t="shared" si="19"/>
        <v>3.5293016238986324E+47</v>
      </c>
      <c r="G73" s="10">
        <f t="shared" si="20"/>
        <v>2.4626350524285472E+52</v>
      </c>
      <c r="H73" s="10">
        <f t="shared" si="21"/>
        <v>1.9928593126449453E+56</v>
      </c>
      <c r="I73" s="10">
        <f t="shared" si="22"/>
        <v>3.2628970122399463E+59</v>
      </c>
      <c r="J73" s="10">
        <f t="shared" si="23"/>
        <v>1.5507508590413582E+62</v>
      </c>
      <c r="K73" s="10">
        <f t="shared" si="24"/>
        <v>2.7402080960015799E+64</v>
      </c>
    </row>
    <row r="74" spans="1:11">
      <c r="A74" s="7">
        <f t="shared" si="15"/>
        <v>72</v>
      </c>
      <c r="B74" s="4">
        <v>1</v>
      </c>
      <c r="C74" s="10">
        <f t="shared" si="16"/>
        <v>2.3611832414348226E+21</v>
      </c>
      <c r="D74" s="10">
        <f t="shared" si="17"/>
        <v>3.7547332574875018E+33</v>
      </c>
      <c r="E74" s="10">
        <f t="shared" si="18"/>
        <v>9.2919771285070932E+41</v>
      </c>
      <c r="F74" s="10">
        <f t="shared" si="19"/>
        <v>1.764651044248744E+48</v>
      </c>
      <c r="G74" s="10">
        <f t="shared" si="20"/>
        <v>1.4775845607587522E+53</v>
      </c>
      <c r="H74" s="10">
        <f t="shared" si="21"/>
        <v>1.395026145201986E+57</v>
      </c>
      <c r="I74" s="10">
        <f t="shared" si="22"/>
        <v>2.6105168957232216E+60</v>
      </c>
      <c r="J74" s="10">
        <f t="shared" si="23"/>
        <v>1.3960020628384464E+63</v>
      </c>
      <c r="K74" s="10">
        <f t="shared" si="24"/>
        <v>2.7417588468606213E+65</v>
      </c>
    </row>
    <row r="75" spans="1:11">
      <c r="A75" s="7">
        <f t="shared" si="15"/>
        <v>73</v>
      </c>
      <c r="B75" s="4">
        <v>1</v>
      </c>
      <c r="C75" s="10">
        <f t="shared" si="16"/>
        <v>4.7223664828696452E+21</v>
      </c>
      <c r="D75" s="10">
        <f t="shared" si="17"/>
        <v>1.1264199772464866E+34</v>
      </c>
      <c r="E75" s="10">
        <f t="shared" si="18"/>
        <v>3.7167908551575707E+42</v>
      </c>
      <c r="F75" s="10">
        <f t="shared" si="19"/>
        <v>8.8232561504414326E+48</v>
      </c>
      <c r="G75" s="10">
        <f t="shared" si="20"/>
        <v>8.8655250110629554E+53</v>
      </c>
      <c r="H75" s="10">
        <f t="shared" si="21"/>
        <v>9.7653307748699778E+57</v>
      </c>
      <c r="I75" s="10">
        <f t="shared" si="22"/>
        <v>2.0885530191930974E+61</v>
      </c>
      <c r="J75" s="10">
        <f t="shared" si="23"/>
        <v>1.2566629082441741E+64</v>
      </c>
      <c r="K75" s="10">
        <f t="shared" si="24"/>
        <v>2.7431548489234599E+66</v>
      </c>
    </row>
    <row r="76" spans="1:11">
      <c r="A76" s="7">
        <f t="shared" si="15"/>
        <v>74</v>
      </c>
      <c r="B76" s="4">
        <v>1</v>
      </c>
      <c r="C76" s="10">
        <f t="shared" si="16"/>
        <v>9.4447329657392904E+21</v>
      </c>
      <c r="D76" s="10">
        <f t="shared" si="17"/>
        <v>3.3792599317399323E+34</v>
      </c>
      <c r="E76" s="10">
        <f t="shared" si="18"/>
        <v>1.4867163431894482E+43</v>
      </c>
      <c r="F76" s="10">
        <f t="shared" si="19"/>
        <v>4.4116284468998013E+49</v>
      </c>
      <c r="G76" s="10">
        <f t="shared" si="20"/>
        <v>5.3193238298939241E+54</v>
      </c>
      <c r="H76" s="10">
        <f t="shared" si="21"/>
        <v>6.8358201976590954E+58</v>
      </c>
      <c r="I76" s="10">
        <f t="shared" si="22"/>
        <v>1.6709400686622267E+62</v>
      </c>
      <c r="J76" s="10">
        <f t="shared" si="23"/>
        <v>1.1312054727216761E+65</v>
      </c>
      <c r="K76" s="10">
        <f t="shared" si="24"/>
        <v>2.744411511831704E+67</v>
      </c>
    </row>
    <row r="77" spans="1:11">
      <c r="A77" s="7">
        <f t="shared" si="15"/>
        <v>75</v>
      </c>
      <c r="B77" s="4">
        <v>1</v>
      </c>
      <c r="C77" s="10">
        <f t="shared" si="16"/>
        <v>1.8889465931478581E+22</v>
      </c>
      <c r="D77" s="10">
        <f t="shared" si="17"/>
        <v>1.0137779795220741E+35</v>
      </c>
      <c r="E77" s="10">
        <f t="shared" si="18"/>
        <v>5.9468653761370533E+43</v>
      </c>
      <c r="F77" s="10">
        <f t="shared" si="19"/>
        <v>2.2058143721215351E+50</v>
      </c>
      <c r="G77" s="10">
        <f t="shared" si="20"/>
        <v>3.1915987095648016E+55</v>
      </c>
      <c r="H77" s="10">
        <f t="shared" si="21"/>
        <v>4.7851273315996657E+59</v>
      </c>
      <c r="I77" s="10">
        <f t="shared" si="22"/>
        <v>1.3368204131317579E+63</v>
      </c>
      <c r="J77" s="10">
        <f t="shared" si="23"/>
        <v>1.0182520194563747E+66</v>
      </c>
      <c r="K77" s="10">
        <f t="shared" si="24"/>
        <v>2.7455427173044256E+68</v>
      </c>
    </row>
    <row r="78" spans="1:11">
      <c r="A78" s="7">
        <f t="shared" si="15"/>
        <v>76</v>
      </c>
      <c r="B78" s="4">
        <v>1</v>
      </c>
      <c r="C78" s="10">
        <f t="shared" si="16"/>
        <v>3.7778931862957162E+22</v>
      </c>
      <c r="D78" s="10">
        <f t="shared" si="17"/>
        <v>3.0413339385664113E+35</v>
      </c>
      <c r="E78" s="10">
        <f t="shared" si="18"/>
        <v>2.3787461514685992E+44</v>
      </c>
      <c r="F78" s="10">
        <f t="shared" si="19"/>
        <v>1.1029072455294214E+51</v>
      </c>
      <c r="G78" s="10">
        <f t="shared" si="20"/>
        <v>1.9149614315532533E+56</v>
      </c>
      <c r="H78" s="10">
        <f t="shared" si="21"/>
        <v>3.3496210481068621E+60</v>
      </c>
      <c r="I78" s="10">
        <f t="shared" si="22"/>
        <v>1.0695041817787223E+64</v>
      </c>
      <c r="J78" s="10">
        <f t="shared" si="23"/>
        <v>9.165604995520504E+66</v>
      </c>
      <c r="K78" s="10">
        <f t="shared" si="24"/>
        <v>2.7465609693238819E+69</v>
      </c>
    </row>
    <row r="79" spans="1:11">
      <c r="A79" s="7">
        <f t="shared" si="15"/>
        <v>77</v>
      </c>
      <c r="B79" s="4">
        <v>1</v>
      </c>
      <c r="C79" s="10">
        <f t="shared" si="16"/>
        <v>7.5557863725914323E+22</v>
      </c>
      <c r="D79" s="10">
        <f t="shared" si="17"/>
        <v>9.124001815699612E+35</v>
      </c>
      <c r="E79" s="10">
        <f t="shared" si="18"/>
        <v>9.5149846089157313E+44</v>
      </c>
      <c r="F79" s="10">
        <f t="shared" si="19"/>
        <v>5.5145364655217225E+51</v>
      </c>
      <c r="G79" s="10">
        <f t="shared" si="20"/>
        <v>1.1489779618391975E+57</v>
      </c>
      <c r="H79" s="10">
        <f t="shared" si="21"/>
        <v>2.3447538832891188E+61</v>
      </c>
      <c r="I79" s="10">
        <f t="shared" si="22"/>
        <v>8.5563684163345892E+64</v>
      </c>
      <c r="J79" s="10">
        <f t="shared" si="23"/>
        <v>8.2501140001502325E+67</v>
      </c>
      <c r="K79" s="10">
        <f t="shared" si="24"/>
        <v>2.7474775298234338E+70</v>
      </c>
    </row>
    <row r="80" spans="1:11">
      <c r="A80" s="7">
        <f t="shared" si="15"/>
        <v>78</v>
      </c>
      <c r="B80" s="4">
        <v>1</v>
      </c>
      <c r="C80" s="10">
        <f t="shared" si="16"/>
        <v>1.5111572745182865E+23</v>
      </c>
      <c r="D80" s="10">
        <f t="shared" si="17"/>
        <v>2.7372005447099592E+36</v>
      </c>
      <c r="E80" s="10">
        <f t="shared" si="18"/>
        <v>3.8059938444786929E+45</v>
      </c>
      <c r="F80" s="10">
        <f t="shared" si="19"/>
        <v>2.7572683279107069E+52</v>
      </c>
      <c r="G80" s="10">
        <f t="shared" si="20"/>
        <v>6.8938732855716495E+57</v>
      </c>
      <c r="H80" s="10">
        <f t="shared" si="21"/>
        <v>1.6413392080820016E+62</v>
      </c>
      <c r="I80" s="10">
        <f t="shared" si="22"/>
        <v>6.845329208456E+65</v>
      </c>
      <c r="J80" s="10">
        <f t="shared" si="23"/>
        <v>7.4259582369768427E+68</v>
      </c>
      <c r="K80" s="10">
        <f t="shared" si="24"/>
        <v>2.7483025412234492E+71</v>
      </c>
    </row>
    <row r="81" spans="1:11">
      <c r="A81" s="7">
        <f t="shared" si="15"/>
        <v>79</v>
      </c>
      <c r="B81" s="4">
        <v>1</v>
      </c>
      <c r="C81" s="10">
        <f t="shared" si="16"/>
        <v>3.0223145490365729E+23</v>
      </c>
      <c r="D81" s="10">
        <f t="shared" si="17"/>
        <v>8.2116016341300286E+36</v>
      </c>
      <c r="E81" s="10">
        <f t="shared" si="18"/>
        <v>1.5223975380651971E+46</v>
      </c>
      <c r="F81" s="10">
        <f t="shared" si="19"/>
        <v>1.378634202015292E+53</v>
      </c>
      <c r="G81" s="10">
        <f t="shared" si="20"/>
        <v>4.1363267286113175E+58</v>
      </c>
      <c r="H81" s="10">
        <f t="shared" si="21"/>
        <v>1.1489443395306866E+63</v>
      </c>
      <c r="I81" s="10">
        <f t="shared" si="22"/>
        <v>5.4764275006856085E+66</v>
      </c>
      <c r="J81" s="10">
        <f t="shared" si="23"/>
        <v>6.6840469462000041E+69</v>
      </c>
      <c r="K81" s="10">
        <f t="shared" si="24"/>
        <v>2.7490451370471471E+72</v>
      </c>
    </row>
    <row r="82" spans="1:11">
      <c r="A82" s="7">
        <f t="shared" si="15"/>
        <v>80</v>
      </c>
      <c r="B82" s="4">
        <v>1</v>
      </c>
      <c r="C82" s="10">
        <f t="shared" si="16"/>
        <v>6.0446290980731459E+23</v>
      </c>
      <c r="D82" s="10">
        <f t="shared" si="17"/>
        <v>2.4634804902390387E+37</v>
      </c>
      <c r="E82" s="10">
        <f t="shared" si="18"/>
        <v>6.0895901530819483E+46</v>
      </c>
      <c r="F82" s="10">
        <f t="shared" si="19"/>
        <v>6.893171162316214E+53</v>
      </c>
      <c r="G82" s="10">
        <f t="shared" si="20"/>
        <v>2.4817974158009923E+59</v>
      </c>
      <c r="H82" s="10">
        <f t="shared" si="21"/>
        <v>8.0426517399820925E+63</v>
      </c>
      <c r="I82" s="10">
        <f t="shared" si="22"/>
        <v>4.38125689498244E+67</v>
      </c>
      <c r="J82" s="10">
        <f t="shared" si="23"/>
        <v>6.0161898943300723E+70</v>
      </c>
      <c r="K82" s="10">
        <f t="shared" si="24"/>
        <v>2.7497135417417672E+73</v>
      </c>
    </row>
    <row r="83" spans="1:11">
      <c r="A83" s="7">
        <f t="shared" si="15"/>
        <v>81</v>
      </c>
      <c r="B83" s="4">
        <v>1</v>
      </c>
      <c r="C83" s="10">
        <f t="shared" si="16"/>
        <v>1.2089258196146292E+24</v>
      </c>
      <c r="D83" s="10">
        <f t="shared" si="17"/>
        <v>7.3904414707171765E+37</v>
      </c>
      <c r="E83" s="10">
        <f t="shared" si="18"/>
        <v>2.4358360614791274E+47</v>
      </c>
      <c r="F83" s="10">
        <f t="shared" si="19"/>
        <v>3.4465856420540084E+54</v>
      </c>
      <c r="G83" s="10">
        <f t="shared" si="20"/>
        <v>1.4890791387977117E+60</v>
      </c>
      <c r="H83" s="10">
        <f t="shared" si="21"/>
        <v>5.6298810359616235E+64</v>
      </c>
      <c r="I83" s="10">
        <f t="shared" si="22"/>
        <v>3.5050859425033518E+68</v>
      </c>
      <c r="J83" s="10">
        <f t="shared" si="23"/>
        <v>5.4150090305865634E+71</v>
      </c>
      <c r="K83" s="10">
        <f t="shared" si="24"/>
        <v>2.7503151607312003E+74</v>
      </c>
    </row>
    <row r="84" spans="1:11">
      <c r="A84" s="7">
        <f t="shared" si="15"/>
        <v>82</v>
      </c>
      <c r="B84" s="4">
        <v>1</v>
      </c>
      <c r="C84" s="10">
        <f t="shared" si="16"/>
        <v>2.4178516392292583E+24</v>
      </c>
      <c r="D84" s="10">
        <f t="shared" si="17"/>
        <v>2.2171324412151652E+38</v>
      </c>
      <c r="E84" s="10">
        <f t="shared" si="18"/>
        <v>9.7433442466555537E+47</v>
      </c>
      <c r="F84" s="10">
        <f t="shared" si="19"/>
        <v>1.7232928453853647E+55</v>
      </c>
      <c r="G84" s="10">
        <f t="shared" si="20"/>
        <v>8.9344782793719133E+60</v>
      </c>
      <c r="H84" s="10">
        <f t="shared" si="21"/>
        <v>3.9409316159645243E+65</v>
      </c>
      <c r="I84" s="10">
        <f t="shared" si="22"/>
        <v>2.804125052813041E+69</v>
      </c>
      <c r="J84" s="10">
        <f t="shared" si="23"/>
        <v>4.8738586361221574E+72</v>
      </c>
      <c r="K84" s="10">
        <f t="shared" si="24"/>
        <v>2.7508566616342588E+75</v>
      </c>
    </row>
    <row r="85" spans="1:11">
      <c r="A85" s="7">
        <f t="shared" si="15"/>
        <v>83</v>
      </c>
      <c r="B85" s="4">
        <v>1</v>
      </c>
      <c r="C85" s="10">
        <f t="shared" si="16"/>
        <v>4.8357032784585167E+24</v>
      </c>
      <c r="D85" s="10">
        <f t="shared" si="17"/>
        <v>6.6513973236455199E+38</v>
      </c>
      <c r="E85" s="10">
        <f t="shared" si="18"/>
        <v>3.8973376988839345E+48</v>
      </c>
      <c r="F85" s="10">
        <f t="shared" si="19"/>
        <v>8.6164643243602655E+55</v>
      </c>
      <c r="G85" s="10">
        <f t="shared" si="20"/>
        <v>5.3606886909159932E+61</v>
      </c>
      <c r="H85" s="10">
        <f t="shared" si="21"/>
        <v>2.7586610656534463E+66</v>
      </c>
      <c r="I85" s="10">
        <f t="shared" si="22"/>
        <v>2.2433394515665926E+70</v>
      </c>
      <c r="J85" s="10">
        <f t="shared" si="23"/>
        <v>4.3867531850152232E+73</v>
      </c>
      <c r="K85" s="10">
        <f t="shared" si="24"/>
        <v>2.751344047497871E+76</v>
      </c>
    </row>
    <row r="86" spans="1:11">
      <c r="A86" s="7">
        <f t="shared" si="15"/>
        <v>84</v>
      </c>
      <c r="B86" s="4">
        <v>1</v>
      </c>
      <c r="C86" s="10">
        <f t="shared" si="16"/>
        <v>9.6714065569170334E+24</v>
      </c>
      <c r="D86" s="10">
        <f t="shared" si="17"/>
        <v>1.9954191970936608E+39</v>
      </c>
      <c r="E86" s="10">
        <f t="shared" si="18"/>
        <v>1.5589350796200879E+49</v>
      </c>
      <c r="F86" s="10">
        <f t="shared" si="19"/>
        <v>4.3082322011535101E+56</v>
      </c>
      <c r="G86" s="10">
        <f t="shared" si="20"/>
        <v>3.2164140761960287E+62</v>
      </c>
      <c r="H86" s="10">
        <f t="shared" si="21"/>
        <v>1.9310681066461034E+67</v>
      </c>
      <c r="I86" s="10">
        <f t="shared" si="22"/>
        <v>1.7946991478639306E+71</v>
      </c>
      <c r="J86" s="10">
        <f t="shared" si="23"/>
        <v>3.9483022004588575E+74</v>
      </c>
      <c r="K86" s="10">
        <f t="shared" si="24"/>
        <v>2.7517827228163725E+77</v>
      </c>
    </row>
    <row r="87" spans="1:11">
      <c r="A87" s="7">
        <f t="shared" si="15"/>
        <v>85</v>
      </c>
      <c r="B87" s="4">
        <v>1</v>
      </c>
      <c r="C87" s="10">
        <f t="shared" si="16"/>
        <v>1.9342813113834067E+25</v>
      </c>
      <c r="D87" s="10">
        <f t="shared" si="17"/>
        <v>5.9862575912809921E+39</v>
      </c>
      <c r="E87" s="10">
        <f t="shared" si="18"/>
        <v>6.2357403186798937E+49</v>
      </c>
      <c r="F87" s="10">
        <f t="shared" si="19"/>
        <v>2.1541161161661062E+57</v>
      </c>
      <c r="G87" s="10">
        <f t="shared" si="20"/>
        <v>1.9298488765408371E+63</v>
      </c>
      <c r="H87" s="10">
        <f t="shared" si="21"/>
        <v>1.3517508910663486E+68</v>
      </c>
      <c r="I87" s="10">
        <f t="shared" si="22"/>
        <v>1.4357786289722109E+72</v>
      </c>
      <c r="J87" s="10">
        <f t="shared" si="23"/>
        <v>3.5536514503277581E+75</v>
      </c>
      <c r="K87" s="10">
        <f t="shared" si="24"/>
        <v>2.7521775530364184E+78</v>
      </c>
    </row>
    <row r="88" spans="1:11">
      <c r="A88" s="7">
        <f t="shared" si="15"/>
        <v>86</v>
      </c>
      <c r="B88" s="4">
        <v>1</v>
      </c>
      <c r="C88" s="10">
        <f t="shared" si="16"/>
        <v>3.8685626227668134E+25</v>
      </c>
      <c r="D88" s="10">
        <f t="shared" si="17"/>
        <v>1.7958772773842994E+40</v>
      </c>
      <c r="E88" s="10">
        <f t="shared" si="18"/>
        <v>2.4942961275318201E+50</v>
      </c>
      <c r="F88" s="10">
        <f t="shared" si="19"/>
        <v>1.0770580643187935E+58</v>
      </c>
      <c r="G88" s="10">
        <f t="shared" si="20"/>
        <v>1.1579095413361138E+64</v>
      </c>
      <c r="H88" s="10">
        <f t="shared" si="21"/>
        <v>9.4622755359532059E+68</v>
      </c>
      <c r="I88" s="10">
        <f t="shared" si="22"/>
        <v>1.1486364206866794E+73</v>
      </c>
      <c r="J88" s="10">
        <f t="shared" si="23"/>
        <v>3.1984298831578797E+76</v>
      </c>
      <c r="K88" s="10">
        <f t="shared" si="24"/>
        <v>2.7525329181814513E+79</v>
      </c>
    </row>
    <row r="89" spans="1:11">
      <c r="A89" s="7">
        <f t="shared" si="15"/>
        <v>87</v>
      </c>
      <c r="B89" s="4">
        <v>1</v>
      </c>
      <c r="C89" s="10">
        <f t="shared" si="16"/>
        <v>7.7371252455336267E+25</v>
      </c>
      <c r="D89" s="10">
        <f t="shared" si="17"/>
        <v>5.3876318321529027E+40</v>
      </c>
      <c r="E89" s="10">
        <f t="shared" si="18"/>
        <v>9.9771845103068673E+50</v>
      </c>
      <c r="F89" s="10">
        <f t="shared" si="19"/>
        <v>5.3852903465369282E+58</v>
      </c>
      <c r="G89" s="10">
        <f t="shared" si="20"/>
        <v>6.9474583250747464E+64</v>
      </c>
      <c r="H89" s="10">
        <f t="shared" si="21"/>
        <v>6.6236044542626571E+69</v>
      </c>
      <c r="I89" s="10">
        <f t="shared" si="22"/>
        <v>9.1891859882487944E+73</v>
      </c>
      <c r="J89" s="10">
        <f t="shared" si="23"/>
        <v>2.8787017584841605E+77</v>
      </c>
      <c r="K89" s="10">
        <f t="shared" si="24"/>
        <v>2.7528527611697673E+80</v>
      </c>
    </row>
    <row r="90" spans="1:11">
      <c r="A90" s="7">
        <f t="shared" si="15"/>
        <v>88</v>
      </c>
      <c r="B90" s="4">
        <v>1</v>
      </c>
      <c r="C90" s="10">
        <f t="shared" si="16"/>
        <v>1.5474250491067253E+26</v>
      </c>
      <c r="D90" s="10">
        <f t="shared" si="17"/>
        <v>1.6162895496458716E+41</v>
      </c>
      <c r="E90" s="10">
        <f t="shared" si="18"/>
        <v>3.9908738041766232E+51</v>
      </c>
      <c r="F90" s="10">
        <f t="shared" si="19"/>
        <v>2.6926451832456487E+59</v>
      </c>
      <c r="G90" s="10">
        <f t="shared" si="20"/>
        <v>4.1684755335738825E+65</v>
      </c>
      <c r="H90" s="10">
        <f t="shared" si="21"/>
        <v>4.6365300654421848E+70</v>
      </c>
      <c r="I90" s="10">
        <f t="shared" si="22"/>
        <v>7.3514150266435777E+74</v>
      </c>
      <c r="J90" s="10">
        <f t="shared" si="23"/>
        <v>2.590923474495627E+78</v>
      </c>
      <c r="K90" s="10">
        <f t="shared" si="24"/>
        <v>2.7531406313456156E+81</v>
      </c>
    </row>
    <row r="91" spans="1:11">
      <c r="A91" s="7">
        <f t="shared" si="15"/>
        <v>89</v>
      </c>
      <c r="B91" s="4">
        <v>1</v>
      </c>
      <c r="C91" s="10">
        <f t="shared" si="16"/>
        <v>3.0948500982134507E+26</v>
      </c>
      <c r="D91" s="10">
        <f t="shared" si="17"/>
        <v>4.8488686489376159E+41</v>
      </c>
      <c r="E91" s="10">
        <f t="shared" si="18"/>
        <v>1.5963495216868122E+52</v>
      </c>
      <c r="F91" s="10">
        <f t="shared" si="19"/>
        <v>1.346322595613698E+60</v>
      </c>
      <c r="G91" s="10">
        <f t="shared" si="20"/>
        <v>2.5010855894088477E+66</v>
      </c>
      <c r="H91" s="10">
        <f t="shared" si="21"/>
        <v>3.2455752142850625E+71</v>
      </c>
      <c r="I91" s="10">
        <f t="shared" si="22"/>
        <v>5.8811783866155166E+75</v>
      </c>
      <c r="J91" s="10">
        <f t="shared" si="23"/>
        <v>2.3319046411963309E+79</v>
      </c>
      <c r="K91" s="10">
        <f t="shared" si="24"/>
        <v>2.7533997236930651E+82</v>
      </c>
    </row>
    <row r="92" spans="1:11">
      <c r="A92" s="7">
        <f t="shared" si="15"/>
        <v>90</v>
      </c>
      <c r="B92" s="4">
        <v>1</v>
      </c>
      <c r="C92" s="10">
        <f t="shared" si="16"/>
        <v>6.1897001964269014E+26</v>
      </c>
      <c r="D92" s="10">
        <f t="shared" si="17"/>
        <v>1.4546605946812852E+42</v>
      </c>
      <c r="E92" s="10">
        <f t="shared" si="18"/>
        <v>6.3853980867957378E+52</v>
      </c>
      <c r="F92" s="10">
        <f t="shared" si="19"/>
        <v>6.731612994031986E+60</v>
      </c>
      <c r="G92" s="10">
        <f t="shared" si="20"/>
        <v>1.500651488277568E+67</v>
      </c>
      <c r="H92" s="10">
        <f t="shared" si="21"/>
        <v>2.2719051510851331E+72</v>
      </c>
      <c r="I92" s="10">
        <f t="shared" si="22"/>
        <v>4.7049751650445562E+76</v>
      </c>
      <c r="J92" s="10">
        <f t="shared" si="23"/>
        <v>2.0987729888605639E+80</v>
      </c>
      <c r="K92" s="10">
        <f t="shared" si="24"/>
        <v>2.7536329141571848E+83</v>
      </c>
    </row>
    <row r="93" spans="1:11">
      <c r="A93" s="7">
        <f t="shared" si="15"/>
        <v>91</v>
      </c>
      <c r="B93" s="4">
        <v>1</v>
      </c>
      <c r="C93" s="10">
        <f t="shared" si="16"/>
        <v>1.2379400392853803E+27</v>
      </c>
      <c r="D93" s="10">
        <f t="shared" si="17"/>
        <v>4.363981784043856E+42</v>
      </c>
      <c r="E93" s="10">
        <f t="shared" si="18"/>
        <v>2.5541592347328418E+53</v>
      </c>
      <c r="F93" s="10">
        <f t="shared" si="19"/>
        <v>3.3658065034013914E+61</v>
      </c>
      <c r="G93" s="10">
        <f t="shared" si="20"/>
        <v>9.0039096028267079E+67</v>
      </c>
      <c r="H93" s="10">
        <f t="shared" si="21"/>
        <v>1.5903351064110814E+73</v>
      </c>
      <c r="I93" s="10">
        <f t="shared" si="22"/>
        <v>3.7640028510871557E+77</v>
      </c>
      <c r="J93" s="10">
        <f t="shared" si="23"/>
        <v>1.888942739726158E+81</v>
      </c>
      <c r="K93" s="10">
        <f t="shared" si="24"/>
        <v>2.7538427914560711E+84</v>
      </c>
    </row>
    <row r="94" spans="1:11">
      <c r="A94" s="7">
        <f t="shared" si="15"/>
        <v>92</v>
      </c>
      <c r="B94" s="4">
        <v>1</v>
      </c>
      <c r="C94" s="10">
        <f t="shared" si="16"/>
        <v>2.4758800785707605E+27</v>
      </c>
      <c r="D94" s="10">
        <f t="shared" si="17"/>
        <v>1.3091945352131569E+43</v>
      </c>
      <c r="E94" s="10">
        <f t="shared" si="18"/>
        <v>1.0216636938975007E+54</v>
      </c>
      <c r="F94" s="10">
        <f t="shared" si="19"/>
        <v>1.682903254254855E+62</v>
      </c>
      <c r="G94" s="10">
        <f t="shared" si="20"/>
        <v>5.4023460982766747E+68</v>
      </c>
      <c r="H94" s="10">
        <f t="shared" si="21"/>
        <v>1.1132354748787172E+74</v>
      </c>
      <c r="I94" s="10">
        <f t="shared" si="22"/>
        <v>3.0112181842207887E+78</v>
      </c>
      <c r="J94" s="10">
        <f t="shared" si="23"/>
        <v>1.7000861057820531E+82</v>
      </c>
      <c r="K94" s="10">
        <f t="shared" si="24"/>
        <v>2.7540316857300439E+85</v>
      </c>
    </row>
    <row r="95" spans="1:11">
      <c r="A95" s="7">
        <f t="shared" si="15"/>
        <v>93</v>
      </c>
      <c r="B95" s="4">
        <v>1</v>
      </c>
      <c r="C95" s="10">
        <f t="shared" si="16"/>
        <v>4.9517601571415211E+27</v>
      </c>
      <c r="D95" s="10">
        <f t="shared" si="17"/>
        <v>3.9275836056394711E+43</v>
      </c>
      <c r="E95" s="10">
        <f t="shared" si="18"/>
        <v>4.0866547756030947E+54</v>
      </c>
      <c r="F95" s="10">
        <f t="shared" si="19"/>
        <v>8.4145162814909119E+62</v>
      </c>
      <c r="G95" s="10">
        <f t="shared" si="20"/>
        <v>3.2414078272563304E+69</v>
      </c>
      <c r="H95" s="10">
        <f t="shared" si="21"/>
        <v>7.7926537264971181E+74</v>
      </c>
      <c r="I95" s="10">
        <f t="shared" si="22"/>
        <v>2.4089856797313798E+79</v>
      </c>
      <c r="J95" s="10">
        <f t="shared" si="23"/>
        <v>1.5301076073856901E+83</v>
      </c>
      <c r="K95" s="10">
        <f t="shared" si="24"/>
        <v>2.7542016943406221E+86</v>
      </c>
    </row>
    <row r="96" spans="1:11">
      <c r="A96" s="7">
        <f t="shared" si="15"/>
        <v>94</v>
      </c>
      <c r="B96" s="4">
        <v>1</v>
      </c>
      <c r="C96" s="10">
        <f t="shared" si="16"/>
        <v>9.9035203142830422E+27</v>
      </c>
      <c r="D96" s="10">
        <f t="shared" si="17"/>
        <v>1.1782750816918412E+44</v>
      </c>
      <c r="E96" s="10">
        <f t="shared" si="18"/>
        <v>1.6346619102451655E+55</v>
      </c>
      <c r="F96" s="10">
        <f t="shared" si="19"/>
        <v>4.2072581448321105E+63</v>
      </c>
      <c r="G96" s="10">
        <f t="shared" si="20"/>
        <v>1.944844780498961E+70</v>
      </c>
      <c r="H96" s="10">
        <f t="shared" si="21"/>
        <v>5.4548608499558102E+75</v>
      </c>
      <c r="I96" s="10">
        <f t="shared" si="22"/>
        <v>1.9271963364388304E+80</v>
      </c>
      <c r="J96" s="10">
        <f t="shared" si="23"/>
        <v>1.3771209365039184E+84</v>
      </c>
      <c r="K96" s="10">
        <f t="shared" si="24"/>
        <v>2.7543547051013608E+87</v>
      </c>
    </row>
    <row r="97" spans="1:11">
      <c r="A97" s="7">
        <f t="shared" si="15"/>
        <v>95</v>
      </c>
      <c r="B97" s="4">
        <v>1</v>
      </c>
      <c r="C97" s="10">
        <f t="shared" si="16"/>
        <v>1.9807040628566084E+28</v>
      </c>
      <c r="D97" s="10">
        <f t="shared" si="17"/>
        <v>3.5348252450755237E+44</v>
      </c>
      <c r="E97" s="10">
        <f t="shared" si="18"/>
        <v>6.5386476409924452E+55</v>
      </c>
      <c r="F97" s="10">
        <f t="shared" si="19"/>
        <v>2.1036290740507171E+64</v>
      </c>
      <c r="G97" s="10">
        <f t="shared" si="20"/>
        <v>1.166906910371958E+71</v>
      </c>
      <c r="H97" s="10">
        <f t="shared" si="21"/>
        <v>3.8184045398138483E+76</v>
      </c>
      <c r="I97" s="10">
        <f t="shared" si="22"/>
        <v>1.5417625240119142E+81</v>
      </c>
      <c r="J97" s="10">
        <f t="shared" si="23"/>
        <v>1.2394281148168909E+85</v>
      </c>
      <c r="K97" s="10">
        <f t="shared" si="24"/>
        <v>2.7544924171950112E+88</v>
      </c>
    </row>
    <row r="98" spans="1:11">
      <c r="A98" s="7">
        <f t="shared" si="15"/>
        <v>96</v>
      </c>
      <c r="B98" s="4">
        <v>1</v>
      </c>
      <c r="C98" s="10">
        <f t="shared" si="16"/>
        <v>3.9614081257132169E+28</v>
      </c>
      <c r="D98" s="10">
        <f t="shared" si="17"/>
        <v>1.0604475735226571E+45</v>
      </c>
      <c r="E98" s="10">
        <f t="shared" si="18"/>
        <v>2.6154590564005131E+56</v>
      </c>
      <c r="F98" s="10">
        <f t="shared" si="19"/>
        <v>1.0518145376792233E+65</v>
      </c>
      <c r="G98" s="10">
        <f t="shared" si="20"/>
        <v>7.0014416725946552E+71</v>
      </c>
      <c r="H98" s="10">
        <f t="shared" si="21"/>
        <v>2.6728843447766042E+77</v>
      </c>
      <c r="I98" s="10">
        <f t="shared" si="22"/>
        <v>1.2334138376140712E+82</v>
      </c>
      <c r="J98" s="10">
        <f t="shared" si="23"/>
        <v>1.115500720960442E+86</v>
      </c>
      <c r="K98" s="10">
        <f t="shared" si="24"/>
        <v>2.7546163600064929E+89</v>
      </c>
    </row>
    <row r="99" spans="1:11">
      <c r="A99" s="7">
        <f t="shared" si="15"/>
        <v>97</v>
      </c>
      <c r="B99" s="4">
        <v>1</v>
      </c>
      <c r="C99" s="10">
        <f t="shared" si="16"/>
        <v>7.9228162514264338E+28</v>
      </c>
      <c r="D99" s="10">
        <f t="shared" si="17"/>
        <v>3.181342720567971E+45</v>
      </c>
      <c r="E99" s="10">
        <f t="shared" si="18"/>
        <v>1.0461836225612657E+57</v>
      </c>
      <c r="F99" s="10">
        <f t="shared" si="19"/>
        <v>5.2590726910115758E+65</v>
      </c>
      <c r="G99" s="10">
        <f t="shared" si="20"/>
        <v>4.2008651087382472E+72</v>
      </c>
      <c r="H99" s="10">
        <f t="shared" si="21"/>
        <v>1.8710197414877901E+78</v>
      </c>
      <c r="I99" s="10">
        <f t="shared" si="22"/>
        <v>9.867337429756017E+82</v>
      </c>
      <c r="J99" s="10">
        <f t="shared" si="23"/>
        <v>1.0039629830027739E+87</v>
      </c>
      <c r="K99" s="10">
        <f t="shared" si="24"/>
        <v>2.7547279100785889E+90</v>
      </c>
    </row>
    <row r="100" spans="1:11">
      <c r="A100" s="7">
        <f t="shared" si="15"/>
        <v>98</v>
      </c>
      <c r="B100" s="4">
        <v>1</v>
      </c>
      <c r="C100" s="10">
        <f t="shared" si="16"/>
        <v>1.5845632502852868E+29</v>
      </c>
      <c r="D100" s="10">
        <f t="shared" si="17"/>
        <v>9.5440281617039129E+45</v>
      </c>
      <c r="E100" s="10">
        <f t="shared" si="18"/>
        <v>4.1847344902482443E+57</v>
      </c>
      <c r="F100" s="10">
        <f t="shared" si="19"/>
        <v>2.6295363465519717E+66</v>
      </c>
      <c r="G100" s="10">
        <f t="shared" si="20"/>
        <v>2.5205191178336753E+73</v>
      </c>
      <c r="H100" s="10">
        <f t="shared" si="21"/>
        <v>1.309714239127964E+79</v>
      </c>
      <c r="I100" s="10">
        <f t="shared" si="22"/>
        <v>7.8938886540022285E+83</v>
      </c>
      <c r="J100" s="10">
        <f t="shared" si="23"/>
        <v>9.0357655203992622E+87</v>
      </c>
      <c r="K100" s="10">
        <f t="shared" si="24"/>
        <v>2.7548283063768892E+91</v>
      </c>
    </row>
    <row r="101" spans="1:11">
      <c r="A101" s="7">
        <f t="shared" si="15"/>
        <v>99</v>
      </c>
      <c r="B101" s="4">
        <v>1</v>
      </c>
      <c r="C101" s="10">
        <f t="shared" si="16"/>
        <v>3.1691265005705735E+29</v>
      </c>
      <c r="D101" s="10">
        <f t="shared" si="17"/>
        <v>2.8632084485111741E+46</v>
      </c>
      <c r="E101" s="10">
        <f t="shared" si="18"/>
        <v>1.6738937961002522E+58</v>
      </c>
      <c r="F101" s="10">
        <f t="shared" si="19"/>
        <v>1.3147681736944594E+67</v>
      </c>
      <c r="G101" s="10">
        <f t="shared" si="20"/>
        <v>1.5123114969955687E+74</v>
      </c>
      <c r="H101" s="10">
        <f t="shared" si="21"/>
        <v>9.1680021944148665E+79</v>
      </c>
      <c r="I101" s="10">
        <f t="shared" si="22"/>
        <v>6.3151240203441739E+84</v>
      </c>
      <c r="J101" s="10">
        <f t="shared" si="23"/>
        <v>8.1322679072458768E+88</v>
      </c>
      <c r="K101" s="10">
        <f t="shared" si="24"/>
        <v>2.7549186640320932E+92</v>
      </c>
    </row>
    <row r="102" spans="1:11">
      <c r="A102" s="7">
        <f t="shared" si="15"/>
        <v>100</v>
      </c>
      <c r="B102" s="4">
        <v>1</v>
      </c>
      <c r="C102" s="10">
        <f t="shared" si="16"/>
        <v>6.338253001141147E+29</v>
      </c>
      <c r="D102" s="10">
        <f t="shared" si="17"/>
        <v>8.5896253455335224E+46</v>
      </c>
      <c r="E102" s="10">
        <f t="shared" si="18"/>
        <v>6.6955751844038722E+58</v>
      </c>
      <c r="F102" s="10">
        <f t="shared" si="19"/>
        <v>6.57384087014619E+67</v>
      </c>
      <c r="G102" s="10">
        <f t="shared" si="20"/>
        <v>9.0738691134502297E+74</v>
      </c>
      <c r="H102" s="10">
        <f t="shared" si="21"/>
        <v>6.4176030484019029E+80</v>
      </c>
      <c r="I102" s="10">
        <f t="shared" si="22"/>
        <v>5.0521083842775338E+85</v>
      </c>
      <c r="J102" s="10">
        <f t="shared" si="23"/>
        <v>7.3191042677614929E+89</v>
      </c>
      <c r="K102" s="10">
        <f t="shared" si="24"/>
        <v>2.7549999867111655E+93</v>
      </c>
    </row>
  </sheetData>
  <mergeCells count="3">
    <mergeCell ref="N7:P7"/>
    <mergeCell ref="N3:N5"/>
    <mergeCell ref="M3:M5"/>
  </mergeCells>
  <phoneticPr fontId="1"/>
  <hyperlinks>
    <hyperlink ref="N7" r:id="rId1" xr:uid="{74567AD5-898C-4BFB-98D6-B1F87AF16F69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誕生日</vt:lpstr>
      <vt:lpstr>（参考）クーポン収集問題</vt:lpstr>
      <vt:lpstr>（参考）スターリング数</vt:lpstr>
      <vt:lpstr>'（参考）クーポン収集問題'!k</vt:lpstr>
      <vt:lpstr>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miura</dc:creator>
  <cp:lastModifiedBy>miura@mail.kobe-c.ac.jp</cp:lastModifiedBy>
  <dcterms:created xsi:type="dcterms:W3CDTF">2022-10-26T21:40:49Z</dcterms:created>
  <dcterms:modified xsi:type="dcterms:W3CDTF">2023-11-07T06:54:58Z</dcterms:modified>
</cp:coreProperties>
</file>