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appendix\"/>
    </mc:Choice>
  </mc:AlternateContent>
  <xr:revisionPtr revIDLastSave="0" documentId="13_ncr:1_{FCD65303-33E2-4D1D-B25E-6882A37C1B8C}" xr6:coauthVersionLast="47" xr6:coauthVersionMax="47" xr10:uidLastSave="{00000000-0000-0000-0000-000000000000}"/>
  <bookViews>
    <workbookView xWindow="-120" yWindow="525" windowWidth="29040" windowHeight="15195" tabRatio="710" xr2:uid="{F09E30F0-484D-4ADE-8C37-A4C3D44EF12A}"/>
  </bookViews>
  <sheets>
    <sheet name="co2" sheetId="1" r:id="rId1"/>
    <sheet name="グラフ1" sheetId="29" r:id="rId2"/>
    <sheet name="グラフ2" sheetId="30" r:id="rId3"/>
    <sheet name="グラフ3" sheetId="31" r:id="rId4"/>
    <sheet name="線形モデル" sheetId="27" r:id="rId5"/>
    <sheet name="グラフ4" sheetId="32" r:id="rId6"/>
    <sheet name="グラフ5" sheetId="33" r:id="rId7"/>
    <sheet name="グラフ6" sheetId="34" r:id="rId8"/>
    <sheet name="2次多項式モデル" sheetId="26" r:id="rId9"/>
    <sheet name="グラフ7" sheetId="35" r:id="rId10"/>
    <sheet name="グラフ8" sheetId="36" r:id="rId11"/>
    <sheet name="グラフ9" sheetId="37" r:id="rId12"/>
    <sheet name="2次多項式モデル (2)" sheetId="28" r:id="rId13"/>
  </sheets>
  <definedNames>
    <definedName name="_A" localSheetId="8">'2次多項式モデル'!$B$7</definedName>
    <definedName name="_A" localSheetId="12">'2次多項式モデル (2)'!$B$7</definedName>
    <definedName name="_B" localSheetId="8">'2次多項式モデル'!$C$7</definedName>
    <definedName name="_B" localSheetId="12">'2次多項式モデル (2)'!$C$7</definedName>
    <definedName name="_B" localSheetId="4">線形モデル!$B$7</definedName>
    <definedName name="_C" localSheetId="8">'2次多項式モデル'!$D$7</definedName>
    <definedName name="_C" localSheetId="12">'2次多項式モデル (2)'!$D$7</definedName>
    <definedName name="_C" localSheetId="4">線形モデル!$C$7</definedName>
    <definedName name="_xlcn.WorksheetConnection_co2A1B7421" hidden="1">'co2'!$A$1:$B$742</definedName>
    <definedName name="Sm" localSheetId="8">'2次多項式モデル'!$B$12:$B$23</definedName>
    <definedName name="Sm" localSheetId="12">'2次多項式モデル (2)'!$B$12:$B$23</definedName>
    <definedName name="Sm" localSheetId="4">線形モデル!$B$12:$B$23</definedName>
    <definedName name="solver_adj" localSheetId="8" hidden="1">'2次多項式モデル'!$B$12:$B$23</definedName>
    <definedName name="solver_adj" localSheetId="12" hidden="1">'2次多項式モデル (2)'!$B$12:$B$23</definedName>
    <definedName name="solver_adj" localSheetId="4" hidden="1">線形モデル!$B$12:$B$23</definedName>
    <definedName name="solver_cvg" localSheetId="8" hidden="1">0.0001</definedName>
    <definedName name="solver_cvg" localSheetId="12" hidden="1">0.0001</definedName>
    <definedName name="solver_cvg" localSheetId="4" hidden="1">0.0001</definedName>
    <definedName name="solver_drv" localSheetId="8" hidden="1">1</definedName>
    <definedName name="solver_drv" localSheetId="12" hidden="1">1</definedName>
    <definedName name="solver_drv" localSheetId="4" hidden="1">1</definedName>
    <definedName name="solver_eng" localSheetId="8" hidden="1">1</definedName>
    <definedName name="solver_eng" localSheetId="12" hidden="1">1</definedName>
    <definedName name="solver_eng" localSheetId="4" hidden="1">1</definedName>
    <definedName name="solver_est" localSheetId="8" hidden="1">1</definedName>
    <definedName name="solver_est" localSheetId="12" hidden="1">1</definedName>
    <definedName name="solver_est" localSheetId="4" hidden="1">1</definedName>
    <definedName name="solver_itr" localSheetId="8" hidden="1">2147483647</definedName>
    <definedName name="solver_itr" localSheetId="12" hidden="1">2147483647</definedName>
    <definedName name="solver_itr" localSheetId="4" hidden="1">2147483647</definedName>
    <definedName name="solver_lhs1" localSheetId="8" hidden="1">'2次多項式モデル'!$B$25</definedName>
    <definedName name="solver_lhs1" localSheetId="12" hidden="1">'2次多項式モデル (2)'!$B$25</definedName>
    <definedName name="solver_lhs1" localSheetId="4" hidden="1">線形モデル!$B$25</definedName>
    <definedName name="solver_mip" localSheetId="8" hidden="1">2147483647</definedName>
    <definedName name="solver_mip" localSheetId="12" hidden="1">2147483647</definedName>
    <definedName name="solver_mip" localSheetId="4" hidden="1">2147483647</definedName>
    <definedName name="solver_mni" localSheetId="8" hidden="1">30</definedName>
    <definedName name="solver_mni" localSheetId="12" hidden="1">30</definedName>
    <definedName name="solver_mni" localSheetId="4" hidden="1">30</definedName>
    <definedName name="solver_mrt" localSheetId="8" hidden="1">0.075</definedName>
    <definedName name="solver_mrt" localSheetId="12" hidden="1">0.075</definedName>
    <definedName name="solver_mrt" localSheetId="4" hidden="1">0.075</definedName>
    <definedName name="solver_msl" localSheetId="8" hidden="1">2</definedName>
    <definedName name="solver_msl" localSheetId="12" hidden="1">2</definedName>
    <definedName name="solver_msl" localSheetId="4" hidden="1">2</definedName>
    <definedName name="solver_neg" localSheetId="8" hidden="1">2</definedName>
    <definedName name="solver_neg" localSheetId="12" hidden="1">2</definedName>
    <definedName name="solver_neg" localSheetId="4" hidden="1">2</definedName>
    <definedName name="solver_nod" localSheetId="8" hidden="1">2147483647</definedName>
    <definedName name="solver_nod" localSheetId="12" hidden="1">2147483647</definedName>
    <definedName name="solver_nod" localSheetId="4" hidden="1">2147483647</definedName>
    <definedName name="solver_num" localSheetId="8" hidden="1">1</definedName>
    <definedName name="solver_num" localSheetId="12" hidden="1">1</definedName>
    <definedName name="solver_num" localSheetId="4" hidden="1">1</definedName>
    <definedName name="solver_nwt" localSheetId="8" hidden="1">1</definedName>
    <definedName name="solver_nwt" localSheetId="12" hidden="1">1</definedName>
    <definedName name="solver_nwt" localSheetId="4" hidden="1">1</definedName>
    <definedName name="solver_opt" localSheetId="8" hidden="1">'2次多項式モデル'!$B$27</definedName>
    <definedName name="solver_opt" localSheetId="12" hidden="1">'2次多項式モデル (2)'!$B$27</definedName>
    <definedName name="solver_opt" localSheetId="4" hidden="1">線形モデル!$B$27</definedName>
    <definedName name="solver_pre" localSheetId="8" hidden="1">0.000001</definedName>
    <definedName name="solver_pre" localSheetId="12" hidden="1">0.000001</definedName>
    <definedName name="solver_pre" localSheetId="4" hidden="1">0.000001</definedName>
    <definedName name="solver_rbv" localSheetId="8" hidden="1">1</definedName>
    <definedName name="solver_rbv" localSheetId="12" hidden="1">1</definedName>
    <definedName name="solver_rbv" localSheetId="4" hidden="1">1</definedName>
    <definedName name="solver_rel1" localSheetId="8" hidden="1">2</definedName>
    <definedName name="solver_rel1" localSheetId="12" hidden="1">2</definedName>
    <definedName name="solver_rel1" localSheetId="4" hidden="1">2</definedName>
    <definedName name="solver_rhs1" localSheetId="8" hidden="1">0</definedName>
    <definedName name="solver_rhs1" localSheetId="12" hidden="1">0</definedName>
    <definedName name="solver_rhs1" localSheetId="4" hidden="1">0</definedName>
    <definedName name="solver_rlx" localSheetId="8" hidden="1">2</definedName>
    <definedName name="solver_rlx" localSheetId="12" hidden="1">2</definedName>
    <definedName name="solver_rlx" localSheetId="4" hidden="1">2</definedName>
    <definedName name="solver_rsd" localSheetId="8" hidden="1">0</definedName>
    <definedName name="solver_rsd" localSheetId="12" hidden="1">0</definedName>
    <definedName name="solver_rsd" localSheetId="4" hidden="1">0</definedName>
    <definedName name="solver_scl" localSheetId="8" hidden="1">1</definedName>
    <definedName name="solver_scl" localSheetId="12" hidden="1">1</definedName>
    <definedName name="solver_scl" localSheetId="4" hidden="1">1</definedName>
    <definedName name="solver_sho" localSheetId="8" hidden="1">2</definedName>
    <definedName name="solver_sho" localSheetId="12" hidden="1">2</definedName>
    <definedName name="solver_sho" localSheetId="4" hidden="1">2</definedName>
    <definedName name="solver_ssz" localSheetId="8" hidden="1">100</definedName>
    <definedName name="solver_ssz" localSheetId="12" hidden="1">100</definedName>
    <definedName name="solver_ssz" localSheetId="4" hidden="1">100</definedName>
    <definedName name="solver_tim" localSheetId="8" hidden="1">2147483647</definedName>
    <definedName name="solver_tim" localSheetId="12" hidden="1">2147483647</definedName>
    <definedName name="solver_tim" localSheetId="4" hidden="1">2147483647</definedName>
    <definedName name="solver_tol" localSheetId="8" hidden="1">0.01</definedName>
    <definedName name="solver_tol" localSheetId="12" hidden="1">0.01</definedName>
    <definedName name="solver_tol" localSheetId="4" hidden="1">0.01</definedName>
    <definedName name="solver_typ" localSheetId="8" hidden="1">2</definedName>
    <definedName name="solver_typ" localSheetId="12" hidden="1">2</definedName>
    <definedName name="solver_typ" localSheetId="4" hidden="1">2</definedName>
    <definedName name="solver_val" localSheetId="8" hidden="1">0</definedName>
    <definedName name="solver_val" localSheetId="12" hidden="1">0</definedName>
    <definedName name="solver_val" localSheetId="4" hidden="1">0</definedName>
    <definedName name="solver_ver" localSheetId="8" hidden="1">3</definedName>
    <definedName name="solver_ver" localSheetId="1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囲" name="範囲" connection="WorksheetConnection_co2!$A$1:$B$74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82" i="26" l="1"/>
  <c r="K982" i="26" a="1"/>
  <c r="I982" i="26"/>
  <c r="L982" i="26" s="1"/>
  <c r="K981" i="26" a="1"/>
  <c r="K981" i="26" s="1"/>
  <c r="I981" i="26"/>
  <c r="K980" i="26"/>
  <c r="K980" i="26" a="1"/>
  <c r="I980" i="26"/>
  <c r="L980" i="26" s="1"/>
  <c r="K979" i="26" a="1"/>
  <c r="K979" i="26" s="1"/>
  <c r="I979" i="26"/>
  <c r="K978" i="26" a="1"/>
  <c r="K978" i="26" s="1"/>
  <c r="I978" i="26"/>
  <c r="L978" i="26" s="1"/>
  <c r="K977" i="26" a="1"/>
  <c r="K977" i="26" s="1"/>
  <c r="I977" i="26"/>
  <c r="L977" i="26" s="1"/>
  <c r="K976" i="26" a="1"/>
  <c r="K976" i="26" s="1"/>
  <c r="I976" i="26"/>
  <c r="L976" i="26" s="1"/>
  <c r="K975" i="26" a="1"/>
  <c r="K975" i="26" s="1"/>
  <c r="I975" i="26"/>
  <c r="L975" i="26" s="1"/>
  <c r="K974" i="26" a="1"/>
  <c r="K974" i="26" s="1"/>
  <c r="I974" i="26"/>
  <c r="L974" i="26" s="1"/>
  <c r="K973" i="26" a="1"/>
  <c r="K973" i="26" s="1"/>
  <c r="I973" i="26"/>
  <c r="L973" i="26" s="1"/>
  <c r="K972" i="26" a="1"/>
  <c r="K972" i="26" s="1"/>
  <c r="I972" i="26"/>
  <c r="L972" i="26" s="1"/>
  <c r="K971" i="26" a="1"/>
  <c r="K971" i="26" s="1"/>
  <c r="I971" i="26"/>
  <c r="L971" i="26" s="1"/>
  <c r="K970" i="26" a="1"/>
  <c r="K970" i="26" s="1"/>
  <c r="I970" i="26"/>
  <c r="L970" i="26" s="1"/>
  <c r="K969" i="26" a="1"/>
  <c r="K969" i="26" s="1"/>
  <c r="I969" i="26"/>
  <c r="L969" i="26" s="1"/>
  <c r="K968" i="26" a="1"/>
  <c r="K968" i="26" s="1"/>
  <c r="I968" i="26"/>
  <c r="L968" i="26" s="1"/>
  <c r="K967" i="26" a="1"/>
  <c r="K967" i="26" s="1"/>
  <c r="I967" i="26"/>
  <c r="L967" i="26" s="1"/>
  <c r="K966" i="26" a="1"/>
  <c r="K966" i="26" s="1"/>
  <c r="I966" i="26"/>
  <c r="L966" i="26" s="1"/>
  <c r="K965" i="26" a="1"/>
  <c r="K965" i="26" s="1"/>
  <c r="I965" i="26"/>
  <c r="L965" i="26" s="1"/>
  <c r="K964" i="26" a="1"/>
  <c r="K964" i="26" s="1"/>
  <c r="I964" i="26"/>
  <c r="L964" i="26" s="1"/>
  <c r="K963" i="26" a="1"/>
  <c r="K963" i="26" s="1"/>
  <c r="I963" i="26"/>
  <c r="L963" i="26" s="1"/>
  <c r="K962" i="26" a="1"/>
  <c r="K962" i="26" s="1"/>
  <c r="I962" i="26"/>
  <c r="L962" i="26" s="1"/>
  <c r="K961" i="26" a="1"/>
  <c r="K961" i="26" s="1"/>
  <c r="I961" i="26"/>
  <c r="L961" i="26" s="1"/>
  <c r="K960" i="26" a="1"/>
  <c r="K960" i="26" s="1"/>
  <c r="I960" i="26"/>
  <c r="L960" i="26" s="1"/>
  <c r="K959" i="26" a="1"/>
  <c r="K959" i="26" s="1"/>
  <c r="I959" i="26"/>
  <c r="L959" i="26" s="1"/>
  <c r="K958" i="26" a="1"/>
  <c r="K958" i="26" s="1"/>
  <c r="I958" i="26"/>
  <c r="L958" i="26" s="1"/>
  <c r="K957" i="26" a="1"/>
  <c r="K957" i="26" s="1"/>
  <c r="I957" i="26"/>
  <c r="L957" i="26" s="1"/>
  <c r="K956" i="26" a="1"/>
  <c r="K956" i="26" s="1"/>
  <c r="I956" i="26"/>
  <c r="L956" i="26" s="1"/>
  <c r="K955" i="26" a="1"/>
  <c r="K955" i="26" s="1"/>
  <c r="I955" i="26"/>
  <c r="L955" i="26" s="1"/>
  <c r="K954" i="26" a="1"/>
  <c r="K954" i="26" s="1"/>
  <c r="I954" i="26"/>
  <c r="L954" i="26" s="1"/>
  <c r="K953" i="26" a="1"/>
  <c r="K953" i="26" s="1"/>
  <c r="I953" i="26"/>
  <c r="K952" i="26" a="1"/>
  <c r="K952" i="26" s="1"/>
  <c r="I952" i="26"/>
  <c r="L952" i="26" s="1"/>
  <c r="K951" i="26" a="1"/>
  <c r="K951" i="26" s="1"/>
  <c r="I951" i="26"/>
  <c r="L951" i="26" s="1"/>
  <c r="K950" i="26" a="1"/>
  <c r="K950" i="26" s="1"/>
  <c r="I950" i="26"/>
  <c r="L950" i="26" s="1"/>
  <c r="K949" i="26" a="1"/>
  <c r="K949" i="26" s="1"/>
  <c r="I949" i="26"/>
  <c r="L949" i="26" s="1"/>
  <c r="K948" i="26" a="1"/>
  <c r="K948" i="26" s="1"/>
  <c r="I948" i="26"/>
  <c r="L948" i="26" s="1"/>
  <c r="K947" i="26" a="1"/>
  <c r="K947" i="26" s="1"/>
  <c r="I947" i="26"/>
  <c r="L947" i="26" s="1"/>
  <c r="K946" i="26" a="1"/>
  <c r="K946" i="26" s="1"/>
  <c r="I946" i="26"/>
  <c r="L946" i="26" s="1"/>
  <c r="K945" i="26" a="1"/>
  <c r="K945" i="26" s="1"/>
  <c r="I945" i="26"/>
  <c r="L945" i="26" s="1"/>
  <c r="K944" i="26" a="1"/>
  <c r="K944" i="26" s="1"/>
  <c r="I944" i="26"/>
  <c r="L944" i="26" s="1"/>
  <c r="K943" i="26" a="1"/>
  <c r="K943" i="26" s="1"/>
  <c r="I943" i="26"/>
  <c r="L943" i="26" s="1"/>
  <c r="K942" i="26" a="1"/>
  <c r="K942" i="26" s="1"/>
  <c r="I942" i="26"/>
  <c r="L942" i="26" s="1"/>
  <c r="K941" i="26" a="1"/>
  <c r="K941" i="26" s="1"/>
  <c r="I941" i="26"/>
  <c r="L941" i="26" s="1"/>
  <c r="K940" i="26" a="1"/>
  <c r="K940" i="26" s="1"/>
  <c r="I940" i="26"/>
  <c r="L940" i="26" s="1"/>
  <c r="K939" i="26" a="1"/>
  <c r="K939" i="26" s="1"/>
  <c r="I939" i="26"/>
  <c r="L939" i="26" s="1"/>
  <c r="K938" i="26" a="1"/>
  <c r="K938" i="26" s="1"/>
  <c r="I938" i="26"/>
  <c r="L938" i="26" s="1"/>
  <c r="K937" i="26" a="1"/>
  <c r="K937" i="26" s="1"/>
  <c r="I937" i="26"/>
  <c r="L937" i="26" s="1"/>
  <c r="K936" i="26" a="1"/>
  <c r="K936" i="26" s="1"/>
  <c r="I936" i="26"/>
  <c r="L936" i="26" s="1"/>
  <c r="K935" i="26" a="1"/>
  <c r="K935" i="26" s="1"/>
  <c r="I935" i="26"/>
  <c r="L935" i="26" s="1"/>
  <c r="K934" i="26" a="1"/>
  <c r="K934" i="26" s="1"/>
  <c r="I934" i="26"/>
  <c r="L934" i="26" s="1"/>
  <c r="K933" i="26" a="1"/>
  <c r="K933" i="26" s="1"/>
  <c r="I933" i="26"/>
  <c r="L933" i="26" s="1"/>
  <c r="K932" i="26" a="1"/>
  <c r="K932" i="26" s="1"/>
  <c r="I932" i="26"/>
  <c r="L932" i="26" s="1"/>
  <c r="K931" i="26" a="1"/>
  <c r="K931" i="26" s="1"/>
  <c r="I931" i="26"/>
  <c r="L931" i="26" s="1"/>
  <c r="K930" i="26" a="1"/>
  <c r="K930" i="26" s="1"/>
  <c r="I930" i="26"/>
  <c r="L930" i="26" s="1"/>
  <c r="K929" i="26" a="1"/>
  <c r="K929" i="26" s="1"/>
  <c r="I929" i="26"/>
  <c r="L929" i="26" s="1"/>
  <c r="K928" i="26" a="1"/>
  <c r="K928" i="26" s="1"/>
  <c r="I928" i="26"/>
  <c r="L928" i="26" s="1"/>
  <c r="K927" i="26" a="1"/>
  <c r="K927" i="26" s="1"/>
  <c r="I927" i="26"/>
  <c r="L927" i="26" s="1"/>
  <c r="L926" i="26"/>
  <c r="K926" i="26" a="1"/>
  <c r="K926" i="26" s="1"/>
  <c r="I926" i="26"/>
  <c r="K925" i="26" a="1"/>
  <c r="K925" i="26" s="1"/>
  <c r="L925" i="26" s="1"/>
  <c r="I925" i="26"/>
  <c r="K924" i="26" a="1"/>
  <c r="K924" i="26" s="1"/>
  <c r="I924" i="26"/>
  <c r="L924" i="26" s="1"/>
  <c r="K923" i="26" a="1"/>
  <c r="K923" i="26" s="1"/>
  <c r="I923" i="26"/>
  <c r="L923" i="26" s="1"/>
  <c r="L922" i="26"/>
  <c r="K922" i="26" a="1"/>
  <c r="K922" i="26" s="1"/>
  <c r="I922" i="26"/>
  <c r="K921" i="26" a="1"/>
  <c r="K921" i="26" s="1"/>
  <c r="L921" i="26" s="1"/>
  <c r="I921" i="26"/>
  <c r="K920" i="26" a="1"/>
  <c r="K920" i="26" s="1"/>
  <c r="I920" i="26"/>
  <c r="L920" i="26" s="1"/>
  <c r="K919" i="26" a="1"/>
  <c r="K919" i="26" s="1"/>
  <c r="I919" i="26"/>
  <c r="L919" i="26" s="1"/>
  <c r="L918" i="26"/>
  <c r="K918" i="26" a="1"/>
  <c r="K918" i="26" s="1"/>
  <c r="I918" i="26"/>
  <c r="K917" i="26" a="1"/>
  <c r="K917" i="26" s="1"/>
  <c r="L917" i="26" s="1"/>
  <c r="I917" i="26"/>
  <c r="K916" i="26" a="1"/>
  <c r="K916" i="26" s="1"/>
  <c r="I916" i="26"/>
  <c r="L916" i="26" s="1"/>
  <c r="K915" i="26" a="1"/>
  <c r="K915" i="26" s="1"/>
  <c r="I915" i="26"/>
  <c r="L915" i="26" s="1"/>
  <c r="L914" i="26"/>
  <c r="K914" i="26" a="1"/>
  <c r="K914" i="26" s="1"/>
  <c r="I914" i="26"/>
  <c r="K913" i="26" a="1"/>
  <c r="K913" i="26" s="1"/>
  <c r="L913" i="26" s="1"/>
  <c r="I913" i="26"/>
  <c r="K912" i="26" a="1"/>
  <c r="K912" i="26" s="1"/>
  <c r="I912" i="26"/>
  <c r="L912" i="26" s="1"/>
  <c r="K911" i="26" a="1"/>
  <c r="K911" i="26" s="1"/>
  <c r="I911" i="26"/>
  <c r="L911" i="26" s="1"/>
  <c r="L910" i="26"/>
  <c r="K910" i="26" a="1"/>
  <c r="K910" i="26" s="1"/>
  <c r="I910" i="26"/>
  <c r="K909" i="26" a="1"/>
  <c r="K909" i="26" s="1"/>
  <c r="L909" i="26" s="1"/>
  <c r="I909" i="26"/>
  <c r="K908" i="26" a="1"/>
  <c r="K908" i="26" s="1"/>
  <c r="I908" i="26"/>
  <c r="L908" i="26" s="1"/>
  <c r="K907" i="26" a="1"/>
  <c r="K907" i="26" s="1"/>
  <c r="I907" i="26"/>
  <c r="L907" i="26" s="1"/>
  <c r="L906" i="26"/>
  <c r="K906" i="26" a="1"/>
  <c r="K906" i="26" s="1"/>
  <c r="I906" i="26"/>
  <c r="K905" i="26" a="1"/>
  <c r="K905" i="26" s="1"/>
  <c r="L905" i="26" s="1"/>
  <c r="I905" i="26"/>
  <c r="K904" i="26" a="1"/>
  <c r="K904" i="26" s="1"/>
  <c r="I904" i="26"/>
  <c r="L904" i="26" s="1"/>
  <c r="K903" i="26" a="1"/>
  <c r="K903" i="26" s="1"/>
  <c r="I903" i="26"/>
  <c r="L903" i="26" s="1"/>
  <c r="L902" i="26"/>
  <c r="K902" i="26" a="1"/>
  <c r="K902" i="26" s="1"/>
  <c r="I902" i="26"/>
  <c r="K901" i="26" a="1"/>
  <c r="K901" i="26" s="1"/>
  <c r="L901" i="26" s="1"/>
  <c r="I901" i="26"/>
  <c r="K900" i="26" a="1"/>
  <c r="K900" i="26" s="1"/>
  <c r="I900" i="26"/>
  <c r="L900" i="26" s="1"/>
  <c r="K899" i="26" a="1"/>
  <c r="K899" i="26" s="1"/>
  <c r="I899" i="26"/>
  <c r="L899" i="26" s="1"/>
  <c r="L898" i="26"/>
  <c r="K898" i="26" a="1"/>
  <c r="K898" i="26" s="1"/>
  <c r="I898" i="26"/>
  <c r="K897" i="26" a="1"/>
  <c r="K897" i="26" s="1"/>
  <c r="L897" i="26" s="1"/>
  <c r="I897" i="26"/>
  <c r="K896" i="26" a="1"/>
  <c r="K896" i="26" s="1"/>
  <c r="I896" i="26"/>
  <c r="L896" i="26" s="1"/>
  <c r="K895" i="26" a="1"/>
  <c r="K895" i="26" s="1"/>
  <c r="I895" i="26"/>
  <c r="K894" i="26" a="1"/>
  <c r="K894" i="26" s="1"/>
  <c r="I894" i="26"/>
  <c r="L894" i="26" s="1"/>
  <c r="K893" i="26" a="1"/>
  <c r="K893" i="26" s="1"/>
  <c r="I893" i="26"/>
  <c r="K892" i="26" a="1"/>
  <c r="K892" i="26" s="1"/>
  <c r="I892" i="26"/>
  <c r="L892" i="26" s="1"/>
  <c r="K891" i="26" a="1"/>
  <c r="K891" i="26" s="1"/>
  <c r="I891" i="26"/>
  <c r="K890" i="26" a="1"/>
  <c r="K890" i="26" s="1"/>
  <c r="I890" i="26"/>
  <c r="L890" i="26" s="1"/>
  <c r="K889" i="26" a="1"/>
  <c r="K889" i="26" s="1"/>
  <c r="I889" i="26"/>
  <c r="K888" i="26" a="1"/>
  <c r="K888" i="26" s="1"/>
  <c r="I888" i="26"/>
  <c r="L888" i="26" s="1"/>
  <c r="K887" i="26" a="1"/>
  <c r="K887" i="26" s="1"/>
  <c r="I887" i="26"/>
  <c r="K886" i="26" a="1"/>
  <c r="K886" i="26" s="1"/>
  <c r="I886" i="26"/>
  <c r="L886" i="26" s="1"/>
  <c r="K885" i="26" a="1"/>
  <c r="K885" i="26" s="1"/>
  <c r="I885" i="26"/>
  <c r="K884" i="26" a="1"/>
  <c r="K884" i="26" s="1"/>
  <c r="I884" i="26"/>
  <c r="L884" i="26" s="1"/>
  <c r="K883" i="26" a="1"/>
  <c r="K883" i="26" s="1"/>
  <c r="I883" i="26"/>
  <c r="K882" i="26" a="1"/>
  <c r="K882" i="26" s="1"/>
  <c r="I882" i="26"/>
  <c r="L882" i="26" s="1"/>
  <c r="K881" i="26" a="1"/>
  <c r="K881" i="26" s="1"/>
  <c r="I881" i="26"/>
  <c r="K880" i="26" a="1"/>
  <c r="K880" i="26" s="1"/>
  <c r="I880" i="26"/>
  <c r="L880" i="26" s="1"/>
  <c r="K879" i="26" a="1"/>
  <c r="K879" i="26" s="1"/>
  <c r="I879" i="26"/>
  <c r="K878" i="26" a="1"/>
  <c r="K878" i="26" s="1"/>
  <c r="I878" i="26"/>
  <c r="L878" i="26" s="1"/>
  <c r="K877" i="26" a="1"/>
  <c r="K877" i="26" s="1"/>
  <c r="I877" i="26"/>
  <c r="K876" i="26" a="1"/>
  <c r="K876" i="26" s="1"/>
  <c r="I876" i="26"/>
  <c r="L876" i="26" s="1"/>
  <c r="K875" i="26" a="1"/>
  <c r="K875" i="26" s="1"/>
  <c r="I875" i="26"/>
  <c r="K874" i="26" a="1"/>
  <c r="K874" i="26" s="1"/>
  <c r="I874" i="26"/>
  <c r="L874" i="26" s="1"/>
  <c r="K873" i="26" a="1"/>
  <c r="K873" i="26" s="1"/>
  <c r="I873" i="26"/>
  <c r="K872" i="26" a="1"/>
  <c r="K872" i="26" s="1"/>
  <c r="I872" i="26"/>
  <c r="L872" i="26" s="1"/>
  <c r="K871" i="26" a="1"/>
  <c r="K871" i="26" s="1"/>
  <c r="I871" i="26"/>
  <c r="K870" i="26" a="1"/>
  <c r="K870" i="26" s="1"/>
  <c r="I870" i="26"/>
  <c r="L870" i="26" s="1"/>
  <c r="K869" i="26" a="1"/>
  <c r="K869" i="26" s="1"/>
  <c r="I869" i="26"/>
  <c r="K868" i="26" a="1"/>
  <c r="K868" i="26" s="1"/>
  <c r="I868" i="26"/>
  <c r="L868" i="26" s="1"/>
  <c r="K867" i="26" a="1"/>
  <c r="K867" i="26" s="1"/>
  <c r="I867" i="26"/>
  <c r="K866" i="26" a="1"/>
  <c r="K866" i="26" s="1"/>
  <c r="I866" i="26"/>
  <c r="L866" i="26" s="1"/>
  <c r="K865" i="26" a="1"/>
  <c r="K865" i="26" s="1"/>
  <c r="I865" i="26"/>
  <c r="K864" i="26" a="1"/>
  <c r="K864" i="26" s="1"/>
  <c r="I864" i="26"/>
  <c r="L864" i="26" s="1"/>
  <c r="K863" i="26" a="1"/>
  <c r="K863" i="26" s="1"/>
  <c r="I863" i="26"/>
  <c r="K862" i="26" a="1"/>
  <c r="K862" i="26" s="1"/>
  <c r="I862" i="26"/>
  <c r="L862" i="26" s="1"/>
  <c r="K861" i="26" a="1"/>
  <c r="K861" i="26" s="1"/>
  <c r="I861" i="26"/>
  <c r="K860" i="26" a="1"/>
  <c r="K860" i="26" s="1"/>
  <c r="I860" i="26"/>
  <c r="L860" i="26" s="1"/>
  <c r="K859" i="26" a="1"/>
  <c r="K859" i="26" s="1"/>
  <c r="I859" i="26"/>
  <c r="K858" i="26" a="1"/>
  <c r="K858" i="26" s="1"/>
  <c r="I858" i="26"/>
  <c r="L858" i="26" s="1"/>
  <c r="K857" i="26" a="1"/>
  <c r="K857" i="26" s="1"/>
  <c r="I857" i="26"/>
  <c r="K856" i="26" a="1"/>
  <c r="K856" i="26" s="1"/>
  <c r="I856" i="26"/>
  <c r="L856" i="26" s="1"/>
  <c r="K855" i="26" a="1"/>
  <c r="K855" i="26" s="1"/>
  <c r="I855" i="26"/>
  <c r="K854" i="26" a="1"/>
  <c r="K854" i="26" s="1"/>
  <c r="I854" i="26"/>
  <c r="L854" i="26" s="1"/>
  <c r="K853" i="26" a="1"/>
  <c r="K853" i="26" s="1"/>
  <c r="I853" i="26"/>
  <c r="K852" i="26" a="1"/>
  <c r="K852" i="26" s="1"/>
  <c r="I852" i="26"/>
  <c r="L852" i="26" s="1"/>
  <c r="K851" i="26" a="1"/>
  <c r="K851" i="26" s="1"/>
  <c r="I851" i="26"/>
  <c r="K850" i="26" a="1"/>
  <c r="K850" i="26" s="1"/>
  <c r="I850" i="26"/>
  <c r="L850" i="26" s="1"/>
  <c r="K849" i="26" a="1"/>
  <c r="K849" i="26" s="1"/>
  <c r="I849" i="26"/>
  <c r="K848" i="26" a="1"/>
  <c r="K848" i="26" s="1"/>
  <c r="I848" i="26"/>
  <c r="L848" i="26" s="1"/>
  <c r="K847" i="26" a="1"/>
  <c r="K847" i="26" s="1"/>
  <c r="I847" i="26"/>
  <c r="K846" i="26" a="1"/>
  <c r="K846" i="26" s="1"/>
  <c r="I846" i="26"/>
  <c r="L846" i="26" s="1"/>
  <c r="K845" i="26" a="1"/>
  <c r="K845" i="26" s="1"/>
  <c r="I845" i="26"/>
  <c r="K844" i="26" a="1"/>
  <c r="K844" i="26" s="1"/>
  <c r="I844" i="26"/>
  <c r="L844" i="26" s="1"/>
  <c r="K843" i="26" a="1"/>
  <c r="K843" i="26" s="1"/>
  <c r="I843" i="26"/>
  <c r="K842" i="26" a="1"/>
  <c r="K842" i="26" s="1"/>
  <c r="I842" i="26"/>
  <c r="L842" i="26" s="1"/>
  <c r="K841" i="26" a="1"/>
  <c r="K841" i="26" s="1"/>
  <c r="I841" i="26"/>
  <c r="K840" i="26" a="1"/>
  <c r="K840" i="26" s="1"/>
  <c r="I840" i="26"/>
  <c r="L840" i="26" s="1"/>
  <c r="K839" i="26" a="1"/>
  <c r="K839" i="26" s="1"/>
  <c r="I839" i="26"/>
  <c r="K838" i="26" a="1"/>
  <c r="K838" i="26" s="1"/>
  <c r="I838" i="26"/>
  <c r="L838" i="26" s="1"/>
  <c r="K837" i="26" a="1"/>
  <c r="K837" i="26" s="1"/>
  <c r="I837" i="26"/>
  <c r="K836" i="26" a="1"/>
  <c r="K836" i="26" s="1"/>
  <c r="I836" i="26"/>
  <c r="L836" i="26" s="1"/>
  <c r="K835" i="26" a="1"/>
  <c r="K835" i="26" s="1"/>
  <c r="I835" i="26"/>
  <c r="K834" i="26" a="1"/>
  <c r="K834" i="26" s="1"/>
  <c r="I834" i="26"/>
  <c r="L834" i="26" s="1"/>
  <c r="K833" i="26" a="1"/>
  <c r="K833" i="26" s="1"/>
  <c r="I833" i="26"/>
  <c r="K832" i="26" a="1"/>
  <c r="K832" i="26" s="1"/>
  <c r="I832" i="26"/>
  <c r="L832" i="26" s="1"/>
  <c r="K831" i="26" a="1"/>
  <c r="K831" i="26" s="1"/>
  <c r="I831" i="26"/>
  <c r="K830" i="26" a="1"/>
  <c r="K830" i="26" s="1"/>
  <c r="I830" i="26"/>
  <c r="L830" i="26" s="1"/>
  <c r="K829" i="26" a="1"/>
  <c r="K829" i="26" s="1"/>
  <c r="I829" i="26"/>
  <c r="K828" i="26" a="1"/>
  <c r="K828" i="26" s="1"/>
  <c r="I828" i="26"/>
  <c r="L828" i="26" s="1"/>
  <c r="K827" i="26" a="1"/>
  <c r="K827" i="26" s="1"/>
  <c r="I827" i="26"/>
  <c r="K826" i="26" a="1"/>
  <c r="K826" i="26" s="1"/>
  <c r="I826" i="26"/>
  <c r="L826" i="26" s="1"/>
  <c r="K825" i="26" a="1"/>
  <c r="K825" i="26" s="1"/>
  <c r="I825" i="26"/>
  <c r="K824" i="26" a="1"/>
  <c r="K824" i="26" s="1"/>
  <c r="I824" i="26"/>
  <c r="L824" i="26" s="1"/>
  <c r="K823" i="26" a="1"/>
  <c r="K823" i="26" s="1"/>
  <c r="I823" i="26"/>
  <c r="K822" i="26" a="1"/>
  <c r="K822" i="26" s="1"/>
  <c r="I822" i="26"/>
  <c r="L822" i="26" s="1"/>
  <c r="K821" i="26" a="1"/>
  <c r="K821" i="26" s="1"/>
  <c r="I821" i="26"/>
  <c r="K820" i="26" a="1"/>
  <c r="K820" i="26" s="1"/>
  <c r="I820" i="26"/>
  <c r="L820" i="26" s="1"/>
  <c r="L819" i="26"/>
  <c r="K819" i="26" a="1"/>
  <c r="K819" i="26" s="1"/>
  <c r="I819" i="26"/>
  <c r="L818" i="26"/>
  <c r="K818" i="26" a="1"/>
  <c r="K818" i="26" s="1"/>
  <c r="I818" i="26"/>
  <c r="K817" i="26" a="1"/>
  <c r="K817" i="26" s="1"/>
  <c r="I817" i="26"/>
  <c r="L817" i="26" s="1"/>
  <c r="K816" i="26" a="1"/>
  <c r="K816" i="26" s="1"/>
  <c r="I816" i="26"/>
  <c r="L816" i="26" s="1"/>
  <c r="L815" i="26"/>
  <c r="K815" i="26" a="1"/>
  <c r="K815" i="26" s="1"/>
  <c r="I815" i="26"/>
  <c r="L814" i="26"/>
  <c r="K814" i="26" a="1"/>
  <c r="K814" i="26" s="1"/>
  <c r="I814" i="26"/>
  <c r="K813" i="26" a="1"/>
  <c r="K813" i="26" s="1"/>
  <c r="I813" i="26"/>
  <c r="L813" i="26" s="1"/>
  <c r="K812" i="26" a="1"/>
  <c r="K812" i="26" s="1"/>
  <c r="I812" i="26"/>
  <c r="L812" i="26" s="1"/>
  <c r="L811" i="26"/>
  <c r="K811" i="26" a="1"/>
  <c r="K811" i="26" s="1"/>
  <c r="I811" i="26"/>
  <c r="L810" i="26"/>
  <c r="K810" i="26" a="1"/>
  <c r="K810" i="26" s="1"/>
  <c r="I810" i="26"/>
  <c r="K809" i="26"/>
  <c r="K809" i="26" a="1"/>
  <c r="I809" i="26"/>
  <c r="L809" i="26" s="1"/>
  <c r="K808" i="26"/>
  <c r="K808" i="26" a="1"/>
  <c r="I808" i="26"/>
  <c r="L808" i="26" s="1"/>
  <c r="K807" i="26"/>
  <c r="K807" i="26" a="1"/>
  <c r="I807" i="26"/>
  <c r="L807" i="26" s="1"/>
  <c r="K806" i="26"/>
  <c r="K806" i="26" a="1"/>
  <c r="I806" i="26"/>
  <c r="L806" i="26" s="1"/>
  <c r="K805" i="26"/>
  <c r="K805" i="26" a="1"/>
  <c r="I805" i="26"/>
  <c r="L805" i="26" s="1"/>
  <c r="K804" i="26"/>
  <c r="K804" i="26" a="1"/>
  <c r="I804" i="26"/>
  <c r="L804" i="26" s="1"/>
  <c r="K803" i="26"/>
  <c r="K803" i="26" a="1"/>
  <c r="I803" i="26"/>
  <c r="L803" i="26" s="1"/>
  <c r="K802" i="26"/>
  <c r="K802" i="26" a="1"/>
  <c r="I802" i="26"/>
  <c r="L802" i="26" s="1"/>
  <c r="K801" i="26"/>
  <c r="K801" i="26" a="1"/>
  <c r="I801" i="26"/>
  <c r="L801" i="26" s="1"/>
  <c r="K800" i="26"/>
  <c r="K800" i="26" a="1"/>
  <c r="I800" i="26"/>
  <c r="L800" i="26" s="1"/>
  <c r="K799" i="26"/>
  <c r="K799" i="26" a="1"/>
  <c r="I799" i="26"/>
  <c r="L799" i="26" s="1"/>
  <c r="K798" i="26"/>
  <c r="K798" i="26" a="1"/>
  <c r="I798" i="26"/>
  <c r="L798" i="26" s="1"/>
  <c r="K797" i="26"/>
  <c r="K797" i="26" a="1"/>
  <c r="I797" i="26"/>
  <c r="L797" i="26" s="1"/>
  <c r="K796" i="26"/>
  <c r="K796" i="26" a="1"/>
  <c r="I796" i="26"/>
  <c r="L796" i="26" s="1"/>
  <c r="K795" i="26"/>
  <c r="K795" i="26" a="1"/>
  <c r="I795" i="26"/>
  <c r="L795" i="26" s="1"/>
  <c r="K794" i="26"/>
  <c r="K794" i="26" a="1"/>
  <c r="I794" i="26"/>
  <c r="L794" i="26" s="1"/>
  <c r="K793" i="26"/>
  <c r="K793" i="26" a="1"/>
  <c r="I793" i="26"/>
  <c r="L793" i="26" s="1"/>
  <c r="K792" i="26"/>
  <c r="K792" i="26" a="1"/>
  <c r="I792" i="26"/>
  <c r="L792" i="26" s="1"/>
  <c r="K791" i="26"/>
  <c r="K791" i="26" a="1"/>
  <c r="I791" i="26"/>
  <c r="L791" i="26" s="1"/>
  <c r="K790" i="26"/>
  <c r="K790" i="26" a="1"/>
  <c r="I790" i="26"/>
  <c r="L790" i="26" s="1"/>
  <c r="K789" i="26"/>
  <c r="K789" i="26" a="1"/>
  <c r="I789" i="26"/>
  <c r="L789" i="26" s="1"/>
  <c r="K788" i="26"/>
  <c r="K788" i="26" a="1"/>
  <c r="I788" i="26"/>
  <c r="L788" i="26" s="1"/>
  <c r="K787" i="26"/>
  <c r="K787" i="26" a="1"/>
  <c r="I787" i="26"/>
  <c r="L787" i="26" s="1"/>
  <c r="K786" i="26"/>
  <c r="K786" i="26" a="1"/>
  <c r="I786" i="26"/>
  <c r="L786" i="26" s="1"/>
  <c r="K785" i="26"/>
  <c r="K785" i="26" a="1"/>
  <c r="I785" i="26"/>
  <c r="L785" i="26" s="1"/>
  <c r="K784" i="26"/>
  <c r="K784" i="26" a="1"/>
  <c r="I784" i="26"/>
  <c r="L784" i="26" s="1"/>
  <c r="K783" i="26"/>
  <c r="K783" i="26" a="1"/>
  <c r="I783" i="26"/>
  <c r="L783" i="26" s="1"/>
  <c r="K782" i="26"/>
  <c r="K782" i="26" a="1"/>
  <c r="I782" i="26"/>
  <c r="L782" i="26" s="1"/>
  <c r="K781" i="26"/>
  <c r="K781" i="26" a="1"/>
  <c r="I781" i="26"/>
  <c r="L781" i="26" s="1"/>
  <c r="K780" i="26"/>
  <c r="K780" i="26" a="1"/>
  <c r="I780" i="26"/>
  <c r="L780" i="26" s="1"/>
  <c r="K779" i="26"/>
  <c r="K779" i="26" a="1"/>
  <c r="I779" i="26"/>
  <c r="L779" i="26" s="1"/>
  <c r="K778" i="26"/>
  <c r="K778" i="26" a="1"/>
  <c r="I778" i="26"/>
  <c r="L778" i="26" s="1"/>
  <c r="K777" i="26"/>
  <c r="K777" i="26" a="1"/>
  <c r="I777" i="26"/>
  <c r="L777" i="26" s="1"/>
  <c r="K776" i="26"/>
  <c r="K776" i="26" a="1"/>
  <c r="I776" i="26"/>
  <c r="L776" i="26" s="1"/>
  <c r="K775" i="26"/>
  <c r="K775" i="26" a="1"/>
  <c r="I775" i="26"/>
  <c r="L775" i="26" s="1"/>
  <c r="K774" i="26"/>
  <c r="K774" i="26" a="1"/>
  <c r="I774" i="26"/>
  <c r="L774" i="26" s="1"/>
  <c r="K773" i="26"/>
  <c r="K773" i="26" a="1"/>
  <c r="I773" i="26"/>
  <c r="L773" i="26" s="1"/>
  <c r="K772" i="26"/>
  <c r="K772" i="26" a="1"/>
  <c r="I772" i="26"/>
  <c r="L772" i="26" s="1"/>
  <c r="K771" i="26"/>
  <c r="K771" i="26" a="1"/>
  <c r="I771" i="26"/>
  <c r="L771" i="26" s="1"/>
  <c r="K770" i="26"/>
  <c r="K770" i="26" a="1"/>
  <c r="I770" i="26"/>
  <c r="L770" i="26" s="1"/>
  <c r="K769" i="26"/>
  <c r="K769" i="26" a="1"/>
  <c r="I769" i="26"/>
  <c r="L769" i="26" s="1"/>
  <c r="K768" i="26"/>
  <c r="K768" i="26" a="1"/>
  <c r="I768" i="26"/>
  <c r="L768" i="26" s="1"/>
  <c r="K767" i="26"/>
  <c r="K767" i="26" a="1"/>
  <c r="I767" i="26"/>
  <c r="L767" i="26" s="1"/>
  <c r="K766" i="26"/>
  <c r="K766" i="26" a="1"/>
  <c r="I766" i="26"/>
  <c r="L766" i="26" s="1"/>
  <c r="K765" i="26"/>
  <c r="K765" i="26" a="1"/>
  <c r="I765" i="26"/>
  <c r="L765" i="26" s="1"/>
  <c r="K764" i="26"/>
  <c r="K764" i="26" a="1"/>
  <c r="I764" i="26"/>
  <c r="L764" i="26" s="1"/>
  <c r="K763" i="26"/>
  <c r="K763" i="26" a="1"/>
  <c r="I763" i="26"/>
  <c r="L763" i="26" s="1"/>
  <c r="K762" i="26"/>
  <c r="K762" i="26" a="1"/>
  <c r="I762" i="26"/>
  <c r="L762" i="26" s="1"/>
  <c r="K761" i="26"/>
  <c r="K761" i="26" a="1"/>
  <c r="I761" i="26"/>
  <c r="L761" i="26" s="1"/>
  <c r="K760" i="26"/>
  <c r="K760" i="26" a="1"/>
  <c r="I760" i="26"/>
  <c r="L760" i="26" s="1"/>
  <c r="K759" i="26"/>
  <c r="K759" i="26" a="1"/>
  <c r="I759" i="26"/>
  <c r="L759" i="26" s="1"/>
  <c r="K758" i="26"/>
  <c r="K758" i="26" a="1"/>
  <c r="I758" i="26"/>
  <c r="L758" i="26" s="1"/>
  <c r="K757" i="26"/>
  <c r="K757" i="26" a="1"/>
  <c r="I757" i="26"/>
  <c r="L757" i="26" s="1"/>
  <c r="K756" i="26"/>
  <c r="K756" i="26" a="1"/>
  <c r="I756" i="26"/>
  <c r="L756" i="26" s="1"/>
  <c r="K755" i="26"/>
  <c r="K755" i="26" a="1"/>
  <c r="I755" i="26"/>
  <c r="L755" i="26" s="1"/>
  <c r="K754" i="26"/>
  <c r="K754" i="26" a="1"/>
  <c r="I754" i="26"/>
  <c r="L754" i="26" s="1"/>
  <c r="K753" i="26"/>
  <c r="K753" i="26" a="1"/>
  <c r="I753" i="26"/>
  <c r="L753" i="26" s="1"/>
  <c r="K752" i="26"/>
  <c r="K752" i="26" a="1"/>
  <c r="I752" i="26"/>
  <c r="L752" i="26" s="1"/>
  <c r="K751" i="26"/>
  <c r="K751" i="26" a="1"/>
  <c r="I751" i="26"/>
  <c r="L751" i="26" s="1"/>
  <c r="K750" i="26"/>
  <c r="K750" i="26" a="1"/>
  <c r="I750" i="26"/>
  <c r="L750" i="26" s="1"/>
  <c r="K749" i="26"/>
  <c r="K749" i="26" a="1"/>
  <c r="I749" i="26"/>
  <c r="L749" i="26" s="1"/>
  <c r="K748" i="26"/>
  <c r="K748" i="26" a="1"/>
  <c r="I748" i="26"/>
  <c r="L748" i="26" s="1"/>
  <c r="K747" i="26"/>
  <c r="K747" i="26" a="1"/>
  <c r="I747" i="26"/>
  <c r="L747" i="26" s="1"/>
  <c r="K746" i="26"/>
  <c r="K746" i="26" a="1"/>
  <c r="I746" i="26"/>
  <c r="L746" i="26" s="1"/>
  <c r="K745" i="26"/>
  <c r="K745" i="26" a="1"/>
  <c r="I745" i="26"/>
  <c r="L745" i="26" s="1"/>
  <c r="K744" i="26"/>
  <c r="K744" i="26" a="1"/>
  <c r="I744" i="26"/>
  <c r="L744" i="26" s="1"/>
  <c r="K743" i="26" a="1"/>
  <c r="K743" i="26" s="1"/>
  <c r="I743" i="26"/>
  <c r="I742" i="26"/>
  <c r="I741" i="26"/>
  <c r="J741" i="26" s="1"/>
  <c r="J740" i="26"/>
  <c r="I740" i="26"/>
  <c r="I739" i="26"/>
  <c r="J739" i="26" s="1"/>
  <c r="I738" i="26"/>
  <c r="J738" i="26" s="1"/>
  <c r="I737" i="26"/>
  <c r="J737" i="26" s="1"/>
  <c r="J736" i="26"/>
  <c r="I736" i="26"/>
  <c r="I735" i="26"/>
  <c r="J735" i="26" s="1"/>
  <c r="I734" i="26"/>
  <c r="I733" i="26"/>
  <c r="J733" i="26" s="1"/>
  <c r="J732" i="26"/>
  <c r="I732" i="26"/>
  <c r="I731" i="26"/>
  <c r="J731" i="26" s="1"/>
  <c r="I730" i="26"/>
  <c r="J730" i="26" s="1"/>
  <c r="I729" i="26"/>
  <c r="J729" i="26" s="1"/>
  <c r="J728" i="26"/>
  <c r="I728" i="26"/>
  <c r="I727" i="26"/>
  <c r="J727" i="26" s="1"/>
  <c r="J726" i="26"/>
  <c r="I726" i="26"/>
  <c r="I725" i="26"/>
  <c r="J725" i="26" s="1"/>
  <c r="I724" i="26"/>
  <c r="J724" i="26" s="1"/>
  <c r="I723" i="26"/>
  <c r="J723" i="26" s="1"/>
  <c r="J722" i="26"/>
  <c r="I722" i="26"/>
  <c r="I721" i="26"/>
  <c r="J721" i="26" s="1"/>
  <c r="I720" i="26"/>
  <c r="I719" i="26"/>
  <c r="J718" i="26"/>
  <c r="I718" i="26"/>
  <c r="I717" i="26"/>
  <c r="J717" i="26" s="1"/>
  <c r="I716" i="26"/>
  <c r="J716" i="26" s="1"/>
  <c r="I715" i="26"/>
  <c r="J715" i="26" s="1"/>
  <c r="J714" i="26"/>
  <c r="I714" i="26"/>
  <c r="I713" i="26"/>
  <c r="J713" i="26" s="1"/>
  <c r="I712" i="26"/>
  <c r="I711" i="26"/>
  <c r="J710" i="26"/>
  <c r="I710" i="26"/>
  <c r="I709" i="26"/>
  <c r="J709" i="26" s="1"/>
  <c r="I708" i="26"/>
  <c r="J708" i="26" s="1"/>
  <c r="I707" i="26"/>
  <c r="J707" i="26" s="1"/>
  <c r="J706" i="26"/>
  <c r="I706" i="26"/>
  <c r="I705" i="26"/>
  <c r="J705" i="26" s="1"/>
  <c r="I704" i="26"/>
  <c r="I703" i="26"/>
  <c r="J702" i="26"/>
  <c r="I702" i="26"/>
  <c r="I701" i="26"/>
  <c r="J701" i="26" s="1"/>
  <c r="I700" i="26"/>
  <c r="J700" i="26" s="1"/>
  <c r="I699" i="26"/>
  <c r="J699" i="26" s="1"/>
  <c r="J698" i="26"/>
  <c r="I698" i="26"/>
  <c r="I697" i="26"/>
  <c r="J697" i="26" s="1"/>
  <c r="I696" i="26"/>
  <c r="I695" i="26"/>
  <c r="J694" i="26"/>
  <c r="I694" i="26"/>
  <c r="I693" i="26"/>
  <c r="J693" i="26" s="1"/>
  <c r="I692" i="26"/>
  <c r="J692" i="26" s="1"/>
  <c r="I691" i="26"/>
  <c r="J691" i="26" s="1"/>
  <c r="J690" i="26"/>
  <c r="I690" i="26"/>
  <c r="I689" i="26"/>
  <c r="J689" i="26" s="1"/>
  <c r="I688" i="26"/>
  <c r="I687" i="26"/>
  <c r="J686" i="26"/>
  <c r="I686" i="26"/>
  <c r="J685" i="26"/>
  <c r="I685" i="26"/>
  <c r="J684" i="26"/>
  <c r="I684" i="26"/>
  <c r="J683" i="26"/>
  <c r="I683" i="26"/>
  <c r="J682" i="26"/>
  <c r="I682" i="26"/>
  <c r="J681" i="26"/>
  <c r="I681" i="26"/>
  <c r="J680" i="26"/>
  <c r="I680" i="26"/>
  <c r="J679" i="26"/>
  <c r="I679" i="26"/>
  <c r="J678" i="26"/>
  <c r="I678" i="26"/>
  <c r="J677" i="26"/>
  <c r="I677" i="26"/>
  <c r="J676" i="26"/>
  <c r="I676" i="26"/>
  <c r="J675" i="26"/>
  <c r="I675" i="26"/>
  <c r="J674" i="26"/>
  <c r="I674" i="26"/>
  <c r="J673" i="26"/>
  <c r="I673" i="26"/>
  <c r="J672" i="26"/>
  <c r="I672" i="26"/>
  <c r="J671" i="26"/>
  <c r="I671" i="26"/>
  <c r="J670" i="26"/>
  <c r="I670" i="26"/>
  <c r="J669" i="26"/>
  <c r="I669" i="26"/>
  <c r="J668" i="26"/>
  <c r="I668" i="26"/>
  <c r="J667" i="26"/>
  <c r="I667" i="26"/>
  <c r="J666" i="26"/>
  <c r="I666" i="26"/>
  <c r="J665" i="26"/>
  <c r="I665" i="26"/>
  <c r="J664" i="26"/>
  <c r="I664" i="26"/>
  <c r="J663" i="26"/>
  <c r="I663" i="26"/>
  <c r="J662" i="26"/>
  <c r="I662" i="26"/>
  <c r="J661" i="26"/>
  <c r="I661" i="26"/>
  <c r="J660" i="26"/>
  <c r="I660" i="26"/>
  <c r="J659" i="26"/>
  <c r="I659" i="26"/>
  <c r="J658" i="26"/>
  <c r="I658" i="26"/>
  <c r="J657" i="26"/>
  <c r="I657" i="26"/>
  <c r="J656" i="26"/>
  <c r="I656" i="26"/>
  <c r="J655" i="26"/>
  <c r="I655" i="26"/>
  <c r="J654" i="26"/>
  <c r="I654" i="26"/>
  <c r="J653" i="26"/>
  <c r="I653" i="26"/>
  <c r="J652" i="26"/>
  <c r="I652" i="26"/>
  <c r="J651" i="26"/>
  <c r="I651" i="26"/>
  <c r="J650" i="26"/>
  <c r="I650" i="26"/>
  <c r="J649" i="26"/>
  <c r="I649" i="26"/>
  <c r="J648" i="26"/>
  <c r="I648" i="26"/>
  <c r="J647" i="26"/>
  <c r="I647" i="26"/>
  <c r="J646" i="26"/>
  <c r="I646" i="26"/>
  <c r="J645" i="26"/>
  <c r="I645" i="26"/>
  <c r="J644" i="26"/>
  <c r="I644" i="26"/>
  <c r="J643" i="26"/>
  <c r="I643" i="26"/>
  <c r="J642" i="26"/>
  <c r="I642" i="26"/>
  <c r="J641" i="26"/>
  <c r="I641" i="26"/>
  <c r="I640" i="26"/>
  <c r="J640" i="26" s="1"/>
  <c r="J639" i="26"/>
  <c r="I639" i="26"/>
  <c r="J638" i="26"/>
  <c r="I638" i="26"/>
  <c r="J637" i="26"/>
  <c r="I637" i="26"/>
  <c r="I636" i="26"/>
  <c r="J635" i="26"/>
  <c r="I635" i="26"/>
  <c r="J634" i="26"/>
  <c r="I634" i="26"/>
  <c r="J633" i="26"/>
  <c r="I633" i="26"/>
  <c r="J632" i="26"/>
  <c r="I632" i="26"/>
  <c r="J631" i="26"/>
  <c r="I631" i="26"/>
  <c r="J630" i="26"/>
  <c r="I630" i="26"/>
  <c r="J629" i="26"/>
  <c r="I629" i="26"/>
  <c r="J628" i="26"/>
  <c r="I628" i="26"/>
  <c r="J627" i="26"/>
  <c r="I627" i="26"/>
  <c r="J626" i="26"/>
  <c r="I626" i="26"/>
  <c r="J625" i="26"/>
  <c r="I625" i="26"/>
  <c r="I624" i="26"/>
  <c r="J624" i="26" s="1"/>
  <c r="J623" i="26"/>
  <c r="I623" i="26"/>
  <c r="J622" i="26"/>
  <c r="I622" i="26"/>
  <c r="J621" i="26"/>
  <c r="I621" i="26"/>
  <c r="I620" i="26"/>
  <c r="J619" i="26"/>
  <c r="I619" i="26"/>
  <c r="J618" i="26"/>
  <c r="I618" i="26"/>
  <c r="J617" i="26"/>
  <c r="I617" i="26"/>
  <c r="J616" i="26"/>
  <c r="I616" i="26"/>
  <c r="J615" i="26"/>
  <c r="I615" i="26"/>
  <c r="J614" i="26"/>
  <c r="I614" i="26"/>
  <c r="J613" i="26"/>
  <c r="I613" i="26"/>
  <c r="J612" i="26"/>
  <c r="I612" i="26"/>
  <c r="J611" i="26"/>
  <c r="I611" i="26"/>
  <c r="J610" i="26"/>
  <c r="I610" i="26"/>
  <c r="J609" i="26"/>
  <c r="I609" i="26"/>
  <c r="I608" i="26"/>
  <c r="J608" i="26" s="1"/>
  <c r="J607" i="26"/>
  <c r="I607" i="26"/>
  <c r="J606" i="26"/>
  <c r="I606" i="26"/>
  <c r="J605" i="26"/>
  <c r="I605" i="26"/>
  <c r="I604" i="26"/>
  <c r="I603" i="26"/>
  <c r="J602" i="26"/>
  <c r="I602" i="26"/>
  <c r="I601" i="26"/>
  <c r="J601" i="26" s="1"/>
  <c r="I600" i="26"/>
  <c r="J600" i="26" s="1"/>
  <c r="I599" i="26"/>
  <c r="J599" i="26" s="1"/>
  <c r="I598" i="26"/>
  <c r="I597" i="26"/>
  <c r="J597" i="26" s="1"/>
  <c r="J596" i="26"/>
  <c r="I596" i="26"/>
  <c r="I595" i="26"/>
  <c r="J594" i="26"/>
  <c r="I594" i="26"/>
  <c r="I593" i="26"/>
  <c r="J593" i="26" s="1"/>
  <c r="I592" i="26"/>
  <c r="J592" i="26" s="1"/>
  <c r="I591" i="26"/>
  <c r="J591" i="26" s="1"/>
  <c r="I590" i="26"/>
  <c r="J590" i="26" s="1"/>
  <c r="I589" i="26"/>
  <c r="J589" i="26" s="1"/>
  <c r="I588" i="26"/>
  <c r="I587" i="26"/>
  <c r="J586" i="26"/>
  <c r="I586" i="26"/>
  <c r="I585" i="26"/>
  <c r="J585" i="26" s="1"/>
  <c r="I584" i="26"/>
  <c r="J584" i="26" s="1"/>
  <c r="I583" i="26"/>
  <c r="J583" i="26" s="1"/>
  <c r="I582" i="26"/>
  <c r="J582" i="26" s="1"/>
  <c r="I581" i="26"/>
  <c r="J581" i="26" s="1"/>
  <c r="J580" i="26"/>
  <c r="I580" i="26"/>
  <c r="I579" i="26"/>
  <c r="J578" i="26"/>
  <c r="I578" i="26"/>
  <c r="I577" i="26"/>
  <c r="J577" i="26" s="1"/>
  <c r="I576" i="26"/>
  <c r="J576" i="26" s="1"/>
  <c r="I575" i="26"/>
  <c r="J575" i="26" s="1"/>
  <c r="I574" i="26"/>
  <c r="J574" i="26" s="1"/>
  <c r="I573" i="26"/>
  <c r="J573" i="26" s="1"/>
  <c r="I572" i="26"/>
  <c r="I571" i="26"/>
  <c r="J570" i="26"/>
  <c r="I570" i="26"/>
  <c r="I569" i="26"/>
  <c r="J569" i="26" s="1"/>
  <c r="I568" i="26"/>
  <c r="I567" i="26"/>
  <c r="I566" i="26"/>
  <c r="J566" i="26" s="1"/>
  <c r="I565" i="26"/>
  <c r="J565" i="26" s="1"/>
  <c r="J564" i="26"/>
  <c r="I564" i="26"/>
  <c r="I563" i="26"/>
  <c r="J562" i="26"/>
  <c r="I562" i="26"/>
  <c r="I561" i="26"/>
  <c r="J561" i="26" s="1"/>
  <c r="I560" i="26"/>
  <c r="J560" i="26" s="1"/>
  <c r="I559" i="26"/>
  <c r="J558" i="26"/>
  <c r="I558" i="26"/>
  <c r="I557" i="26"/>
  <c r="J557" i="26" s="1"/>
  <c r="I556" i="26"/>
  <c r="I555" i="26"/>
  <c r="J554" i="26"/>
  <c r="I554" i="26"/>
  <c r="I553" i="26"/>
  <c r="J553" i="26" s="1"/>
  <c r="I552" i="26"/>
  <c r="J552" i="26" s="1"/>
  <c r="I551" i="26"/>
  <c r="J551" i="26" s="1"/>
  <c r="J550" i="26"/>
  <c r="I550" i="26"/>
  <c r="I549" i="26"/>
  <c r="J548" i="26"/>
  <c r="I548" i="26"/>
  <c r="I547" i="26"/>
  <c r="J546" i="26"/>
  <c r="I546" i="26"/>
  <c r="I545" i="26"/>
  <c r="J545" i="26" s="1"/>
  <c r="I544" i="26"/>
  <c r="J544" i="26" s="1"/>
  <c r="I543" i="26"/>
  <c r="J543" i="26" s="1"/>
  <c r="J542" i="26"/>
  <c r="I542" i="26"/>
  <c r="I541" i="26"/>
  <c r="J540" i="26"/>
  <c r="I540" i="26"/>
  <c r="I539" i="26"/>
  <c r="I538" i="26"/>
  <c r="I537" i="26"/>
  <c r="I536" i="26"/>
  <c r="J535" i="26"/>
  <c r="I535" i="26"/>
  <c r="I534" i="26"/>
  <c r="J534" i="26" s="1"/>
  <c r="I533" i="26"/>
  <c r="J533" i="26" s="1"/>
  <c r="I532" i="26"/>
  <c r="J532" i="26" s="1"/>
  <c r="I531" i="26"/>
  <c r="J531" i="26" s="1"/>
  <c r="I530" i="26"/>
  <c r="J530" i="26" s="1"/>
  <c r="J529" i="26"/>
  <c r="I529" i="26"/>
  <c r="I528" i="26"/>
  <c r="J527" i="26"/>
  <c r="I527" i="26"/>
  <c r="I526" i="26"/>
  <c r="J526" i="26" s="1"/>
  <c r="I525" i="26"/>
  <c r="I524" i="26"/>
  <c r="J524" i="26" s="1"/>
  <c r="J523" i="26"/>
  <c r="I523" i="26"/>
  <c r="I522" i="26"/>
  <c r="J522" i="26" s="1"/>
  <c r="I521" i="26"/>
  <c r="I520" i="26"/>
  <c r="J519" i="26"/>
  <c r="I519" i="26"/>
  <c r="I518" i="26"/>
  <c r="J518" i="26" s="1"/>
  <c r="I517" i="26"/>
  <c r="J517" i="26" s="1"/>
  <c r="I516" i="26"/>
  <c r="I515" i="26"/>
  <c r="I514" i="26"/>
  <c r="J514" i="26" s="1"/>
  <c r="J513" i="26"/>
  <c r="I513" i="26"/>
  <c r="I512" i="26"/>
  <c r="J511" i="26"/>
  <c r="I511" i="26"/>
  <c r="I510" i="26"/>
  <c r="J510" i="26" s="1"/>
  <c r="I509" i="26"/>
  <c r="J509" i="26" s="1"/>
  <c r="I508" i="26"/>
  <c r="J508" i="26" s="1"/>
  <c r="J507" i="26"/>
  <c r="I507" i="26"/>
  <c r="I506" i="26"/>
  <c r="I505" i="26"/>
  <c r="I504" i="26"/>
  <c r="J503" i="26"/>
  <c r="I503" i="26"/>
  <c r="I502" i="26"/>
  <c r="J502" i="26" s="1"/>
  <c r="I501" i="26"/>
  <c r="J501" i="26" s="1"/>
  <c r="I500" i="26"/>
  <c r="J500" i="26" s="1"/>
  <c r="I499" i="26"/>
  <c r="J499" i="26" s="1"/>
  <c r="I498" i="26"/>
  <c r="J498" i="26" s="1"/>
  <c r="J497" i="26"/>
  <c r="I497" i="26"/>
  <c r="I496" i="26"/>
  <c r="J495" i="26"/>
  <c r="I495" i="26"/>
  <c r="I494" i="26"/>
  <c r="J494" i="26" s="1"/>
  <c r="I493" i="26"/>
  <c r="I492" i="26"/>
  <c r="J492" i="26" s="1"/>
  <c r="J491" i="26"/>
  <c r="I491" i="26"/>
  <c r="I490" i="26"/>
  <c r="J490" i="26" s="1"/>
  <c r="I489" i="26"/>
  <c r="I488" i="26"/>
  <c r="J487" i="26"/>
  <c r="I487" i="26"/>
  <c r="I486" i="26"/>
  <c r="J486" i="26" s="1"/>
  <c r="I485" i="26"/>
  <c r="J485" i="26" s="1"/>
  <c r="I484" i="26"/>
  <c r="I483" i="26"/>
  <c r="I482" i="26"/>
  <c r="J482" i="26" s="1"/>
  <c r="J481" i="26"/>
  <c r="I481" i="26"/>
  <c r="I480" i="26"/>
  <c r="J479" i="26"/>
  <c r="I479" i="26"/>
  <c r="I478" i="26"/>
  <c r="J478" i="26" s="1"/>
  <c r="I477" i="26"/>
  <c r="J477" i="26" s="1"/>
  <c r="I476" i="26"/>
  <c r="J476" i="26" s="1"/>
  <c r="J475" i="26"/>
  <c r="I475" i="26"/>
  <c r="I474" i="26"/>
  <c r="I473" i="26"/>
  <c r="I472" i="26"/>
  <c r="J471" i="26"/>
  <c r="I471" i="26"/>
  <c r="I470" i="26"/>
  <c r="J470" i="26" s="1"/>
  <c r="I469" i="26"/>
  <c r="J469" i="26" s="1"/>
  <c r="I468" i="26"/>
  <c r="J468" i="26" s="1"/>
  <c r="I467" i="26"/>
  <c r="J467" i="26" s="1"/>
  <c r="I466" i="26"/>
  <c r="J466" i="26" s="1"/>
  <c r="J465" i="26"/>
  <c r="I465" i="26"/>
  <c r="I464" i="26"/>
  <c r="J463" i="26"/>
  <c r="I463" i="26"/>
  <c r="I462" i="26"/>
  <c r="J462" i="26" s="1"/>
  <c r="I461" i="26"/>
  <c r="I460" i="26"/>
  <c r="J460" i="26" s="1"/>
  <c r="J459" i="26"/>
  <c r="I459" i="26"/>
  <c r="I458" i="26"/>
  <c r="J458" i="26" s="1"/>
  <c r="I457" i="26"/>
  <c r="I456" i="26"/>
  <c r="J455" i="26"/>
  <c r="I455" i="26"/>
  <c r="I454" i="26"/>
  <c r="J454" i="26" s="1"/>
  <c r="I453" i="26"/>
  <c r="J453" i="26" s="1"/>
  <c r="I452" i="26"/>
  <c r="I451" i="26"/>
  <c r="I450" i="26"/>
  <c r="J450" i="26" s="1"/>
  <c r="J449" i="26"/>
  <c r="I449" i="26"/>
  <c r="I448" i="26"/>
  <c r="J447" i="26"/>
  <c r="I447" i="26"/>
  <c r="I446" i="26"/>
  <c r="J446" i="26" s="1"/>
  <c r="I445" i="26"/>
  <c r="J445" i="26" s="1"/>
  <c r="I444" i="26"/>
  <c r="J444" i="26" s="1"/>
  <c r="J443" i="26"/>
  <c r="I443" i="26"/>
  <c r="I442" i="26"/>
  <c r="I441" i="26"/>
  <c r="I440" i="26"/>
  <c r="J439" i="26"/>
  <c r="I439" i="26"/>
  <c r="I438" i="26"/>
  <c r="J438" i="26" s="1"/>
  <c r="I437" i="26"/>
  <c r="J437" i="26" s="1"/>
  <c r="J436" i="26"/>
  <c r="I436" i="26"/>
  <c r="J435" i="26"/>
  <c r="I435" i="26"/>
  <c r="J434" i="26"/>
  <c r="I434" i="26"/>
  <c r="J433" i="26"/>
  <c r="I433" i="26"/>
  <c r="J432" i="26"/>
  <c r="I432" i="26"/>
  <c r="J431" i="26"/>
  <c r="I431" i="26"/>
  <c r="J430" i="26"/>
  <c r="I430" i="26"/>
  <c r="J429" i="26"/>
  <c r="I429" i="26"/>
  <c r="J428" i="26"/>
  <c r="I428" i="26"/>
  <c r="J427" i="26"/>
  <c r="I427" i="26"/>
  <c r="J426" i="26"/>
  <c r="I426" i="26"/>
  <c r="J425" i="26"/>
  <c r="I425" i="26"/>
  <c r="J424" i="26"/>
  <c r="I424" i="26"/>
  <c r="J423" i="26"/>
  <c r="I423" i="26"/>
  <c r="J422" i="26"/>
  <c r="I422" i="26"/>
  <c r="J421" i="26"/>
  <c r="I421" i="26"/>
  <c r="J420" i="26"/>
  <c r="I420" i="26"/>
  <c r="J419" i="26"/>
  <c r="I419" i="26"/>
  <c r="J418" i="26"/>
  <c r="I418" i="26"/>
  <c r="J417" i="26"/>
  <c r="I417" i="26"/>
  <c r="J416" i="26"/>
  <c r="I416" i="26"/>
  <c r="J415" i="26"/>
  <c r="I415" i="26"/>
  <c r="J414" i="26"/>
  <c r="I414" i="26"/>
  <c r="J413" i="26"/>
  <c r="I413" i="26"/>
  <c r="J412" i="26"/>
  <c r="I412" i="26"/>
  <c r="J411" i="26"/>
  <c r="I411" i="26"/>
  <c r="J410" i="26"/>
  <c r="I410" i="26"/>
  <c r="J409" i="26"/>
  <c r="I409" i="26"/>
  <c r="J408" i="26"/>
  <c r="I408" i="26"/>
  <c r="J407" i="26"/>
  <c r="I407" i="26"/>
  <c r="J406" i="26"/>
  <c r="I406" i="26"/>
  <c r="J405" i="26"/>
  <c r="I405" i="26"/>
  <c r="J404" i="26"/>
  <c r="I404" i="26"/>
  <c r="J403" i="26"/>
  <c r="I403" i="26"/>
  <c r="J402" i="26"/>
  <c r="I402" i="26"/>
  <c r="J401" i="26"/>
  <c r="I401" i="26"/>
  <c r="J400" i="26"/>
  <c r="I400" i="26"/>
  <c r="J399" i="26"/>
  <c r="I399" i="26"/>
  <c r="J398" i="26"/>
  <c r="I398" i="26"/>
  <c r="J397" i="26"/>
  <c r="I397" i="26"/>
  <c r="J396" i="26"/>
  <c r="I396" i="26"/>
  <c r="J395" i="26"/>
  <c r="I395" i="26"/>
  <c r="J394" i="26"/>
  <c r="I394" i="26"/>
  <c r="J393" i="26"/>
  <c r="I393" i="26"/>
  <c r="J392" i="26"/>
  <c r="I392" i="26"/>
  <c r="J391" i="26"/>
  <c r="I391" i="26"/>
  <c r="J390" i="26"/>
  <c r="I390" i="26"/>
  <c r="J389" i="26"/>
  <c r="I389" i="26"/>
  <c r="J388" i="26"/>
  <c r="I388" i="26"/>
  <c r="J387" i="26"/>
  <c r="I387" i="26"/>
  <c r="J386" i="26"/>
  <c r="I386" i="26"/>
  <c r="J385" i="26"/>
  <c r="I385" i="26"/>
  <c r="J384" i="26"/>
  <c r="I384" i="26"/>
  <c r="J383" i="26"/>
  <c r="I383" i="26"/>
  <c r="J382" i="26"/>
  <c r="I382" i="26"/>
  <c r="J381" i="26"/>
  <c r="I381" i="26"/>
  <c r="J380" i="26"/>
  <c r="I380" i="26"/>
  <c r="J379" i="26"/>
  <c r="I379" i="26"/>
  <c r="J378" i="26"/>
  <c r="I378" i="26"/>
  <c r="J377" i="26"/>
  <c r="I377" i="26"/>
  <c r="J376" i="26"/>
  <c r="I376" i="26"/>
  <c r="J375" i="26"/>
  <c r="I375" i="26"/>
  <c r="J374" i="26"/>
  <c r="I374" i="26"/>
  <c r="J373" i="26"/>
  <c r="I373" i="26"/>
  <c r="J372" i="26"/>
  <c r="I372" i="26"/>
  <c r="J371" i="26"/>
  <c r="I371" i="26"/>
  <c r="J370" i="26"/>
  <c r="I370" i="26"/>
  <c r="J369" i="26"/>
  <c r="I369" i="26"/>
  <c r="J368" i="26"/>
  <c r="I368" i="26"/>
  <c r="J367" i="26"/>
  <c r="I367" i="26"/>
  <c r="J366" i="26"/>
  <c r="I366" i="26"/>
  <c r="J365" i="26"/>
  <c r="I365" i="26"/>
  <c r="J364" i="26"/>
  <c r="I364" i="26"/>
  <c r="I363" i="26"/>
  <c r="J362" i="26"/>
  <c r="I362" i="26"/>
  <c r="J361" i="26"/>
  <c r="I361" i="26"/>
  <c r="J360" i="26"/>
  <c r="I360" i="26"/>
  <c r="J359" i="26"/>
  <c r="I359" i="26"/>
  <c r="J358" i="26"/>
  <c r="I358" i="26"/>
  <c r="J357" i="26"/>
  <c r="I357" i="26"/>
  <c r="J356" i="26"/>
  <c r="I356" i="26"/>
  <c r="J355" i="26"/>
  <c r="I355" i="26"/>
  <c r="J354" i="26"/>
  <c r="I354" i="26"/>
  <c r="J353" i="26"/>
  <c r="I353" i="26"/>
  <c r="J352" i="26"/>
  <c r="I352" i="26"/>
  <c r="I351" i="26"/>
  <c r="J350" i="26"/>
  <c r="I350" i="26"/>
  <c r="J349" i="26"/>
  <c r="I349" i="26"/>
  <c r="J348" i="26"/>
  <c r="I348" i="26"/>
  <c r="I347" i="26"/>
  <c r="J346" i="26"/>
  <c r="I346" i="26"/>
  <c r="J345" i="26"/>
  <c r="I345" i="26"/>
  <c r="J344" i="26"/>
  <c r="I344" i="26"/>
  <c r="J343" i="26"/>
  <c r="I343" i="26"/>
  <c r="J342" i="26"/>
  <c r="I342" i="26"/>
  <c r="J341" i="26"/>
  <c r="I341" i="26"/>
  <c r="J340" i="26"/>
  <c r="I340" i="26"/>
  <c r="J339" i="26"/>
  <c r="I339" i="26"/>
  <c r="J338" i="26"/>
  <c r="I338" i="26"/>
  <c r="J337" i="26"/>
  <c r="I337" i="26"/>
  <c r="J336" i="26"/>
  <c r="I336" i="26"/>
  <c r="I335" i="26"/>
  <c r="J334" i="26"/>
  <c r="I334" i="26"/>
  <c r="J333" i="26"/>
  <c r="I333" i="26"/>
  <c r="J332" i="26"/>
  <c r="I332" i="26"/>
  <c r="I331" i="26"/>
  <c r="J330" i="26"/>
  <c r="I330" i="26"/>
  <c r="J329" i="26"/>
  <c r="I329" i="26"/>
  <c r="J328" i="26"/>
  <c r="I328" i="26"/>
  <c r="J327" i="26"/>
  <c r="I327" i="26"/>
  <c r="J326" i="26"/>
  <c r="I326" i="26"/>
  <c r="J325" i="26"/>
  <c r="I325" i="26"/>
  <c r="J324" i="26"/>
  <c r="I324" i="26"/>
  <c r="J323" i="26"/>
  <c r="I323" i="26"/>
  <c r="J322" i="26"/>
  <c r="I322" i="26"/>
  <c r="I321" i="26"/>
  <c r="J321" i="26" s="1"/>
  <c r="I320" i="26"/>
  <c r="J320" i="26" s="1"/>
  <c r="I319" i="26"/>
  <c r="J319" i="26" s="1"/>
  <c r="I318" i="26"/>
  <c r="I317" i="26"/>
  <c r="J316" i="26"/>
  <c r="I316" i="26"/>
  <c r="I315" i="26"/>
  <c r="J315" i="26" s="1"/>
  <c r="J314" i="26"/>
  <c r="I314" i="26"/>
  <c r="I313" i="26"/>
  <c r="J313" i="26" s="1"/>
  <c r="I312" i="26"/>
  <c r="J312" i="26" s="1"/>
  <c r="I311" i="26"/>
  <c r="J311" i="26" s="1"/>
  <c r="I310" i="26"/>
  <c r="I309" i="26"/>
  <c r="J308" i="26"/>
  <c r="I308" i="26"/>
  <c r="I307" i="26"/>
  <c r="J307" i="26" s="1"/>
  <c r="J306" i="26"/>
  <c r="I306" i="26"/>
  <c r="I305" i="26"/>
  <c r="J305" i="26" s="1"/>
  <c r="I304" i="26"/>
  <c r="J304" i="26" s="1"/>
  <c r="I303" i="26"/>
  <c r="J303" i="26" s="1"/>
  <c r="I302" i="26"/>
  <c r="I301" i="26"/>
  <c r="J300" i="26"/>
  <c r="I300" i="26"/>
  <c r="I299" i="26"/>
  <c r="J299" i="26" s="1"/>
  <c r="J298" i="26"/>
  <c r="I298" i="26"/>
  <c r="I297" i="26"/>
  <c r="J297" i="26" s="1"/>
  <c r="I296" i="26"/>
  <c r="J296" i="26" s="1"/>
  <c r="I295" i="26"/>
  <c r="J295" i="26" s="1"/>
  <c r="I294" i="26"/>
  <c r="I293" i="26"/>
  <c r="J292" i="26"/>
  <c r="I292" i="26"/>
  <c r="I291" i="26"/>
  <c r="J291" i="26" s="1"/>
  <c r="J290" i="26"/>
  <c r="I290" i="26"/>
  <c r="I289" i="26"/>
  <c r="J289" i="26" s="1"/>
  <c r="I288" i="26"/>
  <c r="J288" i="26" s="1"/>
  <c r="I287" i="26"/>
  <c r="J287" i="26" s="1"/>
  <c r="I286" i="26"/>
  <c r="I285" i="26"/>
  <c r="J284" i="26"/>
  <c r="I284" i="26"/>
  <c r="I283" i="26"/>
  <c r="J283" i="26" s="1"/>
  <c r="J282" i="26"/>
  <c r="I282" i="26"/>
  <c r="I281" i="26"/>
  <c r="J281" i="26" s="1"/>
  <c r="I280" i="26"/>
  <c r="J280" i="26" s="1"/>
  <c r="I279" i="26"/>
  <c r="J279" i="26" s="1"/>
  <c r="I278" i="26"/>
  <c r="I277" i="26"/>
  <c r="J276" i="26"/>
  <c r="I276" i="26"/>
  <c r="I275" i="26"/>
  <c r="J275" i="26" s="1"/>
  <c r="J274" i="26"/>
  <c r="I274" i="26"/>
  <c r="I273" i="26"/>
  <c r="J273" i="26" s="1"/>
  <c r="I272" i="26"/>
  <c r="J272" i="26" s="1"/>
  <c r="I271" i="26"/>
  <c r="J271" i="26" s="1"/>
  <c r="I270" i="26"/>
  <c r="I269" i="26"/>
  <c r="J268" i="26"/>
  <c r="I268" i="26"/>
  <c r="I267" i="26"/>
  <c r="J267" i="26" s="1"/>
  <c r="J266" i="26"/>
  <c r="I266" i="26"/>
  <c r="I265" i="26"/>
  <c r="J265" i="26" s="1"/>
  <c r="I264" i="26"/>
  <c r="J264" i="26" s="1"/>
  <c r="I263" i="26"/>
  <c r="J263" i="26" s="1"/>
  <c r="I262" i="26"/>
  <c r="I261" i="26"/>
  <c r="J260" i="26"/>
  <c r="I260" i="26"/>
  <c r="I259" i="26"/>
  <c r="J259" i="26" s="1"/>
  <c r="J258" i="26"/>
  <c r="I258" i="26"/>
  <c r="I257" i="26"/>
  <c r="J257" i="26" s="1"/>
  <c r="I256" i="26"/>
  <c r="J256" i="26" s="1"/>
  <c r="I255" i="26"/>
  <c r="J255" i="26" s="1"/>
  <c r="J254" i="26"/>
  <c r="I254" i="26"/>
  <c r="I253" i="26"/>
  <c r="J252" i="26"/>
  <c r="I252" i="26"/>
  <c r="I251" i="26"/>
  <c r="J251" i="26" s="1"/>
  <c r="J250" i="26"/>
  <c r="I250" i="26"/>
  <c r="I249" i="26"/>
  <c r="J249" i="26" s="1"/>
  <c r="I248" i="26"/>
  <c r="J248" i="26" s="1"/>
  <c r="I247" i="26"/>
  <c r="J247" i="26" s="1"/>
  <c r="I246" i="26"/>
  <c r="I245" i="26"/>
  <c r="J244" i="26"/>
  <c r="I244" i="26"/>
  <c r="I243" i="26"/>
  <c r="J243" i="26" s="1"/>
  <c r="J242" i="26"/>
  <c r="I242" i="26"/>
  <c r="I241" i="26"/>
  <c r="J241" i="26" s="1"/>
  <c r="I240" i="26"/>
  <c r="J240" i="26" s="1"/>
  <c r="I239" i="26"/>
  <c r="J239" i="26" s="1"/>
  <c r="J238" i="26"/>
  <c r="I238" i="26"/>
  <c r="I237" i="26"/>
  <c r="J236" i="26"/>
  <c r="I236" i="26"/>
  <c r="I235" i="26"/>
  <c r="J235" i="26" s="1"/>
  <c r="J234" i="26"/>
  <c r="I234" i="26"/>
  <c r="I233" i="26"/>
  <c r="J233" i="26" s="1"/>
  <c r="I232" i="26"/>
  <c r="J232" i="26" s="1"/>
  <c r="I231" i="26"/>
  <c r="J231" i="26" s="1"/>
  <c r="I230" i="26"/>
  <c r="I229" i="26"/>
  <c r="J228" i="26"/>
  <c r="I228" i="26"/>
  <c r="I227" i="26"/>
  <c r="J227" i="26" s="1"/>
  <c r="J226" i="26"/>
  <c r="I226" i="26"/>
  <c r="I225" i="26"/>
  <c r="J225" i="26" s="1"/>
  <c r="I224" i="26"/>
  <c r="J224" i="26" s="1"/>
  <c r="I223" i="26"/>
  <c r="J223" i="26" s="1"/>
  <c r="J222" i="26"/>
  <c r="I222" i="26"/>
  <c r="I221" i="26"/>
  <c r="J220" i="26"/>
  <c r="I220" i="26"/>
  <c r="I219" i="26"/>
  <c r="J219" i="26" s="1"/>
  <c r="J218" i="26"/>
  <c r="I218" i="26"/>
  <c r="I217" i="26"/>
  <c r="J217" i="26" s="1"/>
  <c r="I216" i="26"/>
  <c r="J216" i="26" s="1"/>
  <c r="I215" i="26"/>
  <c r="J215" i="26" s="1"/>
  <c r="I214" i="26"/>
  <c r="I213" i="26"/>
  <c r="J212" i="26"/>
  <c r="I212" i="26"/>
  <c r="I211" i="26"/>
  <c r="J211" i="26" s="1"/>
  <c r="J210" i="26"/>
  <c r="I210" i="26"/>
  <c r="I209" i="26"/>
  <c r="J209" i="26" s="1"/>
  <c r="I208" i="26"/>
  <c r="J208" i="26" s="1"/>
  <c r="I207" i="26"/>
  <c r="J207" i="26" s="1"/>
  <c r="J206" i="26"/>
  <c r="I206" i="26"/>
  <c r="I205" i="26"/>
  <c r="J204" i="26"/>
  <c r="I204" i="26"/>
  <c r="I203" i="26"/>
  <c r="J203" i="26" s="1"/>
  <c r="J202" i="26"/>
  <c r="I202" i="26"/>
  <c r="I201" i="26"/>
  <c r="J201" i="26" s="1"/>
  <c r="I200" i="26"/>
  <c r="J200" i="26" s="1"/>
  <c r="I199" i="26"/>
  <c r="J199" i="26" s="1"/>
  <c r="I198" i="26"/>
  <c r="I197" i="26"/>
  <c r="J197" i="26" s="1"/>
  <c r="J196" i="26"/>
  <c r="I196" i="26"/>
  <c r="I195" i="26"/>
  <c r="J194" i="26"/>
  <c r="I194" i="26"/>
  <c r="I193" i="26"/>
  <c r="J193" i="26" s="1"/>
  <c r="I192" i="26"/>
  <c r="J192" i="26" s="1"/>
  <c r="I191" i="26"/>
  <c r="J191" i="26" s="1"/>
  <c r="J190" i="26"/>
  <c r="I190" i="26"/>
  <c r="I189" i="26"/>
  <c r="J189" i="26" s="1"/>
  <c r="I188" i="26"/>
  <c r="I187" i="26"/>
  <c r="J186" i="26"/>
  <c r="I186" i="26"/>
  <c r="I185" i="26"/>
  <c r="J185" i="26" s="1"/>
  <c r="I184" i="26"/>
  <c r="J184" i="26" s="1"/>
  <c r="I183" i="26"/>
  <c r="J183" i="26" s="1"/>
  <c r="I182" i="26"/>
  <c r="J182" i="26" s="1"/>
  <c r="I181" i="26"/>
  <c r="J181" i="26" s="1"/>
  <c r="J180" i="26"/>
  <c r="I180" i="26"/>
  <c r="I179" i="26"/>
  <c r="J178" i="26"/>
  <c r="I178" i="26"/>
  <c r="I177" i="26"/>
  <c r="J177" i="26" s="1"/>
  <c r="I176" i="26"/>
  <c r="J176" i="26" s="1"/>
  <c r="I175" i="26"/>
  <c r="J175" i="26" s="1"/>
  <c r="J174" i="26"/>
  <c r="I174" i="26"/>
  <c r="I173" i="26"/>
  <c r="J173" i="26" s="1"/>
  <c r="I172" i="26"/>
  <c r="I171" i="26"/>
  <c r="J170" i="26"/>
  <c r="I170" i="26"/>
  <c r="I169" i="26"/>
  <c r="J169" i="26" s="1"/>
  <c r="I168" i="26"/>
  <c r="J168" i="26" s="1"/>
  <c r="I167" i="26"/>
  <c r="J167" i="26" s="1"/>
  <c r="J166" i="26"/>
  <c r="I166" i="26"/>
  <c r="I165" i="26"/>
  <c r="J165" i="26" s="1"/>
  <c r="I164" i="26"/>
  <c r="J164" i="26" s="1"/>
  <c r="I163" i="26"/>
  <c r="J163" i="26" s="1"/>
  <c r="J162" i="26"/>
  <c r="I162" i="26"/>
  <c r="I161" i="26"/>
  <c r="J161" i="26" s="1"/>
  <c r="I160" i="26"/>
  <c r="I159" i="26"/>
  <c r="J159" i="26" s="1"/>
  <c r="J158" i="26"/>
  <c r="I158" i="26"/>
  <c r="I157" i="26"/>
  <c r="J157" i="26" s="1"/>
  <c r="I156" i="26"/>
  <c r="J156" i="26" s="1"/>
  <c r="I155" i="26"/>
  <c r="J155" i="26" s="1"/>
  <c r="J154" i="26"/>
  <c r="I154" i="26"/>
  <c r="I153" i="26"/>
  <c r="J153" i="26" s="1"/>
  <c r="I152" i="26"/>
  <c r="I151" i="26"/>
  <c r="J151" i="26" s="1"/>
  <c r="J150" i="26"/>
  <c r="I150" i="26"/>
  <c r="I149" i="26"/>
  <c r="J149" i="26" s="1"/>
  <c r="I148" i="26"/>
  <c r="J148" i="26" s="1"/>
  <c r="I147" i="26"/>
  <c r="J147" i="26" s="1"/>
  <c r="J146" i="26"/>
  <c r="I146" i="26"/>
  <c r="I145" i="26"/>
  <c r="J145" i="26" s="1"/>
  <c r="I144" i="26"/>
  <c r="I143" i="26"/>
  <c r="J143" i="26" s="1"/>
  <c r="J142" i="26"/>
  <c r="I142" i="26"/>
  <c r="I141" i="26"/>
  <c r="J141" i="26" s="1"/>
  <c r="I140" i="26"/>
  <c r="J140" i="26" s="1"/>
  <c r="I139" i="26"/>
  <c r="J139" i="26" s="1"/>
  <c r="J138" i="26"/>
  <c r="I138" i="26"/>
  <c r="I137" i="26"/>
  <c r="J137" i="26" s="1"/>
  <c r="I136" i="26"/>
  <c r="I135" i="26"/>
  <c r="J135" i="26" s="1"/>
  <c r="J134" i="26"/>
  <c r="I134" i="26"/>
  <c r="I133" i="26"/>
  <c r="J133" i="26" s="1"/>
  <c r="I132" i="26"/>
  <c r="J132" i="26" s="1"/>
  <c r="I131" i="26"/>
  <c r="J131" i="26" s="1"/>
  <c r="J130" i="26"/>
  <c r="I130" i="26"/>
  <c r="I129" i="26"/>
  <c r="J129" i="26" s="1"/>
  <c r="I128" i="26"/>
  <c r="I127" i="26"/>
  <c r="J127" i="26" s="1"/>
  <c r="J126" i="26"/>
  <c r="I126" i="26"/>
  <c r="I125" i="26"/>
  <c r="J125" i="26" s="1"/>
  <c r="I124" i="26"/>
  <c r="J124" i="26" s="1"/>
  <c r="I123" i="26"/>
  <c r="J123" i="26" s="1"/>
  <c r="J122" i="26"/>
  <c r="I122" i="26"/>
  <c r="I121" i="26"/>
  <c r="J121" i="26" s="1"/>
  <c r="I120" i="26"/>
  <c r="I119" i="26"/>
  <c r="J119" i="26" s="1"/>
  <c r="J118" i="26"/>
  <c r="I118" i="26"/>
  <c r="I117" i="26"/>
  <c r="J117" i="26" s="1"/>
  <c r="I116" i="26"/>
  <c r="J116" i="26" s="1"/>
  <c r="I115" i="26"/>
  <c r="J115" i="26" s="1"/>
  <c r="J114" i="26"/>
  <c r="I114" i="26"/>
  <c r="I113" i="26"/>
  <c r="J113" i="26" s="1"/>
  <c r="I112" i="26"/>
  <c r="I111" i="26"/>
  <c r="J111" i="26" s="1"/>
  <c r="J110" i="26"/>
  <c r="I110" i="26"/>
  <c r="I109" i="26"/>
  <c r="J109" i="26" s="1"/>
  <c r="I108" i="26"/>
  <c r="J108" i="26" s="1"/>
  <c r="I107" i="26"/>
  <c r="J107" i="26" s="1"/>
  <c r="J106" i="26"/>
  <c r="I106" i="26"/>
  <c r="I105" i="26"/>
  <c r="J105" i="26" s="1"/>
  <c r="I104" i="26"/>
  <c r="I103" i="26"/>
  <c r="J103" i="26" s="1"/>
  <c r="J102" i="26"/>
  <c r="I102" i="26"/>
  <c r="I101" i="26"/>
  <c r="J101" i="26" s="1"/>
  <c r="I100" i="26"/>
  <c r="J100" i="26" s="1"/>
  <c r="I99" i="26"/>
  <c r="J99" i="26" s="1"/>
  <c r="J98" i="26"/>
  <c r="I98" i="26"/>
  <c r="I97" i="26"/>
  <c r="J97" i="26" s="1"/>
  <c r="I96" i="26"/>
  <c r="I95" i="26"/>
  <c r="J95" i="26" s="1"/>
  <c r="J94" i="26"/>
  <c r="I94" i="26"/>
  <c r="I93" i="26"/>
  <c r="J93" i="26" s="1"/>
  <c r="I92" i="26"/>
  <c r="J92" i="26" s="1"/>
  <c r="I91" i="26"/>
  <c r="J91" i="26" s="1"/>
  <c r="J90" i="26"/>
  <c r="I90" i="26"/>
  <c r="I89" i="26"/>
  <c r="J89" i="26" s="1"/>
  <c r="I88" i="26"/>
  <c r="I87" i="26"/>
  <c r="J87" i="26" s="1"/>
  <c r="J86" i="26"/>
  <c r="I86" i="26"/>
  <c r="I85" i="26"/>
  <c r="J85" i="26" s="1"/>
  <c r="I84" i="26"/>
  <c r="J84" i="26" s="1"/>
  <c r="I83" i="26"/>
  <c r="J83" i="26" s="1"/>
  <c r="J82" i="26"/>
  <c r="I82" i="26"/>
  <c r="I81" i="26"/>
  <c r="J81" i="26" s="1"/>
  <c r="I80" i="26"/>
  <c r="I79" i="26"/>
  <c r="J79" i="26" s="1"/>
  <c r="J78" i="26"/>
  <c r="I78" i="26"/>
  <c r="I77" i="26"/>
  <c r="J77" i="26" s="1"/>
  <c r="I76" i="26"/>
  <c r="J76" i="26" s="1"/>
  <c r="I75" i="26"/>
  <c r="J75" i="26" s="1"/>
  <c r="J74" i="26"/>
  <c r="I74" i="26"/>
  <c r="I73" i="26"/>
  <c r="J73" i="26" s="1"/>
  <c r="I72" i="26"/>
  <c r="I71" i="26"/>
  <c r="J71" i="26" s="1"/>
  <c r="J70" i="26"/>
  <c r="I70" i="26"/>
  <c r="I69" i="26"/>
  <c r="J69" i="26" s="1"/>
  <c r="I68" i="26"/>
  <c r="J68" i="26" s="1"/>
  <c r="I67" i="26"/>
  <c r="J67" i="26" s="1"/>
  <c r="I66" i="26"/>
  <c r="J66" i="26" s="1"/>
  <c r="I65" i="26"/>
  <c r="J65" i="26" s="1"/>
  <c r="I64" i="26"/>
  <c r="J64" i="26" s="1"/>
  <c r="I63" i="26"/>
  <c r="J63" i="26" s="1"/>
  <c r="I62" i="26"/>
  <c r="J62" i="26" s="1"/>
  <c r="I61" i="26"/>
  <c r="J61" i="26" s="1"/>
  <c r="I60" i="26"/>
  <c r="I59" i="26"/>
  <c r="J59" i="26" s="1"/>
  <c r="I58" i="26"/>
  <c r="J58" i="26" s="1"/>
  <c r="I57" i="26"/>
  <c r="J57" i="26" s="1"/>
  <c r="I56" i="26"/>
  <c r="J56" i="26" s="1"/>
  <c r="I55" i="26"/>
  <c r="J55" i="26" s="1"/>
  <c r="I54" i="26"/>
  <c r="J54" i="26" s="1"/>
  <c r="I53" i="26"/>
  <c r="J53" i="26" s="1"/>
  <c r="I52" i="26"/>
  <c r="J52" i="26" s="1"/>
  <c r="I51" i="26"/>
  <c r="J51" i="26" s="1"/>
  <c r="I50" i="26"/>
  <c r="I49" i="26"/>
  <c r="J49" i="26" s="1"/>
  <c r="I48" i="26"/>
  <c r="I47" i="26"/>
  <c r="J47" i="26" s="1"/>
  <c r="I46" i="26"/>
  <c r="I45" i="26"/>
  <c r="J45" i="26" s="1"/>
  <c r="I44" i="26"/>
  <c r="J44" i="26" s="1"/>
  <c r="I43" i="26"/>
  <c r="J43" i="26" s="1"/>
  <c r="I42" i="26"/>
  <c r="I41" i="26"/>
  <c r="J41" i="26" s="1"/>
  <c r="I40" i="26"/>
  <c r="I39" i="26"/>
  <c r="J39" i="26" s="1"/>
  <c r="I38" i="26"/>
  <c r="J38" i="26" s="1"/>
  <c r="I37" i="26"/>
  <c r="J37" i="26" s="1"/>
  <c r="I36" i="26"/>
  <c r="I35" i="26"/>
  <c r="J35" i="26" s="1"/>
  <c r="I34" i="26"/>
  <c r="J34" i="26" s="1"/>
  <c r="I33" i="26"/>
  <c r="J33" i="26" s="1"/>
  <c r="I32" i="26"/>
  <c r="J32" i="26" s="1"/>
  <c r="I31" i="26"/>
  <c r="J31" i="26" s="1"/>
  <c r="I30" i="26"/>
  <c r="I29" i="26"/>
  <c r="J29" i="26" s="1"/>
  <c r="I28" i="26"/>
  <c r="J28" i="26" s="1"/>
  <c r="I27" i="26"/>
  <c r="J27" i="26" s="1"/>
  <c r="I26" i="26"/>
  <c r="I25" i="26"/>
  <c r="J25" i="26" s="1"/>
  <c r="I24" i="26"/>
  <c r="I23" i="26"/>
  <c r="J23" i="26" s="1"/>
  <c r="I22" i="26"/>
  <c r="J22" i="26" s="1"/>
  <c r="I21" i="26"/>
  <c r="J21" i="26" s="1"/>
  <c r="I20" i="26"/>
  <c r="J20" i="26" s="1"/>
  <c r="I19" i="26"/>
  <c r="J19" i="26" s="1"/>
  <c r="I18" i="26"/>
  <c r="I17" i="26"/>
  <c r="J17" i="26" s="1"/>
  <c r="I16" i="26"/>
  <c r="I15" i="26"/>
  <c r="J15" i="26" s="1"/>
  <c r="I14" i="26"/>
  <c r="J14" i="26" s="1"/>
  <c r="I13" i="26"/>
  <c r="J13" i="26" s="1"/>
  <c r="I12" i="26"/>
  <c r="I11" i="26"/>
  <c r="J11" i="26" s="1"/>
  <c r="I10" i="26"/>
  <c r="J10" i="26" s="1"/>
  <c r="I9" i="26"/>
  <c r="J9" i="26" s="1"/>
  <c r="I8" i="26"/>
  <c r="I7" i="26"/>
  <c r="J7" i="26" s="1"/>
  <c r="I6" i="26"/>
  <c r="J6" i="26" s="1"/>
  <c r="I5" i="26"/>
  <c r="J5" i="26" s="1"/>
  <c r="I4" i="26"/>
  <c r="I3" i="26"/>
  <c r="J3" i="26" s="1"/>
  <c r="I742" i="27"/>
  <c r="I741" i="27"/>
  <c r="J741" i="27" s="1"/>
  <c r="I740" i="27"/>
  <c r="J740" i="27" s="1"/>
  <c r="I739" i="27"/>
  <c r="I738" i="27"/>
  <c r="I737" i="27"/>
  <c r="J737" i="27" s="1"/>
  <c r="I736" i="27"/>
  <c r="J736" i="27" s="1"/>
  <c r="I735" i="27"/>
  <c r="I734" i="27"/>
  <c r="I733" i="27"/>
  <c r="J733" i="27" s="1"/>
  <c r="I732" i="27"/>
  <c r="J732" i="27" s="1"/>
  <c r="I731" i="27"/>
  <c r="I730" i="27"/>
  <c r="I729" i="27"/>
  <c r="J729" i="27" s="1"/>
  <c r="I728" i="27"/>
  <c r="J728" i="27" s="1"/>
  <c r="I727" i="27"/>
  <c r="I726" i="27"/>
  <c r="I725" i="27"/>
  <c r="J725" i="27" s="1"/>
  <c r="I724" i="27"/>
  <c r="J724" i="27" s="1"/>
  <c r="I723" i="27"/>
  <c r="I722" i="27"/>
  <c r="I721" i="27"/>
  <c r="J721" i="27" s="1"/>
  <c r="I720" i="27"/>
  <c r="J720" i="27" s="1"/>
  <c r="I719" i="27"/>
  <c r="I718" i="27"/>
  <c r="I717" i="27"/>
  <c r="J717" i="27" s="1"/>
  <c r="I716" i="27"/>
  <c r="J716" i="27" s="1"/>
  <c r="I715" i="27"/>
  <c r="I714" i="27"/>
  <c r="I713" i="27"/>
  <c r="J713" i="27" s="1"/>
  <c r="I712" i="27"/>
  <c r="J712" i="27" s="1"/>
  <c r="I711" i="27"/>
  <c r="I710" i="27"/>
  <c r="I709" i="27"/>
  <c r="J709" i="27" s="1"/>
  <c r="I708" i="27"/>
  <c r="J708" i="27" s="1"/>
  <c r="I707" i="27"/>
  <c r="I706" i="27"/>
  <c r="I705" i="27"/>
  <c r="J705" i="27" s="1"/>
  <c r="I704" i="27"/>
  <c r="J704" i="27" s="1"/>
  <c r="I703" i="27"/>
  <c r="J703" i="27" s="1"/>
  <c r="J702" i="27"/>
  <c r="I702" i="27"/>
  <c r="I701" i="27"/>
  <c r="J701" i="27" s="1"/>
  <c r="I700" i="27"/>
  <c r="J700" i="27" s="1"/>
  <c r="I699" i="27"/>
  <c r="J699" i="27" s="1"/>
  <c r="I698" i="27"/>
  <c r="I697" i="27"/>
  <c r="J696" i="27"/>
  <c r="I696" i="27"/>
  <c r="I695" i="27"/>
  <c r="J695" i="27" s="1"/>
  <c r="J694" i="27"/>
  <c r="I694" i="27"/>
  <c r="I693" i="27"/>
  <c r="J693" i="27" s="1"/>
  <c r="I692" i="27"/>
  <c r="J692" i="27" s="1"/>
  <c r="I691" i="27"/>
  <c r="J690" i="27"/>
  <c r="I690" i="27"/>
  <c r="I689" i="27"/>
  <c r="J688" i="27"/>
  <c r="I688" i="27"/>
  <c r="I687" i="27"/>
  <c r="J687" i="27" s="1"/>
  <c r="J686" i="27"/>
  <c r="I686" i="27"/>
  <c r="J685" i="27"/>
  <c r="I685" i="27"/>
  <c r="J684" i="27"/>
  <c r="I684" i="27"/>
  <c r="J683" i="27"/>
  <c r="I683" i="27"/>
  <c r="I682" i="27"/>
  <c r="J682" i="27" s="1"/>
  <c r="J681" i="27"/>
  <c r="I681" i="27"/>
  <c r="I680" i="27"/>
  <c r="J680" i="27" s="1"/>
  <c r="I679" i="27"/>
  <c r="I678" i="27"/>
  <c r="J677" i="27"/>
  <c r="I677" i="27"/>
  <c r="I676" i="27"/>
  <c r="J676" i="27" s="1"/>
  <c r="I675" i="27"/>
  <c r="J675" i="27" s="1"/>
  <c r="I674" i="27"/>
  <c r="J674" i="27" s="1"/>
  <c r="J673" i="27"/>
  <c r="I673" i="27"/>
  <c r="I672" i="27"/>
  <c r="J672" i="27" s="1"/>
  <c r="I671" i="27"/>
  <c r="I670" i="27"/>
  <c r="J669" i="27"/>
  <c r="I669" i="27"/>
  <c r="I668" i="27"/>
  <c r="J668" i="27" s="1"/>
  <c r="I667" i="27"/>
  <c r="J667" i="27" s="1"/>
  <c r="I666" i="27"/>
  <c r="J666" i="27" s="1"/>
  <c r="J665" i="27"/>
  <c r="I665" i="27"/>
  <c r="I664" i="27"/>
  <c r="J664" i="27" s="1"/>
  <c r="I663" i="27"/>
  <c r="I662" i="27"/>
  <c r="J661" i="27"/>
  <c r="I661" i="27"/>
  <c r="I660" i="27"/>
  <c r="J660" i="27" s="1"/>
  <c r="I659" i="27"/>
  <c r="J659" i="27" s="1"/>
  <c r="I658" i="27"/>
  <c r="J658" i="27" s="1"/>
  <c r="J657" i="27"/>
  <c r="I657" i="27"/>
  <c r="I656" i="27"/>
  <c r="J656" i="27" s="1"/>
  <c r="I655" i="27"/>
  <c r="I654" i="27"/>
  <c r="J653" i="27"/>
  <c r="I653" i="27"/>
  <c r="I652" i="27"/>
  <c r="J652" i="27" s="1"/>
  <c r="I651" i="27"/>
  <c r="J651" i="27" s="1"/>
  <c r="I650" i="27"/>
  <c r="J650" i="27" s="1"/>
  <c r="I649" i="27"/>
  <c r="J649" i="27" s="1"/>
  <c r="I648" i="27"/>
  <c r="J648" i="27" s="1"/>
  <c r="I647" i="27"/>
  <c r="J647" i="27" s="1"/>
  <c r="I646" i="27"/>
  <c r="J646" i="27" s="1"/>
  <c r="I645" i="27"/>
  <c r="J645" i="27" s="1"/>
  <c r="I644" i="27"/>
  <c r="J644" i="27" s="1"/>
  <c r="I643" i="27"/>
  <c r="J643" i="27" s="1"/>
  <c r="I642" i="27"/>
  <c r="J642" i="27" s="1"/>
  <c r="I641" i="27"/>
  <c r="J641" i="27" s="1"/>
  <c r="I640" i="27"/>
  <c r="J640" i="27" s="1"/>
  <c r="I639" i="27"/>
  <c r="J639" i="27" s="1"/>
  <c r="I638" i="27"/>
  <c r="J638" i="27" s="1"/>
  <c r="I637" i="27"/>
  <c r="J637" i="27" s="1"/>
  <c r="I636" i="27"/>
  <c r="J636" i="27" s="1"/>
  <c r="I635" i="27"/>
  <c r="J635" i="27" s="1"/>
  <c r="I634" i="27"/>
  <c r="J634" i="27" s="1"/>
  <c r="I633" i="27"/>
  <c r="J633" i="27" s="1"/>
  <c r="I632" i="27"/>
  <c r="J632" i="27" s="1"/>
  <c r="I631" i="27"/>
  <c r="J631" i="27" s="1"/>
  <c r="I630" i="27"/>
  <c r="J630" i="27" s="1"/>
  <c r="I629" i="27"/>
  <c r="J629" i="27" s="1"/>
  <c r="I628" i="27"/>
  <c r="J628" i="27" s="1"/>
  <c r="I627" i="27"/>
  <c r="J627" i="27" s="1"/>
  <c r="I626" i="27"/>
  <c r="J626" i="27" s="1"/>
  <c r="I625" i="27"/>
  <c r="J625" i="27" s="1"/>
  <c r="I624" i="27"/>
  <c r="J624" i="27" s="1"/>
  <c r="I623" i="27"/>
  <c r="J623" i="27" s="1"/>
  <c r="I622" i="27"/>
  <c r="J622" i="27" s="1"/>
  <c r="I621" i="27"/>
  <c r="J621" i="27" s="1"/>
  <c r="I620" i="27"/>
  <c r="J620" i="27" s="1"/>
  <c r="I619" i="27"/>
  <c r="J619" i="27" s="1"/>
  <c r="I618" i="27"/>
  <c r="J618" i="27" s="1"/>
  <c r="I617" i="27"/>
  <c r="I616" i="27"/>
  <c r="J616" i="27" s="1"/>
  <c r="I615" i="27"/>
  <c r="J615" i="27" s="1"/>
  <c r="I614" i="27"/>
  <c r="J614" i="27" s="1"/>
  <c r="I613" i="27"/>
  <c r="I612" i="27"/>
  <c r="J612" i="27" s="1"/>
  <c r="I611" i="27"/>
  <c r="J611" i="27" s="1"/>
  <c r="I610" i="27"/>
  <c r="J610" i="27" s="1"/>
  <c r="I609" i="27"/>
  <c r="I608" i="27"/>
  <c r="J608" i="27" s="1"/>
  <c r="I607" i="27"/>
  <c r="J607" i="27" s="1"/>
  <c r="I606" i="27"/>
  <c r="J606" i="27" s="1"/>
  <c r="I605" i="27"/>
  <c r="I604" i="27"/>
  <c r="J604" i="27" s="1"/>
  <c r="I603" i="27"/>
  <c r="I602" i="27"/>
  <c r="J602" i="27" s="1"/>
  <c r="I601" i="27"/>
  <c r="I600" i="27"/>
  <c r="J600" i="27" s="1"/>
  <c r="I599" i="27"/>
  <c r="I598" i="27"/>
  <c r="J598" i="27" s="1"/>
  <c r="I597" i="27"/>
  <c r="I596" i="27"/>
  <c r="J596" i="27" s="1"/>
  <c r="I595" i="27"/>
  <c r="I594" i="27"/>
  <c r="J594" i="27" s="1"/>
  <c r="I593" i="27"/>
  <c r="I592" i="27"/>
  <c r="J592" i="27" s="1"/>
  <c r="I591" i="27"/>
  <c r="I590" i="27"/>
  <c r="J590" i="27" s="1"/>
  <c r="I589" i="27"/>
  <c r="I588" i="27"/>
  <c r="J588" i="27" s="1"/>
  <c r="I587" i="27"/>
  <c r="I586" i="27"/>
  <c r="J586" i="27" s="1"/>
  <c r="I585" i="27"/>
  <c r="I584" i="27"/>
  <c r="J584" i="27" s="1"/>
  <c r="I583" i="27"/>
  <c r="I582" i="27"/>
  <c r="J582" i="27" s="1"/>
  <c r="I581" i="27"/>
  <c r="I580" i="27"/>
  <c r="J580" i="27" s="1"/>
  <c r="I579" i="27"/>
  <c r="I578" i="27"/>
  <c r="J578" i="27" s="1"/>
  <c r="I577" i="27"/>
  <c r="I576" i="27"/>
  <c r="J576" i="27" s="1"/>
  <c r="I575" i="27"/>
  <c r="I574" i="27"/>
  <c r="J574" i="27" s="1"/>
  <c r="I573" i="27"/>
  <c r="I572" i="27"/>
  <c r="I571" i="27"/>
  <c r="J571" i="27" s="1"/>
  <c r="I570" i="27"/>
  <c r="I569" i="27"/>
  <c r="J569" i="27" s="1"/>
  <c r="I568" i="27"/>
  <c r="J568" i="27" s="1"/>
  <c r="I567" i="27"/>
  <c r="J567" i="27" s="1"/>
  <c r="I566" i="27"/>
  <c r="I565" i="27"/>
  <c r="J565" i="27" s="1"/>
  <c r="I564" i="27"/>
  <c r="J564" i="27" s="1"/>
  <c r="I563" i="27"/>
  <c r="J563" i="27" s="1"/>
  <c r="I562" i="27"/>
  <c r="I561" i="27"/>
  <c r="J561" i="27" s="1"/>
  <c r="I560" i="27"/>
  <c r="J560" i="27" s="1"/>
  <c r="I559" i="27"/>
  <c r="J559" i="27" s="1"/>
  <c r="I558" i="27"/>
  <c r="I557" i="27"/>
  <c r="J557" i="27" s="1"/>
  <c r="I556" i="27"/>
  <c r="J556" i="27" s="1"/>
  <c r="I555" i="27"/>
  <c r="J555" i="27" s="1"/>
  <c r="I554" i="27"/>
  <c r="I553" i="27"/>
  <c r="J553" i="27" s="1"/>
  <c r="I552" i="27"/>
  <c r="J552" i="27" s="1"/>
  <c r="I551" i="27"/>
  <c r="J551" i="27" s="1"/>
  <c r="I550" i="27"/>
  <c r="I549" i="27"/>
  <c r="J549" i="27" s="1"/>
  <c r="I548" i="27"/>
  <c r="J548" i="27" s="1"/>
  <c r="I547" i="27"/>
  <c r="J547" i="27" s="1"/>
  <c r="I546" i="27"/>
  <c r="I545" i="27"/>
  <c r="J545" i="27" s="1"/>
  <c r="I544" i="27"/>
  <c r="J544" i="27" s="1"/>
  <c r="I543" i="27"/>
  <c r="I542" i="27"/>
  <c r="J541" i="27"/>
  <c r="I541" i="27"/>
  <c r="I540" i="27"/>
  <c r="J540" i="27" s="1"/>
  <c r="I539" i="27"/>
  <c r="J539" i="27" s="1"/>
  <c r="I538" i="27"/>
  <c r="J538" i="27" s="1"/>
  <c r="J537" i="27"/>
  <c r="I537" i="27"/>
  <c r="I536" i="27"/>
  <c r="J536" i="27" s="1"/>
  <c r="I535" i="27"/>
  <c r="I534" i="27"/>
  <c r="J533" i="27"/>
  <c r="I533" i="27"/>
  <c r="I532" i="27"/>
  <c r="J532" i="27" s="1"/>
  <c r="I531" i="27"/>
  <c r="J531" i="27" s="1"/>
  <c r="I530" i="27"/>
  <c r="J530" i="27" s="1"/>
  <c r="J529" i="27"/>
  <c r="I529" i="27"/>
  <c r="I528" i="27"/>
  <c r="J528" i="27" s="1"/>
  <c r="I527" i="27"/>
  <c r="I526" i="27"/>
  <c r="J525" i="27"/>
  <c r="I525" i="27"/>
  <c r="I524" i="27"/>
  <c r="J524" i="27" s="1"/>
  <c r="I523" i="27"/>
  <c r="J523" i="27" s="1"/>
  <c r="I522" i="27"/>
  <c r="J522" i="27" s="1"/>
  <c r="J521" i="27"/>
  <c r="I521" i="27"/>
  <c r="I520" i="27"/>
  <c r="J520" i="27" s="1"/>
  <c r="I519" i="27"/>
  <c r="I518" i="27"/>
  <c r="J517" i="27"/>
  <c r="I517" i="27"/>
  <c r="I516" i="27"/>
  <c r="J516" i="27" s="1"/>
  <c r="I515" i="27"/>
  <c r="J515" i="27" s="1"/>
  <c r="I514" i="27"/>
  <c r="J514" i="27" s="1"/>
  <c r="J513" i="27"/>
  <c r="I513" i="27"/>
  <c r="I512" i="27"/>
  <c r="J512" i="27" s="1"/>
  <c r="I511" i="27"/>
  <c r="I510" i="27"/>
  <c r="J509" i="27"/>
  <c r="I509" i="27"/>
  <c r="I508" i="27"/>
  <c r="J508" i="27" s="1"/>
  <c r="I507" i="27"/>
  <c r="J507" i="27" s="1"/>
  <c r="I506" i="27"/>
  <c r="J506" i="27" s="1"/>
  <c r="J505" i="27"/>
  <c r="I505" i="27"/>
  <c r="I504" i="27"/>
  <c r="J504" i="27" s="1"/>
  <c r="I503" i="27"/>
  <c r="I502" i="27"/>
  <c r="J501" i="27"/>
  <c r="I501" i="27"/>
  <c r="I500" i="27"/>
  <c r="J500" i="27" s="1"/>
  <c r="I499" i="27"/>
  <c r="J499" i="27" s="1"/>
  <c r="I498" i="27"/>
  <c r="J498" i="27" s="1"/>
  <c r="J497" i="27"/>
  <c r="I497" i="27"/>
  <c r="I496" i="27"/>
  <c r="J496" i="27" s="1"/>
  <c r="I495" i="27"/>
  <c r="I494" i="27"/>
  <c r="J493" i="27"/>
  <c r="I493" i="27"/>
  <c r="I492" i="27"/>
  <c r="J492" i="27" s="1"/>
  <c r="I491" i="27"/>
  <c r="J491" i="27" s="1"/>
  <c r="I490" i="27"/>
  <c r="J489" i="27"/>
  <c r="I489" i="27"/>
  <c r="I488" i="27"/>
  <c r="J488" i="27" s="1"/>
  <c r="I487" i="27"/>
  <c r="I486" i="27"/>
  <c r="J485" i="27"/>
  <c r="I485" i="27"/>
  <c r="I484" i="27"/>
  <c r="J484" i="27" s="1"/>
  <c r="I483" i="27"/>
  <c r="I482" i="27"/>
  <c r="J481" i="27"/>
  <c r="I481" i="27"/>
  <c r="I480" i="27"/>
  <c r="I479" i="27"/>
  <c r="J479" i="27" s="1"/>
  <c r="I478" i="27"/>
  <c r="J478" i="27" s="1"/>
  <c r="I477" i="27"/>
  <c r="I476" i="27"/>
  <c r="J475" i="27"/>
  <c r="I475" i="27"/>
  <c r="I474" i="27"/>
  <c r="J474" i="27" s="1"/>
  <c r="J473" i="27"/>
  <c r="I473" i="27"/>
  <c r="I472" i="27"/>
  <c r="J472" i="27" s="1"/>
  <c r="I471" i="27"/>
  <c r="I470" i="27"/>
  <c r="J470" i="27" s="1"/>
  <c r="J469" i="27"/>
  <c r="I469" i="27"/>
  <c r="I468" i="27"/>
  <c r="J468" i="27" s="1"/>
  <c r="J467" i="27"/>
  <c r="I467" i="27"/>
  <c r="I466" i="27"/>
  <c r="J465" i="27"/>
  <c r="I465" i="27"/>
  <c r="I464" i="27"/>
  <c r="J464" i="27" s="1"/>
  <c r="I463" i="27"/>
  <c r="I462" i="27"/>
  <c r="J462" i="27" s="1"/>
  <c r="I461" i="27"/>
  <c r="J461" i="27" s="1"/>
  <c r="I460" i="27"/>
  <c r="J460" i="27" s="1"/>
  <c r="J459" i="27"/>
  <c r="I459" i="27"/>
  <c r="I458" i="27"/>
  <c r="J457" i="27"/>
  <c r="I457" i="27"/>
  <c r="I456" i="27"/>
  <c r="J456" i="27" s="1"/>
  <c r="I455" i="27"/>
  <c r="J455" i="27" s="1"/>
  <c r="I454" i="27"/>
  <c r="I453" i="27"/>
  <c r="I452" i="27"/>
  <c r="J452" i="27" s="1"/>
  <c r="I451" i="27"/>
  <c r="I450" i="27"/>
  <c r="J449" i="27"/>
  <c r="I449" i="27"/>
  <c r="I448" i="27"/>
  <c r="J448" i="27" s="1"/>
  <c r="I447" i="27"/>
  <c r="J447" i="27" s="1"/>
  <c r="I446" i="27"/>
  <c r="J446" i="27" s="1"/>
  <c r="J445" i="27"/>
  <c r="I445" i="27"/>
  <c r="I444" i="27"/>
  <c r="I443" i="27"/>
  <c r="I442" i="27"/>
  <c r="J441" i="27"/>
  <c r="I441" i="27"/>
  <c r="I440" i="27"/>
  <c r="J440" i="27" s="1"/>
  <c r="I439" i="27"/>
  <c r="J439" i="27" s="1"/>
  <c r="I438" i="27"/>
  <c r="J438" i="27" s="1"/>
  <c r="J437" i="27"/>
  <c r="I437" i="27"/>
  <c r="I436" i="27"/>
  <c r="J436" i="27" s="1"/>
  <c r="J435" i="27"/>
  <c r="I435" i="27"/>
  <c r="I434" i="27"/>
  <c r="J433" i="27"/>
  <c r="I433" i="27"/>
  <c r="I432" i="27"/>
  <c r="J432" i="27" s="1"/>
  <c r="I431" i="27"/>
  <c r="I430" i="27"/>
  <c r="J430" i="27" s="1"/>
  <c r="I429" i="27"/>
  <c r="J429" i="27" s="1"/>
  <c r="I428" i="27"/>
  <c r="J428" i="27" s="1"/>
  <c r="J427" i="27"/>
  <c r="I427" i="27"/>
  <c r="I426" i="27"/>
  <c r="J425" i="27"/>
  <c r="I425" i="27"/>
  <c r="I424" i="27"/>
  <c r="J424" i="27" s="1"/>
  <c r="I423" i="27"/>
  <c r="J423" i="27" s="1"/>
  <c r="I422" i="27"/>
  <c r="I421" i="27"/>
  <c r="I420" i="27"/>
  <c r="J420" i="27" s="1"/>
  <c r="I419" i="27"/>
  <c r="I418" i="27"/>
  <c r="J417" i="27"/>
  <c r="I417" i="27"/>
  <c r="I416" i="27"/>
  <c r="J416" i="27" s="1"/>
  <c r="I415" i="27"/>
  <c r="J415" i="27" s="1"/>
  <c r="I414" i="27"/>
  <c r="J414" i="27" s="1"/>
  <c r="J413" i="27"/>
  <c r="I413" i="27"/>
  <c r="I412" i="27"/>
  <c r="I411" i="27"/>
  <c r="I410" i="27"/>
  <c r="I409" i="27"/>
  <c r="I408" i="27"/>
  <c r="J407" i="27"/>
  <c r="I407" i="27"/>
  <c r="I406" i="27"/>
  <c r="J406" i="27" s="1"/>
  <c r="J405" i="27"/>
  <c r="I405" i="27"/>
  <c r="I404" i="27"/>
  <c r="J404" i="27" s="1"/>
  <c r="I403" i="27"/>
  <c r="J403" i="27" s="1"/>
  <c r="I402" i="27"/>
  <c r="J402" i="27" s="1"/>
  <c r="I401" i="27"/>
  <c r="J401" i="27" s="1"/>
  <c r="I400" i="27"/>
  <c r="J400" i="27" s="1"/>
  <c r="I399" i="27"/>
  <c r="I398" i="27"/>
  <c r="J397" i="27"/>
  <c r="I397" i="27"/>
  <c r="I396" i="27"/>
  <c r="J396" i="27" s="1"/>
  <c r="I395" i="27"/>
  <c r="J395" i="27" s="1"/>
  <c r="I394" i="27"/>
  <c r="J394" i="27" s="1"/>
  <c r="I393" i="27"/>
  <c r="J393" i="27" s="1"/>
  <c r="I392" i="27"/>
  <c r="J392" i="27" s="1"/>
  <c r="I391" i="27"/>
  <c r="I390" i="27"/>
  <c r="J389" i="27"/>
  <c r="I389" i="27"/>
  <c r="I388" i="27"/>
  <c r="J388" i="27" s="1"/>
  <c r="I387" i="27"/>
  <c r="J387" i="27" s="1"/>
  <c r="I386" i="27"/>
  <c r="J386" i="27" s="1"/>
  <c r="I385" i="27"/>
  <c r="J385" i="27" s="1"/>
  <c r="I384" i="27"/>
  <c r="J384" i="27" s="1"/>
  <c r="I383" i="27"/>
  <c r="I382" i="27"/>
  <c r="J381" i="27"/>
  <c r="I381" i="27"/>
  <c r="I380" i="27"/>
  <c r="J380" i="27" s="1"/>
  <c r="I379" i="27"/>
  <c r="J379" i="27" s="1"/>
  <c r="I378" i="27"/>
  <c r="J378" i="27" s="1"/>
  <c r="I377" i="27"/>
  <c r="J377" i="27" s="1"/>
  <c r="I376" i="27"/>
  <c r="J376" i="27" s="1"/>
  <c r="I375" i="27"/>
  <c r="I374" i="27"/>
  <c r="J373" i="27"/>
  <c r="I373" i="27"/>
  <c r="I372" i="27"/>
  <c r="J372" i="27" s="1"/>
  <c r="I371" i="27"/>
  <c r="J371" i="27" s="1"/>
  <c r="I370" i="27"/>
  <c r="J370" i="27" s="1"/>
  <c r="I369" i="27"/>
  <c r="J369" i="27" s="1"/>
  <c r="I368" i="27"/>
  <c r="J368" i="27" s="1"/>
  <c r="I367" i="27"/>
  <c r="I366" i="27"/>
  <c r="J365" i="27"/>
  <c r="I365" i="27"/>
  <c r="I364" i="27"/>
  <c r="J364" i="27" s="1"/>
  <c r="I363" i="27"/>
  <c r="J363" i="27" s="1"/>
  <c r="I362" i="27"/>
  <c r="J362" i="27" s="1"/>
  <c r="I361" i="27"/>
  <c r="J361" i="27" s="1"/>
  <c r="I360" i="27"/>
  <c r="J360" i="27" s="1"/>
  <c r="I359" i="27"/>
  <c r="I358" i="27"/>
  <c r="J357" i="27"/>
  <c r="I357" i="27"/>
  <c r="I356" i="27"/>
  <c r="J356" i="27" s="1"/>
  <c r="I355" i="27"/>
  <c r="J355" i="27" s="1"/>
  <c r="I354" i="27"/>
  <c r="J354" i="27" s="1"/>
  <c r="I353" i="27"/>
  <c r="J353" i="27" s="1"/>
  <c r="I352" i="27"/>
  <c r="J352" i="27" s="1"/>
  <c r="I351" i="27"/>
  <c r="I350" i="27"/>
  <c r="J349" i="27"/>
  <c r="I349" i="27"/>
  <c r="I348" i="27"/>
  <c r="J348" i="27" s="1"/>
  <c r="I347" i="27"/>
  <c r="J347" i="27" s="1"/>
  <c r="I346" i="27"/>
  <c r="J346" i="27" s="1"/>
  <c r="I345" i="27"/>
  <c r="J345" i="27" s="1"/>
  <c r="I344" i="27"/>
  <c r="J344" i="27" s="1"/>
  <c r="I343" i="27"/>
  <c r="I342" i="27"/>
  <c r="J341" i="27"/>
  <c r="I341" i="27"/>
  <c r="I340" i="27"/>
  <c r="J340" i="27" s="1"/>
  <c r="I339" i="27"/>
  <c r="J339" i="27" s="1"/>
  <c r="I338" i="27"/>
  <c r="J338" i="27" s="1"/>
  <c r="I337" i="27"/>
  <c r="J337" i="27" s="1"/>
  <c r="I336" i="27"/>
  <c r="J336" i="27" s="1"/>
  <c r="I335" i="27"/>
  <c r="I334" i="27"/>
  <c r="J333" i="27"/>
  <c r="I333" i="27"/>
  <c r="I332" i="27"/>
  <c r="J332" i="27" s="1"/>
  <c r="I331" i="27"/>
  <c r="J331" i="27" s="1"/>
  <c r="I330" i="27"/>
  <c r="J330" i="27" s="1"/>
  <c r="I329" i="27"/>
  <c r="J329" i="27" s="1"/>
  <c r="I328" i="27"/>
  <c r="J328" i="27" s="1"/>
  <c r="I327" i="27"/>
  <c r="I326" i="27"/>
  <c r="J325" i="27"/>
  <c r="I325" i="27"/>
  <c r="I324" i="27"/>
  <c r="J324" i="27" s="1"/>
  <c r="I323" i="27"/>
  <c r="J323" i="27" s="1"/>
  <c r="I322" i="27"/>
  <c r="J322" i="27" s="1"/>
  <c r="I321" i="27"/>
  <c r="J321" i="27" s="1"/>
  <c r="I320" i="27"/>
  <c r="J320" i="27" s="1"/>
  <c r="I319" i="27"/>
  <c r="J319" i="27" s="1"/>
  <c r="J318" i="27"/>
  <c r="I318" i="27"/>
  <c r="I317" i="27"/>
  <c r="J317" i="27" s="1"/>
  <c r="I316" i="27"/>
  <c r="I315" i="27"/>
  <c r="J314" i="27"/>
  <c r="I314" i="27"/>
  <c r="I313" i="27"/>
  <c r="J313" i="27" s="1"/>
  <c r="I312" i="27"/>
  <c r="J312" i="27" s="1"/>
  <c r="I311" i="27"/>
  <c r="J311" i="27" s="1"/>
  <c r="J310" i="27"/>
  <c r="I310" i="27"/>
  <c r="I309" i="27"/>
  <c r="J309" i="27" s="1"/>
  <c r="I308" i="27"/>
  <c r="I307" i="27"/>
  <c r="J306" i="27"/>
  <c r="I306" i="27"/>
  <c r="I305" i="27"/>
  <c r="J305" i="27" s="1"/>
  <c r="I304" i="27"/>
  <c r="J304" i="27" s="1"/>
  <c r="I303" i="27"/>
  <c r="J303" i="27" s="1"/>
  <c r="J302" i="27"/>
  <c r="I302" i="27"/>
  <c r="I301" i="27"/>
  <c r="J301" i="27" s="1"/>
  <c r="I300" i="27"/>
  <c r="I299" i="27"/>
  <c r="J298" i="27"/>
  <c r="I298" i="27"/>
  <c r="I297" i="27"/>
  <c r="J297" i="27" s="1"/>
  <c r="I296" i="27"/>
  <c r="J296" i="27" s="1"/>
  <c r="I295" i="27"/>
  <c r="J295" i="27" s="1"/>
  <c r="I294" i="27"/>
  <c r="J294" i="27" s="1"/>
  <c r="I293" i="27"/>
  <c r="J293" i="27" s="1"/>
  <c r="I292" i="27"/>
  <c r="J292" i="27" s="1"/>
  <c r="I291" i="27"/>
  <c r="J291" i="27" s="1"/>
  <c r="I290" i="27"/>
  <c r="J290" i="27" s="1"/>
  <c r="I289" i="27"/>
  <c r="J289" i="27" s="1"/>
  <c r="I288" i="27"/>
  <c r="J288" i="27" s="1"/>
  <c r="I287" i="27"/>
  <c r="J287" i="27" s="1"/>
  <c r="I286" i="27"/>
  <c r="J286" i="27" s="1"/>
  <c r="I285" i="27"/>
  <c r="J285" i="27" s="1"/>
  <c r="I284" i="27"/>
  <c r="J284" i="27" s="1"/>
  <c r="I283" i="27"/>
  <c r="J283" i="27" s="1"/>
  <c r="I282" i="27"/>
  <c r="J282" i="27" s="1"/>
  <c r="I281" i="27"/>
  <c r="J281" i="27" s="1"/>
  <c r="I280" i="27"/>
  <c r="J280" i="27" s="1"/>
  <c r="I279" i="27"/>
  <c r="J279" i="27" s="1"/>
  <c r="I278" i="27"/>
  <c r="J278" i="27" s="1"/>
  <c r="I277" i="27"/>
  <c r="J277" i="27" s="1"/>
  <c r="I276" i="27"/>
  <c r="J276" i="27" s="1"/>
  <c r="I275" i="27"/>
  <c r="J275" i="27" s="1"/>
  <c r="I274" i="27"/>
  <c r="J274" i="27" s="1"/>
  <c r="I273" i="27"/>
  <c r="J273" i="27" s="1"/>
  <c r="I272" i="27"/>
  <c r="J272" i="27" s="1"/>
  <c r="I271" i="27"/>
  <c r="J271" i="27" s="1"/>
  <c r="I270" i="27"/>
  <c r="J270" i="27" s="1"/>
  <c r="I269" i="27"/>
  <c r="J269" i="27" s="1"/>
  <c r="I268" i="27"/>
  <c r="J268" i="27" s="1"/>
  <c r="I267" i="27"/>
  <c r="J267" i="27" s="1"/>
  <c r="I266" i="27"/>
  <c r="J266" i="27" s="1"/>
  <c r="I265" i="27"/>
  <c r="J265" i="27" s="1"/>
  <c r="I264" i="27"/>
  <c r="J264" i="27" s="1"/>
  <c r="I263" i="27"/>
  <c r="J263" i="27" s="1"/>
  <c r="I262" i="27"/>
  <c r="J262" i="27" s="1"/>
  <c r="I261" i="27"/>
  <c r="J261" i="27" s="1"/>
  <c r="I260" i="27"/>
  <c r="J260" i="27" s="1"/>
  <c r="I259" i="27"/>
  <c r="J259" i="27" s="1"/>
  <c r="I258" i="27"/>
  <c r="J258" i="27" s="1"/>
  <c r="I257" i="27"/>
  <c r="J257" i="27" s="1"/>
  <c r="I256" i="27"/>
  <c r="J256" i="27" s="1"/>
  <c r="I255" i="27"/>
  <c r="J255" i="27" s="1"/>
  <c r="I254" i="27"/>
  <c r="J254" i="27" s="1"/>
  <c r="I253" i="27"/>
  <c r="J253" i="27" s="1"/>
  <c r="I252" i="27"/>
  <c r="J252" i="27" s="1"/>
  <c r="I251" i="27"/>
  <c r="J251" i="27" s="1"/>
  <c r="I250" i="27"/>
  <c r="J250" i="27" s="1"/>
  <c r="I249" i="27"/>
  <c r="J249" i="27" s="1"/>
  <c r="I248" i="27"/>
  <c r="J248" i="27" s="1"/>
  <c r="I247" i="27"/>
  <c r="J247" i="27" s="1"/>
  <c r="I246" i="27"/>
  <c r="J246" i="27" s="1"/>
  <c r="I245" i="27"/>
  <c r="J245" i="27" s="1"/>
  <c r="I244" i="27"/>
  <c r="J244" i="27" s="1"/>
  <c r="I243" i="27"/>
  <c r="J243" i="27" s="1"/>
  <c r="I242" i="27"/>
  <c r="J242" i="27" s="1"/>
  <c r="I241" i="27"/>
  <c r="J241" i="27" s="1"/>
  <c r="I240" i="27"/>
  <c r="J240" i="27" s="1"/>
  <c r="I239" i="27"/>
  <c r="J239" i="27" s="1"/>
  <c r="I238" i="27"/>
  <c r="J238" i="27" s="1"/>
  <c r="I237" i="27"/>
  <c r="J237" i="27" s="1"/>
  <c r="I236" i="27"/>
  <c r="J236" i="27" s="1"/>
  <c r="I235" i="27"/>
  <c r="J235" i="27" s="1"/>
  <c r="I234" i="27"/>
  <c r="J234" i="27" s="1"/>
  <c r="I233" i="27"/>
  <c r="J233" i="27" s="1"/>
  <c r="I232" i="27"/>
  <c r="J232" i="27" s="1"/>
  <c r="I231" i="27"/>
  <c r="J231" i="27" s="1"/>
  <c r="I230" i="27"/>
  <c r="J230" i="27" s="1"/>
  <c r="I229" i="27"/>
  <c r="J229" i="27" s="1"/>
  <c r="I228" i="27"/>
  <c r="J228" i="27" s="1"/>
  <c r="I227" i="27"/>
  <c r="J227" i="27" s="1"/>
  <c r="I226" i="27"/>
  <c r="J226" i="27" s="1"/>
  <c r="I225" i="27"/>
  <c r="J225" i="27" s="1"/>
  <c r="I224" i="27"/>
  <c r="J224" i="27" s="1"/>
  <c r="I223" i="27"/>
  <c r="J223" i="27" s="1"/>
  <c r="I222" i="27"/>
  <c r="J222" i="27" s="1"/>
  <c r="I221" i="27"/>
  <c r="J221" i="27" s="1"/>
  <c r="I220" i="27"/>
  <c r="J220" i="27" s="1"/>
  <c r="I219" i="27"/>
  <c r="J219" i="27" s="1"/>
  <c r="I218" i="27"/>
  <c r="J218" i="27" s="1"/>
  <c r="I217" i="27"/>
  <c r="J217" i="27" s="1"/>
  <c r="I216" i="27"/>
  <c r="J216" i="27" s="1"/>
  <c r="I215" i="27"/>
  <c r="J215" i="27" s="1"/>
  <c r="I214" i="27"/>
  <c r="J214" i="27" s="1"/>
  <c r="I213" i="27"/>
  <c r="J213" i="27" s="1"/>
  <c r="I212" i="27"/>
  <c r="J212" i="27" s="1"/>
  <c r="I211" i="27"/>
  <c r="J211" i="27" s="1"/>
  <c r="I210" i="27"/>
  <c r="J210" i="27" s="1"/>
  <c r="I209" i="27"/>
  <c r="J209" i="27" s="1"/>
  <c r="I208" i="27"/>
  <c r="J208" i="27" s="1"/>
  <c r="I207" i="27"/>
  <c r="J207" i="27" s="1"/>
  <c r="I206" i="27"/>
  <c r="J206" i="27" s="1"/>
  <c r="I205" i="27"/>
  <c r="J205" i="27" s="1"/>
  <c r="I204" i="27"/>
  <c r="J204" i="27" s="1"/>
  <c r="I203" i="27"/>
  <c r="J203" i="27" s="1"/>
  <c r="I202" i="27"/>
  <c r="J202" i="27" s="1"/>
  <c r="I201" i="27"/>
  <c r="J201" i="27" s="1"/>
  <c r="I200" i="27"/>
  <c r="J200" i="27" s="1"/>
  <c r="I199" i="27"/>
  <c r="J199" i="27" s="1"/>
  <c r="I198" i="27"/>
  <c r="J198" i="27" s="1"/>
  <c r="I197" i="27"/>
  <c r="J197" i="27" s="1"/>
  <c r="I196" i="27"/>
  <c r="J196" i="27" s="1"/>
  <c r="I195" i="27"/>
  <c r="J195" i="27" s="1"/>
  <c r="I194" i="27"/>
  <c r="J194" i="27" s="1"/>
  <c r="I193" i="27"/>
  <c r="J193" i="27" s="1"/>
  <c r="I192" i="27"/>
  <c r="J192" i="27" s="1"/>
  <c r="I191" i="27"/>
  <c r="J191" i="27" s="1"/>
  <c r="I190" i="27"/>
  <c r="J190" i="27" s="1"/>
  <c r="I189" i="27"/>
  <c r="J189" i="27" s="1"/>
  <c r="I188" i="27"/>
  <c r="J188" i="27" s="1"/>
  <c r="I187" i="27"/>
  <c r="J187" i="27" s="1"/>
  <c r="I186" i="27"/>
  <c r="J186" i="27" s="1"/>
  <c r="I185" i="27"/>
  <c r="J185" i="27" s="1"/>
  <c r="I184" i="27"/>
  <c r="J184" i="27" s="1"/>
  <c r="I183" i="27"/>
  <c r="J183" i="27" s="1"/>
  <c r="I182" i="27"/>
  <c r="J182" i="27" s="1"/>
  <c r="I181" i="27"/>
  <c r="J181" i="27" s="1"/>
  <c r="I180" i="27"/>
  <c r="J180" i="27" s="1"/>
  <c r="I179" i="27"/>
  <c r="J179" i="27" s="1"/>
  <c r="I178" i="27"/>
  <c r="J178" i="27" s="1"/>
  <c r="I177" i="27"/>
  <c r="J177" i="27" s="1"/>
  <c r="I176" i="27"/>
  <c r="J176" i="27" s="1"/>
  <c r="I175" i="27"/>
  <c r="J175" i="27" s="1"/>
  <c r="I174" i="27"/>
  <c r="J174" i="27" s="1"/>
  <c r="I173" i="27"/>
  <c r="J173" i="27" s="1"/>
  <c r="I172" i="27"/>
  <c r="J172" i="27" s="1"/>
  <c r="I171" i="27"/>
  <c r="J171" i="27" s="1"/>
  <c r="I170" i="27"/>
  <c r="J170" i="27" s="1"/>
  <c r="I169" i="27"/>
  <c r="J169" i="27" s="1"/>
  <c r="I168" i="27"/>
  <c r="J168" i="27" s="1"/>
  <c r="I167" i="27"/>
  <c r="J167" i="27" s="1"/>
  <c r="I166" i="27"/>
  <c r="J166" i="27" s="1"/>
  <c r="I165" i="27"/>
  <c r="J165" i="27" s="1"/>
  <c r="I164" i="27"/>
  <c r="J164" i="27" s="1"/>
  <c r="I163" i="27"/>
  <c r="J163" i="27" s="1"/>
  <c r="I162" i="27"/>
  <c r="J162" i="27" s="1"/>
  <c r="I161" i="27"/>
  <c r="J161" i="27" s="1"/>
  <c r="I160" i="27"/>
  <c r="J160" i="27" s="1"/>
  <c r="I159" i="27"/>
  <c r="J159" i="27" s="1"/>
  <c r="I158" i="27"/>
  <c r="J158" i="27" s="1"/>
  <c r="I157" i="27"/>
  <c r="J157" i="27" s="1"/>
  <c r="I156" i="27"/>
  <c r="J156" i="27" s="1"/>
  <c r="I155" i="27"/>
  <c r="J155" i="27" s="1"/>
  <c r="I154" i="27"/>
  <c r="J154" i="27" s="1"/>
  <c r="I153" i="27"/>
  <c r="J153" i="27" s="1"/>
  <c r="I152" i="27"/>
  <c r="J152" i="27" s="1"/>
  <c r="I151" i="27"/>
  <c r="J151" i="27" s="1"/>
  <c r="I150" i="27"/>
  <c r="J150" i="27" s="1"/>
  <c r="I149" i="27"/>
  <c r="J149" i="27" s="1"/>
  <c r="I148" i="27"/>
  <c r="J148" i="27" s="1"/>
  <c r="I147" i="27"/>
  <c r="J147" i="27" s="1"/>
  <c r="I146" i="27"/>
  <c r="J146" i="27" s="1"/>
  <c r="I145" i="27"/>
  <c r="J145" i="27" s="1"/>
  <c r="I144" i="27"/>
  <c r="J144" i="27" s="1"/>
  <c r="I143" i="27"/>
  <c r="J143" i="27" s="1"/>
  <c r="I142" i="27"/>
  <c r="J142" i="27" s="1"/>
  <c r="I141" i="27"/>
  <c r="J141" i="27" s="1"/>
  <c r="I140" i="27"/>
  <c r="J140" i="27" s="1"/>
  <c r="I139" i="27"/>
  <c r="J139" i="27" s="1"/>
  <c r="I138" i="27"/>
  <c r="J138" i="27" s="1"/>
  <c r="I137" i="27"/>
  <c r="J137" i="27" s="1"/>
  <c r="I136" i="27"/>
  <c r="J136" i="27" s="1"/>
  <c r="I135" i="27"/>
  <c r="J135" i="27" s="1"/>
  <c r="I134" i="27"/>
  <c r="J134" i="27" s="1"/>
  <c r="I133" i="27"/>
  <c r="J133" i="27" s="1"/>
  <c r="I132" i="27"/>
  <c r="J132" i="27" s="1"/>
  <c r="I131" i="27"/>
  <c r="J131" i="27" s="1"/>
  <c r="I130" i="27"/>
  <c r="J130" i="27" s="1"/>
  <c r="I129" i="27"/>
  <c r="J129" i="27" s="1"/>
  <c r="I128" i="27"/>
  <c r="J128" i="27" s="1"/>
  <c r="I127" i="27"/>
  <c r="J127" i="27" s="1"/>
  <c r="I126" i="27"/>
  <c r="J126" i="27" s="1"/>
  <c r="I125" i="27"/>
  <c r="J125" i="27" s="1"/>
  <c r="I124" i="27"/>
  <c r="J124" i="27" s="1"/>
  <c r="I123" i="27"/>
  <c r="J123" i="27" s="1"/>
  <c r="I122" i="27"/>
  <c r="J122" i="27" s="1"/>
  <c r="I121" i="27"/>
  <c r="J121" i="27" s="1"/>
  <c r="I120" i="27"/>
  <c r="J120" i="27" s="1"/>
  <c r="I119" i="27"/>
  <c r="J119" i="27" s="1"/>
  <c r="I118" i="27"/>
  <c r="J118" i="27" s="1"/>
  <c r="I117" i="27"/>
  <c r="I116" i="27"/>
  <c r="J116" i="27" s="1"/>
  <c r="J115" i="27"/>
  <c r="I115" i="27"/>
  <c r="I114" i="27"/>
  <c r="J114" i="27" s="1"/>
  <c r="J113" i="27"/>
  <c r="I113" i="27"/>
  <c r="I112" i="27"/>
  <c r="J112" i="27" s="1"/>
  <c r="I111" i="27"/>
  <c r="J111" i="27" s="1"/>
  <c r="I110" i="27"/>
  <c r="J110" i="27" s="1"/>
  <c r="I109" i="27"/>
  <c r="I108" i="27"/>
  <c r="J108" i="27" s="1"/>
  <c r="J107" i="27"/>
  <c r="I107" i="27"/>
  <c r="I106" i="27"/>
  <c r="J106" i="27" s="1"/>
  <c r="J105" i="27"/>
  <c r="I105" i="27"/>
  <c r="I104" i="27"/>
  <c r="J104" i="27" s="1"/>
  <c r="I103" i="27"/>
  <c r="J103" i="27" s="1"/>
  <c r="I102" i="27"/>
  <c r="J102" i="27" s="1"/>
  <c r="I101" i="27"/>
  <c r="I100" i="27"/>
  <c r="J100" i="27" s="1"/>
  <c r="J99" i="27"/>
  <c r="I99" i="27"/>
  <c r="I98" i="27"/>
  <c r="J98" i="27" s="1"/>
  <c r="J97" i="27"/>
  <c r="I97" i="27"/>
  <c r="I96" i="27"/>
  <c r="J96" i="27" s="1"/>
  <c r="I95" i="27"/>
  <c r="J95" i="27" s="1"/>
  <c r="I94" i="27"/>
  <c r="J94" i="27" s="1"/>
  <c r="I93" i="27"/>
  <c r="I92" i="27"/>
  <c r="J92" i="27" s="1"/>
  <c r="J91" i="27"/>
  <c r="I91" i="27"/>
  <c r="I90" i="27"/>
  <c r="J90" i="27" s="1"/>
  <c r="J89" i="27"/>
  <c r="I89" i="27"/>
  <c r="I88" i="27"/>
  <c r="J88" i="27" s="1"/>
  <c r="I87" i="27"/>
  <c r="J87" i="27" s="1"/>
  <c r="I86" i="27"/>
  <c r="J86" i="27" s="1"/>
  <c r="I85" i="27"/>
  <c r="I84" i="27"/>
  <c r="J84" i="27" s="1"/>
  <c r="J83" i="27"/>
  <c r="I83" i="27"/>
  <c r="I82" i="27"/>
  <c r="J82" i="27" s="1"/>
  <c r="J81" i="27"/>
  <c r="I81" i="27"/>
  <c r="I80" i="27"/>
  <c r="J80" i="27" s="1"/>
  <c r="I79" i="27"/>
  <c r="J79" i="27" s="1"/>
  <c r="I78" i="27"/>
  <c r="J78" i="27" s="1"/>
  <c r="I77" i="27"/>
  <c r="I76" i="27"/>
  <c r="J76" i="27" s="1"/>
  <c r="J75" i="27"/>
  <c r="I75" i="27"/>
  <c r="I74" i="27"/>
  <c r="J74" i="27" s="1"/>
  <c r="J73" i="27"/>
  <c r="I73" i="27"/>
  <c r="I72" i="27"/>
  <c r="J72" i="27" s="1"/>
  <c r="I71" i="27"/>
  <c r="J71" i="27" s="1"/>
  <c r="I70" i="27"/>
  <c r="J70" i="27" s="1"/>
  <c r="I69" i="27"/>
  <c r="I68" i="27"/>
  <c r="J68" i="27" s="1"/>
  <c r="J67" i="27"/>
  <c r="I67" i="27"/>
  <c r="I66" i="27"/>
  <c r="J66" i="27" s="1"/>
  <c r="I65" i="27"/>
  <c r="J64" i="27"/>
  <c r="I64" i="27"/>
  <c r="I63" i="27"/>
  <c r="J62" i="27"/>
  <c r="I62" i="27"/>
  <c r="I61" i="27"/>
  <c r="J60" i="27"/>
  <c r="I60" i="27"/>
  <c r="I59" i="27"/>
  <c r="J58" i="27"/>
  <c r="I58" i="27"/>
  <c r="I57" i="27"/>
  <c r="J56" i="27"/>
  <c r="I56" i="27"/>
  <c r="I55" i="27"/>
  <c r="J54" i="27"/>
  <c r="I54" i="27"/>
  <c r="I53" i="27"/>
  <c r="J52" i="27"/>
  <c r="I52" i="27"/>
  <c r="I51" i="27"/>
  <c r="J50" i="27"/>
  <c r="I50" i="27"/>
  <c r="I49" i="27"/>
  <c r="J48" i="27"/>
  <c r="I48" i="27"/>
  <c r="I47" i="27"/>
  <c r="J46" i="27"/>
  <c r="I46" i="27"/>
  <c r="I45" i="27"/>
  <c r="J44" i="27"/>
  <c r="I44" i="27"/>
  <c r="I43" i="27"/>
  <c r="J42" i="27"/>
  <c r="I42" i="27"/>
  <c r="I41" i="27"/>
  <c r="J41" i="27" s="1"/>
  <c r="J40" i="27"/>
  <c r="I40" i="27"/>
  <c r="I39" i="27"/>
  <c r="J38" i="27"/>
  <c r="I38" i="27"/>
  <c r="I37" i="27"/>
  <c r="J36" i="27"/>
  <c r="I36" i="27"/>
  <c r="I35" i="27"/>
  <c r="J34" i="27"/>
  <c r="I34" i="27"/>
  <c r="I33" i="27"/>
  <c r="J32" i="27"/>
  <c r="I32" i="27"/>
  <c r="I31" i="27"/>
  <c r="J30" i="27"/>
  <c r="I30" i="27"/>
  <c r="I29" i="27"/>
  <c r="J28" i="27"/>
  <c r="I28" i="27"/>
  <c r="I27" i="27"/>
  <c r="J26" i="27"/>
  <c r="I26" i="27"/>
  <c r="I25" i="27"/>
  <c r="J24" i="27"/>
  <c r="I24" i="27"/>
  <c r="I23" i="27"/>
  <c r="J22" i="27"/>
  <c r="I22" i="27"/>
  <c r="I21" i="27"/>
  <c r="J20" i="27"/>
  <c r="I20" i="27"/>
  <c r="I19" i="27"/>
  <c r="J18" i="27"/>
  <c r="I18" i="27"/>
  <c r="I17" i="27"/>
  <c r="J16" i="27"/>
  <c r="I16" i="27"/>
  <c r="I15" i="27"/>
  <c r="J15" i="27" s="1"/>
  <c r="J14" i="27"/>
  <c r="I14" i="27"/>
  <c r="I13" i="27"/>
  <c r="J12" i="27"/>
  <c r="I12" i="27"/>
  <c r="I11" i="27"/>
  <c r="J11" i="27" s="1"/>
  <c r="J10" i="27"/>
  <c r="I10" i="27"/>
  <c r="I9" i="27"/>
  <c r="J8" i="27"/>
  <c r="I8" i="27"/>
  <c r="I7" i="27"/>
  <c r="J7" i="27" s="1"/>
  <c r="J6" i="27"/>
  <c r="I6" i="27"/>
  <c r="I5" i="27"/>
  <c r="J4" i="27"/>
  <c r="I4" i="27"/>
  <c r="I3" i="27"/>
  <c r="L821" i="26" l="1"/>
  <c r="L823" i="26"/>
  <c r="L825" i="26"/>
  <c r="L827" i="26"/>
  <c r="L829" i="26"/>
  <c r="L831" i="26"/>
  <c r="L833" i="26"/>
  <c r="L835" i="26"/>
  <c r="L837" i="26"/>
  <c r="L839" i="26"/>
  <c r="L841" i="26"/>
  <c r="L843" i="26"/>
  <c r="L845" i="26"/>
  <c r="L847" i="26"/>
  <c r="L849" i="26"/>
  <c r="L851" i="26"/>
  <c r="L853" i="26"/>
  <c r="L855" i="26"/>
  <c r="L857" i="26"/>
  <c r="L859" i="26"/>
  <c r="L861" i="26"/>
  <c r="L863" i="26"/>
  <c r="L865" i="26"/>
  <c r="L867" i="26"/>
  <c r="L869" i="26"/>
  <c r="L871" i="26"/>
  <c r="L873" i="26"/>
  <c r="L875" i="26"/>
  <c r="L877" i="26"/>
  <c r="L879" i="26"/>
  <c r="L881" i="26"/>
  <c r="L883" i="26"/>
  <c r="L885" i="26"/>
  <c r="L887" i="26"/>
  <c r="L889" i="26"/>
  <c r="L891" i="26"/>
  <c r="L893" i="26"/>
  <c r="L895" i="26"/>
  <c r="L953" i="26"/>
  <c r="L979" i="26"/>
  <c r="L981" i="26"/>
  <c r="L743" i="26"/>
  <c r="J179" i="26"/>
  <c r="J213" i="26"/>
  <c r="J245" i="26"/>
  <c r="J363" i="26"/>
  <c r="J484" i="26"/>
  <c r="J4" i="26"/>
  <c r="J8" i="26"/>
  <c r="J12" i="26"/>
  <c r="J16" i="26"/>
  <c r="J18" i="26"/>
  <c r="J24" i="26"/>
  <c r="J26" i="26"/>
  <c r="J30" i="26"/>
  <c r="J36" i="26"/>
  <c r="J40" i="26"/>
  <c r="J42" i="26"/>
  <c r="J46" i="26"/>
  <c r="J48" i="26"/>
  <c r="J50" i="26"/>
  <c r="J60" i="26"/>
  <c r="J72" i="26"/>
  <c r="J80" i="26"/>
  <c r="J88" i="26"/>
  <c r="J96" i="26"/>
  <c r="J104" i="26"/>
  <c r="J112" i="26"/>
  <c r="J120" i="26"/>
  <c r="J128" i="26"/>
  <c r="J136" i="26"/>
  <c r="J144" i="26"/>
  <c r="J152" i="26"/>
  <c r="J160" i="26"/>
  <c r="J187" i="26"/>
  <c r="J188" i="26"/>
  <c r="J198" i="26"/>
  <c r="J205" i="26"/>
  <c r="J230" i="26"/>
  <c r="J237" i="26"/>
  <c r="J261" i="26"/>
  <c r="J269" i="26"/>
  <c r="J277" i="26"/>
  <c r="J285" i="26"/>
  <c r="J293" i="26"/>
  <c r="J301" i="26"/>
  <c r="J309" i="26"/>
  <c r="J317" i="26"/>
  <c r="J195" i="26"/>
  <c r="J229" i="26"/>
  <c r="J262" i="26"/>
  <c r="J270" i="26"/>
  <c r="J278" i="26"/>
  <c r="J286" i="26"/>
  <c r="J294" i="26"/>
  <c r="J302" i="26"/>
  <c r="J310" i="26"/>
  <c r="J318" i="26"/>
  <c r="J347" i="26"/>
  <c r="J442" i="26"/>
  <c r="J171" i="26"/>
  <c r="J172" i="26"/>
  <c r="J214" i="26"/>
  <c r="J221" i="26"/>
  <c r="J246" i="26"/>
  <c r="J253" i="26"/>
  <c r="J331" i="26"/>
  <c r="J473" i="26"/>
  <c r="J537" i="26"/>
  <c r="J567" i="26"/>
  <c r="J335" i="26"/>
  <c r="J351" i="26"/>
  <c r="J461" i="26"/>
  <c r="J547" i="26"/>
  <c r="J451" i="26"/>
  <c r="J474" i="26"/>
  <c r="J493" i="26"/>
  <c r="J496" i="26"/>
  <c r="J515" i="26"/>
  <c r="J538" i="26"/>
  <c r="J556" i="26"/>
  <c r="J603" i="26"/>
  <c r="J703" i="26"/>
  <c r="J441" i="26"/>
  <c r="J452" i="26"/>
  <c r="J505" i="26"/>
  <c r="J516" i="26"/>
  <c r="J541" i="26"/>
  <c r="J559" i="26"/>
  <c r="J598" i="26"/>
  <c r="J464" i="26"/>
  <c r="J483" i="26"/>
  <c r="J506" i="26"/>
  <c r="J525" i="26"/>
  <c r="J528" i="26"/>
  <c r="J572" i="26"/>
  <c r="J440" i="26"/>
  <c r="J472" i="26"/>
  <c r="J504" i="26"/>
  <c r="J536" i="26"/>
  <c r="J549" i="26"/>
  <c r="J579" i="26"/>
  <c r="J588" i="26"/>
  <c r="J448" i="26"/>
  <c r="J480" i="26"/>
  <c r="J512" i="26"/>
  <c r="J568" i="26"/>
  <c r="J571" i="26"/>
  <c r="J595" i="26"/>
  <c r="J604" i="26"/>
  <c r="J456" i="26"/>
  <c r="J457" i="26"/>
  <c r="J488" i="26"/>
  <c r="J489" i="26"/>
  <c r="J520" i="26"/>
  <c r="J521" i="26"/>
  <c r="J539" i="26"/>
  <c r="J563" i="26"/>
  <c r="J587" i="26"/>
  <c r="J696" i="26"/>
  <c r="J555" i="26"/>
  <c r="J620" i="26"/>
  <c r="J636" i="26"/>
  <c r="J695" i="26"/>
  <c r="J720" i="26"/>
  <c r="J687" i="26"/>
  <c r="J704" i="26"/>
  <c r="J711" i="26"/>
  <c r="J688" i="26"/>
  <c r="J712" i="26"/>
  <c r="J719" i="26"/>
  <c r="J734" i="26"/>
  <c r="J742" i="26"/>
  <c r="J308" i="27"/>
  <c r="J316" i="27"/>
  <c r="J327" i="27"/>
  <c r="J343" i="27"/>
  <c r="J375" i="27"/>
  <c r="J391" i="27"/>
  <c r="J463" i="27"/>
  <c r="J69" i="27"/>
  <c r="J77" i="27"/>
  <c r="J101" i="27"/>
  <c r="J109" i="27"/>
  <c r="J443" i="27"/>
  <c r="J3" i="27"/>
  <c r="J5" i="27"/>
  <c r="J9" i="27"/>
  <c r="J13" i="27"/>
  <c r="J17" i="27"/>
  <c r="J19" i="27"/>
  <c r="J21" i="27"/>
  <c r="J23" i="27"/>
  <c r="J25" i="27"/>
  <c r="J27" i="27"/>
  <c r="J29" i="27"/>
  <c r="J31" i="27"/>
  <c r="J33" i="27"/>
  <c r="J35" i="27"/>
  <c r="J37" i="27"/>
  <c r="J39" i="27"/>
  <c r="J43" i="27"/>
  <c r="J45" i="27"/>
  <c r="J47" i="27"/>
  <c r="J49" i="27"/>
  <c r="J51" i="27"/>
  <c r="J53" i="27"/>
  <c r="J55" i="27"/>
  <c r="J57" i="27"/>
  <c r="J59" i="27"/>
  <c r="J61" i="27"/>
  <c r="J63" i="27"/>
  <c r="J65" i="27"/>
  <c r="J502" i="27"/>
  <c r="J300" i="27"/>
  <c r="J359" i="27"/>
  <c r="J466" i="27"/>
  <c r="J85" i="27"/>
  <c r="J93" i="27"/>
  <c r="J117" i="27"/>
  <c r="J299" i="27"/>
  <c r="J307" i="27"/>
  <c r="J315" i="27"/>
  <c r="J334" i="27"/>
  <c r="J350" i="27"/>
  <c r="J366" i="27"/>
  <c r="J382" i="27"/>
  <c r="J398" i="27"/>
  <c r="J421" i="27"/>
  <c r="J422" i="27"/>
  <c r="J444" i="27"/>
  <c r="J471" i="27"/>
  <c r="J326" i="27"/>
  <c r="J342" i="27"/>
  <c r="J358" i="27"/>
  <c r="J374" i="27"/>
  <c r="J390" i="27"/>
  <c r="J408" i="27"/>
  <c r="J411" i="27"/>
  <c r="J431" i="27"/>
  <c r="J434" i="27"/>
  <c r="J453" i="27"/>
  <c r="J335" i="27"/>
  <c r="J351" i="27"/>
  <c r="J367" i="27"/>
  <c r="J383" i="27"/>
  <c r="J399" i="27"/>
  <c r="J409" i="27"/>
  <c r="J412" i="27"/>
  <c r="J454" i="27"/>
  <c r="J476" i="27"/>
  <c r="J534" i="27"/>
  <c r="J410" i="27"/>
  <c r="J442" i="27"/>
  <c r="J480" i="27"/>
  <c r="J487" i="27"/>
  <c r="J490" i="27"/>
  <c r="J510" i="27"/>
  <c r="J542" i="27"/>
  <c r="J558" i="27"/>
  <c r="J679" i="27"/>
  <c r="J418" i="27"/>
  <c r="J419" i="27"/>
  <c r="J450" i="27"/>
  <c r="J451" i="27"/>
  <c r="J477" i="27"/>
  <c r="J483" i="27"/>
  <c r="J518" i="27"/>
  <c r="J575" i="27"/>
  <c r="J579" i="27"/>
  <c r="J583" i="27"/>
  <c r="J587" i="27"/>
  <c r="J591" i="27"/>
  <c r="J595" i="27"/>
  <c r="J599" i="27"/>
  <c r="J603" i="27"/>
  <c r="J671" i="27"/>
  <c r="J426" i="27"/>
  <c r="J458" i="27"/>
  <c r="J494" i="27"/>
  <c r="J526" i="27"/>
  <c r="J550" i="27"/>
  <c r="J566" i="27"/>
  <c r="J486" i="27"/>
  <c r="J495" i="27"/>
  <c r="J503" i="27"/>
  <c r="J511" i="27"/>
  <c r="J519" i="27"/>
  <c r="J527" i="27"/>
  <c r="J535" i="27"/>
  <c r="J543" i="27"/>
  <c r="J663" i="27"/>
  <c r="J482" i="27"/>
  <c r="J546" i="27"/>
  <c r="J554" i="27"/>
  <c r="J562" i="27"/>
  <c r="J570" i="27"/>
  <c r="J573" i="27"/>
  <c r="J577" i="27"/>
  <c r="J581" i="27"/>
  <c r="J585" i="27"/>
  <c r="J589" i="27"/>
  <c r="J593" i="27"/>
  <c r="J597" i="27"/>
  <c r="J601" i="27"/>
  <c r="J605" i="27"/>
  <c r="J655" i="27"/>
  <c r="J613" i="27"/>
  <c r="J691" i="27"/>
  <c r="J572" i="27"/>
  <c r="J711" i="27"/>
  <c r="J609" i="27"/>
  <c r="J617" i="27"/>
  <c r="J727" i="27"/>
  <c r="J715" i="27"/>
  <c r="J731" i="27"/>
  <c r="J698" i="27"/>
  <c r="J719" i="27"/>
  <c r="J735" i="27"/>
  <c r="J654" i="27"/>
  <c r="J662" i="27"/>
  <c r="J670" i="27"/>
  <c r="J678" i="27"/>
  <c r="J707" i="27"/>
  <c r="J723" i="27"/>
  <c r="J739" i="27"/>
  <c r="J697" i="27"/>
  <c r="J689" i="27"/>
  <c r="J706" i="27"/>
  <c r="J710" i="27"/>
  <c r="J714" i="27"/>
  <c r="J718" i="27"/>
  <c r="J722" i="27"/>
  <c r="J726" i="27"/>
  <c r="J730" i="27"/>
  <c r="J734" i="27"/>
  <c r="J738" i="27"/>
  <c r="J742" i="27"/>
  <c r="B7" i="28" a="1"/>
  <c r="C7" i="28" s="1"/>
  <c r="G982" i="28"/>
  <c r="G981" i="28"/>
  <c r="G980" i="28"/>
  <c r="G979" i="28"/>
  <c r="G978" i="28"/>
  <c r="G977" i="28"/>
  <c r="G976" i="28"/>
  <c r="G975" i="28"/>
  <c r="G974" i="28"/>
  <c r="G973" i="28"/>
  <c r="G972" i="28"/>
  <c r="G971" i="28"/>
  <c r="G970" i="28"/>
  <c r="G969" i="28"/>
  <c r="G968" i="28"/>
  <c r="G967" i="28"/>
  <c r="G966" i="28"/>
  <c r="G965" i="28"/>
  <c r="G964" i="28"/>
  <c r="G963" i="28"/>
  <c r="G962" i="28"/>
  <c r="G961" i="28"/>
  <c r="G960" i="28"/>
  <c r="G959" i="28"/>
  <c r="G958" i="28"/>
  <c r="G957" i="28"/>
  <c r="G956" i="28"/>
  <c r="G955" i="28"/>
  <c r="G954" i="28"/>
  <c r="G953" i="28"/>
  <c r="G952" i="28"/>
  <c r="G951" i="28"/>
  <c r="G950" i="28"/>
  <c r="G949" i="28"/>
  <c r="G948" i="28"/>
  <c r="G947" i="28"/>
  <c r="G946" i="28"/>
  <c r="G945" i="28"/>
  <c r="G944" i="28"/>
  <c r="G943" i="28"/>
  <c r="G942" i="28"/>
  <c r="G941" i="28"/>
  <c r="G940" i="28"/>
  <c r="G939" i="28"/>
  <c r="G938" i="28"/>
  <c r="G937" i="28"/>
  <c r="G936" i="28"/>
  <c r="G935" i="28"/>
  <c r="G934" i="28"/>
  <c r="G933" i="28"/>
  <c r="G932" i="28"/>
  <c r="G931" i="28"/>
  <c r="G930" i="28"/>
  <c r="G929" i="28"/>
  <c r="G928" i="28"/>
  <c r="G927" i="28"/>
  <c r="G926" i="28"/>
  <c r="G925" i="28"/>
  <c r="G924" i="28"/>
  <c r="G923" i="28"/>
  <c r="G922" i="28"/>
  <c r="G921" i="28"/>
  <c r="G920" i="28"/>
  <c r="G919" i="28"/>
  <c r="G918" i="28"/>
  <c r="G917" i="28"/>
  <c r="G916" i="28"/>
  <c r="G915" i="28"/>
  <c r="G914" i="28"/>
  <c r="G913" i="28"/>
  <c r="G912" i="28"/>
  <c r="G911" i="28"/>
  <c r="G910" i="28"/>
  <c r="G909" i="28"/>
  <c r="G908" i="28"/>
  <c r="G907" i="28"/>
  <c r="G906" i="28"/>
  <c r="G905" i="28"/>
  <c r="G904" i="28"/>
  <c r="G903" i="28"/>
  <c r="G902" i="28"/>
  <c r="G901" i="28"/>
  <c r="G900" i="28"/>
  <c r="G899" i="28"/>
  <c r="G898" i="28"/>
  <c r="G897" i="28"/>
  <c r="G896" i="28"/>
  <c r="G895" i="28"/>
  <c r="G894" i="28"/>
  <c r="G893" i="28"/>
  <c r="G892" i="28"/>
  <c r="G891" i="28"/>
  <c r="G890" i="28"/>
  <c r="G889" i="28"/>
  <c r="G888" i="28"/>
  <c r="G887" i="28"/>
  <c r="G886" i="28"/>
  <c r="G885" i="28"/>
  <c r="G884" i="28"/>
  <c r="G883" i="28"/>
  <c r="G882" i="28"/>
  <c r="G881" i="28"/>
  <c r="G880" i="28"/>
  <c r="G879" i="28"/>
  <c r="G878" i="28"/>
  <c r="G877" i="28"/>
  <c r="G876" i="28"/>
  <c r="G875" i="28"/>
  <c r="G874" i="28"/>
  <c r="G873" i="28"/>
  <c r="G872" i="28"/>
  <c r="G871" i="28"/>
  <c r="G870" i="28"/>
  <c r="G869" i="28"/>
  <c r="G868" i="28"/>
  <c r="G867" i="28"/>
  <c r="G866" i="28"/>
  <c r="G865" i="28"/>
  <c r="G864" i="28"/>
  <c r="G863" i="28"/>
  <c r="G862" i="28"/>
  <c r="G861" i="28"/>
  <c r="G860" i="28"/>
  <c r="G859" i="28"/>
  <c r="G858" i="28"/>
  <c r="G857" i="28"/>
  <c r="G856" i="28"/>
  <c r="G855" i="28"/>
  <c r="G854" i="28"/>
  <c r="G853" i="28"/>
  <c r="G852" i="28"/>
  <c r="G851" i="28"/>
  <c r="G850" i="28"/>
  <c r="G849" i="28"/>
  <c r="G848" i="28"/>
  <c r="G847" i="28"/>
  <c r="G846" i="28"/>
  <c r="G845" i="28"/>
  <c r="G844" i="28"/>
  <c r="G843" i="28"/>
  <c r="G842" i="28"/>
  <c r="G841" i="28"/>
  <c r="G840" i="28"/>
  <c r="G839" i="28"/>
  <c r="G838" i="28"/>
  <c r="G837" i="28"/>
  <c r="G836" i="28"/>
  <c r="G835" i="28"/>
  <c r="G834" i="28"/>
  <c r="G833" i="28"/>
  <c r="G832" i="28"/>
  <c r="G831" i="28"/>
  <c r="G830" i="28"/>
  <c r="G829" i="28"/>
  <c r="G828" i="28"/>
  <c r="G827" i="28"/>
  <c r="G826" i="28"/>
  <c r="G825" i="28"/>
  <c r="G824" i="28"/>
  <c r="G823" i="28"/>
  <c r="G822" i="28"/>
  <c r="G821" i="28"/>
  <c r="G820" i="28"/>
  <c r="G819" i="28"/>
  <c r="G818" i="28"/>
  <c r="G817" i="28"/>
  <c r="G816" i="28"/>
  <c r="G815" i="28"/>
  <c r="G814" i="28"/>
  <c r="G813" i="28"/>
  <c r="G812" i="28"/>
  <c r="G811" i="28"/>
  <c r="G810" i="28"/>
  <c r="G809" i="28"/>
  <c r="G808" i="28"/>
  <c r="G807" i="28"/>
  <c r="G806" i="28"/>
  <c r="G805" i="28"/>
  <c r="G804" i="28"/>
  <c r="G803" i="28"/>
  <c r="G802" i="28"/>
  <c r="G801" i="28"/>
  <c r="G800" i="28"/>
  <c r="G799" i="28"/>
  <c r="G798" i="28"/>
  <c r="G797" i="28"/>
  <c r="G796" i="28"/>
  <c r="G795" i="28"/>
  <c r="G794" i="28"/>
  <c r="G793" i="28"/>
  <c r="G792" i="28"/>
  <c r="G791" i="28"/>
  <c r="G790" i="28"/>
  <c r="G789" i="28"/>
  <c r="G788" i="28"/>
  <c r="G787" i="28"/>
  <c r="G786" i="28"/>
  <c r="G785" i="28"/>
  <c r="G784" i="28"/>
  <c r="G783" i="28"/>
  <c r="G782" i="28"/>
  <c r="G781" i="28"/>
  <c r="G780" i="28"/>
  <c r="G779" i="28"/>
  <c r="G778" i="28"/>
  <c r="G777" i="28"/>
  <c r="G776" i="28"/>
  <c r="G775" i="28"/>
  <c r="G774" i="28"/>
  <c r="G773" i="28"/>
  <c r="G772" i="28"/>
  <c r="G771" i="28"/>
  <c r="G770" i="28"/>
  <c r="G769" i="28"/>
  <c r="G768" i="28"/>
  <c r="G767" i="28"/>
  <c r="G766" i="28"/>
  <c r="G765" i="28"/>
  <c r="G764" i="28"/>
  <c r="G763" i="28"/>
  <c r="G762" i="28"/>
  <c r="G761" i="28"/>
  <c r="G760" i="28"/>
  <c r="G759" i="28"/>
  <c r="G758" i="28"/>
  <c r="G757" i="28"/>
  <c r="G756" i="28"/>
  <c r="G755" i="28"/>
  <c r="G754" i="28"/>
  <c r="G753" i="28"/>
  <c r="G752" i="28"/>
  <c r="G751" i="28"/>
  <c r="G750" i="28"/>
  <c r="G749" i="28"/>
  <c r="G748" i="28"/>
  <c r="G747" i="28"/>
  <c r="G746" i="28"/>
  <c r="G745" i="28"/>
  <c r="G744" i="28"/>
  <c r="G743" i="28"/>
  <c r="G742" i="28"/>
  <c r="G741" i="28"/>
  <c r="G740" i="28"/>
  <c r="G739" i="28"/>
  <c r="G738" i="28"/>
  <c r="G737" i="28"/>
  <c r="G736" i="28"/>
  <c r="G735" i="28"/>
  <c r="G734" i="28"/>
  <c r="G733" i="28"/>
  <c r="G732" i="28"/>
  <c r="G731" i="28"/>
  <c r="G730" i="28"/>
  <c r="G729" i="28"/>
  <c r="G728" i="28"/>
  <c r="G727" i="28"/>
  <c r="G726" i="28"/>
  <c r="G725" i="28"/>
  <c r="G724" i="28"/>
  <c r="G723" i="28"/>
  <c r="G722" i="28"/>
  <c r="G721" i="28"/>
  <c r="G720" i="28"/>
  <c r="G719" i="28"/>
  <c r="G718" i="28"/>
  <c r="G717" i="28"/>
  <c r="G716" i="28"/>
  <c r="G715" i="28"/>
  <c r="G714" i="28"/>
  <c r="G713" i="28"/>
  <c r="G712" i="28"/>
  <c r="G711" i="28"/>
  <c r="G710" i="28"/>
  <c r="G709" i="28"/>
  <c r="G708" i="28"/>
  <c r="G707" i="28"/>
  <c r="G706" i="28"/>
  <c r="G705" i="28"/>
  <c r="G704" i="28"/>
  <c r="G703" i="28"/>
  <c r="G702" i="28"/>
  <c r="G701" i="28"/>
  <c r="G700" i="28"/>
  <c r="G699" i="28"/>
  <c r="G698" i="28"/>
  <c r="G697" i="28"/>
  <c r="G696" i="28"/>
  <c r="G695" i="28"/>
  <c r="G694" i="28"/>
  <c r="G693" i="28"/>
  <c r="G692" i="28"/>
  <c r="G691" i="28"/>
  <c r="G690" i="28"/>
  <c r="G689" i="28"/>
  <c r="G688" i="28"/>
  <c r="G687" i="28"/>
  <c r="G686" i="28"/>
  <c r="G685" i="28"/>
  <c r="G684" i="28"/>
  <c r="G683" i="28"/>
  <c r="G682" i="28"/>
  <c r="G681" i="28"/>
  <c r="G680" i="28"/>
  <c r="G679" i="28"/>
  <c r="G678" i="28"/>
  <c r="G677" i="28"/>
  <c r="G676" i="28"/>
  <c r="G675" i="28"/>
  <c r="G674" i="28"/>
  <c r="G673" i="28"/>
  <c r="G672" i="28"/>
  <c r="G671" i="28"/>
  <c r="G670" i="28"/>
  <c r="G669" i="28"/>
  <c r="G668" i="28"/>
  <c r="G667" i="28"/>
  <c r="G666" i="28"/>
  <c r="G665" i="28"/>
  <c r="G664" i="28"/>
  <c r="G663" i="28"/>
  <c r="G662" i="28"/>
  <c r="G661" i="28"/>
  <c r="G660" i="28"/>
  <c r="G659" i="28"/>
  <c r="G658" i="28"/>
  <c r="G657" i="28"/>
  <c r="G656" i="28"/>
  <c r="G655" i="28"/>
  <c r="G654" i="28"/>
  <c r="G653" i="28"/>
  <c r="G652" i="28"/>
  <c r="G651" i="28"/>
  <c r="G650" i="28"/>
  <c r="G649" i="28"/>
  <c r="G648" i="28"/>
  <c r="G647" i="28"/>
  <c r="G646" i="28"/>
  <c r="G645" i="28"/>
  <c r="G644" i="28"/>
  <c r="G643" i="28"/>
  <c r="G642" i="28"/>
  <c r="G641" i="28"/>
  <c r="G640" i="28"/>
  <c r="G639" i="28"/>
  <c r="G638" i="28"/>
  <c r="G637" i="28"/>
  <c r="G636" i="28"/>
  <c r="G635" i="28"/>
  <c r="G634" i="28"/>
  <c r="G633" i="28"/>
  <c r="G632" i="28"/>
  <c r="G631" i="28"/>
  <c r="G630" i="28"/>
  <c r="G629" i="28"/>
  <c r="G628" i="28"/>
  <c r="G627" i="28"/>
  <c r="G626" i="28"/>
  <c r="G625" i="28"/>
  <c r="G624" i="28"/>
  <c r="G623" i="28"/>
  <c r="G622" i="28"/>
  <c r="G621" i="28"/>
  <c r="G620" i="28"/>
  <c r="G619" i="28"/>
  <c r="G618" i="28"/>
  <c r="G617" i="28"/>
  <c r="G616" i="28"/>
  <c r="G615" i="28"/>
  <c r="G614" i="28"/>
  <c r="G613" i="28"/>
  <c r="G612" i="28"/>
  <c r="G611" i="28"/>
  <c r="G610" i="28"/>
  <c r="G609" i="28"/>
  <c r="G608" i="28"/>
  <c r="G607" i="28"/>
  <c r="G606" i="28"/>
  <c r="G605" i="28"/>
  <c r="G604" i="28"/>
  <c r="G603" i="28"/>
  <c r="G602" i="28"/>
  <c r="G601" i="28"/>
  <c r="G600" i="28"/>
  <c r="G599" i="28"/>
  <c r="G598" i="28"/>
  <c r="G597" i="28"/>
  <c r="G596" i="28"/>
  <c r="G595" i="28"/>
  <c r="G594" i="28"/>
  <c r="G593" i="28"/>
  <c r="G592" i="28"/>
  <c r="G591" i="28"/>
  <c r="G590" i="28"/>
  <c r="G589" i="28"/>
  <c r="G588" i="28"/>
  <c r="G587" i="28"/>
  <c r="G586" i="28"/>
  <c r="G585" i="28"/>
  <c r="G584" i="28"/>
  <c r="G583" i="28"/>
  <c r="G582" i="28"/>
  <c r="G581" i="28"/>
  <c r="G580" i="28"/>
  <c r="G579" i="28"/>
  <c r="G578" i="28"/>
  <c r="G577" i="28"/>
  <c r="G576" i="28"/>
  <c r="G575" i="28"/>
  <c r="G574" i="28"/>
  <c r="G573" i="28"/>
  <c r="G572" i="28"/>
  <c r="G571" i="28"/>
  <c r="G570" i="28"/>
  <c r="G569" i="28"/>
  <c r="G568" i="28"/>
  <c r="G567" i="28"/>
  <c r="G566" i="28"/>
  <c r="G565" i="28"/>
  <c r="G564" i="28"/>
  <c r="G563" i="28"/>
  <c r="G562" i="28"/>
  <c r="G561" i="28"/>
  <c r="G560" i="28"/>
  <c r="G559" i="28"/>
  <c r="G558" i="28"/>
  <c r="G557" i="28"/>
  <c r="G556" i="28"/>
  <c r="G555" i="28"/>
  <c r="G554" i="28"/>
  <c r="G553" i="28"/>
  <c r="G552" i="28"/>
  <c r="G551" i="28"/>
  <c r="G550" i="28"/>
  <c r="G549" i="28"/>
  <c r="G548" i="28"/>
  <c r="G547" i="28"/>
  <c r="G546" i="28"/>
  <c r="G545" i="28"/>
  <c r="G544" i="28"/>
  <c r="G543" i="28"/>
  <c r="G542" i="28"/>
  <c r="G541" i="28"/>
  <c r="G540" i="28"/>
  <c r="G539" i="28"/>
  <c r="G538" i="28"/>
  <c r="G537" i="28"/>
  <c r="G536" i="28"/>
  <c r="G535" i="28"/>
  <c r="G534" i="28"/>
  <c r="G533" i="28"/>
  <c r="G532" i="28"/>
  <c r="G531" i="28"/>
  <c r="G530" i="28"/>
  <c r="G529" i="28"/>
  <c r="G528" i="28"/>
  <c r="G527" i="28"/>
  <c r="G526" i="28"/>
  <c r="G525" i="28"/>
  <c r="G524" i="28"/>
  <c r="G523" i="28"/>
  <c r="G522" i="28"/>
  <c r="G521" i="28"/>
  <c r="G520" i="28"/>
  <c r="G519" i="28"/>
  <c r="G518" i="28"/>
  <c r="G517" i="28"/>
  <c r="G516" i="28"/>
  <c r="G515" i="28"/>
  <c r="G514" i="28"/>
  <c r="G513" i="28"/>
  <c r="G512" i="28"/>
  <c r="G511" i="28"/>
  <c r="G510" i="28"/>
  <c r="G509" i="28"/>
  <c r="G508" i="28"/>
  <c r="G507" i="28"/>
  <c r="G506" i="28"/>
  <c r="G505" i="28"/>
  <c r="G504" i="28"/>
  <c r="G503" i="28"/>
  <c r="G502" i="28"/>
  <c r="G501" i="28"/>
  <c r="G500" i="28"/>
  <c r="G499" i="28"/>
  <c r="G498" i="28"/>
  <c r="G497" i="28"/>
  <c r="G496" i="28"/>
  <c r="G495" i="28"/>
  <c r="G494" i="28"/>
  <c r="G493" i="28"/>
  <c r="G492" i="28"/>
  <c r="G491" i="28"/>
  <c r="G490" i="28"/>
  <c r="G489" i="28"/>
  <c r="G488" i="28"/>
  <c r="G487" i="28"/>
  <c r="G486" i="28"/>
  <c r="G485" i="28"/>
  <c r="G484" i="28"/>
  <c r="G483" i="28"/>
  <c r="G482" i="28"/>
  <c r="G481" i="28"/>
  <c r="G480" i="28"/>
  <c r="G479" i="28"/>
  <c r="G478" i="28"/>
  <c r="G477" i="28"/>
  <c r="G476" i="28"/>
  <c r="G475" i="28"/>
  <c r="G474" i="28"/>
  <c r="G473" i="28"/>
  <c r="G472" i="28"/>
  <c r="G471" i="28"/>
  <c r="G470" i="28"/>
  <c r="G469" i="28"/>
  <c r="G468" i="28"/>
  <c r="G467" i="28"/>
  <c r="G466" i="28"/>
  <c r="G465" i="28"/>
  <c r="G464" i="28"/>
  <c r="G463" i="28"/>
  <c r="G462" i="28"/>
  <c r="G461" i="28"/>
  <c r="G460" i="28"/>
  <c r="G459" i="28"/>
  <c r="G458" i="28"/>
  <c r="G457" i="28"/>
  <c r="G456" i="28"/>
  <c r="G455" i="28"/>
  <c r="G454" i="28"/>
  <c r="G453" i="28"/>
  <c r="G452" i="28"/>
  <c r="G451" i="28"/>
  <c r="G450" i="28"/>
  <c r="G449" i="28"/>
  <c r="G448" i="28"/>
  <c r="G447" i="28"/>
  <c r="G446" i="28"/>
  <c r="G445" i="28"/>
  <c r="G444" i="28"/>
  <c r="G443" i="28"/>
  <c r="G442" i="28"/>
  <c r="G441" i="28"/>
  <c r="G440" i="28"/>
  <c r="G439" i="28"/>
  <c r="G438" i="28"/>
  <c r="G437" i="28"/>
  <c r="G436" i="28"/>
  <c r="G435" i="28"/>
  <c r="G434" i="28"/>
  <c r="G433" i="28"/>
  <c r="G432" i="28"/>
  <c r="G431" i="28"/>
  <c r="G430" i="28"/>
  <c r="G429" i="28"/>
  <c r="G428" i="28"/>
  <c r="G427" i="28"/>
  <c r="G426" i="28"/>
  <c r="G425" i="28"/>
  <c r="G424" i="28"/>
  <c r="G423" i="28"/>
  <c r="G422" i="28"/>
  <c r="G421" i="28"/>
  <c r="G420" i="28"/>
  <c r="G419" i="28"/>
  <c r="G418" i="28"/>
  <c r="G417" i="28"/>
  <c r="G416" i="28"/>
  <c r="G415" i="28"/>
  <c r="G414" i="28"/>
  <c r="G413" i="28"/>
  <c r="G412" i="28"/>
  <c r="G411" i="28"/>
  <c r="G410" i="28"/>
  <c r="G409" i="28"/>
  <c r="G408" i="28"/>
  <c r="G407" i="28"/>
  <c r="G406" i="28"/>
  <c r="G405" i="28"/>
  <c r="G404" i="28"/>
  <c r="G403" i="28"/>
  <c r="G402" i="28"/>
  <c r="G401" i="28"/>
  <c r="G400" i="28"/>
  <c r="G399" i="28"/>
  <c r="G398" i="28"/>
  <c r="G397" i="28"/>
  <c r="G396" i="28"/>
  <c r="G395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80" i="28"/>
  <c r="G379" i="28"/>
  <c r="G378" i="28"/>
  <c r="G377" i="28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3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7" i="28"/>
  <c r="G276" i="28"/>
  <c r="G275" i="28"/>
  <c r="G274" i="28"/>
  <c r="G273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" i="28"/>
  <c r="B7" i="26" a="1"/>
  <c r="B7" i="26" s="1"/>
  <c r="B7" i="27" a="1"/>
  <c r="C7" i="27" s="1"/>
  <c r="D7" i="28" l="1"/>
  <c r="B7" i="28"/>
  <c r="D7" i="26"/>
  <c r="C7" i="26"/>
  <c r="B7" i="27"/>
  <c r="I980" i="28" l="1"/>
  <c r="I976" i="28"/>
  <c r="I972" i="28"/>
  <c r="I968" i="28"/>
  <c r="I964" i="28"/>
  <c r="I960" i="28"/>
  <c r="I956" i="28"/>
  <c r="I981" i="28"/>
  <c r="I977" i="28"/>
  <c r="I973" i="28"/>
  <c r="I969" i="28"/>
  <c r="I965" i="28"/>
  <c r="I961" i="28"/>
  <c r="I957" i="28"/>
  <c r="I953" i="28"/>
  <c r="I949" i="28"/>
  <c r="I945" i="28"/>
  <c r="I940" i="28"/>
  <c r="I937" i="28"/>
  <c r="I932" i="28"/>
  <c r="I929" i="28"/>
  <c r="I924" i="28"/>
  <c r="I921" i="28"/>
  <c r="I916" i="28"/>
  <c r="I913" i="28"/>
  <c r="I908" i="28"/>
  <c r="I905" i="28"/>
  <c r="I900" i="28"/>
  <c r="I897" i="28"/>
  <c r="I895" i="28"/>
  <c r="I892" i="28"/>
  <c r="I889" i="28"/>
  <c r="I887" i="28"/>
  <c r="I884" i="28"/>
  <c r="I881" i="28"/>
  <c r="I879" i="28"/>
  <c r="I876" i="28"/>
  <c r="I873" i="28"/>
  <c r="I871" i="28"/>
  <c r="I868" i="28"/>
  <c r="I865" i="28"/>
  <c r="I863" i="28"/>
  <c r="I860" i="28"/>
  <c r="I857" i="28"/>
  <c r="I855" i="28"/>
  <c r="I982" i="28"/>
  <c r="I974" i="28"/>
  <c r="I966" i="28"/>
  <c r="I958" i="28"/>
  <c r="I951" i="28"/>
  <c r="I935" i="28"/>
  <c r="I933" i="28"/>
  <c r="I931" i="28"/>
  <c r="I922" i="28"/>
  <c r="I920" i="28"/>
  <c r="I918" i="28"/>
  <c r="I903" i="28"/>
  <c r="I901" i="28"/>
  <c r="I899" i="28"/>
  <c r="I890" i="28"/>
  <c r="I888" i="28"/>
  <c r="I886" i="28"/>
  <c r="I875" i="28"/>
  <c r="I869" i="28"/>
  <c r="I858" i="28"/>
  <c r="I856" i="28"/>
  <c r="I854" i="28"/>
  <c r="I846" i="28"/>
  <c r="I838" i="28"/>
  <c r="I830" i="28"/>
  <c r="I822" i="28"/>
  <c r="I812" i="28"/>
  <c r="I979" i="28"/>
  <c r="I971" i="28"/>
  <c r="I963" i="28"/>
  <c r="I955" i="28"/>
  <c r="I947" i="28"/>
  <c r="I943" i="28"/>
  <c r="I941" i="28"/>
  <c r="I939" i="28"/>
  <c r="I930" i="28"/>
  <c r="I928" i="28"/>
  <c r="I926" i="28"/>
  <c r="I911" i="28"/>
  <c r="I909" i="28"/>
  <c r="I907" i="28"/>
  <c r="I898" i="28"/>
  <c r="I896" i="28"/>
  <c r="I894" i="28"/>
  <c r="I883" i="28"/>
  <c r="I877" i="28"/>
  <c r="I866" i="28"/>
  <c r="I864" i="28"/>
  <c r="I862" i="28"/>
  <c r="I852" i="28"/>
  <c r="I849" i="28"/>
  <c r="I847" i="28"/>
  <c r="I844" i="28"/>
  <c r="I841" i="28"/>
  <c r="I839" i="28"/>
  <c r="I836" i="28"/>
  <c r="I833" i="28"/>
  <c r="I831" i="28"/>
  <c r="I828" i="28"/>
  <c r="I825" i="28"/>
  <c r="I823" i="28"/>
  <c r="I820" i="28"/>
  <c r="I817" i="28"/>
  <c r="I815" i="28"/>
  <c r="I808" i="28"/>
  <c r="I806" i="28"/>
  <c r="I801" i="28"/>
  <c r="I799" i="28"/>
  <c r="I792" i="28"/>
  <c r="I790" i="28"/>
  <c r="I785" i="28"/>
  <c r="I783" i="28"/>
  <c r="I776" i="28"/>
  <c r="I774" i="28"/>
  <c r="I769" i="28"/>
  <c r="I767" i="28"/>
  <c r="I760" i="28"/>
  <c r="I758" i="28"/>
  <c r="I753" i="28"/>
  <c r="I970" i="28"/>
  <c r="I954" i="28"/>
  <c r="I950" i="28"/>
  <c r="I938" i="28"/>
  <c r="I934" i="28"/>
  <c r="I975" i="28"/>
  <c r="I959" i="28"/>
  <c r="I946" i="28"/>
  <c r="I942" i="28"/>
  <c r="I925" i="28"/>
  <c r="I912" i="28"/>
  <c r="I882" i="28"/>
  <c r="I878" i="28"/>
  <c r="I861" i="28"/>
  <c r="I853" i="28"/>
  <c r="I843" i="28"/>
  <c r="I840" i="28"/>
  <c r="I837" i="28"/>
  <c r="I827" i="28"/>
  <c r="I824" i="28"/>
  <c r="I821" i="28"/>
  <c r="I814" i="28"/>
  <c r="I794" i="28"/>
  <c r="I787" i="28"/>
  <c r="I782" i="28"/>
  <c r="I780" i="28"/>
  <c r="I775" i="28"/>
  <c r="I773" i="28"/>
  <c r="I770" i="28"/>
  <c r="I768" i="28"/>
  <c r="I763" i="28"/>
  <c r="I761" i="28"/>
  <c r="I756" i="28"/>
  <c r="I740" i="28"/>
  <c r="J740" i="28" s="1"/>
  <c r="I736" i="28"/>
  <c r="J736" i="28" s="1"/>
  <c r="I732" i="28"/>
  <c r="J732" i="28" s="1"/>
  <c r="I728" i="28"/>
  <c r="J728" i="28" s="1"/>
  <c r="I724" i="28"/>
  <c r="J724" i="28" s="1"/>
  <c r="I720" i="28"/>
  <c r="J720" i="28" s="1"/>
  <c r="I716" i="28"/>
  <c r="J716" i="28" s="1"/>
  <c r="I712" i="28"/>
  <c r="J712" i="28" s="1"/>
  <c r="I708" i="28"/>
  <c r="J708" i="28" s="1"/>
  <c r="I704" i="28"/>
  <c r="J704" i="28" s="1"/>
  <c r="I698" i="28"/>
  <c r="J698" i="28" s="1"/>
  <c r="I695" i="28"/>
  <c r="J695" i="28" s="1"/>
  <c r="I692" i="28"/>
  <c r="J692" i="28" s="1"/>
  <c r="I688" i="28"/>
  <c r="J688" i="28" s="1"/>
  <c r="I686" i="28"/>
  <c r="J686" i="28" s="1"/>
  <c r="I683" i="28"/>
  <c r="J683" i="28" s="1"/>
  <c r="I678" i="28"/>
  <c r="J678" i="28" s="1"/>
  <c r="I675" i="28"/>
  <c r="J675" i="28" s="1"/>
  <c r="I670" i="28"/>
  <c r="J670" i="28" s="1"/>
  <c r="I667" i="28"/>
  <c r="J667" i="28" s="1"/>
  <c r="I661" i="28"/>
  <c r="J661" i="28" s="1"/>
  <c r="I658" i="28"/>
  <c r="J658" i="28" s="1"/>
  <c r="I655" i="28"/>
  <c r="J655" i="28" s="1"/>
  <c r="I651" i="28"/>
  <c r="J651" i="28" s="1"/>
  <c r="I647" i="28"/>
  <c r="J647" i="28" s="1"/>
  <c r="I643" i="28"/>
  <c r="J643" i="28" s="1"/>
  <c r="I639" i="28"/>
  <c r="J639" i="28" s="1"/>
  <c r="I635" i="28"/>
  <c r="J635" i="28" s="1"/>
  <c r="I631" i="28"/>
  <c r="J631" i="28" s="1"/>
  <c r="I627" i="28"/>
  <c r="J627" i="28" s="1"/>
  <c r="I623" i="28"/>
  <c r="J623" i="28" s="1"/>
  <c r="I619" i="28"/>
  <c r="J619" i="28" s="1"/>
  <c r="I615" i="28"/>
  <c r="J615" i="28" s="1"/>
  <c r="I611" i="28"/>
  <c r="J611" i="28" s="1"/>
  <c r="I607" i="28"/>
  <c r="J607" i="28" s="1"/>
  <c r="I603" i="28"/>
  <c r="J603" i="28" s="1"/>
  <c r="I599" i="28"/>
  <c r="J599" i="28" s="1"/>
  <c r="I595" i="28"/>
  <c r="J595" i="28" s="1"/>
  <c r="I591" i="28"/>
  <c r="J591" i="28" s="1"/>
  <c r="I588" i="28"/>
  <c r="J588" i="28" s="1"/>
  <c r="I584" i="28"/>
  <c r="J584" i="28" s="1"/>
  <c r="I581" i="28"/>
  <c r="J581" i="28" s="1"/>
  <c r="I578" i="28"/>
  <c r="J578" i="28" s="1"/>
  <c r="I575" i="28"/>
  <c r="J575" i="28" s="1"/>
  <c r="I572" i="28"/>
  <c r="J572" i="28" s="1"/>
  <c r="I568" i="28"/>
  <c r="J568" i="28" s="1"/>
  <c r="I565" i="28"/>
  <c r="J565" i="28" s="1"/>
  <c r="I563" i="28"/>
  <c r="J563" i="28" s="1"/>
  <c r="I561" i="28"/>
  <c r="J561" i="28" s="1"/>
  <c r="I559" i="28"/>
  <c r="J559" i="28" s="1"/>
  <c r="I557" i="28"/>
  <c r="J557" i="28" s="1"/>
  <c r="I555" i="28"/>
  <c r="J555" i="28" s="1"/>
  <c r="I553" i="28"/>
  <c r="J553" i="28" s="1"/>
  <c r="I551" i="28"/>
  <c r="J551" i="28" s="1"/>
  <c r="I549" i="28"/>
  <c r="J549" i="28" s="1"/>
  <c r="I547" i="28"/>
  <c r="J547" i="28" s="1"/>
  <c r="I545" i="28"/>
  <c r="J545" i="28" s="1"/>
  <c r="I543" i="28"/>
  <c r="J543" i="28" s="1"/>
  <c r="I541" i="28"/>
  <c r="J541" i="28" s="1"/>
  <c r="I539" i="28"/>
  <c r="J539" i="28" s="1"/>
  <c r="I537" i="28"/>
  <c r="J537" i="28" s="1"/>
  <c r="I535" i="28"/>
  <c r="J535" i="28" s="1"/>
  <c r="I533" i="28"/>
  <c r="J533" i="28" s="1"/>
  <c r="I531" i="28"/>
  <c r="J531" i="28" s="1"/>
  <c r="I529" i="28"/>
  <c r="J529" i="28" s="1"/>
  <c r="I527" i="28"/>
  <c r="J527" i="28" s="1"/>
  <c r="I525" i="28"/>
  <c r="J525" i="28" s="1"/>
  <c r="I523" i="28"/>
  <c r="J523" i="28" s="1"/>
  <c r="I521" i="28"/>
  <c r="J521" i="28" s="1"/>
  <c r="I519" i="28"/>
  <c r="J519" i="28" s="1"/>
  <c r="I517" i="28"/>
  <c r="J517" i="28" s="1"/>
  <c r="I515" i="28"/>
  <c r="J515" i="28" s="1"/>
  <c r="I513" i="28"/>
  <c r="J513" i="28" s="1"/>
  <c r="I511" i="28"/>
  <c r="J511" i="28" s="1"/>
  <c r="I509" i="28"/>
  <c r="J509" i="28" s="1"/>
  <c r="I507" i="28"/>
  <c r="J507" i="28" s="1"/>
  <c r="I505" i="28"/>
  <c r="J505" i="28" s="1"/>
  <c r="I500" i="28"/>
  <c r="J500" i="28" s="1"/>
  <c r="I497" i="28"/>
  <c r="J497" i="28" s="1"/>
  <c r="I492" i="28"/>
  <c r="J492" i="28" s="1"/>
  <c r="I489" i="28"/>
  <c r="J489" i="28" s="1"/>
  <c r="I484" i="28"/>
  <c r="J484" i="28" s="1"/>
  <c r="I481" i="28"/>
  <c r="J481" i="28" s="1"/>
  <c r="I476" i="28"/>
  <c r="J476" i="28" s="1"/>
  <c r="I473" i="28"/>
  <c r="J473" i="28" s="1"/>
  <c r="I468" i="28"/>
  <c r="J468" i="28" s="1"/>
  <c r="I465" i="28"/>
  <c r="J465" i="28" s="1"/>
  <c r="I460" i="28"/>
  <c r="J460" i="28" s="1"/>
  <c r="I978" i="28"/>
  <c r="I919" i="28"/>
  <c r="I914" i="28"/>
  <c r="I902" i="28"/>
  <c r="I891" i="28"/>
  <c r="I885" i="28"/>
  <c r="I880" i="28"/>
  <c r="I874" i="28"/>
  <c r="I848" i="28"/>
  <c r="I835" i="28"/>
  <c r="I826" i="28"/>
  <c r="I818" i="28"/>
  <c r="I813" i="28"/>
  <c r="I803" i="28"/>
  <c r="I800" i="28"/>
  <c r="I797" i="28"/>
  <c r="I784" i="28"/>
  <c r="I781" i="28"/>
  <c r="I778" i="28"/>
  <c r="I765" i="28"/>
  <c r="I762" i="28"/>
  <c r="I759" i="28"/>
  <c r="I750" i="28"/>
  <c r="I747" i="28"/>
  <c r="I741" i="28"/>
  <c r="J741" i="28" s="1"/>
  <c r="I735" i="28"/>
  <c r="J735" i="28" s="1"/>
  <c r="I730" i="28"/>
  <c r="J730" i="28" s="1"/>
  <c r="I725" i="28"/>
  <c r="J725" i="28" s="1"/>
  <c r="I719" i="28"/>
  <c r="J719" i="28" s="1"/>
  <c r="I714" i="28"/>
  <c r="J714" i="28" s="1"/>
  <c r="I709" i="28"/>
  <c r="J709" i="28" s="1"/>
  <c r="I700" i="28"/>
  <c r="J700" i="28" s="1"/>
  <c r="I691" i="28"/>
  <c r="J691" i="28" s="1"/>
  <c r="I687" i="28"/>
  <c r="J687" i="28" s="1"/>
  <c r="I684" i="28"/>
  <c r="J684" i="28" s="1"/>
  <c r="I680" i="28"/>
  <c r="J680" i="28" s="1"/>
  <c r="I673" i="28"/>
  <c r="J673" i="28" s="1"/>
  <c r="I669" i="28"/>
  <c r="J669" i="28" s="1"/>
  <c r="I666" i="28"/>
  <c r="J666" i="28" s="1"/>
  <c r="I662" i="28"/>
  <c r="J662" i="28" s="1"/>
  <c r="I657" i="28"/>
  <c r="J657" i="28" s="1"/>
  <c r="I653" i="28"/>
  <c r="J653" i="28" s="1"/>
  <c r="I648" i="28"/>
  <c r="J648" i="28" s="1"/>
  <c r="I642" i="28"/>
  <c r="J642" i="28" s="1"/>
  <c r="I637" i="28"/>
  <c r="J637" i="28" s="1"/>
  <c r="I632" i="28"/>
  <c r="J632" i="28" s="1"/>
  <c r="I626" i="28"/>
  <c r="J626" i="28" s="1"/>
  <c r="I621" i="28"/>
  <c r="J621" i="28" s="1"/>
  <c r="I616" i="28"/>
  <c r="J616" i="28" s="1"/>
  <c r="I610" i="28"/>
  <c r="J610" i="28" s="1"/>
  <c r="I605" i="28"/>
  <c r="J605" i="28" s="1"/>
  <c r="I600" i="28"/>
  <c r="J600" i="28" s="1"/>
  <c r="I594" i="28"/>
  <c r="J594" i="28" s="1"/>
  <c r="I590" i="28"/>
  <c r="J590" i="28" s="1"/>
  <c r="I585" i="28"/>
  <c r="J585" i="28" s="1"/>
  <c r="I567" i="28"/>
  <c r="J567" i="28" s="1"/>
  <c r="I564" i="28"/>
  <c r="J564" i="28" s="1"/>
  <c r="I556" i="28"/>
  <c r="J556" i="28" s="1"/>
  <c r="I548" i="28"/>
  <c r="J548" i="28" s="1"/>
  <c r="I540" i="28"/>
  <c r="J540" i="28" s="1"/>
  <c r="I532" i="28"/>
  <c r="J532" i="28" s="1"/>
  <c r="I524" i="28"/>
  <c r="J524" i="28" s="1"/>
  <c r="I516" i="28"/>
  <c r="J516" i="28" s="1"/>
  <c r="I508" i="28"/>
  <c r="J508" i="28" s="1"/>
  <c r="I502" i="28"/>
  <c r="J502" i="28" s="1"/>
  <c r="I495" i="28"/>
  <c r="J495" i="28" s="1"/>
  <c r="I491" i="28"/>
  <c r="J491" i="28" s="1"/>
  <c r="I488" i="28"/>
  <c r="J488" i="28" s="1"/>
  <c r="I477" i="28"/>
  <c r="J477" i="28" s="1"/>
  <c r="I474" i="28"/>
  <c r="J474" i="28" s="1"/>
  <c r="I470" i="28"/>
  <c r="J470" i="28" s="1"/>
  <c r="I463" i="28"/>
  <c r="J463" i="28" s="1"/>
  <c r="I459" i="28"/>
  <c r="J459" i="28" s="1"/>
  <c r="I454" i="28"/>
  <c r="J454" i="28" s="1"/>
  <c r="I451" i="28"/>
  <c r="J451" i="28" s="1"/>
  <c r="I446" i="28"/>
  <c r="J446" i="28" s="1"/>
  <c r="I443" i="28"/>
  <c r="J443" i="28" s="1"/>
  <c r="I440" i="28"/>
  <c r="J440" i="28" s="1"/>
  <c r="I438" i="28"/>
  <c r="J438" i="28" s="1"/>
  <c r="I436" i="28"/>
  <c r="J436" i="28" s="1"/>
  <c r="I434" i="28"/>
  <c r="J434" i="28" s="1"/>
  <c r="I432" i="28"/>
  <c r="J432" i="28" s="1"/>
  <c r="I430" i="28"/>
  <c r="J430" i="28" s="1"/>
  <c r="I428" i="28"/>
  <c r="J428" i="28" s="1"/>
  <c r="I426" i="28"/>
  <c r="J426" i="28" s="1"/>
  <c r="I424" i="28"/>
  <c r="J424" i="28" s="1"/>
  <c r="I422" i="28"/>
  <c r="J422" i="28" s="1"/>
  <c r="I417" i="28"/>
  <c r="J417" i="28" s="1"/>
  <c r="I414" i="28"/>
  <c r="J414" i="28" s="1"/>
  <c r="I409" i="28"/>
  <c r="J409" i="28" s="1"/>
  <c r="I406" i="28"/>
  <c r="J406" i="28" s="1"/>
  <c r="I401" i="28"/>
  <c r="J401" i="28" s="1"/>
  <c r="I398" i="28"/>
  <c r="J398" i="28" s="1"/>
  <c r="I393" i="28"/>
  <c r="J393" i="28" s="1"/>
  <c r="I390" i="28"/>
  <c r="J390" i="28" s="1"/>
  <c r="I385" i="28"/>
  <c r="J385" i="28" s="1"/>
  <c r="I382" i="28"/>
  <c r="J382" i="28" s="1"/>
  <c r="I379" i="28"/>
  <c r="J379" i="28" s="1"/>
  <c r="I372" i="28"/>
  <c r="J372" i="28" s="1"/>
  <c r="I369" i="28"/>
  <c r="J369" i="28" s="1"/>
  <c r="I366" i="28"/>
  <c r="J366" i="28" s="1"/>
  <c r="I363" i="28"/>
  <c r="J363" i="28" s="1"/>
  <c r="I356" i="28"/>
  <c r="J356" i="28" s="1"/>
  <c r="I353" i="28"/>
  <c r="J353" i="28" s="1"/>
  <c r="I350" i="28"/>
  <c r="J350" i="28" s="1"/>
  <c r="I347" i="28"/>
  <c r="J347" i="28" s="1"/>
  <c r="I343" i="28"/>
  <c r="J343" i="28" s="1"/>
  <c r="I340" i="28"/>
  <c r="J340" i="28" s="1"/>
  <c r="I337" i="28"/>
  <c r="J337" i="28" s="1"/>
  <c r="I967" i="28"/>
  <c r="I948" i="28"/>
  <c r="I906" i="28"/>
  <c r="I872" i="28"/>
  <c r="I867" i="28"/>
  <c r="I851" i="28"/>
  <c r="I842" i="28"/>
  <c r="I834" i="28"/>
  <c r="I809" i="28"/>
  <c r="I802" i="28"/>
  <c r="I796" i="28"/>
  <c r="I793" i="28"/>
  <c r="I786" i="28"/>
  <c r="I777" i="28"/>
  <c r="I771" i="28"/>
  <c r="I755" i="28"/>
  <c r="I752" i="28"/>
  <c r="I749" i="28"/>
  <c r="I744" i="28"/>
  <c r="I739" i="28"/>
  <c r="J739" i="28" s="1"/>
  <c r="I734" i="28"/>
  <c r="J734" i="28" s="1"/>
  <c r="I729" i="28"/>
  <c r="J729" i="28" s="1"/>
  <c r="I723" i="28"/>
  <c r="J723" i="28" s="1"/>
  <c r="I718" i="28"/>
  <c r="J718" i="28" s="1"/>
  <c r="I713" i="28"/>
  <c r="J713" i="28" s="1"/>
  <c r="I707" i="28"/>
  <c r="J707" i="28" s="1"/>
  <c r="I703" i="28"/>
  <c r="J703" i="28" s="1"/>
  <c r="I699" i="28"/>
  <c r="J699" i="28" s="1"/>
  <c r="I694" i="28"/>
  <c r="J694" i="28" s="1"/>
  <c r="I690" i="28"/>
  <c r="J690" i="28" s="1"/>
  <c r="I679" i="28"/>
  <c r="J679" i="28" s="1"/>
  <c r="I676" i="28"/>
  <c r="J676" i="28" s="1"/>
  <c r="I672" i="28"/>
  <c r="J672" i="28" s="1"/>
  <c r="I665" i="28"/>
  <c r="J665" i="28" s="1"/>
  <c r="I652" i="28"/>
  <c r="J652" i="28" s="1"/>
  <c r="I646" i="28"/>
  <c r="J646" i="28" s="1"/>
  <c r="I641" i="28"/>
  <c r="J641" i="28" s="1"/>
  <c r="I636" i="28"/>
  <c r="J636" i="28" s="1"/>
  <c r="I630" i="28"/>
  <c r="J630" i="28" s="1"/>
  <c r="I625" i="28"/>
  <c r="J625" i="28" s="1"/>
  <c r="I620" i="28"/>
  <c r="J620" i="28" s="1"/>
  <c r="I614" i="28"/>
  <c r="J614" i="28" s="1"/>
  <c r="I609" i="28"/>
  <c r="J609" i="28" s="1"/>
  <c r="I604" i="28"/>
  <c r="J604" i="28" s="1"/>
  <c r="I598" i="28"/>
  <c r="J598" i="28" s="1"/>
  <c r="I593" i="28"/>
  <c r="J593" i="28" s="1"/>
  <c r="I589" i="28"/>
  <c r="J589" i="28" s="1"/>
  <c r="I583" i="28"/>
  <c r="J583" i="28" s="1"/>
  <c r="I580" i="28"/>
  <c r="J580" i="28" s="1"/>
  <c r="I576" i="28"/>
  <c r="J576" i="28" s="1"/>
  <c r="I571" i="28"/>
  <c r="J571" i="28" s="1"/>
  <c r="I558" i="28"/>
  <c r="J558" i="28" s="1"/>
  <c r="I550" i="28"/>
  <c r="J550" i="28" s="1"/>
  <c r="I542" i="28"/>
  <c r="J542" i="28" s="1"/>
  <c r="I534" i="28"/>
  <c r="J534" i="28" s="1"/>
  <c r="I526" i="28"/>
  <c r="J526" i="28" s="1"/>
  <c r="I518" i="28"/>
  <c r="J518" i="28" s="1"/>
  <c r="I510" i="28"/>
  <c r="J510" i="28" s="1"/>
  <c r="I501" i="28"/>
  <c r="J501" i="28" s="1"/>
  <c r="I498" i="28"/>
  <c r="J498" i="28" s="1"/>
  <c r="I494" i="28"/>
  <c r="J494" i="28" s="1"/>
  <c r="I487" i="28"/>
  <c r="J487" i="28" s="1"/>
  <c r="I483" i="28"/>
  <c r="J483" i="28" s="1"/>
  <c r="I480" i="28"/>
  <c r="J480" i="28" s="1"/>
  <c r="I469" i="28"/>
  <c r="J469" i="28" s="1"/>
  <c r="I466" i="28"/>
  <c r="J466" i="28" s="1"/>
  <c r="I462" i="28"/>
  <c r="J462" i="28" s="1"/>
  <c r="I456" i="28"/>
  <c r="J456" i="28" s="1"/>
  <c r="I453" i="28"/>
  <c r="J453" i="28" s="1"/>
  <c r="I448" i="28"/>
  <c r="J448" i="28" s="1"/>
  <c r="I445" i="28"/>
  <c r="J445" i="28" s="1"/>
  <c r="I442" i="28"/>
  <c r="J442" i="28" s="1"/>
  <c r="I419" i="28"/>
  <c r="J419" i="28" s="1"/>
  <c r="I416" i="28"/>
  <c r="J416" i="28" s="1"/>
  <c r="I411" i="28"/>
  <c r="J411" i="28" s="1"/>
  <c r="I408" i="28"/>
  <c r="J408" i="28" s="1"/>
  <c r="I403" i="28"/>
  <c r="J403" i="28" s="1"/>
  <c r="I400" i="28"/>
  <c r="J400" i="28" s="1"/>
  <c r="I395" i="28"/>
  <c r="J395" i="28" s="1"/>
  <c r="I392" i="28"/>
  <c r="J392" i="28" s="1"/>
  <c r="I387" i="28"/>
  <c r="J387" i="28" s="1"/>
  <c r="I384" i="28"/>
  <c r="J384" i="28" s="1"/>
  <c r="I381" i="28"/>
  <c r="J381" i="28" s="1"/>
  <c r="I378" i="28"/>
  <c r="J378" i="28" s="1"/>
  <c r="I375" i="28"/>
  <c r="J375" i="28" s="1"/>
  <c r="I368" i="28"/>
  <c r="J368" i="28" s="1"/>
  <c r="I365" i="28"/>
  <c r="J365" i="28" s="1"/>
  <c r="I362" i="28"/>
  <c r="J362" i="28" s="1"/>
  <c r="I359" i="28"/>
  <c r="J359" i="28" s="1"/>
  <c r="I352" i="28"/>
  <c r="J352" i="28" s="1"/>
  <c r="I349" i="28"/>
  <c r="J349" i="28" s="1"/>
  <c r="I346" i="28"/>
  <c r="J346" i="28" s="1"/>
  <c r="I342" i="28"/>
  <c r="J342" i="28" s="1"/>
  <c r="I339" i="28"/>
  <c r="J339" i="28" s="1"/>
  <c r="I336" i="28"/>
  <c r="J336" i="28" s="1"/>
  <c r="I333" i="28"/>
  <c r="J333" i="28" s="1"/>
  <c r="I326" i="28"/>
  <c r="J326" i="28" s="1"/>
  <c r="I323" i="28"/>
  <c r="J323" i="28" s="1"/>
  <c r="I320" i="28"/>
  <c r="J320" i="28" s="1"/>
  <c r="I317" i="28"/>
  <c r="J317" i="28" s="1"/>
  <c r="I310" i="28"/>
  <c r="J310" i="28" s="1"/>
  <c r="I307" i="28"/>
  <c r="J307" i="28" s="1"/>
  <c r="I304" i="28"/>
  <c r="J304" i="28" s="1"/>
  <c r="I301" i="28"/>
  <c r="J301" i="28" s="1"/>
  <c r="I294" i="28"/>
  <c r="J294" i="28" s="1"/>
  <c r="I291" i="28"/>
  <c r="J291" i="28" s="1"/>
  <c r="I288" i="28"/>
  <c r="J288" i="28" s="1"/>
  <c r="I285" i="28"/>
  <c r="J285" i="28" s="1"/>
  <c r="I278" i="28"/>
  <c r="J278" i="28" s="1"/>
  <c r="I275" i="28"/>
  <c r="J275" i="28" s="1"/>
  <c r="I271" i="28"/>
  <c r="J271" i="28" s="1"/>
  <c r="I264" i="28"/>
  <c r="J264" i="28" s="1"/>
  <c r="I261" i="28"/>
  <c r="J261" i="28" s="1"/>
  <c r="I258" i="28"/>
  <c r="J258" i="28" s="1"/>
  <c r="I255" i="28"/>
  <c r="J255" i="28" s="1"/>
  <c r="I248" i="28"/>
  <c r="J248" i="28" s="1"/>
  <c r="I245" i="28"/>
  <c r="J245" i="28" s="1"/>
  <c r="I241" i="28"/>
  <c r="J241" i="28" s="1"/>
  <c r="I237" i="28"/>
  <c r="J237" i="28" s="1"/>
  <c r="I233" i="28"/>
  <c r="J233" i="28" s="1"/>
  <c r="I229" i="28"/>
  <c r="J229" i="28" s="1"/>
  <c r="I225" i="28"/>
  <c r="J225" i="28" s="1"/>
  <c r="I221" i="28"/>
  <c r="J221" i="28" s="1"/>
  <c r="I217" i="28"/>
  <c r="J217" i="28" s="1"/>
  <c r="I952" i="28"/>
  <c r="I936" i="28"/>
  <c r="I923" i="28"/>
  <c r="I829" i="28"/>
  <c r="I811" i="28"/>
  <c r="I805" i="28"/>
  <c r="I798" i="28"/>
  <c r="I779" i="28"/>
  <c r="I754" i="28"/>
  <c r="I743" i="28"/>
  <c r="I733" i="28"/>
  <c r="J733" i="28" s="1"/>
  <c r="I722" i="28"/>
  <c r="J722" i="28" s="1"/>
  <c r="I711" i="28"/>
  <c r="J711" i="28" s="1"/>
  <c r="I702" i="28"/>
  <c r="J702" i="28" s="1"/>
  <c r="I685" i="28"/>
  <c r="J685" i="28" s="1"/>
  <c r="I671" i="28"/>
  <c r="J671" i="28" s="1"/>
  <c r="I664" i="28"/>
  <c r="J664" i="28" s="1"/>
  <c r="I656" i="28"/>
  <c r="J656" i="28" s="1"/>
  <c r="I645" i="28"/>
  <c r="J645" i="28" s="1"/>
  <c r="I634" i="28"/>
  <c r="J634" i="28" s="1"/>
  <c r="I624" i="28"/>
  <c r="J624" i="28" s="1"/>
  <c r="I613" i="28"/>
  <c r="J613" i="28" s="1"/>
  <c r="I602" i="28"/>
  <c r="J602" i="28" s="1"/>
  <c r="I592" i="28"/>
  <c r="J592" i="28" s="1"/>
  <c r="I574" i="28"/>
  <c r="J574" i="28" s="1"/>
  <c r="I566" i="28"/>
  <c r="J566" i="28" s="1"/>
  <c r="I560" i="28"/>
  <c r="J560" i="28" s="1"/>
  <c r="I544" i="28"/>
  <c r="J544" i="28" s="1"/>
  <c r="I528" i="28"/>
  <c r="J528" i="28" s="1"/>
  <c r="I512" i="28"/>
  <c r="J512" i="28" s="1"/>
  <c r="I493" i="28"/>
  <c r="J493" i="28" s="1"/>
  <c r="I486" i="28"/>
  <c r="J486" i="28" s="1"/>
  <c r="I479" i="28"/>
  <c r="J479" i="28" s="1"/>
  <c r="I472" i="28"/>
  <c r="J472" i="28" s="1"/>
  <c r="I458" i="28"/>
  <c r="J458" i="28" s="1"/>
  <c r="I447" i="28"/>
  <c r="J447" i="28" s="1"/>
  <c r="I437" i="28"/>
  <c r="J437" i="28" s="1"/>
  <c r="I433" i="28"/>
  <c r="J433" i="28" s="1"/>
  <c r="I429" i="28"/>
  <c r="J429" i="28" s="1"/>
  <c r="I425" i="28"/>
  <c r="J425" i="28" s="1"/>
  <c r="I421" i="28"/>
  <c r="J421" i="28" s="1"/>
  <c r="I410" i="28"/>
  <c r="J410" i="28" s="1"/>
  <c r="I405" i="28"/>
  <c r="J405" i="28" s="1"/>
  <c r="I394" i="28"/>
  <c r="J394" i="28" s="1"/>
  <c r="I389" i="28"/>
  <c r="J389" i="28" s="1"/>
  <c r="I377" i="28"/>
  <c r="J377" i="28" s="1"/>
  <c r="I371" i="28"/>
  <c r="J371" i="28" s="1"/>
  <c r="I364" i="28"/>
  <c r="J364" i="28" s="1"/>
  <c r="I358" i="28"/>
  <c r="J358" i="28" s="1"/>
  <c r="I345" i="28"/>
  <c r="J345" i="28" s="1"/>
  <c r="I338" i="28"/>
  <c r="J338" i="28" s="1"/>
  <c r="I329" i="28"/>
  <c r="J329" i="28" s="1"/>
  <c r="I325" i="28"/>
  <c r="J325" i="28" s="1"/>
  <c r="I321" i="28"/>
  <c r="J321" i="28" s="1"/>
  <c r="I316" i="28"/>
  <c r="J316" i="28" s="1"/>
  <c r="I312" i="28"/>
  <c r="J312" i="28" s="1"/>
  <c r="I308" i="28"/>
  <c r="J308" i="28" s="1"/>
  <c r="I303" i="28"/>
  <c r="J303" i="28" s="1"/>
  <c r="I299" i="28"/>
  <c r="J299" i="28" s="1"/>
  <c r="I295" i="28"/>
  <c r="J295" i="28" s="1"/>
  <c r="I290" i="28"/>
  <c r="J290" i="28" s="1"/>
  <c r="I286" i="28"/>
  <c r="J286" i="28" s="1"/>
  <c r="I282" i="28"/>
  <c r="J282" i="28" s="1"/>
  <c r="I273" i="28"/>
  <c r="J273" i="28" s="1"/>
  <c r="I268" i="28"/>
  <c r="J268" i="28" s="1"/>
  <c r="I251" i="28"/>
  <c r="J251" i="28" s="1"/>
  <c r="I247" i="28"/>
  <c r="J247" i="28" s="1"/>
  <c r="I242" i="28"/>
  <c r="J242" i="28" s="1"/>
  <c r="I236" i="28"/>
  <c r="J236" i="28" s="1"/>
  <c r="I231" i="28"/>
  <c r="J231" i="28" s="1"/>
  <c r="I226" i="28"/>
  <c r="J226" i="28" s="1"/>
  <c r="I220" i="28"/>
  <c r="J220" i="28" s="1"/>
  <c r="I215" i="28"/>
  <c r="J215" i="28" s="1"/>
  <c r="I211" i="28"/>
  <c r="J211" i="28" s="1"/>
  <c r="I207" i="28"/>
  <c r="J207" i="28" s="1"/>
  <c r="I203" i="28"/>
  <c r="J203" i="28" s="1"/>
  <c r="I199" i="28"/>
  <c r="J199" i="28" s="1"/>
  <c r="I195" i="28"/>
  <c r="J195" i="28" s="1"/>
  <c r="I191" i="28"/>
  <c r="J191" i="28" s="1"/>
  <c r="I187" i="28"/>
  <c r="J187" i="28" s="1"/>
  <c r="I183" i="28"/>
  <c r="J183" i="28" s="1"/>
  <c r="I179" i="28"/>
  <c r="J179" i="28" s="1"/>
  <c r="I175" i="28"/>
  <c r="J175" i="28" s="1"/>
  <c r="I171" i="28"/>
  <c r="J171" i="28" s="1"/>
  <c r="I167" i="28"/>
  <c r="J167" i="28" s="1"/>
  <c r="I163" i="28"/>
  <c r="J163" i="28" s="1"/>
  <c r="I159" i="28"/>
  <c r="J159" i="28" s="1"/>
  <c r="I155" i="28"/>
  <c r="J155" i="28" s="1"/>
  <c r="I151" i="28"/>
  <c r="J151" i="28" s="1"/>
  <c r="I147" i="28"/>
  <c r="J147" i="28" s="1"/>
  <c r="I143" i="28"/>
  <c r="J143" i="28" s="1"/>
  <c r="I139" i="28"/>
  <c r="J139" i="28" s="1"/>
  <c r="I135" i="28"/>
  <c r="J135" i="28" s="1"/>
  <c r="I131" i="28"/>
  <c r="J131" i="28" s="1"/>
  <c r="I127" i="28"/>
  <c r="J127" i="28" s="1"/>
  <c r="I123" i="28"/>
  <c r="J123" i="28" s="1"/>
  <c r="I119" i="28"/>
  <c r="J119" i="28" s="1"/>
  <c r="I115" i="28"/>
  <c r="J115" i="28" s="1"/>
  <c r="I111" i="28"/>
  <c r="J111" i="28" s="1"/>
  <c r="I107" i="28"/>
  <c r="J107" i="28" s="1"/>
  <c r="I103" i="28"/>
  <c r="J103" i="28" s="1"/>
  <c r="I99" i="28"/>
  <c r="J99" i="28" s="1"/>
  <c r="I95" i="28"/>
  <c r="J95" i="28" s="1"/>
  <c r="I91" i="28"/>
  <c r="J91" i="28" s="1"/>
  <c r="I87" i="28"/>
  <c r="J87" i="28" s="1"/>
  <c r="I83" i="28"/>
  <c r="J83" i="28" s="1"/>
  <c r="I80" i="28"/>
  <c r="J80" i="28" s="1"/>
  <c r="I76" i="28"/>
  <c r="J76" i="28" s="1"/>
  <c r="I73" i="28"/>
  <c r="J73" i="28" s="1"/>
  <c r="I69" i="28"/>
  <c r="J69" i="28" s="1"/>
  <c r="I63" i="28"/>
  <c r="J63" i="28" s="1"/>
  <c r="I60" i="28"/>
  <c r="J60" i="28" s="1"/>
  <c r="I55" i="28"/>
  <c r="J55" i="28" s="1"/>
  <c r="I52" i="28"/>
  <c r="J52" i="28" s="1"/>
  <c r="I47" i="28"/>
  <c r="J47" i="28" s="1"/>
  <c r="I44" i="28"/>
  <c r="J44" i="28" s="1"/>
  <c r="I39" i="28"/>
  <c r="J39" i="28" s="1"/>
  <c r="I36" i="28"/>
  <c r="J36" i="28" s="1"/>
  <c r="I31" i="28"/>
  <c r="J31" i="28" s="1"/>
  <c r="I28" i="28"/>
  <c r="J28" i="28" s="1"/>
  <c r="I23" i="28"/>
  <c r="J23" i="28" s="1"/>
  <c r="I20" i="28"/>
  <c r="J20" i="28" s="1"/>
  <c r="I15" i="28"/>
  <c r="J15" i="28" s="1"/>
  <c r="I12" i="28"/>
  <c r="J12" i="28" s="1"/>
  <c r="I7" i="28"/>
  <c r="J7" i="28" s="1"/>
  <c r="I4" i="28"/>
  <c r="J4" i="28" s="1"/>
  <c r="I962" i="28"/>
  <c r="I764" i="28"/>
  <c r="I751" i="28"/>
  <c r="I746" i="28"/>
  <c r="I727" i="28"/>
  <c r="J727" i="28" s="1"/>
  <c r="I717" i="28"/>
  <c r="J717" i="28" s="1"/>
  <c r="I697" i="28"/>
  <c r="J697" i="28" s="1"/>
  <c r="I682" i="28"/>
  <c r="J682" i="28" s="1"/>
  <c r="I650" i="28"/>
  <c r="J650" i="28" s="1"/>
  <c r="I629" i="28"/>
  <c r="J629" i="28" s="1"/>
  <c r="I608" i="28"/>
  <c r="J608" i="28" s="1"/>
  <c r="I587" i="28"/>
  <c r="J587" i="28" s="1"/>
  <c r="I570" i="28"/>
  <c r="J570" i="28" s="1"/>
  <c r="I536" i="28"/>
  <c r="J536" i="28" s="1"/>
  <c r="I461" i="28"/>
  <c r="J461" i="28" s="1"/>
  <c r="I450" i="28"/>
  <c r="J450" i="28" s="1"/>
  <c r="I439" i="28"/>
  <c r="J439" i="28" s="1"/>
  <c r="I431" i="28"/>
  <c r="J431" i="28" s="1"/>
  <c r="I423" i="28"/>
  <c r="J423" i="28" s="1"/>
  <c r="I413" i="28"/>
  <c r="J413" i="28" s="1"/>
  <c r="I402" i="28"/>
  <c r="J402" i="28" s="1"/>
  <c r="I397" i="28"/>
  <c r="J397" i="28" s="1"/>
  <c r="I386" i="28"/>
  <c r="J386" i="28" s="1"/>
  <c r="I380" i="28"/>
  <c r="J380" i="28" s="1"/>
  <c r="I355" i="28"/>
  <c r="J355" i="28" s="1"/>
  <c r="I331" i="28"/>
  <c r="J331" i="28" s="1"/>
  <c r="I322" i="28"/>
  <c r="J322" i="28" s="1"/>
  <c r="I314" i="28"/>
  <c r="J314" i="28" s="1"/>
  <c r="I297" i="28"/>
  <c r="J297" i="28" s="1"/>
  <c r="I289" i="28"/>
  <c r="J289" i="28" s="1"/>
  <c r="I280" i="28"/>
  <c r="J280" i="28" s="1"/>
  <c r="I270" i="28"/>
  <c r="J270" i="28" s="1"/>
  <c r="I262" i="28"/>
  <c r="J262" i="28" s="1"/>
  <c r="I253" i="28"/>
  <c r="J253" i="28" s="1"/>
  <c r="I244" i="28"/>
  <c r="J244" i="28" s="1"/>
  <c r="I234" i="28"/>
  <c r="J234" i="28" s="1"/>
  <c r="I223" i="28"/>
  <c r="J223" i="28" s="1"/>
  <c r="I213" i="28"/>
  <c r="J213" i="28" s="1"/>
  <c r="I205" i="28"/>
  <c r="J205" i="28" s="1"/>
  <c r="I197" i="28"/>
  <c r="J197" i="28" s="1"/>
  <c r="I189" i="28"/>
  <c r="J189" i="28" s="1"/>
  <c r="I181" i="28"/>
  <c r="J181" i="28" s="1"/>
  <c r="I173" i="28"/>
  <c r="J173" i="28" s="1"/>
  <c r="I169" i="28"/>
  <c r="J169" i="28" s="1"/>
  <c r="I161" i="28"/>
  <c r="J161" i="28" s="1"/>
  <c r="I153" i="28"/>
  <c r="J153" i="28" s="1"/>
  <c r="I145" i="28"/>
  <c r="J145" i="28" s="1"/>
  <c r="I137" i="28"/>
  <c r="J137" i="28" s="1"/>
  <c r="I129" i="28"/>
  <c r="J129" i="28" s="1"/>
  <c r="I121" i="28"/>
  <c r="J121" i="28" s="1"/>
  <c r="I113" i="28"/>
  <c r="J113" i="28" s="1"/>
  <c r="I105" i="28"/>
  <c r="J105" i="28" s="1"/>
  <c r="I97" i="28"/>
  <c r="J97" i="28" s="1"/>
  <c r="I89" i="28"/>
  <c r="J89" i="28" s="1"/>
  <c r="I67" i="28"/>
  <c r="J67" i="28" s="1"/>
  <c r="I59" i="28"/>
  <c r="J59" i="28" s="1"/>
  <c r="B13" i="28" s="1"/>
  <c r="I51" i="28"/>
  <c r="J51" i="28" s="1"/>
  <c r="I40" i="28"/>
  <c r="J40" i="28" s="1"/>
  <c r="I35" i="28"/>
  <c r="J35" i="28" s="1"/>
  <c r="I910" i="28"/>
  <c r="I845" i="28"/>
  <c r="I819" i="28"/>
  <c r="I810" i="28"/>
  <c r="I804" i="28"/>
  <c r="I791" i="28"/>
  <c r="I772" i="28"/>
  <c r="I766" i="28"/>
  <c r="I748" i="28"/>
  <c r="I742" i="28"/>
  <c r="J742" i="28" s="1"/>
  <c r="I731" i="28"/>
  <c r="J731" i="28" s="1"/>
  <c r="I721" i="28"/>
  <c r="J721" i="28" s="1"/>
  <c r="I710" i="28"/>
  <c r="J710" i="28" s="1"/>
  <c r="I701" i="28"/>
  <c r="J701" i="28" s="1"/>
  <c r="I693" i="28"/>
  <c r="J693" i="28" s="1"/>
  <c r="I677" i="28"/>
  <c r="J677" i="28" s="1"/>
  <c r="I663" i="28"/>
  <c r="J663" i="28" s="1"/>
  <c r="I654" i="28"/>
  <c r="J654" i="28" s="1"/>
  <c r="I644" i="28"/>
  <c r="J644" i="28" s="1"/>
  <c r="I633" i="28"/>
  <c r="J633" i="28" s="1"/>
  <c r="I622" i="28"/>
  <c r="J622" i="28" s="1"/>
  <c r="I612" i="28"/>
  <c r="J612" i="28" s="1"/>
  <c r="I601" i="28"/>
  <c r="J601" i="28" s="1"/>
  <c r="I582" i="28"/>
  <c r="J582" i="28" s="1"/>
  <c r="I573" i="28"/>
  <c r="J573" i="28" s="1"/>
  <c r="I554" i="28"/>
  <c r="J554" i="28" s="1"/>
  <c r="I538" i="28"/>
  <c r="J538" i="28" s="1"/>
  <c r="I522" i="28"/>
  <c r="J522" i="28" s="1"/>
  <c r="I506" i="28"/>
  <c r="J506" i="28" s="1"/>
  <c r="I499" i="28"/>
  <c r="J499" i="28" s="1"/>
  <c r="I485" i="28"/>
  <c r="J485" i="28" s="1"/>
  <c r="I478" i="28"/>
  <c r="J478" i="28" s="1"/>
  <c r="I471" i="28"/>
  <c r="J471" i="28" s="1"/>
  <c r="I464" i="28"/>
  <c r="J464" i="28" s="1"/>
  <c r="I457" i="28"/>
  <c r="J457" i="28" s="1"/>
  <c r="I452" i="28"/>
  <c r="J452" i="28" s="1"/>
  <c r="I441" i="28"/>
  <c r="J441" i="28" s="1"/>
  <c r="I420" i="28"/>
  <c r="J420" i="28" s="1"/>
  <c r="I415" i="28"/>
  <c r="J415" i="28" s="1"/>
  <c r="I404" i="28"/>
  <c r="J404" i="28" s="1"/>
  <c r="I399" i="28"/>
  <c r="J399" i="28" s="1"/>
  <c r="I388" i="28"/>
  <c r="J388" i="28" s="1"/>
  <c r="I383" i="28"/>
  <c r="J383" i="28" s="1"/>
  <c r="I376" i="28"/>
  <c r="J376" i="28" s="1"/>
  <c r="I370" i="28"/>
  <c r="J370" i="28" s="1"/>
  <c r="I357" i="28"/>
  <c r="J357" i="28" s="1"/>
  <c r="I351" i="28"/>
  <c r="J351" i="28" s="1"/>
  <c r="I344" i="28"/>
  <c r="J344" i="28" s="1"/>
  <c r="I332" i="28"/>
  <c r="J332" i="28" s="1"/>
  <c r="I328" i="28"/>
  <c r="J328" i="28" s="1"/>
  <c r="I324" i="28"/>
  <c r="J324" i="28" s="1"/>
  <c r="I319" i="28"/>
  <c r="J319" i="28" s="1"/>
  <c r="I315" i="28"/>
  <c r="J315" i="28" s="1"/>
  <c r="I311" i="28"/>
  <c r="J311" i="28" s="1"/>
  <c r="I306" i="28"/>
  <c r="J306" i="28" s="1"/>
  <c r="I302" i="28"/>
  <c r="J302" i="28" s="1"/>
  <c r="I298" i="28"/>
  <c r="J298" i="28" s="1"/>
  <c r="I281" i="28"/>
  <c r="J281" i="28" s="1"/>
  <c r="I277" i="28"/>
  <c r="J277" i="28" s="1"/>
  <c r="I272" i="28"/>
  <c r="J272" i="28" s="1"/>
  <c r="I267" i="28"/>
  <c r="J267" i="28" s="1"/>
  <c r="I263" i="28"/>
  <c r="J263" i="28" s="1"/>
  <c r="I259" i="28"/>
  <c r="J259" i="28" s="1"/>
  <c r="I254" i="28"/>
  <c r="J254" i="28" s="1"/>
  <c r="I250" i="28"/>
  <c r="J250" i="28" s="1"/>
  <c r="I246" i="28"/>
  <c r="J246" i="28" s="1"/>
  <c r="I240" i="28"/>
  <c r="J240" i="28" s="1"/>
  <c r="I235" i="28"/>
  <c r="J235" i="28" s="1"/>
  <c r="I230" i="28"/>
  <c r="J230" i="28" s="1"/>
  <c r="I224" i="28"/>
  <c r="J224" i="28" s="1"/>
  <c r="I219" i="28"/>
  <c r="J219" i="28" s="1"/>
  <c r="I214" i="28"/>
  <c r="J214" i="28" s="1"/>
  <c r="I210" i="28"/>
  <c r="J210" i="28" s="1"/>
  <c r="I206" i="28"/>
  <c r="J206" i="28" s="1"/>
  <c r="I202" i="28"/>
  <c r="J202" i="28" s="1"/>
  <c r="I198" i="28"/>
  <c r="J198" i="28" s="1"/>
  <c r="I194" i="28"/>
  <c r="J194" i="28" s="1"/>
  <c r="I190" i="28"/>
  <c r="J190" i="28" s="1"/>
  <c r="I186" i="28"/>
  <c r="J186" i="28" s="1"/>
  <c r="I182" i="28"/>
  <c r="J182" i="28" s="1"/>
  <c r="I178" i="28"/>
  <c r="J178" i="28" s="1"/>
  <c r="I174" i="28"/>
  <c r="J174" i="28" s="1"/>
  <c r="I170" i="28"/>
  <c r="J170" i="28" s="1"/>
  <c r="I166" i="28"/>
  <c r="J166" i="28" s="1"/>
  <c r="I162" i="28"/>
  <c r="J162" i="28" s="1"/>
  <c r="I158" i="28"/>
  <c r="J158" i="28" s="1"/>
  <c r="I154" i="28"/>
  <c r="J154" i="28" s="1"/>
  <c r="I150" i="28"/>
  <c r="J150" i="28" s="1"/>
  <c r="I146" i="28"/>
  <c r="J146" i="28" s="1"/>
  <c r="I142" i="28"/>
  <c r="J142" i="28" s="1"/>
  <c r="I138" i="28"/>
  <c r="J138" i="28" s="1"/>
  <c r="I134" i="28"/>
  <c r="J134" i="28" s="1"/>
  <c r="I130" i="28"/>
  <c r="J130" i="28" s="1"/>
  <c r="I126" i="28"/>
  <c r="J126" i="28" s="1"/>
  <c r="I122" i="28"/>
  <c r="J122" i="28" s="1"/>
  <c r="I118" i="28"/>
  <c r="J118" i="28" s="1"/>
  <c r="I114" i="28"/>
  <c r="J114" i="28" s="1"/>
  <c r="I110" i="28"/>
  <c r="J110" i="28" s="1"/>
  <c r="I106" i="28"/>
  <c r="J106" i="28" s="1"/>
  <c r="I102" i="28"/>
  <c r="J102" i="28" s="1"/>
  <c r="I98" i="28"/>
  <c r="J98" i="28" s="1"/>
  <c r="I94" i="28"/>
  <c r="J94" i="28" s="1"/>
  <c r="I90" i="28"/>
  <c r="J90" i="28" s="1"/>
  <c r="I86" i="28"/>
  <c r="J86" i="28" s="1"/>
  <c r="I82" i="28"/>
  <c r="J82" i="28" s="1"/>
  <c r="I79" i="28"/>
  <c r="J79" i="28" s="1"/>
  <c r="I75" i="28"/>
  <c r="J75" i="28" s="1"/>
  <c r="I72" i="28"/>
  <c r="J72" i="28" s="1"/>
  <c r="I68" i="28"/>
  <c r="J68" i="28" s="1"/>
  <c r="I65" i="28"/>
  <c r="J65" i="28" s="1"/>
  <c r="I62" i="28"/>
  <c r="J62" i="28" s="1"/>
  <c r="I57" i="28"/>
  <c r="J57" i="28" s="1"/>
  <c r="I54" i="28"/>
  <c r="J54" i="28" s="1"/>
  <c r="I49" i="28"/>
  <c r="J49" i="28" s="1"/>
  <c r="I46" i="28"/>
  <c r="J46" i="28" s="1"/>
  <c r="I41" i="28"/>
  <c r="J41" i="28" s="1"/>
  <c r="I38" i="28"/>
  <c r="J38" i="28" s="1"/>
  <c r="I33" i="28"/>
  <c r="J33" i="28" s="1"/>
  <c r="I30" i="28"/>
  <c r="J30" i="28" s="1"/>
  <c r="I25" i="28"/>
  <c r="J25" i="28" s="1"/>
  <c r="I22" i="28"/>
  <c r="J22" i="28" s="1"/>
  <c r="I17" i="28"/>
  <c r="J17" i="28" s="1"/>
  <c r="I14" i="28"/>
  <c r="J14" i="28" s="1"/>
  <c r="I9" i="28"/>
  <c r="J9" i="28" s="1"/>
  <c r="I6" i="28"/>
  <c r="J6" i="28" s="1"/>
  <c r="I917" i="28"/>
  <c r="I859" i="28"/>
  <c r="I850" i="28"/>
  <c r="I816" i="28"/>
  <c r="I795" i="28"/>
  <c r="I789" i="28"/>
  <c r="I738" i="28"/>
  <c r="J738" i="28" s="1"/>
  <c r="I706" i="28"/>
  <c r="J706" i="28" s="1"/>
  <c r="I689" i="28"/>
  <c r="J689" i="28" s="1"/>
  <c r="I668" i="28"/>
  <c r="J668" i="28" s="1"/>
  <c r="I660" i="28"/>
  <c r="J660" i="28" s="1"/>
  <c r="I640" i="28"/>
  <c r="J640" i="28" s="1"/>
  <c r="I618" i="28"/>
  <c r="J618" i="28" s="1"/>
  <c r="I597" i="28"/>
  <c r="J597" i="28" s="1"/>
  <c r="I579" i="28"/>
  <c r="J579" i="28" s="1"/>
  <c r="I552" i="28"/>
  <c r="J552" i="28" s="1"/>
  <c r="I520" i="28"/>
  <c r="J520" i="28" s="1"/>
  <c r="I504" i="28"/>
  <c r="J504" i="28" s="1"/>
  <c r="I490" i="28"/>
  <c r="J490" i="28" s="1"/>
  <c r="I475" i="28"/>
  <c r="J475" i="28" s="1"/>
  <c r="I455" i="28"/>
  <c r="J455" i="28" s="1"/>
  <c r="I444" i="28"/>
  <c r="J444" i="28" s="1"/>
  <c r="I435" i="28"/>
  <c r="J435" i="28" s="1"/>
  <c r="I427" i="28"/>
  <c r="J427" i="28" s="1"/>
  <c r="I418" i="28"/>
  <c r="J418" i="28" s="1"/>
  <c r="I374" i="28"/>
  <c r="J374" i="28" s="1"/>
  <c r="I361" i="28"/>
  <c r="J361" i="28" s="1"/>
  <c r="I348" i="28"/>
  <c r="J348" i="28" s="1"/>
  <c r="I335" i="28"/>
  <c r="J335" i="28" s="1"/>
  <c r="I327" i="28"/>
  <c r="J327" i="28" s="1"/>
  <c r="I318" i="28"/>
  <c r="J318" i="28" s="1"/>
  <c r="I293" i="28"/>
  <c r="J293" i="28" s="1"/>
  <c r="I284" i="28"/>
  <c r="J284" i="28" s="1"/>
  <c r="I276" i="28"/>
  <c r="J276" i="28" s="1"/>
  <c r="I266" i="28"/>
  <c r="J266" i="28" s="1"/>
  <c r="I257" i="28"/>
  <c r="J257" i="28" s="1"/>
  <c r="B22" i="28" s="1"/>
  <c r="I249" i="28"/>
  <c r="J249" i="28" s="1"/>
  <c r="I239" i="28"/>
  <c r="J239" i="28" s="1"/>
  <c r="I228" i="28"/>
  <c r="J228" i="28" s="1"/>
  <c r="I218" i="28"/>
  <c r="J218" i="28" s="1"/>
  <c r="I209" i="28"/>
  <c r="J209" i="28" s="1"/>
  <c r="I201" i="28"/>
  <c r="J201" i="28" s="1"/>
  <c r="I193" i="28"/>
  <c r="J193" i="28" s="1"/>
  <c r="I185" i="28"/>
  <c r="J185" i="28" s="1"/>
  <c r="I177" i="28"/>
  <c r="J177" i="28" s="1"/>
  <c r="I165" i="28"/>
  <c r="J165" i="28" s="1"/>
  <c r="I157" i="28"/>
  <c r="J157" i="28" s="1"/>
  <c r="I149" i="28"/>
  <c r="J149" i="28" s="1"/>
  <c r="I141" i="28"/>
  <c r="J141" i="28" s="1"/>
  <c r="I133" i="28"/>
  <c r="J133" i="28" s="1"/>
  <c r="I125" i="28"/>
  <c r="J125" i="28" s="1"/>
  <c r="I117" i="28"/>
  <c r="J117" i="28" s="1"/>
  <c r="I109" i="28"/>
  <c r="J109" i="28" s="1"/>
  <c r="I101" i="28"/>
  <c r="J101" i="28" s="1"/>
  <c r="I93" i="28"/>
  <c r="J93" i="28" s="1"/>
  <c r="I85" i="28"/>
  <c r="J85" i="28" s="1"/>
  <c r="I78" i="28"/>
  <c r="J78" i="28" s="1"/>
  <c r="I74" i="28"/>
  <c r="J74" i="28" s="1"/>
  <c r="I71" i="28"/>
  <c r="J71" i="28" s="1"/>
  <c r="I64" i="28"/>
  <c r="J64" i="28" s="1"/>
  <c r="I56" i="28"/>
  <c r="J56" i="28" s="1"/>
  <c r="I48" i="28"/>
  <c r="J48" i="28" s="1"/>
  <c r="I43" i="28"/>
  <c r="J43" i="28" s="1"/>
  <c r="I32" i="28"/>
  <c r="J32" i="28" s="1"/>
  <c r="I27" i="28"/>
  <c r="J27" i="28" s="1"/>
  <c r="I24" i="28"/>
  <c r="J24" i="28" s="1"/>
  <c r="I19" i="28"/>
  <c r="J19" i="28" s="1"/>
  <c r="I16" i="28"/>
  <c r="J16" i="28" s="1"/>
  <c r="I11" i="28"/>
  <c r="J11" i="28" s="1"/>
  <c r="I8" i="28"/>
  <c r="J8" i="28" s="1"/>
  <c r="I3" i="28"/>
  <c r="J3" i="28" s="1"/>
  <c r="I904" i="28"/>
  <c r="I745" i="28"/>
  <c r="I705" i="28"/>
  <c r="J705" i="28" s="1"/>
  <c r="I674" i="28"/>
  <c r="J674" i="28" s="1"/>
  <c r="I638" i="28"/>
  <c r="J638" i="28" s="1"/>
  <c r="I596" i="28"/>
  <c r="J596" i="28" s="1"/>
  <c r="I562" i="28"/>
  <c r="J562" i="28" s="1"/>
  <c r="I496" i="28"/>
  <c r="J496" i="28" s="1"/>
  <c r="I467" i="28"/>
  <c r="J467" i="28" s="1"/>
  <c r="I407" i="28"/>
  <c r="J407" i="28" s="1"/>
  <c r="I360" i="28"/>
  <c r="J360" i="28" s="1"/>
  <c r="I334" i="28"/>
  <c r="J334" i="28" s="1"/>
  <c r="I300" i="28"/>
  <c r="J300" i="28" s="1"/>
  <c r="I283" i="28"/>
  <c r="J283" i="28" s="1"/>
  <c r="I265" i="28"/>
  <c r="J265" i="28" s="1"/>
  <c r="I227" i="28"/>
  <c r="J227" i="28" s="1"/>
  <c r="I208" i="28"/>
  <c r="J208" i="28" s="1"/>
  <c r="I192" i="28"/>
  <c r="J192" i="28" s="1"/>
  <c r="I176" i="28"/>
  <c r="J176" i="28" s="1"/>
  <c r="I160" i="28"/>
  <c r="J160" i="28" s="1"/>
  <c r="I144" i="28"/>
  <c r="J144" i="28" s="1"/>
  <c r="I128" i="28"/>
  <c r="J128" i="28" s="1"/>
  <c r="I112" i="28"/>
  <c r="J112" i="28" s="1"/>
  <c r="I96" i="28"/>
  <c r="J96" i="28" s="1"/>
  <c r="I81" i="28"/>
  <c r="J81" i="28" s="1"/>
  <c r="I66" i="28"/>
  <c r="J66" i="28" s="1"/>
  <c r="I45" i="28"/>
  <c r="J45" i="28" s="1"/>
  <c r="I34" i="28"/>
  <c r="J34" i="28" s="1"/>
  <c r="I13" i="28"/>
  <c r="J13" i="28" s="1"/>
  <c r="I944" i="28"/>
  <c r="I893" i="28"/>
  <c r="I788" i="28"/>
  <c r="I737" i="28"/>
  <c r="J737" i="28" s="1"/>
  <c r="I696" i="28"/>
  <c r="J696" i="28" s="1"/>
  <c r="I628" i="28"/>
  <c r="J628" i="28" s="1"/>
  <c r="I586" i="28"/>
  <c r="J586" i="28" s="1"/>
  <c r="I514" i="28"/>
  <c r="J514" i="28" s="1"/>
  <c r="I354" i="28"/>
  <c r="J354" i="28" s="1"/>
  <c r="I330" i="28"/>
  <c r="J330" i="28" s="1"/>
  <c r="I313" i="28"/>
  <c r="J313" i="28" s="1"/>
  <c r="I296" i="28"/>
  <c r="J296" i="28" s="1"/>
  <c r="I279" i="28"/>
  <c r="J279" i="28" s="1"/>
  <c r="I260" i="28"/>
  <c r="J260" i="28" s="1"/>
  <c r="I243" i="28"/>
  <c r="J243" i="28" s="1"/>
  <c r="I222" i="28"/>
  <c r="J222" i="28" s="1"/>
  <c r="I204" i="28"/>
  <c r="J204" i="28" s="1"/>
  <c r="I188" i="28"/>
  <c r="J188" i="28" s="1"/>
  <c r="I172" i="28"/>
  <c r="J172" i="28" s="1"/>
  <c r="I156" i="28"/>
  <c r="J156" i="28" s="1"/>
  <c r="I140" i="28"/>
  <c r="J140" i="28" s="1"/>
  <c r="I124" i="28"/>
  <c r="J124" i="28" s="1"/>
  <c r="I108" i="28"/>
  <c r="J108" i="28" s="1"/>
  <c r="I92" i="28"/>
  <c r="J92" i="28" s="1"/>
  <c r="I77" i="28"/>
  <c r="J77" i="28" s="1"/>
  <c r="I53" i="28"/>
  <c r="J53" i="28" s="1"/>
  <c r="I42" i="28"/>
  <c r="J42" i="28" s="1"/>
  <c r="I21" i="28"/>
  <c r="J21" i="28" s="1"/>
  <c r="I10" i="28"/>
  <c r="J10" i="28" s="1"/>
  <c r="I927" i="28"/>
  <c r="I807" i="28"/>
  <c r="I757" i="28"/>
  <c r="I726" i="28"/>
  <c r="J726" i="28" s="1"/>
  <c r="I659" i="28"/>
  <c r="J659" i="28" s="1"/>
  <c r="I617" i="28"/>
  <c r="J617" i="28" s="1"/>
  <c r="I577" i="28"/>
  <c r="J577" i="28" s="1"/>
  <c r="I530" i="28"/>
  <c r="J530" i="28" s="1"/>
  <c r="I482" i="28"/>
  <c r="J482" i="28" s="1"/>
  <c r="I396" i="28"/>
  <c r="J396" i="28" s="1"/>
  <c r="I373" i="28"/>
  <c r="J373" i="28" s="1"/>
  <c r="I309" i="28"/>
  <c r="J309" i="28" s="1"/>
  <c r="I292" i="28"/>
  <c r="J292" i="28" s="1"/>
  <c r="I274" i="28"/>
  <c r="J274" i="28" s="1"/>
  <c r="I256" i="28"/>
  <c r="J256" i="28" s="1"/>
  <c r="I238" i="28"/>
  <c r="J238" i="28" s="1"/>
  <c r="I216" i="28"/>
  <c r="J216" i="28" s="1"/>
  <c r="I200" i="28"/>
  <c r="J200" i="28" s="1"/>
  <c r="I184" i="28"/>
  <c r="J184" i="28" s="1"/>
  <c r="I168" i="28"/>
  <c r="J168" i="28" s="1"/>
  <c r="I152" i="28"/>
  <c r="J152" i="28" s="1"/>
  <c r="I136" i="28"/>
  <c r="J136" i="28" s="1"/>
  <c r="I120" i="28"/>
  <c r="J120" i="28" s="1"/>
  <c r="I104" i="28"/>
  <c r="J104" i="28" s="1"/>
  <c r="I88" i="28"/>
  <c r="J88" i="28" s="1"/>
  <c r="I61" i="28"/>
  <c r="J61" i="28" s="1"/>
  <c r="I50" i="28"/>
  <c r="J50" i="28" s="1"/>
  <c r="I29" i="28"/>
  <c r="J29" i="28" s="1"/>
  <c r="I18" i="28"/>
  <c r="J18" i="28" s="1"/>
  <c r="I915" i="28"/>
  <c r="I870" i="28"/>
  <c r="I832" i="28"/>
  <c r="I715" i="28"/>
  <c r="J715" i="28" s="1"/>
  <c r="I681" i="28"/>
  <c r="J681" i="28" s="1"/>
  <c r="I649" i="28"/>
  <c r="J649" i="28" s="1"/>
  <c r="I606" i="28"/>
  <c r="J606" i="28" s="1"/>
  <c r="I569" i="28"/>
  <c r="J569" i="28" s="1"/>
  <c r="I546" i="28"/>
  <c r="J546" i="28" s="1"/>
  <c r="I503" i="28"/>
  <c r="J503" i="28" s="1"/>
  <c r="I449" i="28"/>
  <c r="J449" i="28" s="1"/>
  <c r="I412" i="28"/>
  <c r="J412" i="28" s="1"/>
  <c r="I391" i="28"/>
  <c r="J391" i="28" s="1"/>
  <c r="I367" i="28"/>
  <c r="J367" i="28" s="1"/>
  <c r="I341" i="28"/>
  <c r="J341" i="28" s="1"/>
  <c r="I305" i="28"/>
  <c r="J305" i="28" s="1"/>
  <c r="I287" i="28"/>
  <c r="J287" i="28" s="1"/>
  <c r="I269" i="28"/>
  <c r="J269" i="28" s="1"/>
  <c r="I252" i="28"/>
  <c r="J252" i="28" s="1"/>
  <c r="I232" i="28"/>
  <c r="J232" i="28" s="1"/>
  <c r="I212" i="28"/>
  <c r="J212" i="28" s="1"/>
  <c r="I196" i="28"/>
  <c r="J196" i="28" s="1"/>
  <c r="I180" i="28"/>
  <c r="J180" i="28" s="1"/>
  <c r="I164" i="28"/>
  <c r="J164" i="28" s="1"/>
  <c r="I148" i="28"/>
  <c r="J148" i="28" s="1"/>
  <c r="I132" i="28"/>
  <c r="J132" i="28" s="1"/>
  <c r="I116" i="28"/>
  <c r="J116" i="28" s="1"/>
  <c r="I100" i="28"/>
  <c r="J100" i="28" s="1"/>
  <c r="I84" i="28"/>
  <c r="J84" i="28" s="1"/>
  <c r="I70" i="28"/>
  <c r="J70" i="28" s="1"/>
  <c r="I58" i="28"/>
  <c r="J58" i="28" s="1"/>
  <c r="I37" i="28"/>
  <c r="J37" i="28" s="1"/>
  <c r="I26" i="28"/>
  <c r="J26" i="28" s="1"/>
  <c r="I5" i="28"/>
  <c r="J5" i="28" s="1"/>
  <c r="I2" i="28"/>
  <c r="J2" i="28"/>
  <c r="I2" i="27"/>
  <c r="G982" i="27"/>
  <c r="G981" i="27"/>
  <c r="G980" i="27"/>
  <c r="G979" i="27"/>
  <c r="G978" i="27"/>
  <c r="G977" i="27"/>
  <c r="G976" i="27"/>
  <c r="G975" i="27"/>
  <c r="G974" i="27"/>
  <c r="G973" i="27"/>
  <c r="G972" i="27"/>
  <c r="G971" i="27"/>
  <c r="G970" i="27"/>
  <c r="G969" i="27"/>
  <c r="G968" i="27"/>
  <c r="G967" i="27"/>
  <c r="G966" i="27"/>
  <c r="G965" i="27"/>
  <c r="G964" i="27"/>
  <c r="G963" i="27"/>
  <c r="G962" i="27"/>
  <c r="G961" i="27"/>
  <c r="G960" i="27"/>
  <c r="G959" i="27"/>
  <c r="G958" i="27"/>
  <c r="G957" i="27"/>
  <c r="G956" i="27"/>
  <c r="G955" i="27"/>
  <c r="G954" i="27"/>
  <c r="G953" i="27"/>
  <c r="G952" i="27"/>
  <c r="G951" i="27"/>
  <c r="G950" i="27"/>
  <c r="G949" i="27"/>
  <c r="G948" i="27"/>
  <c r="G947" i="27"/>
  <c r="G946" i="27"/>
  <c r="G945" i="27"/>
  <c r="G944" i="27"/>
  <c r="G943" i="27"/>
  <c r="G942" i="27"/>
  <c r="G941" i="27"/>
  <c r="G940" i="27"/>
  <c r="G939" i="27"/>
  <c r="G938" i="27"/>
  <c r="G937" i="27"/>
  <c r="G936" i="27"/>
  <c r="G935" i="27"/>
  <c r="G934" i="27"/>
  <c r="G933" i="27"/>
  <c r="G932" i="27"/>
  <c r="G931" i="27"/>
  <c r="G930" i="27"/>
  <c r="G929" i="27"/>
  <c r="G928" i="27"/>
  <c r="G927" i="27"/>
  <c r="G926" i="27"/>
  <c r="G925" i="27"/>
  <c r="G924" i="27"/>
  <c r="G923" i="27"/>
  <c r="G922" i="27"/>
  <c r="G921" i="27"/>
  <c r="G920" i="27"/>
  <c r="G919" i="27"/>
  <c r="G918" i="27"/>
  <c r="G917" i="27"/>
  <c r="G916" i="27"/>
  <c r="G915" i="27"/>
  <c r="G914" i="27"/>
  <c r="G913" i="27"/>
  <c r="G912" i="27"/>
  <c r="G911" i="27"/>
  <c r="G910" i="27"/>
  <c r="G909" i="27"/>
  <c r="G908" i="27"/>
  <c r="G907" i="27"/>
  <c r="G906" i="27"/>
  <c r="G905" i="27"/>
  <c r="G904" i="27"/>
  <c r="G903" i="27"/>
  <c r="G902" i="27"/>
  <c r="G901" i="27"/>
  <c r="G900" i="27"/>
  <c r="G899" i="27"/>
  <c r="G898" i="27"/>
  <c r="G897" i="27"/>
  <c r="G896" i="27"/>
  <c r="G895" i="27"/>
  <c r="G894" i="27"/>
  <c r="G893" i="27"/>
  <c r="G892" i="27"/>
  <c r="G891" i="27"/>
  <c r="G890" i="27"/>
  <c r="G889" i="27"/>
  <c r="G888" i="27"/>
  <c r="G887" i="27"/>
  <c r="G886" i="27"/>
  <c r="G885" i="27"/>
  <c r="G884" i="27"/>
  <c r="G883" i="27"/>
  <c r="G882" i="27"/>
  <c r="G881" i="27"/>
  <c r="G880" i="27"/>
  <c r="G879" i="27"/>
  <c r="G878" i="27"/>
  <c r="G877" i="27"/>
  <c r="G876" i="27"/>
  <c r="G875" i="27"/>
  <c r="G874" i="27"/>
  <c r="G873" i="27"/>
  <c r="G872" i="27"/>
  <c r="G871" i="27"/>
  <c r="G870" i="27"/>
  <c r="G869" i="27"/>
  <c r="G868" i="27"/>
  <c r="G867" i="27"/>
  <c r="G866" i="27"/>
  <c r="G865" i="27"/>
  <c r="G864" i="27"/>
  <c r="G863" i="27"/>
  <c r="G862" i="27"/>
  <c r="G861" i="27"/>
  <c r="G860" i="27"/>
  <c r="G859" i="27"/>
  <c r="G858" i="27"/>
  <c r="G857" i="27"/>
  <c r="G856" i="27"/>
  <c r="G855" i="27"/>
  <c r="G854" i="27"/>
  <c r="G853" i="27"/>
  <c r="G852" i="27"/>
  <c r="G851" i="27"/>
  <c r="G850" i="27"/>
  <c r="G849" i="27"/>
  <c r="G848" i="27"/>
  <c r="G847" i="27"/>
  <c r="G846" i="27"/>
  <c r="G845" i="27"/>
  <c r="G844" i="27"/>
  <c r="G843" i="27"/>
  <c r="G842" i="27"/>
  <c r="G841" i="27"/>
  <c r="G840" i="27"/>
  <c r="G839" i="27"/>
  <c r="G838" i="27"/>
  <c r="G837" i="27"/>
  <c r="G836" i="27"/>
  <c r="G835" i="27"/>
  <c r="G834" i="27"/>
  <c r="G833" i="27"/>
  <c r="G832" i="27"/>
  <c r="G831" i="27"/>
  <c r="G830" i="27"/>
  <c r="G829" i="27"/>
  <c r="G828" i="27"/>
  <c r="G827" i="27"/>
  <c r="G826" i="27"/>
  <c r="G825" i="27"/>
  <c r="G824" i="27"/>
  <c r="G823" i="27"/>
  <c r="G822" i="27"/>
  <c r="G821" i="27"/>
  <c r="G820" i="27"/>
  <c r="G819" i="27"/>
  <c r="G818" i="27"/>
  <c r="G817" i="27"/>
  <c r="G816" i="27"/>
  <c r="G815" i="27"/>
  <c r="G814" i="27"/>
  <c r="G813" i="27"/>
  <c r="G812" i="27"/>
  <c r="G811" i="27"/>
  <c r="G810" i="27"/>
  <c r="G809" i="27"/>
  <c r="G808" i="27"/>
  <c r="G807" i="27"/>
  <c r="G806" i="27"/>
  <c r="G805" i="27"/>
  <c r="G804" i="27"/>
  <c r="G803" i="27"/>
  <c r="G802" i="27"/>
  <c r="G801" i="27"/>
  <c r="G800" i="27"/>
  <c r="G799" i="27"/>
  <c r="G798" i="27"/>
  <c r="G797" i="27"/>
  <c r="G796" i="27"/>
  <c r="G795" i="27"/>
  <c r="G794" i="27"/>
  <c r="G793" i="27"/>
  <c r="G792" i="27"/>
  <c r="G791" i="27"/>
  <c r="G790" i="27"/>
  <c r="G789" i="27"/>
  <c r="G788" i="27"/>
  <c r="G787" i="27"/>
  <c r="G786" i="27"/>
  <c r="G785" i="27"/>
  <c r="G784" i="27"/>
  <c r="G783" i="27"/>
  <c r="G782" i="27"/>
  <c r="G781" i="27"/>
  <c r="G780" i="27"/>
  <c r="G779" i="27"/>
  <c r="G778" i="27"/>
  <c r="G777" i="27"/>
  <c r="G776" i="27"/>
  <c r="G775" i="27"/>
  <c r="G774" i="27"/>
  <c r="G773" i="27"/>
  <c r="G772" i="27"/>
  <c r="G771" i="27"/>
  <c r="G770" i="27"/>
  <c r="G769" i="27"/>
  <c r="G768" i="27"/>
  <c r="G767" i="27"/>
  <c r="G766" i="27"/>
  <c r="G765" i="27"/>
  <c r="G764" i="27"/>
  <c r="G763" i="27"/>
  <c r="G762" i="27"/>
  <c r="G761" i="27"/>
  <c r="G760" i="27"/>
  <c r="G759" i="27"/>
  <c r="G758" i="27"/>
  <c r="G757" i="27"/>
  <c r="G756" i="27"/>
  <c r="G755" i="27"/>
  <c r="G754" i="27"/>
  <c r="G753" i="27"/>
  <c r="G752" i="27"/>
  <c r="G751" i="27"/>
  <c r="G750" i="27"/>
  <c r="G749" i="27"/>
  <c r="G748" i="27"/>
  <c r="G747" i="27"/>
  <c r="G746" i="27"/>
  <c r="G745" i="27"/>
  <c r="G744" i="27"/>
  <c r="G743" i="27"/>
  <c r="G742" i="27"/>
  <c r="G741" i="27"/>
  <c r="G740" i="27"/>
  <c r="G739" i="27"/>
  <c r="G738" i="27"/>
  <c r="G737" i="27"/>
  <c r="G736" i="27"/>
  <c r="G735" i="27"/>
  <c r="G734" i="27"/>
  <c r="G733" i="27"/>
  <c r="G732" i="27"/>
  <c r="G731" i="27"/>
  <c r="G730" i="27"/>
  <c r="G729" i="27"/>
  <c r="G728" i="27"/>
  <c r="G727" i="27"/>
  <c r="G726" i="27"/>
  <c r="G725" i="27"/>
  <c r="G724" i="27"/>
  <c r="G723" i="27"/>
  <c r="G722" i="27"/>
  <c r="G721" i="27"/>
  <c r="G720" i="27"/>
  <c r="G719" i="27"/>
  <c r="G718" i="27"/>
  <c r="G717" i="27"/>
  <c r="G716" i="27"/>
  <c r="G715" i="27"/>
  <c r="G714" i="27"/>
  <c r="G713" i="27"/>
  <c r="G712" i="27"/>
  <c r="G711" i="27"/>
  <c r="G710" i="27"/>
  <c r="G709" i="27"/>
  <c r="G708" i="27"/>
  <c r="G707" i="27"/>
  <c r="G706" i="27"/>
  <c r="G705" i="27"/>
  <c r="G704" i="27"/>
  <c r="G703" i="27"/>
  <c r="G702" i="27"/>
  <c r="G701" i="27"/>
  <c r="G700" i="27"/>
  <c r="G699" i="27"/>
  <c r="G698" i="27"/>
  <c r="G697" i="27"/>
  <c r="G696" i="27"/>
  <c r="G695" i="27"/>
  <c r="G694" i="27"/>
  <c r="G693" i="27"/>
  <c r="G692" i="27"/>
  <c r="G691" i="27"/>
  <c r="G690" i="27"/>
  <c r="G689" i="27"/>
  <c r="G688" i="27"/>
  <c r="G687" i="27"/>
  <c r="G686" i="27"/>
  <c r="G685" i="27"/>
  <c r="G684" i="27"/>
  <c r="G683" i="27"/>
  <c r="G682" i="27"/>
  <c r="G681" i="27"/>
  <c r="G680" i="27"/>
  <c r="G679" i="27"/>
  <c r="G678" i="27"/>
  <c r="G677" i="27"/>
  <c r="G676" i="27"/>
  <c r="G675" i="27"/>
  <c r="G674" i="27"/>
  <c r="G673" i="27"/>
  <c r="G672" i="27"/>
  <c r="G671" i="27"/>
  <c r="G670" i="27"/>
  <c r="G669" i="27"/>
  <c r="G668" i="27"/>
  <c r="G667" i="27"/>
  <c r="G666" i="27"/>
  <c r="G665" i="27"/>
  <c r="G664" i="27"/>
  <c r="G663" i="27"/>
  <c r="G662" i="27"/>
  <c r="G661" i="27"/>
  <c r="G660" i="27"/>
  <c r="G659" i="27"/>
  <c r="G658" i="27"/>
  <c r="G657" i="27"/>
  <c r="G656" i="27"/>
  <c r="G655" i="27"/>
  <c r="G654" i="27"/>
  <c r="G653" i="27"/>
  <c r="G652" i="27"/>
  <c r="G651" i="27"/>
  <c r="G650" i="27"/>
  <c r="G649" i="27"/>
  <c r="G648" i="27"/>
  <c r="G647" i="27"/>
  <c r="G646" i="27"/>
  <c r="G645" i="27"/>
  <c r="G644" i="27"/>
  <c r="G643" i="27"/>
  <c r="G642" i="27"/>
  <c r="G641" i="27"/>
  <c r="G640" i="27"/>
  <c r="G639" i="27"/>
  <c r="G638" i="27"/>
  <c r="G637" i="27"/>
  <c r="G636" i="27"/>
  <c r="G635" i="27"/>
  <c r="G634" i="27"/>
  <c r="G633" i="27"/>
  <c r="G632" i="27"/>
  <c r="G631" i="27"/>
  <c r="G630" i="27"/>
  <c r="G629" i="27"/>
  <c r="G628" i="27"/>
  <c r="G627" i="27"/>
  <c r="G626" i="27"/>
  <c r="G625" i="27"/>
  <c r="G624" i="27"/>
  <c r="G623" i="27"/>
  <c r="G622" i="27"/>
  <c r="G621" i="27"/>
  <c r="G620" i="27"/>
  <c r="G619" i="27"/>
  <c r="G618" i="27"/>
  <c r="G617" i="27"/>
  <c r="G616" i="27"/>
  <c r="G615" i="27"/>
  <c r="G614" i="27"/>
  <c r="G613" i="27"/>
  <c r="G612" i="27"/>
  <c r="G611" i="27"/>
  <c r="G610" i="27"/>
  <c r="G609" i="27"/>
  <c r="G608" i="27"/>
  <c r="G607" i="27"/>
  <c r="G606" i="27"/>
  <c r="G605" i="27"/>
  <c r="G604" i="27"/>
  <c r="G603" i="27"/>
  <c r="G602" i="27"/>
  <c r="G601" i="27"/>
  <c r="G600" i="27"/>
  <c r="G599" i="27"/>
  <c r="G598" i="27"/>
  <c r="G597" i="27"/>
  <c r="G596" i="27"/>
  <c r="G595" i="27"/>
  <c r="G594" i="27"/>
  <c r="G593" i="27"/>
  <c r="G592" i="27"/>
  <c r="G591" i="27"/>
  <c r="G590" i="27"/>
  <c r="G589" i="27"/>
  <c r="G588" i="27"/>
  <c r="G587" i="27"/>
  <c r="G586" i="27"/>
  <c r="G585" i="27"/>
  <c r="G584" i="27"/>
  <c r="G583" i="27"/>
  <c r="G582" i="27"/>
  <c r="G581" i="27"/>
  <c r="G580" i="27"/>
  <c r="G579" i="27"/>
  <c r="G578" i="27"/>
  <c r="G577" i="27"/>
  <c r="G576" i="27"/>
  <c r="G575" i="27"/>
  <c r="G574" i="27"/>
  <c r="G573" i="27"/>
  <c r="G572" i="27"/>
  <c r="G571" i="27"/>
  <c r="G570" i="27"/>
  <c r="G569" i="27"/>
  <c r="G568" i="27"/>
  <c r="G567" i="27"/>
  <c r="G566" i="27"/>
  <c r="G565" i="27"/>
  <c r="G564" i="27"/>
  <c r="G563" i="27"/>
  <c r="G562" i="27"/>
  <c r="G561" i="27"/>
  <c r="G560" i="27"/>
  <c r="G559" i="27"/>
  <c r="G558" i="27"/>
  <c r="G557" i="27"/>
  <c r="G556" i="27"/>
  <c r="G555" i="27"/>
  <c r="G554" i="27"/>
  <c r="G553" i="27"/>
  <c r="G552" i="27"/>
  <c r="G551" i="27"/>
  <c r="G550" i="27"/>
  <c r="G549" i="27"/>
  <c r="G548" i="27"/>
  <c r="G547" i="27"/>
  <c r="G546" i="27"/>
  <c r="G545" i="27"/>
  <c r="G544" i="27"/>
  <c r="G543" i="27"/>
  <c r="G542" i="27"/>
  <c r="G541" i="27"/>
  <c r="G540" i="27"/>
  <c r="G539" i="27"/>
  <c r="G538" i="27"/>
  <c r="G537" i="27"/>
  <c r="G536" i="27"/>
  <c r="G535" i="27"/>
  <c r="G534" i="27"/>
  <c r="G533" i="27"/>
  <c r="G532" i="27"/>
  <c r="G531" i="27"/>
  <c r="G530" i="27"/>
  <c r="G529" i="27"/>
  <c r="G528" i="27"/>
  <c r="G527" i="27"/>
  <c r="G526" i="27"/>
  <c r="G525" i="27"/>
  <c r="G524" i="27"/>
  <c r="G523" i="27"/>
  <c r="G522" i="27"/>
  <c r="G521" i="27"/>
  <c r="G520" i="27"/>
  <c r="G519" i="27"/>
  <c r="G518" i="27"/>
  <c r="G517" i="27"/>
  <c r="G516" i="27"/>
  <c r="G515" i="27"/>
  <c r="G514" i="27"/>
  <c r="G513" i="27"/>
  <c r="G512" i="27"/>
  <c r="G511" i="27"/>
  <c r="G510" i="27"/>
  <c r="G509" i="27"/>
  <c r="G508" i="27"/>
  <c r="G507" i="27"/>
  <c r="G506" i="27"/>
  <c r="G505" i="27"/>
  <c r="G504" i="27"/>
  <c r="G503" i="27"/>
  <c r="G502" i="27"/>
  <c r="G501" i="27"/>
  <c r="G500" i="27"/>
  <c r="G499" i="27"/>
  <c r="G498" i="27"/>
  <c r="G497" i="27"/>
  <c r="G496" i="27"/>
  <c r="G495" i="27"/>
  <c r="G494" i="27"/>
  <c r="G493" i="27"/>
  <c r="G492" i="27"/>
  <c r="G491" i="27"/>
  <c r="G490" i="27"/>
  <c r="G489" i="27"/>
  <c r="G488" i="27"/>
  <c r="G487" i="27"/>
  <c r="G486" i="27"/>
  <c r="G485" i="27"/>
  <c r="G484" i="27"/>
  <c r="G483" i="27"/>
  <c r="G482" i="27"/>
  <c r="G481" i="27"/>
  <c r="G480" i="27"/>
  <c r="G479" i="27"/>
  <c r="G478" i="27"/>
  <c r="G477" i="27"/>
  <c r="G476" i="27"/>
  <c r="G475" i="27"/>
  <c r="G474" i="27"/>
  <c r="G473" i="27"/>
  <c r="G472" i="27"/>
  <c r="G471" i="27"/>
  <c r="G470" i="27"/>
  <c r="G469" i="27"/>
  <c r="G468" i="27"/>
  <c r="G467" i="27"/>
  <c r="G466" i="27"/>
  <c r="G465" i="27"/>
  <c r="G464" i="27"/>
  <c r="G463" i="27"/>
  <c r="G462" i="27"/>
  <c r="G461" i="27"/>
  <c r="G460" i="27"/>
  <c r="G459" i="27"/>
  <c r="G458" i="27"/>
  <c r="G457" i="27"/>
  <c r="G456" i="27"/>
  <c r="G455" i="27"/>
  <c r="G454" i="27"/>
  <c r="G453" i="27"/>
  <c r="G452" i="27"/>
  <c r="G451" i="27"/>
  <c r="G450" i="27"/>
  <c r="G449" i="27"/>
  <c r="G448" i="27"/>
  <c r="G447" i="27"/>
  <c r="G446" i="27"/>
  <c r="G445" i="27"/>
  <c r="G444" i="27"/>
  <c r="G443" i="27"/>
  <c r="G442" i="27"/>
  <c r="G441" i="27"/>
  <c r="G440" i="27"/>
  <c r="G439" i="27"/>
  <c r="G438" i="27"/>
  <c r="G437" i="27"/>
  <c r="G436" i="27"/>
  <c r="G435" i="27"/>
  <c r="G434" i="27"/>
  <c r="G433" i="27"/>
  <c r="G432" i="27"/>
  <c r="G431" i="27"/>
  <c r="G430" i="27"/>
  <c r="G429" i="27"/>
  <c r="G428" i="27"/>
  <c r="G427" i="27"/>
  <c r="G426" i="27"/>
  <c r="G425" i="27"/>
  <c r="G424" i="27"/>
  <c r="G423" i="27"/>
  <c r="G422" i="27"/>
  <c r="G421" i="27"/>
  <c r="G420" i="27"/>
  <c r="G419" i="27"/>
  <c r="G418" i="27"/>
  <c r="G417" i="27"/>
  <c r="G416" i="27"/>
  <c r="G415" i="27"/>
  <c r="G414" i="27"/>
  <c r="G413" i="27"/>
  <c r="G412" i="27"/>
  <c r="G411" i="27"/>
  <c r="G410" i="27"/>
  <c r="G409" i="27"/>
  <c r="G408" i="27"/>
  <c r="G407" i="27"/>
  <c r="G406" i="27"/>
  <c r="G405" i="27"/>
  <c r="G404" i="27"/>
  <c r="G403" i="27"/>
  <c r="G402" i="27"/>
  <c r="G401" i="27"/>
  <c r="G400" i="27"/>
  <c r="G399" i="27"/>
  <c r="G398" i="27"/>
  <c r="G397" i="27"/>
  <c r="G396" i="27"/>
  <c r="G395" i="27"/>
  <c r="G394" i="27"/>
  <c r="G393" i="27"/>
  <c r="G392" i="27"/>
  <c r="G391" i="27"/>
  <c r="G390" i="27"/>
  <c r="G389" i="27"/>
  <c r="G388" i="27"/>
  <c r="G387" i="27"/>
  <c r="G386" i="27"/>
  <c r="G385" i="27"/>
  <c r="G384" i="27"/>
  <c r="G383" i="27"/>
  <c r="G382" i="27"/>
  <c r="G381" i="27"/>
  <c r="G380" i="27"/>
  <c r="G379" i="27"/>
  <c r="G378" i="27"/>
  <c r="G377" i="27"/>
  <c r="G376" i="27"/>
  <c r="G375" i="27"/>
  <c r="G374" i="27"/>
  <c r="G373" i="27"/>
  <c r="G372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G980" i="26"/>
  <c r="G981" i="26"/>
  <c r="G982" i="26"/>
  <c r="G973" i="26"/>
  <c r="G974" i="26"/>
  <c r="G975" i="26"/>
  <c r="G976" i="26"/>
  <c r="G977" i="26"/>
  <c r="G978" i="26"/>
  <c r="G979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B21" i="28" l="1"/>
  <c r="K880" i="28" s="1" a="1"/>
  <c r="K880" i="28" s="1"/>
  <c r="L880" i="28" s="1"/>
  <c r="K784" i="28" a="1"/>
  <c r="K784" i="28" s="1"/>
  <c r="L784" i="28" s="1"/>
  <c r="K844" i="28" a="1"/>
  <c r="K844" i="28" s="1"/>
  <c r="L844" i="28" s="1"/>
  <c r="K832" i="28" a="1"/>
  <c r="K832" i="28" s="1"/>
  <c r="L832" i="28" s="1"/>
  <c r="K796" i="28" a="1"/>
  <c r="K796" i="28" s="1"/>
  <c r="L796" i="28" s="1"/>
  <c r="K976" i="28" a="1"/>
  <c r="K976" i="28" s="1"/>
  <c r="L976" i="28" s="1"/>
  <c r="K772" i="28" a="1"/>
  <c r="K772" i="28" s="1"/>
  <c r="L772" i="28" s="1"/>
  <c r="K856" i="28" a="1"/>
  <c r="K856" i="28" s="1"/>
  <c r="L856" i="28" s="1"/>
  <c r="K928" i="28" a="1"/>
  <c r="K928" i="28" s="1"/>
  <c r="L928" i="28" s="1"/>
  <c r="K916" i="28" a="1"/>
  <c r="K916" i="28" s="1"/>
  <c r="L916" i="28" s="1"/>
  <c r="K868" i="28" a="1"/>
  <c r="K868" i="28" s="1"/>
  <c r="L868" i="28" s="1"/>
  <c r="K848" i="28" a="1"/>
  <c r="K848" i="28" s="1"/>
  <c r="L848" i="28" s="1"/>
  <c r="K800" i="28" a="1"/>
  <c r="K800" i="28" s="1"/>
  <c r="L800" i="28" s="1"/>
  <c r="K824" i="28" a="1"/>
  <c r="K824" i="28" s="1"/>
  <c r="L824" i="28" s="1"/>
  <c r="K944" i="28" a="1"/>
  <c r="K944" i="28" s="1"/>
  <c r="L944" i="28" s="1"/>
  <c r="K836" i="28" a="1"/>
  <c r="K836" i="28" s="1"/>
  <c r="L836" i="28" s="1"/>
  <c r="K884" i="28" a="1"/>
  <c r="K884" i="28" s="1"/>
  <c r="L884" i="28" s="1"/>
  <c r="K956" i="28" a="1"/>
  <c r="K956" i="28" s="1"/>
  <c r="L956" i="28" s="1"/>
  <c r="K920" i="28" a="1"/>
  <c r="K920" i="28" s="1"/>
  <c r="L920" i="28" s="1"/>
  <c r="K752" i="28" a="1"/>
  <c r="K752" i="28" s="1"/>
  <c r="L752" i="28" s="1"/>
  <c r="K776" i="28" a="1"/>
  <c r="K776" i="28" s="1"/>
  <c r="L776" i="28" s="1"/>
  <c r="K764" i="28" a="1"/>
  <c r="K764" i="28" s="1"/>
  <c r="L764" i="28" s="1"/>
  <c r="K812" i="28" a="1"/>
  <c r="K812" i="28" s="1"/>
  <c r="L812" i="28" s="1"/>
  <c r="K860" i="28" a="1"/>
  <c r="K860" i="28" s="1"/>
  <c r="L860" i="28" s="1"/>
  <c r="K980" i="28" a="1"/>
  <c r="K980" i="28" s="1"/>
  <c r="K908" i="28" a="1"/>
  <c r="K908" i="28" s="1"/>
  <c r="L908" i="28" s="1"/>
  <c r="K896" i="28" a="1"/>
  <c r="K896" i="28" s="1"/>
  <c r="L896" i="28" s="1"/>
  <c r="K968" i="28" a="1"/>
  <c r="K968" i="28" s="1"/>
  <c r="K932" i="28" a="1"/>
  <c r="K932" i="28" s="1"/>
  <c r="K788" i="28" a="1"/>
  <c r="K788" i="28" s="1"/>
  <c r="L788" i="28" s="1"/>
  <c r="K872" i="28" a="1"/>
  <c r="K872" i="28" s="1"/>
  <c r="L872" i="28" s="1"/>
  <c r="K893" i="28" a="1"/>
  <c r="K893" i="28" s="1"/>
  <c r="K785" i="28" a="1"/>
  <c r="K785" i="28" s="1"/>
  <c r="K749" i="28" a="1"/>
  <c r="K749" i="28" s="1"/>
  <c r="L749" i="28" s="1"/>
  <c r="K821" i="28" a="1"/>
  <c r="K821" i="28" s="1"/>
  <c r="L821" i="28" s="1"/>
  <c r="K881" i="28" a="1"/>
  <c r="K881" i="28" s="1"/>
  <c r="K917" i="28" a="1"/>
  <c r="K917" i="28" s="1"/>
  <c r="K953" i="28" a="1"/>
  <c r="K953" i="28" s="1"/>
  <c r="K845" i="28" a="1"/>
  <c r="K845" i="28" s="1"/>
  <c r="L845" i="28" s="1"/>
  <c r="K857" i="28" a="1"/>
  <c r="K857" i="28" s="1"/>
  <c r="K929" i="28" a="1"/>
  <c r="K929" i="28" s="1"/>
  <c r="K977" i="28" a="1"/>
  <c r="K977" i="28" s="1"/>
  <c r="L977" i="28" s="1"/>
  <c r="K869" i="28" a="1"/>
  <c r="K869" i="28" s="1"/>
  <c r="K905" i="28" a="1"/>
  <c r="K905" i="28" s="1"/>
  <c r="L905" i="28" s="1"/>
  <c r="K941" i="28" a="1"/>
  <c r="K941" i="28" s="1"/>
  <c r="L941" i="28" s="1"/>
  <c r="K761" i="28" a="1"/>
  <c r="K761" i="28" s="1"/>
  <c r="L761" i="28" s="1"/>
  <c r="K773" i="28" a="1"/>
  <c r="K773" i="28" s="1"/>
  <c r="K797" i="28" a="1"/>
  <c r="K797" i="28" s="1"/>
  <c r="K833" i="28" a="1"/>
  <c r="K833" i="28" s="1"/>
  <c r="K809" i="28" a="1"/>
  <c r="K809" i="28" s="1"/>
  <c r="L809" i="28" s="1"/>
  <c r="K965" i="28" a="1"/>
  <c r="K965" i="28" s="1"/>
  <c r="L965" i="28" s="1"/>
  <c r="K68" i="28" a="1"/>
  <c r="K68" i="28" s="1"/>
  <c r="L68" i="28" s="1"/>
  <c r="M68" i="28" s="1"/>
  <c r="K20" i="28" a="1"/>
  <c r="K20" i="28" s="1"/>
  <c r="L20" i="28" s="1"/>
  <c r="M20" i="28" s="1"/>
  <c r="K329" i="28" a="1"/>
  <c r="K329" i="28" s="1"/>
  <c r="L329" i="28" s="1"/>
  <c r="M329" i="28" s="1"/>
  <c r="K533" i="28" a="1"/>
  <c r="K533" i="28" s="1"/>
  <c r="L533" i="28" s="1"/>
  <c r="M533" i="28" s="1"/>
  <c r="K725" i="28" a="1"/>
  <c r="K725" i="28" s="1"/>
  <c r="L725" i="28" s="1"/>
  <c r="M725" i="28" s="1"/>
  <c r="B19" i="28"/>
  <c r="L881" i="28"/>
  <c r="L953" i="28"/>
  <c r="K113" i="28" a="1"/>
  <c r="K113" i="28" s="1"/>
  <c r="L113" i="28" s="1"/>
  <c r="M113" i="28" s="1"/>
  <c r="K209" i="28" a="1"/>
  <c r="K209" i="28" s="1"/>
  <c r="L209" i="28" s="1"/>
  <c r="M209" i="28" s="1"/>
  <c r="K56" i="28" a="1"/>
  <c r="K56" i="28" s="1"/>
  <c r="L56" i="28" s="1"/>
  <c r="M56" i="28" s="1"/>
  <c r="K305" i="28" a="1"/>
  <c r="K305" i="28" s="1"/>
  <c r="L305" i="28" s="1"/>
  <c r="M305" i="28" s="1"/>
  <c r="K425" i="28" a="1"/>
  <c r="K425" i="28" s="1"/>
  <c r="L425" i="28" s="1"/>
  <c r="M425" i="28" s="1"/>
  <c r="K521" i="28" a="1"/>
  <c r="K521" i="28" s="1"/>
  <c r="L521" i="28" s="1"/>
  <c r="M521" i="28" s="1"/>
  <c r="K653" i="28" a="1"/>
  <c r="K653" i="28" s="1"/>
  <c r="L653" i="28" s="1"/>
  <c r="M653" i="28" s="1"/>
  <c r="K713" i="28" a="1"/>
  <c r="K713" i="28" s="1"/>
  <c r="L713" i="28" s="1"/>
  <c r="M713" i="28" s="1"/>
  <c r="B20" i="28"/>
  <c r="L869" i="28"/>
  <c r="L932" i="28"/>
  <c r="L968" i="28"/>
  <c r="K173" i="28" a="1"/>
  <c r="K173" i="28" s="1"/>
  <c r="L173" i="28" s="1"/>
  <c r="M173" i="28" s="1"/>
  <c r="K317" i="28" a="1"/>
  <c r="K317" i="28" s="1"/>
  <c r="L317" i="28" s="1"/>
  <c r="M317" i="28" s="1"/>
  <c r="K437" i="28" a="1"/>
  <c r="K437" i="28" s="1"/>
  <c r="L437" i="28" s="1"/>
  <c r="M437" i="28" s="1"/>
  <c r="K617" i="28" a="1"/>
  <c r="K617" i="28" s="1"/>
  <c r="L617" i="28" s="1"/>
  <c r="M617" i="28" s="1"/>
  <c r="K701" i="28" a="1"/>
  <c r="K701" i="28" s="1"/>
  <c r="L701" i="28" s="1"/>
  <c r="M701" i="28" s="1"/>
  <c r="B23" i="28"/>
  <c r="K89" i="28" a="1"/>
  <c r="K89" i="28" s="1"/>
  <c r="L89" i="28" s="1"/>
  <c r="M89" i="28" s="1"/>
  <c r="K137" i="28" a="1"/>
  <c r="K137" i="28" s="1"/>
  <c r="L137" i="28" s="1"/>
  <c r="M137" i="28" s="1"/>
  <c r="K185" i="28" a="1"/>
  <c r="K185" i="28" s="1"/>
  <c r="L185" i="28" s="1"/>
  <c r="M185" i="28" s="1"/>
  <c r="K233" i="28" a="1"/>
  <c r="K233" i="28" s="1"/>
  <c r="L233" i="28" s="1"/>
  <c r="M233" i="28" s="1"/>
  <c r="K32" i="28" a="1"/>
  <c r="K32" i="28" s="1"/>
  <c r="L32" i="28" s="1"/>
  <c r="M32" i="28" s="1"/>
  <c r="K257" i="28" a="1"/>
  <c r="K257" i="28" s="1"/>
  <c r="L257" i="28" s="1"/>
  <c r="M257" i="28" s="1"/>
  <c r="K341" i="28" a="1"/>
  <c r="K341" i="28" s="1"/>
  <c r="L341" i="28" s="1"/>
  <c r="M341" i="28" s="1"/>
  <c r="K353" i="28" a="1"/>
  <c r="K353" i="28" s="1"/>
  <c r="L353" i="28" s="1"/>
  <c r="M353" i="28" s="1"/>
  <c r="K401" i="28" a="1"/>
  <c r="K401" i="28" s="1"/>
  <c r="L401" i="28" s="1"/>
  <c r="M401" i="28" s="1"/>
  <c r="K449" i="28" a="1"/>
  <c r="K449" i="28" s="1"/>
  <c r="L449" i="28" s="1"/>
  <c r="M449" i="28" s="1"/>
  <c r="K497" i="28" a="1"/>
  <c r="K497" i="28" s="1"/>
  <c r="L497" i="28" s="1"/>
  <c r="M497" i="28" s="1"/>
  <c r="K545" i="28" a="1"/>
  <c r="K545" i="28" s="1"/>
  <c r="L545" i="28" s="1"/>
  <c r="M545" i="28" s="1"/>
  <c r="K629" i="28" a="1"/>
  <c r="K629" i="28" s="1"/>
  <c r="L629" i="28" s="1"/>
  <c r="M629" i="28" s="1"/>
  <c r="K569" i="28" a="1"/>
  <c r="K569" i="28" s="1"/>
  <c r="L569" i="28" s="1"/>
  <c r="M569" i="28" s="1"/>
  <c r="K677" i="28" a="1"/>
  <c r="K677" i="28" s="1"/>
  <c r="L677" i="28" s="1"/>
  <c r="M677" i="28" s="1"/>
  <c r="K737" i="28" a="1"/>
  <c r="K737" i="28" s="1"/>
  <c r="L737" i="28" s="1"/>
  <c r="M737" i="28" s="1"/>
  <c r="L893" i="28"/>
  <c r="B18" i="28"/>
  <c r="L833" i="28"/>
  <c r="K161" i="28" a="1"/>
  <c r="K161" i="28" s="1"/>
  <c r="L161" i="28" s="1"/>
  <c r="M161" i="28" s="1"/>
  <c r="K8" i="28" a="1"/>
  <c r="K8" i="28" s="1"/>
  <c r="L8" i="28" s="1"/>
  <c r="M8" i="28" s="1"/>
  <c r="K293" i="28" a="1"/>
  <c r="K293" i="28" s="1"/>
  <c r="L293" i="28" s="1"/>
  <c r="M293" i="28" s="1"/>
  <c r="K377" i="28" a="1"/>
  <c r="K377" i="28" s="1"/>
  <c r="L377" i="28" s="1"/>
  <c r="M377" i="28" s="1"/>
  <c r="K473" i="28" a="1"/>
  <c r="K473" i="28" s="1"/>
  <c r="L473" i="28" s="1"/>
  <c r="M473" i="28" s="1"/>
  <c r="K605" i="28" a="1"/>
  <c r="K605" i="28" s="1"/>
  <c r="L605" i="28" s="1"/>
  <c r="M605" i="28" s="1"/>
  <c r="K665" i="28" a="1"/>
  <c r="K665" i="28" s="1"/>
  <c r="L665" i="28" s="1"/>
  <c r="M665" i="28" s="1"/>
  <c r="B16" i="28"/>
  <c r="B15" i="28"/>
  <c r="B12" i="28"/>
  <c r="L773" i="28"/>
  <c r="L785" i="28"/>
  <c r="L857" i="28"/>
  <c r="K125" i="28" a="1"/>
  <c r="K125" i="28" s="1"/>
  <c r="L125" i="28" s="1"/>
  <c r="M125" i="28" s="1"/>
  <c r="K221" i="28" a="1"/>
  <c r="K221" i="28" s="1"/>
  <c r="L221" i="28" s="1"/>
  <c r="M221" i="28" s="1"/>
  <c r="K77" i="28" a="1"/>
  <c r="K77" i="28" s="1"/>
  <c r="L77" i="28" s="1"/>
  <c r="M77" i="28" s="1"/>
  <c r="K389" i="28" a="1"/>
  <c r="K389" i="28" s="1"/>
  <c r="L389" i="28" s="1"/>
  <c r="M389" i="28" s="1"/>
  <c r="K485" i="28" a="1"/>
  <c r="K485" i="28" s="1"/>
  <c r="L485" i="28" s="1"/>
  <c r="M485" i="28" s="1"/>
  <c r="K557" i="28" a="1"/>
  <c r="K557" i="28" s="1"/>
  <c r="L557" i="28" s="1"/>
  <c r="M557" i="28" s="1"/>
  <c r="K101" i="28" a="1"/>
  <c r="K101" i="28" s="1"/>
  <c r="L101" i="28" s="1"/>
  <c r="M101" i="28" s="1"/>
  <c r="K149" i="28" a="1"/>
  <c r="K149" i="28" s="1"/>
  <c r="L149" i="28" s="1"/>
  <c r="M149" i="28" s="1"/>
  <c r="K197" i="28" a="1"/>
  <c r="K197" i="28" s="1"/>
  <c r="L197" i="28" s="1"/>
  <c r="M197" i="28" s="1"/>
  <c r="K245" i="28" a="1"/>
  <c r="K245" i="28" s="1"/>
  <c r="L245" i="28" s="1"/>
  <c r="M245" i="28" s="1"/>
  <c r="K44" i="28" a="1"/>
  <c r="K44" i="28" s="1"/>
  <c r="L44" i="28" s="1"/>
  <c r="M44" i="28" s="1"/>
  <c r="K269" i="28" a="1"/>
  <c r="K269" i="28" s="1"/>
  <c r="L269" i="28" s="1"/>
  <c r="M269" i="28" s="1"/>
  <c r="K281" i="28" a="1"/>
  <c r="K281" i="28" s="1"/>
  <c r="L281" i="28" s="1"/>
  <c r="M281" i="28" s="1"/>
  <c r="K365" i="28" a="1"/>
  <c r="K365" i="28" s="1"/>
  <c r="L365" i="28" s="1"/>
  <c r="M365" i="28" s="1"/>
  <c r="K413" i="28" a="1"/>
  <c r="K413" i="28" s="1"/>
  <c r="L413" i="28" s="1"/>
  <c r="M413" i="28" s="1"/>
  <c r="K461" i="28" a="1"/>
  <c r="K461" i="28" s="1"/>
  <c r="L461" i="28" s="1"/>
  <c r="M461" i="28" s="1"/>
  <c r="K509" i="28" a="1"/>
  <c r="K509" i="28" s="1"/>
  <c r="L509" i="28" s="1"/>
  <c r="M509" i="28" s="1"/>
  <c r="K581" i="28" a="1"/>
  <c r="K581" i="28" s="1"/>
  <c r="L581" i="28" s="1"/>
  <c r="M581" i="28" s="1"/>
  <c r="K641" i="28" a="1"/>
  <c r="K641" i="28" s="1"/>
  <c r="L641" i="28" s="1"/>
  <c r="M641" i="28" s="1"/>
  <c r="K593" i="28" a="1"/>
  <c r="K593" i="28" s="1"/>
  <c r="L593" i="28" s="1"/>
  <c r="M593" i="28" s="1"/>
  <c r="K689" i="28" a="1"/>
  <c r="K689" i="28" s="1"/>
  <c r="L689" i="28" s="1"/>
  <c r="M689" i="28" s="1"/>
  <c r="B17" i="28"/>
  <c r="B14" i="28"/>
  <c r="L917" i="28"/>
  <c r="L797" i="28"/>
  <c r="L929" i="28"/>
  <c r="L980" i="28"/>
  <c r="K740" i="28" a="1"/>
  <c r="K740" i="28" s="1"/>
  <c r="L740" i="28" s="1"/>
  <c r="M740" i="28" s="1"/>
  <c r="K728" i="28" a="1"/>
  <c r="K728" i="28" s="1"/>
  <c r="L728" i="28" s="1"/>
  <c r="M728" i="28" s="1"/>
  <c r="K716" i="28" a="1"/>
  <c r="K716" i="28" s="1"/>
  <c r="L716" i="28" s="1"/>
  <c r="M716" i="28" s="1"/>
  <c r="K704" i="28" a="1"/>
  <c r="K704" i="28" s="1"/>
  <c r="L704" i="28" s="1"/>
  <c r="M704" i="28" s="1"/>
  <c r="K680" i="28" a="1"/>
  <c r="K680" i="28" s="1"/>
  <c r="L680" i="28" s="1"/>
  <c r="M680" i="28" s="1"/>
  <c r="K668" i="28" a="1"/>
  <c r="K668" i="28" s="1"/>
  <c r="L668" i="28" s="1"/>
  <c r="M668" i="28" s="1"/>
  <c r="K656" i="28" a="1"/>
  <c r="K656" i="28" s="1"/>
  <c r="L656" i="28" s="1"/>
  <c r="M656" i="28" s="1"/>
  <c r="K692" i="28" a="1"/>
  <c r="K692" i="28" s="1"/>
  <c r="L692" i="28" s="1"/>
  <c r="M692" i="28" s="1"/>
  <c r="K584" i="28" a="1"/>
  <c r="K584" i="28" s="1"/>
  <c r="L584" i="28" s="1"/>
  <c r="M584" i="28" s="1"/>
  <c r="K644" i="28" a="1"/>
  <c r="K644" i="28" s="1"/>
  <c r="L644" i="28" s="1"/>
  <c r="M644" i="28" s="1"/>
  <c r="K632" i="28" a="1"/>
  <c r="K632" i="28" s="1"/>
  <c r="L632" i="28" s="1"/>
  <c r="M632" i="28" s="1"/>
  <c r="K620" i="28" a="1"/>
  <c r="K620" i="28" s="1"/>
  <c r="L620" i="28" s="1"/>
  <c r="M620" i="28" s="1"/>
  <c r="K608" i="28" a="1"/>
  <c r="K608" i="28" s="1"/>
  <c r="L608" i="28" s="1"/>
  <c r="M608" i="28" s="1"/>
  <c r="K596" i="28" a="1"/>
  <c r="K596" i="28" s="1"/>
  <c r="L596" i="28" s="1"/>
  <c r="M596" i="28" s="1"/>
  <c r="K548" i="28" a="1"/>
  <c r="K548" i="28" s="1"/>
  <c r="L548" i="28" s="1"/>
  <c r="M548" i="28" s="1"/>
  <c r="K536" i="28" a="1"/>
  <c r="K536" i="28" s="1"/>
  <c r="L536" i="28" s="1"/>
  <c r="M536" i="28" s="1"/>
  <c r="K524" i="28" a="1"/>
  <c r="K524" i="28" s="1"/>
  <c r="L524" i="28" s="1"/>
  <c r="M524" i="28" s="1"/>
  <c r="K512" i="28" a="1"/>
  <c r="K512" i="28" s="1"/>
  <c r="L512" i="28" s="1"/>
  <c r="M512" i="28" s="1"/>
  <c r="K572" i="28" a="1"/>
  <c r="K572" i="28" s="1"/>
  <c r="L572" i="28" s="1"/>
  <c r="M572" i="28" s="1"/>
  <c r="K428" i="28" a="1"/>
  <c r="K428" i="28" s="1"/>
  <c r="L428" i="28" s="1"/>
  <c r="M428" i="28" s="1"/>
  <c r="K416" i="28" a="1"/>
  <c r="K416" i="28" s="1"/>
  <c r="L416" i="28" s="1"/>
  <c r="M416" i="28" s="1"/>
  <c r="K404" i="28" a="1"/>
  <c r="K404" i="28" s="1"/>
  <c r="L404" i="28" s="1"/>
  <c r="M404" i="28" s="1"/>
  <c r="K392" i="28" a="1"/>
  <c r="K392" i="28" s="1"/>
  <c r="L392" i="28" s="1"/>
  <c r="M392" i="28" s="1"/>
  <c r="K500" i="28" a="1"/>
  <c r="K500" i="28" s="1"/>
  <c r="L500" i="28" s="1"/>
  <c r="M500" i="28" s="1"/>
  <c r="K488" i="28" a="1"/>
  <c r="K488" i="28" s="1"/>
  <c r="L488" i="28" s="1"/>
  <c r="M488" i="28" s="1"/>
  <c r="K476" i="28" a="1"/>
  <c r="K476" i="28" s="1"/>
  <c r="L476" i="28" s="1"/>
  <c r="M476" i="28" s="1"/>
  <c r="K464" i="28" a="1"/>
  <c r="K464" i="28" s="1"/>
  <c r="L464" i="28" s="1"/>
  <c r="M464" i="28" s="1"/>
  <c r="K452" i="28" a="1"/>
  <c r="K452" i="28" s="1"/>
  <c r="L452" i="28" s="1"/>
  <c r="M452" i="28" s="1"/>
  <c r="K440" i="28" a="1"/>
  <c r="K440" i="28" s="1"/>
  <c r="L440" i="28" s="1"/>
  <c r="M440" i="28" s="1"/>
  <c r="K560" i="28" a="1"/>
  <c r="K560" i="28" s="1"/>
  <c r="L560" i="28" s="1"/>
  <c r="M560" i="28" s="1"/>
  <c r="K368" i="28" a="1"/>
  <c r="K368" i="28" s="1"/>
  <c r="L368" i="28" s="1"/>
  <c r="M368" i="28" s="1"/>
  <c r="K344" i="28" a="1"/>
  <c r="K344" i="28" s="1"/>
  <c r="L344" i="28" s="1"/>
  <c r="M344" i="28" s="1"/>
  <c r="K320" i="28" a="1"/>
  <c r="K320" i="28" s="1"/>
  <c r="L320" i="28" s="1"/>
  <c r="M320" i="28" s="1"/>
  <c r="K284" i="28" a="1"/>
  <c r="K284" i="28" s="1"/>
  <c r="L284" i="28" s="1"/>
  <c r="M284" i="28" s="1"/>
  <c r="K248" i="28" a="1"/>
  <c r="K248" i="28" s="1"/>
  <c r="L248" i="28" s="1"/>
  <c r="M248" i="28" s="1"/>
  <c r="K380" i="28" a="1"/>
  <c r="K380" i="28" s="1"/>
  <c r="L380" i="28" s="1"/>
  <c r="M380" i="28" s="1"/>
  <c r="K332" i="28" a="1"/>
  <c r="K332" i="28" s="1"/>
  <c r="L332" i="28" s="1"/>
  <c r="M332" i="28" s="1"/>
  <c r="K308" i="28" a="1"/>
  <c r="K308" i="28" s="1"/>
  <c r="L308" i="28" s="1"/>
  <c r="M308" i="28" s="1"/>
  <c r="K260" i="28" a="1"/>
  <c r="K260" i="28" s="1"/>
  <c r="L260" i="28" s="1"/>
  <c r="M260" i="28" s="1"/>
  <c r="K236" i="28" a="1"/>
  <c r="K236" i="28" s="1"/>
  <c r="L236" i="28" s="1"/>
  <c r="M236" i="28" s="1"/>
  <c r="K224" i="28" a="1"/>
  <c r="K224" i="28" s="1"/>
  <c r="L224" i="28" s="1"/>
  <c r="M224" i="28" s="1"/>
  <c r="K212" i="28" a="1"/>
  <c r="K212" i="28" s="1"/>
  <c r="L212" i="28" s="1"/>
  <c r="M212" i="28" s="1"/>
  <c r="K200" i="28" a="1"/>
  <c r="K200" i="28" s="1"/>
  <c r="L200" i="28" s="1"/>
  <c r="M200" i="28" s="1"/>
  <c r="K188" i="28" a="1"/>
  <c r="K188" i="28" s="1"/>
  <c r="L188" i="28" s="1"/>
  <c r="M188" i="28" s="1"/>
  <c r="K176" i="28" a="1"/>
  <c r="K176" i="28" s="1"/>
  <c r="L176" i="28" s="1"/>
  <c r="M176" i="28" s="1"/>
  <c r="K164" i="28" a="1"/>
  <c r="K164" i="28" s="1"/>
  <c r="L164" i="28" s="1"/>
  <c r="M164" i="28" s="1"/>
  <c r="K152" i="28" a="1"/>
  <c r="K152" i="28" s="1"/>
  <c r="L152" i="28" s="1"/>
  <c r="M152" i="28" s="1"/>
  <c r="K140" i="28" a="1"/>
  <c r="K140" i="28" s="1"/>
  <c r="L140" i="28" s="1"/>
  <c r="M140" i="28" s="1"/>
  <c r="K128" i="28" a="1"/>
  <c r="K128" i="28" s="1"/>
  <c r="L128" i="28" s="1"/>
  <c r="M128" i="28" s="1"/>
  <c r="K116" i="28" a="1"/>
  <c r="K116" i="28" s="1"/>
  <c r="L116" i="28" s="1"/>
  <c r="M116" i="28" s="1"/>
  <c r="K104" i="28" a="1"/>
  <c r="K104" i="28" s="1"/>
  <c r="L104" i="28" s="1"/>
  <c r="M104" i="28" s="1"/>
  <c r="K92" i="28" a="1"/>
  <c r="K92" i="28" s="1"/>
  <c r="L92" i="28" s="1"/>
  <c r="M92" i="28" s="1"/>
  <c r="K356" i="28" a="1"/>
  <c r="K356" i="28" s="1"/>
  <c r="L356" i="28" s="1"/>
  <c r="M356" i="28" s="1"/>
  <c r="K272" i="28" a="1"/>
  <c r="K272" i="28" s="1"/>
  <c r="L272" i="28" s="1"/>
  <c r="M272" i="28" s="1"/>
  <c r="K296" i="28" a="1"/>
  <c r="K296" i="28" s="1"/>
  <c r="L296" i="28" s="1"/>
  <c r="M296" i="28" s="1"/>
  <c r="K80" i="28" a="1"/>
  <c r="K80" i="28" s="1"/>
  <c r="L80" i="28" s="1"/>
  <c r="M80" i="28" s="1"/>
  <c r="K59" i="28" a="1"/>
  <c r="K59" i="28" s="1"/>
  <c r="L59" i="28" s="1"/>
  <c r="M59" i="28" s="1"/>
  <c r="K47" i="28" a="1"/>
  <c r="K47" i="28" s="1"/>
  <c r="L47" i="28" s="1"/>
  <c r="M47" i="28" s="1"/>
  <c r="K35" i="28" a="1"/>
  <c r="K35" i="28" s="1"/>
  <c r="L35" i="28" s="1"/>
  <c r="M35" i="28" s="1"/>
  <c r="K23" i="28" a="1"/>
  <c r="K23" i="28" s="1"/>
  <c r="L23" i="28" s="1"/>
  <c r="M23" i="28" s="1"/>
  <c r="K11" i="28" a="1"/>
  <c r="K11" i="28" s="1"/>
  <c r="L11" i="28" s="1"/>
  <c r="M11" i="28" s="1"/>
  <c r="K736" i="28" a="1"/>
  <c r="K736" i="28" s="1"/>
  <c r="L736" i="28" s="1"/>
  <c r="M736" i="28" s="1"/>
  <c r="K724" i="28" a="1"/>
  <c r="K724" i="28" s="1"/>
  <c r="L724" i="28" s="1"/>
  <c r="M724" i="28" s="1"/>
  <c r="K712" i="28" a="1"/>
  <c r="K712" i="28" s="1"/>
  <c r="L712" i="28" s="1"/>
  <c r="M712" i="28" s="1"/>
  <c r="K688" i="28" a="1"/>
  <c r="K688" i="28" s="1"/>
  <c r="L688" i="28" s="1"/>
  <c r="M688" i="28" s="1"/>
  <c r="K700" i="28" a="1"/>
  <c r="K700" i="28" s="1"/>
  <c r="L700" i="28" s="1"/>
  <c r="M700" i="28" s="1"/>
  <c r="K676" i="28" a="1"/>
  <c r="K676" i="28" s="1"/>
  <c r="L676" i="28" s="1"/>
  <c r="M676" i="28" s="1"/>
  <c r="K664" i="28" a="1"/>
  <c r="K664" i="28" s="1"/>
  <c r="L664" i="28" s="1"/>
  <c r="M664" i="28" s="1"/>
  <c r="K592" i="28" a="1"/>
  <c r="K592" i="28" s="1"/>
  <c r="L592" i="28" s="1"/>
  <c r="M592" i="28" s="1"/>
  <c r="K568" i="28" a="1"/>
  <c r="K568" i="28" s="1"/>
  <c r="L568" i="28" s="1"/>
  <c r="M568" i="28" s="1"/>
  <c r="K652" i="28" a="1"/>
  <c r="K652" i="28" s="1"/>
  <c r="L652" i="28" s="1"/>
  <c r="M652" i="28" s="1"/>
  <c r="K640" i="28" a="1"/>
  <c r="K640" i="28" s="1"/>
  <c r="L640" i="28" s="1"/>
  <c r="M640" i="28" s="1"/>
  <c r="K628" i="28" a="1"/>
  <c r="K628" i="28" s="1"/>
  <c r="L628" i="28" s="1"/>
  <c r="M628" i="28" s="1"/>
  <c r="K616" i="28" a="1"/>
  <c r="K616" i="28" s="1"/>
  <c r="L616" i="28" s="1"/>
  <c r="M616" i="28" s="1"/>
  <c r="K604" i="28" a="1"/>
  <c r="K604" i="28" s="1"/>
  <c r="L604" i="28" s="1"/>
  <c r="M604" i="28" s="1"/>
  <c r="K556" i="28" a="1"/>
  <c r="K556" i="28" s="1"/>
  <c r="L556" i="28" s="1"/>
  <c r="M556" i="28" s="1"/>
  <c r="K544" i="28" a="1"/>
  <c r="K544" i="28" s="1"/>
  <c r="L544" i="28" s="1"/>
  <c r="M544" i="28" s="1"/>
  <c r="K532" i="28" a="1"/>
  <c r="K532" i="28" s="1"/>
  <c r="L532" i="28" s="1"/>
  <c r="M532" i="28" s="1"/>
  <c r="K520" i="28" a="1"/>
  <c r="K520" i="28" s="1"/>
  <c r="L520" i="28" s="1"/>
  <c r="M520" i="28" s="1"/>
  <c r="K508" i="28" a="1"/>
  <c r="K508" i="28" s="1"/>
  <c r="L508" i="28" s="1"/>
  <c r="M508" i="28" s="1"/>
  <c r="K580" i="28" a="1"/>
  <c r="K580" i="28" s="1"/>
  <c r="L580" i="28" s="1"/>
  <c r="M580" i="28" s="1"/>
  <c r="K436" i="28" a="1"/>
  <c r="K436" i="28" s="1"/>
  <c r="L436" i="28" s="1"/>
  <c r="M436" i="28" s="1"/>
  <c r="K424" i="28" a="1"/>
  <c r="K424" i="28" s="1"/>
  <c r="L424" i="28" s="1"/>
  <c r="M424" i="28" s="1"/>
  <c r="K412" i="28" a="1"/>
  <c r="K412" i="28" s="1"/>
  <c r="L412" i="28" s="1"/>
  <c r="M412" i="28" s="1"/>
  <c r="K400" i="28" a="1"/>
  <c r="K400" i="28" s="1"/>
  <c r="L400" i="28" s="1"/>
  <c r="M400" i="28" s="1"/>
  <c r="K388" i="28" a="1"/>
  <c r="K388" i="28" s="1"/>
  <c r="L388" i="28" s="1"/>
  <c r="M388" i="28" s="1"/>
  <c r="K496" i="28" a="1"/>
  <c r="K496" i="28" s="1"/>
  <c r="L496" i="28" s="1"/>
  <c r="M496" i="28" s="1"/>
  <c r="K484" i="28" a="1"/>
  <c r="K484" i="28" s="1"/>
  <c r="L484" i="28" s="1"/>
  <c r="M484" i="28" s="1"/>
  <c r="K472" i="28" a="1"/>
  <c r="K472" i="28" s="1"/>
  <c r="L472" i="28" s="1"/>
  <c r="M472" i="28" s="1"/>
  <c r="K460" i="28" a="1"/>
  <c r="K460" i="28" s="1"/>
  <c r="L460" i="28" s="1"/>
  <c r="M460" i="28" s="1"/>
  <c r="K448" i="28" a="1"/>
  <c r="K448" i="28" s="1"/>
  <c r="L448" i="28" s="1"/>
  <c r="M448" i="28" s="1"/>
  <c r="K376" i="28" a="1"/>
  <c r="K376" i="28" s="1"/>
  <c r="L376" i="28" s="1"/>
  <c r="M376" i="28" s="1"/>
  <c r="K352" i="28" a="1"/>
  <c r="K352" i="28" s="1"/>
  <c r="L352" i="28" s="1"/>
  <c r="M352" i="28" s="1"/>
  <c r="K328" i="28" a="1"/>
  <c r="K328" i="28" s="1"/>
  <c r="L328" i="28" s="1"/>
  <c r="M328" i="28" s="1"/>
  <c r="K256" i="28" a="1"/>
  <c r="K256" i="28" s="1"/>
  <c r="L256" i="28" s="1"/>
  <c r="M256" i="28" s="1"/>
  <c r="K364" i="28" a="1"/>
  <c r="K364" i="28" s="1"/>
  <c r="L364" i="28" s="1"/>
  <c r="M364" i="28" s="1"/>
  <c r="K340" i="28" a="1"/>
  <c r="K340" i="28" s="1"/>
  <c r="L340" i="28" s="1"/>
  <c r="M340" i="28" s="1"/>
  <c r="K316" i="28" a="1"/>
  <c r="K316" i="28" s="1"/>
  <c r="L316" i="28" s="1"/>
  <c r="M316" i="28" s="1"/>
  <c r="K304" i="28" a="1"/>
  <c r="K304" i="28" s="1"/>
  <c r="L304" i="28" s="1"/>
  <c r="M304" i="28" s="1"/>
  <c r="K292" i="28" a="1"/>
  <c r="K292" i="28" s="1"/>
  <c r="L292" i="28" s="1"/>
  <c r="M292" i="28" s="1"/>
  <c r="K268" i="28" a="1"/>
  <c r="K268" i="28" s="1"/>
  <c r="L268" i="28" s="1"/>
  <c r="M268" i="28" s="1"/>
  <c r="K244" i="28" a="1"/>
  <c r="K244" i="28" s="1"/>
  <c r="L244" i="28" s="1"/>
  <c r="M244" i="28" s="1"/>
  <c r="K232" i="28" a="1"/>
  <c r="K232" i="28" s="1"/>
  <c r="L232" i="28" s="1"/>
  <c r="M232" i="28" s="1"/>
  <c r="K220" i="28" a="1"/>
  <c r="K220" i="28" s="1"/>
  <c r="L220" i="28" s="1"/>
  <c r="M220" i="28" s="1"/>
  <c r="K208" i="28" a="1"/>
  <c r="K208" i="28" s="1"/>
  <c r="L208" i="28" s="1"/>
  <c r="M208" i="28" s="1"/>
  <c r="K196" i="28" a="1"/>
  <c r="K196" i="28" s="1"/>
  <c r="L196" i="28" s="1"/>
  <c r="M196" i="28" s="1"/>
  <c r="K184" i="28" a="1"/>
  <c r="K184" i="28" s="1"/>
  <c r="L184" i="28" s="1"/>
  <c r="M184" i="28" s="1"/>
  <c r="K172" i="28" a="1"/>
  <c r="K172" i="28" s="1"/>
  <c r="L172" i="28" s="1"/>
  <c r="M172" i="28" s="1"/>
  <c r="K160" i="28" a="1"/>
  <c r="K160" i="28" s="1"/>
  <c r="L160" i="28" s="1"/>
  <c r="M160" i="28" s="1"/>
  <c r="K148" i="28" a="1"/>
  <c r="K148" i="28" s="1"/>
  <c r="L148" i="28" s="1"/>
  <c r="M148" i="28" s="1"/>
  <c r="K136" i="28" a="1"/>
  <c r="K136" i="28" s="1"/>
  <c r="L136" i="28" s="1"/>
  <c r="M136" i="28" s="1"/>
  <c r="K124" i="28" a="1"/>
  <c r="K124" i="28" s="1"/>
  <c r="L124" i="28" s="1"/>
  <c r="M124" i="28" s="1"/>
  <c r="K112" i="28" a="1"/>
  <c r="K112" i="28" s="1"/>
  <c r="L112" i="28" s="1"/>
  <c r="M112" i="28" s="1"/>
  <c r="K100" i="28" a="1"/>
  <c r="K100" i="28" s="1"/>
  <c r="L100" i="28" s="1"/>
  <c r="M100" i="28" s="1"/>
  <c r="K88" i="28" a="1"/>
  <c r="K88" i="28" s="1"/>
  <c r="L88" i="28" s="1"/>
  <c r="M88" i="28" s="1"/>
  <c r="K76" i="28" a="1"/>
  <c r="K76" i="28" s="1"/>
  <c r="L76" i="28" s="1"/>
  <c r="M76" i="28" s="1"/>
  <c r="K67" i="28" a="1"/>
  <c r="K67" i="28" s="1"/>
  <c r="L67" i="28" s="1"/>
  <c r="M67" i="28" s="1"/>
  <c r="K280" i="28" a="1"/>
  <c r="K280" i="28" s="1"/>
  <c r="L280" i="28" s="1"/>
  <c r="M280" i="28" s="1"/>
  <c r="K55" i="28" a="1"/>
  <c r="K55" i="28" s="1"/>
  <c r="L55" i="28" s="1"/>
  <c r="M55" i="28" s="1"/>
  <c r="K43" i="28" a="1"/>
  <c r="K43" i="28" s="1"/>
  <c r="L43" i="28" s="1"/>
  <c r="M43" i="28" s="1"/>
  <c r="K31" i="28" a="1"/>
  <c r="K31" i="28" s="1"/>
  <c r="L31" i="28" s="1"/>
  <c r="M31" i="28" s="1"/>
  <c r="K19" i="28" a="1"/>
  <c r="K19" i="28" s="1"/>
  <c r="L19" i="28" s="1"/>
  <c r="M19" i="28" s="1"/>
  <c r="I2" i="26"/>
  <c r="J2" i="26" s="1"/>
  <c r="J2" i="27"/>
  <c r="B14" i="27" s="1"/>
  <c r="B15" i="27"/>
  <c r="B17" i="27"/>
  <c r="B19" i="27"/>
  <c r="B23" i="27"/>
  <c r="B16" i="27"/>
  <c r="B22" i="27"/>
  <c r="B13" i="27"/>
  <c r="B21" i="27"/>
  <c r="B12" i="27"/>
  <c r="B18" i="27"/>
  <c r="B20" i="27"/>
  <c r="G2" i="26"/>
  <c r="B16" i="26" s="1"/>
  <c r="K731" i="26" l="1" a="1"/>
  <c r="K731" i="26" s="1"/>
  <c r="L731" i="26" s="1"/>
  <c r="M731" i="26" s="1"/>
  <c r="K707" i="26" a="1"/>
  <c r="K707" i="26" s="1"/>
  <c r="L707" i="26" s="1"/>
  <c r="M707" i="26" s="1"/>
  <c r="K683" i="26" a="1"/>
  <c r="K683" i="26" s="1"/>
  <c r="L683" i="26" s="1"/>
  <c r="M683" i="26" s="1"/>
  <c r="K671" i="26" a="1"/>
  <c r="K671" i="26" s="1"/>
  <c r="L671" i="26" s="1"/>
  <c r="M671" i="26" s="1"/>
  <c r="K659" i="26" a="1"/>
  <c r="K659" i="26" s="1"/>
  <c r="L659" i="26" s="1"/>
  <c r="M659" i="26" s="1"/>
  <c r="K647" i="26" a="1"/>
  <c r="K647" i="26" s="1"/>
  <c r="L647" i="26" s="1"/>
  <c r="M647" i="26" s="1"/>
  <c r="K719" i="26" a="1"/>
  <c r="K719" i="26" s="1"/>
  <c r="L719" i="26" s="1"/>
  <c r="M719" i="26" s="1"/>
  <c r="K695" i="26" a="1"/>
  <c r="K695" i="26" s="1"/>
  <c r="L695" i="26" s="1"/>
  <c r="M695" i="26" s="1"/>
  <c r="K635" i="26" a="1"/>
  <c r="K635" i="26" s="1"/>
  <c r="L635" i="26" s="1"/>
  <c r="M635" i="26" s="1"/>
  <c r="K599" i="26" a="1"/>
  <c r="K599" i="26" s="1"/>
  <c r="L599" i="26" s="1"/>
  <c r="M599" i="26" s="1"/>
  <c r="K575" i="26" a="1"/>
  <c r="K575" i="26" s="1"/>
  <c r="L575" i="26" s="1"/>
  <c r="M575" i="26" s="1"/>
  <c r="K551" i="26" a="1"/>
  <c r="K551" i="26" s="1"/>
  <c r="L551" i="26" s="1"/>
  <c r="M551" i="26" s="1"/>
  <c r="K623" i="26" a="1"/>
  <c r="K623" i="26" s="1"/>
  <c r="L623" i="26" s="1"/>
  <c r="M623" i="26" s="1"/>
  <c r="K515" i="26" a="1"/>
  <c r="K515" i="26" s="1"/>
  <c r="L515" i="26" s="1"/>
  <c r="M515" i="26" s="1"/>
  <c r="K491" i="26" a="1"/>
  <c r="K491" i="26" s="1"/>
  <c r="L491" i="26" s="1"/>
  <c r="M491" i="26" s="1"/>
  <c r="K467" i="26" a="1"/>
  <c r="K467" i="26" s="1"/>
  <c r="L467" i="26" s="1"/>
  <c r="M467" i="26" s="1"/>
  <c r="K443" i="26" a="1"/>
  <c r="K443" i="26" s="1"/>
  <c r="L443" i="26" s="1"/>
  <c r="M443" i="26" s="1"/>
  <c r="K611" i="26" a="1"/>
  <c r="K611" i="26" s="1"/>
  <c r="L611" i="26" s="1"/>
  <c r="M611" i="26" s="1"/>
  <c r="K503" i="26" a="1"/>
  <c r="K503" i="26" s="1"/>
  <c r="L503" i="26" s="1"/>
  <c r="M503" i="26" s="1"/>
  <c r="K527" i="26" a="1"/>
  <c r="K527" i="26" s="1"/>
  <c r="L527" i="26" s="1"/>
  <c r="M527" i="26" s="1"/>
  <c r="K431" i="26" a="1"/>
  <c r="K431" i="26" s="1"/>
  <c r="L431" i="26" s="1"/>
  <c r="M431" i="26" s="1"/>
  <c r="K455" i="26" a="1"/>
  <c r="K455" i="26" s="1"/>
  <c r="L455" i="26" s="1"/>
  <c r="M455" i="26" s="1"/>
  <c r="K419" i="26" a="1"/>
  <c r="K419" i="26" s="1"/>
  <c r="L419" i="26" s="1"/>
  <c r="M419" i="26" s="1"/>
  <c r="K407" i="26" a="1"/>
  <c r="K407" i="26" s="1"/>
  <c r="L407" i="26" s="1"/>
  <c r="M407" i="26" s="1"/>
  <c r="K395" i="26" a="1"/>
  <c r="K395" i="26" s="1"/>
  <c r="L395" i="26" s="1"/>
  <c r="M395" i="26" s="1"/>
  <c r="K383" i="26" a="1"/>
  <c r="K383" i="26" s="1"/>
  <c r="L383" i="26" s="1"/>
  <c r="M383" i="26" s="1"/>
  <c r="K371" i="26" a="1"/>
  <c r="K371" i="26" s="1"/>
  <c r="L371" i="26" s="1"/>
  <c r="M371" i="26" s="1"/>
  <c r="K359" i="26" a="1"/>
  <c r="K359" i="26" s="1"/>
  <c r="L359" i="26" s="1"/>
  <c r="M359" i="26" s="1"/>
  <c r="K347" i="26" a="1"/>
  <c r="K347" i="26" s="1"/>
  <c r="L347" i="26" s="1"/>
  <c r="M347" i="26" s="1"/>
  <c r="K335" i="26" a="1"/>
  <c r="K335" i="26" s="1"/>
  <c r="L335" i="26" s="1"/>
  <c r="M335" i="26" s="1"/>
  <c r="K323" i="26" a="1"/>
  <c r="K323" i="26" s="1"/>
  <c r="L323" i="26" s="1"/>
  <c r="M323" i="26" s="1"/>
  <c r="K539" i="26" a="1"/>
  <c r="K539" i="26" s="1"/>
  <c r="L539" i="26" s="1"/>
  <c r="M539" i="26" s="1"/>
  <c r="K563" i="26" a="1"/>
  <c r="K563" i="26" s="1"/>
  <c r="L563" i="26" s="1"/>
  <c r="M563" i="26" s="1"/>
  <c r="K479" i="26" a="1"/>
  <c r="K479" i="26" s="1"/>
  <c r="L479" i="26" s="1"/>
  <c r="M479" i="26" s="1"/>
  <c r="K311" i="26" a="1"/>
  <c r="K311" i="26" s="1"/>
  <c r="L311" i="26" s="1"/>
  <c r="M311" i="26" s="1"/>
  <c r="K287" i="26" a="1"/>
  <c r="K287" i="26" s="1"/>
  <c r="L287" i="26" s="1"/>
  <c r="M287" i="26" s="1"/>
  <c r="K263" i="26" a="1"/>
  <c r="K263" i="26" s="1"/>
  <c r="L263" i="26" s="1"/>
  <c r="M263" i="26" s="1"/>
  <c r="K239" i="26" a="1"/>
  <c r="K239" i="26" s="1"/>
  <c r="L239" i="26" s="1"/>
  <c r="M239" i="26" s="1"/>
  <c r="K215" i="26" a="1"/>
  <c r="K215" i="26" s="1"/>
  <c r="L215" i="26" s="1"/>
  <c r="M215" i="26" s="1"/>
  <c r="K191" i="26" a="1"/>
  <c r="K191" i="26" s="1"/>
  <c r="L191" i="26" s="1"/>
  <c r="M191" i="26" s="1"/>
  <c r="K167" i="26" a="1"/>
  <c r="K167" i="26" s="1"/>
  <c r="L167" i="26" s="1"/>
  <c r="M167" i="26" s="1"/>
  <c r="K155" i="26" a="1"/>
  <c r="K155" i="26" s="1"/>
  <c r="L155" i="26" s="1"/>
  <c r="M155" i="26" s="1"/>
  <c r="K131" i="26" a="1"/>
  <c r="K131" i="26" s="1"/>
  <c r="L131" i="26" s="1"/>
  <c r="M131" i="26" s="1"/>
  <c r="K107" i="26" a="1"/>
  <c r="K107" i="26" s="1"/>
  <c r="L107" i="26" s="1"/>
  <c r="M107" i="26" s="1"/>
  <c r="K83" i="26" a="1"/>
  <c r="K83" i="26" s="1"/>
  <c r="L83" i="26" s="1"/>
  <c r="M83" i="26" s="1"/>
  <c r="K587" i="26" a="1"/>
  <c r="K587" i="26" s="1"/>
  <c r="L587" i="26" s="1"/>
  <c r="M587" i="26" s="1"/>
  <c r="K299" i="26" a="1"/>
  <c r="K299" i="26" s="1"/>
  <c r="L299" i="26" s="1"/>
  <c r="M299" i="26" s="1"/>
  <c r="K275" i="26" a="1"/>
  <c r="K275" i="26" s="1"/>
  <c r="L275" i="26" s="1"/>
  <c r="M275" i="26" s="1"/>
  <c r="K251" i="26" a="1"/>
  <c r="K251" i="26" s="1"/>
  <c r="L251" i="26" s="1"/>
  <c r="M251" i="26" s="1"/>
  <c r="K62" i="26" a="1"/>
  <c r="K62" i="26" s="1"/>
  <c r="L62" i="26" s="1"/>
  <c r="M62" i="26" s="1"/>
  <c r="K50" i="26" a="1"/>
  <c r="K50" i="26" s="1"/>
  <c r="L50" i="26" s="1"/>
  <c r="M50" i="26" s="1"/>
  <c r="K38" i="26" a="1"/>
  <c r="K38" i="26" s="1"/>
  <c r="L38" i="26" s="1"/>
  <c r="M38" i="26" s="1"/>
  <c r="K26" i="26" a="1"/>
  <c r="K26" i="26" s="1"/>
  <c r="L26" i="26" s="1"/>
  <c r="M26" i="26" s="1"/>
  <c r="K14" i="26" a="1"/>
  <c r="K14" i="26" s="1"/>
  <c r="L14" i="26" s="1"/>
  <c r="M14" i="26" s="1"/>
  <c r="K4" i="26" a="1"/>
  <c r="K4" i="26" s="1"/>
  <c r="L4" i="26" s="1"/>
  <c r="M4" i="26" s="1"/>
  <c r="K227" i="26" a="1"/>
  <c r="K227" i="26" s="1"/>
  <c r="L227" i="26" s="1"/>
  <c r="M227" i="26" s="1"/>
  <c r="K179" i="26" a="1"/>
  <c r="K179" i="26" s="1"/>
  <c r="L179" i="26" s="1"/>
  <c r="M179" i="26" s="1"/>
  <c r="K143" i="26" a="1"/>
  <c r="K143" i="26" s="1"/>
  <c r="L143" i="26" s="1"/>
  <c r="M143" i="26" s="1"/>
  <c r="K119" i="26" a="1"/>
  <c r="K119" i="26" s="1"/>
  <c r="L119" i="26" s="1"/>
  <c r="M119" i="26" s="1"/>
  <c r="K95" i="26" a="1"/>
  <c r="K95" i="26" s="1"/>
  <c r="L95" i="26" s="1"/>
  <c r="M95" i="26" s="1"/>
  <c r="K71" i="26" a="1"/>
  <c r="K71" i="26" s="1"/>
  <c r="L71" i="26" s="1"/>
  <c r="M71" i="26" s="1"/>
  <c r="K203" i="26" a="1"/>
  <c r="K203" i="26" s="1"/>
  <c r="L203" i="26" s="1"/>
  <c r="M203" i="26" s="1"/>
  <c r="K2" i="27" a="1"/>
  <c r="K2" i="27" s="1"/>
  <c r="L2" i="27" s="1"/>
  <c r="M2" i="27" s="1"/>
  <c r="K741" i="27" a="1"/>
  <c r="K741" i="27" s="1"/>
  <c r="L741" i="27" s="1"/>
  <c r="M741" i="27" s="1"/>
  <c r="K729" i="27" a="1"/>
  <c r="K729" i="27" s="1"/>
  <c r="L729" i="27" s="1"/>
  <c r="M729" i="27" s="1"/>
  <c r="K717" i="27" a="1"/>
  <c r="K717" i="27" s="1"/>
  <c r="L717" i="27" s="1"/>
  <c r="M717" i="27" s="1"/>
  <c r="K705" i="27" a="1"/>
  <c r="K705" i="27" s="1"/>
  <c r="L705" i="27" s="1"/>
  <c r="M705" i="27" s="1"/>
  <c r="K693" i="27" a="1"/>
  <c r="K693" i="27" s="1"/>
  <c r="L693" i="27" s="1"/>
  <c r="M693" i="27" s="1"/>
  <c r="K681" i="27" a="1"/>
  <c r="K681" i="27" s="1"/>
  <c r="L681" i="27" s="1"/>
  <c r="M681" i="27" s="1"/>
  <c r="K657" i="27" a="1"/>
  <c r="K657" i="27" s="1"/>
  <c r="L657" i="27" s="1"/>
  <c r="M657" i="27" s="1"/>
  <c r="K645" i="27" a="1"/>
  <c r="K645" i="27" s="1"/>
  <c r="L645" i="27" s="1"/>
  <c r="M645" i="27" s="1"/>
  <c r="K633" i="27" a="1"/>
  <c r="K633" i="27" s="1"/>
  <c r="L633" i="27" s="1"/>
  <c r="M633" i="27" s="1"/>
  <c r="K621" i="27" a="1"/>
  <c r="K621" i="27" s="1"/>
  <c r="L621" i="27" s="1"/>
  <c r="M621" i="27" s="1"/>
  <c r="K669" i="27" a="1"/>
  <c r="K669" i="27" s="1"/>
  <c r="L669" i="27" s="1"/>
  <c r="M669" i="27" s="1"/>
  <c r="K609" i="27" a="1"/>
  <c r="K609" i="27" s="1"/>
  <c r="L609" i="27" s="1"/>
  <c r="M609" i="27" s="1"/>
  <c r="K597" i="27" a="1"/>
  <c r="K597" i="27" s="1"/>
  <c r="L597" i="27" s="1"/>
  <c r="M597" i="27" s="1"/>
  <c r="K585" i="27" a="1"/>
  <c r="K585" i="27" s="1"/>
  <c r="L585" i="27" s="1"/>
  <c r="M585" i="27" s="1"/>
  <c r="K573" i="27" a="1"/>
  <c r="K573" i="27" s="1"/>
  <c r="L573" i="27" s="1"/>
  <c r="M573" i="27" s="1"/>
  <c r="K537" i="27" a="1"/>
  <c r="K537" i="27" s="1"/>
  <c r="L537" i="27" s="1"/>
  <c r="M537" i="27" s="1"/>
  <c r="K513" i="27" a="1"/>
  <c r="K513" i="27" s="1"/>
  <c r="L513" i="27" s="1"/>
  <c r="M513" i="27" s="1"/>
  <c r="K489" i="27" a="1"/>
  <c r="K489" i="27" s="1"/>
  <c r="L489" i="27" s="1"/>
  <c r="M489" i="27" s="1"/>
  <c r="K561" i="27" a="1"/>
  <c r="K561" i="27" s="1"/>
  <c r="L561" i="27" s="1"/>
  <c r="M561" i="27" s="1"/>
  <c r="K549" i="27" a="1"/>
  <c r="K549" i="27" s="1"/>
  <c r="L549" i="27" s="1"/>
  <c r="M549" i="27" s="1"/>
  <c r="K525" i="27" a="1"/>
  <c r="K525" i="27" s="1"/>
  <c r="L525" i="27" s="1"/>
  <c r="M525" i="27" s="1"/>
  <c r="K501" i="27" a="1"/>
  <c r="K501" i="27" s="1"/>
  <c r="L501" i="27" s="1"/>
  <c r="M501" i="27" s="1"/>
  <c r="K453" i="27" a="1"/>
  <c r="K453" i="27" s="1"/>
  <c r="L453" i="27" s="1"/>
  <c r="M453" i="27" s="1"/>
  <c r="K429" i="27" a="1"/>
  <c r="K429" i="27" s="1"/>
  <c r="L429" i="27" s="1"/>
  <c r="M429" i="27" s="1"/>
  <c r="K477" i="27" a="1"/>
  <c r="K477" i="27" s="1"/>
  <c r="L477" i="27" s="1"/>
  <c r="M477" i="27" s="1"/>
  <c r="K441" i="27" a="1"/>
  <c r="K441" i="27" s="1"/>
  <c r="L441" i="27" s="1"/>
  <c r="M441" i="27" s="1"/>
  <c r="K465" i="27" a="1"/>
  <c r="K465" i="27" s="1"/>
  <c r="L465" i="27" s="1"/>
  <c r="M465" i="27" s="1"/>
  <c r="K393" i="27" a="1"/>
  <c r="K393" i="27" s="1"/>
  <c r="L393" i="27" s="1"/>
  <c r="M393" i="27" s="1"/>
  <c r="K369" i="27" a="1"/>
  <c r="K369" i="27" s="1"/>
  <c r="L369" i="27" s="1"/>
  <c r="M369" i="27" s="1"/>
  <c r="K345" i="27" a="1"/>
  <c r="K345" i="27" s="1"/>
  <c r="L345" i="27" s="1"/>
  <c r="M345" i="27" s="1"/>
  <c r="K321" i="27" a="1"/>
  <c r="K321" i="27" s="1"/>
  <c r="L321" i="27" s="1"/>
  <c r="M321" i="27" s="1"/>
  <c r="K381" i="27" a="1"/>
  <c r="K381" i="27" s="1"/>
  <c r="L381" i="27" s="1"/>
  <c r="M381" i="27" s="1"/>
  <c r="K333" i="27" a="1"/>
  <c r="K333" i="27" s="1"/>
  <c r="L333" i="27" s="1"/>
  <c r="M333" i="27" s="1"/>
  <c r="K417" i="27" a="1"/>
  <c r="K417" i="27" s="1"/>
  <c r="L417" i="27" s="1"/>
  <c r="M417" i="27" s="1"/>
  <c r="K309" i="27" a="1"/>
  <c r="K309" i="27" s="1"/>
  <c r="L309" i="27" s="1"/>
  <c r="M309" i="27" s="1"/>
  <c r="K405" i="27" a="1"/>
  <c r="K405" i="27" s="1"/>
  <c r="L405" i="27" s="1"/>
  <c r="M405" i="27" s="1"/>
  <c r="K357" i="27" a="1"/>
  <c r="K357" i="27" s="1"/>
  <c r="L357" i="27" s="1"/>
  <c r="M357" i="27" s="1"/>
  <c r="K12" i="27" a="1"/>
  <c r="K12" i="27" s="1"/>
  <c r="L12" i="27" s="1"/>
  <c r="M12" i="27" s="1"/>
  <c r="K249" i="27" a="1"/>
  <c r="K249" i="27" s="1"/>
  <c r="L249" i="27" s="1"/>
  <c r="M249" i="27" s="1"/>
  <c r="K81" i="27" a="1"/>
  <c r="K81" i="27" s="1"/>
  <c r="L81" i="27" s="1"/>
  <c r="M81" i="27" s="1"/>
  <c r="K237" i="27" a="1"/>
  <c r="K237" i="27" s="1"/>
  <c r="L237" i="27" s="1"/>
  <c r="M237" i="27" s="1"/>
  <c r="K225" i="27" a="1"/>
  <c r="K225" i="27" s="1"/>
  <c r="L225" i="27" s="1"/>
  <c r="M225" i="27" s="1"/>
  <c r="K213" i="27" a="1"/>
  <c r="K213" i="27" s="1"/>
  <c r="L213" i="27" s="1"/>
  <c r="M213" i="27" s="1"/>
  <c r="K201" i="27" a="1"/>
  <c r="K201" i="27" s="1"/>
  <c r="L201" i="27" s="1"/>
  <c r="M201" i="27" s="1"/>
  <c r="K189" i="27" a="1"/>
  <c r="K189" i="27" s="1"/>
  <c r="L189" i="27" s="1"/>
  <c r="M189" i="27" s="1"/>
  <c r="K177" i="27" a="1"/>
  <c r="K177" i="27" s="1"/>
  <c r="L177" i="27" s="1"/>
  <c r="M177" i="27" s="1"/>
  <c r="K165" i="27" a="1"/>
  <c r="K165" i="27" s="1"/>
  <c r="L165" i="27" s="1"/>
  <c r="M165" i="27" s="1"/>
  <c r="K153" i="27" a="1"/>
  <c r="K153" i="27" s="1"/>
  <c r="L153" i="27" s="1"/>
  <c r="M153" i="27" s="1"/>
  <c r="K141" i="27" a="1"/>
  <c r="K141" i="27" s="1"/>
  <c r="L141" i="27" s="1"/>
  <c r="M141" i="27" s="1"/>
  <c r="K129" i="27" a="1"/>
  <c r="K129" i="27" s="1"/>
  <c r="L129" i="27" s="1"/>
  <c r="M129" i="27" s="1"/>
  <c r="K117" i="27" a="1"/>
  <c r="K117" i="27" s="1"/>
  <c r="L117" i="27" s="1"/>
  <c r="M117" i="27" s="1"/>
  <c r="K93" i="27" a="1"/>
  <c r="K93" i="27" s="1"/>
  <c r="L93" i="27" s="1"/>
  <c r="M93" i="27" s="1"/>
  <c r="K60" i="27" a="1"/>
  <c r="K60" i="27" s="1"/>
  <c r="L60" i="27" s="1"/>
  <c r="M60" i="27" s="1"/>
  <c r="K48" i="27" a="1"/>
  <c r="K48" i="27" s="1"/>
  <c r="L48" i="27" s="1"/>
  <c r="M48" i="27" s="1"/>
  <c r="K36" i="27" a="1"/>
  <c r="K36" i="27" s="1"/>
  <c r="L36" i="27" s="1"/>
  <c r="M36" i="27" s="1"/>
  <c r="K24" i="27" a="1"/>
  <c r="K24" i="27" s="1"/>
  <c r="L24" i="27" s="1"/>
  <c r="M24" i="27" s="1"/>
  <c r="K297" i="27" a="1"/>
  <c r="K297" i="27" s="1"/>
  <c r="L297" i="27" s="1"/>
  <c r="M297" i="27" s="1"/>
  <c r="K285" i="27" a="1"/>
  <c r="K285" i="27" s="1"/>
  <c r="L285" i="27" s="1"/>
  <c r="M285" i="27" s="1"/>
  <c r="K273" i="27" a="1"/>
  <c r="K273" i="27" s="1"/>
  <c r="L273" i="27" s="1"/>
  <c r="M273" i="27" s="1"/>
  <c r="K261" i="27" a="1"/>
  <c r="K261" i="27" s="1"/>
  <c r="L261" i="27" s="1"/>
  <c r="M261" i="27" s="1"/>
  <c r="K105" i="27" a="1"/>
  <c r="K105" i="27" s="1"/>
  <c r="L105" i="27" s="1"/>
  <c r="M105" i="27" s="1"/>
  <c r="K738" i="27" a="1"/>
  <c r="K738" i="27" s="1"/>
  <c r="L738" i="27" s="1"/>
  <c r="M738" i="27" s="1"/>
  <c r="K726" i="27" a="1"/>
  <c r="K726" i="27" s="1"/>
  <c r="L726" i="27" s="1"/>
  <c r="M726" i="27" s="1"/>
  <c r="K714" i="27" a="1"/>
  <c r="K714" i="27" s="1"/>
  <c r="L714" i="27" s="1"/>
  <c r="M714" i="27" s="1"/>
  <c r="K690" i="27" a="1"/>
  <c r="K690" i="27" s="1"/>
  <c r="L690" i="27" s="1"/>
  <c r="M690" i="27" s="1"/>
  <c r="K666" i="27" a="1"/>
  <c r="K666" i="27" s="1"/>
  <c r="L666" i="27" s="1"/>
  <c r="M666" i="27" s="1"/>
  <c r="K702" i="27" a="1"/>
  <c r="K702" i="27" s="1"/>
  <c r="L702" i="27" s="1"/>
  <c r="M702" i="27" s="1"/>
  <c r="K678" i="27" a="1"/>
  <c r="K678" i="27" s="1"/>
  <c r="L678" i="27" s="1"/>
  <c r="M678" i="27" s="1"/>
  <c r="K654" i="27" a="1"/>
  <c r="K654" i="27" s="1"/>
  <c r="L654" i="27" s="1"/>
  <c r="M654" i="27" s="1"/>
  <c r="K630" i="27" a="1"/>
  <c r="K630" i="27" s="1"/>
  <c r="L630" i="27" s="1"/>
  <c r="M630" i="27" s="1"/>
  <c r="K606" i="27" a="1"/>
  <c r="K606" i="27" s="1"/>
  <c r="L606" i="27" s="1"/>
  <c r="M606" i="27" s="1"/>
  <c r="K594" i="27" a="1"/>
  <c r="K594" i="27" s="1"/>
  <c r="L594" i="27" s="1"/>
  <c r="M594" i="27" s="1"/>
  <c r="K582" i="27" a="1"/>
  <c r="K582" i="27" s="1"/>
  <c r="L582" i="27" s="1"/>
  <c r="M582" i="27" s="1"/>
  <c r="K522" i="27" a="1"/>
  <c r="K522" i="27" s="1"/>
  <c r="L522" i="27" s="1"/>
  <c r="M522" i="27" s="1"/>
  <c r="K498" i="27" a="1"/>
  <c r="K498" i="27" s="1"/>
  <c r="L498" i="27" s="1"/>
  <c r="M498" i="27" s="1"/>
  <c r="K642" i="27" a="1"/>
  <c r="K642" i="27" s="1"/>
  <c r="L642" i="27" s="1"/>
  <c r="M642" i="27" s="1"/>
  <c r="K618" i="27" a="1"/>
  <c r="K618" i="27" s="1"/>
  <c r="L618" i="27" s="1"/>
  <c r="M618" i="27" s="1"/>
  <c r="K570" i="27" a="1"/>
  <c r="K570" i="27" s="1"/>
  <c r="L570" i="27" s="1"/>
  <c r="M570" i="27" s="1"/>
  <c r="K558" i="27" a="1"/>
  <c r="K558" i="27" s="1"/>
  <c r="L558" i="27" s="1"/>
  <c r="M558" i="27" s="1"/>
  <c r="K546" i="27" a="1"/>
  <c r="K546" i="27" s="1"/>
  <c r="L546" i="27" s="1"/>
  <c r="M546" i="27" s="1"/>
  <c r="K534" i="27" a="1"/>
  <c r="K534" i="27" s="1"/>
  <c r="L534" i="27" s="1"/>
  <c r="M534" i="27" s="1"/>
  <c r="K510" i="27" a="1"/>
  <c r="K510" i="27" s="1"/>
  <c r="L510" i="27" s="1"/>
  <c r="M510" i="27" s="1"/>
  <c r="K486" i="27" a="1"/>
  <c r="K486" i="27" s="1"/>
  <c r="L486" i="27" s="1"/>
  <c r="M486" i="27" s="1"/>
  <c r="K462" i="27" a="1"/>
  <c r="K462" i="27" s="1"/>
  <c r="L462" i="27" s="1"/>
  <c r="M462" i="27" s="1"/>
  <c r="K438" i="27" a="1"/>
  <c r="K438" i="27" s="1"/>
  <c r="L438" i="27" s="1"/>
  <c r="M438" i="27" s="1"/>
  <c r="K414" i="27" a="1"/>
  <c r="K414" i="27" s="1"/>
  <c r="L414" i="27" s="1"/>
  <c r="M414" i="27" s="1"/>
  <c r="K474" i="27" a="1"/>
  <c r="K474" i="27" s="1"/>
  <c r="L474" i="27" s="1"/>
  <c r="M474" i="27" s="1"/>
  <c r="K450" i="27" a="1"/>
  <c r="K450" i="27" s="1"/>
  <c r="L450" i="27" s="1"/>
  <c r="M450" i="27" s="1"/>
  <c r="K402" i="27" a="1"/>
  <c r="K402" i="27" s="1"/>
  <c r="L402" i="27" s="1"/>
  <c r="M402" i="27" s="1"/>
  <c r="K378" i="27" a="1"/>
  <c r="K378" i="27" s="1"/>
  <c r="L378" i="27" s="1"/>
  <c r="M378" i="27" s="1"/>
  <c r="K354" i="27" a="1"/>
  <c r="K354" i="27" s="1"/>
  <c r="L354" i="27" s="1"/>
  <c r="M354" i="27" s="1"/>
  <c r="K330" i="27" a="1"/>
  <c r="K330" i="27" s="1"/>
  <c r="L330" i="27" s="1"/>
  <c r="M330" i="27" s="1"/>
  <c r="K390" i="27" a="1"/>
  <c r="K390" i="27" s="1"/>
  <c r="L390" i="27" s="1"/>
  <c r="M390" i="27" s="1"/>
  <c r="K342" i="27" a="1"/>
  <c r="K342" i="27" s="1"/>
  <c r="L342" i="27" s="1"/>
  <c r="M342" i="27" s="1"/>
  <c r="K318" i="27" a="1"/>
  <c r="K318" i="27" s="1"/>
  <c r="L318" i="27" s="1"/>
  <c r="M318" i="27" s="1"/>
  <c r="K294" i="27" a="1"/>
  <c r="K294" i="27" s="1"/>
  <c r="L294" i="27" s="1"/>
  <c r="M294" i="27" s="1"/>
  <c r="K282" i="27" a="1"/>
  <c r="K282" i="27" s="1"/>
  <c r="L282" i="27" s="1"/>
  <c r="M282" i="27" s="1"/>
  <c r="K270" i="27" a="1"/>
  <c r="K270" i="27" s="1"/>
  <c r="L270" i="27" s="1"/>
  <c r="M270" i="27" s="1"/>
  <c r="K258" i="27" a="1"/>
  <c r="K258" i="27" s="1"/>
  <c r="L258" i="27" s="1"/>
  <c r="M258" i="27" s="1"/>
  <c r="K246" i="27" a="1"/>
  <c r="K246" i="27" s="1"/>
  <c r="L246" i="27" s="1"/>
  <c r="M246" i="27" s="1"/>
  <c r="K426" i="27" a="1"/>
  <c r="K426" i="27" s="1"/>
  <c r="L426" i="27" s="1"/>
  <c r="M426" i="27" s="1"/>
  <c r="K366" i="27" a="1"/>
  <c r="K366" i="27" s="1"/>
  <c r="L366" i="27" s="1"/>
  <c r="M366" i="27" s="1"/>
  <c r="K306" i="27" a="1"/>
  <c r="K306" i="27" s="1"/>
  <c r="L306" i="27" s="1"/>
  <c r="M306" i="27" s="1"/>
  <c r="K57" i="27" a="1"/>
  <c r="K57" i="27" s="1"/>
  <c r="L57" i="27" s="1"/>
  <c r="M57" i="27" s="1"/>
  <c r="K45" i="27" a="1"/>
  <c r="K45" i="27" s="1"/>
  <c r="L45" i="27" s="1"/>
  <c r="M45" i="27" s="1"/>
  <c r="K33" i="27" a="1"/>
  <c r="K33" i="27" s="1"/>
  <c r="L33" i="27" s="1"/>
  <c r="M33" i="27" s="1"/>
  <c r="K21" i="27" a="1"/>
  <c r="K21" i="27" s="1"/>
  <c r="L21" i="27" s="1"/>
  <c r="M21" i="27" s="1"/>
  <c r="K9" i="27" a="1"/>
  <c r="K9" i="27" s="1"/>
  <c r="L9" i="27" s="1"/>
  <c r="M9" i="27" s="1"/>
  <c r="K138" i="27" a="1"/>
  <c r="K138" i="27" s="1"/>
  <c r="L138" i="27" s="1"/>
  <c r="M138" i="27" s="1"/>
  <c r="K102" i="27" a="1"/>
  <c r="K102" i="27" s="1"/>
  <c r="L102" i="27" s="1"/>
  <c r="M102" i="27" s="1"/>
  <c r="K78" i="27" a="1"/>
  <c r="K78" i="27" s="1"/>
  <c r="L78" i="27" s="1"/>
  <c r="M78" i="27" s="1"/>
  <c r="K69" i="27" a="1"/>
  <c r="K69" i="27" s="1"/>
  <c r="L69" i="27" s="1"/>
  <c r="M69" i="27" s="1"/>
  <c r="K234" i="27" a="1"/>
  <c r="K234" i="27" s="1"/>
  <c r="L234" i="27" s="1"/>
  <c r="M234" i="27" s="1"/>
  <c r="K222" i="27" a="1"/>
  <c r="K222" i="27" s="1"/>
  <c r="L222" i="27" s="1"/>
  <c r="M222" i="27" s="1"/>
  <c r="K210" i="27" a="1"/>
  <c r="K210" i="27" s="1"/>
  <c r="L210" i="27" s="1"/>
  <c r="M210" i="27" s="1"/>
  <c r="K198" i="27" a="1"/>
  <c r="K198" i="27" s="1"/>
  <c r="L198" i="27" s="1"/>
  <c r="M198" i="27" s="1"/>
  <c r="K186" i="27" a="1"/>
  <c r="K186" i="27" s="1"/>
  <c r="L186" i="27" s="1"/>
  <c r="M186" i="27" s="1"/>
  <c r="K174" i="27" a="1"/>
  <c r="K174" i="27" s="1"/>
  <c r="L174" i="27" s="1"/>
  <c r="M174" i="27" s="1"/>
  <c r="K162" i="27" a="1"/>
  <c r="K162" i="27" s="1"/>
  <c r="L162" i="27" s="1"/>
  <c r="M162" i="27" s="1"/>
  <c r="K150" i="27" a="1"/>
  <c r="K150" i="27" s="1"/>
  <c r="L150" i="27" s="1"/>
  <c r="M150" i="27" s="1"/>
  <c r="K126" i="27" a="1"/>
  <c r="K126" i="27" s="1"/>
  <c r="L126" i="27" s="1"/>
  <c r="M126" i="27" s="1"/>
  <c r="K114" i="27" a="1"/>
  <c r="K114" i="27" s="1"/>
  <c r="L114" i="27" s="1"/>
  <c r="M114" i="27" s="1"/>
  <c r="K90" i="27" a="1"/>
  <c r="K90" i="27" s="1"/>
  <c r="L90" i="27" s="1"/>
  <c r="M90" i="27" s="1"/>
  <c r="K699" i="27" a="1"/>
  <c r="K699" i="27" s="1"/>
  <c r="L699" i="27" s="1"/>
  <c r="M699" i="27" s="1"/>
  <c r="K687" i="27" a="1"/>
  <c r="K687" i="27" s="1"/>
  <c r="L687" i="27" s="1"/>
  <c r="M687" i="27" s="1"/>
  <c r="K663" i="27" a="1"/>
  <c r="K663" i="27" s="1"/>
  <c r="L663" i="27" s="1"/>
  <c r="M663" i="27" s="1"/>
  <c r="K639" i="27" a="1"/>
  <c r="K639" i="27" s="1"/>
  <c r="L639" i="27" s="1"/>
  <c r="M639" i="27" s="1"/>
  <c r="K627" i="27" a="1"/>
  <c r="K627" i="27" s="1"/>
  <c r="L627" i="27" s="1"/>
  <c r="M627" i="27" s="1"/>
  <c r="K735" i="27" a="1"/>
  <c r="K735" i="27" s="1"/>
  <c r="L735" i="27" s="1"/>
  <c r="M735" i="27" s="1"/>
  <c r="K723" i="27" a="1"/>
  <c r="K723" i="27" s="1"/>
  <c r="L723" i="27" s="1"/>
  <c r="M723" i="27" s="1"/>
  <c r="K711" i="27" a="1"/>
  <c r="K711" i="27" s="1"/>
  <c r="L711" i="27" s="1"/>
  <c r="M711" i="27" s="1"/>
  <c r="K615" i="27" a="1"/>
  <c r="K615" i="27" s="1"/>
  <c r="L615" i="27" s="1"/>
  <c r="M615" i="27" s="1"/>
  <c r="K603" i="27" a="1"/>
  <c r="K603" i="27" s="1"/>
  <c r="L603" i="27" s="1"/>
  <c r="M603" i="27" s="1"/>
  <c r="K591" i="27" a="1"/>
  <c r="K591" i="27" s="1"/>
  <c r="L591" i="27" s="1"/>
  <c r="M591" i="27" s="1"/>
  <c r="K579" i="27" a="1"/>
  <c r="K579" i="27" s="1"/>
  <c r="L579" i="27" s="1"/>
  <c r="M579" i="27" s="1"/>
  <c r="K675" i="27" a="1"/>
  <c r="K675" i="27" s="1"/>
  <c r="L675" i="27" s="1"/>
  <c r="M675" i="27" s="1"/>
  <c r="K651" i="27" a="1"/>
  <c r="K651" i="27" s="1"/>
  <c r="L651" i="27" s="1"/>
  <c r="M651" i="27" s="1"/>
  <c r="K543" i="27" a="1"/>
  <c r="K543" i="27" s="1"/>
  <c r="L543" i="27" s="1"/>
  <c r="M543" i="27" s="1"/>
  <c r="K519" i="27" a="1"/>
  <c r="K519" i="27" s="1"/>
  <c r="L519" i="27" s="1"/>
  <c r="M519" i="27" s="1"/>
  <c r="K495" i="27" a="1"/>
  <c r="K495" i="27" s="1"/>
  <c r="L495" i="27" s="1"/>
  <c r="M495" i="27" s="1"/>
  <c r="K567" i="27" a="1"/>
  <c r="K567" i="27" s="1"/>
  <c r="L567" i="27" s="1"/>
  <c r="M567" i="27" s="1"/>
  <c r="K471" i="27" a="1"/>
  <c r="K471" i="27" s="1"/>
  <c r="L471" i="27" s="1"/>
  <c r="M471" i="27" s="1"/>
  <c r="K483" i="27" a="1"/>
  <c r="K483" i="27" s="1"/>
  <c r="L483" i="27" s="1"/>
  <c r="M483" i="27" s="1"/>
  <c r="K447" i="27" a="1"/>
  <c r="K447" i="27" s="1"/>
  <c r="L447" i="27" s="1"/>
  <c r="M447" i="27" s="1"/>
  <c r="K555" i="27" a="1"/>
  <c r="K555" i="27" s="1"/>
  <c r="L555" i="27" s="1"/>
  <c r="M555" i="27" s="1"/>
  <c r="K411" i="27" a="1"/>
  <c r="K411" i="27" s="1"/>
  <c r="L411" i="27" s="1"/>
  <c r="M411" i="27" s="1"/>
  <c r="K507" i="27" a="1"/>
  <c r="K507" i="27" s="1"/>
  <c r="L507" i="27" s="1"/>
  <c r="M507" i="27" s="1"/>
  <c r="K435" i="27" a="1"/>
  <c r="K435" i="27" s="1"/>
  <c r="L435" i="27" s="1"/>
  <c r="M435" i="27" s="1"/>
  <c r="K399" i="27" a="1"/>
  <c r="K399" i="27" s="1"/>
  <c r="L399" i="27" s="1"/>
  <c r="M399" i="27" s="1"/>
  <c r="K375" i="27" a="1"/>
  <c r="K375" i="27" s="1"/>
  <c r="L375" i="27" s="1"/>
  <c r="M375" i="27" s="1"/>
  <c r="K351" i="27" a="1"/>
  <c r="K351" i="27" s="1"/>
  <c r="L351" i="27" s="1"/>
  <c r="M351" i="27" s="1"/>
  <c r="K327" i="27" a="1"/>
  <c r="K327" i="27" s="1"/>
  <c r="L327" i="27" s="1"/>
  <c r="M327" i="27" s="1"/>
  <c r="K531" i="27" a="1"/>
  <c r="K531" i="27" s="1"/>
  <c r="L531" i="27" s="1"/>
  <c r="M531" i="27" s="1"/>
  <c r="K423" i="27" a="1"/>
  <c r="K423" i="27" s="1"/>
  <c r="L423" i="27" s="1"/>
  <c r="M423" i="27" s="1"/>
  <c r="K303" i="27" a="1"/>
  <c r="K303" i="27" s="1"/>
  <c r="L303" i="27" s="1"/>
  <c r="M303" i="27" s="1"/>
  <c r="K459" i="27" a="1"/>
  <c r="K459" i="27" s="1"/>
  <c r="L459" i="27" s="1"/>
  <c r="M459" i="27" s="1"/>
  <c r="K387" i="27" a="1"/>
  <c r="K387" i="27" s="1"/>
  <c r="L387" i="27" s="1"/>
  <c r="M387" i="27" s="1"/>
  <c r="K339" i="27" a="1"/>
  <c r="K339" i="27" s="1"/>
  <c r="L339" i="27" s="1"/>
  <c r="M339" i="27" s="1"/>
  <c r="K315" i="27" a="1"/>
  <c r="K315" i="27" s="1"/>
  <c r="L315" i="27" s="1"/>
  <c r="M315" i="27" s="1"/>
  <c r="K111" i="27" a="1"/>
  <c r="K111" i="27" s="1"/>
  <c r="L111" i="27" s="1"/>
  <c r="M111" i="27" s="1"/>
  <c r="K87" i="27" a="1"/>
  <c r="K87" i="27" s="1"/>
  <c r="L87" i="27" s="1"/>
  <c r="M87" i="27" s="1"/>
  <c r="K7" i="27" a="1"/>
  <c r="K7" i="27" s="1"/>
  <c r="L7" i="27" s="1"/>
  <c r="M7" i="27" s="1"/>
  <c r="K75" i="27" a="1"/>
  <c r="K75" i="27" s="1"/>
  <c r="L75" i="27" s="1"/>
  <c r="M75" i="27" s="1"/>
  <c r="K42" i="27" a="1"/>
  <c r="K42" i="27" s="1"/>
  <c r="L42" i="27" s="1"/>
  <c r="M42" i="27" s="1"/>
  <c r="K18" i="27" a="1"/>
  <c r="K18" i="27" s="1"/>
  <c r="L18" i="27" s="1"/>
  <c r="M18" i="27" s="1"/>
  <c r="K291" i="27" a="1"/>
  <c r="K291" i="27" s="1"/>
  <c r="L291" i="27" s="1"/>
  <c r="M291" i="27" s="1"/>
  <c r="K279" i="27" a="1"/>
  <c r="K279" i="27" s="1"/>
  <c r="L279" i="27" s="1"/>
  <c r="M279" i="27" s="1"/>
  <c r="K267" i="27" a="1"/>
  <c r="K267" i="27" s="1"/>
  <c r="L267" i="27" s="1"/>
  <c r="M267" i="27" s="1"/>
  <c r="K123" i="27" a="1"/>
  <c r="K123" i="27" s="1"/>
  <c r="L123" i="27" s="1"/>
  <c r="M123" i="27" s="1"/>
  <c r="K66" i="27" a="1"/>
  <c r="K66" i="27" s="1"/>
  <c r="L66" i="27" s="1"/>
  <c r="M66" i="27" s="1"/>
  <c r="K363" i="27" a="1"/>
  <c r="K363" i="27" s="1"/>
  <c r="L363" i="27" s="1"/>
  <c r="M363" i="27" s="1"/>
  <c r="K99" i="27" a="1"/>
  <c r="K99" i="27" s="1"/>
  <c r="L99" i="27" s="1"/>
  <c r="M99" i="27" s="1"/>
  <c r="K54" i="27" a="1"/>
  <c r="K54" i="27" s="1"/>
  <c r="L54" i="27" s="1"/>
  <c r="M54" i="27" s="1"/>
  <c r="K30" i="27" a="1"/>
  <c r="K30" i="27" s="1"/>
  <c r="L30" i="27" s="1"/>
  <c r="M30" i="27" s="1"/>
  <c r="K255" i="27" a="1"/>
  <c r="K255" i="27" s="1"/>
  <c r="L255" i="27" s="1"/>
  <c r="M255" i="27" s="1"/>
  <c r="K243" i="27" a="1"/>
  <c r="K243" i="27" s="1"/>
  <c r="L243" i="27" s="1"/>
  <c r="M243" i="27" s="1"/>
  <c r="K231" i="27" a="1"/>
  <c r="K231" i="27" s="1"/>
  <c r="L231" i="27" s="1"/>
  <c r="M231" i="27" s="1"/>
  <c r="K219" i="27" a="1"/>
  <c r="K219" i="27" s="1"/>
  <c r="L219" i="27" s="1"/>
  <c r="M219" i="27" s="1"/>
  <c r="K207" i="27" a="1"/>
  <c r="K207" i="27" s="1"/>
  <c r="L207" i="27" s="1"/>
  <c r="M207" i="27" s="1"/>
  <c r="K195" i="27" a="1"/>
  <c r="K195" i="27" s="1"/>
  <c r="L195" i="27" s="1"/>
  <c r="M195" i="27" s="1"/>
  <c r="K183" i="27" a="1"/>
  <c r="K183" i="27" s="1"/>
  <c r="L183" i="27" s="1"/>
  <c r="M183" i="27" s="1"/>
  <c r="K171" i="27" a="1"/>
  <c r="K171" i="27" s="1"/>
  <c r="L171" i="27" s="1"/>
  <c r="M171" i="27" s="1"/>
  <c r="K159" i="27" a="1"/>
  <c r="K159" i="27" s="1"/>
  <c r="L159" i="27" s="1"/>
  <c r="M159" i="27" s="1"/>
  <c r="K147" i="27" a="1"/>
  <c r="K147" i="27" s="1"/>
  <c r="L147" i="27" s="1"/>
  <c r="M147" i="27" s="1"/>
  <c r="K135" i="27" a="1"/>
  <c r="K135" i="27" s="1"/>
  <c r="L135" i="27" s="1"/>
  <c r="M135" i="27" s="1"/>
  <c r="K692" i="27" a="1"/>
  <c r="K692" i="27" s="1"/>
  <c r="L692" i="27" s="1"/>
  <c r="M692" i="27" s="1"/>
  <c r="K740" i="27" a="1"/>
  <c r="K740" i="27" s="1"/>
  <c r="L740" i="27" s="1"/>
  <c r="M740" i="27" s="1"/>
  <c r="K728" i="27" a="1"/>
  <c r="K728" i="27" s="1"/>
  <c r="L728" i="27" s="1"/>
  <c r="M728" i="27" s="1"/>
  <c r="K716" i="27" a="1"/>
  <c r="K716" i="27" s="1"/>
  <c r="L716" i="27" s="1"/>
  <c r="M716" i="27" s="1"/>
  <c r="K704" i="27" a="1"/>
  <c r="K704" i="27" s="1"/>
  <c r="L704" i="27" s="1"/>
  <c r="M704" i="27" s="1"/>
  <c r="K680" i="27" a="1"/>
  <c r="K680" i="27" s="1"/>
  <c r="L680" i="27" s="1"/>
  <c r="M680" i="27" s="1"/>
  <c r="K656" i="27" a="1"/>
  <c r="K656" i="27" s="1"/>
  <c r="L656" i="27" s="1"/>
  <c r="M656" i="27" s="1"/>
  <c r="K608" i="27" a="1"/>
  <c r="K608" i="27" s="1"/>
  <c r="L608" i="27" s="1"/>
  <c r="M608" i="27" s="1"/>
  <c r="K596" i="27" a="1"/>
  <c r="K596" i="27" s="1"/>
  <c r="L596" i="27" s="1"/>
  <c r="M596" i="27" s="1"/>
  <c r="K584" i="27" a="1"/>
  <c r="K584" i="27" s="1"/>
  <c r="L584" i="27" s="1"/>
  <c r="M584" i="27" s="1"/>
  <c r="K572" i="27" a="1"/>
  <c r="K572" i="27" s="1"/>
  <c r="L572" i="27" s="1"/>
  <c r="M572" i="27" s="1"/>
  <c r="K560" i="27" a="1"/>
  <c r="K560" i="27" s="1"/>
  <c r="L560" i="27" s="1"/>
  <c r="M560" i="27" s="1"/>
  <c r="K548" i="27" a="1"/>
  <c r="K548" i="27" s="1"/>
  <c r="L548" i="27" s="1"/>
  <c r="M548" i="27" s="1"/>
  <c r="K632" i="27" a="1"/>
  <c r="K632" i="27" s="1"/>
  <c r="L632" i="27" s="1"/>
  <c r="M632" i="27" s="1"/>
  <c r="K536" i="27" a="1"/>
  <c r="K536" i="27" s="1"/>
  <c r="L536" i="27" s="1"/>
  <c r="M536" i="27" s="1"/>
  <c r="K512" i="27" a="1"/>
  <c r="K512" i="27" s="1"/>
  <c r="L512" i="27" s="1"/>
  <c r="M512" i="27" s="1"/>
  <c r="K620" i="27" a="1"/>
  <c r="K620" i="27" s="1"/>
  <c r="L620" i="27" s="1"/>
  <c r="M620" i="27" s="1"/>
  <c r="K644" i="27" a="1"/>
  <c r="K644" i="27" s="1"/>
  <c r="L644" i="27" s="1"/>
  <c r="M644" i="27" s="1"/>
  <c r="K524" i="27" a="1"/>
  <c r="K524" i="27" s="1"/>
  <c r="L524" i="27" s="1"/>
  <c r="M524" i="27" s="1"/>
  <c r="K500" i="27" a="1"/>
  <c r="K500" i="27" s="1"/>
  <c r="L500" i="27" s="1"/>
  <c r="M500" i="27" s="1"/>
  <c r="K428" i="27" a="1"/>
  <c r="K428" i="27" s="1"/>
  <c r="L428" i="27" s="1"/>
  <c r="M428" i="27" s="1"/>
  <c r="K416" i="27" a="1"/>
  <c r="K416" i="27" s="1"/>
  <c r="L416" i="27" s="1"/>
  <c r="M416" i="27" s="1"/>
  <c r="K668" i="27" a="1"/>
  <c r="K668" i="27" s="1"/>
  <c r="L668" i="27" s="1"/>
  <c r="M668" i="27" s="1"/>
  <c r="K452" i="27" a="1"/>
  <c r="K452" i="27" s="1"/>
  <c r="L452" i="27" s="1"/>
  <c r="M452" i="27" s="1"/>
  <c r="K440" i="27" a="1"/>
  <c r="K440" i="27" s="1"/>
  <c r="L440" i="27" s="1"/>
  <c r="M440" i="27" s="1"/>
  <c r="K476" i="27" a="1"/>
  <c r="K476" i="27" s="1"/>
  <c r="L476" i="27" s="1"/>
  <c r="M476" i="27" s="1"/>
  <c r="K464" i="27" a="1"/>
  <c r="K464" i="27" s="1"/>
  <c r="L464" i="27" s="1"/>
  <c r="M464" i="27" s="1"/>
  <c r="K392" i="27" a="1"/>
  <c r="K392" i="27" s="1"/>
  <c r="L392" i="27" s="1"/>
  <c r="M392" i="27" s="1"/>
  <c r="K368" i="27" a="1"/>
  <c r="K368" i="27" s="1"/>
  <c r="L368" i="27" s="1"/>
  <c r="M368" i="27" s="1"/>
  <c r="K344" i="27" a="1"/>
  <c r="K344" i="27" s="1"/>
  <c r="L344" i="27" s="1"/>
  <c r="M344" i="27" s="1"/>
  <c r="K380" i="27" a="1"/>
  <c r="K380" i="27" s="1"/>
  <c r="L380" i="27" s="1"/>
  <c r="M380" i="27" s="1"/>
  <c r="K332" i="27" a="1"/>
  <c r="K332" i="27" s="1"/>
  <c r="L332" i="27" s="1"/>
  <c r="M332" i="27" s="1"/>
  <c r="K308" i="27" a="1"/>
  <c r="K308" i="27" s="1"/>
  <c r="L308" i="27" s="1"/>
  <c r="M308" i="27" s="1"/>
  <c r="K296" i="27" a="1"/>
  <c r="K296" i="27" s="1"/>
  <c r="L296" i="27" s="1"/>
  <c r="M296" i="27" s="1"/>
  <c r="K284" i="27" a="1"/>
  <c r="K284" i="27" s="1"/>
  <c r="L284" i="27" s="1"/>
  <c r="M284" i="27" s="1"/>
  <c r="K272" i="27" a="1"/>
  <c r="K272" i="27" s="1"/>
  <c r="L272" i="27" s="1"/>
  <c r="M272" i="27" s="1"/>
  <c r="K260" i="27" a="1"/>
  <c r="K260" i="27" s="1"/>
  <c r="L260" i="27" s="1"/>
  <c r="M260" i="27" s="1"/>
  <c r="K248" i="27" a="1"/>
  <c r="K248" i="27" s="1"/>
  <c r="L248" i="27" s="1"/>
  <c r="M248" i="27" s="1"/>
  <c r="K404" i="27" a="1"/>
  <c r="K404" i="27" s="1"/>
  <c r="L404" i="27" s="1"/>
  <c r="M404" i="27" s="1"/>
  <c r="K356" i="27" a="1"/>
  <c r="K356" i="27" s="1"/>
  <c r="L356" i="27" s="1"/>
  <c r="M356" i="27" s="1"/>
  <c r="K488" i="27" a="1"/>
  <c r="K488" i="27" s="1"/>
  <c r="L488" i="27" s="1"/>
  <c r="M488" i="27" s="1"/>
  <c r="K236" i="27" a="1"/>
  <c r="K236" i="27" s="1"/>
  <c r="L236" i="27" s="1"/>
  <c r="M236" i="27" s="1"/>
  <c r="K224" i="27" a="1"/>
  <c r="K224" i="27" s="1"/>
  <c r="L224" i="27" s="1"/>
  <c r="M224" i="27" s="1"/>
  <c r="K212" i="27" a="1"/>
  <c r="K212" i="27" s="1"/>
  <c r="L212" i="27" s="1"/>
  <c r="M212" i="27" s="1"/>
  <c r="K200" i="27" a="1"/>
  <c r="K200" i="27" s="1"/>
  <c r="L200" i="27" s="1"/>
  <c r="M200" i="27" s="1"/>
  <c r="K188" i="27" a="1"/>
  <c r="K188" i="27" s="1"/>
  <c r="L188" i="27" s="1"/>
  <c r="M188" i="27" s="1"/>
  <c r="K176" i="27" a="1"/>
  <c r="K176" i="27" s="1"/>
  <c r="L176" i="27" s="1"/>
  <c r="M176" i="27" s="1"/>
  <c r="K164" i="27" a="1"/>
  <c r="K164" i="27" s="1"/>
  <c r="L164" i="27" s="1"/>
  <c r="M164" i="27" s="1"/>
  <c r="K152" i="27" a="1"/>
  <c r="K152" i="27" s="1"/>
  <c r="L152" i="27" s="1"/>
  <c r="M152" i="27" s="1"/>
  <c r="K140" i="27" a="1"/>
  <c r="K140" i="27" s="1"/>
  <c r="L140" i="27" s="1"/>
  <c r="M140" i="27" s="1"/>
  <c r="K128" i="27" a="1"/>
  <c r="K128" i="27" s="1"/>
  <c r="L128" i="27" s="1"/>
  <c r="M128" i="27" s="1"/>
  <c r="K104" i="27" a="1"/>
  <c r="K104" i="27" s="1"/>
  <c r="L104" i="27" s="1"/>
  <c r="M104" i="27" s="1"/>
  <c r="K80" i="27" a="1"/>
  <c r="K80" i="27" s="1"/>
  <c r="L80" i="27" s="1"/>
  <c r="M80" i="27" s="1"/>
  <c r="K59" i="27" a="1"/>
  <c r="K59" i="27" s="1"/>
  <c r="L59" i="27" s="1"/>
  <c r="M59" i="27" s="1"/>
  <c r="K47" i="27" a="1"/>
  <c r="K47" i="27" s="1"/>
  <c r="L47" i="27" s="1"/>
  <c r="M47" i="27" s="1"/>
  <c r="K35" i="27" a="1"/>
  <c r="K35" i="27" s="1"/>
  <c r="L35" i="27" s="1"/>
  <c r="M35" i="27" s="1"/>
  <c r="K23" i="27" a="1"/>
  <c r="K23" i="27" s="1"/>
  <c r="L23" i="27" s="1"/>
  <c r="M23" i="27" s="1"/>
  <c r="K11" i="27" a="1"/>
  <c r="K11" i="27" s="1"/>
  <c r="L11" i="27" s="1"/>
  <c r="M11" i="27" s="1"/>
  <c r="K116" i="27" a="1"/>
  <c r="K116" i="27" s="1"/>
  <c r="L116" i="27" s="1"/>
  <c r="M116" i="27" s="1"/>
  <c r="K92" i="27" a="1"/>
  <c r="K92" i="27" s="1"/>
  <c r="L92" i="27" s="1"/>
  <c r="M92" i="27" s="1"/>
  <c r="K320" i="27" a="1"/>
  <c r="K320" i="27" s="1"/>
  <c r="L320" i="27" s="1"/>
  <c r="M320" i="27" s="1"/>
  <c r="K734" i="27" a="1"/>
  <c r="K734" i="27" s="1"/>
  <c r="L734" i="27" s="1"/>
  <c r="M734" i="27" s="1"/>
  <c r="K722" i="27" a="1"/>
  <c r="K722" i="27" s="1"/>
  <c r="L722" i="27" s="1"/>
  <c r="M722" i="27" s="1"/>
  <c r="K710" i="27" a="1"/>
  <c r="K710" i="27" s="1"/>
  <c r="L710" i="27" s="1"/>
  <c r="M710" i="27" s="1"/>
  <c r="K698" i="27" a="1"/>
  <c r="K698" i="27" s="1"/>
  <c r="L698" i="27" s="1"/>
  <c r="M698" i="27" s="1"/>
  <c r="K686" i="27" a="1"/>
  <c r="K686" i="27" s="1"/>
  <c r="L686" i="27" s="1"/>
  <c r="M686" i="27" s="1"/>
  <c r="K674" i="27" a="1"/>
  <c r="K674" i="27" s="1"/>
  <c r="L674" i="27" s="1"/>
  <c r="M674" i="27" s="1"/>
  <c r="K650" i="27" a="1"/>
  <c r="K650" i="27" s="1"/>
  <c r="L650" i="27" s="1"/>
  <c r="M650" i="27" s="1"/>
  <c r="K662" i="27" a="1"/>
  <c r="K662" i="27" s="1"/>
  <c r="L662" i="27" s="1"/>
  <c r="M662" i="27" s="1"/>
  <c r="K638" i="27" a="1"/>
  <c r="K638" i="27" s="1"/>
  <c r="L638" i="27" s="1"/>
  <c r="M638" i="27" s="1"/>
  <c r="K614" i="27" a="1"/>
  <c r="K614" i="27" s="1"/>
  <c r="L614" i="27" s="1"/>
  <c r="M614" i="27" s="1"/>
  <c r="K602" i="27" a="1"/>
  <c r="K602" i="27" s="1"/>
  <c r="L602" i="27" s="1"/>
  <c r="M602" i="27" s="1"/>
  <c r="K590" i="27" a="1"/>
  <c r="K590" i="27" s="1"/>
  <c r="L590" i="27" s="1"/>
  <c r="M590" i="27" s="1"/>
  <c r="K578" i="27" a="1"/>
  <c r="K578" i="27" s="1"/>
  <c r="L578" i="27" s="1"/>
  <c r="M578" i="27" s="1"/>
  <c r="K530" i="27" a="1"/>
  <c r="K530" i="27" s="1"/>
  <c r="L530" i="27" s="1"/>
  <c r="M530" i="27" s="1"/>
  <c r="K506" i="27" a="1"/>
  <c r="K506" i="27" s="1"/>
  <c r="L506" i="27" s="1"/>
  <c r="M506" i="27" s="1"/>
  <c r="K482" i="27" a="1"/>
  <c r="K482" i="27" s="1"/>
  <c r="L482" i="27" s="1"/>
  <c r="M482" i="27" s="1"/>
  <c r="K626" i="27" a="1"/>
  <c r="K626" i="27" s="1"/>
  <c r="L626" i="27" s="1"/>
  <c r="M626" i="27" s="1"/>
  <c r="K566" i="27" a="1"/>
  <c r="K566" i="27" s="1"/>
  <c r="L566" i="27" s="1"/>
  <c r="M566" i="27" s="1"/>
  <c r="K554" i="27" a="1"/>
  <c r="K554" i="27" s="1"/>
  <c r="L554" i="27" s="1"/>
  <c r="M554" i="27" s="1"/>
  <c r="K542" i="27" a="1"/>
  <c r="K542" i="27" s="1"/>
  <c r="L542" i="27" s="1"/>
  <c r="M542" i="27" s="1"/>
  <c r="K518" i="27" a="1"/>
  <c r="K518" i="27" s="1"/>
  <c r="L518" i="27" s="1"/>
  <c r="M518" i="27" s="1"/>
  <c r="K494" i="27" a="1"/>
  <c r="K494" i="27" s="1"/>
  <c r="L494" i="27" s="1"/>
  <c r="M494" i="27" s="1"/>
  <c r="K470" i="27" a="1"/>
  <c r="K470" i="27" s="1"/>
  <c r="L470" i="27" s="1"/>
  <c r="M470" i="27" s="1"/>
  <c r="K446" i="27" a="1"/>
  <c r="K446" i="27" s="1"/>
  <c r="L446" i="27" s="1"/>
  <c r="M446" i="27" s="1"/>
  <c r="K422" i="27" a="1"/>
  <c r="K422" i="27" s="1"/>
  <c r="L422" i="27" s="1"/>
  <c r="M422" i="27" s="1"/>
  <c r="K410" i="27" a="1"/>
  <c r="K410" i="27" s="1"/>
  <c r="L410" i="27" s="1"/>
  <c r="M410" i="27" s="1"/>
  <c r="K386" i="27" a="1"/>
  <c r="K386" i="27" s="1"/>
  <c r="L386" i="27" s="1"/>
  <c r="M386" i="27" s="1"/>
  <c r="K362" i="27" a="1"/>
  <c r="K362" i="27" s="1"/>
  <c r="L362" i="27" s="1"/>
  <c r="M362" i="27" s="1"/>
  <c r="K338" i="27" a="1"/>
  <c r="K338" i="27" s="1"/>
  <c r="L338" i="27" s="1"/>
  <c r="M338" i="27" s="1"/>
  <c r="K434" i="27" a="1"/>
  <c r="K434" i="27" s="1"/>
  <c r="L434" i="27" s="1"/>
  <c r="M434" i="27" s="1"/>
  <c r="K458" i="27" a="1"/>
  <c r="K458" i="27" s="1"/>
  <c r="L458" i="27" s="1"/>
  <c r="M458" i="27" s="1"/>
  <c r="K374" i="27" a="1"/>
  <c r="K374" i="27" s="1"/>
  <c r="L374" i="27" s="1"/>
  <c r="M374" i="27" s="1"/>
  <c r="K326" i="27" a="1"/>
  <c r="K326" i="27" s="1"/>
  <c r="L326" i="27" s="1"/>
  <c r="M326" i="27" s="1"/>
  <c r="K302" i="27" a="1"/>
  <c r="K302" i="27" s="1"/>
  <c r="L302" i="27" s="1"/>
  <c r="M302" i="27" s="1"/>
  <c r="K290" i="27" a="1"/>
  <c r="K290" i="27" s="1"/>
  <c r="L290" i="27" s="1"/>
  <c r="M290" i="27" s="1"/>
  <c r="K278" i="27" a="1"/>
  <c r="K278" i="27" s="1"/>
  <c r="L278" i="27" s="1"/>
  <c r="M278" i="27" s="1"/>
  <c r="K266" i="27" a="1"/>
  <c r="K266" i="27" s="1"/>
  <c r="L266" i="27" s="1"/>
  <c r="M266" i="27" s="1"/>
  <c r="K254" i="27" a="1"/>
  <c r="K254" i="27" s="1"/>
  <c r="L254" i="27" s="1"/>
  <c r="M254" i="27" s="1"/>
  <c r="K398" i="27" a="1"/>
  <c r="K398" i="27" s="1"/>
  <c r="L398" i="27" s="1"/>
  <c r="M398" i="27" s="1"/>
  <c r="K350" i="27" a="1"/>
  <c r="K350" i="27" s="1"/>
  <c r="L350" i="27" s="1"/>
  <c r="M350" i="27" s="1"/>
  <c r="K314" i="27" a="1"/>
  <c r="K314" i="27" s="1"/>
  <c r="L314" i="27" s="1"/>
  <c r="M314" i="27" s="1"/>
  <c r="K65" i="27" a="1"/>
  <c r="K65" i="27" s="1"/>
  <c r="L65" i="27" s="1"/>
  <c r="M65" i="27" s="1"/>
  <c r="K53" i="27" a="1"/>
  <c r="K53" i="27" s="1"/>
  <c r="L53" i="27" s="1"/>
  <c r="M53" i="27" s="1"/>
  <c r="K41" i="27" a="1"/>
  <c r="K41" i="27" s="1"/>
  <c r="L41" i="27" s="1"/>
  <c r="M41" i="27" s="1"/>
  <c r="K29" i="27" a="1"/>
  <c r="K29" i="27" s="1"/>
  <c r="L29" i="27" s="1"/>
  <c r="M29" i="27" s="1"/>
  <c r="K17" i="27" a="1"/>
  <c r="K17" i="27" s="1"/>
  <c r="L17" i="27" s="1"/>
  <c r="M17" i="27" s="1"/>
  <c r="K134" i="27" a="1"/>
  <c r="K134" i="27" s="1"/>
  <c r="L134" i="27" s="1"/>
  <c r="M134" i="27" s="1"/>
  <c r="K122" i="27" a="1"/>
  <c r="K122" i="27" s="1"/>
  <c r="L122" i="27" s="1"/>
  <c r="M122" i="27" s="1"/>
  <c r="K74" i="27" a="1"/>
  <c r="K74" i="27" s="1"/>
  <c r="L74" i="27" s="1"/>
  <c r="M74" i="27" s="1"/>
  <c r="K110" i="27" a="1"/>
  <c r="K110" i="27" s="1"/>
  <c r="L110" i="27" s="1"/>
  <c r="M110" i="27" s="1"/>
  <c r="K86" i="27" a="1"/>
  <c r="K86" i="27" s="1"/>
  <c r="L86" i="27" s="1"/>
  <c r="M86" i="27" s="1"/>
  <c r="K242" i="27" a="1"/>
  <c r="K242" i="27" s="1"/>
  <c r="L242" i="27" s="1"/>
  <c r="M242" i="27" s="1"/>
  <c r="K230" i="27" a="1"/>
  <c r="K230" i="27" s="1"/>
  <c r="L230" i="27" s="1"/>
  <c r="M230" i="27" s="1"/>
  <c r="K218" i="27" a="1"/>
  <c r="K218" i="27" s="1"/>
  <c r="L218" i="27" s="1"/>
  <c r="M218" i="27" s="1"/>
  <c r="K206" i="27" a="1"/>
  <c r="K206" i="27" s="1"/>
  <c r="L206" i="27" s="1"/>
  <c r="M206" i="27" s="1"/>
  <c r="K194" i="27" a="1"/>
  <c r="K194" i="27" s="1"/>
  <c r="L194" i="27" s="1"/>
  <c r="M194" i="27" s="1"/>
  <c r="K182" i="27" a="1"/>
  <c r="K182" i="27" s="1"/>
  <c r="L182" i="27" s="1"/>
  <c r="M182" i="27" s="1"/>
  <c r="K170" i="27" a="1"/>
  <c r="K170" i="27" s="1"/>
  <c r="L170" i="27" s="1"/>
  <c r="M170" i="27" s="1"/>
  <c r="K158" i="27" a="1"/>
  <c r="K158" i="27" s="1"/>
  <c r="L158" i="27" s="1"/>
  <c r="M158" i="27" s="1"/>
  <c r="K146" i="27" a="1"/>
  <c r="K146" i="27" s="1"/>
  <c r="L146" i="27" s="1"/>
  <c r="M146" i="27" s="1"/>
  <c r="K6" i="27" a="1"/>
  <c r="K6" i="27" s="1"/>
  <c r="L6" i="27" s="1"/>
  <c r="M6" i="27" s="1"/>
  <c r="K98" i="27" a="1"/>
  <c r="K98" i="27" s="1"/>
  <c r="L98" i="27" s="1"/>
  <c r="M98" i="27" s="1"/>
  <c r="K733" i="27" a="1"/>
  <c r="K733" i="27" s="1"/>
  <c r="L733" i="27" s="1"/>
  <c r="M733" i="27" s="1"/>
  <c r="K721" i="27" a="1"/>
  <c r="K721" i="27" s="1"/>
  <c r="L721" i="27" s="1"/>
  <c r="M721" i="27" s="1"/>
  <c r="K709" i="27" a="1"/>
  <c r="K709" i="27" s="1"/>
  <c r="L709" i="27" s="1"/>
  <c r="M709" i="27" s="1"/>
  <c r="K685" i="27" a="1"/>
  <c r="K685" i="27" s="1"/>
  <c r="L685" i="27" s="1"/>
  <c r="M685" i="27" s="1"/>
  <c r="K697" i="27" a="1"/>
  <c r="K697" i="27" s="1"/>
  <c r="L697" i="27" s="1"/>
  <c r="M697" i="27" s="1"/>
  <c r="K673" i="27" a="1"/>
  <c r="K673" i="27" s="1"/>
  <c r="L673" i="27" s="1"/>
  <c r="M673" i="27" s="1"/>
  <c r="K649" i="27" a="1"/>
  <c r="K649" i="27" s="1"/>
  <c r="L649" i="27" s="1"/>
  <c r="M649" i="27" s="1"/>
  <c r="K637" i="27" a="1"/>
  <c r="K637" i="27" s="1"/>
  <c r="L637" i="27" s="1"/>
  <c r="M637" i="27" s="1"/>
  <c r="K625" i="27" a="1"/>
  <c r="K625" i="27" s="1"/>
  <c r="L625" i="27" s="1"/>
  <c r="M625" i="27" s="1"/>
  <c r="K661" i="27" a="1"/>
  <c r="K661" i="27" s="1"/>
  <c r="L661" i="27" s="1"/>
  <c r="M661" i="27" s="1"/>
  <c r="K613" i="27" a="1"/>
  <c r="K613" i="27" s="1"/>
  <c r="L613" i="27" s="1"/>
  <c r="M613" i="27" s="1"/>
  <c r="K601" i="27" a="1"/>
  <c r="K601" i="27" s="1"/>
  <c r="L601" i="27" s="1"/>
  <c r="M601" i="27" s="1"/>
  <c r="K589" i="27" a="1"/>
  <c r="K589" i="27" s="1"/>
  <c r="L589" i="27" s="1"/>
  <c r="M589" i="27" s="1"/>
  <c r="K577" i="27" a="1"/>
  <c r="K577" i="27" s="1"/>
  <c r="L577" i="27" s="1"/>
  <c r="M577" i="27" s="1"/>
  <c r="K529" i="27" a="1"/>
  <c r="K529" i="27" s="1"/>
  <c r="L529" i="27" s="1"/>
  <c r="M529" i="27" s="1"/>
  <c r="K505" i="27" a="1"/>
  <c r="K505" i="27" s="1"/>
  <c r="L505" i="27" s="1"/>
  <c r="M505" i="27" s="1"/>
  <c r="K481" i="27" a="1"/>
  <c r="K481" i="27" s="1"/>
  <c r="L481" i="27" s="1"/>
  <c r="M481" i="27" s="1"/>
  <c r="K565" i="27" a="1"/>
  <c r="K565" i="27" s="1"/>
  <c r="L565" i="27" s="1"/>
  <c r="M565" i="27" s="1"/>
  <c r="K553" i="27" a="1"/>
  <c r="K553" i="27" s="1"/>
  <c r="L553" i="27" s="1"/>
  <c r="M553" i="27" s="1"/>
  <c r="K541" i="27" a="1"/>
  <c r="K541" i="27" s="1"/>
  <c r="L541" i="27" s="1"/>
  <c r="M541" i="27" s="1"/>
  <c r="K517" i="27" a="1"/>
  <c r="K517" i="27" s="1"/>
  <c r="L517" i="27" s="1"/>
  <c r="M517" i="27" s="1"/>
  <c r="K493" i="27" a="1"/>
  <c r="K493" i="27" s="1"/>
  <c r="L493" i="27" s="1"/>
  <c r="M493" i="27" s="1"/>
  <c r="K469" i="27" a="1"/>
  <c r="K469" i="27" s="1"/>
  <c r="L469" i="27" s="1"/>
  <c r="M469" i="27" s="1"/>
  <c r="K445" i="27" a="1"/>
  <c r="K445" i="27" s="1"/>
  <c r="L445" i="27" s="1"/>
  <c r="M445" i="27" s="1"/>
  <c r="K421" i="27" a="1"/>
  <c r="K421" i="27" s="1"/>
  <c r="L421" i="27" s="1"/>
  <c r="M421" i="27" s="1"/>
  <c r="K433" i="27" a="1"/>
  <c r="K433" i="27" s="1"/>
  <c r="L433" i="27" s="1"/>
  <c r="M433" i="27" s="1"/>
  <c r="K409" i="27" a="1"/>
  <c r="K409" i="27" s="1"/>
  <c r="L409" i="27" s="1"/>
  <c r="M409" i="27" s="1"/>
  <c r="K385" i="27" a="1"/>
  <c r="K385" i="27" s="1"/>
  <c r="L385" i="27" s="1"/>
  <c r="M385" i="27" s="1"/>
  <c r="K361" i="27" a="1"/>
  <c r="K361" i="27" s="1"/>
  <c r="L361" i="27" s="1"/>
  <c r="M361" i="27" s="1"/>
  <c r="K337" i="27" a="1"/>
  <c r="K337" i="27" s="1"/>
  <c r="L337" i="27" s="1"/>
  <c r="M337" i="27" s="1"/>
  <c r="K457" i="27" a="1"/>
  <c r="K457" i="27" s="1"/>
  <c r="L457" i="27" s="1"/>
  <c r="M457" i="27" s="1"/>
  <c r="K397" i="27" a="1"/>
  <c r="K397" i="27" s="1"/>
  <c r="L397" i="27" s="1"/>
  <c r="M397" i="27" s="1"/>
  <c r="K349" i="27" a="1"/>
  <c r="K349" i="27" s="1"/>
  <c r="L349" i="27" s="1"/>
  <c r="M349" i="27" s="1"/>
  <c r="K301" i="27" a="1"/>
  <c r="K301" i="27" s="1"/>
  <c r="L301" i="27" s="1"/>
  <c r="M301" i="27" s="1"/>
  <c r="K373" i="27" a="1"/>
  <c r="K373" i="27" s="1"/>
  <c r="L373" i="27" s="1"/>
  <c r="M373" i="27" s="1"/>
  <c r="K325" i="27" a="1"/>
  <c r="K325" i="27" s="1"/>
  <c r="L325" i="27" s="1"/>
  <c r="M325" i="27" s="1"/>
  <c r="K5" i="27" a="1"/>
  <c r="K5" i="27" s="1"/>
  <c r="L5" i="27" s="1"/>
  <c r="M5" i="27" s="1"/>
  <c r="K28" i="27" a="1"/>
  <c r="K28" i="27" s="1"/>
  <c r="L28" i="27" s="1"/>
  <c r="M28" i="27" s="1"/>
  <c r="K16" i="27" a="1"/>
  <c r="K16" i="27" s="1"/>
  <c r="L16" i="27" s="1"/>
  <c r="M16" i="27" s="1"/>
  <c r="K313" i="27" a="1"/>
  <c r="K313" i="27" s="1"/>
  <c r="L313" i="27" s="1"/>
  <c r="M313" i="27" s="1"/>
  <c r="K253" i="27" a="1"/>
  <c r="K253" i="27" s="1"/>
  <c r="L253" i="27" s="1"/>
  <c r="M253" i="27" s="1"/>
  <c r="K97" i="27" a="1"/>
  <c r="K97" i="27" s="1"/>
  <c r="L97" i="27" s="1"/>
  <c r="M97" i="27" s="1"/>
  <c r="K241" i="27" a="1"/>
  <c r="K241" i="27" s="1"/>
  <c r="L241" i="27" s="1"/>
  <c r="M241" i="27" s="1"/>
  <c r="K229" i="27" a="1"/>
  <c r="K229" i="27" s="1"/>
  <c r="L229" i="27" s="1"/>
  <c r="M229" i="27" s="1"/>
  <c r="K217" i="27" a="1"/>
  <c r="K217" i="27" s="1"/>
  <c r="L217" i="27" s="1"/>
  <c r="M217" i="27" s="1"/>
  <c r="K205" i="27" a="1"/>
  <c r="K205" i="27" s="1"/>
  <c r="L205" i="27" s="1"/>
  <c r="M205" i="27" s="1"/>
  <c r="K193" i="27" a="1"/>
  <c r="K193" i="27" s="1"/>
  <c r="L193" i="27" s="1"/>
  <c r="M193" i="27" s="1"/>
  <c r="K181" i="27" a="1"/>
  <c r="K181" i="27" s="1"/>
  <c r="L181" i="27" s="1"/>
  <c r="M181" i="27" s="1"/>
  <c r="K169" i="27" a="1"/>
  <c r="K169" i="27" s="1"/>
  <c r="L169" i="27" s="1"/>
  <c r="M169" i="27" s="1"/>
  <c r="K157" i="27" a="1"/>
  <c r="K157" i="27" s="1"/>
  <c r="L157" i="27" s="1"/>
  <c r="M157" i="27" s="1"/>
  <c r="K145" i="27" a="1"/>
  <c r="K145" i="27" s="1"/>
  <c r="L145" i="27" s="1"/>
  <c r="M145" i="27" s="1"/>
  <c r="K133" i="27" a="1"/>
  <c r="K133" i="27" s="1"/>
  <c r="L133" i="27" s="1"/>
  <c r="M133" i="27" s="1"/>
  <c r="K121" i="27" a="1"/>
  <c r="K121" i="27" s="1"/>
  <c r="L121" i="27" s="1"/>
  <c r="M121" i="27" s="1"/>
  <c r="K109" i="27" a="1"/>
  <c r="K109" i="27" s="1"/>
  <c r="L109" i="27" s="1"/>
  <c r="M109" i="27" s="1"/>
  <c r="K85" i="27" a="1"/>
  <c r="K85" i="27" s="1"/>
  <c r="L85" i="27" s="1"/>
  <c r="M85" i="27" s="1"/>
  <c r="K64" i="27" a="1"/>
  <c r="K64" i="27" s="1"/>
  <c r="L64" i="27" s="1"/>
  <c r="M64" i="27" s="1"/>
  <c r="K52" i="27" a="1"/>
  <c r="K52" i="27" s="1"/>
  <c r="L52" i="27" s="1"/>
  <c r="M52" i="27" s="1"/>
  <c r="K40" i="27" a="1"/>
  <c r="K40" i="27" s="1"/>
  <c r="L40" i="27" s="1"/>
  <c r="M40" i="27" s="1"/>
  <c r="K289" i="27" a="1"/>
  <c r="K289" i="27" s="1"/>
  <c r="L289" i="27" s="1"/>
  <c r="M289" i="27" s="1"/>
  <c r="K277" i="27" a="1"/>
  <c r="K277" i="27" s="1"/>
  <c r="L277" i="27" s="1"/>
  <c r="M277" i="27" s="1"/>
  <c r="K265" i="27" a="1"/>
  <c r="K265" i="27" s="1"/>
  <c r="L265" i="27" s="1"/>
  <c r="M265" i="27" s="1"/>
  <c r="K73" i="27" a="1"/>
  <c r="K73" i="27" s="1"/>
  <c r="L73" i="27" s="1"/>
  <c r="M73" i="27" s="1"/>
  <c r="K737" i="27" a="1"/>
  <c r="K737" i="27" s="1"/>
  <c r="L737" i="27" s="1"/>
  <c r="M737" i="27" s="1"/>
  <c r="K725" i="27" a="1"/>
  <c r="K725" i="27" s="1"/>
  <c r="L725" i="27" s="1"/>
  <c r="M725" i="27" s="1"/>
  <c r="K713" i="27" a="1"/>
  <c r="K713" i="27" s="1"/>
  <c r="L713" i="27" s="1"/>
  <c r="M713" i="27" s="1"/>
  <c r="K701" i="27" a="1"/>
  <c r="K701" i="27" s="1"/>
  <c r="L701" i="27" s="1"/>
  <c r="M701" i="27" s="1"/>
  <c r="K665" i="27" a="1"/>
  <c r="K665" i="27" s="1"/>
  <c r="L665" i="27" s="1"/>
  <c r="M665" i="27" s="1"/>
  <c r="K641" i="27" a="1"/>
  <c r="K641" i="27" s="1"/>
  <c r="L641" i="27" s="1"/>
  <c r="M641" i="27" s="1"/>
  <c r="K629" i="27" a="1"/>
  <c r="K629" i="27" s="1"/>
  <c r="L629" i="27" s="1"/>
  <c r="M629" i="27" s="1"/>
  <c r="K677" i="27" a="1"/>
  <c r="K677" i="27" s="1"/>
  <c r="L677" i="27" s="1"/>
  <c r="M677" i="27" s="1"/>
  <c r="K653" i="27" a="1"/>
  <c r="K653" i="27" s="1"/>
  <c r="L653" i="27" s="1"/>
  <c r="M653" i="27" s="1"/>
  <c r="K689" i="27" a="1"/>
  <c r="K689" i="27" s="1"/>
  <c r="L689" i="27" s="1"/>
  <c r="M689" i="27" s="1"/>
  <c r="K617" i="27" a="1"/>
  <c r="K617" i="27" s="1"/>
  <c r="L617" i="27" s="1"/>
  <c r="M617" i="27" s="1"/>
  <c r="K605" i="27" a="1"/>
  <c r="K605" i="27" s="1"/>
  <c r="L605" i="27" s="1"/>
  <c r="M605" i="27" s="1"/>
  <c r="K593" i="27" a="1"/>
  <c r="K593" i="27" s="1"/>
  <c r="L593" i="27" s="1"/>
  <c r="M593" i="27" s="1"/>
  <c r="K581" i="27" a="1"/>
  <c r="K581" i="27" s="1"/>
  <c r="L581" i="27" s="1"/>
  <c r="M581" i="27" s="1"/>
  <c r="K521" i="27" a="1"/>
  <c r="K521" i="27" s="1"/>
  <c r="L521" i="27" s="1"/>
  <c r="M521" i="27" s="1"/>
  <c r="K497" i="27" a="1"/>
  <c r="K497" i="27" s="1"/>
  <c r="L497" i="27" s="1"/>
  <c r="M497" i="27" s="1"/>
  <c r="K569" i="27" a="1"/>
  <c r="K569" i="27" s="1"/>
  <c r="L569" i="27" s="1"/>
  <c r="M569" i="27" s="1"/>
  <c r="K557" i="27" a="1"/>
  <c r="K557" i="27" s="1"/>
  <c r="L557" i="27" s="1"/>
  <c r="M557" i="27" s="1"/>
  <c r="K545" i="27" a="1"/>
  <c r="K545" i="27" s="1"/>
  <c r="L545" i="27" s="1"/>
  <c r="M545" i="27" s="1"/>
  <c r="K533" i="27" a="1"/>
  <c r="K533" i="27" s="1"/>
  <c r="L533" i="27" s="1"/>
  <c r="M533" i="27" s="1"/>
  <c r="K509" i="27" a="1"/>
  <c r="K509" i="27" s="1"/>
  <c r="L509" i="27" s="1"/>
  <c r="M509" i="27" s="1"/>
  <c r="K485" i="27" a="1"/>
  <c r="K485" i="27" s="1"/>
  <c r="L485" i="27" s="1"/>
  <c r="M485" i="27" s="1"/>
  <c r="K461" i="27" a="1"/>
  <c r="K461" i="27" s="1"/>
  <c r="L461" i="27" s="1"/>
  <c r="M461" i="27" s="1"/>
  <c r="K437" i="27" a="1"/>
  <c r="K437" i="27" s="1"/>
  <c r="L437" i="27" s="1"/>
  <c r="M437" i="27" s="1"/>
  <c r="K413" i="27" a="1"/>
  <c r="K413" i="27" s="1"/>
  <c r="L413" i="27" s="1"/>
  <c r="M413" i="27" s="1"/>
  <c r="K401" i="27" a="1"/>
  <c r="K401" i="27" s="1"/>
  <c r="L401" i="27" s="1"/>
  <c r="M401" i="27" s="1"/>
  <c r="K377" i="27" a="1"/>
  <c r="K377" i="27" s="1"/>
  <c r="L377" i="27" s="1"/>
  <c r="M377" i="27" s="1"/>
  <c r="K353" i="27" a="1"/>
  <c r="K353" i="27" s="1"/>
  <c r="L353" i="27" s="1"/>
  <c r="M353" i="27" s="1"/>
  <c r="K329" i="27" a="1"/>
  <c r="K329" i="27" s="1"/>
  <c r="L329" i="27" s="1"/>
  <c r="M329" i="27" s="1"/>
  <c r="K425" i="27" a="1"/>
  <c r="K425" i="27" s="1"/>
  <c r="L425" i="27" s="1"/>
  <c r="M425" i="27" s="1"/>
  <c r="K365" i="27" a="1"/>
  <c r="K365" i="27" s="1"/>
  <c r="L365" i="27" s="1"/>
  <c r="M365" i="27" s="1"/>
  <c r="K473" i="27" a="1"/>
  <c r="K473" i="27" s="1"/>
  <c r="L473" i="27" s="1"/>
  <c r="M473" i="27" s="1"/>
  <c r="K317" i="27" a="1"/>
  <c r="K317" i="27" s="1"/>
  <c r="L317" i="27" s="1"/>
  <c r="M317" i="27" s="1"/>
  <c r="K389" i="27" a="1"/>
  <c r="K389" i="27" s="1"/>
  <c r="L389" i="27" s="1"/>
  <c r="M389" i="27" s="1"/>
  <c r="K341" i="27" a="1"/>
  <c r="K341" i="27" s="1"/>
  <c r="L341" i="27" s="1"/>
  <c r="M341" i="27" s="1"/>
  <c r="K68" i="27" a="1"/>
  <c r="K68" i="27" s="1"/>
  <c r="L68" i="27" s="1"/>
  <c r="M68" i="27" s="1"/>
  <c r="K8" i="27" a="1"/>
  <c r="K8" i="27" s="1"/>
  <c r="L8" i="27" s="1"/>
  <c r="M8" i="27" s="1"/>
  <c r="K305" i="27" a="1"/>
  <c r="K305" i="27" s="1"/>
  <c r="L305" i="27" s="1"/>
  <c r="M305" i="27" s="1"/>
  <c r="K257" i="27" a="1"/>
  <c r="K257" i="27" s="1"/>
  <c r="L257" i="27" s="1"/>
  <c r="M257" i="27" s="1"/>
  <c r="K245" i="27" a="1"/>
  <c r="K245" i="27" s="1"/>
  <c r="L245" i="27" s="1"/>
  <c r="M245" i="27" s="1"/>
  <c r="K113" i="27" a="1"/>
  <c r="K113" i="27" s="1"/>
  <c r="L113" i="27" s="1"/>
  <c r="M113" i="27" s="1"/>
  <c r="K89" i="27" a="1"/>
  <c r="K89" i="27" s="1"/>
  <c r="L89" i="27" s="1"/>
  <c r="M89" i="27" s="1"/>
  <c r="K449" i="27" a="1"/>
  <c r="K449" i="27" s="1"/>
  <c r="L449" i="27" s="1"/>
  <c r="M449" i="27" s="1"/>
  <c r="K233" i="27" a="1"/>
  <c r="K233" i="27" s="1"/>
  <c r="L233" i="27" s="1"/>
  <c r="M233" i="27" s="1"/>
  <c r="K221" i="27" a="1"/>
  <c r="K221" i="27" s="1"/>
  <c r="L221" i="27" s="1"/>
  <c r="M221" i="27" s="1"/>
  <c r="K209" i="27" a="1"/>
  <c r="K209" i="27" s="1"/>
  <c r="L209" i="27" s="1"/>
  <c r="M209" i="27" s="1"/>
  <c r="K197" i="27" a="1"/>
  <c r="K197" i="27" s="1"/>
  <c r="L197" i="27" s="1"/>
  <c r="M197" i="27" s="1"/>
  <c r="K185" i="27" a="1"/>
  <c r="K185" i="27" s="1"/>
  <c r="L185" i="27" s="1"/>
  <c r="M185" i="27" s="1"/>
  <c r="K173" i="27" a="1"/>
  <c r="K173" i="27" s="1"/>
  <c r="L173" i="27" s="1"/>
  <c r="M173" i="27" s="1"/>
  <c r="K161" i="27" a="1"/>
  <c r="K161" i="27" s="1"/>
  <c r="L161" i="27" s="1"/>
  <c r="M161" i="27" s="1"/>
  <c r="K149" i="27" a="1"/>
  <c r="K149" i="27" s="1"/>
  <c r="L149" i="27" s="1"/>
  <c r="M149" i="27" s="1"/>
  <c r="K137" i="27" a="1"/>
  <c r="K137" i="27" s="1"/>
  <c r="L137" i="27" s="1"/>
  <c r="M137" i="27" s="1"/>
  <c r="K125" i="27" a="1"/>
  <c r="K125" i="27" s="1"/>
  <c r="L125" i="27" s="1"/>
  <c r="M125" i="27" s="1"/>
  <c r="K101" i="27" a="1"/>
  <c r="K101" i="27" s="1"/>
  <c r="L101" i="27" s="1"/>
  <c r="M101" i="27" s="1"/>
  <c r="K77" i="27" a="1"/>
  <c r="K77" i="27" s="1"/>
  <c r="L77" i="27" s="1"/>
  <c r="M77" i="27" s="1"/>
  <c r="K56" i="27" a="1"/>
  <c r="K56" i="27" s="1"/>
  <c r="L56" i="27" s="1"/>
  <c r="M56" i="27" s="1"/>
  <c r="K44" i="27" a="1"/>
  <c r="K44" i="27" s="1"/>
  <c r="L44" i="27" s="1"/>
  <c r="M44" i="27" s="1"/>
  <c r="K32" i="27" a="1"/>
  <c r="K32" i="27" s="1"/>
  <c r="L32" i="27" s="1"/>
  <c r="M32" i="27" s="1"/>
  <c r="K20" i="27" a="1"/>
  <c r="K20" i="27" s="1"/>
  <c r="L20" i="27" s="1"/>
  <c r="M20" i="27" s="1"/>
  <c r="K293" i="27" a="1"/>
  <c r="K293" i="27" s="1"/>
  <c r="L293" i="27" s="1"/>
  <c r="M293" i="27" s="1"/>
  <c r="K281" i="27" a="1"/>
  <c r="K281" i="27" s="1"/>
  <c r="L281" i="27" s="1"/>
  <c r="M281" i="27" s="1"/>
  <c r="K269" i="27" a="1"/>
  <c r="K269" i="27" s="1"/>
  <c r="L269" i="27" s="1"/>
  <c r="M269" i="27" s="1"/>
  <c r="K732" i="27" a="1"/>
  <c r="K732" i="27" s="1"/>
  <c r="L732" i="27" s="1"/>
  <c r="M732" i="27" s="1"/>
  <c r="K720" i="27" a="1"/>
  <c r="K720" i="27" s="1"/>
  <c r="L720" i="27" s="1"/>
  <c r="M720" i="27" s="1"/>
  <c r="K708" i="27" a="1"/>
  <c r="K708" i="27" s="1"/>
  <c r="L708" i="27" s="1"/>
  <c r="M708" i="27" s="1"/>
  <c r="K684" i="27" a="1"/>
  <c r="K684" i="27" s="1"/>
  <c r="L684" i="27" s="1"/>
  <c r="M684" i="27" s="1"/>
  <c r="K672" i="27" a="1"/>
  <c r="K672" i="27" s="1"/>
  <c r="L672" i="27" s="1"/>
  <c r="M672" i="27" s="1"/>
  <c r="K696" i="27" a="1"/>
  <c r="K696" i="27" s="1"/>
  <c r="L696" i="27" s="1"/>
  <c r="M696" i="27" s="1"/>
  <c r="K612" i="27" a="1"/>
  <c r="K612" i="27" s="1"/>
  <c r="L612" i="27" s="1"/>
  <c r="M612" i="27" s="1"/>
  <c r="K600" i="27" a="1"/>
  <c r="K600" i="27" s="1"/>
  <c r="L600" i="27" s="1"/>
  <c r="M600" i="27" s="1"/>
  <c r="K588" i="27" a="1"/>
  <c r="K588" i="27" s="1"/>
  <c r="L588" i="27" s="1"/>
  <c r="M588" i="27" s="1"/>
  <c r="K576" i="27" a="1"/>
  <c r="K576" i="27" s="1"/>
  <c r="L576" i="27" s="1"/>
  <c r="M576" i="27" s="1"/>
  <c r="K564" i="27" a="1"/>
  <c r="K564" i="27" s="1"/>
  <c r="L564" i="27" s="1"/>
  <c r="M564" i="27" s="1"/>
  <c r="K552" i="27" a="1"/>
  <c r="K552" i="27" s="1"/>
  <c r="L552" i="27" s="1"/>
  <c r="M552" i="27" s="1"/>
  <c r="K648" i="27" a="1"/>
  <c r="K648" i="27" s="1"/>
  <c r="L648" i="27" s="1"/>
  <c r="M648" i="27" s="1"/>
  <c r="K624" i="27" a="1"/>
  <c r="K624" i="27" s="1"/>
  <c r="L624" i="27" s="1"/>
  <c r="M624" i="27" s="1"/>
  <c r="K528" i="27" a="1"/>
  <c r="K528" i="27" s="1"/>
  <c r="L528" i="27" s="1"/>
  <c r="M528" i="27" s="1"/>
  <c r="K504" i="27" a="1"/>
  <c r="K504" i="27" s="1"/>
  <c r="L504" i="27" s="1"/>
  <c r="M504" i="27" s="1"/>
  <c r="K660" i="27" a="1"/>
  <c r="K660" i="27" s="1"/>
  <c r="L660" i="27" s="1"/>
  <c r="M660" i="27" s="1"/>
  <c r="K540" i="27" a="1"/>
  <c r="K540" i="27" s="1"/>
  <c r="L540" i="27" s="1"/>
  <c r="M540" i="27" s="1"/>
  <c r="K516" i="27" a="1"/>
  <c r="K516" i="27" s="1"/>
  <c r="L516" i="27" s="1"/>
  <c r="M516" i="27" s="1"/>
  <c r="K492" i="27" a="1"/>
  <c r="K492" i="27" s="1"/>
  <c r="L492" i="27" s="1"/>
  <c r="M492" i="27" s="1"/>
  <c r="K480" i="27" a="1"/>
  <c r="K480" i="27" s="1"/>
  <c r="L480" i="27" s="1"/>
  <c r="M480" i="27" s="1"/>
  <c r="K420" i="27" a="1"/>
  <c r="K420" i="27" s="1"/>
  <c r="L420" i="27" s="1"/>
  <c r="M420" i="27" s="1"/>
  <c r="K636" i="27" a="1"/>
  <c r="K636" i="27" s="1"/>
  <c r="L636" i="27" s="1"/>
  <c r="M636" i="27" s="1"/>
  <c r="K444" i="27" a="1"/>
  <c r="K444" i="27" s="1"/>
  <c r="L444" i="27" s="1"/>
  <c r="M444" i="27" s="1"/>
  <c r="K432" i="27" a="1"/>
  <c r="K432" i="27" s="1"/>
  <c r="L432" i="27" s="1"/>
  <c r="M432" i="27" s="1"/>
  <c r="K408" i="27" a="1"/>
  <c r="K408" i="27" s="1"/>
  <c r="L408" i="27" s="1"/>
  <c r="M408" i="27" s="1"/>
  <c r="K384" i="27" a="1"/>
  <c r="K384" i="27" s="1"/>
  <c r="L384" i="27" s="1"/>
  <c r="M384" i="27" s="1"/>
  <c r="K360" i="27" a="1"/>
  <c r="K360" i="27" s="1"/>
  <c r="L360" i="27" s="1"/>
  <c r="M360" i="27" s="1"/>
  <c r="K336" i="27" a="1"/>
  <c r="K336" i="27" s="1"/>
  <c r="L336" i="27" s="1"/>
  <c r="M336" i="27" s="1"/>
  <c r="K456" i="27" a="1"/>
  <c r="K456" i="27" s="1"/>
  <c r="L456" i="27" s="1"/>
  <c r="M456" i="27" s="1"/>
  <c r="K396" i="27" a="1"/>
  <c r="K396" i="27" s="1"/>
  <c r="L396" i="27" s="1"/>
  <c r="M396" i="27" s="1"/>
  <c r="K348" i="27" a="1"/>
  <c r="K348" i="27" s="1"/>
  <c r="L348" i="27" s="1"/>
  <c r="M348" i="27" s="1"/>
  <c r="K300" i="27" a="1"/>
  <c r="K300" i="27" s="1"/>
  <c r="L300" i="27" s="1"/>
  <c r="M300" i="27" s="1"/>
  <c r="K288" i="27" a="1"/>
  <c r="K288" i="27" s="1"/>
  <c r="L288" i="27" s="1"/>
  <c r="M288" i="27" s="1"/>
  <c r="K276" i="27" a="1"/>
  <c r="K276" i="27" s="1"/>
  <c r="L276" i="27" s="1"/>
  <c r="M276" i="27" s="1"/>
  <c r="K264" i="27" a="1"/>
  <c r="K264" i="27" s="1"/>
  <c r="L264" i="27" s="1"/>
  <c r="M264" i="27" s="1"/>
  <c r="K252" i="27" a="1"/>
  <c r="K252" i="27" s="1"/>
  <c r="L252" i="27" s="1"/>
  <c r="M252" i="27" s="1"/>
  <c r="K372" i="27" a="1"/>
  <c r="K372" i="27" s="1"/>
  <c r="L372" i="27" s="1"/>
  <c r="M372" i="27" s="1"/>
  <c r="K324" i="27" a="1"/>
  <c r="K324" i="27" s="1"/>
  <c r="L324" i="27" s="1"/>
  <c r="M324" i="27" s="1"/>
  <c r="K468" i="27" a="1"/>
  <c r="K468" i="27" s="1"/>
  <c r="L468" i="27" s="1"/>
  <c r="M468" i="27" s="1"/>
  <c r="K240" i="27" a="1"/>
  <c r="K240" i="27" s="1"/>
  <c r="L240" i="27" s="1"/>
  <c r="M240" i="27" s="1"/>
  <c r="K228" i="27" a="1"/>
  <c r="K228" i="27" s="1"/>
  <c r="L228" i="27" s="1"/>
  <c r="M228" i="27" s="1"/>
  <c r="K216" i="27" a="1"/>
  <c r="K216" i="27" s="1"/>
  <c r="L216" i="27" s="1"/>
  <c r="M216" i="27" s="1"/>
  <c r="K204" i="27" a="1"/>
  <c r="K204" i="27" s="1"/>
  <c r="L204" i="27" s="1"/>
  <c r="M204" i="27" s="1"/>
  <c r="K192" i="27" a="1"/>
  <c r="K192" i="27" s="1"/>
  <c r="L192" i="27" s="1"/>
  <c r="M192" i="27" s="1"/>
  <c r="K180" i="27" a="1"/>
  <c r="K180" i="27" s="1"/>
  <c r="L180" i="27" s="1"/>
  <c r="M180" i="27" s="1"/>
  <c r="K168" i="27" a="1"/>
  <c r="K168" i="27" s="1"/>
  <c r="L168" i="27" s="1"/>
  <c r="M168" i="27" s="1"/>
  <c r="K156" i="27" a="1"/>
  <c r="K156" i="27" s="1"/>
  <c r="L156" i="27" s="1"/>
  <c r="M156" i="27" s="1"/>
  <c r="K144" i="27" a="1"/>
  <c r="K144" i="27" s="1"/>
  <c r="L144" i="27" s="1"/>
  <c r="M144" i="27" s="1"/>
  <c r="K132" i="27" a="1"/>
  <c r="K132" i="27" s="1"/>
  <c r="L132" i="27" s="1"/>
  <c r="M132" i="27" s="1"/>
  <c r="K120" i="27" a="1"/>
  <c r="K120" i="27" s="1"/>
  <c r="L120" i="27" s="1"/>
  <c r="M120" i="27" s="1"/>
  <c r="K96" i="27" a="1"/>
  <c r="K96" i="27" s="1"/>
  <c r="L96" i="27" s="1"/>
  <c r="M96" i="27" s="1"/>
  <c r="K72" i="27" a="1"/>
  <c r="K72" i="27" s="1"/>
  <c r="L72" i="27" s="1"/>
  <c r="M72" i="27" s="1"/>
  <c r="K63" i="27" a="1"/>
  <c r="K63" i="27" s="1"/>
  <c r="L63" i="27" s="1"/>
  <c r="M63" i="27" s="1"/>
  <c r="K51" i="27" a="1"/>
  <c r="K51" i="27" s="1"/>
  <c r="L51" i="27" s="1"/>
  <c r="M51" i="27" s="1"/>
  <c r="K39" i="27" a="1"/>
  <c r="K39" i="27" s="1"/>
  <c r="L39" i="27" s="1"/>
  <c r="M39" i="27" s="1"/>
  <c r="K27" i="27" a="1"/>
  <c r="K27" i="27" s="1"/>
  <c r="L27" i="27" s="1"/>
  <c r="M27" i="27" s="1"/>
  <c r="K15" i="27" a="1"/>
  <c r="K15" i="27" s="1"/>
  <c r="L15" i="27" s="1"/>
  <c r="M15" i="27" s="1"/>
  <c r="K108" i="27" a="1"/>
  <c r="K108" i="27" s="1"/>
  <c r="L108" i="27" s="1"/>
  <c r="M108" i="27" s="1"/>
  <c r="K84" i="27" a="1"/>
  <c r="K84" i="27" s="1"/>
  <c r="L84" i="27" s="1"/>
  <c r="M84" i="27" s="1"/>
  <c r="K312" i="27" a="1"/>
  <c r="K312" i="27" s="1"/>
  <c r="L312" i="27" s="1"/>
  <c r="M312" i="27" s="1"/>
  <c r="K700" i="27" a="1"/>
  <c r="K700" i="27" s="1"/>
  <c r="L700" i="27" s="1"/>
  <c r="M700" i="27" s="1"/>
  <c r="K736" i="27" a="1"/>
  <c r="K736" i="27" s="1"/>
  <c r="L736" i="27" s="1"/>
  <c r="M736" i="27" s="1"/>
  <c r="K724" i="27" a="1"/>
  <c r="K724" i="27" s="1"/>
  <c r="L724" i="27" s="1"/>
  <c r="M724" i="27" s="1"/>
  <c r="K712" i="27" a="1"/>
  <c r="K712" i="27" s="1"/>
  <c r="L712" i="27" s="1"/>
  <c r="M712" i="27" s="1"/>
  <c r="K688" i="27" a="1"/>
  <c r="K688" i="27" s="1"/>
  <c r="L688" i="27" s="1"/>
  <c r="M688" i="27" s="1"/>
  <c r="K664" i="27" a="1"/>
  <c r="K664" i="27" s="1"/>
  <c r="L664" i="27" s="1"/>
  <c r="M664" i="27" s="1"/>
  <c r="K616" i="27" a="1"/>
  <c r="K616" i="27" s="1"/>
  <c r="L616" i="27" s="1"/>
  <c r="M616" i="27" s="1"/>
  <c r="K604" i="27" a="1"/>
  <c r="K604" i="27" s="1"/>
  <c r="L604" i="27" s="1"/>
  <c r="M604" i="27" s="1"/>
  <c r="K592" i="27" a="1"/>
  <c r="K592" i="27" s="1"/>
  <c r="L592" i="27" s="1"/>
  <c r="M592" i="27" s="1"/>
  <c r="K580" i="27" a="1"/>
  <c r="K580" i="27" s="1"/>
  <c r="L580" i="27" s="1"/>
  <c r="M580" i="27" s="1"/>
  <c r="K568" i="27" a="1"/>
  <c r="K568" i="27" s="1"/>
  <c r="L568" i="27" s="1"/>
  <c r="M568" i="27" s="1"/>
  <c r="K556" i="27" a="1"/>
  <c r="K556" i="27" s="1"/>
  <c r="L556" i="27" s="1"/>
  <c r="M556" i="27" s="1"/>
  <c r="K640" i="27" a="1"/>
  <c r="K640" i="27" s="1"/>
  <c r="L640" i="27" s="1"/>
  <c r="M640" i="27" s="1"/>
  <c r="K544" i="27" a="1"/>
  <c r="K544" i="27" s="1"/>
  <c r="L544" i="27" s="1"/>
  <c r="M544" i="27" s="1"/>
  <c r="K520" i="27" a="1"/>
  <c r="K520" i="27" s="1"/>
  <c r="L520" i="27" s="1"/>
  <c r="M520" i="27" s="1"/>
  <c r="K496" i="27" a="1"/>
  <c r="K496" i="27" s="1"/>
  <c r="L496" i="27" s="1"/>
  <c r="M496" i="27" s="1"/>
  <c r="K652" i="27" a="1"/>
  <c r="K652" i="27" s="1"/>
  <c r="L652" i="27" s="1"/>
  <c r="M652" i="27" s="1"/>
  <c r="K472" i="27" a="1"/>
  <c r="K472" i="27" s="1"/>
  <c r="L472" i="27" s="1"/>
  <c r="M472" i="27" s="1"/>
  <c r="K532" i="27" a="1"/>
  <c r="K532" i="27" s="1"/>
  <c r="L532" i="27" s="1"/>
  <c r="M532" i="27" s="1"/>
  <c r="K508" i="27" a="1"/>
  <c r="K508" i="27" s="1"/>
  <c r="L508" i="27" s="1"/>
  <c r="M508" i="27" s="1"/>
  <c r="K460" i="27" a="1"/>
  <c r="K460" i="27" s="1"/>
  <c r="L460" i="27" s="1"/>
  <c r="M460" i="27" s="1"/>
  <c r="K448" i="27" a="1"/>
  <c r="K448" i="27" s="1"/>
  <c r="L448" i="27" s="1"/>
  <c r="M448" i="27" s="1"/>
  <c r="K676" i="27" a="1"/>
  <c r="K676" i="27" s="1"/>
  <c r="L676" i="27" s="1"/>
  <c r="M676" i="27" s="1"/>
  <c r="K412" i="27" a="1"/>
  <c r="K412" i="27" s="1"/>
  <c r="L412" i="27" s="1"/>
  <c r="M412" i="27" s="1"/>
  <c r="K400" i="27" a="1"/>
  <c r="K400" i="27" s="1"/>
  <c r="L400" i="27" s="1"/>
  <c r="M400" i="27" s="1"/>
  <c r="K376" i="27" a="1"/>
  <c r="K376" i="27" s="1"/>
  <c r="L376" i="27" s="1"/>
  <c r="M376" i="27" s="1"/>
  <c r="K352" i="27" a="1"/>
  <c r="K352" i="27" s="1"/>
  <c r="L352" i="27" s="1"/>
  <c r="M352" i="27" s="1"/>
  <c r="K328" i="27" a="1"/>
  <c r="K328" i="27" s="1"/>
  <c r="L328" i="27" s="1"/>
  <c r="M328" i="27" s="1"/>
  <c r="K364" i="27" a="1"/>
  <c r="K364" i="27" s="1"/>
  <c r="L364" i="27" s="1"/>
  <c r="M364" i="27" s="1"/>
  <c r="K484" i="27" a="1"/>
  <c r="K484" i="27" s="1"/>
  <c r="L484" i="27" s="1"/>
  <c r="M484" i="27" s="1"/>
  <c r="K436" i="27" a="1"/>
  <c r="K436" i="27" s="1"/>
  <c r="L436" i="27" s="1"/>
  <c r="M436" i="27" s="1"/>
  <c r="K316" i="27" a="1"/>
  <c r="K316" i="27" s="1"/>
  <c r="L316" i="27" s="1"/>
  <c r="M316" i="27" s="1"/>
  <c r="K292" i="27" a="1"/>
  <c r="K292" i="27" s="1"/>
  <c r="L292" i="27" s="1"/>
  <c r="M292" i="27" s="1"/>
  <c r="K280" i="27" a="1"/>
  <c r="K280" i="27" s="1"/>
  <c r="L280" i="27" s="1"/>
  <c r="M280" i="27" s="1"/>
  <c r="K268" i="27" a="1"/>
  <c r="K268" i="27" s="1"/>
  <c r="L268" i="27" s="1"/>
  <c r="M268" i="27" s="1"/>
  <c r="K256" i="27" a="1"/>
  <c r="K256" i="27" s="1"/>
  <c r="L256" i="27" s="1"/>
  <c r="M256" i="27" s="1"/>
  <c r="K244" i="27" a="1"/>
  <c r="K244" i="27" s="1"/>
  <c r="L244" i="27" s="1"/>
  <c r="M244" i="27" s="1"/>
  <c r="K424" i="27" a="1"/>
  <c r="K424" i="27" s="1"/>
  <c r="L424" i="27" s="1"/>
  <c r="M424" i="27" s="1"/>
  <c r="K388" i="27" a="1"/>
  <c r="K388" i="27" s="1"/>
  <c r="L388" i="27" s="1"/>
  <c r="M388" i="27" s="1"/>
  <c r="K340" i="27" a="1"/>
  <c r="K340" i="27" s="1"/>
  <c r="L340" i="27" s="1"/>
  <c r="M340" i="27" s="1"/>
  <c r="K232" i="27" a="1"/>
  <c r="K232" i="27" s="1"/>
  <c r="L232" i="27" s="1"/>
  <c r="M232" i="27" s="1"/>
  <c r="K220" i="27" a="1"/>
  <c r="K220" i="27" s="1"/>
  <c r="L220" i="27" s="1"/>
  <c r="M220" i="27" s="1"/>
  <c r="K208" i="27" a="1"/>
  <c r="K208" i="27" s="1"/>
  <c r="L208" i="27" s="1"/>
  <c r="M208" i="27" s="1"/>
  <c r="K196" i="27" a="1"/>
  <c r="K196" i="27" s="1"/>
  <c r="L196" i="27" s="1"/>
  <c r="M196" i="27" s="1"/>
  <c r="K184" i="27" a="1"/>
  <c r="K184" i="27" s="1"/>
  <c r="L184" i="27" s="1"/>
  <c r="M184" i="27" s="1"/>
  <c r="K172" i="27" a="1"/>
  <c r="K172" i="27" s="1"/>
  <c r="L172" i="27" s="1"/>
  <c r="M172" i="27" s="1"/>
  <c r="K160" i="27" a="1"/>
  <c r="K160" i="27" s="1"/>
  <c r="L160" i="27" s="1"/>
  <c r="M160" i="27" s="1"/>
  <c r="K148" i="27" a="1"/>
  <c r="K148" i="27" s="1"/>
  <c r="L148" i="27" s="1"/>
  <c r="M148" i="27" s="1"/>
  <c r="K136" i="27" a="1"/>
  <c r="K136" i="27" s="1"/>
  <c r="L136" i="27" s="1"/>
  <c r="M136" i="27" s="1"/>
  <c r="K124" i="27" a="1"/>
  <c r="K124" i="27" s="1"/>
  <c r="L124" i="27" s="1"/>
  <c r="M124" i="27" s="1"/>
  <c r="K112" i="27" a="1"/>
  <c r="K112" i="27" s="1"/>
  <c r="L112" i="27" s="1"/>
  <c r="M112" i="27" s="1"/>
  <c r="K88" i="27" a="1"/>
  <c r="K88" i="27" s="1"/>
  <c r="L88" i="27" s="1"/>
  <c r="M88" i="27" s="1"/>
  <c r="K55" i="27" a="1"/>
  <c r="K55" i="27" s="1"/>
  <c r="L55" i="27" s="1"/>
  <c r="M55" i="27" s="1"/>
  <c r="K43" i="27" a="1"/>
  <c r="K43" i="27" s="1"/>
  <c r="L43" i="27" s="1"/>
  <c r="M43" i="27" s="1"/>
  <c r="K31" i="27" a="1"/>
  <c r="K31" i="27" s="1"/>
  <c r="L31" i="27" s="1"/>
  <c r="M31" i="27" s="1"/>
  <c r="K19" i="27" a="1"/>
  <c r="K19" i="27" s="1"/>
  <c r="L19" i="27" s="1"/>
  <c r="M19" i="27" s="1"/>
  <c r="K100" i="27" a="1"/>
  <c r="K100" i="27" s="1"/>
  <c r="L100" i="27" s="1"/>
  <c r="M100" i="27" s="1"/>
  <c r="K304" i="27" a="1"/>
  <c r="K304" i="27" s="1"/>
  <c r="L304" i="27" s="1"/>
  <c r="M304" i="27" s="1"/>
  <c r="K628" i="27" a="1"/>
  <c r="K628" i="27" s="1"/>
  <c r="L628" i="27" s="1"/>
  <c r="M628" i="27" s="1"/>
  <c r="K76" i="27" a="1"/>
  <c r="K76" i="27" s="1"/>
  <c r="L76" i="27" s="1"/>
  <c r="M76" i="27" s="1"/>
  <c r="K67" i="27" a="1"/>
  <c r="K67" i="27" s="1"/>
  <c r="L67" i="27" s="1"/>
  <c r="M67" i="27" s="1"/>
  <c r="B25" i="27"/>
  <c r="K691" i="27" a="1"/>
  <c r="K691" i="27" s="1"/>
  <c r="L691" i="27" s="1"/>
  <c r="M691" i="27" s="1"/>
  <c r="K679" i="27" a="1"/>
  <c r="K679" i="27" s="1"/>
  <c r="L679" i="27" s="1"/>
  <c r="M679" i="27" s="1"/>
  <c r="K655" i="27" a="1"/>
  <c r="K655" i="27" s="1"/>
  <c r="L655" i="27" s="1"/>
  <c r="M655" i="27" s="1"/>
  <c r="K643" i="27" a="1"/>
  <c r="K643" i="27" s="1"/>
  <c r="L643" i="27" s="1"/>
  <c r="M643" i="27" s="1"/>
  <c r="K631" i="27" a="1"/>
  <c r="K631" i="27" s="1"/>
  <c r="L631" i="27" s="1"/>
  <c r="M631" i="27" s="1"/>
  <c r="K619" i="27" a="1"/>
  <c r="K619" i="27" s="1"/>
  <c r="L619" i="27" s="1"/>
  <c r="M619" i="27" s="1"/>
  <c r="K739" i="27" a="1"/>
  <c r="K739" i="27" s="1"/>
  <c r="L739" i="27" s="1"/>
  <c r="M739" i="27" s="1"/>
  <c r="K727" i="27" a="1"/>
  <c r="K727" i="27" s="1"/>
  <c r="L727" i="27" s="1"/>
  <c r="M727" i="27" s="1"/>
  <c r="K715" i="27" a="1"/>
  <c r="K715" i="27" s="1"/>
  <c r="L715" i="27" s="1"/>
  <c r="M715" i="27" s="1"/>
  <c r="K607" i="27" a="1"/>
  <c r="K607" i="27" s="1"/>
  <c r="L607" i="27" s="1"/>
  <c r="M607" i="27" s="1"/>
  <c r="K595" i="27" a="1"/>
  <c r="K595" i="27" s="1"/>
  <c r="L595" i="27" s="1"/>
  <c r="M595" i="27" s="1"/>
  <c r="K583" i="27" a="1"/>
  <c r="K583" i="27" s="1"/>
  <c r="L583" i="27" s="1"/>
  <c r="M583" i="27" s="1"/>
  <c r="K703" i="27" a="1"/>
  <c r="K703" i="27" s="1"/>
  <c r="L703" i="27" s="1"/>
  <c r="M703" i="27" s="1"/>
  <c r="K667" i="27" a="1"/>
  <c r="K667" i="27" s="1"/>
  <c r="L667" i="27" s="1"/>
  <c r="M667" i="27" s="1"/>
  <c r="K535" i="27" a="1"/>
  <c r="K535" i="27" s="1"/>
  <c r="L535" i="27" s="1"/>
  <c r="M535" i="27" s="1"/>
  <c r="K511" i="27" a="1"/>
  <c r="K511" i="27" s="1"/>
  <c r="L511" i="27" s="1"/>
  <c r="M511" i="27" s="1"/>
  <c r="K559" i="27" a="1"/>
  <c r="K559" i="27" s="1"/>
  <c r="L559" i="27" s="1"/>
  <c r="M559" i="27" s="1"/>
  <c r="K523" i="27" a="1"/>
  <c r="K523" i="27" s="1"/>
  <c r="L523" i="27" s="1"/>
  <c r="M523" i="27" s="1"/>
  <c r="K475" i="27" a="1"/>
  <c r="K475" i="27" s="1"/>
  <c r="L475" i="27" s="1"/>
  <c r="M475" i="27" s="1"/>
  <c r="K451" i="27" a="1"/>
  <c r="K451" i="27" s="1"/>
  <c r="L451" i="27" s="1"/>
  <c r="M451" i="27" s="1"/>
  <c r="K415" i="27" a="1"/>
  <c r="K415" i="27" s="1"/>
  <c r="L415" i="27" s="1"/>
  <c r="M415" i="27" s="1"/>
  <c r="K571" i="27" a="1"/>
  <c r="K571" i="27" s="1"/>
  <c r="L571" i="27" s="1"/>
  <c r="M571" i="27" s="1"/>
  <c r="K487" i="27" a="1"/>
  <c r="K487" i="27" s="1"/>
  <c r="L487" i="27" s="1"/>
  <c r="M487" i="27" s="1"/>
  <c r="K439" i="27" a="1"/>
  <c r="K439" i="27" s="1"/>
  <c r="L439" i="27" s="1"/>
  <c r="M439" i="27" s="1"/>
  <c r="K463" i="27" a="1"/>
  <c r="K463" i="27" s="1"/>
  <c r="L463" i="27" s="1"/>
  <c r="M463" i="27" s="1"/>
  <c r="K391" i="27" a="1"/>
  <c r="K391" i="27" s="1"/>
  <c r="L391" i="27" s="1"/>
  <c r="M391" i="27" s="1"/>
  <c r="K367" i="27" a="1"/>
  <c r="K367" i="27" s="1"/>
  <c r="L367" i="27" s="1"/>
  <c r="M367" i="27" s="1"/>
  <c r="K343" i="27" a="1"/>
  <c r="K343" i="27" s="1"/>
  <c r="L343" i="27" s="1"/>
  <c r="M343" i="27" s="1"/>
  <c r="K319" i="27" a="1"/>
  <c r="K319" i="27" s="1"/>
  <c r="L319" i="27" s="1"/>
  <c r="M319" i="27" s="1"/>
  <c r="K403" i="27" a="1"/>
  <c r="K403" i="27" s="1"/>
  <c r="L403" i="27" s="1"/>
  <c r="M403" i="27" s="1"/>
  <c r="K355" i="27" a="1"/>
  <c r="K355" i="27" s="1"/>
  <c r="L355" i="27" s="1"/>
  <c r="M355" i="27" s="1"/>
  <c r="K307" i="27" a="1"/>
  <c r="K307" i="27" s="1"/>
  <c r="L307" i="27" s="1"/>
  <c r="M307" i="27" s="1"/>
  <c r="K547" i="27" a="1"/>
  <c r="K547" i="27" s="1"/>
  <c r="L547" i="27" s="1"/>
  <c r="M547" i="27" s="1"/>
  <c r="K103" i="27" a="1"/>
  <c r="K103" i="27" s="1"/>
  <c r="L103" i="27" s="1"/>
  <c r="M103" i="27" s="1"/>
  <c r="K79" i="27" a="1"/>
  <c r="K79" i="27" s="1"/>
  <c r="L79" i="27" s="1"/>
  <c r="M79" i="27" s="1"/>
  <c r="K91" i="27" a="1"/>
  <c r="K91" i="27" s="1"/>
  <c r="L91" i="27" s="1"/>
  <c r="M91" i="27" s="1"/>
  <c r="K295" i="27" a="1"/>
  <c r="K295" i="27" s="1"/>
  <c r="L295" i="27" s="1"/>
  <c r="M295" i="27" s="1"/>
  <c r="K283" i="27" a="1"/>
  <c r="K283" i="27" s="1"/>
  <c r="L283" i="27" s="1"/>
  <c r="M283" i="27" s="1"/>
  <c r="K271" i="27" a="1"/>
  <c r="K271" i="27" s="1"/>
  <c r="L271" i="27" s="1"/>
  <c r="M271" i="27" s="1"/>
  <c r="K259" i="27" a="1"/>
  <c r="K259" i="27" s="1"/>
  <c r="L259" i="27" s="1"/>
  <c r="M259" i="27" s="1"/>
  <c r="K499" i="27" a="1"/>
  <c r="K499" i="27" s="1"/>
  <c r="L499" i="27" s="1"/>
  <c r="M499" i="27" s="1"/>
  <c r="K379" i="27" a="1"/>
  <c r="K379" i="27" s="1"/>
  <c r="L379" i="27" s="1"/>
  <c r="M379" i="27" s="1"/>
  <c r="K331" i="27" a="1"/>
  <c r="K331" i="27" s="1"/>
  <c r="L331" i="27" s="1"/>
  <c r="M331" i="27" s="1"/>
  <c r="K70" i="27" a="1"/>
  <c r="K70" i="27" s="1"/>
  <c r="L70" i="27" s="1"/>
  <c r="M70" i="27" s="1"/>
  <c r="K115" i="27" a="1"/>
  <c r="K115" i="27" s="1"/>
  <c r="L115" i="27" s="1"/>
  <c r="M115" i="27" s="1"/>
  <c r="K58" i="27" a="1"/>
  <c r="K58" i="27" s="1"/>
  <c r="L58" i="27" s="1"/>
  <c r="M58" i="27" s="1"/>
  <c r="K46" i="27" a="1"/>
  <c r="K46" i="27" s="1"/>
  <c r="L46" i="27" s="1"/>
  <c r="M46" i="27" s="1"/>
  <c r="K34" i="27" a="1"/>
  <c r="K34" i="27" s="1"/>
  <c r="L34" i="27" s="1"/>
  <c r="M34" i="27" s="1"/>
  <c r="K22" i="27" a="1"/>
  <c r="K22" i="27" s="1"/>
  <c r="L22" i="27" s="1"/>
  <c r="M22" i="27" s="1"/>
  <c r="K10" i="27" a="1"/>
  <c r="K10" i="27" s="1"/>
  <c r="L10" i="27" s="1"/>
  <c r="M10" i="27" s="1"/>
  <c r="K427" i="27" a="1"/>
  <c r="K427" i="27" s="1"/>
  <c r="L427" i="27" s="1"/>
  <c r="M427" i="27" s="1"/>
  <c r="K247" i="27" a="1"/>
  <c r="K247" i="27" s="1"/>
  <c r="L247" i="27" s="1"/>
  <c r="M247" i="27" s="1"/>
  <c r="K235" i="27" a="1"/>
  <c r="K235" i="27" s="1"/>
  <c r="L235" i="27" s="1"/>
  <c r="M235" i="27" s="1"/>
  <c r="K223" i="27" a="1"/>
  <c r="K223" i="27" s="1"/>
  <c r="L223" i="27" s="1"/>
  <c r="M223" i="27" s="1"/>
  <c r="K211" i="27" a="1"/>
  <c r="K211" i="27" s="1"/>
  <c r="L211" i="27" s="1"/>
  <c r="M211" i="27" s="1"/>
  <c r="K199" i="27" a="1"/>
  <c r="K199" i="27" s="1"/>
  <c r="L199" i="27" s="1"/>
  <c r="M199" i="27" s="1"/>
  <c r="K187" i="27" a="1"/>
  <c r="K187" i="27" s="1"/>
  <c r="L187" i="27" s="1"/>
  <c r="M187" i="27" s="1"/>
  <c r="K175" i="27" a="1"/>
  <c r="K175" i="27" s="1"/>
  <c r="L175" i="27" s="1"/>
  <c r="M175" i="27" s="1"/>
  <c r="K163" i="27" a="1"/>
  <c r="K163" i="27" s="1"/>
  <c r="L163" i="27" s="1"/>
  <c r="M163" i="27" s="1"/>
  <c r="K151" i="27" a="1"/>
  <c r="K151" i="27" s="1"/>
  <c r="L151" i="27" s="1"/>
  <c r="M151" i="27" s="1"/>
  <c r="K139" i="27" a="1"/>
  <c r="K139" i="27" s="1"/>
  <c r="L139" i="27" s="1"/>
  <c r="M139" i="27" s="1"/>
  <c r="K127" i="27" a="1"/>
  <c r="K127" i="27" s="1"/>
  <c r="L127" i="27" s="1"/>
  <c r="M127" i="27" s="1"/>
  <c r="K683" i="27" a="1"/>
  <c r="K683" i="27" s="1"/>
  <c r="L683" i="27" s="1"/>
  <c r="M683" i="27" s="1"/>
  <c r="K671" i="27" a="1"/>
  <c r="K671" i="27" s="1"/>
  <c r="L671" i="27" s="1"/>
  <c r="M671" i="27" s="1"/>
  <c r="K647" i="27" a="1"/>
  <c r="K647" i="27" s="1"/>
  <c r="L647" i="27" s="1"/>
  <c r="M647" i="27" s="1"/>
  <c r="K635" i="27" a="1"/>
  <c r="K635" i="27" s="1"/>
  <c r="L635" i="27" s="1"/>
  <c r="M635" i="27" s="1"/>
  <c r="K623" i="27" a="1"/>
  <c r="K623" i="27" s="1"/>
  <c r="L623" i="27" s="1"/>
  <c r="M623" i="27" s="1"/>
  <c r="K731" i="27" a="1"/>
  <c r="K731" i="27" s="1"/>
  <c r="L731" i="27" s="1"/>
  <c r="M731" i="27" s="1"/>
  <c r="K719" i="27" a="1"/>
  <c r="K719" i="27" s="1"/>
  <c r="L719" i="27" s="1"/>
  <c r="M719" i="27" s="1"/>
  <c r="K707" i="27" a="1"/>
  <c r="K707" i="27" s="1"/>
  <c r="L707" i="27" s="1"/>
  <c r="M707" i="27" s="1"/>
  <c r="K695" i="27" a="1"/>
  <c r="K695" i="27" s="1"/>
  <c r="L695" i="27" s="1"/>
  <c r="M695" i="27" s="1"/>
  <c r="K611" i="27" a="1"/>
  <c r="K611" i="27" s="1"/>
  <c r="L611" i="27" s="1"/>
  <c r="M611" i="27" s="1"/>
  <c r="K599" i="27" a="1"/>
  <c r="K599" i="27" s="1"/>
  <c r="L599" i="27" s="1"/>
  <c r="M599" i="27" s="1"/>
  <c r="K587" i="27" a="1"/>
  <c r="K587" i="27" s="1"/>
  <c r="L587" i="27" s="1"/>
  <c r="M587" i="27" s="1"/>
  <c r="K575" i="27" a="1"/>
  <c r="K575" i="27" s="1"/>
  <c r="L575" i="27" s="1"/>
  <c r="M575" i="27" s="1"/>
  <c r="K659" i="27" a="1"/>
  <c r="K659" i="27" s="1"/>
  <c r="L659" i="27" s="1"/>
  <c r="M659" i="27" s="1"/>
  <c r="K527" i="27" a="1"/>
  <c r="K527" i="27" s="1"/>
  <c r="L527" i="27" s="1"/>
  <c r="M527" i="27" s="1"/>
  <c r="K503" i="27" a="1"/>
  <c r="K503" i="27" s="1"/>
  <c r="L503" i="27" s="1"/>
  <c r="M503" i="27" s="1"/>
  <c r="K551" i="27" a="1"/>
  <c r="K551" i="27" s="1"/>
  <c r="L551" i="27" s="1"/>
  <c r="M551" i="27" s="1"/>
  <c r="K479" i="27" a="1"/>
  <c r="K479" i="27" s="1"/>
  <c r="L479" i="27" s="1"/>
  <c r="M479" i="27" s="1"/>
  <c r="K491" i="27" a="1"/>
  <c r="K491" i="27" s="1"/>
  <c r="L491" i="27" s="1"/>
  <c r="M491" i="27" s="1"/>
  <c r="K419" i="27" a="1"/>
  <c r="K419" i="27" s="1"/>
  <c r="L419" i="27" s="1"/>
  <c r="M419" i="27" s="1"/>
  <c r="K515" i="27" a="1"/>
  <c r="K515" i="27" s="1"/>
  <c r="L515" i="27" s="1"/>
  <c r="M515" i="27" s="1"/>
  <c r="K443" i="27" a="1"/>
  <c r="K443" i="27" s="1"/>
  <c r="L443" i="27" s="1"/>
  <c r="M443" i="27" s="1"/>
  <c r="K539" i="27" a="1"/>
  <c r="K539" i="27" s="1"/>
  <c r="L539" i="27" s="1"/>
  <c r="M539" i="27" s="1"/>
  <c r="K467" i="27" a="1"/>
  <c r="K467" i="27" s="1"/>
  <c r="L467" i="27" s="1"/>
  <c r="M467" i="27" s="1"/>
  <c r="K431" i="27" a="1"/>
  <c r="K431" i="27" s="1"/>
  <c r="L431" i="27" s="1"/>
  <c r="M431" i="27" s="1"/>
  <c r="K407" i="27" a="1"/>
  <c r="K407" i="27" s="1"/>
  <c r="L407" i="27" s="1"/>
  <c r="M407" i="27" s="1"/>
  <c r="K383" i="27" a="1"/>
  <c r="K383" i="27" s="1"/>
  <c r="L383" i="27" s="1"/>
  <c r="M383" i="27" s="1"/>
  <c r="K359" i="27" a="1"/>
  <c r="K359" i="27" s="1"/>
  <c r="L359" i="27" s="1"/>
  <c r="M359" i="27" s="1"/>
  <c r="K335" i="27" a="1"/>
  <c r="K335" i="27" s="1"/>
  <c r="L335" i="27" s="1"/>
  <c r="M335" i="27" s="1"/>
  <c r="K311" i="27" a="1"/>
  <c r="K311" i="27" s="1"/>
  <c r="L311" i="27" s="1"/>
  <c r="M311" i="27" s="1"/>
  <c r="K563" i="27" a="1"/>
  <c r="K563" i="27" s="1"/>
  <c r="L563" i="27" s="1"/>
  <c r="M563" i="27" s="1"/>
  <c r="K371" i="27" a="1"/>
  <c r="K371" i="27" s="1"/>
  <c r="L371" i="27" s="1"/>
  <c r="M371" i="27" s="1"/>
  <c r="K323" i="27" a="1"/>
  <c r="K323" i="27" s="1"/>
  <c r="L323" i="27" s="1"/>
  <c r="M323" i="27" s="1"/>
  <c r="K455" i="27" a="1"/>
  <c r="K455" i="27" s="1"/>
  <c r="L455" i="27" s="1"/>
  <c r="M455" i="27" s="1"/>
  <c r="K299" i="27" a="1"/>
  <c r="K299" i="27" s="1"/>
  <c r="L299" i="27" s="1"/>
  <c r="M299" i="27" s="1"/>
  <c r="K119" i="27" a="1"/>
  <c r="K119" i="27" s="1"/>
  <c r="L119" i="27" s="1"/>
  <c r="M119" i="27" s="1"/>
  <c r="K95" i="27" a="1"/>
  <c r="K95" i="27" s="1"/>
  <c r="L95" i="27" s="1"/>
  <c r="M95" i="27" s="1"/>
  <c r="K71" i="27" a="1"/>
  <c r="K71" i="27" s="1"/>
  <c r="L71" i="27" s="1"/>
  <c r="M71" i="27" s="1"/>
  <c r="K287" i="27" a="1"/>
  <c r="K287" i="27" s="1"/>
  <c r="L287" i="27" s="1"/>
  <c r="M287" i="27" s="1"/>
  <c r="K275" i="27" a="1"/>
  <c r="K275" i="27" s="1"/>
  <c r="L275" i="27" s="1"/>
  <c r="M275" i="27" s="1"/>
  <c r="K263" i="27" a="1"/>
  <c r="K263" i="27" s="1"/>
  <c r="L263" i="27" s="1"/>
  <c r="M263" i="27" s="1"/>
  <c r="K131" i="27" a="1"/>
  <c r="K131" i="27" s="1"/>
  <c r="L131" i="27" s="1"/>
  <c r="M131" i="27" s="1"/>
  <c r="K395" i="27" a="1"/>
  <c r="K395" i="27" s="1"/>
  <c r="L395" i="27" s="1"/>
  <c r="M395" i="27" s="1"/>
  <c r="K347" i="27" a="1"/>
  <c r="K347" i="27" s="1"/>
  <c r="L347" i="27" s="1"/>
  <c r="M347" i="27" s="1"/>
  <c r="K107" i="27" a="1"/>
  <c r="K107" i="27" s="1"/>
  <c r="L107" i="27" s="1"/>
  <c r="M107" i="27" s="1"/>
  <c r="K83" i="27" a="1"/>
  <c r="K83" i="27" s="1"/>
  <c r="L83" i="27" s="1"/>
  <c r="M83" i="27" s="1"/>
  <c r="K62" i="27" a="1"/>
  <c r="K62" i="27" s="1"/>
  <c r="L62" i="27" s="1"/>
  <c r="M62" i="27" s="1"/>
  <c r="K50" i="27" a="1"/>
  <c r="K50" i="27" s="1"/>
  <c r="L50" i="27" s="1"/>
  <c r="M50" i="27" s="1"/>
  <c r="K38" i="27" a="1"/>
  <c r="K38" i="27" s="1"/>
  <c r="L38" i="27" s="1"/>
  <c r="M38" i="27" s="1"/>
  <c r="K26" i="27" a="1"/>
  <c r="K26" i="27" s="1"/>
  <c r="L26" i="27" s="1"/>
  <c r="M26" i="27" s="1"/>
  <c r="K14" i="27" a="1"/>
  <c r="K14" i="27" s="1"/>
  <c r="L14" i="27" s="1"/>
  <c r="M14" i="27" s="1"/>
  <c r="K4" i="27" a="1"/>
  <c r="K4" i="27" s="1"/>
  <c r="L4" i="27" s="1"/>
  <c r="M4" i="27" s="1"/>
  <c r="K251" i="27" a="1"/>
  <c r="K251" i="27" s="1"/>
  <c r="L251" i="27" s="1"/>
  <c r="M251" i="27" s="1"/>
  <c r="K239" i="27" a="1"/>
  <c r="K239" i="27" s="1"/>
  <c r="L239" i="27" s="1"/>
  <c r="M239" i="27" s="1"/>
  <c r="K227" i="27" a="1"/>
  <c r="K227" i="27" s="1"/>
  <c r="L227" i="27" s="1"/>
  <c r="M227" i="27" s="1"/>
  <c r="K215" i="27" a="1"/>
  <c r="K215" i="27" s="1"/>
  <c r="L215" i="27" s="1"/>
  <c r="M215" i="27" s="1"/>
  <c r="K203" i="27" a="1"/>
  <c r="K203" i="27" s="1"/>
  <c r="L203" i="27" s="1"/>
  <c r="M203" i="27" s="1"/>
  <c r="K191" i="27" a="1"/>
  <c r="K191" i="27" s="1"/>
  <c r="L191" i="27" s="1"/>
  <c r="M191" i="27" s="1"/>
  <c r="K179" i="27" a="1"/>
  <c r="K179" i="27" s="1"/>
  <c r="L179" i="27" s="1"/>
  <c r="M179" i="27" s="1"/>
  <c r="K167" i="27" a="1"/>
  <c r="K167" i="27" s="1"/>
  <c r="L167" i="27" s="1"/>
  <c r="M167" i="27" s="1"/>
  <c r="K155" i="27" a="1"/>
  <c r="K155" i="27" s="1"/>
  <c r="L155" i="27" s="1"/>
  <c r="M155" i="27" s="1"/>
  <c r="K143" i="27" a="1"/>
  <c r="K143" i="27" s="1"/>
  <c r="L143" i="27" s="1"/>
  <c r="M143" i="27" s="1"/>
  <c r="K742" i="27" a="1"/>
  <c r="K742" i="27" s="1"/>
  <c r="L742" i="27" s="1"/>
  <c r="M742" i="27" s="1"/>
  <c r="K730" i="27" a="1"/>
  <c r="K730" i="27" s="1"/>
  <c r="L730" i="27" s="1"/>
  <c r="M730" i="27" s="1"/>
  <c r="K718" i="27" a="1"/>
  <c r="K718" i="27" s="1"/>
  <c r="L718" i="27" s="1"/>
  <c r="M718" i="27" s="1"/>
  <c r="K706" i="27" a="1"/>
  <c r="K706" i="27" s="1"/>
  <c r="L706" i="27" s="1"/>
  <c r="M706" i="27" s="1"/>
  <c r="K682" i="27" a="1"/>
  <c r="K682" i="27" s="1"/>
  <c r="L682" i="27" s="1"/>
  <c r="M682" i="27" s="1"/>
  <c r="K658" i="27" a="1"/>
  <c r="K658" i="27" s="1"/>
  <c r="L658" i="27" s="1"/>
  <c r="M658" i="27" s="1"/>
  <c r="K694" i="27" a="1"/>
  <c r="K694" i="27" s="1"/>
  <c r="L694" i="27" s="1"/>
  <c r="M694" i="27" s="1"/>
  <c r="K670" i="27" a="1"/>
  <c r="K670" i="27" s="1"/>
  <c r="L670" i="27" s="1"/>
  <c r="M670" i="27" s="1"/>
  <c r="K646" i="27" a="1"/>
  <c r="K646" i="27" s="1"/>
  <c r="L646" i="27" s="1"/>
  <c r="M646" i="27" s="1"/>
  <c r="K622" i="27" a="1"/>
  <c r="K622" i="27" s="1"/>
  <c r="L622" i="27" s="1"/>
  <c r="M622" i="27" s="1"/>
  <c r="K598" i="27" a="1"/>
  <c r="K598" i="27" s="1"/>
  <c r="L598" i="27" s="1"/>
  <c r="M598" i="27" s="1"/>
  <c r="K586" i="27" a="1"/>
  <c r="K586" i="27" s="1"/>
  <c r="L586" i="27" s="1"/>
  <c r="M586" i="27" s="1"/>
  <c r="K574" i="27" a="1"/>
  <c r="K574" i="27" s="1"/>
  <c r="L574" i="27" s="1"/>
  <c r="M574" i="27" s="1"/>
  <c r="K538" i="27" a="1"/>
  <c r="K538" i="27" s="1"/>
  <c r="L538" i="27" s="1"/>
  <c r="M538" i="27" s="1"/>
  <c r="K514" i="27" a="1"/>
  <c r="K514" i="27" s="1"/>
  <c r="L514" i="27" s="1"/>
  <c r="M514" i="27" s="1"/>
  <c r="K490" i="27" a="1"/>
  <c r="K490" i="27" s="1"/>
  <c r="L490" i="27" s="1"/>
  <c r="M490" i="27" s="1"/>
  <c r="K634" i="27" a="1"/>
  <c r="K634" i="27" s="1"/>
  <c r="L634" i="27" s="1"/>
  <c r="M634" i="27" s="1"/>
  <c r="K610" i="27" a="1"/>
  <c r="K610" i="27" s="1"/>
  <c r="L610" i="27" s="1"/>
  <c r="M610" i="27" s="1"/>
  <c r="K562" i="27" a="1"/>
  <c r="K562" i="27" s="1"/>
  <c r="L562" i="27" s="1"/>
  <c r="M562" i="27" s="1"/>
  <c r="K550" i="27" a="1"/>
  <c r="K550" i="27" s="1"/>
  <c r="L550" i="27" s="1"/>
  <c r="M550" i="27" s="1"/>
  <c r="K526" i="27" a="1"/>
  <c r="K526" i="27" s="1"/>
  <c r="L526" i="27" s="1"/>
  <c r="M526" i="27" s="1"/>
  <c r="K502" i="27" a="1"/>
  <c r="K502" i="27" s="1"/>
  <c r="L502" i="27" s="1"/>
  <c r="M502" i="27" s="1"/>
  <c r="K454" i="27" a="1"/>
  <c r="K454" i="27" s="1"/>
  <c r="L454" i="27" s="1"/>
  <c r="M454" i="27" s="1"/>
  <c r="K430" i="27" a="1"/>
  <c r="K430" i="27" s="1"/>
  <c r="L430" i="27" s="1"/>
  <c r="M430" i="27" s="1"/>
  <c r="K418" i="27" a="1"/>
  <c r="K418" i="27" s="1"/>
  <c r="L418" i="27" s="1"/>
  <c r="M418" i="27" s="1"/>
  <c r="K442" i="27" a="1"/>
  <c r="K442" i="27" s="1"/>
  <c r="L442" i="27" s="1"/>
  <c r="M442" i="27" s="1"/>
  <c r="K394" i="27" a="1"/>
  <c r="K394" i="27" s="1"/>
  <c r="L394" i="27" s="1"/>
  <c r="M394" i="27" s="1"/>
  <c r="K370" i="27" a="1"/>
  <c r="K370" i="27" s="1"/>
  <c r="L370" i="27" s="1"/>
  <c r="M370" i="27" s="1"/>
  <c r="K346" i="27" a="1"/>
  <c r="K346" i="27" s="1"/>
  <c r="L346" i="27" s="1"/>
  <c r="M346" i="27" s="1"/>
  <c r="K322" i="27" a="1"/>
  <c r="K322" i="27" s="1"/>
  <c r="L322" i="27" s="1"/>
  <c r="M322" i="27" s="1"/>
  <c r="K478" i="27" a="1"/>
  <c r="K478" i="27" s="1"/>
  <c r="L478" i="27" s="1"/>
  <c r="M478" i="27" s="1"/>
  <c r="K466" i="27" a="1"/>
  <c r="K466" i="27" s="1"/>
  <c r="L466" i="27" s="1"/>
  <c r="M466" i="27" s="1"/>
  <c r="K406" i="27" a="1"/>
  <c r="K406" i="27" s="1"/>
  <c r="L406" i="27" s="1"/>
  <c r="M406" i="27" s="1"/>
  <c r="K358" i="27" a="1"/>
  <c r="K358" i="27" s="1"/>
  <c r="L358" i="27" s="1"/>
  <c r="M358" i="27" s="1"/>
  <c r="K310" i="27" a="1"/>
  <c r="K310" i="27" s="1"/>
  <c r="L310" i="27" s="1"/>
  <c r="M310" i="27" s="1"/>
  <c r="K286" i="27" a="1"/>
  <c r="K286" i="27" s="1"/>
  <c r="L286" i="27" s="1"/>
  <c r="M286" i="27" s="1"/>
  <c r="K274" i="27" a="1"/>
  <c r="K274" i="27" s="1"/>
  <c r="L274" i="27" s="1"/>
  <c r="M274" i="27" s="1"/>
  <c r="K262" i="27" a="1"/>
  <c r="K262" i="27" s="1"/>
  <c r="L262" i="27" s="1"/>
  <c r="M262" i="27" s="1"/>
  <c r="K250" i="27" a="1"/>
  <c r="K250" i="27" s="1"/>
  <c r="L250" i="27" s="1"/>
  <c r="M250" i="27" s="1"/>
  <c r="K382" i="27" a="1"/>
  <c r="K382" i="27" s="1"/>
  <c r="L382" i="27" s="1"/>
  <c r="M382" i="27" s="1"/>
  <c r="K334" i="27" a="1"/>
  <c r="K334" i="27" s="1"/>
  <c r="L334" i="27" s="1"/>
  <c r="M334" i="27" s="1"/>
  <c r="K298" i="27" a="1"/>
  <c r="K298" i="27" s="1"/>
  <c r="L298" i="27" s="1"/>
  <c r="M298" i="27" s="1"/>
  <c r="K61" i="27" a="1"/>
  <c r="K61" i="27" s="1"/>
  <c r="L61" i="27" s="1"/>
  <c r="M61" i="27" s="1"/>
  <c r="K49" i="27" a="1"/>
  <c r="K49" i="27" s="1"/>
  <c r="L49" i="27" s="1"/>
  <c r="M49" i="27" s="1"/>
  <c r="K37" i="27" a="1"/>
  <c r="K37" i="27" s="1"/>
  <c r="L37" i="27" s="1"/>
  <c r="M37" i="27" s="1"/>
  <c r="K25" i="27" a="1"/>
  <c r="K25" i="27" s="1"/>
  <c r="L25" i="27" s="1"/>
  <c r="M25" i="27" s="1"/>
  <c r="K13" i="27" a="1"/>
  <c r="K13" i="27" s="1"/>
  <c r="L13" i="27" s="1"/>
  <c r="M13" i="27" s="1"/>
  <c r="K3" i="27" a="1"/>
  <c r="K3" i="27" s="1"/>
  <c r="L3" i="27" s="1"/>
  <c r="M3" i="27" s="1"/>
  <c r="K130" i="27" a="1"/>
  <c r="K130" i="27" s="1"/>
  <c r="L130" i="27" s="1"/>
  <c r="M130" i="27" s="1"/>
  <c r="K106" i="27" a="1"/>
  <c r="K106" i="27" s="1"/>
  <c r="L106" i="27" s="1"/>
  <c r="M106" i="27" s="1"/>
  <c r="K118" i="27" a="1"/>
  <c r="K118" i="27" s="1"/>
  <c r="L118" i="27" s="1"/>
  <c r="M118" i="27" s="1"/>
  <c r="K94" i="27" a="1"/>
  <c r="K94" i="27" s="1"/>
  <c r="L94" i="27" s="1"/>
  <c r="M94" i="27" s="1"/>
  <c r="K238" i="27" a="1"/>
  <c r="K238" i="27" s="1"/>
  <c r="L238" i="27" s="1"/>
  <c r="M238" i="27" s="1"/>
  <c r="K226" i="27" a="1"/>
  <c r="K226" i="27" s="1"/>
  <c r="L226" i="27" s="1"/>
  <c r="M226" i="27" s="1"/>
  <c r="K214" i="27" a="1"/>
  <c r="K214" i="27" s="1"/>
  <c r="L214" i="27" s="1"/>
  <c r="M214" i="27" s="1"/>
  <c r="K202" i="27" a="1"/>
  <c r="K202" i="27" s="1"/>
  <c r="L202" i="27" s="1"/>
  <c r="M202" i="27" s="1"/>
  <c r="K190" i="27" a="1"/>
  <c r="K190" i="27" s="1"/>
  <c r="L190" i="27" s="1"/>
  <c r="M190" i="27" s="1"/>
  <c r="K178" i="27" a="1"/>
  <c r="K178" i="27" s="1"/>
  <c r="L178" i="27" s="1"/>
  <c r="M178" i="27" s="1"/>
  <c r="K166" i="27" a="1"/>
  <c r="K166" i="27" s="1"/>
  <c r="L166" i="27" s="1"/>
  <c r="M166" i="27" s="1"/>
  <c r="K154" i="27" a="1"/>
  <c r="K154" i="27" s="1"/>
  <c r="L154" i="27" s="1"/>
  <c r="M154" i="27" s="1"/>
  <c r="K142" i="27" a="1"/>
  <c r="K142" i="27" s="1"/>
  <c r="L142" i="27" s="1"/>
  <c r="M142" i="27" s="1"/>
  <c r="K82" i="27" a="1"/>
  <c r="K82" i="27" s="1"/>
  <c r="L82" i="27" s="1"/>
  <c r="M82" i="27" s="1"/>
  <c r="K820" i="28" a="1"/>
  <c r="K820" i="28" s="1"/>
  <c r="L820" i="28" s="1"/>
  <c r="K808" i="28" a="1"/>
  <c r="K808" i="28" s="1"/>
  <c r="L808" i="28" s="1"/>
  <c r="K940" i="28" a="1"/>
  <c r="K940" i="28" s="1"/>
  <c r="L940" i="28" s="1"/>
  <c r="K760" i="28" a="1"/>
  <c r="K760" i="28" s="1"/>
  <c r="L760" i="28" s="1"/>
  <c r="K748" i="28" a="1"/>
  <c r="K748" i="28" s="1"/>
  <c r="L748" i="28" s="1"/>
  <c r="K952" i="28" a="1"/>
  <c r="K952" i="28" s="1"/>
  <c r="L952" i="28" s="1"/>
  <c r="K964" i="28" a="1"/>
  <c r="K964" i="28" s="1"/>
  <c r="L964" i="28" s="1"/>
  <c r="K904" i="28" a="1"/>
  <c r="K904" i="28" s="1"/>
  <c r="L904" i="28" s="1"/>
  <c r="K892" i="28" a="1"/>
  <c r="K892" i="28" s="1"/>
  <c r="L892" i="28" s="1"/>
  <c r="B25" i="28"/>
  <c r="K840" i="28" a="1"/>
  <c r="K840" i="28" s="1"/>
  <c r="L840" i="28" s="1"/>
  <c r="K744" i="28" a="1"/>
  <c r="K744" i="28" s="1"/>
  <c r="L744" i="28" s="1"/>
  <c r="K924" i="28" a="1"/>
  <c r="K924" i="28" s="1"/>
  <c r="L924" i="28" s="1"/>
  <c r="K756" i="28" a="1"/>
  <c r="K756" i="28" s="1"/>
  <c r="L756" i="28" s="1"/>
  <c r="K804" i="28" a="1"/>
  <c r="K804" i="28" s="1"/>
  <c r="L804" i="28" s="1"/>
  <c r="K960" i="28" a="1"/>
  <c r="K960" i="28" s="1"/>
  <c r="L960" i="28" s="1"/>
  <c r="K972" i="28" a="1"/>
  <c r="K972" i="28" s="1"/>
  <c r="L972" i="28" s="1"/>
  <c r="K876" i="28" a="1"/>
  <c r="K876" i="28" s="1"/>
  <c r="L876" i="28" s="1"/>
  <c r="K780" i="28" a="1"/>
  <c r="K780" i="28" s="1"/>
  <c r="L780" i="28" s="1"/>
  <c r="K816" i="28" a="1"/>
  <c r="K816" i="28" s="1"/>
  <c r="L816" i="28" s="1"/>
  <c r="K864" i="28" a="1"/>
  <c r="K864" i="28" s="1"/>
  <c r="L864" i="28" s="1"/>
  <c r="K936" i="28" a="1"/>
  <c r="K936" i="28" s="1"/>
  <c r="L936" i="28" s="1"/>
  <c r="K888" i="28" a="1"/>
  <c r="K888" i="28" s="1"/>
  <c r="L888" i="28" s="1"/>
  <c r="K900" i="28" a="1"/>
  <c r="K900" i="28" s="1"/>
  <c r="L900" i="28" s="1"/>
  <c r="K852" i="28" a="1"/>
  <c r="K852" i="28" s="1"/>
  <c r="L852" i="28" s="1"/>
  <c r="K948" i="28" a="1"/>
  <c r="K948" i="28" s="1"/>
  <c r="L948" i="28" s="1"/>
  <c r="K828" i="28" a="1"/>
  <c r="K828" i="28" s="1"/>
  <c r="L828" i="28" s="1"/>
  <c r="K912" i="28" a="1"/>
  <c r="K912" i="28" s="1"/>
  <c r="L912" i="28" s="1"/>
  <c r="K768" i="28" a="1"/>
  <c r="K768" i="28" s="1"/>
  <c r="L768" i="28" s="1"/>
  <c r="K792" i="28" a="1"/>
  <c r="K792" i="28" s="1"/>
  <c r="L792" i="28" s="1"/>
  <c r="K696" i="28" a="1"/>
  <c r="K696" i="28" s="1"/>
  <c r="L696" i="28" s="1"/>
  <c r="M696" i="28" s="1"/>
  <c r="K576" i="28" a="1"/>
  <c r="K576" i="28" s="1"/>
  <c r="L576" i="28" s="1"/>
  <c r="M576" i="28" s="1"/>
  <c r="K612" i="28" a="1"/>
  <c r="K612" i="28" s="1"/>
  <c r="L612" i="28" s="1"/>
  <c r="M612" i="28" s="1"/>
  <c r="K528" i="28" a="1"/>
  <c r="K528" i="28" s="1"/>
  <c r="L528" i="28" s="1"/>
  <c r="M528" i="28" s="1"/>
  <c r="K588" i="28" a="1"/>
  <c r="K588" i="28" s="1"/>
  <c r="L588" i="28" s="1"/>
  <c r="M588" i="28" s="1"/>
  <c r="K396" i="28" a="1"/>
  <c r="K396" i="28" s="1"/>
  <c r="L396" i="28" s="1"/>
  <c r="M396" i="28" s="1"/>
  <c r="K468" i="28" a="1"/>
  <c r="K468" i="28" s="1"/>
  <c r="L468" i="28" s="1"/>
  <c r="M468" i="28" s="1"/>
  <c r="K360" i="28" a="1"/>
  <c r="K360" i="28" s="1"/>
  <c r="L360" i="28" s="1"/>
  <c r="M360" i="28" s="1"/>
  <c r="K264" i="28" a="1"/>
  <c r="K264" i="28" s="1"/>
  <c r="L264" i="28" s="1"/>
  <c r="M264" i="28" s="1"/>
  <c r="K276" i="28" a="1"/>
  <c r="K276" i="28" s="1"/>
  <c r="L276" i="28" s="1"/>
  <c r="M276" i="28" s="1"/>
  <c r="K216" i="28" a="1"/>
  <c r="K216" i="28" s="1"/>
  <c r="L216" i="28" s="1"/>
  <c r="M216" i="28" s="1"/>
  <c r="K168" i="28" a="1"/>
  <c r="K168" i="28" s="1"/>
  <c r="L168" i="28" s="1"/>
  <c r="M168" i="28" s="1"/>
  <c r="K120" i="28" a="1"/>
  <c r="K120" i="28" s="1"/>
  <c r="L120" i="28" s="1"/>
  <c r="M120" i="28" s="1"/>
  <c r="K372" i="28" a="1"/>
  <c r="K372" i="28" s="1"/>
  <c r="L372" i="28" s="1"/>
  <c r="M372" i="28" s="1"/>
  <c r="K27" i="28" a="1"/>
  <c r="K27" i="28" s="1"/>
  <c r="L27" i="28" s="1"/>
  <c r="M27" i="28" s="1"/>
  <c r="K15" i="28" a="1"/>
  <c r="K15" i="28" s="1"/>
  <c r="L15" i="28" s="1"/>
  <c r="M15" i="28" s="1"/>
  <c r="K636" i="28" a="1"/>
  <c r="K636" i="28" s="1"/>
  <c r="L636" i="28" s="1"/>
  <c r="M636" i="28" s="1"/>
  <c r="K420" i="28" a="1"/>
  <c r="K420" i="28" s="1"/>
  <c r="L420" i="28" s="1"/>
  <c r="M420" i="28" s="1"/>
  <c r="K312" i="28" a="1"/>
  <c r="K312" i="28" s="1"/>
  <c r="L312" i="28" s="1"/>
  <c r="M312" i="28" s="1"/>
  <c r="K192" i="28" a="1"/>
  <c r="K192" i="28" s="1"/>
  <c r="L192" i="28" s="1"/>
  <c r="M192" i="28" s="1"/>
  <c r="K51" i="28" a="1"/>
  <c r="K51" i="28" s="1"/>
  <c r="L51" i="28" s="1"/>
  <c r="M51" i="28" s="1"/>
  <c r="K672" i="28" a="1"/>
  <c r="K672" i="28" s="1"/>
  <c r="L672" i="28" s="1"/>
  <c r="M672" i="28" s="1"/>
  <c r="K648" i="28" a="1"/>
  <c r="K648" i="28" s="1"/>
  <c r="L648" i="28" s="1"/>
  <c r="M648" i="28" s="1"/>
  <c r="K600" i="28" a="1"/>
  <c r="K600" i="28" s="1"/>
  <c r="L600" i="28" s="1"/>
  <c r="M600" i="28" s="1"/>
  <c r="K516" i="28" a="1"/>
  <c r="K516" i="28" s="1"/>
  <c r="L516" i="28" s="1"/>
  <c r="M516" i="28" s="1"/>
  <c r="K432" i="28" a="1"/>
  <c r="K432" i="28" s="1"/>
  <c r="L432" i="28" s="1"/>
  <c r="M432" i="28" s="1"/>
  <c r="K384" i="28" a="1"/>
  <c r="K384" i="28" s="1"/>
  <c r="L384" i="28" s="1"/>
  <c r="M384" i="28" s="1"/>
  <c r="K456" i="28" a="1"/>
  <c r="K456" i="28" s="1"/>
  <c r="L456" i="28" s="1"/>
  <c r="M456" i="28" s="1"/>
  <c r="K336" i="28" a="1"/>
  <c r="K336" i="28" s="1"/>
  <c r="L336" i="28" s="1"/>
  <c r="M336" i="28" s="1"/>
  <c r="K348" i="28" a="1"/>
  <c r="K348" i="28" s="1"/>
  <c r="L348" i="28" s="1"/>
  <c r="M348" i="28" s="1"/>
  <c r="K252" i="28" a="1"/>
  <c r="K252" i="28" s="1"/>
  <c r="L252" i="28" s="1"/>
  <c r="M252" i="28" s="1"/>
  <c r="K204" i="28" a="1"/>
  <c r="K204" i="28" s="1"/>
  <c r="L204" i="28" s="1"/>
  <c r="M204" i="28" s="1"/>
  <c r="K156" i="28" a="1"/>
  <c r="K156" i="28" s="1"/>
  <c r="L156" i="28" s="1"/>
  <c r="M156" i="28" s="1"/>
  <c r="K108" i="28" a="1"/>
  <c r="K108" i="28" s="1"/>
  <c r="L108" i="28" s="1"/>
  <c r="M108" i="28" s="1"/>
  <c r="K63" i="28" a="1"/>
  <c r="K63" i="28" s="1"/>
  <c r="L63" i="28" s="1"/>
  <c r="M63" i="28" s="1"/>
  <c r="K660" i="28" a="1"/>
  <c r="K660" i="28" s="1"/>
  <c r="L660" i="28" s="1"/>
  <c r="M660" i="28" s="1"/>
  <c r="K504" i="28" a="1"/>
  <c r="K504" i="28" s="1"/>
  <c r="L504" i="28" s="1"/>
  <c r="M504" i="28" s="1"/>
  <c r="K444" i="28" a="1"/>
  <c r="K444" i="28" s="1"/>
  <c r="L444" i="28" s="1"/>
  <c r="M444" i="28" s="1"/>
  <c r="K240" i="28" a="1"/>
  <c r="K240" i="28" s="1"/>
  <c r="L240" i="28" s="1"/>
  <c r="M240" i="28" s="1"/>
  <c r="K144" i="28" a="1"/>
  <c r="K144" i="28" s="1"/>
  <c r="L144" i="28" s="1"/>
  <c r="M144" i="28" s="1"/>
  <c r="K72" i="28" a="1"/>
  <c r="K72" i="28" s="1"/>
  <c r="L72" i="28" s="1"/>
  <c r="M72" i="28" s="1"/>
  <c r="K732" i="28" a="1"/>
  <c r="K732" i="28" s="1"/>
  <c r="L732" i="28" s="1"/>
  <c r="M732" i="28" s="1"/>
  <c r="K552" i="28" a="1"/>
  <c r="K552" i="28" s="1"/>
  <c r="L552" i="28" s="1"/>
  <c r="M552" i="28" s="1"/>
  <c r="K492" i="28" a="1"/>
  <c r="K492" i="28" s="1"/>
  <c r="L492" i="28" s="1"/>
  <c r="M492" i="28" s="1"/>
  <c r="K324" i="28" a="1"/>
  <c r="K324" i="28" s="1"/>
  <c r="L324" i="28" s="1"/>
  <c r="M324" i="28" s="1"/>
  <c r="K96" i="28" a="1"/>
  <c r="K96" i="28" s="1"/>
  <c r="L96" i="28" s="1"/>
  <c r="M96" i="28" s="1"/>
  <c r="K540" i="28" a="1"/>
  <c r="K540" i="28" s="1"/>
  <c r="L540" i="28" s="1"/>
  <c r="M540" i="28" s="1"/>
  <c r="K564" i="28" a="1"/>
  <c r="K564" i="28" s="1"/>
  <c r="L564" i="28" s="1"/>
  <c r="M564" i="28" s="1"/>
  <c r="K180" i="28" a="1"/>
  <c r="K180" i="28" s="1"/>
  <c r="L180" i="28" s="1"/>
  <c r="M180" i="28" s="1"/>
  <c r="K288" i="28" a="1"/>
  <c r="K288" i="28" s="1"/>
  <c r="L288" i="28" s="1"/>
  <c r="M288" i="28" s="1"/>
  <c r="K480" i="28" a="1"/>
  <c r="K480" i="28" s="1"/>
  <c r="L480" i="28" s="1"/>
  <c r="M480" i="28" s="1"/>
  <c r="K720" i="28" a="1"/>
  <c r="K720" i="28" s="1"/>
  <c r="L720" i="28" s="1"/>
  <c r="M720" i="28" s="1"/>
  <c r="K708" i="28" a="1"/>
  <c r="K708" i="28" s="1"/>
  <c r="L708" i="28" s="1"/>
  <c r="M708" i="28" s="1"/>
  <c r="K300" i="28" a="1"/>
  <c r="K300" i="28" s="1"/>
  <c r="L300" i="28" s="1"/>
  <c r="M300" i="28" s="1"/>
  <c r="K132" i="28" a="1"/>
  <c r="K132" i="28" s="1"/>
  <c r="L132" i="28" s="1"/>
  <c r="M132" i="28" s="1"/>
  <c r="K408" i="28" a="1"/>
  <c r="K408" i="28" s="1"/>
  <c r="L408" i="28" s="1"/>
  <c r="M408" i="28" s="1"/>
  <c r="K84" i="28" a="1"/>
  <c r="K84" i="28" s="1"/>
  <c r="L84" i="28" s="1"/>
  <c r="M84" i="28" s="1"/>
  <c r="K624" i="28" a="1"/>
  <c r="K624" i="28" s="1"/>
  <c r="L624" i="28" s="1"/>
  <c r="M624" i="28" s="1"/>
  <c r="K39" i="28" a="1"/>
  <c r="K39" i="28" s="1"/>
  <c r="L39" i="28" s="1"/>
  <c r="M39" i="28" s="1"/>
  <c r="K684" i="28" a="1"/>
  <c r="K684" i="28" s="1"/>
  <c r="L684" i="28" s="1"/>
  <c r="M684" i="28" s="1"/>
  <c r="K228" i="28" a="1"/>
  <c r="K228" i="28" s="1"/>
  <c r="L228" i="28" s="1"/>
  <c r="M228" i="28" s="1"/>
  <c r="K778" i="28" a="1"/>
  <c r="K778" i="28" s="1"/>
  <c r="L778" i="28" s="1"/>
  <c r="K814" i="28" a="1"/>
  <c r="K814" i="28" s="1"/>
  <c r="L814" i="28" s="1"/>
  <c r="K802" i="28" a="1"/>
  <c r="K802" i="28" s="1"/>
  <c r="L802" i="28" s="1"/>
  <c r="K838" i="28" a="1"/>
  <c r="K838" i="28" s="1"/>
  <c r="L838" i="28" s="1"/>
  <c r="K874" i="28" a="1"/>
  <c r="K874" i="28" s="1"/>
  <c r="L874" i="28" s="1"/>
  <c r="K958" i="28" a="1"/>
  <c r="K958" i="28" s="1"/>
  <c r="L958" i="28" s="1"/>
  <c r="K766" i="28" a="1"/>
  <c r="K766" i="28" s="1"/>
  <c r="L766" i="28" s="1"/>
  <c r="K790" i="28" a="1"/>
  <c r="K790" i="28" s="1"/>
  <c r="L790" i="28" s="1"/>
  <c r="K898" i="28" a="1"/>
  <c r="K898" i="28" s="1"/>
  <c r="L898" i="28" s="1"/>
  <c r="K934" i="28" a="1"/>
  <c r="K934" i="28" s="1"/>
  <c r="L934" i="28" s="1"/>
  <c r="K982" i="28" a="1"/>
  <c r="K982" i="28" s="1"/>
  <c r="L982" i="28" s="1"/>
  <c r="K826" i="28" a="1"/>
  <c r="K826" i="28" s="1"/>
  <c r="L826" i="28" s="1"/>
  <c r="K862" i="28" a="1"/>
  <c r="K862" i="28" s="1"/>
  <c r="L862" i="28" s="1"/>
  <c r="K910" i="28" a="1"/>
  <c r="K910" i="28" s="1"/>
  <c r="L910" i="28" s="1"/>
  <c r="K922" i="28" a="1"/>
  <c r="K922" i="28" s="1"/>
  <c r="L922" i="28" s="1"/>
  <c r="K970" i="28" a="1"/>
  <c r="K970" i="28" s="1"/>
  <c r="L970" i="28" s="1"/>
  <c r="K754" i="28" a="1"/>
  <c r="K754" i="28" s="1"/>
  <c r="L754" i="28" s="1"/>
  <c r="K946" i="28" a="1"/>
  <c r="K946" i="28" s="1"/>
  <c r="L946" i="28" s="1"/>
  <c r="K850" i="28" a="1"/>
  <c r="K850" i="28" s="1"/>
  <c r="L850" i="28" s="1"/>
  <c r="K886" i="28" a="1"/>
  <c r="K886" i="28" s="1"/>
  <c r="L886" i="28" s="1"/>
  <c r="K706" i="28" a="1"/>
  <c r="K706" i="28" s="1"/>
  <c r="L706" i="28" s="1"/>
  <c r="M706" i="28" s="1"/>
  <c r="K634" i="28" a="1"/>
  <c r="K634" i="28" s="1"/>
  <c r="L634" i="28" s="1"/>
  <c r="M634" i="28" s="1"/>
  <c r="K586" i="28" a="1"/>
  <c r="K586" i="28" s="1"/>
  <c r="L586" i="28" s="1"/>
  <c r="M586" i="28" s="1"/>
  <c r="K526" i="28" a="1"/>
  <c r="K526" i="28" s="1"/>
  <c r="L526" i="28" s="1"/>
  <c r="M526" i="28" s="1"/>
  <c r="K430" i="28" a="1"/>
  <c r="K430" i="28" s="1"/>
  <c r="L430" i="28" s="1"/>
  <c r="M430" i="28" s="1"/>
  <c r="K382" i="28" a="1"/>
  <c r="K382" i="28" s="1"/>
  <c r="L382" i="28" s="1"/>
  <c r="M382" i="28" s="1"/>
  <c r="K478" i="28" a="1"/>
  <c r="K478" i="28" s="1"/>
  <c r="L478" i="28" s="1"/>
  <c r="M478" i="28" s="1"/>
  <c r="K322" i="28" a="1"/>
  <c r="K322" i="28" s="1"/>
  <c r="L322" i="28" s="1"/>
  <c r="M322" i="28" s="1"/>
  <c r="K370" i="28" a="1"/>
  <c r="K370" i="28" s="1"/>
  <c r="L370" i="28" s="1"/>
  <c r="M370" i="28" s="1"/>
  <c r="K286" i="28" a="1"/>
  <c r="K286" i="28" s="1"/>
  <c r="L286" i="28" s="1"/>
  <c r="M286" i="28" s="1"/>
  <c r="K226" i="28" a="1"/>
  <c r="K226" i="28" s="1"/>
  <c r="L226" i="28" s="1"/>
  <c r="M226" i="28" s="1"/>
  <c r="K178" i="28" a="1"/>
  <c r="K178" i="28" s="1"/>
  <c r="L178" i="28" s="1"/>
  <c r="M178" i="28" s="1"/>
  <c r="K130" i="28" a="1"/>
  <c r="K130" i="28" s="1"/>
  <c r="L130" i="28" s="1"/>
  <c r="M130" i="28" s="1"/>
  <c r="K82" i="28" a="1"/>
  <c r="K82" i="28" s="1"/>
  <c r="L82" i="28" s="1"/>
  <c r="M82" i="28" s="1"/>
  <c r="K25" i="28" a="1"/>
  <c r="K25" i="28" s="1"/>
  <c r="L25" i="28" s="1"/>
  <c r="M25" i="28" s="1"/>
  <c r="K610" i="28" a="1"/>
  <c r="K610" i="28" s="1"/>
  <c r="L610" i="28" s="1"/>
  <c r="M610" i="28" s="1"/>
  <c r="K406" i="28" a="1"/>
  <c r="K406" i="28" s="1"/>
  <c r="L406" i="28" s="1"/>
  <c r="M406" i="28" s="1"/>
  <c r="K274" i="28" a="1"/>
  <c r="K274" i="28" s="1"/>
  <c r="L274" i="28" s="1"/>
  <c r="M274" i="28" s="1"/>
  <c r="K262" i="28" a="1"/>
  <c r="K262" i="28" s="1"/>
  <c r="L262" i="28" s="1"/>
  <c r="M262" i="28" s="1"/>
  <c r="K106" i="28" a="1"/>
  <c r="K106" i="28" s="1"/>
  <c r="L106" i="28" s="1"/>
  <c r="M106" i="28" s="1"/>
  <c r="K718" i="28" a="1"/>
  <c r="K718" i="28" s="1"/>
  <c r="L718" i="28" s="1"/>
  <c r="M718" i="28" s="1"/>
  <c r="K598" i="28" a="1"/>
  <c r="K598" i="28" s="1"/>
  <c r="L598" i="28" s="1"/>
  <c r="M598" i="28" s="1"/>
  <c r="K442" i="28" a="1"/>
  <c r="K442" i="28" s="1"/>
  <c r="L442" i="28" s="1"/>
  <c r="M442" i="28" s="1"/>
  <c r="K490" i="28" a="1"/>
  <c r="K490" i="28" s="1"/>
  <c r="L490" i="28" s="1"/>
  <c r="M490" i="28" s="1"/>
  <c r="K682" i="28" a="1"/>
  <c r="K682" i="28" s="1"/>
  <c r="L682" i="28" s="1"/>
  <c r="M682" i="28" s="1"/>
  <c r="K238" i="28" a="1"/>
  <c r="K238" i="28" s="1"/>
  <c r="L238" i="28" s="1"/>
  <c r="M238" i="28" s="1"/>
  <c r="K142" i="28" a="1"/>
  <c r="K142" i="28" s="1"/>
  <c r="L142" i="28" s="1"/>
  <c r="M142" i="28" s="1"/>
  <c r="K742" i="28" a="1"/>
  <c r="K742" i="28" s="1"/>
  <c r="L742" i="28" s="1"/>
  <c r="M742" i="28" s="1"/>
  <c r="K694" i="28" a="1"/>
  <c r="K694" i="28" s="1"/>
  <c r="L694" i="28" s="1"/>
  <c r="M694" i="28" s="1"/>
  <c r="K622" i="28" a="1"/>
  <c r="K622" i="28" s="1"/>
  <c r="L622" i="28" s="1"/>
  <c r="M622" i="28" s="1"/>
  <c r="K658" i="28" a="1"/>
  <c r="K658" i="28" s="1"/>
  <c r="L658" i="28" s="1"/>
  <c r="M658" i="28" s="1"/>
  <c r="K514" i="28" a="1"/>
  <c r="K514" i="28" s="1"/>
  <c r="L514" i="28" s="1"/>
  <c r="M514" i="28" s="1"/>
  <c r="K418" i="28" a="1"/>
  <c r="K418" i="28" s="1"/>
  <c r="L418" i="28" s="1"/>
  <c r="M418" i="28" s="1"/>
  <c r="K574" i="28" a="1"/>
  <c r="K574" i="28" s="1"/>
  <c r="L574" i="28" s="1"/>
  <c r="M574" i="28" s="1"/>
  <c r="K466" i="28" a="1"/>
  <c r="K466" i="28" s="1"/>
  <c r="L466" i="28" s="1"/>
  <c r="M466" i="28" s="1"/>
  <c r="K298" i="28" a="1"/>
  <c r="K298" i="28" s="1"/>
  <c r="L298" i="28" s="1"/>
  <c r="M298" i="28" s="1"/>
  <c r="K346" i="28" a="1"/>
  <c r="K346" i="28" s="1"/>
  <c r="L346" i="28" s="1"/>
  <c r="M346" i="28" s="1"/>
  <c r="K250" i="28" a="1"/>
  <c r="K250" i="28" s="1"/>
  <c r="L250" i="28" s="1"/>
  <c r="M250" i="28" s="1"/>
  <c r="K214" i="28" a="1"/>
  <c r="K214" i="28" s="1"/>
  <c r="L214" i="28" s="1"/>
  <c r="M214" i="28" s="1"/>
  <c r="K166" i="28" a="1"/>
  <c r="K166" i="28" s="1"/>
  <c r="L166" i="28" s="1"/>
  <c r="M166" i="28" s="1"/>
  <c r="K118" i="28" a="1"/>
  <c r="K118" i="28" s="1"/>
  <c r="L118" i="28" s="1"/>
  <c r="M118" i="28" s="1"/>
  <c r="K61" i="28" a="1"/>
  <c r="K61" i="28" s="1"/>
  <c r="L61" i="28" s="1"/>
  <c r="M61" i="28" s="1"/>
  <c r="K13" i="28" a="1"/>
  <c r="K13" i="28" s="1"/>
  <c r="L13" i="28" s="1"/>
  <c r="M13" i="28" s="1"/>
  <c r="K670" i="28" a="1"/>
  <c r="K670" i="28" s="1"/>
  <c r="L670" i="28" s="1"/>
  <c r="M670" i="28" s="1"/>
  <c r="K562" i="28" a="1"/>
  <c r="K562" i="28" s="1"/>
  <c r="L562" i="28" s="1"/>
  <c r="M562" i="28" s="1"/>
  <c r="K502" i="28" a="1"/>
  <c r="K502" i="28" s="1"/>
  <c r="L502" i="28" s="1"/>
  <c r="M502" i="28" s="1"/>
  <c r="K334" i="28" a="1"/>
  <c r="K334" i="28" s="1"/>
  <c r="L334" i="28" s="1"/>
  <c r="M334" i="28" s="1"/>
  <c r="K154" i="28" a="1"/>
  <c r="K154" i="28" s="1"/>
  <c r="L154" i="28" s="1"/>
  <c r="M154" i="28" s="1"/>
  <c r="K3" i="28" a="1"/>
  <c r="K3" i="28" s="1"/>
  <c r="L3" i="28" s="1"/>
  <c r="M3" i="28" s="1"/>
  <c r="K646" i="28" a="1"/>
  <c r="K646" i="28" s="1"/>
  <c r="L646" i="28" s="1"/>
  <c r="M646" i="28" s="1"/>
  <c r="K538" i="28" a="1"/>
  <c r="K538" i="28" s="1"/>
  <c r="L538" i="28" s="1"/>
  <c r="M538" i="28" s="1"/>
  <c r="K394" i="28" a="1"/>
  <c r="K394" i="28" s="1"/>
  <c r="L394" i="28" s="1"/>
  <c r="M394" i="28" s="1"/>
  <c r="K358" i="28" a="1"/>
  <c r="K358" i="28" s="1"/>
  <c r="L358" i="28" s="1"/>
  <c r="M358" i="28" s="1"/>
  <c r="K310" i="28" a="1"/>
  <c r="K310" i="28" s="1"/>
  <c r="L310" i="28" s="1"/>
  <c r="M310" i="28" s="1"/>
  <c r="K190" i="28" a="1"/>
  <c r="K190" i="28" s="1"/>
  <c r="L190" i="28" s="1"/>
  <c r="M190" i="28" s="1"/>
  <c r="K94" i="28" a="1"/>
  <c r="K94" i="28" s="1"/>
  <c r="L94" i="28" s="1"/>
  <c r="M94" i="28" s="1"/>
  <c r="K730" i="28" a="1"/>
  <c r="K730" i="28" s="1"/>
  <c r="L730" i="28" s="1"/>
  <c r="M730" i="28" s="1"/>
  <c r="K550" i="28" a="1"/>
  <c r="K550" i="28" s="1"/>
  <c r="L550" i="28" s="1"/>
  <c r="M550" i="28" s="1"/>
  <c r="K454" i="28" a="1"/>
  <c r="K454" i="28" s="1"/>
  <c r="L454" i="28" s="1"/>
  <c r="M454" i="28" s="1"/>
  <c r="K202" i="28" a="1"/>
  <c r="K202" i="28" s="1"/>
  <c r="L202" i="28" s="1"/>
  <c r="M202" i="28" s="1"/>
  <c r="K49" i="28" a="1"/>
  <c r="K49" i="28" s="1"/>
  <c r="L49" i="28" s="1"/>
  <c r="M49" i="28" s="1"/>
  <c r="K37" i="28" a="1"/>
  <c r="K37" i="28" s="1"/>
  <c r="L37" i="28" s="1"/>
  <c r="M37" i="28" s="1"/>
  <c r="K831" i="28" a="1"/>
  <c r="K831" i="28" s="1"/>
  <c r="L831" i="28" s="1"/>
  <c r="K927" i="28" a="1"/>
  <c r="K927" i="28" s="1"/>
  <c r="L927" i="28" s="1"/>
  <c r="K963" i="28" a="1"/>
  <c r="K963" i="28" s="1"/>
  <c r="L963" i="28" s="1"/>
  <c r="K795" i="28" a="1"/>
  <c r="K795" i="28" s="1"/>
  <c r="L795" i="28" s="1"/>
  <c r="K891" i="28" a="1"/>
  <c r="K891" i="28" s="1"/>
  <c r="L891" i="28" s="1"/>
  <c r="K951" i="28" a="1"/>
  <c r="K951" i="28" s="1"/>
  <c r="L951" i="28" s="1"/>
  <c r="K807" i="28" a="1"/>
  <c r="K807" i="28" s="1"/>
  <c r="L807" i="28" s="1"/>
  <c r="K903" i="28" a="1"/>
  <c r="K903" i="28" s="1"/>
  <c r="L903" i="28" s="1"/>
  <c r="K867" i="28" a="1"/>
  <c r="K867" i="28" s="1"/>
  <c r="L867" i="28" s="1"/>
  <c r="K879" i="28" a="1"/>
  <c r="K879" i="28" s="1"/>
  <c r="L879" i="28" s="1"/>
  <c r="K771" i="28" a="1"/>
  <c r="K771" i="28" s="1"/>
  <c r="L771" i="28" s="1"/>
  <c r="K843" i="28" a="1"/>
  <c r="K843" i="28" s="1"/>
  <c r="L843" i="28" s="1"/>
  <c r="K939" i="28" a="1"/>
  <c r="K939" i="28" s="1"/>
  <c r="L939" i="28" s="1"/>
  <c r="K759" i="28" a="1"/>
  <c r="K759" i="28" s="1"/>
  <c r="L759" i="28" s="1"/>
  <c r="K783" i="28" a="1"/>
  <c r="K783" i="28" s="1"/>
  <c r="L783" i="28" s="1"/>
  <c r="K915" i="28" a="1"/>
  <c r="K915" i="28" s="1"/>
  <c r="L915" i="28" s="1"/>
  <c r="K975" i="28" a="1"/>
  <c r="K975" i="28" s="1"/>
  <c r="L975" i="28" s="1"/>
  <c r="K747" i="28" a="1"/>
  <c r="K747" i="28" s="1"/>
  <c r="L747" i="28" s="1"/>
  <c r="K819" i="28" a="1"/>
  <c r="K819" i="28" s="1"/>
  <c r="L819" i="28" s="1"/>
  <c r="K855" i="28" a="1"/>
  <c r="K855" i="28" s="1"/>
  <c r="L855" i="28" s="1"/>
  <c r="K687" i="28" a="1"/>
  <c r="K687" i="28" s="1"/>
  <c r="L687" i="28" s="1"/>
  <c r="M687" i="28" s="1"/>
  <c r="K651" i="28" a="1"/>
  <c r="K651" i="28" s="1"/>
  <c r="L651" i="28" s="1"/>
  <c r="M651" i="28" s="1"/>
  <c r="K603" i="28" a="1"/>
  <c r="K603" i="28" s="1"/>
  <c r="L603" i="28" s="1"/>
  <c r="M603" i="28" s="1"/>
  <c r="K579" i="28" a="1"/>
  <c r="K579" i="28" s="1"/>
  <c r="L579" i="28" s="1"/>
  <c r="M579" i="28" s="1"/>
  <c r="K519" i="28" a="1"/>
  <c r="K519" i="28" s="1"/>
  <c r="L519" i="28" s="1"/>
  <c r="M519" i="28" s="1"/>
  <c r="K471" i="28" a="1"/>
  <c r="K471" i="28" s="1"/>
  <c r="L471" i="28" s="1"/>
  <c r="M471" i="28" s="1"/>
  <c r="K435" i="28" a="1"/>
  <c r="K435" i="28" s="1"/>
  <c r="L435" i="28" s="1"/>
  <c r="M435" i="28" s="1"/>
  <c r="K387" i="28" a="1"/>
  <c r="K387" i="28" s="1"/>
  <c r="L387" i="28" s="1"/>
  <c r="M387" i="28" s="1"/>
  <c r="K327" i="28" a="1"/>
  <c r="K327" i="28" s="1"/>
  <c r="L327" i="28" s="1"/>
  <c r="M327" i="28" s="1"/>
  <c r="K279" i="28" a="1"/>
  <c r="K279" i="28" s="1"/>
  <c r="L279" i="28" s="1"/>
  <c r="M279" i="28" s="1"/>
  <c r="K54" i="28" a="1"/>
  <c r="K54" i="28" s="1"/>
  <c r="L54" i="28" s="1"/>
  <c r="M54" i="28" s="1"/>
  <c r="K231" i="28" a="1"/>
  <c r="K231" i="28" s="1"/>
  <c r="L231" i="28" s="1"/>
  <c r="M231" i="28" s="1"/>
  <c r="K75" i="28" a="1"/>
  <c r="K75" i="28" s="1"/>
  <c r="L75" i="28" s="1"/>
  <c r="M75" i="28" s="1"/>
  <c r="K7" i="28" a="1"/>
  <c r="K7" i="28" s="1"/>
  <c r="L7" i="28" s="1"/>
  <c r="M7" i="28" s="1"/>
  <c r="K195" i="28" a="1"/>
  <c r="K195" i="28" s="1"/>
  <c r="L195" i="28" s="1"/>
  <c r="M195" i="28" s="1"/>
  <c r="K87" i="28" a="1"/>
  <c r="K87" i="28" s="1"/>
  <c r="L87" i="28" s="1"/>
  <c r="M87" i="28" s="1"/>
  <c r="K627" i="28" a="1"/>
  <c r="K627" i="28" s="1"/>
  <c r="L627" i="28" s="1"/>
  <c r="M627" i="28" s="1"/>
  <c r="K495" i="28" a="1"/>
  <c r="K495" i="28" s="1"/>
  <c r="L495" i="28" s="1"/>
  <c r="M495" i="28" s="1"/>
  <c r="K363" i="28" a="1"/>
  <c r="K363" i="28" s="1"/>
  <c r="L363" i="28" s="1"/>
  <c r="M363" i="28" s="1"/>
  <c r="K30" i="28" a="1"/>
  <c r="K30" i="28" s="1"/>
  <c r="L30" i="28" s="1"/>
  <c r="M30" i="28" s="1"/>
  <c r="K135" i="28" a="1"/>
  <c r="K135" i="28" s="1"/>
  <c r="L135" i="28" s="1"/>
  <c r="M135" i="28" s="1"/>
  <c r="K675" i="28" a="1"/>
  <c r="K675" i="28" s="1"/>
  <c r="L675" i="28" s="1"/>
  <c r="M675" i="28" s="1"/>
  <c r="K615" i="28" a="1"/>
  <c r="K615" i="28" s="1"/>
  <c r="L615" i="28" s="1"/>
  <c r="M615" i="28" s="1"/>
  <c r="K531" i="28" a="1"/>
  <c r="K531" i="28" s="1"/>
  <c r="L531" i="28" s="1"/>
  <c r="M531" i="28" s="1"/>
  <c r="K663" i="28" a="1"/>
  <c r="K663" i="28" s="1"/>
  <c r="L663" i="28" s="1"/>
  <c r="M663" i="28" s="1"/>
  <c r="K351" i="28" a="1"/>
  <c r="K351" i="28" s="1"/>
  <c r="L351" i="28" s="1"/>
  <c r="M351" i="28" s="1"/>
  <c r="K315" i="28" a="1"/>
  <c r="K315" i="28" s="1"/>
  <c r="L315" i="28" s="1"/>
  <c r="M315" i="28" s="1"/>
  <c r="K111" i="28" a="1"/>
  <c r="K111" i="28" s="1"/>
  <c r="L111" i="28" s="1"/>
  <c r="M111" i="28" s="1"/>
  <c r="K207" i="28" a="1"/>
  <c r="K207" i="28" s="1"/>
  <c r="L207" i="28" s="1"/>
  <c r="M207" i="28" s="1"/>
  <c r="K699" i="28" a="1"/>
  <c r="K699" i="28" s="1"/>
  <c r="L699" i="28" s="1"/>
  <c r="M699" i="28" s="1"/>
  <c r="K639" i="28" a="1"/>
  <c r="K639" i="28" s="1"/>
  <c r="L639" i="28" s="1"/>
  <c r="M639" i="28" s="1"/>
  <c r="K723" i="28" a="1"/>
  <c r="K723" i="28" s="1"/>
  <c r="L723" i="28" s="1"/>
  <c r="M723" i="28" s="1"/>
  <c r="K555" i="28" a="1"/>
  <c r="K555" i="28" s="1"/>
  <c r="L555" i="28" s="1"/>
  <c r="M555" i="28" s="1"/>
  <c r="K507" i="28" a="1"/>
  <c r="K507" i="28" s="1"/>
  <c r="L507" i="28" s="1"/>
  <c r="M507" i="28" s="1"/>
  <c r="K459" i="28" a="1"/>
  <c r="K459" i="28" s="1"/>
  <c r="L459" i="28" s="1"/>
  <c r="M459" i="28" s="1"/>
  <c r="K423" i="28" a="1"/>
  <c r="K423" i="28" s="1"/>
  <c r="L423" i="28" s="1"/>
  <c r="M423" i="28" s="1"/>
  <c r="K375" i="28" a="1"/>
  <c r="K375" i="28" s="1"/>
  <c r="L375" i="28" s="1"/>
  <c r="M375" i="28" s="1"/>
  <c r="K303" i="28" a="1"/>
  <c r="K303" i="28" s="1"/>
  <c r="L303" i="28" s="1"/>
  <c r="M303" i="28" s="1"/>
  <c r="K267" i="28" a="1"/>
  <c r="K267" i="28" s="1"/>
  <c r="L267" i="28" s="1"/>
  <c r="M267" i="28" s="1"/>
  <c r="K42" i="28" a="1"/>
  <c r="K42" i="28" s="1"/>
  <c r="L42" i="28" s="1"/>
  <c r="M42" i="28" s="1"/>
  <c r="K183" i="28" a="1"/>
  <c r="K183" i="28" s="1"/>
  <c r="L183" i="28" s="1"/>
  <c r="M183" i="28" s="1"/>
  <c r="K147" i="28" a="1"/>
  <c r="K147" i="28" s="1"/>
  <c r="L147" i="28" s="1"/>
  <c r="M147" i="28" s="1"/>
  <c r="K243" i="28" a="1"/>
  <c r="K243" i="28" s="1"/>
  <c r="L243" i="28" s="1"/>
  <c r="M243" i="28" s="1"/>
  <c r="K171" i="28" a="1"/>
  <c r="K171" i="28" s="1"/>
  <c r="L171" i="28" s="1"/>
  <c r="M171" i="28" s="1"/>
  <c r="K735" i="28" a="1"/>
  <c r="K735" i="28" s="1"/>
  <c r="L735" i="28" s="1"/>
  <c r="M735" i="28" s="1"/>
  <c r="K543" i="28" a="1"/>
  <c r="K543" i="28" s="1"/>
  <c r="L543" i="28" s="1"/>
  <c r="M543" i="28" s="1"/>
  <c r="K411" i="28" a="1"/>
  <c r="K411" i="28" s="1"/>
  <c r="L411" i="28" s="1"/>
  <c r="M411" i="28" s="1"/>
  <c r="K255" i="28" a="1"/>
  <c r="K255" i="28" s="1"/>
  <c r="L255" i="28" s="1"/>
  <c r="M255" i="28" s="1"/>
  <c r="K123" i="28" a="1"/>
  <c r="K123" i="28" s="1"/>
  <c r="L123" i="28" s="1"/>
  <c r="M123" i="28" s="1"/>
  <c r="K159" i="28" a="1"/>
  <c r="K159" i="28" s="1"/>
  <c r="L159" i="28" s="1"/>
  <c r="M159" i="28" s="1"/>
  <c r="K711" i="28" a="1"/>
  <c r="K711" i="28" s="1"/>
  <c r="L711" i="28" s="1"/>
  <c r="M711" i="28" s="1"/>
  <c r="K591" i="28" a="1"/>
  <c r="K591" i="28" s="1"/>
  <c r="L591" i="28" s="1"/>
  <c r="M591" i="28" s="1"/>
  <c r="K483" i="28" a="1"/>
  <c r="K483" i="28" s="1"/>
  <c r="L483" i="28" s="1"/>
  <c r="M483" i="28" s="1"/>
  <c r="K399" i="28" a="1"/>
  <c r="K399" i="28" s="1"/>
  <c r="L399" i="28" s="1"/>
  <c r="M399" i="28" s="1"/>
  <c r="K291" i="28" a="1"/>
  <c r="K291" i="28" s="1"/>
  <c r="L291" i="28" s="1"/>
  <c r="M291" i="28" s="1"/>
  <c r="K18" i="28" a="1"/>
  <c r="K18" i="28" s="1"/>
  <c r="L18" i="28" s="1"/>
  <c r="M18" i="28" s="1"/>
  <c r="K66" i="28" a="1"/>
  <c r="K66" i="28" s="1"/>
  <c r="L66" i="28" s="1"/>
  <c r="M66" i="28" s="1"/>
  <c r="K99" i="28" a="1"/>
  <c r="K99" i="28" s="1"/>
  <c r="L99" i="28" s="1"/>
  <c r="M99" i="28" s="1"/>
  <c r="K567" i="28" a="1"/>
  <c r="K567" i="28" s="1"/>
  <c r="L567" i="28" s="1"/>
  <c r="M567" i="28" s="1"/>
  <c r="K447" i="28" a="1"/>
  <c r="K447" i="28" s="1"/>
  <c r="L447" i="28" s="1"/>
  <c r="M447" i="28" s="1"/>
  <c r="K339" i="28" a="1"/>
  <c r="K339" i="28" s="1"/>
  <c r="L339" i="28" s="1"/>
  <c r="M339" i="28" s="1"/>
  <c r="K219" i="28" a="1"/>
  <c r="K219" i="28" s="1"/>
  <c r="L219" i="28" s="1"/>
  <c r="M219" i="28" s="1"/>
  <c r="K921" i="28" a="1"/>
  <c r="K921" i="28" s="1"/>
  <c r="L921" i="28" s="1"/>
  <c r="K801" i="28" a="1"/>
  <c r="K801" i="28" s="1"/>
  <c r="L801" i="28" s="1"/>
  <c r="K969" i="28" a="1"/>
  <c r="K969" i="28" s="1"/>
  <c r="L969" i="28" s="1"/>
  <c r="K837" i="28" a="1"/>
  <c r="K837" i="28" s="1"/>
  <c r="L837" i="28" s="1"/>
  <c r="K753" i="28" a="1"/>
  <c r="K753" i="28" s="1"/>
  <c r="L753" i="28" s="1"/>
  <c r="K765" i="28" a="1"/>
  <c r="K765" i="28" s="1"/>
  <c r="L765" i="28" s="1"/>
  <c r="K813" i="28" a="1"/>
  <c r="K813" i="28" s="1"/>
  <c r="L813" i="28" s="1"/>
  <c r="K873" i="28" a="1"/>
  <c r="K873" i="28" s="1"/>
  <c r="L873" i="28" s="1"/>
  <c r="K909" i="28" a="1"/>
  <c r="K909" i="28" s="1"/>
  <c r="L909" i="28" s="1"/>
  <c r="K945" i="28" a="1"/>
  <c r="K945" i="28" s="1"/>
  <c r="L945" i="28" s="1"/>
  <c r="K789" i="28" a="1"/>
  <c r="K789" i="28" s="1"/>
  <c r="L789" i="28" s="1"/>
  <c r="K825" i="28" a="1"/>
  <c r="K825" i="28" s="1"/>
  <c r="L825" i="28" s="1"/>
  <c r="K849" i="28" a="1"/>
  <c r="K849" i="28" s="1"/>
  <c r="L849" i="28" s="1"/>
  <c r="K885" i="28" a="1"/>
  <c r="K885" i="28" s="1"/>
  <c r="L885" i="28" s="1"/>
  <c r="K957" i="28" a="1"/>
  <c r="K957" i="28" s="1"/>
  <c r="L957" i="28" s="1"/>
  <c r="K777" i="28" a="1"/>
  <c r="K777" i="28" s="1"/>
  <c r="L777" i="28" s="1"/>
  <c r="K861" i="28" a="1"/>
  <c r="K861" i="28" s="1"/>
  <c r="L861" i="28" s="1"/>
  <c r="K933" i="28" a="1"/>
  <c r="K933" i="28" s="1"/>
  <c r="L933" i="28" s="1"/>
  <c r="K981" i="28" a="1"/>
  <c r="K981" i="28" s="1"/>
  <c r="L981" i="28" s="1"/>
  <c r="K897" i="28" a="1"/>
  <c r="K897" i="28" s="1"/>
  <c r="L897" i="28" s="1"/>
  <c r="K705" i="28" a="1"/>
  <c r="K705" i="28" s="1"/>
  <c r="L705" i="28" s="1"/>
  <c r="M705" i="28" s="1"/>
  <c r="K585" i="28" a="1"/>
  <c r="K585" i="28" s="1"/>
  <c r="L585" i="28" s="1"/>
  <c r="M585" i="28" s="1"/>
  <c r="K633" i="28" a="1"/>
  <c r="K633" i="28" s="1"/>
  <c r="L633" i="28" s="1"/>
  <c r="M633" i="28" s="1"/>
  <c r="K549" i="28" a="1"/>
  <c r="K549" i="28" s="1"/>
  <c r="L549" i="28" s="1"/>
  <c r="M549" i="28" s="1"/>
  <c r="K501" i="28" a="1"/>
  <c r="K501" i="28" s="1"/>
  <c r="L501" i="28" s="1"/>
  <c r="M501" i="28" s="1"/>
  <c r="K453" i="28" a="1"/>
  <c r="K453" i="28" s="1"/>
  <c r="L453" i="28" s="1"/>
  <c r="M453" i="28" s="1"/>
  <c r="K405" i="28" a="1"/>
  <c r="K405" i="28" s="1"/>
  <c r="L405" i="28" s="1"/>
  <c r="M405" i="28" s="1"/>
  <c r="K357" i="28" a="1"/>
  <c r="K357" i="28" s="1"/>
  <c r="L357" i="28" s="1"/>
  <c r="M357" i="28" s="1"/>
  <c r="K297" i="28" a="1"/>
  <c r="K297" i="28" s="1"/>
  <c r="L297" i="28" s="1"/>
  <c r="M297" i="28" s="1"/>
  <c r="K273" i="28" a="1"/>
  <c r="K273" i="28" s="1"/>
  <c r="L273" i="28" s="1"/>
  <c r="M273" i="28" s="1"/>
  <c r="K24" i="28" a="1"/>
  <c r="K24" i="28" s="1"/>
  <c r="L24" i="28" s="1"/>
  <c r="M24" i="28" s="1"/>
  <c r="K225" i="28" a="1"/>
  <c r="K225" i="28" s="1"/>
  <c r="L225" i="28" s="1"/>
  <c r="M225" i="28" s="1"/>
  <c r="K177" i="28" a="1"/>
  <c r="K177" i="28" s="1"/>
  <c r="L177" i="28" s="1"/>
  <c r="M177" i="28" s="1"/>
  <c r="K129" i="28" a="1"/>
  <c r="K129" i="28" s="1"/>
  <c r="L129" i="28" s="1"/>
  <c r="M129" i="28" s="1"/>
  <c r="K249" i="28" a="1"/>
  <c r="K249" i="28" s="1"/>
  <c r="L249" i="28" s="1"/>
  <c r="M249" i="28" s="1"/>
  <c r="K345" i="28" a="1"/>
  <c r="K345" i="28" s="1"/>
  <c r="L345" i="28" s="1"/>
  <c r="M345" i="28" s="1"/>
  <c r="K729" i="28" a="1"/>
  <c r="K729" i="28" s="1"/>
  <c r="L729" i="28" s="1"/>
  <c r="M729" i="28" s="1"/>
  <c r="K609" i="28" a="1"/>
  <c r="K609" i="28" s="1"/>
  <c r="L609" i="28" s="1"/>
  <c r="M609" i="28" s="1"/>
  <c r="K477" i="28" a="1"/>
  <c r="K477" i="28" s="1"/>
  <c r="L477" i="28" s="1"/>
  <c r="M477" i="28" s="1"/>
  <c r="K573" i="28" a="1"/>
  <c r="K573" i="28" s="1"/>
  <c r="L573" i="28" s="1"/>
  <c r="M573" i="28" s="1"/>
  <c r="K261" i="28" a="1"/>
  <c r="K261" i="28" s="1"/>
  <c r="L261" i="28" s="1"/>
  <c r="M261" i="28" s="1"/>
  <c r="K105" i="28" a="1"/>
  <c r="K105" i="28" s="1"/>
  <c r="L105" i="28" s="1"/>
  <c r="M105" i="28" s="1"/>
  <c r="K741" i="28" a="1"/>
  <c r="K741" i="28" s="1"/>
  <c r="L741" i="28" s="1"/>
  <c r="M741" i="28" s="1"/>
  <c r="K681" i="28" a="1"/>
  <c r="K681" i="28" s="1"/>
  <c r="L681" i="28" s="1"/>
  <c r="M681" i="28" s="1"/>
  <c r="K561" i="28" a="1"/>
  <c r="K561" i="28" s="1"/>
  <c r="L561" i="28" s="1"/>
  <c r="M561" i="28" s="1"/>
  <c r="K621" i="28" a="1"/>
  <c r="K621" i="28" s="1"/>
  <c r="L621" i="28" s="1"/>
  <c r="M621" i="28" s="1"/>
  <c r="K537" i="28" a="1"/>
  <c r="K537" i="28" s="1"/>
  <c r="L537" i="28" s="1"/>
  <c r="M537" i="28" s="1"/>
  <c r="K489" i="28" a="1"/>
  <c r="K489" i="28" s="1"/>
  <c r="L489" i="28" s="1"/>
  <c r="M489" i="28" s="1"/>
  <c r="K441" i="28" a="1"/>
  <c r="K441" i="28" s="1"/>
  <c r="L441" i="28" s="1"/>
  <c r="M441" i="28" s="1"/>
  <c r="K393" i="28" a="1"/>
  <c r="K393" i="28" s="1"/>
  <c r="L393" i="28" s="1"/>
  <c r="M393" i="28" s="1"/>
  <c r="K333" i="28" a="1"/>
  <c r="K333" i="28" s="1"/>
  <c r="L333" i="28" s="1"/>
  <c r="M333" i="28" s="1"/>
  <c r="K60" i="28" a="1"/>
  <c r="K60" i="28" s="1"/>
  <c r="L60" i="28" s="1"/>
  <c r="M60" i="28" s="1"/>
  <c r="K12" i="28" a="1"/>
  <c r="K12" i="28" s="1"/>
  <c r="L12" i="28" s="1"/>
  <c r="M12" i="28" s="1"/>
  <c r="K213" i="28" a="1"/>
  <c r="K213" i="28" s="1"/>
  <c r="L213" i="28" s="1"/>
  <c r="M213" i="28" s="1"/>
  <c r="K165" i="28" a="1"/>
  <c r="K165" i="28" s="1"/>
  <c r="L165" i="28" s="1"/>
  <c r="M165" i="28" s="1"/>
  <c r="K117" i="28" a="1"/>
  <c r="K117" i="28" s="1"/>
  <c r="L117" i="28" s="1"/>
  <c r="M117" i="28" s="1"/>
  <c r="K81" i="28" a="1"/>
  <c r="K81" i="28" s="1"/>
  <c r="L81" i="28" s="1"/>
  <c r="M81" i="28" s="1"/>
  <c r="K669" i="28" a="1"/>
  <c r="K669" i="28" s="1"/>
  <c r="L669" i="28" s="1"/>
  <c r="M669" i="28" s="1"/>
  <c r="K525" i="28" a="1"/>
  <c r="K525" i="28" s="1"/>
  <c r="L525" i="28" s="1"/>
  <c r="M525" i="28" s="1"/>
  <c r="K381" i="28" a="1"/>
  <c r="K381" i="28" s="1"/>
  <c r="L381" i="28" s="1"/>
  <c r="M381" i="28" s="1"/>
  <c r="K48" i="28" a="1"/>
  <c r="K48" i="28" s="1"/>
  <c r="L48" i="28" s="1"/>
  <c r="M48" i="28" s="1"/>
  <c r="K153" i="28" a="1"/>
  <c r="K153" i="28" s="1"/>
  <c r="L153" i="28" s="1"/>
  <c r="M153" i="28" s="1"/>
  <c r="K693" i="28" a="1"/>
  <c r="K693" i="28" s="1"/>
  <c r="L693" i="28" s="1"/>
  <c r="M693" i="28" s="1"/>
  <c r="K429" i="28" a="1"/>
  <c r="K429" i="28" s="1"/>
  <c r="L429" i="28" s="1"/>
  <c r="M429" i="28" s="1"/>
  <c r="K309" i="28" a="1"/>
  <c r="K309" i="28" s="1"/>
  <c r="L309" i="28" s="1"/>
  <c r="M309" i="28" s="1"/>
  <c r="K201" i="28" a="1"/>
  <c r="K201" i="28" s="1"/>
  <c r="L201" i="28" s="1"/>
  <c r="M201" i="28" s="1"/>
  <c r="K645" i="28" a="1"/>
  <c r="K645" i="28" s="1"/>
  <c r="L645" i="28" s="1"/>
  <c r="M645" i="28" s="1"/>
  <c r="K417" i="28" a="1"/>
  <c r="K417" i="28" s="1"/>
  <c r="L417" i="28" s="1"/>
  <c r="M417" i="28" s="1"/>
  <c r="K36" i="28" a="1"/>
  <c r="K36" i="28" s="1"/>
  <c r="L36" i="28" s="1"/>
  <c r="M36" i="28" s="1"/>
  <c r="K93" i="28" a="1"/>
  <c r="K93" i="28" s="1"/>
  <c r="L93" i="28" s="1"/>
  <c r="M93" i="28" s="1"/>
  <c r="K189" i="28" a="1"/>
  <c r="K189" i="28" s="1"/>
  <c r="L189" i="28" s="1"/>
  <c r="M189" i="28" s="1"/>
  <c r="K657" i="28" a="1"/>
  <c r="K657" i="28" s="1"/>
  <c r="L657" i="28" s="1"/>
  <c r="M657" i="28" s="1"/>
  <c r="K285" i="28" a="1"/>
  <c r="K285" i="28" s="1"/>
  <c r="L285" i="28" s="1"/>
  <c r="M285" i="28" s="1"/>
  <c r="K597" i="28" a="1"/>
  <c r="K597" i="28" s="1"/>
  <c r="L597" i="28" s="1"/>
  <c r="M597" i="28" s="1"/>
  <c r="K369" i="28" a="1"/>
  <c r="K369" i="28" s="1"/>
  <c r="L369" i="28" s="1"/>
  <c r="M369" i="28" s="1"/>
  <c r="K237" i="28" a="1"/>
  <c r="K237" i="28" s="1"/>
  <c r="L237" i="28" s="1"/>
  <c r="M237" i="28" s="1"/>
  <c r="K513" i="28" a="1"/>
  <c r="K513" i="28" s="1"/>
  <c r="L513" i="28" s="1"/>
  <c r="M513" i="28" s="1"/>
  <c r="K321" i="28" a="1"/>
  <c r="K321" i="28" s="1"/>
  <c r="L321" i="28" s="1"/>
  <c r="M321" i="28" s="1"/>
  <c r="K465" i="28" a="1"/>
  <c r="K465" i="28" s="1"/>
  <c r="L465" i="28" s="1"/>
  <c r="M465" i="28" s="1"/>
  <c r="K717" i="28" a="1"/>
  <c r="K717" i="28" s="1"/>
  <c r="L717" i="28" s="1"/>
  <c r="M717" i="28" s="1"/>
  <c r="K141" i="28" a="1"/>
  <c r="K141" i="28" s="1"/>
  <c r="L141" i="28" s="1"/>
  <c r="M141" i="28" s="1"/>
  <c r="K767" i="28" a="1"/>
  <c r="K767" i="28" s="1"/>
  <c r="L767" i="28" s="1"/>
  <c r="K863" i="28" a="1"/>
  <c r="K863" i="28" s="1"/>
  <c r="L863" i="28" s="1"/>
  <c r="K755" i="28" a="1"/>
  <c r="K755" i="28" s="1"/>
  <c r="L755" i="28" s="1"/>
  <c r="K827" i="28" a="1"/>
  <c r="K827" i="28" s="1"/>
  <c r="L827" i="28" s="1"/>
  <c r="K923" i="28" a="1"/>
  <c r="K923" i="28" s="1"/>
  <c r="L923" i="28" s="1"/>
  <c r="K743" i="28" a="1"/>
  <c r="K743" i="28" s="1"/>
  <c r="L743" i="28" s="1"/>
  <c r="K779" i="28" a="1"/>
  <c r="K779" i="28" s="1"/>
  <c r="L779" i="28" s="1"/>
  <c r="K935" i="28" a="1"/>
  <c r="K935" i="28" s="1"/>
  <c r="L935" i="28" s="1"/>
  <c r="K971" i="28" a="1"/>
  <c r="K971" i="28" s="1"/>
  <c r="L971" i="28" s="1"/>
  <c r="K803" i="28" a="1"/>
  <c r="K803" i="28" s="1"/>
  <c r="L803" i="28" s="1"/>
  <c r="K839" i="28" a="1"/>
  <c r="K839" i="28" s="1"/>
  <c r="L839" i="28" s="1"/>
  <c r="K899" i="28" a="1"/>
  <c r="K899" i="28" s="1"/>
  <c r="L899" i="28" s="1"/>
  <c r="K959" i="28" a="1"/>
  <c r="K959" i="28" s="1"/>
  <c r="L959" i="28" s="1"/>
  <c r="K815" i="28" a="1"/>
  <c r="K815" i="28" s="1"/>
  <c r="L815" i="28" s="1"/>
  <c r="K911" i="28" a="1"/>
  <c r="K911" i="28" s="1"/>
  <c r="L911" i="28" s="1"/>
  <c r="K875" i="28" a="1"/>
  <c r="K875" i="28" s="1"/>
  <c r="L875" i="28" s="1"/>
  <c r="K887" i="28" a="1"/>
  <c r="K887" i="28" s="1"/>
  <c r="L887" i="28" s="1"/>
  <c r="K851" i="28" a="1"/>
  <c r="K851" i="28" s="1"/>
  <c r="L851" i="28" s="1"/>
  <c r="K791" i="28" a="1"/>
  <c r="K791" i="28" s="1"/>
  <c r="L791" i="28" s="1"/>
  <c r="K947" i="28" a="1"/>
  <c r="K947" i="28" s="1"/>
  <c r="L947" i="28" s="1"/>
  <c r="K671" i="28" a="1"/>
  <c r="K671" i="28" s="1"/>
  <c r="L671" i="28" s="1"/>
  <c r="M671" i="28" s="1"/>
  <c r="K587" i="28" a="1"/>
  <c r="K587" i="28" s="1"/>
  <c r="L587" i="28" s="1"/>
  <c r="M587" i="28" s="1"/>
  <c r="K623" i="28" a="1"/>
  <c r="K623" i="28" s="1"/>
  <c r="L623" i="28" s="1"/>
  <c r="M623" i="28" s="1"/>
  <c r="K575" i="28" a="1"/>
  <c r="K575" i="28" s="1"/>
  <c r="L575" i="28" s="1"/>
  <c r="M575" i="28" s="1"/>
  <c r="K515" i="28" a="1"/>
  <c r="K515" i="28" s="1"/>
  <c r="L515" i="28" s="1"/>
  <c r="M515" i="28" s="1"/>
  <c r="K467" i="28" a="1"/>
  <c r="K467" i="28" s="1"/>
  <c r="L467" i="28" s="1"/>
  <c r="M467" i="28" s="1"/>
  <c r="K431" i="28" a="1"/>
  <c r="K431" i="28" s="1"/>
  <c r="L431" i="28" s="1"/>
  <c r="M431" i="28" s="1"/>
  <c r="K383" i="28" a="1"/>
  <c r="K383" i="28" s="1"/>
  <c r="L383" i="28" s="1"/>
  <c r="M383" i="28" s="1"/>
  <c r="K335" i="28" a="1"/>
  <c r="K335" i="28" s="1"/>
  <c r="L335" i="28" s="1"/>
  <c r="M335" i="28" s="1"/>
  <c r="K251" i="28" a="1"/>
  <c r="K251" i="28" s="1"/>
  <c r="L251" i="28" s="1"/>
  <c r="M251" i="28" s="1"/>
  <c r="K38" i="28" a="1"/>
  <c r="K38" i="28" s="1"/>
  <c r="L38" i="28" s="1"/>
  <c r="M38" i="28" s="1"/>
  <c r="K239" i="28" a="1"/>
  <c r="K239" i="28" s="1"/>
  <c r="L239" i="28" s="1"/>
  <c r="M239" i="28" s="1"/>
  <c r="K107" i="28" a="1"/>
  <c r="K107" i="28" s="1"/>
  <c r="L107" i="28" s="1"/>
  <c r="M107" i="28" s="1"/>
  <c r="K275" i="28" a="1"/>
  <c r="K275" i="28" s="1"/>
  <c r="L275" i="28" s="1"/>
  <c r="M275" i="28" s="1"/>
  <c r="K191" i="28" a="1"/>
  <c r="K191" i="28" s="1"/>
  <c r="L191" i="28" s="1"/>
  <c r="M191" i="28" s="1"/>
  <c r="K95" i="28" a="1"/>
  <c r="K95" i="28" s="1"/>
  <c r="L95" i="28" s="1"/>
  <c r="M95" i="28" s="1"/>
  <c r="K647" i="28" a="1"/>
  <c r="K647" i="28" s="1"/>
  <c r="L647" i="28" s="1"/>
  <c r="M647" i="28" s="1"/>
  <c r="K539" i="28" a="1"/>
  <c r="K539" i="28" s="1"/>
  <c r="L539" i="28" s="1"/>
  <c r="M539" i="28" s="1"/>
  <c r="K407" i="28" a="1"/>
  <c r="K407" i="28" s="1"/>
  <c r="L407" i="28" s="1"/>
  <c r="M407" i="28" s="1"/>
  <c r="K62" i="28" a="1"/>
  <c r="K62" i="28" s="1"/>
  <c r="L62" i="28" s="1"/>
  <c r="M62" i="28" s="1"/>
  <c r="K299" i="28" a="1"/>
  <c r="K299" i="28" s="1"/>
  <c r="L299" i="28" s="1"/>
  <c r="M299" i="28" s="1"/>
  <c r="K167" i="28" a="1"/>
  <c r="K167" i="28" s="1"/>
  <c r="L167" i="28" s="1"/>
  <c r="M167" i="28" s="1"/>
  <c r="K707" i="28" a="1"/>
  <c r="K707" i="28" s="1"/>
  <c r="L707" i="28" s="1"/>
  <c r="M707" i="28" s="1"/>
  <c r="K563" i="28" a="1"/>
  <c r="K563" i="28" s="1"/>
  <c r="L563" i="28" s="1"/>
  <c r="M563" i="28" s="1"/>
  <c r="K479" i="28" a="1"/>
  <c r="K479" i="28" s="1"/>
  <c r="L479" i="28" s="1"/>
  <c r="M479" i="28" s="1"/>
  <c r="K395" i="28" a="1"/>
  <c r="K395" i="28" s="1"/>
  <c r="L395" i="28" s="1"/>
  <c r="M395" i="28" s="1"/>
  <c r="K263" i="28" a="1"/>
  <c r="K263" i="28" s="1"/>
  <c r="L263" i="28" s="1"/>
  <c r="M263" i="28" s="1"/>
  <c r="K4" i="28" a="1"/>
  <c r="K4" i="28" s="1"/>
  <c r="L4" i="28" s="1"/>
  <c r="M4" i="28" s="1"/>
  <c r="K83" i="28" a="1"/>
  <c r="K83" i="28" s="1"/>
  <c r="L83" i="28" s="1"/>
  <c r="M83" i="28" s="1"/>
  <c r="K155" i="28" a="1"/>
  <c r="K155" i="28" s="1"/>
  <c r="L155" i="28" s="1"/>
  <c r="M155" i="28" s="1"/>
  <c r="K695" i="28" a="1"/>
  <c r="K695" i="28" s="1"/>
  <c r="L695" i="28" s="1"/>
  <c r="M695" i="28" s="1"/>
  <c r="K731" i="28" a="1"/>
  <c r="K731" i="28" s="1"/>
  <c r="L731" i="28" s="1"/>
  <c r="M731" i="28" s="1"/>
  <c r="K611" i="28" a="1"/>
  <c r="K611" i="28" s="1"/>
  <c r="L611" i="28" s="1"/>
  <c r="M611" i="28" s="1"/>
  <c r="K551" i="28" a="1"/>
  <c r="K551" i="28" s="1"/>
  <c r="L551" i="28" s="1"/>
  <c r="M551" i="28" s="1"/>
  <c r="K503" i="28" a="1"/>
  <c r="K503" i="28" s="1"/>
  <c r="L503" i="28" s="1"/>
  <c r="M503" i="28" s="1"/>
  <c r="K455" i="28" a="1"/>
  <c r="K455" i="28" s="1"/>
  <c r="L455" i="28" s="1"/>
  <c r="M455" i="28" s="1"/>
  <c r="K419" i="28" a="1"/>
  <c r="K419" i="28" s="1"/>
  <c r="L419" i="28" s="1"/>
  <c r="M419" i="28" s="1"/>
  <c r="K371" i="28" a="1"/>
  <c r="K371" i="28" s="1"/>
  <c r="L371" i="28" s="1"/>
  <c r="M371" i="28" s="1"/>
  <c r="K311" i="28" a="1"/>
  <c r="K311" i="28" s="1"/>
  <c r="L311" i="28" s="1"/>
  <c r="M311" i="28" s="1"/>
  <c r="K323" i="28" a="1"/>
  <c r="K323" i="28" s="1"/>
  <c r="L323" i="28" s="1"/>
  <c r="M323" i="28" s="1"/>
  <c r="K26" i="28" a="1"/>
  <c r="K26" i="28" s="1"/>
  <c r="L26" i="28" s="1"/>
  <c r="M26" i="28" s="1"/>
  <c r="K227" i="28" a="1"/>
  <c r="K227" i="28" s="1"/>
  <c r="L227" i="28" s="1"/>
  <c r="M227" i="28" s="1"/>
  <c r="K71" i="28" a="1"/>
  <c r="K71" i="28" s="1"/>
  <c r="L71" i="28" s="1"/>
  <c r="M71" i="28" s="1"/>
  <c r="K143" i="28" a="1"/>
  <c r="K143" i="28" s="1"/>
  <c r="L143" i="28" s="1"/>
  <c r="M143" i="28" s="1"/>
  <c r="K179" i="28" a="1"/>
  <c r="K179" i="28" s="1"/>
  <c r="L179" i="28" s="1"/>
  <c r="M179" i="28" s="1"/>
  <c r="K719" i="28" a="1"/>
  <c r="K719" i="28" s="1"/>
  <c r="L719" i="28" s="1"/>
  <c r="M719" i="28" s="1"/>
  <c r="K491" i="28" a="1"/>
  <c r="K491" i="28" s="1"/>
  <c r="L491" i="28" s="1"/>
  <c r="M491" i="28" s="1"/>
  <c r="K359" i="28" a="1"/>
  <c r="K359" i="28" s="1"/>
  <c r="L359" i="28" s="1"/>
  <c r="M359" i="28" s="1"/>
  <c r="K14" i="28" a="1"/>
  <c r="K14" i="28" s="1"/>
  <c r="L14" i="28" s="1"/>
  <c r="M14" i="28" s="1"/>
  <c r="K119" i="28" a="1"/>
  <c r="K119" i="28" s="1"/>
  <c r="L119" i="28" s="1"/>
  <c r="M119" i="28" s="1"/>
  <c r="K683" i="28" a="1"/>
  <c r="K683" i="28" s="1"/>
  <c r="L683" i="28" s="1"/>
  <c r="M683" i="28" s="1"/>
  <c r="K635" i="28" a="1"/>
  <c r="K635" i="28" s="1"/>
  <c r="L635" i="28" s="1"/>
  <c r="M635" i="28" s="1"/>
  <c r="K527" i="28" a="1"/>
  <c r="K527" i="28" s="1"/>
  <c r="L527" i="28" s="1"/>
  <c r="M527" i="28" s="1"/>
  <c r="K659" i="28" a="1"/>
  <c r="K659" i="28" s="1"/>
  <c r="L659" i="28" s="1"/>
  <c r="M659" i="28" s="1"/>
  <c r="K347" i="28" a="1"/>
  <c r="K347" i="28" s="1"/>
  <c r="L347" i="28" s="1"/>
  <c r="M347" i="28" s="1"/>
  <c r="K50" i="28" a="1"/>
  <c r="K50" i="28" s="1"/>
  <c r="L50" i="28" s="1"/>
  <c r="M50" i="28" s="1"/>
  <c r="K131" i="28" a="1"/>
  <c r="K131" i="28" s="1"/>
  <c r="L131" i="28" s="1"/>
  <c r="M131" i="28" s="1"/>
  <c r="K203" i="28" a="1"/>
  <c r="K203" i="28" s="1"/>
  <c r="L203" i="28" s="1"/>
  <c r="M203" i="28" s="1"/>
  <c r="K599" i="28" a="1"/>
  <c r="K599" i="28" s="1"/>
  <c r="L599" i="28" s="1"/>
  <c r="M599" i="28" s="1"/>
  <c r="K443" i="28" a="1"/>
  <c r="K443" i="28" s="1"/>
  <c r="L443" i="28" s="1"/>
  <c r="M443" i="28" s="1"/>
  <c r="K287" i="28" a="1"/>
  <c r="K287" i="28" s="1"/>
  <c r="L287" i="28" s="1"/>
  <c r="M287" i="28" s="1"/>
  <c r="K215" i="28" a="1"/>
  <c r="K215" i="28" s="1"/>
  <c r="L215" i="28" s="1"/>
  <c r="M215" i="28" s="1"/>
  <c r="K2" i="28" a="1"/>
  <c r="K2" i="28" s="1"/>
  <c r="L2" i="28" s="1"/>
  <c r="M2" i="28" s="1"/>
  <c r="K775" i="28" a="1"/>
  <c r="K775" i="28" s="1"/>
  <c r="L775" i="28" s="1"/>
  <c r="K799" i="28" a="1"/>
  <c r="K799" i="28" s="1"/>
  <c r="L799" i="28" s="1"/>
  <c r="K895" i="28" a="1"/>
  <c r="K895" i="28" s="1"/>
  <c r="L895" i="28" s="1"/>
  <c r="K859" i="28" a="1"/>
  <c r="K859" i="28" s="1"/>
  <c r="L859" i="28" s="1"/>
  <c r="K835" i="28" a="1"/>
  <c r="K835" i="28" s="1"/>
  <c r="L835" i="28" s="1"/>
  <c r="K871" i="28" a="1"/>
  <c r="K871" i="28" s="1"/>
  <c r="L871" i="28" s="1"/>
  <c r="K763" i="28" a="1"/>
  <c r="K763" i="28" s="1"/>
  <c r="L763" i="28" s="1"/>
  <c r="K931" i="28" a="1"/>
  <c r="K931" i="28" s="1"/>
  <c r="L931" i="28" s="1"/>
  <c r="K751" i="28" a="1"/>
  <c r="K751" i="28" s="1"/>
  <c r="L751" i="28" s="1"/>
  <c r="K787" i="28" a="1"/>
  <c r="K787" i="28" s="1"/>
  <c r="L787" i="28" s="1"/>
  <c r="K847" i="28" a="1"/>
  <c r="K847" i="28" s="1"/>
  <c r="L847" i="28" s="1"/>
  <c r="K943" i="28" a="1"/>
  <c r="K943" i="28" s="1"/>
  <c r="L943" i="28" s="1"/>
  <c r="K979" i="28" a="1"/>
  <c r="K979" i="28" s="1"/>
  <c r="L979" i="28" s="1"/>
  <c r="K811" i="28" a="1"/>
  <c r="K811" i="28" s="1"/>
  <c r="L811" i="28" s="1"/>
  <c r="K907" i="28" a="1"/>
  <c r="K907" i="28" s="1"/>
  <c r="L907" i="28" s="1"/>
  <c r="K967" i="28" a="1"/>
  <c r="K967" i="28" s="1"/>
  <c r="L967" i="28" s="1"/>
  <c r="K823" i="28" a="1"/>
  <c r="K823" i="28" s="1"/>
  <c r="L823" i="28" s="1"/>
  <c r="K883" i="28" a="1"/>
  <c r="K883" i="28" s="1"/>
  <c r="L883" i="28" s="1"/>
  <c r="K919" i="28" a="1"/>
  <c r="K919" i="28" s="1"/>
  <c r="L919" i="28" s="1"/>
  <c r="K955" i="28" a="1"/>
  <c r="K955" i="28" s="1"/>
  <c r="L955" i="28" s="1"/>
  <c r="K667" i="28" a="1"/>
  <c r="K667" i="28" s="1"/>
  <c r="L667" i="28" s="1"/>
  <c r="M667" i="28" s="1"/>
  <c r="K715" i="28" a="1"/>
  <c r="K715" i="28" s="1"/>
  <c r="L715" i="28" s="1"/>
  <c r="M715" i="28" s="1"/>
  <c r="K619" i="28" a="1"/>
  <c r="K619" i="28" s="1"/>
  <c r="L619" i="28" s="1"/>
  <c r="M619" i="28" s="1"/>
  <c r="K583" i="28" a="1"/>
  <c r="K583" i="28" s="1"/>
  <c r="L583" i="28" s="1"/>
  <c r="M583" i="28" s="1"/>
  <c r="K511" i="28" a="1"/>
  <c r="K511" i="28" s="1"/>
  <c r="L511" i="28" s="1"/>
  <c r="M511" i="28" s="1"/>
  <c r="K463" i="28" a="1"/>
  <c r="K463" i="28" s="1"/>
  <c r="L463" i="28" s="1"/>
  <c r="M463" i="28" s="1"/>
  <c r="K415" i="28" a="1"/>
  <c r="K415" i="28" s="1"/>
  <c r="L415" i="28" s="1"/>
  <c r="M415" i="28" s="1"/>
  <c r="K367" i="28" a="1"/>
  <c r="K367" i="28" s="1"/>
  <c r="L367" i="28" s="1"/>
  <c r="M367" i="28" s="1"/>
  <c r="K319" i="28" a="1"/>
  <c r="K319" i="28" s="1"/>
  <c r="L319" i="28" s="1"/>
  <c r="M319" i="28" s="1"/>
  <c r="K295" i="28" a="1"/>
  <c r="K295" i="28" s="1"/>
  <c r="L295" i="28" s="1"/>
  <c r="M295" i="28" s="1"/>
  <c r="K58" i="28" a="1"/>
  <c r="K58" i="28" s="1"/>
  <c r="L58" i="28" s="1"/>
  <c r="M58" i="28" s="1"/>
  <c r="K10" i="28" a="1"/>
  <c r="K10" i="28" s="1"/>
  <c r="L10" i="28" s="1"/>
  <c r="M10" i="28" s="1"/>
  <c r="K127" i="28" a="1"/>
  <c r="K127" i="28" s="1"/>
  <c r="L127" i="28" s="1"/>
  <c r="M127" i="28" s="1"/>
  <c r="K283" i="28" a="1"/>
  <c r="K283" i="28" s="1"/>
  <c r="L283" i="28" s="1"/>
  <c r="M283" i="28" s="1"/>
  <c r="K163" i="28" a="1"/>
  <c r="K163" i="28" s="1"/>
  <c r="L163" i="28" s="1"/>
  <c r="M163" i="28" s="1"/>
  <c r="K91" i="28" a="1"/>
  <c r="K91" i="28" s="1"/>
  <c r="L91" i="28" s="1"/>
  <c r="M91" i="28" s="1"/>
  <c r="K727" i="28" a="1"/>
  <c r="K727" i="28" s="1"/>
  <c r="L727" i="28" s="1"/>
  <c r="M727" i="28" s="1"/>
  <c r="K535" i="28" a="1"/>
  <c r="K535" i="28" s="1"/>
  <c r="L535" i="28" s="1"/>
  <c r="M535" i="28" s="1"/>
  <c r="K391" i="28" a="1"/>
  <c r="K391" i="28" s="1"/>
  <c r="L391" i="28" s="1"/>
  <c r="M391" i="28" s="1"/>
  <c r="K331" i="28" a="1"/>
  <c r="K331" i="28" s="1"/>
  <c r="L331" i="28" s="1"/>
  <c r="M331" i="28" s="1"/>
  <c r="K187" i="28" a="1"/>
  <c r="K187" i="28" s="1"/>
  <c r="L187" i="28" s="1"/>
  <c r="M187" i="28" s="1"/>
  <c r="K703" i="28" a="1"/>
  <c r="K703" i="28" s="1"/>
  <c r="L703" i="28" s="1"/>
  <c r="M703" i="28" s="1"/>
  <c r="K655" i="28" a="1"/>
  <c r="K655" i="28" s="1"/>
  <c r="L655" i="28" s="1"/>
  <c r="M655" i="28" s="1"/>
  <c r="K607" i="28" a="1"/>
  <c r="K607" i="28" s="1"/>
  <c r="L607" i="28" s="1"/>
  <c r="M607" i="28" s="1"/>
  <c r="K547" i="28" a="1"/>
  <c r="K547" i="28" s="1"/>
  <c r="L547" i="28" s="1"/>
  <c r="M547" i="28" s="1"/>
  <c r="K499" i="28" a="1"/>
  <c r="K499" i="28" s="1"/>
  <c r="L499" i="28" s="1"/>
  <c r="M499" i="28" s="1"/>
  <c r="K451" i="28" a="1"/>
  <c r="K451" i="28" s="1"/>
  <c r="L451" i="28" s="1"/>
  <c r="M451" i="28" s="1"/>
  <c r="K403" i="28" a="1"/>
  <c r="K403" i="28" s="1"/>
  <c r="L403" i="28" s="1"/>
  <c r="M403" i="28" s="1"/>
  <c r="K355" i="28" a="1"/>
  <c r="K355" i="28" s="1"/>
  <c r="L355" i="28" s="1"/>
  <c r="M355" i="28" s="1"/>
  <c r="K271" i="28" a="1"/>
  <c r="K271" i="28" s="1"/>
  <c r="L271" i="28" s="1"/>
  <c r="M271" i="28" s="1"/>
  <c r="K259" i="28" a="1"/>
  <c r="K259" i="28" s="1"/>
  <c r="L259" i="28" s="1"/>
  <c r="M259" i="28" s="1"/>
  <c r="K46" i="28" a="1"/>
  <c r="K46" i="28" s="1"/>
  <c r="L46" i="28" s="1"/>
  <c r="M46" i="28" s="1"/>
  <c r="K739" i="28" a="1"/>
  <c r="K739" i="28" s="1"/>
  <c r="L739" i="28" s="1"/>
  <c r="M739" i="28" s="1"/>
  <c r="K79" i="28" a="1"/>
  <c r="K79" i="28" s="1"/>
  <c r="L79" i="28" s="1"/>
  <c r="M79" i="28" s="1"/>
  <c r="K223" i="28" a="1"/>
  <c r="K223" i="28" s="1"/>
  <c r="L223" i="28" s="1"/>
  <c r="M223" i="28" s="1"/>
  <c r="K151" i="28" a="1"/>
  <c r="K151" i="28" s="1"/>
  <c r="L151" i="28" s="1"/>
  <c r="M151" i="28" s="1"/>
  <c r="B24" i="28"/>
  <c r="K595" i="28" a="1"/>
  <c r="K595" i="28" s="1"/>
  <c r="L595" i="28" s="1"/>
  <c r="M595" i="28" s="1"/>
  <c r="K439" i="28" a="1"/>
  <c r="K439" i="28" s="1"/>
  <c r="L439" i="28" s="1"/>
  <c r="M439" i="28" s="1"/>
  <c r="K247" i="28" a="1"/>
  <c r="K247" i="28" s="1"/>
  <c r="L247" i="28" s="1"/>
  <c r="M247" i="28" s="1"/>
  <c r="K34" i="28" a="1"/>
  <c r="K34" i="28" s="1"/>
  <c r="L34" i="28" s="1"/>
  <c r="M34" i="28" s="1"/>
  <c r="K199" i="28" a="1"/>
  <c r="K199" i="28" s="1"/>
  <c r="L199" i="28" s="1"/>
  <c r="M199" i="28" s="1"/>
  <c r="K643" i="28" a="1"/>
  <c r="K643" i="28" s="1"/>
  <c r="L643" i="28" s="1"/>
  <c r="M643" i="28" s="1"/>
  <c r="K487" i="28" a="1"/>
  <c r="K487" i="28" s="1"/>
  <c r="L487" i="28" s="1"/>
  <c r="M487" i="28" s="1"/>
  <c r="K571" i="28" a="1"/>
  <c r="K571" i="28" s="1"/>
  <c r="L571" i="28" s="1"/>
  <c r="M571" i="28" s="1"/>
  <c r="K235" i="28" a="1"/>
  <c r="K235" i="28" s="1"/>
  <c r="L235" i="28" s="1"/>
  <c r="M235" i="28" s="1"/>
  <c r="K115" i="28" a="1"/>
  <c r="K115" i="28" s="1"/>
  <c r="L115" i="28" s="1"/>
  <c r="M115" i="28" s="1"/>
  <c r="K631" i="28" a="1"/>
  <c r="K631" i="28" s="1"/>
  <c r="L631" i="28" s="1"/>
  <c r="M631" i="28" s="1"/>
  <c r="K427" i="28" a="1"/>
  <c r="K427" i="28" s="1"/>
  <c r="L427" i="28" s="1"/>
  <c r="M427" i="28" s="1"/>
  <c r="K70" i="28" a="1"/>
  <c r="K70" i="28" s="1"/>
  <c r="L70" i="28" s="1"/>
  <c r="M70" i="28" s="1"/>
  <c r="K175" i="28" a="1"/>
  <c r="K175" i="28" s="1"/>
  <c r="L175" i="28" s="1"/>
  <c r="M175" i="28" s="1"/>
  <c r="K343" i="28" a="1"/>
  <c r="K343" i="28" s="1"/>
  <c r="L343" i="28" s="1"/>
  <c r="M343" i="28" s="1"/>
  <c r="K307" i="28" a="1"/>
  <c r="K307" i="28" s="1"/>
  <c r="L307" i="28" s="1"/>
  <c r="M307" i="28" s="1"/>
  <c r="K559" i="28" a="1"/>
  <c r="K559" i="28" s="1"/>
  <c r="L559" i="28" s="1"/>
  <c r="M559" i="28" s="1"/>
  <c r="K379" i="28" a="1"/>
  <c r="K379" i="28" s="1"/>
  <c r="L379" i="28" s="1"/>
  <c r="M379" i="28" s="1"/>
  <c r="K22" i="28" a="1"/>
  <c r="K22" i="28" s="1"/>
  <c r="L22" i="28" s="1"/>
  <c r="M22" i="28" s="1"/>
  <c r="K103" i="28" a="1"/>
  <c r="K103" i="28" s="1"/>
  <c r="L103" i="28" s="1"/>
  <c r="M103" i="28" s="1"/>
  <c r="K523" i="28" a="1"/>
  <c r="K523" i="28" s="1"/>
  <c r="L523" i="28" s="1"/>
  <c r="M523" i="28" s="1"/>
  <c r="K211" i="28" a="1"/>
  <c r="K211" i="28" s="1"/>
  <c r="L211" i="28" s="1"/>
  <c r="M211" i="28" s="1"/>
  <c r="K691" i="28" a="1"/>
  <c r="K691" i="28" s="1"/>
  <c r="L691" i="28" s="1"/>
  <c r="M691" i="28" s="1"/>
  <c r="K679" i="28" a="1"/>
  <c r="K679" i="28" s="1"/>
  <c r="L679" i="28" s="1"/>
  <c r="M679" i="28" s="1"/>
  <c r="K475" i="28" a="1"/>
  <c r="K475" i="28" s="1"/>
  <c r="L475" i="28" s="1"/>
  <c r="M475" i="28" s="1"/>
  <c r="K139" i="28" a="1"/>
  <c r="K139" i="28" s="1"/>
  <c r="L139" i="28" s="1"/>
  <c r="M139" i="28" s="1"/>
  <c r="K757" i="28" a="1"/>
  <c r="K757" i="28" s="1"/>
  <c r="L757" i="28" s="1"/>
  <c r="K769" i="28" a="1"/>
  <c r="K769" i="28" s="1"/>
  <c r="L769" i="28" s="1"/>
  <c r="K781" i="28" a="1"/>
  <c r="K781" i="28" s="1"/>
  <c r="L781" i="28" s="1"/>
  <c r="K841" i="28" a="1"/>
  <c r="K841" i="28" s="1"/>
  <c r="L841" i="28" s="1"/>
  <c r="K865" i="28" a="1"/>
  <c r="K865" i="28" s="1"/>
  <c r="L865" i="28" s="1"/>
  <c r="K901" i="28" a="1"/>
  <c r="K901" i="28" s="1"/>
  <c r="L901" i="28" s="1"/>
  <c r="K937" i="28" a="1"/>
  <c r="K937" i="28" s="1"/>
  <c r="L937" i="28" s="1"/>
  <c r="K793" i="28" a="1"/>
  <c r="K793" i="28" s="1"/>
  <c r="L793" i="28" s="1"/>
  <c r="K829" i="28" a="1"/>
  <c r="K829" i="28" s="1"/>
  <c r="L829" i="28" s="1"/>
  <c r="K889" i="28" a="1"/>
  <c r="K889" i="28" s="1"/>
  <c r="L889" i="28" s="1"/>
  <c r="K961" i="28" a="1"/>
  <c r="K961" i="28" s="1"/>
  <c r="L961" i="28" s="1"/>
  <c r="K973" i="28" a="1"/>
  <c r="K973" i="28" s="1"/>
  <c r="L973" i="28" s="1"/>
  <c r="K853" i="28" a="1"/>
  <c r="K853" i="28" s="1"/>
  <c r="L853" i="28" s="1"/>
  <c r="K805" i="28" a="1"/>
  <c r="K805" i="28" s="1"/>
  <c r="L805" i="28" s="1"/>
  <c r="K925" i="28" a="1"/>
  <c r="K925" i="28" s="1"/>
  <c r="L925" i="28" s="1"/>
  <c r="K745" i="28" a="1"/>
  <c r="K745" i="28" s="1"/>
  <c r="L745" i="28" s="1"/>
  <c r="K877" i="28" a="1"/>
  <c r="K877" i="28" s="1"/>
  <c r="L877" i="28" s="1"/>
  <c r="K913" i="28" a="1"/>
  <c r="K913" i="28" s="1"/>
  <c r="L913" i="28" s="1"/>
  <c r="K949" i="28" a="1"/>
  <c r="K949" i="28" s="1"/>
  <c r="L949" i="28" s="1"/>
  <c r="K817" i="28" a="1"/>
  <c r="K817" i="28" s="1"/>
  <c r="L817" i="28" s="1"/>
  <c r="K721" i="28" a="1"/>
  <c r="K721" i="28" s="1"/>
  <c r="L721" i="28" s="1"/>
  <c r="M721" i="28" s="1"/>
  <c r="K673" i="28" a="1"/>
  <c r="K673" i="28" s="1"/>
  <c r="L673" i="28" s="1"/>
  <c r="M673" i="28" s="1"/>
  <c r="K565" i="28" a="1"/>
  <c r="K565" i="28" s="1"/>
  <c r="L565" i="28" s="1"/>
  <c r="M565" i="28" s="1"/>
  <c r="K613" i="28" a="1"/>
  <c r="K613" i="28" s="1"/>
  <c r="L613" i="28" s="1"/>
  <c r="M613" i="28" s="1"/>
  <c r="K529" i="28" a="1"/>
  <c r="K529" i="28" s="1"/>
  <c r="L529" i="28" s="1"/>
  <c r="M529" i="28" s="1"/>
  <c r="K481" i="28" a="1"/>
  <c r="K481" i="28" s="1"/>
  <c r="L481" i="28" s="1"/>
  <c r="M481" i="28" s="1"/>
  <c r="K433" i="28" a="1"/>
  <c r="K433" i="28" s="1"/>
  <c r="L433" i="28" s="1"/>
  <c r="M433" i="28" s="1"/>
  <c r="K385" i="28" a="1"/>
  <c r="K385" i="28" s="1"/>
  <c r="L385" i="28" s="1"/>
  <c r="M385" i="28" s="1"/>
  <c r="K337" i="28" a="1"/>
  <c r="K337" i="28" s="1"/>
  <c r="L337" i="28" s="1"/>
  <c r="M337" i="28" s="1"/>
  <c r="K301" i="28" a="1"/>
  <c r="K301" i="28" s="1"/>
  <c r="L301" i="28" s="1"/>
  <c r="M301" i="28" s="1"/>
  <c r="K52" i="28" a="1"/>
  <c r="K52" i="28" s="1"/>
  <c r="L52" i="28" s="1"/>
  <c r="M52" i="28" s="1"/>
  <c r="K241" i="28" a="1"/>
  <c r="K241" i="28" s="1"/>
  <c r="L241" i="28" s="1"/>
  <c r="M241" i="28" s="1"/>
  <c r="K193" i="28" a="1"/>
  <c r="K193" i="28" s="1"/>
  <c r="L193" i="28" s="1"/>
  <c r="M193" i="28" s="1"/>
  <c r="K145" i="28" a="1"/>
  <c r="K145" i="28" s="1"/>
  <c r="L145" i="28" s="1"/>
  <c r="M145" i="28" s="1"/>
  <c r="K97" i="28" a="1"/>
  <c r="K97" i="28" s="1"/>
  <c r="L97" i="28" s="1"/>
  <c r="M97" i="28" s="1"/>
  <c r="K5" i="28" a="1"/>
  <c r="K5" i="28" s="1"/>
  <c r="L5" i="28" s="1"/>
  <c r="M5" i="28" s="1"/>
  <c r="K697" i="28" a="1"/>
  <c r="K697" i="28" s="1"/>
  <c r="L697" i="28" s="1"/>
  <c r="M697" i="28" s="1"/>
  <c r="K637" i="28" a="1"/>
  <c r="K637" i="28" s="1"/>
  <c r="L637" i="28" s="1"/>
  <c r="M637" i="28" s="1"/>
  <c r="K457" i="28" a="1"/>
  <c r="K457" i="28" s="1"/>
  <c r="L457" i="28" s="1"/>
  <c r="M457" i="28" s="1"/>
  <c r="K289" i="28" a="1"/>
  <c r="K289" i="28" s="1"/>
  <c r="L289" i="28" s="1"/>
  <c r="M289" i="28" s="1"/>
  <c r="K217" i="28" a="1"/>
  <c r="K217" i="28" s="1"/>
  <c r="L217" i="28" s="1"/>
  <c r="M217" i="28" s="1"/>
  <c r="K265" i="28" a="1"/>
  <c r="K265" i="28" s="1"/>
  <c r="L265" i="28" s="1"/>
  <c r="M265" i="28" s="1"/>
  <c r="K733" i="28" a="1"/>
  <c r="K733" i="28" s="1"/>
  <c r="L733" i="28" s="1"/>
  <c r="M733" i="28" s="1"/>
  <c r="K589" i="28" a="1"/>
  <c r="K589" i="28" s="1"/>
  <c r="L589" i="28" s="1"/>
  <c r="M589" i="28" s="1"/>
  <c r="K541" i="28" a="1"/>
  <c r="K541" i="28" s="1"/>
  <c r="L541" i="28" s="1"/>
  <c r="M541" i="28" s="1"/>
  <c r="K445" i="28" a="1"/>
  <c r="K445" i="28" s="1"/>
  <c r="L445" i="28" s="1"/>
  <c r="M445" i="28" s="1"/>
  <c r="K349" i="28" a="1"/>
  <c r="K349" i="28" s="1"/>
  <c r="L349" i="28" s="1"/>
  <c r="M349" i="28" s="1"/>
  <c r="K64" i="28" a="1"/>
  <c r="K64" i="28" s="1"/>
  <c r="L64" i="28" s="1"/>
  <c r="M64" i="28" s="1"/>
  <c r="K205" i="28" a="1"/>
  <c r="K205" i="28" s="1"/>
  <c r="L205" i="28" s="1"/>
  <c r="M205" i="28" s="1"/>
  <c r="K109" i="28" a="1"/>
  <c r="K109" i="28" s="1"/>
  <c r="L109" i="28" s="1"/>
  <c r="M109" i="28" s="1"/>
  <c r="K709" i="28" a="1"/>
  <c r="K709" i="28" s="1"/>
  <c r="L709" i="28" s="1"/>
  <c r="M709" i="28" s="1"/>
  <c r="K661" i="28" a="1"/>
  <c r="K661" i="28" s="1"/>
  <c r="L661" i="28" s="1"/>
  <c r="M661" i="28" s="1"/>
  <c r="K649" i="28" a="1"/>
  <c r="K649" i="28" s="1"/>
  <c r="L649" i="28" s="1"/>
  <c r="M649" i="28" s="1"/>
  <c r="K601" i="28" a="1"/>
  <c r="K601" i="28" s="1"/>
  <c r="L601" i="28" s="1"/>
  <c r="M601" i="28" s="1"/>
  <c r="K517" i="28" a="1"/>
  <c r="K517" i="28" s="1"/>
  <c r="L517" i="28" s="1"/>
  <c r="M517" i="28" s="1"/>
  <c r="K469" i="28" a="1"/>
  <c r="K469" i="28" s="1"/>
  <c r="L469" i="28" s="1"/>
  <c r="M469" i="28" s="1"/>
  <c r="K421" i="28" a="1"/>
  <c r="K421" i="28" s="1"/>
  <c r="L421" i="28" s="1"/>
  <c r="M421" i="28" s="1"/>
  <c r="K373" i="28" a="1"/>
  <c r="K373" i="28" s="1"/>
  <c r="L373" i="28" s="1"/>
  <c r="M373" i="28" s="1"/>
  <c r="K313" i="28" a="1"/>
  <c r="K313" i="28" s="1"/>
  <c r="L313" i="28" s="1"/>
  <c r="M313" i="28" s="1"/>
  <c r="K277" i="28" a="1"/>
  <c r="K277" i="28" s="1"/>
  <c r="L277" i="28" s="1"/>
  <c r="M277" i="28" s="1"/>
  <c r="K40" i="28" a="1"/>
  <c r="K40" i="28" s="1"/>
  <c r="L40" i="28" s="1"/>
  <c r="M40" i="28" s="1"/>
  <c r="K229" i="28" a="1"/>
  <c r="K229" i="28" s="1"/>
  <c r="L229" i="28" s="1"/>
  <c r="M229" i="28" s="1"/>
  <c r="K181" i="28" a="1"/>
  <c r="K181" i="28" s="1"/>
  <c r="L181" i="28" s="1"/>
  <c r="M181" i="28" s="1"/>
  <c r="K133" i="28" a="1"/>
  <c r="K133" i="28" s="1"/>
  <c r="L133" i="28" s="1"/>
  <c r="M133" i="28" s="1"/>
  <c r="K253" i="28" a="1"/>
  <c r="K253" i="28" s="1"/>
  <c r="L253" i="28" s="1"/>
  <c r="M253" i="28" s="1"/>
  <c r="K577" i="28" a="1"/>
  <c r="K577" i="28" s="1"/>
  <c r="L577" i="28" s="1"/>
  <c r="M577" i="28" s="1"/>
  <c r="K505" i="28" a="1"/>
  <c r="K505" i="28" s="1"/>
  <c r="L505" i="28" s="1"/>
  <c r="M505" i="28" s="1"/>
  <c r="K361" i="28" a="1"/>
  <c r="K361" i="28" s="1"/>
  <c r="L361" i="28" s="1"/>
  <c r="M361" i="28" s="1"/>
  <c r="K28" i="28" a="1"/>
  <c r="K28" i="28" s="1"/>
  <c r="L28" i="28" s="1"/>
  <c r="M28" i="28" s="1"/>
  <c r="K121" i="28" a="1"/>
  <c r="K121" i="28" s="1"/>
  <c r="L121" i="28" s="1"/>
  <c r="M121" i="28" s="1"/>
  <c r="K685" i="28" a="1"/>
  <c r="K685" i="28" s="1"/>
  <c r="L685" i="28" s="1"/>
  <c r="M685" i="28" s="1"/>
  <c r="K625" i="28" a="1"/>
  <c r="K625" i="28" s="1"/>
  <c r="L625" i="28" s="1"/>
  <c r="M625" i="28" s="1"/>
  <c r="K493" i="28" a="1"/>
  <c r="K493" i="28" s="1"/>
  <c r="L493" i="28" s="1"/>
  <c r="M493" i="28" s="1"/>
  <c r="K397" i="28" a="1"/>
  <c r="K397" i="28" s="1"/>
  <c r="L397" i="28" s="1"/>
  <c r="M397" i="28" s="1"/>
  <c r="K325" i="28" a="1"/>
  <c r="K325" i="28" s="1"/>
  <c r="L325" i="28" s="1"/>
  <c r="M325" i="28" s="1"/>
  <c r="K16" i="28" a="1"/>
  <c r="K16" i="28" s="1"/>
  <c r="L16" i="28" s="1"/>
  <c r="M16" i="28" s="1"/>
  <c r="K157" i="28" a="1"/>
  <c r="K157" i="28" s="1"/>
  <c r="L157" i="28" s="1"/>
  <c r="M157" i="28" s="1"/>
  <c r="K73" i="28" a="1"/>
  <c r="K73" i="28" s="1"/>
  <c r="L73" i="28" s="1"/>
  <c r="M73" i="28" s="1"/>
  <c r="K553" i="28" a="1"/>
  <c r="K553" i="28" s="1"/>
  <c r="L553" i="28" s="1"/>
  <c r="M553" i="28" s="1"/>
  <c r="K409" i="28" a="1"/>
  <c r="K409" i="28" s="1"/>
  <c r="L409" i="28" s="1"/>
  <c r="M409" i="28" s="1"/>
  <c r="K85" i="28" a="1"/>
  <c r="K85" i="28" s="1"/>
  <c r="L85" i="28" s="1"/>
  <c r="M85" i="28" s="1"/>
  <c r="K169" i="28" a="1"/>
  <c r="K169" i="28" s="1"/>
  <c r="L169" i="28" s="1"/>
  <c r="M169" i="28" s="1"/>
  <c r="K762" i="28" a="1"/>
  <c r="K762" i="28" s="1"/>
  <c r="L762" i="28" s="1"/>
  <c r="K750" i="28" a="1"/>
  <c r="K750" i="28" s="1"/>
  <c r="L750" i="28" s="1"/>
  <c r="K774" i="28" a="1"/>
  <c r="K774" i="28" s="1"/>
  <c r="L774" i="28" s="1"/>
  <c r="K822" i="28" a="1"/>
  <c r="K822" i="28" s="1"/>
  <c r="L822" i="28" s="1"/>
  <c r="K858" i="28" a="1"/>
  <c r="K858" i="28" s="1"/>
  <c r="L858" i="28" s="1"/>
  <c r="K906" i="28" a="1"/>
  <c r="K906" i="28" s="1"/>
  <c r="L906" i="28" s="1"/>
  <c r="K942" i="28" a="1"/>
  <c r="K942" i="28" s="1"/>
  <c r="L942" i="28" s="1"/>
  <c r="K810" i="28" a="1"/>
  <c r="K810" i="28" s="1"/>
  <c r="L810" i="28" s="1"/>
  <c r="K846" i="28" a="1"/>
  <c r="K846" i="28" s="1"/>
  <c r="L846" i="28" s="1"/>
  <c r="K882" i="28" a="1"/>
  <c r="K882" i="28" s="1"/>
  <c r="L882" i="28" s="1"/>
  <c r="K918" i="28" a="1"/>
  <c r="K918" i="28" s="1"/>
  <c r="L918" i="28" s="1"/>
  <c r="K966" i="28" a="1"/>
  <c r="K966" i="28" s="1"/>
  <c r="L966" i="28" s="1"/>
  <c r="K786" i="28" a="1"/>
  <c r="K786" i="28" s="1"/>
  <c r="L786" i="28" s="1"/>
  <c r="K894" i="28" a="1"/>
  <c r="K894" i="28" s="1"/>
  <c r="L894" i="28" s="1"/>
  <c r="K930" i="28" a="1"/>
  <c r="K930" i="28" s="1"/>
  <c r="L930" i="28" s="1"/>
  <c r="K978" i="28" a="1"/>
  <c r="K978" i="28" s="1"/>
  <c r="L978" i="28" s="1"/>
  <c r="K798" i="28" a="1"/>
  <c r="K798" i="28" s="1"/>
  <c r="L798" i="28" s="1"/>
  <c r="K834" i="28" a="1"/>
  <c r="K834" i="28" s="1"/>
  <c r="L834" i="28" s="1"/>
  <c r="K870" i="28" a="1"/>
  <c r="K870" i="28" s="1"/>
  <c r="L870" i="28" s="1"/>
  <c r="K954" i="28" a="1"/>
  <c r="K954" i="28" s="1"/>
  <c r="L954" i="28" s="1"/>
  <c r="K714" i="28" a="1"/>
  <c r="K714" i="28" s="1"/>
  <c r="L714" i="28" s="1"/>
  <c r="M714" i="28" s="1"/>
  <c r="K630" i="28" a="1"/>
  <c r="K630" i="28" s="1"/>
  <c r="L630" i="28" s="1"/>
  <c r="M630" i="28" s="1"/>
  <c r="K546" i="28" a="1"/>
  <c r="K546" i="28" s="1"/>
  <c r="L546" i="28" s="1"/>
  <c r="M546" i="28" s="1"/>
  <c r="K558" i="28" a="1"/>
  <c r="K558" i="28" s="1"/>
  <c r="L558" i="28" s="1"/>
  <c r="M558" i="28" s="1"/>
  <c r="K426" i="28" a="1"/>
  <c r="K426" i="28" s="1"/>
  <c r="L426" i="28" s="1"/>
  <c r="M426" i="28" s="1"/>
  <c r="K570" i="28" a="1"/>
  <c r="K570" i="28" s="1"/>
  <c r="L570" i="28" s="1"/>
  <c r="M570" i="28" s="1"/>
  <c r="K462" i="28" a="1"/>
  <c r="K462" i="28" s="1"/>
  <c r="L462" i="28" s="1"/>
  <c r="M462" i="28" s="1"/>
  <c r="K330" i="28" a="1"/>
  <c r="K330" i="28" s="1"/>
  <c r="L330" i="28" s="1"/>
  <c r="M330" i="28" s="1"/>
  <c r="K354" i="28" a="1"/>
  <c r="K354" i="28" s="1"/>
  <c r="L354" i="28" s="1"/>
  <c r="M354" i="28" s="1"/>
  <c r="K78" i="28" a="1"/>
  <c r="K78" i="28" s="1"/>
  <c r="L78" i="28" s="1"/>
  <c r="M78" i="28" s="1"/>
  <c r="K246" i="28" a="1"/>
  <c r="K246" i="28" s="1"/>
  <c r="L246" i="28" s="1"/>
  <c r="M246" i="28" s="1"/>
  <c r="K198" i="28" a="1"/>
  <c r="K198" i="28" s="1"/>
  <c r="L198" i="28" s="1"/>
  <c r="M198" i="28" s="1"/>
  <c r="K150" i="28" a="1"/>
  <c r="K150" i="28" s="1"/>
  <c r="L150" i="28" s="1"/>
  <c r="M150" i="28" s="1"/>
  <c r="K102" i="28" a="1"/>
  <c r="K102" i="28" s="1"/>
  <c r="L102" i="28" s="1"/>
  <c r="M102" i="28" s="1"/>
  <c r="K33" i="28" a="1"/>
  <c r="K33" i="28" s="1"/>
  <c r="L33" i="28" s="1"/>
  <c r="M33" i="28" s="1"/>
  <c r="K654" i="28" a="1"/>
  <c r="K654" i="28" s="1"/>
  <c r="L654" i="28" s="1"/>
  <c r="M654" i="28" s="1"/>
  <c r="K522" i="28" a="1"/>
  <c r="K522" i="28" s="1"/>
  <c r="L522" i="28" s="1"/>
  <c r="M522" i="28" s="1"/>
  <c r="K666" i="28" a="1"/>
  <c r="K666" i="28" s="1"/>
  <c r="L666" i="28" s="1"/>
  <c r="M666" i="28" s="1"/>
  <c r="K318" i="28" a="1"/>
  <c r="K318" i="28" s="1"/>
  <c r="L318" i="28" s="1"/>
  <c r="M318" i="28" s="1"/>
  <c r="K174" i="28" a="1"/>
  <c r="K174" i="28" s="1"/>
  <c r="L174" i="28" s="1"/>
  <c r="M174" i="28" s="1"/>
  <c r="K9" i="28" a="1"/>
  <c r="K9" i="28" s="1"/>
  <c r="L9" i="28" s="1"/>
  <c r="M9" i="28" s="1"/>
  <c r="K726" i="28" a="1"/>
  <c r="K726" i="28" s="1"/>
  <c r="L726" i="28" s="1"/>
  <c r="M726" i="28" s="1"/>
  <c r="K594" i="28" a="1"/>
  <c r="K594" i="28" s="1"/>
  <c r="L594" i="28" s="1"/>
  <c r="M594" i="28" s="1"/>
  <c r="K438" i="28" a="1"/>
  <c r="K438" i="28" s="1"/>
  <c r="L438" i="28" s="1"/>
  <c r="M438" i="28" s="1"/>
  <c r="K474" i="28" a="1"/>
  <c r="K474" i="28" s="1"/>
  <c r="L474" i="28" s="1"/>
  <c r="M474" i="28" s="1"/>
  <c r="K378" i="28" a="1"/>
  <c r="K378" i="28" s="1"/>
  <c r="L378" i="28" s="1"/>
  <c r="M378" i="28" s="1"/>
  <c r="K258" i="28" a="1"/>
  <c r="K258" i="28" s="1"/>
  <c r="L258" i="28" s="1"/>
  <c r="M258" i="28" s="1"/>
  <c r="K162" i="28" a="1"/>
  <c r="K162" i="28" s="1"/>
  <c r="L162" i="28" s="1"/>
  <c r="M162" i="28" s="1"/>
  <c r="K45" i="28" a="1"/>
  <c r="K45" i="28" s="1"/>
  <c r="L45" i="28" s="1"/>
  <c r="M45" i="28" s="1"/>
  <c r="K690" i="28" a="1"/>
  <c r="K690" i="28" s="1"/>
  <c r="L690" i="28" s="1"/>
  <c r="M690" i="28" s="1"/>
  <c r="K678" i="28" a="1"/>
  <c r="K678" i="28" s="1"/>
  <c r="L678" i="28" s="1"/>
  <c r="M678" i="28" s="1"/>
  <c r="K618" i="28" a="1"/>
  <c r="K618" i="28" s="1"/>
  <c r="L618" i="28" s="1"/>
  <c r="M618" i="28" s="1"/>
  <c r="K534" i="28" a="1"/>
  <c r="K534" i="28" s="1"/>
  <c r="L534" i="28" s="1"/>
  <c r="M534" i="28" s="1"/>
  <c r="K702" i="28" a="1"/>
  <c r="K702" i="28" s="1"/>
  <c r="L702" i="28" s="1"/>
  <c r="M702" i="28" s="1"/>
  <c r="K414" i="28" a="1"/>
  <c r="K414" i="28" s="1"/>
  <c r="L414" i="28" s="1"/>
  <c r="M414" i="28" s="1"/>
  <c r="K498" i="28" a="1"/>
  <c r="K498" i="28" s="1"/>
  <c r="L498" i="28" s="1"/>
  <c r="M498" i="28" s="1"/>
  <c r="K450" i="28" a="1"/>
  <c r="K450" i="28" s="1"/>
  <c r="L450" i="28" s="1"/>
  <c r="M450" i="28" s="1"/>
  <c r="K306" i="28" a="1"/>
  <c r="K306" i="28" s="1"/>
  <c r="L306" i="28" s="1"/>
  <c r="M306" i="28" s="1"/>
  <c r="K342" i="28" a="1"/>
  <c r="K342" i="28" s="1"/>
  <c r="L342" i="28" s="1"/>
  <c r="M342" i="28" s="1"/>
  <c r="K69" i="28" a="1"/>
  <c r="K69" i="28" s="1"/>
  <c r="L69" i="28" s="1"/>
  <c r="M69" i="28" s="1"/>
  <c r="K234" i="28" a="1"/>
  <c r="K234" i="28" s="1"/>
  <c r="L234" i="28" s="1"/>
  <c r="M234" i="28" s="1"/>
  <c r="K186" i="28" a="1"/>
  <c r="K186" i="28" s="1"/>
  <c r="L186" i="28" s="1"/>
  <c r="M186" i="28" s="1"/>
  <c r="K138" i="28" a="1"/>
  <c r="K138" i="28" s="1"/>
  <c r="L138" i="28" s="1"/>
  <c r="M138" i="28" s="1"/>
  <c r="K90" i="28" a="1"/>
  <c r="K90" i="28" s="1"/>
  <c r="L90" i="28" s="1"/>
  <c r="M90" i="28" s="1"/>
  <c r="K21" i="28" a="1"/>
  <c r="K21" i="28" s="1"/>
  <c r="L21" i="28" s="1"/>
  <c r="M21" i="28" s="1"/>
  <c r="K606" i="28" a="1"/>
  <c r="K606" i="28" s="1"/>
  <c r="L606" i="28" s="1"/>
  <c r="M606" i="28" s="1"/>
  <c r="K582" i="28" a="1"/>
  <c r="K582" i="28" s="1"/>
  <c r="L582" i="28" s="1"/>
  <c r="M582" i="28" s="1"/>
  <c r="K486" i="28" a="1"/>
  <c r="K486" i="28" s="1"/>
  <c r="L486" i="28" s="1"/>
  <c r="M486" i="28" s="1"/>
  <c r="K282" i="28" a="1"/>
  <c r="K282" i="28" s="1"/>
  <c r="L282" i="28" s="1"/>
  <c r="M282" i="28" s="1"/>
  <c r="K222" i="28" a="1"/>
  <c r="K222" i="28" s="1"/>
  <c r="L222" i="28" s="1"/>
  <c r="M222" i="28" s="1"/>
  <c r="K57" i="28" a="1"/>
  <c r="K57" i="28" s="1"/>
  <c r="L57" i="28" s="1"/>
  <c r="M57" i="28" s="1"/>
  <c r="K642" i="28" a="1"/>
  <c r="K642" i="28" s="1"/>
  <c r="L642" i="28" s="1"/>
  <c r="M642" i="28" s="1"/>
  <c r="K510" i="28" a="1"/>
  <c r="K510" i="28" s="1"/>
  <c r="L510" i="28" s="1"/>
  <c r="M510" i="28" s="1"/>
  <c r="K390" i="28" a="1"/>
  <c r="K390" i="28" s="1"/>
  <c r="L390" i="28" s="1"/>
  <c r="M390" i="28" s="1"/>
  <c r="K366" i="28" a="1"/>
  <c r="K366" i="28" s="1"/>
  <c r="L366" i="28" s="1"/>
  <c r="M366" i="28" s="1"/>
  <c r="K294" i="28" a="1"/>
  <c r="K294" i="28" s="1"/>
  <c r="L294" i="28" s="1"/>
  <c r="M294" i="28" s="1"/>
  <c r="K210" i="28" a="1"/>
  <c r="K210" i="28" s="1"/>
  <c r="L210" i="28" s="1"/>
  <c r="M210" i="28" s="1"/>
  <c r="K114" i="28" a="1"/>
  <c r="K114" i="28" s="1"/>
  <c r="L114" i="28" s="1"/>
  <c r="M114" i="28" s="1"/>
  <c r="K738" i="28" a="1"/>
  <c r="K738" i="28" s="1"/>
  <c r="L738" i="28" s="1"/>
  <c r="M738" i="28" s="1"/>
  <c r="K402" i="28" a="1"/>
  <c r="K402" i="28" s="1"/>
  <c r="L402" i="28" s="1"/>
  <c r="M402" i="28" s="1"/>
  <c r="K270" i="28" a="1"/>
  <c r="K270" i="28" s="1"/>
  <c r="L270" i="28" s="1"/>
  <c r="M270" i="28" s="1"/>
  <c r="K126" i="28" a="1"/>
  <c r="K126" i="28" s="1"/>
  <c r="L126" i="28" s="1"/>
  <c r="M126" i="28" s="1"/>
  <c r="K782" i="28" a="1"/>
  <c r="K782" i="28" s="1"/>
  <c r="L782" i="28" s="1"/>
  <c r="K794" i="28" a="1"/>
  <c r="K794" i="28" s="1"/>
  <c r="L794" i="28" s="1"/>
  <c r="K746" i="28" a="1"/>
  <c r="K746" i="28" s="1"/>
  <c r="L746" i="28" s="1"/>
  <c r="K890" i="28" a="1"/>
  <c r="K890" i="28" s="1"/>
  <c r="L890" i="28" s="1"/>
  <c r="K926" i="28" a="1"/>
  <c r="K926" i="28" s="1"/>
  <c r="L926" i="28" s="1"/>
  <c r="K974" i="28" a="1"/>
  <c r="K974" i="28" s="1"/>
  <c r="L974" i="28" s="1"/>
  <c r="K854" i="28" a="1"/>
  <c r="K854" i="28" s="1"/>
  <c r="L854" i="28" s="1"/>
  <c r="K758" i="28" a="1"/>
  <c r="K758" i="28" s="1"/>
  <c r="L758" i="28" s="1"/>
  <c r="K830" i="28" a="1"/>
  <c r="K830" i="28" s="1"/>
  <c r="L830" i="28" s="1"/>
  <c r="K866" i="28" a="1"/>
  <c r="K866" i="28" s="1"/>
  <c r="L866" i="28" s="1"/>
  <c r="K950" i="28" a="1"/>
  <c r="K950" i="28" s="1"/>
  <c r="L950" i="28" s="1"/>
  <c r="K962" i="28" a="1"/>
  <c r="K962" i="28" s="1"/>
  <c r="L962" i="28" s="1"/>
  <c r="K806" i="28" a="1"/>
  <c r="K806" i="28" s="1"/>
  <c r="L806" i="28" s="1"/>
  <c r="K842" i="28" a="1"/>
  <c r="K842" i="28" s="1"/>
  <c r="L842" i="28" s="1"/>
  <c r="K914" i="28" a="1"/>
  <c r="K914" i="28" s="1"/>
  <c r="L914" i="28" s="1"/>
  <c r="K770" i="28" a="1"/>
  <c r="K770" i="28" s="1"/>
  <c r="L770" i="28" s="1"/>
  <c r="K902" i="28" a="1"/>
  <c r="K902" i="28" s="1"/>
  <c r="L902" i="28" s="1"/>
  <c r="K938" i="28" a="1"/>
  <c r="K938" i="28" s="1"/>
  <c r="L938" i="28" s="1"/>
  <c r="K878" i="28" a="1"/>
  <c r="K878" i="28" s="1"/>
  <c r="L878" i="28" s="1"/>
  <c r="K818" i="28" a="1"/>
  <c r="K818" i="28" s="1"/>
  <c r="L818" i="28" s="1"/>
  <c r="K710" i="28" a="1"/>
  <c r="K710" i="28" s="1"/>
  <c r="L710" i="28" s="1"/>
  <c r="M710" i="28" s="1"/>
  <c r="K626" i="28" a="1"/>
  <c r="K626" i="28" s="1"/>
  <c r="L626" i="28" s="1"/>
  <c r="M626" i="28" s="1"/>
  <c r="K566" i="28" a="1"/>
  <c r="K566" i="28" s="1"/>
  <c r="L566" i="28" s="1"/>
  <c r="M566" i="28" s="1"/>
  <c r="K518" i="28" a="1"/>
  <c r="K518" i="28" s="1"/>
  <c r="L518" i="28" s="1"/>
  <c r="M518" i="28" s="1"/>
  <c r="K434" i="28" a="1"/>
  <c r="K434" i="28" s="1"/>
  <c r="L434" i="28" s="1"/>
  <c r="M434" i="28" s="1"/>
  <c r="K386" i="28" a="1"/>
  <c r="K386" i="28" s="1"/>
  <c r="L386" i="28" s="1"/>
  <c r="M386" i="28" s="1"/>
  <c r="K470" i="28" a="1"/>
  <c r="K470" i="28" s="1"/>
  <c r="L470" i="28" s="1"/>
  <c r="M470" i="28" s="1"/>
  <c r="K350" i="28" a="1"/>
  <c r="K350" i="28" s="1"/>
  <c r="L350" i="28" s="1"/>
  <c r="M350" i="28" s="1"/>
  <c r="K362" i="28" a="1"/>
  <c r="K362" i="28" s="1"/>
  <c r="L362" i="28" s="1"/>
  <c r="M362" i="28" s="1"/>
  <c r="K254" i="28" a="1"/>
  <c r="K254" i="28" s="1"/>
  <c r="L254" i="28" s="1"/>
  <c r="M254" i="28" s="1"/>
  <c r="K242" i="28" a="1"/>
  <c r="K242" i="28" s="1"/>
  <c r="L242" i="28" s="1"/>
  <c r="M242" i="28" s="1"/>
  <c r="K194" i="28" a="1"/>
  <c r="K194" i="28" s="1"/>
  <c r="L194" i="28" s="1"/>
  <c r="M194" i="28" s="1"/>
  <c r="K146" i="28" a="1"/>
  <c r="K146" i="28" s="1"/>
  <c r="L146" i="28" s="1"/>
  <c r="M146" i="28" s="1"/>
  <c r="K98" i="28" a="1"/>
  <c r="K98" i="28" s="1"/>
  <c r="L98" i="28" s="1"/>
  <c r="M98" i="28" s="1"/>
  <c r="K41" i="28" a="1"/>
  <c r="K41" i="28" s="1"/>
  <c r="L41" i="28" s="1"/>
  <c r="M41" i="28" s="1"/>
  <c r="K734" i="28" a="1"/>
  <c r="K734" i="28" s="1"/>
  <c r="L734" i="28" s="1"/>
  <c r="M734" i="28" s="1"/>
  <c r="K542" i="28" a="1"/>
  <c r="K542" i="28" s="1"/>
  <c r="L542" i="28" s="1"/>
  <c r="M542" i="28" s="1"/>
  <c r="K410" i="28" a="1"/>
  <c r="K410" i="28" s="1"/>
  <c r="L410" i="28" s="1"/>
  <c r="M410" i="28" s="1"/>
  <c r="K446" i="28" a="1"/>
  <c r="K446" i="28" s="1"/>
  <c r="L446" i="28" s="1"/>
  <c r="M446" i="28" s="1"/>
  <c r="K6" i="28" a="1"/>
  <c r="K6" i="28" s="1"/>
  <c r="L6" i="28" s="1"/>
  <c r="M6" i="28" s="1"/>
  <c r="K122" i="28" a="1"/>
  <c r="K122" i="28" s="1"/>
  <c r="L122" i="28" s="1"/>
  <c r="M122" i="28" s="1"/>
  <c r="K722" i="28" a="1"/>
  <c r="K722" i="28" s="1"/>
  <c r="L722" i="28" s="1"/>
  <c r="M722" i="28" s="1"/>
  <c r="K590" i="28" a="1"/>
  <c r="K590" i="28" s="1"/>
  <c r="L590" i="28" s="1"/>
  <c r="M590" i="28" s="1"/>
  <c r="K578" i="28" a="1"/>
  <c r="K578" i="28" s="1"/>
  <c r="L578" i="28" s="1"/>
  <c r="M578" i="28" s="1"/>
  <c r="K374" i="28" a="1"/>
  <c r="K374" i="28" s="1"/>
  <c r="L374" i="28" s="1"/>
  <c r="M374" i="28" s="1"/>
  <c r="K278" i="28" a="1"/>
  <c r="K278" i="28" s="1"/>
  <c r="L278" i="28" s="1"/>
  <c r="M278" i="28" s="1"/>
  <c r="K206" i="28" a="1"/>
  <c r="K206" i="28" s="1"/>
  <c r="L206" i="28" s="1"/>
  <c r="M206" i="28" s="1"/>
  <c r="K110" i="28" a="1"/>
  <c r="K110" i="28" s="1"/>
  <c r="L110" i="28" s="1"/>
  <c r="M110" i="28" s="1"/>
  <c r="K698" i="28" a="1"/>
  <c r="K698" i="28" s="1"/>
  <c r="L698" i="28" s="1"/>
  <c r="M698" i="28" s="1"/>
  <c r="K686" i="28" a="1"/>
  <c r="K686" i="28" s="1"/>
  <c r="L686" i="28" s="1"/>
  <c r="M686" i="28" s="1"/>
  <c r="K614" i="28" a="1"/>
  <c r="K614" i="28" s="1"/>
  <c r="L614" i="28" s="1"/>
  <c r="M614" i="28" s="1"/>
  <c r="K554" i="28" a="1"/>
  <c r="K554" i="28" s="1"/>
  <c r="L554" i="28" s="1"/>
  <c r="M554" i="28" s="1"/>
  <c r="K506" i="28" a="1"/>
  <c r="K506" i="28" s="1"/>
  <c r="L506" i="28" s="1"/>
  <c r="M506" i="28" s="1"/>
  <c r="K422" i="28" a="1"/>
  <c r="K422" i="28" s="1"/>
  <c r="L422" i="28" s="1"/>
  <c r="M422" i="28" s="1"/>
  <c r="K674" i="28" a="1"/>
  <c r="K674" i="28" s="1"/>
  <c r="L674" i="28" s="1"/>
  <c r="M674" i="28" s="1"/>
  <c r="K458" i="28" a="1"/>
  <c r="K458" i="28" s="1"/>
  <c r="L458" i="28" s="1"/>
  <c r="M458" i="28" s="1"/>
  <c r="K338" i="28" a="1"/>
  <c r="K338" i="28" s="1"/>
  <c r="L338" i="28" s="1"/>
  <c r="M338" i="28" s="1"/>
  <c r="K326" i="28" a="1"/>
  <c r="K326" i="28" s="1"/>
  <c r="L326" i="28" s="1"/>
  <c r="M326" i="28" s="1"/>
  <c r="K86" i="28" a="1"/>
  <c r="K86" i="28" s="1"/>
  <c r="L86" i="28" s="1"/>
  <c r="M86" i="28" s="1"/>
  <c r="K230" i="28" a="1"/>
  <c r="K230" i="28" s="1"/>
  <c r="L230" i="28" s="1"/>
  <c r="M230" i="28" s="1"/>
  <c r="K182" i="28" a="1"/>
  <c r="K182" i="28" s="1"/>
  <c r="L182" i="28" s="1"/>
  <c r="M182" i="28" s="1"/>
  <c r="K134" i="28" a="1"/>
  <c r="K134" i="28" s="1"/>
  <c r="L134" i="28" s="1"/>
  <c r="M134" i="28" s="1"/>
  <c r="K74" i="28" a="1"/>
  <c r="K74" i="28" s="1"/>
  <c r="L74" i="28" s="1"/>
  <c r="M74" i="28" s="1"/>
  <c r="K29" i="28" a="1"/>
  <c r="K29" i="28" s="1"/>
  <c r="L29" i="28" s="1"/>
  <c r="M29" i="28" s="1"/>
  <c r="K602" i="28" a="1"/>
  <c r="K602" i="28" s="1"/>
  <c r="L602" i="28" s="1"/>
  <c r="M602" i="28" s="1"/>
  <c r="K494" i="28" a="1"/>
  <c r="K494" i="28" s="1"/>
  <c r="L494" i="28" s="1"/>
  <c r="M494" i="28" s="1"/>
  <c r="K302" i="28" a="1"/>
  <c r="K302" i="28" s="1"/>
  <c r="L302" i="28" s="1"/>
  <c r="M302" i="28" s="1"/>
  <c r="K218" i="28" a="1"/>
  <c r="K218" i="28" s="1"/>
  <c r="L218" i="28" s="1"/>
  <c r="M218" i="28" s="1"/>
  <c r="K65" i="28" a="1"/>
  <c r="K65" i="28" s="1"/>
  <c r="L65" i="28" s="1"/>
  <c r="M65" i="28" s="1"/>
  <c r="K638" i="28" a="1"/>
  <c r="K638" i="28" s="1"/>
  <c r="L638" i="28" s="1"/>
  <c r="M638" i="28" s="1"/>
  <c r="K530" i="28" a="1"/>
  <c r="K530" i="28" s="1"/>
  <c r="L530" i="28" s="1"/>
  <c r="M530" i="28" s="1"/>
  <c r="K398" i="28" a="1"/>
  <c r="K398" i="28" s="1"/>
  <c r="L398" i="28" s="1"/>
  <c r="M398" i="28" s="1"/>
  <c r="K482" i="28" a="1"/>
  <c r="K482" i="28" s="1"/>
  <c r="L482" i="28" s="1"/>
  <c r="M482" i="28" s="1"/>
  <c r="K290" i="28" a="1"/>
  <c r="K290" i="28" s="1"/>
  <c r="L290" i="28" s="1"/>
  <c r="M290" i="28" s="1"/>
  <c r="K266" i="28" a="1"/>
  <c r="K266" i="28" s="1"/>
  <c r="L266" i="28" s="1"/>
  <c r="M266" i="28" s="1"/>
  <c r="K158" i="28" a="1"/>
  <c r="K158" i="28" s="1"/>
  <c r="L158" i="28" s="1"/>
  <c r="M158" i="28" s="1"/>
  <c r="K53" i="28" a="1"/>
  <c r="K53" i="28" s="1"/>
  <c r="L53" i="28" s="1"/>
  <c r="M53" i="28" s="1"/>
  <c r="K650" i="28" a="1"/>
  <c r="K650" i="28" s="1"/>
  <c r="L650" i="28" s="1"/>
  <c r="M650" i="28" s="1"/>
  <c r="K662" i="28" a="1"/>
  <c r="K662" i="28" s="1"/>
  <c r="L662" i="28" s="1"/>
  <c r="M662" i="28" s="1"/>
  <c r="K314" i="28" a="1"/>
  <c r="K314" i="28" s="1"/>
  <c r="L314" i="28" s="1"/>
  <c r="M314" i="28" s="1"/>
  <c r="K170" i="28" a="1"/>
  <c r="K170" i="28" s="1"/>
  <c r="L170" i="28" s="1"/>
  <c r="M170" i="28" s="1"/>
  <c r="K17" i="28" a="1"/>
  <c r="K17" i="28" s="1"/>
  <c r="L17" i="28" s="1"/>
  <c r="M17" i="28" s="1"/>
  <c r="B14" i="26"/>
  <c r="B15" i="26"/>
  <c r="B12" i="26"/>
  <c r="B18" i="26"/>
  <c r="B21" i="26"/>
  <c r="B20" i="26"/>
  <c r="B13" i="26"/>
  <c r="B22" i="26"/>
  <c r="B17" i="26"/>
  <c r="B23" i="26"/>
  <c r="B19" i="26"/>
  <c r="B24" i="27"/>
  <c r="K740" i="26" l="1" a="1"/>
  <c r="K740" i="26" s="1"/>
  <c r="L740" i="26" s="1"/>
  <c r="M740" i="26" s="1"/>
  <c r="K728" i="26" a="1"/>
  <c r="K728" i="26" s="1"/>
  <c r="L728" i="26" s="1"/>
  <c r="M728" i="26" s="1"/>
  <c r="K704" i="26" a="1"/>
  <c r="K704" i="26" s="1"/>
  <c r="L704" i="26" s="1"/>
  <c r="M704" i="26" s="1"/>
  <c r="K680" i="26" a="1"/>
  <c r="K680" i="26" s="1"/>
  <c r="L680" i="26" s="1"/>
  <c r="M680" i="26" s="1"/>
  <c r="K668" i="26" a="1"/>
  <c r="K668" i="26" s="1"/>
  <c r="L668" i="26" s="1"/>
  <c r="M668" i="26" s="1"/>
  <c r="K656" i="26" a="1"/>
  <c r="K656" i="26" s="1"/>
  <c r="L656" i="26" s="1"/>
  <c r="M656" i="26" s="1"/>
  <c r="K644" i="26" a="1"/>
  <c r="K644" i="26" s="1"/>
  <c r="L644" i="26" s="1"/>
  <c r="M644" i="26" s="1"/>
  <c r="K632" i="26" a="1"/>
  <c r="K632" i="26" s="1"/>
  <c r="L632" i="26" s="1"/>
  <c r="M632" i="26" s="1"/>
  <c r="K620" i="26" a="1"/>
  <c r="K620" i="26" s="1"/>
  <c r="L620" i="26" s="1"/>
  <c r="M620" i="26" s="1"/>
  <c r="K608" i="26" a="1"/>
  <c r="K608" i="26" s="1"/>
  <c r="L608" i="26" s="1"/>
  <c r="M608" i="26" s="1"/>
  <c r="K716" i="26" a="1"/>
  <c r="K716" i="26" s="1"/>
  <c r="L716" i="26" s="1"/>
  <c r="M716" i="26" s="1"/>
  <c r="K692" i="26" a="1"/>
  <c r="K692" i="26" s="1"/>
  <c r="L692" i="26" s="1"/>
  <c r="M692" i="26" s="1"/>
  <c r="K596" i="26" a="1"/>
  <c r="K596" i="26" s="1"/>
  <c r="L596" i="26" s="1"/>
  <c r="M596" i="26" s="1"/>
  <c r="K572" i="26" a="1"/>
  <c r="K572" i="26" s="1"/>
  <c r="L572" i="26" s="1"/>
  <c r="M572" i="26" s="1"/>
  <c r="K548" i="26" a="1"/>
  <c r="K548" i="26" s="1"/>
  <c r="L548" i="26" s="1"/>
  <c r="M548" i="26" s="1"/>
  <c r="K524" i="26" a="1"/>
  <c r="K524" i="26" s="1"/>
  <c r="L524" i="26" s="1"/>
  <c r="M524" i="26" s="1"/>
  <c r="K500" i="26" a="1"/>
  <c r="K500" i="26" s="1"/>
  <c r="L500" i="26" s="1"/>
  <c r="M500" i="26" s="1"/>
  <c r="K476" i="26" a="1"/>
  <c r="K476" i="26" s="1"/>
  <c r="L476" i="26" s="1"/>
  <c r="M476" i="26" s="1"/>
  <c r="K452" i="26" a="1"/>
  <c r="K452" i="26" s="1"/>
  <c r="L452" i="26" s="1"/>
  <c r="M452" i="26" s="1"/>
  <c r="K428" i="26" a="1"/>
  <c r="K428" i="26" s="1"/>
  <c r="L428" i="26" s="1"/>
  <c r="M428" i="26" s="1"/>
  <c r="K560" i="26" a="1"/>
  <c r="K560" i="26" s="1"/>
  <c r="L560" i="26" s="1"/>
  <c r="M560" i="26" s="1"/>
  <c r="K512" i="26" a="1"/>
  <c r="K512" i="26" s="1"/>
  <c r="L512" i="26" s="1"/>
  <c r="M512" i="26" s="1"/>
  <c r="K416" i="26" a="1"/>
  <c r="K416" i="26" s="1"/>
  <c r="L416" i="26" s="1"/>
  <c r="M416" i="26" s="1"/>
  <c r="K404" i="26" a="1"/>
  <c r="K404" i="26" s="1"/>
  <c r="L404" i="26" s="1"/>
  <c r="M404" i="26" s="1"/>
  <c r="K536" i="26" a="1"/>
  <c r="K536" i="26" s="1"/>
  <c r="L536" i="26" s="1"/>
  <c r="M536" i="26" s="1"/>
  <c r="K440" i="26" a="1"/>
  <c r="K440" i="26" s="1"/>
  <c r="L440" i="26" s="1"/>
  <c r="M440" i="26" s="1"/>
  <c r="K584" i="26" a="1"/>
  <c r="K584" i="26" s="1"/>
  <c r="L584" i="26" s="1"/>
  <c r="M584" i="26" s="1"/>
  <c r="K464" i="26" a="1"/>
  <c r="K464" i="26" s="1"/>
  <c r="L464" i="26" s="1"/>
  <c r="M464" i="26" s="1"/>
  <c r="K368" i="26" a="1"/>
  <c r="K368" i="26" s="1"/>
  <c r="L368" i="26" s="1"/>
  <c r="M368" i="26" s="1"/>
  <c r="K488" i="26" a="1"/>
  <c r="K488" i="26" s="1"/>
  <c r="L488" i="26" s="1"/>
  <c r="M488" i="26" s="1"/>
  <c r="K320" i="26" a="1"/>
  <c r="K320" i="26" s="1"/>
  <c r="L320" i="26" s="1"/>
  <c r="M320" i="26" s="1"/>
  <c r="K296" i="26" a="1"/>
  <c r="K296" i="26" s="1"/>
  <c r="L296" i="26" s="1"/>
  <c r="M296" i="26" s="1"/>
  <c r="K272" i="26" a="1"/>
  <c r="K272" i="26" s="1"/>
  <c r="L272" i="26" s="1"/>
  <c r="M272" i="26" s="1"/>
  <c r="K248" i="26" a="1"/>
  <c r="K248" i="26" s="1"/>
  <c r="L248" i="26" s="1"/>
  <c r="M248" i="26" s="1"/>
  <c r="K224" i="26" a="1"/>
  <c r="K224" i="26" s="1"/>
  <c r="L224" i="26" s="1"/>
  <c r="M224" i="26" s="1"/>
  <c r="K332" i="26" a="1"/>
  <c r="K332" i="26" s="1"/>
  <c r="L332" i="26" s="1"/>
  <c r="M332" i="26" s="1"/>
  <c r="K392" i="26" a="1"/>
  <c r="K392" i="26" s="1"/>
  <c r="L392" i="26" s="1"/>
  <c r="M392" i="26" s="1"/>
  <c r="K380" i="26" a="1"/>
  <c r="K380" i="26" s="1"/>
  <c r="L380" i="26" s="1"/>
  <c r="M380" i="26" s="1"/>
  <c r="K344" i="26" a="1"/>
  <c r="K344" i="26" s="1"/>
  <c r="L344" i="26" s="1"/>
  <c r="M344" i="26" s="1"/>
  <c r="K308" i="26" a="1"/>
  <c r="K308" i="26" s="1"/>
  <c r="L308" i="26" s="1"/>
  <c r="M308" i="26" s="1"/>
  <c r="K284" i="26" a="1"/>
  <c r="K284" i="26" s="1"/>
  <c r="L284" i="26" s="1"/>
  <c r="M284" i="26" s="1"/>
  <c r="K260" i="26" a="1"/>
  <c r="K260" i="26" s="1"/>
  <c r="L260" i="26" s="1"/>
  <c r="M260" i="26" s="1"/>
  <c r="K212" i="26" a="1"/>
  <c r="K212" i="26" s="1"/>
  <c r="L212" i="26" s="1"/>
  <c r="M212" i="26" s="1"/>
  <c r="K59" i="26" a="1"/>
  <c r="K59" i="26" s="1"/>
  <c r="L59" i="26" s="1"/>
  <c r="M59" i="26" s="1"/>
  <c r="K47" i="26" a="1"/>
  <c r="K47" i="26" s="1"/>
  <c r="L47" i="26" s="1"/>
  <c r="M47" i="26" s="1"/>
  <c r="K11" i="26" a="1"/>
  <c r="K11" i="26" s="1"/>
  <c r="L11" i="26" s="1"/>
  <c r="M11" i="26" s="1"/>
  <c r="K188" i="26" a="1"/>
  <c r="K188" i="26" s="1"/>
  <c r="L188" i="26" s="1"/>
  <c r="M188" i="26" s="1"/>
  <c r="K152" i="26" a="1"/>
  <c r="K152" i="26" s="1"/>
  <c r="L152" i="26" s="1"/>
  <c r="M152" i="26" s="1"/>
  <c r="K128" i="26" a="1"/>
  <c r="K128" i="26" s="1"/>
  <c r="L128" i="26" s="1"/>
  <c r="M128" i="26" s="1"/>
  <c r="K104" i="26" a="1"/>
  <c r="K104" i="26" s="1"/>
  <c r="L104" i="26" s="1"/>
  <c r="M104" i="26" s="1"/>
  <c r="K80" i="26" a="1"/>
  <c r="K80" i="26" s="1"/>
  <c r="L80" i="26" s="1"/>
  <c r="M80" i="26" s="1"/>
  <c r="K35" i="26" a="1"/>
  <c r="K35" i="26" s="1"/>
  <c r="L35" i="26" s="1"/>
  <c r="M35" i="26" s="1"/>
  <c r="K23" i="26" a="1"/>
  <c r="K23" i="26" s="1"/>
  <c r="L23" i="26" s="1"/>
  <c r="M23" i="26" s="1"/>
  <c r="K176" i="26" a="1"/>
  <c r="K176" i="26" s="1"/>
  <c r="L176" i="26" s="1"/>
  <c r="M176" i="26" s="1"/>
  <c r="K356" i="26" a="1"/>
  <c r="K356" i="26" s="1"/>
  <c r="L356" i="26" s="1"/>
  <c r="M356" i="26" s="1"/>
  <c r="K236" i="26" a="1"/>
  <c r="K236" i="26" s="1"/>
  <c r="L236" i="26" s="1"/>
  <c r="M236" i="26" s="1"/>
  <c r="K200" i="26" a="1"/>
  <c r="K200" i="26" s="1"/>
  <c r="L200" i="26" s="1"/>
  <c r="M200" i="26" s="1"/>
  <c r="K164" i="26" a="1"/>
  <c r="K164" i="26" s="1"/>
  <c r="L164" i="26" s="1"/>
  <c r="M164" i="26" s="1"/>
  <c r="K140" i="26" a="1"/>
  <c r="K140" i="26" s="1"/>
  <c r="L140" i="26" s="1"/>
  <c r="M140" i="26" s="1"/>
  <c r="K116" i="26" a="1"/>
  <c r="K116" i="26" s="1"/>
  <c r="L116" i="26" s="1"/>
  <c r="M116" i="26" s="1"/>
  <c r="K92" i="26" a="1"/>
  <c r="K92" i="26" s="1"/>
  <c r="L92" i="26" s="1"/>
  <c r="M92" i="26" s="1"/>
  <c r="K739" i="26" a="1"/>
  <c r="K739" i="26" s="1"/>
  <c r="L739" i="26" s="1"/>
  <c r="M739" i="26" s="1"/>
  <c r="K715" i="26" a="1"/>
  <c r="K715" i="26" s="1"/>
  <c r="L715" i="26" s="1"/>
  <c r="M715" i="26" s="1"/>
  <c r="K691" i="26" a="1"/>
  <c r="K691" i="26" s="1"/>
  <c r="L691" i="26" s="1"/>
  <c r="M691" i="26" s="1"/>
  <c r="K679" i="26" a="1"/>
  <c r="K679" i="26" s="1"/>
  <c r="L679" i="26" s="1"/>
  <c r="M679" i="26" s="1"/>
  <c r="K667" i="26" a="1"/>
  <c r="K667" i="26" s="1"/>
  <c r="L667" i="26" s="1"/>
  <c r="M667" i="26" s="1"/>
  <c r="K655" i="26" a="1"/>
  <c r="K655" i="26" s="1"/>
  <c r="L655" i="26" s="1"/>
  <c r="M655" i="26" s="1"/>
  <c r="K727" i="26" a="1"/>
  <c r="K727" i="26" s="1"/>
  <c r="L727" i="26" s="1"/>
  <c r="M727" i="26" s="1"/>
  <c r="K703" i="26" a="1"/>
  <c r="K703" i="26" s="1"/>
  <c r="L703" i="26" s="1"/>
  <c r="M703" i="26" s="1"/>
  <c r="K619" i="26" a="1"/>
  <c r="K619" i="26" s="1"/>
  <c r="L619" i="26" s="1"/>
  <c r="M619" i="26" s="1"/>
  <c r="K583" i="26" a="1"/>
  <c r="K583" i="26" s="1"/>
  <c r="L583" i="26" s="1"/>
  <c r="M583" i="26" s="1"/>
  <c r="K559" i="26" a="1"/>
  <c r="K559" i="26" s="1"/>
  <c r="L559" i="26" s="1"/>
  <c r="M559" i="26" s="1"/>
  <c r="K631" i="26" a="1"/>
  <c r="K631" i="26" s="1"/>
  <c r="L631" i="26" s="1"/>
  <c r="M631" i="26" s="1"/>
  <c r="K607" i="26" a="1"/>
  <c r="K607" i="26" s="1"/>
  <c r="L607" i="26" s="1"/>
  <c r="M607" i="26" s="1"/>
  <c r="K595" i="26" a="1"/>
  <c r="K595" i="26" s="1"/>
  <c r="L595" i="26" s="1"/>
  <c r="M595" i="26" s="1"/>
  <c r="K547" i="26" a="1"/>
  <c r="K547" i="26" s="1"/>
  <c r="L547" i="26" s="1"/>
  <c r="M547" i="26" s="1"/>
  <c r="K523" i="26" a="1"/>
  <c r="K523" i="26" s="1"/>
  <c r="L523" i="26" s="1"/>
  <c r="M523" i="26" s="1"/>
  <c r="K499" i="26" a="1"/>
  <c r="K499" i="26" s="1"/>
  <c r="L499" i="26" s="1"/>
  <c r="M499" i="26" s="1"/>
  <c r="K475" i="26" a="1"/>
  <c r="K475" i="26" s="1"/>
  <c r="L475" i="26" s="1"/>
  <c r="M475" i="26" s="1"/>
  <c r="K451" i="26" a="1"/>
  <c r="K451" i="26" s="1"/>
  <c r="L451" i="26" s="1"/>
  <c r="M451" i="26" s="1"/>
  <c r="K571" i="26" a="1"/>
  <c r="K571" i="26" s="1"/>
  <c r="L571" i="26" s="1"/>
  <c r="M571" i="26" s="1"/>
  <c r="K535" i="26" a="1"/>
  <c r="K535" i="26" s="1"/>
  <c r="L535" i="26" s="1"/>
  <c r="M535" i="26" s="1"/>
  <c r="K439" i="26" a="1"/>
  <c r="K439" i="26" s="1"/>
  <c r="L439" i="26" s="1"/>
  <c r="M439" i="26" s="1"/>
  <c r="K463" i="26" a="1"/>
  <c r="K463" i="26" s="1"/>
  <c r="L463" i="26" s="1"/>
  <c r="M463" i="26" s="1"/>
  <c r="K427" i="26" a="1"/>
  <c r="K427" i="26" s="1"/>
  <c r="L427" i="26" s="1"/>
  <c r="M427" i="26" s="1"/>
  <c r="K643" i="26" a="1"/>
  <c r="K643" i="26" s="1"/>
  <c r="L643" i="26" s="1"/>
  <c r="M643" i="26" s="1"/>
  <c r="K487" i="26" a="1"/>
  <c r="K487" i="26" s="1"/>
  <c r="L487" i="26" s="1"/>
  <c r="M487" i="26" s="1"/>
  <c r="K415" i="26" a="1"/>
  <c r="K415" i="26" s="1"/>
  <c r="L415" i="26" s="1"/>
  <c r="M415" i="26" s="1"/>
  <c r="K403" i="26" a="1"/>
  <c r="K403" i="26" s="1"/>
  <c r="L403" i="26" s="1"/>
  <c r="M403" i="26" s="1"/>
  <c r="K391" i="26" a="1"/>
  <c r="K391" i="26" s="1"/>
  <c r="L391" i="26" s="1"/>
  <c r="M391" i="26" s="1"/>
  <c r="K379" i="26" a="1"/>
  <c r="K379" i="26" s="1"/>
  <c r="L379" i="26" s="1"/>
  <c r="M379" i="26" s="1"/>
  <c r="K367" i="26" a="1"/>
  <c r="K367" i="26" s="1"/>
  <c r="L367" i="26" s="1"/>
  <c r="M367" i="26" s="1"/>
  <c r="K355" i="26" a="1"/>
  <c r="K355" i="26" s="1"/>
  <c r="L355" i="26" s="1"/>
  <c r="M355" i="26" s="1"/>
  <c r="K343" i="26" a="1"/>
  <c r="K343" i="26" s="1"/>
  <c r="L343" i="26" s="1"/>
  <c r="M343" i="26" s="1"/>
  <c r="K331" i="26" a="1"/>
  <c r="K331" i="26" s="1"/>
  <c r="L331" i="26" s="1"/>
  <c r="M331" i="26" s="1"/>
  <c r="K511" i="26" a="1"/>
  <c r="K511" i="26" s="1"/>
  <c r="L511" i="26" s="1"/>
  <c r="M511" i="26" s="1"/>
  <c r="K319" i="26" a="1"/>
  <c r="K319" i="26" s="1"/>
  <c r="L319" i="26" s="1"/>
  <c r="M319" i="26" s="1"/>
  <c r="K295" i="26" a="1"/>
  <c r="K295" i="26" s="1"/>
  <c r="L295" i="26" s="1"/>
  <c r="M295" i="26" s="1"/>
  <c r="K271" i="26" a="1"/>
  <c r="K271" i="26" s="1"/>
  <c r="L271" i="26" s="1"/>
  <c r="M271" i="26" s="1"/>
  <c r="K247" i="26" a="1"/>
  <c r="K247" i="26" s="1"/>
  <c r="L247" i="26" s="1"/>
  <c r="M247" i="26" s="1"/>
  <c r="K223" i="26" a="1"/>
  <c r="K223" i="26" s="1"/>
  <c r="L223" i="26" s="1"/>
  <c r="M223" i="26" s="1"/>
  <c r="K199" i="26" a="1"/>
  <c r="K199" i="26" s="1"/>
  <c r="L199" i="26" s="1"/>
  <c r="M199" i="26" s="1"/>
  <c r="K175" i="26" a="1"/>
  <c r="K175" i="26" s="1"/>
  <c r="L175" i="26" s="1"/>
  <c r="M175" i="26" s="1"/>
  <c r="K211" i="26" a="1"/>
  <c r="K211" i="26" s="1"/>
  <c r="L211" i="26" s="1"/>
  <c r="M211" i="26" s="1"/>
  <c r="K163" i="26" a="1"/>
  <c r="K163" i="26" s="1"/>
  <c r="L163" i="26" s="1"/>
  <c r="M163" i="26" s="1"/>
  <c r="K139" i="26" a="1"/>
  <c r="K139" i="26" s="1"/>
  <c r="L139" i="26" s="1"/>
  <c r="M139" i="26" s="1"/>
  <c r="K115" i="26" a="1"/>
  <c r="K115" i="26" s="1"/>
  <c r="L115" i="26" s="1"/>
  <c r="M115" i="26" s="1"/>
  <c r="K91" i="26" a="1"/>
  <c r="K91" i="26" s="1"/>
  <c r="L91" i="26" s="1"/>
  <c r="M91" i="26" s="1"/>
  <c r="K307" i="26" a="1"/>
  <c r="K307" i="26" s="1"/>
  <c r="L307" i="26" s="1"/>
  <c r="M307" i="26" s="1"/>
  <c r="K283" i="26" a="1"/>
  <c r="K283" i="26" s="1"/>
  <c r="L283" i="26" s="1"/>
  <c r="M283" i="26" s="1"/>
  <c r="K259" i="26" a="1"/>
  <c r="K259" i="26" s="1"/>
  <c r="L259" i="26" s="1"/>
  <c r="M259" i="26" s="1"/>
  <c r="K187" i="26" a="1"/>
  <c r="K187" i="26" s="1"/>
  <c r="L187" i="26" s="1"/>
  <c r="M187" i="26" s="1"/>
  <c r="K58" i="26" a="1"/>
  <c r="K58" i="26" s="1"/>
  <c r="L58" i="26" s="1"/>
  <c r="M58" i="26" s="1"/>
  <c r="K46" i="26" a="1"/>
  <c r="K46" i="26" s="1"/>
  <c r="L46" i="26" s="1"/>
  <c r="M46" i="26" s="1"/>
  <c r="K34" i="26" a="1"/>
  <c r="K34" i="26" s="1"/>
  <c r="L34" i="26" s="1"/>
  <c r="M34" i="26" s="1"/>
  <c r="K22" i="26" a="1"/>
  <c r="K22" i="26" s="1"/>
  <c r="L22" i="26" s="1"/>
  <c r="M22" i="26" s="1"/>
  <c r="K10" i="26" a="1"/>
  <c r="K10" i="26" s="1"/>
  <c r="L10" i="26" s="1"/>
  <c r="M10" i="26" s="1"/>
  <c r="K151" i="26" a="1"/>
  <c r="K151" i="26" s="1"/>
  <c r="L151" i="26" s="1"/>
  <c r="M151" i="26" s="1"/>
  <c r="K127" i="26" a="1"/>
  <c r="K127" i="26" s="1"/>
  <c r="L127" i="26" s="1"/>
  <c r="M127" i="26" s="1"/>
  <c r="K103" i="26" a="1"/>
  <c r="K103" i="26" s="1"/>
  <c r="L103" i="26" s="1"/>
  <c r="M103" i="26" s="1"/>
  <c r="K79" i="26" a="1"/>
  <c r="K79" i="26" s="1"/>
  <c r="L79" i="26" s="1"/>
  <c r="M79" i="26" s="1"/>
  <c r="K70" i="26" a="1"/>
  <c r="K70" i="26" s="1"/>
  <c r="L70" i="26" s="1"/>
  <c r="M70" i="26" s="1"/>
  <c r="K235" i="26" a="1"/>
  <c r="K235" i="26" s="1"/>
  <c r="L235" i="26" s="1"/>
  <c r="M235" i="26" s="1"/>
  <c r="K677" i="26" a="1"/>
  <c r="K677" i="26" s="1"/>
  <c r="L677" i="26" s="1"/>
  <c r="M677" i="26" s="1"/>
  <c r="K665" i="26" a="1"/>
  <c r="K665" i="26" s="1"/>
  <c r="L665" i="26" s="1"/>
  <c r="M665" i="26" s="1"/>
  <c r="K653" i="26" a="1"/>
  <c r="K653" i="26" s="1"/>
  <c r="L653" i="26" s="1"/>
  <c r="M653" i="26" s="1"/>
  <c r="K713" i="26" a="1"/>
  <c r="K713" i="26" s="1"/>
  <c r="L713" i="26" s="1"/>
  <c r="M713" i="26" s="1"/>
  <c r="K689" i="26" a="1"/>
  <c r="K689" i="26" s="1"/>
  <c r="L689" i="26" s="1"/>
  <c r="M689" i="26" s="1"/>
  <c r="K737" i="26" a="1"/>
  <c r="K737" i="26" s="1"/>
  <c r="L737" i="26" s="1"/>
  <c r="M737" i="26" s="1"/>
  <c r="K605" i="26" a="1"/>
  <c r="K605" i="26" s="1"/>
  <c r="L605" i="26" s="1"/>
  <c r="M605" i="26" s="1"/>
  <c r="K701" i="26" a="1"/>
  <c r="K701" i="26" s="1"/>
  <c r="L701" i="26" s="1"/>
  <c r="M701" i="26" s="1"/>
  <c r="K617" i="26" a="1"/>
  <c r="K617" i="26" s="1"/>
  <c r="L617" i="26" s="1"/>
  <c r="M617" i="26" s="1"/>
  <c r="K581" i="26" a="1"/>
  <c r="K581" i="26" s="1"/>
  <c r="L581" i="26" s="1"/>
  <c r="M581" i="26" s="1"/>
  <c r="K629" i="26" a="1"/>
  <c r="K629" i="26" s="1"/>
  <c r="L629" i="26" s="1"/>
  <c r="M629" i="26" s="1"/>
  <c r="K557" i="26" a="1"/>
  <c r="K557" i="26" s="1"/>
  <c r="L557" i="26" s="1"/>
  <c r="M557" i="26" s="1"/>
  <c r="K545" i="26" a="1"/>
  <c r="K545" i="26" s="1"/>
  <c r="L545" i="26" s="1"/>
  <c r="M545" i="26" s="1"/>
  <c r="K641" i="26" a="1"/>
  <c r="K641" i="26" s="1"/>
  <c r="L641" i="26" s="1"/>
  <c r="M641" i="26" s="1"/>
  <c r="K509" i="26" a="1"/>
  <c r="K509" i="26" s="1"/>
  <c r="L509" i="26" s="1"/>
  <c r="M509" i="26" s="1"/>
  <c r="K449" i="26" a="1"/>
  <c r="K449" i="26" s="1"/>
  <c r="L449" i="26" s="1"/>
  <c r="M449" i="26" s="1"/>
  <c r="K569" i="26" a="1"/>
  <c r="K569" i="26" s="1"/>
  <c r="L569" i="26" s="1"/>
  <c r="M569" i="26" s="1"/>
  <c r="K533" i="26" a="1"/>
  <c r="K533" i="26" s="1"/>
  <c r="L533" i="26" s="1"/>
  <c r="M533" i="26" s="1"/>
  <c r="K473" i="26" a="1"/>
  <c r="K473" i="26" s="1"/>
  <c r="L473" i="26" s="1"/>
  <c r="M473" i="26" s="1"/>
  <c r="K437" i="26" a="1"/>
  <c r="K437" i="26" s="1"/>
  <c r="L437" i="26" s="1"/>
  <c r="M437" i="26" s="1"/>
  <c r="K593" i="26" a="1"/>
  <c r="K593" i="26" s="1"/>
  <c r="L593" i="26" s="1"/>
  <c r="M593" i="26" s="1"/>
  <c r="K497" i="26" a="1"/>
  <c r="K497" i="26" s="1"/>
  <c r="L497" i="26" s="1"/>
  <c r="M497" i="26" s="1"/>
  <c r="K461" i="26" a="1"/>
  <c r="K461" i="26" s="1"/>
  <c r="L461" i="26" s="1"/>
  <c r="M461" i="26" s="1"/>
  <c r="K413" i="26" a="1"/>
  <c r="K413" i="26" s="1"/>
  <c r="L413" i="26" s="1"/>
  <c r="M413" i="26" s="1"/>
  <c r="K401" i="26" a="1"/>
  <c r="K401" i="26" s="1"/>
  <c r="L401" i="26" s="1"/>
  <c r="M401" i="26" s="1"/>
  <c r="K389" i="26" a="1"/>
  <c r="K389" i="26" s="1"/>
  <c r="L389" i="26" s="1"/>
  <c r="M389" i="26" s="1"/>
  <c r="K377" i="26" a="1"/>
  <c r="K377" i="26" s="1"/>
  <c r="L377" i="26" s="1"/>
  <c r="M377" i="26" s="1"/>
  <c r="K365" i="26" a="1"/>
  <c r="K365" i="26" s="1"/>
  <c r="L365" i="26" s="1"/>
  <c r="M365" i="26" s="1"/>
  <c r="K353" i="26" a="1"/>
  <c r="K353" i="26" s="1"/>
  <c r="L353" i="26" s="1"/>
  <c r="M353" i="26" s="1"/>
  <c r="K341" i="26" a="1"/>
  <c r="K341" i="26" s="1"/>
  <c r="L341" i="26" s="1"/>
  <c r="M341" i="26" s="1"/>
  <c r="K329" i="26" a="1"/>
  <c r="K329" i="26" s="1"/>
  <c r="L329" i="26" s="1"/>
  <c r="M329" i="26" s="1"/>
  <c r="K485" i="26" a="1"/>
  <c r="K485" i="26" s="1"/>
  <c r="L485" i="26" s="1"/>
  <c r="M485" i="26" s="1"/>
  <c r="K725" i="26" a="1"/>
  <c r="K725" i="26" s="1"/>
  <c r="L725" i="26" s="1"/>
  <c r="M725" i="26" s="1"/>
  <c r="K305" i="26" a="1"/>
  <c r="K305" i="26" s="1"/>
  <c r="L305" i="26" s="1"/>
  <c r="M305" i="26" s="1"/>
  <c r="K281" i="26" a="1"/>
  <c r="K281" i="26" s="1"/>
  <c r="L281" i="26" s="1"/>
  <c r="M281" i="26" s="1"/>
  <c r="K257" i="26" a="1"/>
  <c r="K257" i="26" s="1"/>
  <c r="L257" i="26" s="1"/>
  <c r="M257" i="26" s="1"/>
  <c r="K233" i="26" a="1"/>
  <c r="K233" i="26" s="1"/>
  <c r="L233" i="26" s="1"/>
  <c r="M233" i="26" s="1"/>
  <c r="K209" i="26" a="1"/>
  <c r="K209" i="26" s="1"/>
  <c r="L209" i="26" s="1"/>
  <c r="M209" i="26" s="1"/>
  <c r="K425" i="26" a="1"/>
  <c r="K425" i="26" s="1"/>
  <c r="L425" i="26" s="1"/>
  <c r="M425" i="26" s="1"/>
  <c r="K521" i="26" a="1"/>
  <c r="K521" i="26" s="1"/>
  <c r="L521" i="26" s="1"/>
  <c r="M521" i="26" s="1"/>
  <c r="K317" i="26" a="1"/>
  <c r="K317" i="26" s="1"/>
  <c r="L317" i="26" s="1"/>
  <c r="M317" i="26" s="1"/>
  <c r="K293" i="26" a="1"/>
  <c r="K293" i="26" s="1"/>
  <c r="L293" i="26" s="1"/>
  <c r="M293" i="26" s="1"/>
  <c r="K269" i="26" a="1"/>
  <c r="K269" i="26" s="1"/>
  <c r="L269" i="26" s="1"/>
  <c r="M269" i="26" s="1"/>
  <c r="K173" i="26" a="1"/>
  <c r="K173" i="26" s="1"/>
  <c r="L173" i="26" s="1"/>
  <c r="M173" i="26" s="1"/>
  <c r="K20" i="26" a="1"/>
  <c r="K20" i="26" s="1"/>
  <c r="L20" i="26" s="1"/>
  <c r="M20" i="26" s="1"/>
  <c r="K8" i="26" a="1"/>
  <c r="K8" i="26" s="1"/>
  <c r="L8" i="26" s="1"/>
  <c r="M8" i="26" s="1"/>
  <c r="K197" i="26" a="1"/>
  <c r="K197" i="26" s="1"/>
  <c r="L197" i="26" s="1"/>
  <c r="M197" i="26" s="1"/>
  <c r="K185" i="26" a="1"/>
  <c r="K185" i="26" s="1"/>
  <c r="L185" i="26" s="1"/>
  <c r="M185" i="26" s="1"/>
  <c r="K161" i="26" a="1"/>
  <c r="K161" i="26" s="1"/>
  <c r="L161" i="26" s="1"/>
  <c r="M161" i="26" s="1"/>
  <c r="K137" i="26" a="1"/>
  <c r="K137" i="26" s="1"/>
  <c r="L137" i="26" s="1"/>
  <c r="M137" i="26" s="1"/>
  <c r="K113" i="26" a="1"/>
  <c r="K113" i="26" s="1"/>
  <c r="L113" i="26" s="1"/>
  <c r="M113" i="26" s="1"/>
  <c r="K89" i="26" a="1"/>
  <c r="K89" i="26" s="1"/>
  <c r="L89" i="26" s="1"/>
  <c r="M89" i="26" s="1"/>
  <c r="K56" i="26" a="1"/>
  <c r="K56" i="26" s="1"/>
  <c r="L56" i="26" s="1"/>
  <c r="M56" i="26" s="1"/>
  <c r="K44" i="26" a="1"/>
  <c r="K44" i="26" s="1"/>
  <c r="L44" i="26" s="1"/>
  <c r="M44" i="26" s="1"/>
  <c r="K32" i="26" a="1"/>
  <c r="K32" i="26" s="1"/>
  <c r="L32" i="26" s="1"/>
  <c r="M32" i="26" s="1"/>
  <c r="K245" i="26" a="1"/>
  <c r="K245" i="26" s="1"/>
  <c r="L245" i="26" s="1"/>
  <c r="M245" i="26" s="1"/>
  <c r="K221" i="26" a="1"/>
  <c r="K221" i="26" s="1"/>
  <c r="L221" i="26" s="1"/>
  <c r="M221" i="26" s="1"/>
  <c r="K149" i="26" a="1"/>
  <c r="K149" i="26" s="1"/>
  <c r="L149" i="26" s="1"/>
  <c r="M149" i="26" s="1"/>
  <c r="K125" i="26" a="1"/>
  <c r="K125" i="26" s="1"/>
  <c r="L125" i="26" s="1"/>
  <c r="M125" i="26" s="1"/>
  <c r="K101" i="26" a="1"/>
  <c r="K101" i="26" s="1"/>
  <c r="L101" i="26" s="1"/>
  <c r="M101" i="26" s="1"/>
  <c r="K77" i="26" a="1"/>
  <c r="K77" i="26" s="1"/>
  <c r="L77" i="26" s="1"/>
  <c r="M77" i="26" s="1"/>
  <c r="K68" i="26" a="1"/>
  <c r="K68" i="26" s="1"/>
  <c r="L68" i="26" s="1"/>
  <c r="M68" i="26" s="1"/>
  <c r="K738" i="26" a="1"/>
  <c r="K738" i="26" s="1"/>
  <c r="L738" i="26" s="1"/>
  <c r="M738" i="26" s="1"/>
  <c r="K714" i="26" a="1"/>
  <c r="K714" i="26" s="1"/>
  <c r="L714" i="26" s="1"/>
  <c r="M714" i="26" s="1"/>
  <c r="K690" i="26" a="1"/>
  <c r="K690" i="26" s="1"/>
  <c r="L690" i="26" s="1"/>
  <c r="M690" i="26" s="1"/>
  <c r="K726" i="26" a="1"/>
  <c r="K726" i="26" s="1"/>
  <c r="L726" i="26" s="1"/>
  <c r="M726" i="26" s="1"/>
  <c r="K702" i="26" a="1"/>
  <c r="K702" i="26" s="1"/>
  <c r="L702" i="26" s="1"/>
  <c r="M702" i="26" s="1"/>
  <c r="K678" i="26" a="1"/>
  <c r="K678" i="26" s="1"/>
  <c r="L678" i="26" s="1"/>
  <c r="M678" i="26" s="1"/>
  <c r="K666" i="26" a="1"/>
  <c r="K666" i="26" s="1"/>
  <c r="L666" i="26" s="1"/>
  <c r="M666" i="26" s="1"/>
  <c r="K654" i="26" a="1"/>
  <c r="K654" i="26" s="1"/>
  <c r="L654" i="26" s="1"/>
  <c r="M654" i="26" s="1"/>
  <c r="K642" i="26" a="1"/>
  <c r="K642" i="26" s="1"/>
  <c r="L642" i="26" s="1"/>
  <c r="M642" i="26" s="1"/>
  <c r="K630" i="26" a="1"/>
  <c r="K630" i="26" s="1"/>
  <c r="L630" i="26" s="1"/>
  <c r="M630" i="26" s="1"/>
  <c r="K618" i="26" a="1"/>
  <c r="K618" i="26" s="1"/>
  <c r="L618" i="26" s="1"/>
  <c r="M618" i="26" s="1"/>
  <c r="K606" i="26" a="1"/>
  <c r="K606" i="26" s="1"/>
  <c r="L606" i="26" s="1"/>
  <c r="M606" i="26" s="1"/>
  <c r="K582" i="26" a="1"/>
  <c r="K582" i="26" s="1"/>
  <c r="L582" i="26" s="1"/>
  <c r="M582" i="26" s="1"/>
  <c r="K558" i="26" a="1"/>
  <c r="K558" i="26" s="1"/>
  <c r="L558" i="26" s="1"/>
  <c r="M558" i="26" s="1"/>
  <c r="K570" i="26" a="1"/>
  <c r="K570" i="26" s="1"/>
  <c r="L570" i="26" s="1"/>
  <c r="M570" i="26" s="1"/>
  <c r="K426" i="26" a="1"/>
  <c r="K426" i="26" s="1"/>
  <c r="L426" i="26" s="1"/>
  <c r="M426" i="26" s="1"/>
  <c r="K522" i="26" a="1"/>
  <c r="K522" i="26" s="1"/>
  <c r="L522" i="26" s="1"/>
  <c r="M522" i="26" s="1"/>
  <c r="K510" i="26" a="1"/>
  <c r="K510" i="26" s="1"/>
  <c r="L510" i="26" s="1"/>
  <c r="M510" i="26" s="1"/>
  <c r="K414" i="26" a="1"/>
  <c r="K414" i="26" s="1"/>
  <c r="L414" i="26" s="1"/>
  <c r="M414" i="26" s="1"/>
  <c r="K402" i="26" a="1"/>
  <c r="K402" i="26" s="1"/>
  <c r="L402" i="26" s="1"/>
  <c r="M402" i="26" s="1"/>
  <c r="K546" i="26" a="1"/>
  <c r="K546" i="26" s="1"/>
  <c r="L546" i="26" s="1"/>
  <c r="M546" i="26" s="1"/>
  <c r="K534" i="26" a="1"/>
  <c r="K534" i="26" s="1"/>
  <c r="L534" i="26" s="1"/>
  <c r="M534" i="26" s="1"/>
  <c r="K450" i="26" a="1"/>
  <c r="K450" i="26" s="1"/>
  <c r="L450" i="26" s="1"/>
  <c r="M450" i="26" s="1"/>
  <c r="K438" i="26" a="1"/>
  <c r="K438" i="26" s="1"/>
  <c r="L438" i="26" s="1"/>
  <c r="M438" i="26" s="1"/>
  <c r="K594" i="26" a="1"/>
  <c r="K594" i="26" s="1"/>
  <c r="L594" i="26" s="1"/>
  <c r="M594" i="26" s="1"/>
  <c r="K474" i="26" a="1"/>
  <c r="K474" i="26" s="1"/>
  <c r="L474" i="26" s="1"/>
  <c r="M474" i="26" s="1"/>
  <c r="K462" i="26" a="1"/>
  <c r="K462" i="26" s="1"/>
  <c r="L462" i="26" s="1"/>
  <c r="M462" i="26" s="1"/>
  <c r="K498" i="26" a="1"/>
  <c r="K498" i="26" s="1"/>
  <c r="L498" i="26" s="1"/>
  <c r="M498" i="26" s="1"/>
  <c r="K486" i="26" a="1"/>
  <c r="K486" i="26" s="1"/>
  <c r="L486" i="26" s="1"/>
  <c r="M486" i="26" s="1"/>
  <c r="K390" i="26" a="1"/>
  <c r="K390" i="26" s="1"/>
  <c r="L390" i="26" s="1"/>
  <c r="M390" i="26" s="1"/>
  <c r="K378" i="26" a="1"/>
  <c r="K378" i="26" s="1"/>
  <c r="L378" i="26" s="1"/>
  <c r="M378" i="26" s="1"/>
  <c r="K330" i="26" a="1"/>
  <c r="K330" i="26" s="1"/>
  <c r="L330" i="26" s="1"/>
  <c r="M330" i="26" s="1"/>
  <c r="K318" i="26" a="1"/>
  <c r="K318" i="26" s="1"/>
  <c r="L318" i="26" s="1"/>
  <c r="M318" i="26" s="1"/>
  <c r="K294" i="26" a="1"/>
  <c r="K294" i="26" s="1"/>
  <c r="L294" i="26" s="1"/>
  <c r="M294" i="26" s="1"/>
  <c r="K270" i="26" a="1"/>
  <c r="K270" i="26" s="1"/>
  <c r="L270" i="26" s="1"/>
  <c r="M270" i="26" s="1"/>
  <c r="K246" i="26" a="1"/>
  <c r="K246" i="26" s="1"/>
  <c r="L246" i="26" s="1"/>
  <c r="M246" i="26" s="1"/>
  <c r="K222" i="26" a="1"/>
  <c r="K222" i="26" s="1"/>
  <c r="L222" i="26" s="1"/>
  <c r="M222" i="26" s="1"/>
  <c r="K198" i="26" a="1"/>
  <c r="K198" i="26" s="1"/>
  <c r="L198" i="26" s="1"/>
  <c r="M198" i="26" s="1"/>
  <c r="K174" i="26" a="1"/>
  <c r="K174" i="26" s="1"/>
  <c r="L174" i="26" s="1"/>
  <c r="M174" i="26" s="1"/>
  <c r="K366" i="26" a="1"/>
  <c r="K366" i="26" s="1"/>
  <c r="L366" i="26" s="1"/>
  <c r="M366" i="26" s="1"/>
  <c r="K342" i="26" a="1"/>
  <c r="K342" i="26" s="1"/>
  <c r="L342" i="26" s="1"/>
  <c r="M342" i="26" s="1"/>
  <c r="K186" i="26" a="1"/>
  <c r="K186" i="26" s="1"/>
  <c r="L186" i="26" s="1"/>
  <c r="M186" i="26" s="1"/>
  <c r="K162" i="26" a="1"/>
  <c r="K162" i="26" s="1"/>
  <c r="L162" i="26" s="1"/>
  <c r="M162" i="26" s="1"/>
  <c r="K138" i="26" a="1"/>
  <c r="K138" i="26" s="1"/>
  <c r="L138" i="26" s="1"/>
  <c r="M138" i="26" s="1"/>
  <c r="K114" i="26" a="1"/>
  <c r="K114" i="26" s="1"/>
  <c r="L114" i="26" s="1"/>
  <c r="M114" i="26" s="1"/>
  <c r="K90" i="26" a="1"/>
  <c r="K90" i="26" s="1"/>
  <c r="L90" i="26" s="1"/>
  <c r="M90" i="26" s="1"/>
  <c r="K45" i="26" a="1"/>
  <c r="K45" i="26" s="1"/>
  <c r="L45" i="26" s="1"/>
  <c r="M45" i="26" s="1"/>
  <c r="K9" i="26" a="1"/>
  <c r="K9" i="26" s="1"/>
  <c r="L9" i="26" s="1"/>
  <c r="M9" i="26" s="1"/>
  <c r="K354" i="26" a="1"/>
  <c r="K354" i="26" s="1"/>
  <c r="L354" i="26" s="1"/>
  <c r="M354" i="26" s="1"/>
  <c r="K33" i="26" a="1"/>
  <c r="K33" i="26" s="1"/>
  <c r="L33" i="26" s="1"/>
  <c r="M33" i="26" s="1"/>
  <c r="K21" i="26" a="1"/>
  <c r="K21" i="26" s="1"/>
  <c r="L21" i="26" s="1"/>
  <c r="M21" i="26" s="1"/>
  <c r="K234" i="26" a="1"/>
  <c r="K234" i="26" s="1"/>
  <c r="L234" i="26" s="1"/>
  <c r="M234" i="26" s="1"/>
  <c r="K150" i="26" a="1"/>
  <c r="K150" i="26" s="1"/>
  <c r="L150" i="26" s="1"/>
  <c r="M150" i="26" s="1"/>
  <c r="K126" i="26" a="1"/>
  <c r="K126" i="26" s="1"/>
  <c r="L126" i="26" s="1"/>
  <c r="M126" i="26" s="1"/>
  <c r="K102" i="26" a="1"/>
  <c r="K102" i="26" s="1"/>
  <c r="L102" i="26" s="1"/>
  <c r="M102" i="26" s="1"/>
  <c r="K78" i="26" a="1"/>
  <c r="K78" i="26" s="1"/>
  <c r="L78" i="26" s="1"/>
  <c r="M78" i="26" s="1"/>
  <c r="K306" i="26" a="1"/>
  <c r="K306" i="26" s="1"/>
  <c r="L306" i="26" s="1"/>
  <c r="M306" i="26" s="1"/>
  <c r="K282" i="26" a="1"/>
  <c r="K282" i="26" s="1"/>
  <c r="L282" i="26" s="1"/>
  <c r="M282" i="26" s="1"/>
  <c r="K258" i="26" a="1"/>
  <c r="K258" i="26" s="1"/>
  <c r="L258" i="26" s="1"/>
  <c r="M258" i="26" s="1"/>
  <c r="K210" i="26" a="1"/>
  <c r="K210" i="26" s="1"/>
  <c r="L210" i="26" s="1"/>
  <c r="M210" i="26" s="1"/>
  <c r="K69" i="26" a="1"/>
  <c r="K69" i="26" s="1"/>
  <c r="L69" i="26" s="1"/>
  <c r="M69" i="26" s="1"/>
  <c r="K57" i="26" a="1"/>
  <c r="K57" i="26" s="1"/>
  <c r="L57" i="26" s="1"/>
  <c r="M57" i="26" s="1"/>
  <c r="K723" i="26" a="1"/>
  <c r="K723" i="26" s="1"/>
  <c r="L723" i="26" s="1"/>
  <c r="M723" i="26" s="1"/>
  <c r="K699" i="26" a="1"/>
  <c r="K699" i="26" s="1"/>
  <c r="L699" i="26" s="1"/>
  <c r="M699" i="26" s="1"/>
  <c r="K675" i="26" a="1"/>
  <c r="K675" i="26" s="1"/>
  <c r="L675" i="26" s="1"/>
  <c r="M675" i="26" s="1"/>
  <c r="K663" i="26" a="1"/>
  <c r="K663" i="26" s="1"/>
  <c r="L663" i="26" s="1"/>
  <c r="M663" i="26" s="1"/>
  <c r="K651" i="26" a="1"/>
  <c r="K651" i="26" s="1"/>
  <c r="L651" i="26" s="1"/>
  <c r="M651" i="26" s="1"/>
  <c r="K735" i="26" a="1"/>
  <c r="K735" i="26" s="1"/>
  <c r="L735" i="26" s="1"/>
  <c r="M735" i="26" s="1"/>
  <c r="K711" i="26" a="1"/>
  <c r="K711" i="26" s="1"/>
  <c r="L711" i="26" s="1"/>
  <c r="M711" i="26" s="1"/>
  <c r="K687" i="26" a="1"/>
  <c r="K687" i="26" s="1"/>
  <c r="L687" i="26" s="1"/>
  <c r="M687" i="26" s="1"/>
  <c r="K591" i="26" a="1"/>
  <c r="K591" i="26" s="1"/>
  <c r="L591" i="26" s="1"/>
  <c r="M591" i="26" s="1"/>
  <c r="K567" i="26" a="1"/>
  <c r="K567" i="26" s="1"/>
  <c r="L567" i="26" s="1"/>
  <c r="M567" i="26" s="1"/>
  <c r="K543" i="26" a="1"/>
  <c r="K543" i="26" s="1"/>
  <c r="L543" i="26" s="1"/>
  <c r="M543" i="26" s="1"/>
  <c r="K615" i="26" a="1"/>
  <c r="K615" i="26" s="1"/>
  <c r="L615" i="26" s="1"/>
  <c r="M615" i="26" s="1"/>
  <c r="K639" i="26" a="1"/>
  <c r="K639" i="26" s="1"/>
  <c r="L639" i="26" s="1"/>
  <c r="M639" i="26" s="1"/>
  <c r="K579" i="26" a="1"/>
  <c r="K579" i="26" s="1"/>
  <c r="L579" i="26" s="1"/>
  <c r="M579" i="26" s="1"/>
  <c r="K531" i="26" a="1"/>
  <c r="K531" i="26" s="1"/>
  <c r="L531" i="26" s="1"/>
  <c r="M531" i="26" s="1"/>
  <c r="K507" i="26" a="1"/>
  <c r="K507" i="26" s="1"/>
  <c r="L507" i="26" s="1"/>
  <c r="M507" i="26" s="1"/>
  <c r="K483" i="26" a="1"/>
  <c r="K483" i="26" s="1"/>
  <c r="L483" i="26" s="1"/>
  <c r="M483" i="26" s="1"/>
  <c r="K459" i="26" a="1"/>
  <c r="K459" i="26" s="1"/>
  <c r="L459" i="26" s="1"/>
  <c r="M459" i="26" s="1"/>
  <c r="K471" i="26" a="1"/>
  <c r="K471" i="26" s="1"/>
  <c r="L471" i="26" s="1"/>
  <c r="M471" i="26" s="1"/>
  <c r="K555" i="26" a="1"/>
  <c r="K555" i="26" s="1"/>
  <c r="L555" i="26" s="1"/>
  <c r="M555" i="26" s="1"/>
  <c r="K495" i="26" a="1"/>
  <c r="K495" i="26" s="1"/>
  <c r="L495" i="26" s="1"/>
  <c r="M495" i="26" s="1"/>
  <c r="K435" i="26" a="1"/>
  <c r="K435" i="26" s="1"/>
  <c r="L435" i="26" s="1"/>
  <c r="M435" i="26" s="1"/>
  <c r="K423" i="26" a="1"/>
  <c r="K423" i="26" s="1"/>
  <c r="L423" i="26" s="1"/>
  <c r="M423" i="26" s="1"/>
  <c r="K603" i="26" a="1"/>
  <c r="K603" i="26" s="1"/>
  <c r="L603" i="26" s="1"/>
  <c r="M603" i="26" s="1"/>
  <c r="K519" i="26" a="1"/>
  <c r="K519" i="26" s="1"/>
  <c r="L519" i="26" s="1"/>
  <c r="M519" i="26" s="1"/>
  <c r="K411" i="26" a="1"/>
  <c r="K411" i="26" s="1"/>
  <c r="L411" i="26" s="1"/>
  <c r="M411" i="26" s="1"/>
  <c r="K399" i="26" a="1"/>
  <c r="K399" i="26" s="1"/>
  <c r="L399" i="26" s="1"/>
  <c r="M399" i="26" s="1"/>
  <c r="K387" i="26" a="1"/>
  <c r="K387" i="26" s="1"/>
  <c r="L387" i="26" s="1"/>
  <c r="M387" i="26" s="1"/>
  <c r="K375" i="26" a="1"/>
  <c r="K375" i="26" s="1"/>
  <c r="L375" i="26" s="1"/>
  <c r="M375" i="26" s="1"/>
  <c r="K363" i="26" a="1"/>
  <c r="K363" i="26" s="1"/>
  <c r="L363" i="26" s="1"/>
  <c r="M363" i="26" s="1"/>
  <c r="K351" i="26" a="1"/>
  <c r="K351" i="26" s="1"/>
  <c r="L351" i="26" s="1"/>
  <c r="M351" i="26" s="1"/>
  <c r="K339" i="26" a="1"/>
  <c r="K339" i="26" s="1"/>
  <c r="L339" i="26" s="1"/>
  <c r="M339" i="26" s="1"/>
  <c r="K327" i="26" a="1"/>
  <c r="K327" i="26" s="1"/>
  <c r="L327" i="26" s="1"/>
  <c r="M327" i="26" s="1"/>
  <c r="K447" i="26" a="1"/>
  <c r="K447" i="26" s="1"/>
  <c r="L447" i="26" s="1"/>
  <c r="M447" i="26" s="1"/>
  <c r="K627" i="26" a="1"/>
  <c r="K627" i="26" s="1"/>
  <c r="L627" i="26" s="1"/>
  <c r="M627" i="26" s="1"/>
  <c r="K303" i="26" a="1"/>
  <c r="K303" i="26" s="1"/>
  <c r="L303" i="26" s="1"/>
  <c r="M303" i="26" s="1"/>
  <c r="K279" i="26" a="1"/>
  <c r="K279" i="26" s="1"/>
  <c r="L279" i="26" s="1"/>
  <c r="M279" i="26" s="1"/>
  <c r="K255" i="26" a="1"/>
  <c r="K255" i="26" s="1"/>
  <c r="L255" i="26" s="1"/>
  <c r="M255" i="26" s="1"/>
  <c r="K231" i="26" a="1"/>
  <c r="K231" i="26" s="1"/>
  <c r="L231" i="26" s="1"/>
  <c r="M231" i="26" s="1"/>
  <c r="K207" i="26" a="1"/>
  <c r="K207" i="26" s="1"/>
  <c r="L207" i="26" s="1"/>
  <c r="M207" i="26" s="1"/>
  <c r="K183" i="26" a="1"/>
  <c r="K183" i="26" s="1"/>
  <c r="L183" i="26" s="1"/>
  <c r="M183" i="26" s="1"/>
  <c r="K243" i="26" a="1"/>
  <c r="K243" i="26" s="1"/>
  <c r="L243" i="26" s="1"/>
  <c r="M243" i="26" s="1"/>
  <c r="K195" i="26" a="1"/>
  <c r="K195" i="26" s="1"/>
  <c r="L195" i="26" s="1"/>
  <c r="M195" i="26" s="1"/>
  <c r="K147" i="26" a="1"/>
  <c r="K147" i="26" s="1"/>
  <c r="L147" i="26" s="1"/>
  <c r="M147" i="26" s="1"/>
  <c r="K123" i="26" a="1"/>
  <c r="K123" i="26" s="1"/>
  <c r="L123" i="26" s="1"/>
  <c r="M123" i="26" s="1"/>
  <c r="K99" i="26" a="1"/>
  <c r="K99" i="26" s="1"/>
  <c r="L99" i="26" s="1"/>
  <c r="M99" i="26" s="1"/>
  <c r="K75" i="26" a="1"/>
  <c r="K75" i="26" s="1"/>
  <c r="L75" i="26" s="1"/>
  <c r="M75" i="26" s="1"/>
  <c r="K7" i="26" a="1"/>
  <c r="K7" i="26" s="1"/>
  <c r="L7" i="26" s="1"/>
  <c r="M7" i="26" s="1"/>
  <c r="K315" i="26" a="1"/>
  <c r="K315" i="26" s="1"/>
  <c r="L315" i="26" s="1"/>
  <c r="M315" i="26" s="1"/>
  <c r="K291" i="26" a="1"/>
  <c r="K291" i="26" s="1"/>
  <c r="L291" i="26" s="1"/>
  <c r="M291" i="26" s="1"/>
  <c r="K267" i="26" a="1"/>
  <c r="K267" i="26" s="1"/>
  <c r="L267" i="26" s="1"/>
  <c r="M267" i="26" s="1"/>
  <c r="K219" i="26" a="1"/>
  <c r="K219" i="26" s="1"/>
  <c r="L219" i="26" s="1"/>
  <c r="M219" i="26" s="1"/>
  <c r="K66" i="26" a="1"/>
  <c r="K66" i="26" s="1"/>
  <c r="L66" i="26" s="1"/>
  <c r="M66" i="26" s="1"/>
  <c r="K54" i="26" a="1"/>
  <c r="K54" i="26" s="1"/>
  <c r="L54" i="26" s="1"/>
  <c r="M54" i="26" s="1"/>
  <c r="K42" i="26" a="1"/>
  <c r="K42" i="26" s="1"/>
  <c r="L42" i="26" s="1"/>
  <c r="M42" i="26" s="1"/>
  <c r="K30" i="26" a="1"/>
  <c r="K30" i="26" s="1"/>
  <c r="L30" i="26" s="1"/>
  <c r="M30" i="26" s="1"/>
  <c r="K18" i="26" a="1"/>
  <c r="K18" i="26" s="1"/>
  <c r="L18" i="26" s="1"/>
  <c r="M18" i="26" s="1"/>
  <c r="K159" i="26" a="1"/>
  <c r="K159" i="26" s="1"/>
  <c r="L159" i="26" s="1"/>
  <c r="M159" i="26" s="1"/>
  <c r="K135" i="26" a="1"/>
  <c r="K135" i="26" s="1"/>
  <c r="L135" i="26" s="1"/>
  <c r="M135" i="26" s="1"/>
  <c r="K111" i="26" a="1"/>
  <c r="K111" i="26" s="1"/>
  <c r="L111" i="26" s="1"/>
  <c r="M111" i="26" s="1"/>
  <c r="K87" i="26" a="1"/>
  <c r="K87" i="26" s="1"/>
  <c r="L87" i="26" s="1"/>
  <c r="M87" i="26" s="1"/>
  <c r="K171" i="26" a="1"/>
  <c r="K171" i="26" s="1"/>
  <c r="L171" i="26" s="1"/>
  <c r="M171" i="26" s="1"/>
  <c r="K742" i="26" a="1"/>
  <c r="K742" i="26" s="1"/>
  <c r="L742" i="26" s="1"/>
  <c r="M742" i="26" s="1"/>
  <c r="K730" i="26" a="1"/>
  <c r="K730" i="26" s="1"/>
  <c r="L730" i="26" s="1"/>
  <c r="M730" i="26" s="1"/>
  <c r="K706" i="26" a="1"/>
  <c r="K706" i="26" s="1"/>
  <c r="L706" i="26" s="1"/>
  <c r="M706" i="26" s="1"/>
  <c r="K718" i="26" a="1"/>
  <c r="K718" i="26" s="1"/>
  <c r="L718" i="26" s="1"/>
  <c r="M718" i="26" s="1"/>
  <c r="K694" i="26" a="1"/>
  <c r="K694" i="26" s="1"/>
  <c r="L694" i="26" s="1"/>
  <c r="M694" i="26" s="1"/>
  <c r="K682" i="26" a="1"/>
  <c r="K682" i="26" s="1"/>
  <c r="L682" i="26" s="1"/>
  <c r="M682" i="26" s="1"/>
  <c r="K670" i="26" a="1"/>
  <c r="K670" i="26" s="1"/>
  <c r="L670" i="26" s="1"/>
  <c r="M670" i="26" s="1"/>
  <c r="K658" i="26" a="1"/>
  <c r="K658" i="26" s="1"/>
  <c r="L658" i="26" s="1"/>
  <c r="M658" i="26" s="1"/>
  <c r="K646" i="26" a="1"/>
  <c r="K646" i="26" s="1"/>
  <c r="L646" i="26" s="1"/>
  <c r="M646" i="26" s="1"/>
  <c r="K634" i="26" a="1"/>
  <c r="K634" i="26" s="1"/>
  <c r="L634" i="26" s="1"/>
  <c r="M634" i="26" s="1"/>
  <c r="K622" i="26" a="1"/>
  <c r="K622" i="26" s="1"/>
  <c r="L622" i="26" s="1"/>
  <c r="M622" i="26" s="1"/>
  <c r="K610" i="26" a="1"/>
  <c r="K610" i="26" s="1"/>
  <c r="L610" i="26" s="1"/>
  <c r="M610" i="26" s="1"/>
  <c r="K598" i="26" a="1"/>
  <c r="K598" i="26" s="1"/>
  <c r="L598" i="26" s="1"/>
  <c r="M598" i="26" s="1"/>
  <c r="K574" i="26" a="1"/>
  <c r="K574" i="26" s="1"/>
  <c r="L574" i="26" s="1"/>
  <c r="M574" i="26" s="1"/>
  <c r="K550" i="26" a="1"/>
  <c r="K550" i="26" s="1"/>
  <c r="L550" i="26" s="1"/>
  <c r="M550" i="26" s="1"/>
  <c r="K586" i="26" a="1"/>
  <c r="K586" i="26" s="1"/>
  <c r="L586" i="26" s="1"/>
  <c r="M586" i="26" s="1"/>
  <c r="K430" i="26" a="1"/>
  <c r="K430" i="26" s="1"/>
  <c r="L430" i="26" s="1"/>
  <c r="M430" i="26" s="1"/>
  <c r="K490" i="26" a="1"/>
  <c r="K490" i="26" s="1"/>
  <c r="L490" i="26" s="1"/>
  <c r="M490" i="26" s="1"/>
  <c r="K478" i="26" a="1"/>
  <c r="K478" i="26" s="1"/>
  <c r="L478" i="26" s="1"/>
  <c r="M478" i="26" s="1"/>
  <c r="K418" i="26" a="1"/>
  <c r="K418" i="26" s="1"/>
  <c r="L418" i="26" s="1"/>
  <c r="M418" i="26" s="1"/>
  <c r="K406" i="26" a="1"/>
  <c r="K406" i="26" s="1"/>
  <c r="L406" i="26" s="1"/>
  <c r="M406" i="26" s="1"/>
  <c r="K562" i="26" a="1"/>
  <c r="K562" i="26" s="1"/>
  <c r="L562" i="26" s="1"/>
  <c r="M562" i="26" s="1"/>
  <c r="K514" i="26" a="1"/>
  <c r="K514" i="26" s="1"/>
  <c r="L514" i="26" s="1"/>
  <c r="M514" i="26" s="1"/>
  <c r="K502" i="26" a="1"/>
  <c r="K502" i="26" s="1"/>
  <c r="L502" i="26" s="1"/>
  <c r="M502" i="26" s="1"/>
  <c r="K538" i="26" a="1"/>
  <c r="K538" i="26" s="1"/>
  <c r="L538" i="26" s="1"/>
  <c r="M538" i="26" s="1"/>
  <c r="K526" i="26" a="1"/>
  <c r="K526" i="26" s="1"/>
  <c r="L526" i="26" s="1"/>
  <c r="M526" i="26" s="1"/>
  <c r="K442" i="26" a="1"/>
  <c r="K442" i="26" s="1"/>
  <c r="L442" i="26" s="1"/>
  <c r="M442" i="26" s="1"/>
  <c r="K466" i="26" a="1"/>
  <c r="K466" i="26" s="1"/>
  <c r="L466" i="26" s="1"/>
  <c r="M466" i="26" s="1"/>
  <c r="K454" i="26" a="1"/>
  <c r="K454" i="26" s="1"/>
  <c r="L454" i="26" s="1"/>
  <c r="M454" i="26" s="1"/>
  <c r="K394" i="26" a="1"/>
  <c r="K394" i="26" s="1"/>
  <c r="L394" i="26" s="1"/>
  <c r="M394" i="26" s="1"/>
  <c r="K382" i="26" a="1"/>
  <c r="K382" i="26" s="1"/>
  <c r="L382" i="26" s="1"/>
  <c r="M382" i="26" s="1"/>
  <c r="K370" i="26" a="1"/>
  <c r="K370" i="26" s="1"/>
  <c r="L370" i="26" s="1"/>
  <c r="M370" i="26" s="1"/>
  <c r="K334" i="26" a="1"/>
  <c r="K334" i="26" s="1"/>
  <c r="L334" i="26" s="1"/>
  <c r="M334" i="26" s="1"/>
  <c r="K346" i="26" a="1"/>
  <c r="K346" i="26" s="1"/>
  <c r="L346" i="26" s="1"/>
  <c r="M346" i="26" s="1"/>
  <c r="K310" i="26" a="1"/>
  <c r="K310" i="26" s="1"/>
  <c r="L310" i="26" s="1"/>
  <c r="M310" i="26" s="1"/>
  <c r="K286" i="26" a="1"/>
  <c r="K286" i="26" s="1"/>
  <c r="L286" i="26" s="1"/>
  <c r="M286" i="26" s="1"/>
  <c r="K262" i="26" a="1"/>
  <c r="K262" i="26" s="1"/>
  <c r="L262" i="26" s="1"/>
  <c r="M262" i="26" s="1"/>
  <c r="K238" i="26" a="1"/>
  <c r="K238" i="26" s="1"/>
  <c r="L238" i="26" s="1"/>
  <c r="M238" i="26" s="1"/>
  <c r="K214" i="26" a="1"/>
  <c r="K214" i="26" s="1"/>
  <c r="L214" i="26" s="1"/>
  <c r="M214" i="26" s="1"/>
  <c r="K190" i="26" a="1"/>
  <c r="K190" i="26" s="1"/>
  <c r="L190" i="26" s="1"/>
  <c r="M190" i="26" s="1"/>
  <c r="K358" i="26" a="1"/>
  <c r="K358" i="26" s="1"/>
  <c r="L358" i="26" s="1"/>
  <c r="M358" i="26" s="1"/>
  <c r="K250" i="26" a="1"/>
  <c r="K250" i="26" s="1"/>
  <c r="L250" i="26" s="1"/>
  <c r="M250" i="26" s="1"/>
  <c r="K154" i="26" a="1"/>
  <c r="K154" i="26" s="1"/>
  <c r="L154" i="26" s="1"/>
  <c r="M154" i="26" s="1"/>
  <c r="K130" i="26" a="1"/>
  <c r="K130" i="26" s="1"/>
  <c r="L130" i="26" s="1"/>
  <c r="M130" i="26" s="1"/>
  <c r="K106" i="26" a="1"/>
  <c r="K106" i="26" s="1"/>
  <c r="L106" i="26" s="1"/>
  <c r="M106" i="26" s="1"/>
  <c r="K82" i="26" a="1"/>
  <c r="K82" i="26" s="1"/>
  <c r="L82" i="26" s="1"/>
  <c r="M82" i="26" s="1"/>
  <c r="K13" i="26" a="1"/>
  <c r="K13" i="26" s="1"/>
  <c r="L13" i="26" s="1"/>
  <c r="M13" i="26" s="1"/>
  <c r="K226" i="26" a="1"/>
  <c r="K226" i="26" s="1"/>
  <c r="L226" i="26" s="1"/>
  <c r="M226" i="26" s="1"/>
  <c r="K178" i="26" a="1"/>
  <c r="K178" i="26" s="1"/>
  <c r="L178" i="26" s="1"/>
  <c r="M178" i="26" s="1"/>
  <c r="K37" i="26" a="1"/>
  <c r="K37" i="26" s="1"/>
  <c r="L37" i="26" s="1"/>
  <c r="M37" i="26" s="1"/>
  <c r="K25" i="26" a="1"/>
  <c r="K25" i="26" s="1"/>
  <c r="L25" i="26" s="1"/>
  <c r="M25" i="26" s="1"/>
  <c r="K202" i="26" a="1"/>
  <c r="K202" i="26" s="1"/>
  <c r="L202" i="26" s="1"/>
  <c r="M202" i="26" s="1"/>
  <c r="K166" i="26" a="1"/>
  <c r="K166" i="26" s="1"/>
  <c r="L166" i="26" s="1"/>
  <c r="M166" i="26" s="1"/>
  <c r="K142" i="26" a="1"/>
  <c r="K142" i="26" s="1"/>
  <c r="L142" i="26" s="1"/>
  <c r="M142" i="26" s="1"/>
  <c r="K118" i="26" a="1"/>
  <c r="K118" i="26" s="1"/>
  <c r="L118" i="26" s="1"/>
  <c r="M118" i="26" s="1"/>
  <c r="K94" i="26" a="1"/>
  <c r="K94" i="26" s="1"/>
  <c r="L94" i="26" s="1"/>
  <c r="M94" i="26" s="1"/>
  <c r="K322" i="26" a="1"/>
  <c r="K322" i="26" s="1"/>
  <c r="L322" i="26" s="1"/>
  <c r="M322" i="26" s="1"/>
  <c r="K298" i="26" a="1"/>
  <c r="K298" i="26" s="1"/>
  <c r="L298" i="26" s="1"/>
  <c r="M298" i="26" s="1"/>
  <c r="K274" i="26" a="1"/>
  <c r="K274" i="26" s="1"/>
  <c r="L274" i="26" s="1"/>
  <c r="M274" i="26" s="1"/>
  <c r="K61" i="26" a="1"/>
  <c r="K61" i="26" s="1"/>
  <c r="L61" i="26" s="1"/>
  <c r="M61" i="26" s="1"/>
  <c r="K49" i="26" a="1"/>
  <c r="K49" i="26" s="1"/>
  <c r="L49" i="26" s="1"/>
  <c r="M49" i="26" s="1"/>
  <c r="K3" i="26" a="1"/>
  <c r="K3" i="26" s="1"/>
  <c r="L3" i="26" s="1"/>
  <c r="M3" i="26" s="1"/>
  <c r="K685" i="26" a="1"/>
  <c r="K685" i="26" s="1"/>
  <c r="L685" i="26" s="1"/>
  <c r="M685" i="26" s="1"/>
  <c r="K673" i="26" a="1"/>
  <c r="K673" i="26" s="1"/>
  <c r="L673" i="26" s="1"/>
  <c r="M673" i="26" s="1"/>
  <c r="K661" i="26" a="1"/>
  <c r="K661" i="26" s="1"/>
  <c r="L661" i="26" s="1"/>
  <c r="M661" i="26" s="1"/>
  <c r="K649" i="26" a="1"/>
  <c r="K649" i="26" s="1"/>
  <c r="L649" i="26" s="1"/>
  <c r="M649" i="26" s="1"/>
  <c r="K733" i="26" a="1"/>
  <c r="K733" i="26" s="1"/>
  <c r="L733" i="26" s="1"/>
  <c r="M733" i="26" s="1"/>
  <c r="K721" i="26" a="1"/>
  <c r="K721" i="26" s="1"/>
  <c r="L721" i="26" s="1"/>
  <c r="M721" i="26" s="1"/>
  <c r="K697" i="26" a="1"/>
  <c r="K697" i="26" s="1"/>
  <c r="L697" i="26" s="1"/>
  <c r="M697" i="26" s="1"/>
  <c r="K709" i="26" a="1"/>
  <c r="K709" i="26" s="1"/>
  <c r="L709" i="26" s="1"/>
  <c r="M709" i="26" s="1"/>
  <c r="K637" i="26" a="1"/>
  <c r="K637" i="26" s="1"/>
  <c r="L637" i="26" s="1"/>
  <c r="M637" i="26" s="1"/>
  <c r="K589" i="26" a="1"/>
  <c r="K589" i="26" s="1"/>
  <c r="L589" i="26" s="1"/>
  <c r="M589" i="26" s="1"/>
  <c r="K613" i="26" a="1"/>
  <c r="K613" i="26" s="1"/>
  <c r="L613" i="26" s="1"/>
  <c r="M613" i="26" s="1"/>
  <c r="K601" i="26" a="1"/>
  <c r="K601" i="26" s="1"/>
  <c r="L601" i="26" s="1"/>
  <c r="M601" i="26" s="1"/>
  <c r="K565" i="26" a="1"/>
  <c r="K565" i="26" s="1"/>
  <c r="L565" i="26" s="1"/>
  <c r="M565" i="26" s="1"/>
  <c r="K481" i="26" a="1"/>
  <c r="K481" i="26" s="1"/>
  <c r="L481" i="26" s="1"/>
  <c r="M481" i="26" s="1"/>
  <c r="K445" i="26" a="1"/>
  <c r="K445" i="26" s="1"/>
  <c r="L445" i="26" s="1"/>
  <c r="M445" i="26" s="1"/>
  <c r="K625" i="26" a="1"/>
  <c r="K625" i="26" s="1"/>
  <c r="L625" i="26" s="1"/>
  <c r="M625" i="26" s="1"/>
  <c r="K553" i="26" a="1"/>
  <c r="K553" i="26" s="1"/>
  <c r="L553" i="26" s="1"/>
  <c r="M553" i="26" s="1"/>
  <c r="K505" i="26" a="1"/>
  <c r="K505" i="26" s="1"/>
  <c r="L505" i="26" s="1"/>
  <c r="M505" i="26" s="1"/>
  <c r="K469" i="26" a="1"/>
  <c r="K469" i="26" s="1"/>
  <c r="L469" i="26" s="1"/>
  <c r="M469" i="26" s="1"/>
  <c r="K541" i="26" a="1"/>
  <c r="K541" i="26" s="1"/>
  <c r="L541" i="26" s="1"/>
  <c r="M541" i="26" s="1"/>
  <c r="K529" i="26" a="1"/>
  <c r="K529" i="26" s="1"/>
  <c r="L529" i="26" s="1"/>
  <c r="M529" i="26" s="1"/>
  <c r="K493" i="26" a="1"/>
  <c r="K493" i="26" s="1"/>
  <c r="L493" i="26" s="1"/>
  <c r="M493" i="26" s="1"/>
  <c r="K409" i="26" a="1"/>
  <c r="K409" i="26" s="1"/>
  <c r="L409" i="26" s="1"/>
  <c r="M409" i="26" s="1"/>
  <c r="K397" i="26" a="1"/>
  <c r="K397" i="26" s="1"/>
  <c r="L397" i="26" s="1"/>
  <c r="M397" i="26" s="1"/>
  <c r="K385" i="26" a="1"/>
  <c r="K385" i="26" s="1"/>
  <c r="L385" i="26" s="1"/>
  <c r="M385" i="26" s="1"/>
  <c r="K373" i="26" a="1"/>
  <c r="K373" i="26" s="1"/>
  <c r="L373" i="26" s="1"/>
  <c r="M373" i="26" s="1"/>
  <c r="K361" i="26" a="1"/>
  <c r="K361" i="26" s="1"/>
  <c r="L361" i="26" s="1"/>
  <c r="M361" i="26" s="1"/>
  <c r="K349" i="26" a="1"/>
  <c r="K349" i="26" s="1"/>
  <c r="L349" i="26" s="1"/>
  <c r="M349" i="26" s="1"/>
  <c r="K337" i="26" a="1"/>
  <c r="K337" i="26" s="1"/>
  <c r="L337" i="26" s="1"/>
  <c r="M337" i="26" s="1"/>
  <c r="K325" i="26" a="1"/>
  <c r="K325" i="26" s="1"/>
  <c r="L325" i="26" s="1"/>
  <c r="M325" i="26" s="1"/>
  <c r="K577" i="26" a="1"/>
  <c r="K577" i="26" s="1"/>
  <c r="L577" i="26" s="1"/>
  <c r="M577" i="26" s="1"/>
  <c r="K433" i="26" a="1"/>
  <c r="K433" i="26" s="1"/>
  <c r="L433" i="26" s="1"/>
  <c r="M433" i="26" s="1"/>
  <c r="K517" i="26" a="1"/>
  <c r="K517" i="26" s="1"/>
  <c r="L517" i="26" s="1"/>
  <c r="M517" i="26" s="1"/>
  <c r="K313" i="26" a="1"/>
  <c r="K313" i="26" s="1"/>
  <c r="L313" i="26" s="1"/>
  <c r="M313" i="26" s="1"/>
  <c r="K289" i="26" a="1"/>
  <c r="K289" i="26" s="1"/>
  <c r="L289" i="26" s="1"/>
  <c r="M289" i="26" s="1"/>
  <c r="K265" i="26" a="1"/>
  <c r="K265" i="26" s="1"/>
  <c r="L265" i="26" s="1"/>
  <c r="M265" i="26" s="1"/>
  <c r="K241" i="26" a="1"/>
  <c r="K241" i="26" s="1"/>
  <c r="L241" i="26" s="1"/>
  <c r="M241" i="26" s="1"/>
  <c r="K217" i="26" a="1"/>
  <c r="K217" i="26" s="1"/>
  <c r="L217" i="26" s="1"/>
  <c r="M217" i="26" s="1"/>
  <c r="K457" i="26" a="1"/>
  <c r="K457" i="26" s="1"/>
  <c r="L457" i="26" s="1"/>
  <c r="M457" i="26" s="1"/>
  <c r="K301" i="26" a="1"/>
  <c r="K301" i="26" s="1"/>
  <c r="L301" i="26" s="1"/>
  <c r="M301" i="26" s="1"/>
  <c r="K277" i="26" a="1"/>
  <c r="K277" i="26" s="1"/>
  <c r="L277" i="26" s="1"/>
  <c r="M277" i="26" s="1"/>
  <c r="K229" i="26" a="1"/>
  <c r="K229" i="26" s="1"/>
  <c r="L229" i="26" s="1"/>
  <c r="M229" i="26" s="1"/>
  <c r="K193" i="26" a="1"/>
  <c r="K193" i="26" s="1"/>
  <c r="L193" i="26" s="1"/>
  <c r="M193" i="26" s="1"/>
  <c r="K5" i="26" a="1"/>
  <c r="K5" i="26" s="1"/>
  <c r="L5" i="26" s="1"/>
  <c r="M5" i="26" s="1"/>
  <c r="K205" i="26" a="1"/>
  <c r="K205" i="26" s="1"/>
  <c r="L205" i="26" s="1"/>
  <c r="M205" i="26" s="1"/>
  <c r="K145" i="26" a="1"/>
  <c r="K145" i="26" s="1"/>
  <c r="L145" i="26" s="1"/>
  <c r="M145" i="26" s="1"/>
  <c r="K121" i="26" a="1"/>
  <c r="K121" i="26" s="1"/>
  <c r="L121" i="26" s="1"/>
  <c r="M121" i="26" s="1"/>
  <c r="K97" i="26" a="1"/>
  <c r="K97" i="26" s="1"/>
  <c r="L97" i="26" s="1"/>
  <c r="M97" i="26" s="1"/>
  <c r="K73" i="26" a="1"/>
  <c r="K73" i="26" s="1"/>
  <c r="L73" i="26" s="1"/>
  <c r="M73" i="26" s="1"/>
  <c r="K64" i="26" a="1"/>
  <c r="K64" i="26" s="1"/>
  <c r="L64" i="26" s="1"/>
  <c r="M64" i="26" s="1"/>
  <c r="K52" i="26" a="1"/>
  <c r="K52" i="26" s="1"/>
  <c r="L52" i="26" s="1"/>
  <c r="M52" i="26" s="1"/>
  <c r="K40" i="26" a="1"/>
  <c r="K40" i="26" s="1"/>
  <c r="L40" i="26" s="1"/>
  <c r="M40" i="26" s="1"/>
  <c r="K28" i="26" a="1"/>
  <c r="K28" i="26" s="1"/>
  <c r="L28" i="26" s="1"/>
  <c r="M28" i="26" s="1"/>
  <c r="K16" i="26" a="1"/>
  <c r="K16" i="26" s="1"/>
  <c r="L16" i="26" s="1"/>
  <c r="M16" i="26" s="1"/>
  <c r="K421" i="26" a="1"/>
  <c r="K421" i="26" s="1"/>
  <c r="L421" i="26" s="1"/>
  <c r="M421" i="26" s="1"/>
  <c r="K253" i="26" a="1"/>
  <c r="K253" i="26" s="1"/>
  <c r="L253" i="26" s="1"/>
  <c r="M253" i="26" s="1"/>
  <c r="K181" i="26" a="1"/>
  <c r="K181" i="26" s="1"/>
  <c r="L181" i="26" s="1"/>
  <c r="M181" i="26" s="1"/>
  <c r="K169" i="26" a="1"/>
  <c r="K169" i="26" s="1"/>
  <c r="L169" i="26" s="1"/>
  <c r="M169" i="26" s="1"/>
  <c r="K157" i="26" a="1"/>
  <c r="K157" i="26" s="1"/>
  <c r="L157" i="26" s="1"/>
  <c r="M157" i="26" s="1"/>
  <c r="K133" i="26" a="1"/>
  <c r="K133" i="26" s="1"/>
  <c r="L133" i="26" s="1"/>
  <c r="M133" i="26" s="1"/>
  <c r="K109" i="26" a="1"/>
  <c r="K109" i="26" s="1"/>
  <c r="L109" i="26" s="1"/>
  <c r="M109" i="26" s="1"/>
  <c r="K85" i="26" a="1"/>
  <c r="K85" i="26" s="1"/>
  <c r="L85" i="26" s="1"/>
  <c r="M85" i="26" s="1"/>
  <c r="K734" i="26" a="1"/>
  <c r="K734" i="26" s="1"/>
  <c r="L734" i="26" s="1"/>
  <c r="M734" i="26" s="1"/>
  <c r="K722" i="26" a="1"/>
  <c r="K722" i="26" s="1"/>
  <c r="L722" i="26" s="1"/>
  <c r="M722" i="26" s="1"/>
  <c r="K698" i="26" a="1"/>
  <c r="K698" i="26" s="1"/>
  <c r="L698" i="26" s="1"/>
  <c r="M698" i="26" s="1"/>
  <c r="K710" i="26" a="1"/>
  <c r="K710" i="26" s="1"/>
  <c r="L710" i="26" s="1"/>
  <c r="M710" i="26" s="1"/>
  <c r="K686" i="26" a="1"/>
  <c r="K686" i="26" s="1"/>
  <c r="L686" i="26" s="1"/>
  <c r="M686" i="26" s="1"/>
  <c r="K674" i="26" a="1"/>
  <c r="K674" i="26" s="1"/>
  <c r="L674" i="26" s="1"/>
  <c r="M674" i="26" s="1"/>
  <c r="K662" i="26" a="1"/>
  <c r="K662" i="26" s="1"/>
  <c r="L662" i="26" s="1"/>
  <c r="M662" i="26" s="1"/>
  <c r="K650" i="26" a="1"/>
  <c r="K650" i="26" s="1"/>
  <c r="L650" i="26" s="1"/>
  <c r="M650" i="26" s="1"/>
  <c r="K638" i="26" a="1"/>
  <c r="K638" i="26" s="1"/>
  <c r="L638" i="26" s="1"/>
  <c r="M638" i="26" s="1"/>
  <c r="K626" i="26" a="1"/>
  <c r="K626" i="26" s="1"/>
  <c r="L626" i="26" s="1"/>
  <c r="M626" i="26" s="1"/>
  <c r="K614" i="26" a="1"/>
  <c r="K614" i="26" s="1"/>
  <c r="L614" i="26" s="1"/>
  <c r="M614" i="26" s="1"/>
  <c r="K590" i="26" a="1"/>
  <c r="K590" i="26" s="1"/>
  <c r="L590" i="26" s="1"/>
  <c r="M590" i="26" s="1"/>
  <c r="K566" i="26" a="1"/>
  <c r="K566" i="26" s="1"/>
  <c r="L566" i="26" s="1"/>
  <c r="M566" i="26" s="1"/>
  <c r="K542" i="26" a="1"/>
  <c r="K542" i="26" s="1"/>
  <c r="L542" i="26" s="1"/>
  <c r="M542" i="26" s="1"/>
  <c r="K602" i="26" a="1"/>
  <c r="K602" i="26" s="1"/>
  <c r="L602" i="26" s="1"/>
  <c r="M602" i="26" s="1"/>
  <c r="K434" i="26" a="1"/>
  <c r="K434" i="26" s="1"/>
  <c r="L434" i="26" s="1"/>
  <c r="M434" i="26" s="1"/>
  <c r="K422" i="26" a="1"/>
  <c r="K422" i="26" s="1"/>
  <c r="L422" i="26" s="1"/>
  <c r="M422" i="26" s="1"/>
  <c r="K554" i="26" a="1"/>
  <c r="K554" i="26" s="1"/>
  <c r="L554" i="26" s="1"/>
  <c r="M554" i="26" s="1"/>
  <c r="K458" i="26" a="1"/>
  <c r="K458" i="26" s="1"/>
  <c r="L458" i="26" s="1"/>
  <c r="M458" i="26" s="1"/>
  <c r="K446" i="26" a="1"/>
  <c r="K446" i="26" s="1"/>
  <c r="L446" i="26" s="1"/>
  <c r="M446" i="26" s="1"/>
  <c r="K410" i="26" a="1"/>
  <c r="K410" i="26" s="1"/>
  <c r="L410" i="26" s="1"/>
  <c r="M410" i="26" s="1"/>
  <c r="K398" i="26" a="1"/>
  <c r="K398" i="26" s="1"/>
  <c r="L398" i="26" s="1"/>
  <c r="M398" i="26" s="1"/>
  <c r="K482" i="26" a="1"/>
  <c r="K482" i="26" s="1"/>
  <c r="L482" i="26" s="1"/>
  <c r="M482" i="26" s="1"/>
  <c r="K470" i="26" a="1"/>
  <c r="K470" i="26" s="1"/>
  <c r="L470" i="26" s="1"/>
  <c r="M470" i="26" s="1"/>
  <c r="K506" i="26" a="1"/>
  <c r="K506" i="26" s="1"/>
  <c r="L506" i="26" s="1"/>
  <c r="M506" i="26" s="1"/>
  <c r="K494" i="26" a="1"/>
  <c r="K494" i="26" s="1"/>
  <c r="L494" i="26" s="1"/>
  <c r="M494" i="26" s="1"/>
  <c r="K530" i="26" a="1"/>
  <c r="K530" i="26" s="1"/>
  <c r="L530" i="26" s="1"/>
  <c r="M530" i="26" s="1"/>
  <c r="K518" i="26" a="1"/>
  <c r="K518" i="26" s="1"/>
  <c r="L518" i="26" s="1"/>
  <c r="M518" i="26" s="1"/>
  <c r="K578" i="26" a="1"/>
  <c r="K578" i="26" s="1"/>
  <c r="L578" i="26" s="1"/>
  <c r="M578" i="26" s="1"/>
  <c r="K386" i="26" a="1"/>
  <c r="K386" i="26" s="1"/>
  <c r="L386" i="26" s="1"/>
  <c r="M386" i="26" s="1"/>
  <c r="K374" i="26" a="1"/>
  <c r="K374" i="26" s="1"/>
  <c r="L374" i="26" s="1"/>
  <c r="M374" i="26" s="1"/>
  <c r="K362" i="26" a="1"/>
  <c r="K362" i="26" s="1"/>
  <c r="L362" i="26" s="1"/>
  <c r="M362" i="26" s="1"/>
  <c r="K350" i="26" a="1"/>
  <c r="K350" i="26" s="1"/>
  <c r="L350" i="26" s="1"/>
  <c r="M350" i="26" s="1"/>
  <c r="K302" i="26" a="1"/>
  <c r="K302" i="26" s="1"/>
  <c r="L302" i="26" s="1"/>
  <c r="M302" i="26" s="1"/>
  <c r="K278" i="26" a="1"/>
  <c r="K278" i="26" s="1"/>
  <c r="L278" i="26" s="1"/>
  <c r="M278" i="26" s="1"/>
  <c r="K254" i="26" a="1"/>
  <c r="K254" i="26" s="1"/>
  <c r="L254" i="26" s="1"/>
  <c r="M254" i="26" s="1"/>
  <c r="K230" i="26" a="1"/>
  <c r="K230" i="26" s="1"/>
  <c r="L230" i="26" s="1"/>
  <c r="M230" i="26" s="1"/>
  <c r="K206" i="26" a="1"/>
  <c r="K206" i="26" s="1"/>
  <c r="L206" i="26" s="1"/>
  <c r="M206" i="26" s="1"/>
  <c r="K182" i="26" a="1"/>
  <c r="K182" i="26" s="1"/>
  <c r="L182" i="26" s="1"/>
  <c r="M182" i="26" s="1"/>
  <c r="K326" i="26" a="1"/>
  <c r="K326" i="26" s="1"/>
  <c r="L326" i="26" s="1"/>
  <c r="M326" i="26" s="1"/>
  <c r="K338" i="26" a="1"/>
  <c r="K338" i="26" s="1"/>
  <c r="L338" i="26" s="1"/>
  <c r="M338" i="26" s="1"/>
  <c r="K218" i="26" a="1"/>
  <c r="K218" i="26" s="1"/>
  <c r="L218" i="26" s="1"/>
  <c r="M218" i="26" s="1"/>
  <c r="K146" i="26" a="1"/>
  <c r="K146" i="26" s="1"/>
  <c r="L146" i="26" s="1"/>
  <c r="M146" i="26" s="1"/>
  <c r="K122" i="26" a="1"/>
  <c r="K122" i="26" s="1"/>
  <c r="L122" i="26" s="1"/>
  <c r="M122" i="26" s="1"/>
  <c r="K98" i="26" a="1"/>
  <c r="K98" i="26" s="1"/>
  <c r="L98" i="26" s="1"/>
  <c r="M98" i="26" s="1"/>
  <c r="K74" i="26" a="1"/>
  <c r="K74" i="26" s="1"/>
  <c r="L74" i="26" s="1"/>
  <c r="M74" i="26" s="1"/>
  <c r="K6" i="26" a="1"/>
  <c r="K6" i="26" s="1"/>
  <c r="L6" i="26" s="1"/>
  <c r="M6" i="26" s="1"/>
  <c r="K53" i="26" a="1"/>
  <c r="K53" i="26" s="1"/>
  <c r="L53" i="26" s="1"/>
  <c r="M53" i="26" s="1"/>
  <c r="K29" i="26" a="1"/>
  <c r="K29" i="26" s="1"/>
  <c r="L29" i="26" s="1"/>
  <c r="M29" i="26" s="1"/>
  <c r="K170" i="26" a="1"/>
  <c r="K170" i="26" s="1"/>
  <c r="L170" i="26" s="1"/>
  <c r="M170" i="26" s="1"/>
  <c r="K158" i="26" a="1"/>
  <c r="K158" i="26" s="1"/>
  <c r="L158" i="26" s="1"/>
  <c r="M158" i="26" s="1"/>
  <c r="K134" i="26" a="1"/>
  <c r="K134" i="26" s="1"/>
  <c r="L134" i="26" s="1"/>
  <c r="M134" i="26" s="1"/>
  <c r="K110" i="26" a="1"/>
  <c r="K110" i="26" s="1"/>
  <c r="L110" i="26" s="1"/>
  <c r="M110" i="26" s="1"/>
  <c r="K86" i="26" a="1"/>
  <c r="K86" i="26" s="1"/>
  <c r="L86" i="26" s="1"/>
  <c r="M86" i="26" s="1"/>
  <c r="K314" i="26" a="1"/>
  <c r="K314" i="26" s="1"/>
  <c r="L314" i="26" s="1"/>
  <c r="M314" i="26" s="1"/>
  <c r="K290" i="26" a="1"/>
  <c r="K290" i="26" s="1"/>
  <c r="L290" i="26" s="1"/>
  <c r="M290" i="26" s="1"/>
  <c r="K266" i="26" a="1"/>
  <c r="K266" i="26" s="1"/>
  <c r="L266" i="26" s="1"/>
  <c r="M266" i="26" s="1"/>
  <c r="K242" i="26" a="1"/>
  <c r="K242" i="26" s="1"/>
  <c r="L242" i="26" s="1"/>
  <c r="M242" i="26" s="1"/>
  <c r="K194" i="26" a="1"/>
  <c r="K194" i="26" s="1"/>
  <c r="L194" i="26" s="1"/>
  <c r="M194" i="26" s="1"/>
  <c r="K65" i="26" a="1"/>
  <c r="K65" i="26" s="1"/>
  <c r="L65" i="26" s="1"/>
  <c r="M65" i="26" s="1"/>
  <c r="K41" i="26" a="1"/>
  <c r="K41" i="26" s="1"/>
  <c r="L41" i="26" s="1"/>
  <c r="M41" i="26" s="1"/>
  <c r="K17" i="26" a="1"/>
  <c r="K17" i="26" s="1"/>
  <c r="L17" i="26" s="1"/>
  <c r="M17" i="26" s="1"/>
  <c r="K732" i="26" a="1"/>
  <c r="K732" i="26" s="1"/>
  <c r="L732" i="26" s="1"/>
  <c r="M732" i="26" s="1"/>
  <c r="K720" i="26" a="1"/>
  <c r="K720" i="26" s="1"/>
  <c r="L720" i="26" s="1"/>
  <c r="M720" i="26" s="1"/>
  <c r="K696" i="26" a="1"/>
  <c r="K696" i="26" s="1"/>
  <c r="L696" i="26" s="1"/>
  <c r="M696" i="26" s="1"/>
  <c r="K684" i="26" a="1"/>
  <c r="K684" i="26" s="1"/>
  <c r="L684" i="26" s="1"/>
  <c r="M684" i="26" s="1"/>
  <c r="K672" i="26" a="1"/>
  <c r="K672" i="26" s="1"/>
  <c r="L672" i="26" s="1"/>
  <c r="M672" i="26" s="1"/>
  <c r="K660" i="26" a="1"/>
  <c r="K660" i="26" s="1"/>
  <c r="L660" i="26" s="1"/>
  <c r="M660" i="26" s="1"/>
  <c r="K648" i="26" a="1"/>
  <c r="K648" i="26" s="1"/>
  <c r="L648" i="26" s="1"/>
  <c r="M648" i="26" s="1"/>
  <c r="K636" i="26" a="1"/>
  <c r="K636" i="26" s="1"/>
  <c r="L636" i="26" s="1"/>
  <c r="M636" i="26" s="1"/>
  <c r="K624" i="26" a="1"/>
  <c r="K624" i="26" s="1"/>
  <c r="L624" i="26" s="1"/>
  <c r="M624" i="26" s="1"/>
  <c r="K612" i="26" a="1"/>
  <c r="K612" i="26" s="1"/>
  <c r="L612" i="26" s="1"/>
  <c r="M612" i="26" s="1"/>
  <c r="K708" i="26" a="1"/>
  <c r="K708" i="26" s="1"/>
  <c r="L708" i="26" s="1"/>
  <c r="M708" i="26" s="1"/>
  <c r="K588" i="26" a="1"/>
  <c r="K588" i="26" s="1"/>
  <c r="L588" i="26" s="1"/>
  <c r="M588" i="26" s="1"/>
  <c r="K516" i="26" a="1"/>
  <c r="K516" i="26" s="1"/>
  <c r="L516" i="26" s="1"/>
  <c r="M516" i="26" s="1"/>
  <c r="K492" i="26" a="1"/>
  <c r="K492" i="26" s="1"/>
  <c r="L492" i="26" s="1"/>
  <c r="M492" i="26" s="1"/>
  <c r="K468" i="26" a="1"/>
  <c r="K468" i="26" s="1"/>
  <c r="L468" i="26" s="1"/>
  <c r="M468" i="26" s="1"/>
  <c r="K444" i="26" a="1"/>
  <c r="K444" i="26" s="1"/>
  <c r="L444" i="26" s="1"/>
  <c r="M444" i="26" s="1"/>
  <c r="K432" i="26" a="1"/>
  <c r="K432" i="26" s="1"/>
  <c r="L432" i="26" s="1"/>
  <c r="M432" i="26" s="1"/>
  <c r="K420" i="26" a="1"/>
  <c r="K420" i="26" s="1"/>
  <c r="L420" i="26" s="1"/>
  <c r="M420" i="26" s="1"/>
  <c r="K540" i="26" a="1"/>
  <c r="K540" i="26" s="1"/>
  <c r="L540" i="26" s="1"/>
  <c r="M540" i="26" s="1"/>
  <c r="K480" i="26" a="1"/>
  <c r="K480" i="26" s="1"/>
  <c r="L480" i="26" s="1"/>
  <c r="M480" i="26" s="1"/>
  <c r="K408" i="26" a="1"/>
  <c r="K408" i="26" s="1"/>
  <c r="L408" i="26" s="1"/>
  <c r="M408" i="26" s="1"/>
  <c r="K600" i="26" a="1"/>
  <c r="K600" i="26" s="1"/>
  <c r="L600" i="26" s="1"/>
  <c r="M600" i="26" s="1"/>
  <c r="K576" i="26" a="1"/>
  <c r="K576" i="26" s="1"/>
  <c r="L576" i="26" s="1"/>
  <c r="M576" i="26" s="1"/>
  <c r="K552" i="26" a="1"/>
  <c r="K552" i="26" s="1"/>
  <c r="L552" i="26" s="1"/>
  <c r="M552" i="26" s="1"/>
  <c r="K504" i="26" a="1"/>
  <c r="K504" i="26" s="1"/>
  <c r="L504" i="26" s="1"/>
  <c r="M504" i="26" s="1"/>
  <c r="K528" i="26" a="1"/>
  <c r="K528" i="26" s="1"/>
  <c r="L528" i="26" s="1"/>
  <c r="M528" i="26" s="1"/>
  <c r="K456" i="26" a="1"/>
  <c r="K456" i="26" s="1"/>
  <c r="L456" i="26" s="1"/>
  <c r="M456" i="26" s="1"/>
  <c r="K360" i="26" a="1"/>
  <c r="K360" i="26" s="1"/>
  <c r="L360" i="26" s="1"/>
  <c r="M360" i="26" s="1"/>
  <c r="K336" i="26" a="1"/>
  <c r="K336" i="26" s="1"/>
  <c r="L336" i="26" s="1"/>
  <c r="M336" i="26" s="1"/>
  <c r="K312" i="26" a="1"/>
  <c r="K312" i="26" s="1"/>
  <c r="L312" i="26" s="1"/>
  <c r="M312" i="26" s="1"/>
  <c r="K288" i="26" a="1"/>
  <c r="K288" i="26" s="1"/>
  <c r="L288" i="26" s="1"/>
  <c r="M288" i="26" s="1"/>
  <c r="K264" i="26" a="1"/>
  <c r="K264" i="26" s="1"/>
  <c r="L264" i="26" s="1"/>
  <c r="M264" i="26" s="1"/>
  <c r="K240" i="26" a="1"/>
  <c r="K240" i="26" s="1"/>
  <c r="L240" i="26" s="1"/>
  <c r="M240" i="26" s="1"/>
  <c r="K216" i="26" a="1"/>
  <c r="K216" i="26" s="1"/>
  <c r="L216" i="26" s="1"/>
  <c r="M216" i="26" s="1"/>
  <c r="K564" i="26" a="1"/>
  <c r="K564" i="26" s="1"/>
  <c r="L564" i="26" s="1"/>
  <c r="M564" i="26" s="1"/>
  <c r="K348" i="26" a="1"/>
  <c r="K348" i="26" s="1"/>
  <c r="L348" i="26" s="1"/>
  <c r="M348" i="26" s="1"/>
  <c r="K396" i="26" a="1"/>
  <c r="K396" i="26" s="1"/>
  <c r="L396" i="26" s="1"/>
  <c r="M396" i="26" s="1"/>
  <c r="K384" i="26" a="1"/>
  <c r="K384" i="26" s="1"/>
  <c r="L384" i="26" s="1"/>
  <c r="M384" i="26" s="1"/>
  <c r="K372" i="26" a="1"/>
  <c r="K372" i="26" s="1"/>
  <c r="L372" i="26" s="1"/>
  <c r="M372" i="26" s="1"/>
  <c r="K300" i="26" a="1"/>
  <c r="K300" i="26" s="1"/>
  <c r="L300" i="26" s="1"/>
  <c r="M300" i="26" s="1"/>
  <c r="K276" i="26" a="1"/>
  <c r="K276" i="26" s="1"/>
  <c r="L276" i="26" s="1"/>
  <c r="M276" i="26" s="1"/>
  <c r="K192" i="26" a="1"/>
  <c r="K192" i="26" s="1"/>
  <c r="L192" i="26" s="1"/>
  <c r="M192" i="26" s="1"/>
  <c r="K63" i="26" a="1"/>
  <c r="K63" i="26" s="1"/>
  <c r="L63" i="26" s="1"/>
  <c r="M63" i="26" s="1"/>
  <c r="K39" i="26" a="1"/>
  <c r="K39" i="26" s="1"/>
  <c r="L39" i="26" s="1"/>
  <c r="M39" i="26" s="1"/>
  <c r="K27" i="26" a="1"/>
  <c r="K27" i="26" s="1"/>
  <c r="L27" i="26" s="1"/>
  <c r="M27" i="26" s="1"/>
  <c r="K15" i="26" a="1"/>
  <c r="K15" i="26" s="1"/>
  <c r="L15" i="26" s="1"/>
  <c r="M15" i="26" s="1"/>
  <c r="K324" i="26" a="1"/>
  <c r="K324" i="26" s="1"/>
  <c r="L324" i="26" s="1"/>
  <c r="M324" i="26" s="1"/>
  <c r="K252" i="26" a="1"/>
  <c r="K252" i="26" s="1"/>
  <c r="L252" i="26" s="1"/>
  <c r="M252" i="26" s="1"/>
  <c r="K144" i="26" a="1"/>
  <c r="K144" i="26" s="1"/>
  <c r="L144" i="26" s="1"/>
  <c r="M144" i="26" s="1"/>
  <c r="K120" i="26" a="1"/>
  <c r="K120" i="26" s="1"/>
  <c r="L120" i="26" s="1"/>
  <c r="M120" i="26" s="1"/>
  <c r="K96" i="26" a="1"/>
  <c r="K96" i="26" s="1"/>
  <c r="L96" i="26" s="1"/>
  <c r="M96" i="26" s="1"/>
  <c r="K72" i="26" a="1"/>
  <c r="K72" i="26" s="1"/>
  <c r="L72" i="26" s="1"/>
  <c r="M72" i="26" s="1"/>
  <c r="K228" i="26" a="1"/>
  <c r="K228" i="26" s="1"/>
  <c r="L228" i="26" s="1"/>
  <c r="M228" i="26" s="1"/>
  <c r="K180" i="26" a="1"/>
  <c r="K180" i="26" s="1"/>
  <c r="L180" i="26" s="1"/>
  <c r="M180" i="26" s="1"/>
  <c r="K204" i="26" a="1"/>
  <c r="K204" i="26" s="1"/>
  <c r="L204" i="26" s="1"/>
  <c r="M204" i="26" s="1"/>
  <c r="K168" i="26" a="1"/>
  <c r="K168" i="26" s="1"/>
  <c r="L168" i="26" s="1"/>
  <c r="M168" i="26" s="1"/>
  <c r="K156" i="26" a="1"/>
  <c r="K156" i="26" s="1"/>
  <c r="L156" i="26" s="1"/>
  <c r="M156" i="26" s="1"/>
  <c r="K132" i="26" a="1"/>
  <c r="K132" i="26" s="1"/>
  <c r="L132" i="26" s="1"/>
  <c r="M132" i="26" s="1"/>
  <c r="K108" i="26" a="1"/>
  <c r="K108" i="26" s="1"/>
  <c r="L108" i="26" s="1"/>
  <c r="M108" i="26" s="1"/>
  <c r="K84" i="26" a="1"/>
  <c r="K84" i="26" s="1"/>
  <c r="L84" i="26" s="1"/>
  <c r="M84" i="26" s="1"/>
  <c r="K51" i="26" a="1"/>
  <c r="K51" i="26" s="1"/>
  <c r="L51" i="26" s="1"/>
  <c r="M51" i="26" s="1"/>
  <c r="K736" i="26" a="1"/>
  <c r="K736" i="26" s="1"/>
  <c r="L736" i="26" s="1"/>
  <c r="M736" i="26" s="1"/>
  <c r="K712" i="26" a="1"/>
  <c r="K712" i="26" s="1"/>
  <c r="L712" i="26" s="1"/>
  <c r="M712" i="26" s="1"/>
  <c r="K688" i="26" a="1"/>
  <c r="K688" i="26" s="1"/>
  <c r="L688" i="26" s="1"/>
  <c r="M688" i="26" s="1"/>
  <c r="K676" i="26" a="1"/>
  <c r="K676" i="26" s="1"/>
  <c r="L676" i="26" s="1"/>
  <c r="M676" i="26" s="1"/>
  <c r="K664" i="26" a="1"/>
  <c r="K664" i="26" s="1"/>
  <c r="L664" i="26" s="1"/>
  <c r="M664" i="26" s="1"/>
  <c r="K652" i="26" a="1"/>
  <c r="K652" i="26" s="1"/>
  <c r="L652" i="26" s="1"/>
  <c r="M652" i="26" s="1"/>
  <c r="K640" i="26" a="1"/>
  <c r="K640" i="26" s="1"/>
  <c r="L640" i="26" s="1"/>
  <c r="M640" i="26" s="1"/>
  <c r="K628" i="26" a="1"/>
  <c r="K628" i="26" s="1"/>
  <c r="L628" i="26" s="1"/>
  <c r="M628" i="26" s="1"/>
  <c r="K616" i="26" a="1"/>
  <c r="K616" i="26" s="1"/>
  <c r="L616" i="26" s="1"/>
  <c r="M616" i="26" s="1"/>
  <c r="K724" i="26" a="1"/>
  <c r="K724" i="26" s="1"/>
  <c r="L724" i="26" s="1"/>
  <c r="M724" i="26" s="1"/>
  <c r="K700" i="26" a="1"/>
  <c r="K700" i="26" s="1"/>
  <c r="L700" i="26" s="1"/>
  <c r="M700" i="26" s="1"/>
  <c r="K604" i="26" a="1"/>
  <c r="K604" i="26" s="1"/>
  <c r="L604" i="26" s="1"/>
  <c r="M604" i="26" s="1"/>
  <c r="K580" i="26" a="1"/>
  <c r="K580" i="26" s="1"/>
  <c r="L580" i="26" s="1"/>
  <c r="M580" i="26" s="1"/>
  <c r="K544" i="26" a="1"/>
  <c r="K544" i="26" s="1"/>
  <c r="L544" i="26" s="1"/>
  <c r="M544" i="26" s="1"/>
  <c r="K532" i="26" a="1"/>
  <c r="K532" i="26" s="1"/>
  <c r="L532" i="26" s="1"/>
  <c r="M532" i="26" s="1"/>
  <c r="K508" i="26" a="1"/>
  <c r="K508" i="26" s="1"/>
  <c r="L508" i="26" s="1"/>
  <c r="M508" i="26" s="1"/>
  <c r="K484" i="26" a="1"/>
  <c r="K484" i="26" s="1"/>
  <c r="L484" i="26" s="1"/>
  <c r="M484" i="26" s="1"/>
  <c r="K460" i="26" a="1"/>
  <c r="K460" i="26" s="1"/>
  <c r="L460" i="26" s="1"/>
  <c r="M460" i="26" s="1"/>
  <c r="K436" i="26" a="1"/>
  <c r="K436" i="26" s="1"/>
  <c r="L436" i="26" s="1"/>
  <c r="M436" i="26" s="1"/>
  <c r="K424" i="26" a="1"/>
  <c r="K424" i="26" s="1"/>
  <c r="L424" i="26" s="1"/>
  <c r="M424" i="26" s="1"/>
  <c r="K592" i="26" a="1"/>
  <c r="K592" i="26" s="1"/>
  <c r="L592" i="26" s="1"/>
  <c r="M592" i="26" s="1"/>
  <c r="K568" i="26" a="1"/>
  <c r="K568" i="26" s="1"/>
  <c r="L568" i="26" s="1"/>
  <c r="M568" i="26" s="1"/>
  <c r="K448" i="26" a="1"/>
  <c r="K448" i="26" s="1"/>
  <c r="L448" i="26" s="1"/>
  <c r="M448" i="26" s="1"/>
  <c r="K412" i="26" a="1"/>
  <c r="K412" i="26" s="1"/>
  <c r="L412" i="26" s="1"/>
  <c r="M412" i="26" s="1"/>
  <c r="K400" i="26" a="1"/>
  <c r="K400" i="26" s="1"/>
  <c r="L400" i="26" s="1"/>
  <c r="M400" i="26" s="1"/>
  <c r="K472" i="26" a="1"/>
  <c r="K472" i="26" s="1"/>
  <c r="L472" i="26" s="1"/>
  <c r="M472" i="26" s="1"/>
  <c r="K556" i="26" a="1"/>
  <c r="K556" i="26" s="1"/>
  <c r="L556" i="26" s="1"/>
  <c r="M556" i="26" s="1"/>
  <c r="K496" i="26" a="1"/>
  <c r="K496" i="26" s="1"/>
  <c r="L496" i="26" s="1"/>
  <c r="M496" i="26" s="1"/>
  <c r="K520" i="26" a="1"/>
  <c r="K520" i="26" s="1"/>
  <c r="L520" i="26" s="1"/>
  <c r="M520" i="26" s="1"/>
  <c r="K364" i="26" a="1"/>
  <c r="K364" i="26" s="1"/>
  <c r="L364" i="26" s="1"/>
  <c r="M364" i="26" s="1"/>
  <c r="K352" i="26" a="1"/>
  <c r="K352" i="26" s="1"/>
  <c r="L352" i="26" s="1"/>
  <c r="M352" i="26" s="1"/>
  <c r="K304" i="26" a="1"/>
  <c r="K304" i="26" s="1"/>
  <c r="L304" i="26" s="1"/>
  <c r="M304" i="26" s="1"/>
  <c r="K280" i="26" a="1"/>
  <c r="K280" i="26" s="1"/>
  <c r="L280" i="26" s="1"/>
  <c r="M280" i="26" s="1"/>
  <c r="K256" i="26" a="1"/>
  <c r="K256" i="26" s="1"/>
  <c r="L256" i="26" s="1"/>
  <c r="M256" i="26" s="1"/>
  <c r="K232" i="26" a="1"/>
  <c r="K232" i="26" s="1"/>
  <c r="L232" i="26" s="1"/>
  <c r="M232" i="26" s="1"/>
  <c r="K208" i="26" a="1"/>
  <c r="K208" i="26" s="1"/>
  <c r="L208" i="26" s="1"/>
  <c r="M208" i="26" s="1"/>
  <c r="K388" i="26" a="1"/>
  <c r="K388" i="26" s="1"/>
  <c r="L388" i="26" s="1"/>
  <c r="M388" i="26" s="1"/>
  <c r="K376" i="26" a="1"/>
  <c r="K376" i="26" s="1"/>
  <c r="L376" i="26" s="1"/>
  <c r="M376" i="26" s="1"/>
  <c r="K328" i="26" a="1"/>
  <c r="K328" i="26" s="1"/>
  <c r="L328" i="26" s="1"/>
  <c r="M328" i="26" s="1"/>
  <c r="K316" i="26" a="1"/>
  <c r="K316" i="26" s="1"/>
  <c r="L316" i="26" s="1"/>
  <c r="M316" i="26" s="1"/>
  <c r="K292" i="26" a="1"/>
  <c r="K292" i="26" s="1"/>
  <c r="L292" i="26" s="1"/>
  <c r="M292" i="26" s="1"/>
  <c r="K268" i="26" a="1"/>
  <c r="K268" i="26" s="1"/>
  <c r="L268" i="26" s="1"/>
  <c r="M268" i="26" s="1"/>
  <c r="K244" i="26" a="1"/>
  <c r="K244" i="26" s="1"/>
  <c r="L244" i="26" s="1"/>
  <c r="M244" i="26" s="1"/>
  <c r="K196" i="26" a="1"/>
  <c r="K196" i="26" s="1"/>
  <c r="L196" i="26" s="1"/>
  <c r="M196" i="26" s="1"/>
  <c r="K67" i="26" a="1"/>
  <c r="K67" i="26" s="1"/>
  <c r="L67" i="26" s="1"/>
  <c r="M67" i="26" s="1"/>
  <c r="K220" i="26" a="1"/>
  <c r="K220" i="26" s="1"/>
  <c r="L220" i="26" s="1"/>
  <c r="M220" i="26" s="1"/>
  <c r="K184" i="26" a="1"/>
  <c r="K184" i="26" s="1"/>
  <c r="L184" i="26" s="1"/>
  <c r="M184" i="26" s="1"/>
  <c r="K160" i="26" a="1"/>
  <c r="K160" i="26" s="1"/>
  <c r="L160" i="26" s="1"/>
  <c r="M160" i="26" s="1"/>
  <c r="K136" i="26" a="1"/>
  <c r="K136" i="26" s="1"/>
  <c r="L136" i="26" s="1"/>
  <c r="M136" i="26" s="1"/>
  <c r="K112" i="26" a="1"/>
  <c r="K112" i="26" s="1"/>
  <c r="L112" i="26" s="1"/>
  <c r="M112" i="26" s="1"/>
  <c r="K88" i="26" a="1"/>
  <c r="K88" i="26" s="1"/>
  <c r="L88" i="26" s="1"/>
  <c r="M88" i="26" s="1"/>
  <c r="K55" i="26" a="1"/>
  <c r="K55" i="26" s="1"/>
  <c r="L55" i="26" s="1"/>
  <c r="M55" i="26" s="1"/>
  <c r="K31" i="26" a="1"/>
  <c r="K31" i="26" s="1"/>
  <c r="L31" i="26" s="1"/>
  <c r="M31" i="26" s="1"/>
  <c r="K19" i="26" a="1"/>
  <c r="K19" i="26" s="1"/>
  <c r="L19" i="26" s="1"/>
  <c r="M19" i="26" s="1"/>
  <c r="K340" i="26" a="1"/>
  <c r="K340" i="26" s="1"/>
  <c r="L340" i="26" s="1"/>
  <c r="M340" i="26" s="1"/>
  <c r="K172" i="26" a="1"/>
  <c r="K172" i="26" s="1"/>
  <c r="L172" i="26" s="1"/>
  <c r="M172" i="26" s="1"/>
  <c r="K148" i="26" a="1"/>
  <c r="K148" i="26" s="1"/>
  <c r="L148" i="26" s="1"/>
  <c r="M148" i="26" s="1"/>
  <c r="K124" i="26" a="1"/>
  <c r="K124" i="26" s="1"/>
  <c r="L124" i="26" s="1"/>
  <c r="M124" i="26" s="1"/>
  <c r="K100" i="26" a="1"/>
  <c r="K100" i="26" s="1"/>
  <c r="L100" i="26" s="1"/>
  <c r="M100" i="26" s="1"/>
  <c r="K76" i="26" a="1"/>
  <c r="K76" i="26" s="1"/>
  <c r="L76" i="26" s="1"/>
  <c r="M76" i="26" s="1"/>
  <c r="K43" i="26" a="1"/>
  <c r="K43" i="26" s="1"/>
  <c r="L43" i="26" s="1"/>
  <c r="M43" i="26" s="1"/>
  <c r="K2" i="26" a="1"/>
  <c r="K2" i="26" s="1"/>
  <c r="K681" i="26" a="1"/>
  <c r="K681" i="26" s="1"/>
  <c r="L681" i="26" s="1"/>
  <c r="M681" i="26" s="1"/>
  <c r="K669" i="26" a="1"/>
  <c r="K669" i="26" s="1"/>
  <c r="L669" i="26" s="1"/>
  <c r="M669" i="26" s="1"/>
  <c r="K657" i="26" a="1"/>
  <c r="K657" i="26" s="1"/>
  <c r="L657" i="26" s="1"/>
  <c r="M657" i="26" s="1"/>
  <c r="K741" i="26" a="1"/>
  <c r="K741" i="26" s="1"/>
  <c r="L741" i="26" s="1"/>
  <c r="M741" i="26" s="1"/>
  <c r="K705" i="26" a="1"/>
  <c r="K705" i="26" s="1"/>
  <c r="L705" i="26" s="1"/>
  <c r="M705" i="26" s="1"/>
  <c r="K621" i="26" a="1"/>
  <c r="K621" i="26" s="1"/>
  <c r="L621" i="26" s="1"/>
  <c r="M621" i="26" s="1"/>
  <c r="K633" i="26" a="1"/>
  <c r="K633" i="26" s="1"/>
  <c r="L633" i="26" s="1"/>
  <c r="M633" i="26" s="1"/>
  <c r="K597" i="26" a="1"/>
  <c r="K597" i="26" s="1"/>
  <c r="L597" i="26" s="1"/>
  <c r="M597" i="26" s="1"/>
  <c r="K573" i="26" a="1"/>
  <c r="K573" i="26" s="1"/>
  <c r="L573" i="26" s="1"/>
  <c r="M573" i="26" s="1"/>
  <c r="K717" i="26" a="1"/>
  <c r="K717" i="26" s="1"/>
  <c r="L717" i="26" s="1"/>
  <c r="M717" i="26" s="1"/>
  <c r="K645" i="26" a="1"/>
  <c r="K645" i="26" s="1"/>
  <c r="L645" i="26" s="1"/>
  <c r="M645" i="26" s="1"/>
  <c r="K585" i="26" a="1"/>
  <c r="K585" i="26" s="1"/>
  <c r="L585" i="26" s="1"/>
  <c r="M585" i="26" s="1"/>
  <c r="K729" i="26" a="1"/>
  <c r="K729" i="26" s="1"/>
  <c r="L729" i="26" s="1"/>
  <c r="M729" i="26" s="1"/>
  <c r="K693" i="26" a="1"/>
  <c r="K693" i="26" s="1"/>
  <c r="L693" i="26" s="1"/>
  <c r="M693" i="26" s="1"/>
  <c r="K513" i="26" a="1"/>
  <c r="K513" i="26" s="1"/>
  <c r="L513" i="26" s="1"/>
  <c r="M513" i="26" s="1"/>
  <c r="K477" i="26" a="1"/>
  <c r="K477" i="26" s="1"/>
  <c r="L477" i="26" s="1"/>
  <c r="M477" i="26" s="1"/>
  <c r="K561" i="26" a="1"/>
  <c r="K561" i="26" s="1"/>
  <c r="L561" i="26" s="1"/>
  <c r="M561" i="26" s="1"/>
  <c r="K549" i="26" a="1"/>
  <c r="K549" i="26" s="1"/>
  <c r="L549" i="26" s="1"/>
  <c r="M549" i="26" s="1"/>
  <c r="K537" i="26" a="1"/>
  <c r="K537" i="26" s="1"/>
  <c r="L537" i="26" s="1"/>
  <c r="M537" i="26" s="1"/>
  <c r="K501" i="26" a="1"/>
  <c r="K501" i="26" s="1"/>
  <c r="L501" i="26" s="1"/>
  <c r="M501" i="26" s="1"/>
  <c r="K441" i="26" a="1"/>
  <c r="K441" i="26" s="1"/>
  <c r="L441" i="26" s="1"/>
  <c r="M441" i="26" s="1"/>
  <c r="K609" i="26" a="1"/>
  <c r="K609" i="26" s="1"/>
  <c r="L609" i="26" s="1"/>
  <c r="M609" i="26" s="1"/>
  <c r="K525" i="26" a="1"/>
  <c r="K525" i="26" s="1"/>
  <c r="L525" i="26" s="1"/>
  <c r="M525" i="26" s="1"/>
  <c r="K465" i="26" a="1"/>
  <c r="K465" i="26" s="1"/>
  <c r="L465" i="26" s="1"/>
  <c r="M465" i="26" s="1"/>
  <c r="K417" i="26" a="1"/>
  <c r="K417" i="26" s="1"/>
  <c r="L417" i="26" s="1"/>
  <c r="M417" i="26" s="1"/>
  <c r="K405" i="26" a="1"/>
  <c r="K405" i="26" s="1"/>
  <c r="L405" i="26" s="1"/>
  <c r="M405" i="26" s="1"/>
  <c r="K393" i="26" a="1"/>
  <c r="K393" i="26" s="1"/>
  <c r="L393" i="26" s="1"/>
  <c r="M393" i="26" s="1"/>
  <c r="K381" i="26" a="1"/>
  <c r="K381" i="26" s="1"/>
  <c r="L381" i="26" s="1"/>
  <c r="M381" i="26" s="1"/>
  <c r="K369" i="26" a="1"/>
  <c r="K369" i="26" s="1"/>
  <c r="L369" i="26" s="1"/>
  <c r="M369" i="26" s="1"/>
  <c r="K357" i="26" a="1"/>
  <c r="K357" i="26" s="1"/>
  <c r="L357" i="26" s="1"/>
  <c r="M357" i="26" s="1"/>
  <c r="K345" i="26" a="1"/>
  <c r="K345" i="26" s="1"/>
  <c r="L345" i="26" s="1"/>
  <c r="M345" i="26" s="1"/>
  <c r="K333" i="26" a="1"/>
  <c r="K333" i="26" s="1"/>
  <c r="L333" i="26" s="1"/>
  <c r="M333" i="26" s="1"/>
  <c r="K489" i="26" a="1"/>
  <c r="K489" i="26" s="1"/>
  <c r="L489" i="26" s="1"/>
  <c r="M489" i="26" s="1"/>
  <c r="K429" i="26" a="1"/>
  <c r="K429" i="26" s="1"/>
  <c r="L429" i="26" s="1"/>
  <c r="M429" i="26" s="1"/>
  <c r="K453" i="26" a="1"/>
  <c r="K453" i="26" s="1"/>
  <c r="L453" i="26" s="1"/>
  <c r="M453" i="26" s="1"/>
  <c r="K321" i="26" a="1"/>
  <c r="K321" i="26" s="1"/>
  <c r="L321" i="26" s="1"/>
  <c r="M321" i="26" s="1"/>
  <c r="K297" i="26" a="1"/>
  <c r="K297" i="26" s="1"/>
  <c r="L297" i="26" s="1"/>
  <c r="M297" i="26" s="1"/>
  <c r="K273" i="26" a="1"/>
  <c r="K273" i="26" s="1"/>
  <c r="L273" i="26" s="1"/>
  <c r="M273" i="26" s="1"/>
  <c r="K249" i="26" a="1"/>
  <c r="K249" i="26" s="1"/>
  <c r="L249" i="26" s="1"/>
  <c r="M249" i="26" s="1"/>
  <c r="K225" i="26" a="1"/>
  <c r="K225" i="26" s="1"/>
  <c r="L225" i="26" s="1"/>
  <c r="M225" i="26" s="1"/>
  <c r="K309" i="26" a="1"/>
  <c r="K309" i="26" s="1"/>
  <c r="L309" i="26" s="1"/>
  <c r="M309" i="26" s="1"/>
  <c r="K285" i="26" a="1"/>
  <c r="K285" i="26" s="1"/>
  <c r="L285" i="26" s="1"/>
  <c r="M285" i="26" s="1"/>
  <c r="K261" i="26" a="1"/>
  <c r="K261" i="26" s="1"/>
  <c r="L261" i="26" s="1"/>
  <c r="M261" i="26" s="1"/>
  <c r="K237" i="26" a="1"/>
  <c r="K237" i="26" s="1"/>
  <c r="L237" i="26" s="1"/>
  <c r="M237" i="26" s="1"/>
  <c r="K153" i="26" a="1"/>
  <c r="K153" i="26" s="1"/>
  <c r="L153" i="26" s="1"/>
  <c r="M153" i="26" s="1"/>
  <c r="K129" i="26" a="1"/>
  <c r="K129" i="26" s="1"/>
  <c r="L129" i="26" s="1"/>
  <c r="M129" i="26" s="1"/>
  <c r="K105" i="26" a="1"/>
  <c r="K105" i="26" s="1"/>
  <c r="L105" i="26" s="1"/>
  <c r="M105" i="26" s="1"/>
  <c r="K81" i="26" a="1"/>
  <c r="K81" i="26" s="1"/>
  <c r="L81" i="26" s="1"/>
  <c r="M81" i="26" s="1"/>
  <c r="K60" i="26" a="1"/>
  <c r="K60" i="26" s="1"/>
  <c r="L60" i="26" s="1"/>
  <c r="M60" i="26" s="1"/>
  <c r="K48" i="26" a="1"/>
  <c r="K48" i="26" s="1"/>
  <c r="L48" i="26" s="1"/>
  <c r="M48" i="26" s="1"/>
  <c r="K36" i="26" a="1"/>
  <c r="K36" i="26" s="1"/>
  <c r="L36" i="26" s="1"/>
  <c r="M36" i="26" s="1"/>
  <c r="K24" i="26" a="1"/>
  <c r="K24" i="26" s="1"/>
  <c r="L24" i="26" s="1"/>
  <c r="M24" i="26" s="1"/>
  <c r="K12" i="26" a="1"/>
  <c r="K12" i="26" s="1"/>
  <c r="L12" i="26" s="1"/>
  <c r="M12" i="26" s="1"/>
  <c r="K213" i="26" a="1"/>
  <c r="K213" i="26" s="1"/>
  <c r="L213" i="26" s="1"/>
  <c r="M213" i="26" s="1"/>
  <c r="K189" i="26" a="1"/>
  <c r="K189" i="26" s="1"/>
  <c r="L189" i="26" s="1"/>
  <c r="M189" i="26" s="1"/>
  <c r="K177" i="26" a="1"/>
  <c r="K177" i="26" s="1"/>
  <c r="L177" i="26" s="1"/>
  <c r="M177" i="26" s="1"/>
  <c r="K201" i="26" a="1"/>
  <c r="K201" i="26" s="1"/>
  <c r="L201" i="26" s="1"/>
  <c r="M201" i="26" s="1"/>
  <c r="K165" i="26" a="1"/>
  <c r="K165" i="26" s="1"/>
  <c r="L165" i="26" s="1"/>
  <c r="M165" i="26" s="1"/>
  <c r="K141" i="26" a="1"/>
  <c r="K141" i="26" s="1"/>
  <c r="L141" i="26" s="1"/>
  <c r="M141" i="26" s="1"/>
  <c r="K117" i="26" a="1"/>
  <c r="K117" i="26" s="1"/>
  <c r="L117" i="26" s="1"/>
  <c r="M117" i="26" s="1"/>
  <c r="K93" i="26" a="1"/>
  <c r="K93" i="26" s="1"/>
  <c r="L93" i="26" s="1"/>
  <c r="M93" i="26" s="1"/>
  <c r="B27" i="27"/>
  <c r="B27" i="28"/>
  <c r="B24" i="26"/>
  <c r="B25" i="26"/>
  <c r="L2" i="26"/>
  <c r="M2" i="26" l="1"/>
  <c r="B2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F18CA9F2-12F2-474C-AF1B-184429A6031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F9F40CC7-AA99-411C-9018-906E2042591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5516E3A6-59D9-4A02-A9A4-BA1BBEEC8BB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7C3775FC-0543-4AF9-99A6-17BAD23AA65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 At2+Bt+C)</t>
        </r>
      </text>
    </comment>
    <comment ref="J1" authorId="1" shapeId="0" xr:uid="{AEFF7EA3-7AC9-4299-A777-40AFFC61107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4BCB066C-8553-4989-8E0F-6C661993434C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D2DAB9F8-9B7D-4D97-8934-617E8CF4D59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1A0A98E2-9F25-415E-A174-A8E2B821009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5E6E2588-1BEC-4CD5-840B-70DDD4A5C7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A973998F-97ED-4DE8-8598-515181BE9A4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C7" authorId="0" shapeId="0" xr:uid="{F7DEF5B9-EFBB-478B-9742-AA25C5844A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481AEC4B-C63F-45C1-A9C0-7D042C521AB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98D8D63-F0E8-472A-A018-97DB21CCC95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EA917F59-0B60-4CD3-AC94-B049B6EF5BD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3648C207-D6B7-4103-ABAD-1CC53F65EC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D89DAA66-A13D-4C41-A836-5710D9B2F4F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1BA1756B-68E4-4633-B749-AB6A48088A3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33EB718D-3FD7-4C4E-A972-7BE31586F83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98D186BD-5FA7-4166-A9BF-6085BAD2056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B877EF9F-7A18-4685-9B1E-E78959FD6D1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A5988AB9-14F2-4993-A5F9-826C5B0550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A5A79A80-2703-4AAD-935F-35306A6D036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FE737F71-123C-4882-8DFF-191A0D14C8F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707EA7E9-8061-4928-8966-70B1BA41F09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B463F563-B5DF-4216-A858-6D5CD040500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47E9367D-6BB4-4876-ADC4-3492756C6D0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8D2FF37C-C0FD-4D4B-803B-862D7C183E8A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25AD143-DB83-4E04-9D6F-2338C55B65F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DDF4A550-A64E-458F-BB96-85A258E94F7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A162B157-D436-4B81-872B-B4B9A818EB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1C9D475D-CACA-4B29-A1E7-883C01F5FFA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96F00D8B-BACE-4925-9EED-5CF7BAA8DC8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CD946F50-6B51-4D5E-BCE5-9D5950A2952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A1819E1F-0FB4-44D3-AE0F-4B110975D6C7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AA6FBCAA-355D-48D1-91EE-9A60A1668EC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23035728-4147-4B04-83CC-B0B7DB6EAAA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B0F9D652-89A3-4A5A-9EDF-DF6CDE6AFE1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3007015E-02CB-414B-9E50-14D7A0C039C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C1F862F6-6E3E-4090-B021-A77527E5EB0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72B3FDA7-1EE1-4500-93D0-4AC8E09ECF1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901218E2-E45F-4DC7-B939-43AB1311A27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E2D7D4FD-DCFD-4B05-8DB6-2852C34A2FB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675A6B30-8BE5-4FEE-9EE5-70C4F54D03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567654D2-00A1-4EB3-8FE3-5516CB9FACE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0968B-CA49-4E0F-8449-9164A1AC4134}" keepAlive="1" name="ThisWorkbookDataModel" description="データ モデル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20390F-EECE-4EE5-9B45-6DBD795435AA}" name="WorksheetConnection_co2!$A$1:$B$742" type="102" refreshedVersion="7" minRefreshableVersion="5">
    <extLst>
      <ext xmlns:x15="http://schemas.microsoft.com/office/spreadsheetml/2010/11/main" uri="{DE250136-89BD-433C-8126-D09CA5730AF9}">
        <x15:connection id="範囲">
          <x15:rangePr sourceName="_xlcn.WorksheetConnection_co2A1B74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<sst xmlns="http://schemas.openxmlformats.org/spreadsheetml/2006/main" count="131" uniqueCount="57">
  <si>
    <t>Date</t>
  </si>
  <si>
    <t>CO2</t>
  </si>
  <si>
    <t>季節変動</t>
    <rPh sb="0" eb="2">
      <t>キセツ</t>
    </rPh>
    <rPh sb="2" eb="4">
      <t>ヘンドウ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</si>
  <si>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</si>
  <si>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</si>
  <si>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</si>
  <si>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</si>
  <si>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</si>
  <si>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S(m)</t>
    <phoneticPr fontId="1"/>
  </si>
  <si>
    <t>傾向変動</t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</si>
  <si>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</si>
  <si>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残差平方の平均</t>
    <rPh sb="0" eb="4">
      <t>ザンサヘイホウ</t>
    </rPh>
    <rPh sb="5" eb="7">
      <t>ヘイキン</t>
    </rPh>
    <phoneticPr fontId="1"/>
  </si>
  <si>
    <t>手順</t>
    <rPh sb="0" eb="2">
      <t>テジュン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</si>
  <si>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</si>
  <si>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</si>
  <si>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r>
      <t>T(t) = At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+Bt+C</t>
    </r>
    <phoneticPr fontId="1"/>
  </si>
  <si>
    <t>：2次多項式（t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</si>
  <si>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S(m(t))</t>
    <phoneticPr fontId="1"/>
  </si>
  <si>
    <t>：傾向変動からの変位（m(t) は t の月部分 ）</t>
    <rPh sb="8" eb="10">
      <t>ヘンイ</t>
    </rPh>
    <rPh sb="21" eb="22">
      <t>ツキ</t>
    </rPh>
    <rPh sb="22" eb="24">
      <t>ブブン</t>
    </rPh>
    <phoneticPr fontId="1"/>
  </si>
  <si>
    <t>TS(t)=T(t)+S(m(t))</t>
    <phoneticPr fontId="1"/>
  </si>
  <si>
    <t>T(t)</t>
    <phoneticPr fontId="1"/>
  </si>
  <si>
    <t>Y(t)-T(t)</t>
    <phoneticPr fontId="1"/>
  </si>
  <si>
    <t>m(t)</t>
    <phoneticPr fontId="1"/>
  </si>
  <si>
    <t>TS(t)</t>
    <phoneticPr fontId="1"/>
  </si>
  <si>
    <t>2000/4/1 の行までコピーする</t>
    <rPh sb="10" eb="11">
      <t>ギョウ</t>
    </rPh>
    <phoneticPr fontId="1"/>
  </si>
  <si>
    <t>T(t), Y(t)-T(t)　(I2, J2) の数式を</t>
    <rPh sb="26" eb="28">
      <t>スウシキ</t>
    </rPh>
    <phoneticPr fontId="1"/>
  </si>
  <si>
    <t>S(m(t)), TS(t), 残差(I)　(K2～M2) の数式を</t>
    <phoneticPr fontId="1"/>
  </si>
  <si>
    <t>A11:B24を選択して，散布図(平滑線とマーカー)を描く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</si>
  <si>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(観測値と傾向変動(T)のグラフ)</t>
    <rPh sb="1" eb="4">
      <t>カンソクチ</t>
    </rPh>
    <rPh sb="5" eb="9">
      <t>ケイコウヘンドウ</t>
    </rPh>
    <phoneticPr fontId="1"/>
  </si>
  <si>
    <t>(観測値と近似値(TS)のグラフ)</t>
    <rPh sb="1" eb="4">
      <t>カンソクチ</t>
    </rPh>
    <rPh sb="5" eb="8">
      <t>キンジチ</t>
    </rPh>
    <phoneticPr fontId="1"/>
  </si>
  <si>
    <t>(季節変動(S)の (1年分の) グラフ)</t>
    <rPh sb="1" eb="5">
      <t>キセツヘンドウ</t>
    </rPh>
    <rPh sb="12" eb="14">
      <t>ネンブン</t>
    </rPh>
    <phoneticPr fontId="1"/>
  </si>
  <si>
    <t>(残差 (不規則変動 I) のグラフ)</t>
    <rPh sb="1" eb="3">
      <t>ザンサ</t>
    </rPh>
    <rPh sb="5" eb="10">
      <t>フキソクヘンドウ</t>
    </rPh>
    <phoneticPr fontId="1"/>
  </si>
  <si>
    <t>I～M列の数式を 2020/4/1 の行までコピーする</t>
    <rPh sb="3" eb="4">
      <t>レツ</t>
    </rPh>
    <rPh sb="5" eb="7">
      <t>スウシキ</t>
    </rPh>
    <rPh sb="19" eb="20">
      <t>ギョウ</t>
    </rPh>
    <phoneticPr fontId="1"/>
  </si>
  <si>
    <t>(2000/5/1 ～ 2020/4/1 の誤差の確認)</t>
    <rPh sb="22" eb="24">
      <t>ゴサ</t>
    </rPh>
    <rPh sb="25" eb="27">
      <t>カクニン</t>
    </rPh>
    <phoneticPr fontId="1"/>
  </si>
  <si>
    <t>(将来の推定)</t>
    <rPh sb="1" eb="3">
      <t>ショウライ</t>
    </rPh>
    <rPh sb="4" eb="6">
      <t>スイテイ</t>
    </rPh>
    <phoneticPr fontId="1"/>
  </si>
  <si>
    <t>※ 2次多項式モデルは，増加率が一定の割合で増加するモデルである</t>
    <rPh sb="3" eb="4">
      <t>ジ</t>
    </rPh>
    <rPh sb="4" eb="7">
      <t>タコウシキ</t>
    </rPh>
    <rPh sb="12" eb="15">
      <t>ゾウカリツ</t>
    </rPh>
    <rPh sb="16" eb="18">
      <t>イッテイ</t>
    </rPh>
    <rPh sb="19" eb="21">
      <t>ワリアイ</t>
    </rPh>
    <rPh sb="22" eb="24">
      <t>ゾウカ</t>
    </rPh>
    <phoneticPr fontId="1"/>
  </si>
  <si>
    <t>=S(1)</t>
    <phoneticPr fontId="1"/>
  </si>
  <si>
    <t>I, K, L列の数式を 2040/4/1 の行までコピーする</t>
    <rPh sb="7" eb="8">
      <t>レツ</t>
    </rPh>
    <rPh sb="9" eb="11">
      <t>スウシキ</t>
    </rPh>
    <rPh sb="23" eb="24">
      <t>ギョウ</t>
    </rPh>
    <phoneticPr fontId="1"/>
  </si>
  <si>
    <t>T(t) = Bt+C</t>
    <phoneticPr fontId="1"/>
  </si>
  <si>
    <t>：1次多項式（t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</si>
  <si>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t, Y(t), T(t)　(F, H, I 列) で折れ線グラフを描く</t>
    <rPh sb="23" eb="24">
      <t>レツ</t>
    </rPh>
    <rPh sb="27" eb="28">
      <t>オ</t>
    </rPh>
    <rPh sb="29" eb="30">
      <t>セン</t>
    </rPh>
    <rPh sb="34" eb="35">
      <t>エガ</t>
    </rPh>
    <phoneticPr fontId="1"/>
  </si>
  <si>
    <t>t, Y(t), TS(t)（F, H, L列）で折れ線グラフを描く</t>
    <rPh sb="22" eb="23">
      <t>レツ</t>
    </rPh>
    <rPh sb="25" eb="26">
      <t>オ</t>
    </rPh>
    <rPh sb="27" eb="28">
      <t>セン</t>
    </rPh>
    <rPh sb="32" eb="33">
      <t>エガ</t>
    </rPh>
    <phoneticPr fontId="1"/>
  </si>
  <si>
    <t>※ 線形モデルは，増加率が一定の（直線的な）モデルである</t>
    <rPh sb="2" eb="4">
      <t>センケイ</t>
    </rPh>
    <rPh sb="9" eb="12">
      <t>ゾウカリツ</t>
    </rPh>
    <rPh sb="13" eb="15">
      <t>イッテイ</t>
    </rPh>
    <rPh sb="17" eb="20">
      <t>チョクセンテキ</t>
    </rPh>
    <phoneticPr fontId="1"/>
  </si>
  <si>
    <t>t, 残差(I)（F, M列）で折れ線グラフを描く</t>
    <rPh sb="3" eb="5">
      <t>ザンサ</t>
    </rPh>
    <rPh sb="13" eb="14">
      <t>レツ</t>
    </rPh>
    <rPh sb="16" eb="17">
      <t>オ</t>
    </rPh>
    <rPh sb="18" eb="19">
      <t>セン</t>
    </rPh>
    <rPh sb="23" eb="24">
      <t>エガ</t>
    </rPh>
    <phoneticPr fontId="1"/>
  </si>
  <si>
    <t xml:space="preserve"> ※ 2000/4/1までのデータを使った近似</t>
    <rPh sb="18" eb="19">
      <t>ツカ</t>
    </rPh>
    <rPh sb="21" eb="23">
      <t>キンジ</t>
    </rPh>
    <phoneticPr fontId="1"/>
  </si>
  <si>
    <t xml:space="preserve"> ※ 2000/4/1までのデータを使った平均</t>
    <rPh sb="18" eb="19">
      <t>ツカ</t>
    </rPh>
    <rPh sb="21" eb="23">
      <t>ヘイキン</t>
    </rPh>
    <phoneticPr fontId="1"/>
  </si>
  <si>
    <t>t (=Date)</t>
    <phoneticPr fontId="1"/>
  </si>
  <si>
    <t>Y(t) (=CO2)</t>
    <phoneticPr fontId="1"/>
  </si>
  <si>
    <t>I(t) (=残差)</t>
    <rPh sb="7" eb="9">
      <t>ザンサ</t>
    </rPh>
    <phoneticPr fontId="1"/>
  </si>
  <si>
    <t>傾向変動のパラメータ（最小二乗法による線形(1次多項式)近似）</t>
    <rPh sb="11" eb="16">
      <t>サイショウニジョウホウ</t>
    </rPh>
    <rPh sb="19" eb="21">
      <t>センケイ</t>
    </rPh>
    <rPh sb="23" eb="24">
      <t>ジ</t>
    </rPh>
    <rPh sb="24" eb="27">
      <t>タコウシキ</t>
    </rPh>
    <rPh sb="28" eb="30">
      <t>キンジ</t>
    </rPh>
    <phoneticPr fontId="1"/>
  </si>
  <si>
    <t>傾向変動のパラメータ（最小二乗法による2次多項式近似）</t>
    <rPh sb="11" eb="16">
      <t>サイショウニジョウホウ</t>
    </rPh>
    <rPh sb="20" eb="26">
      <t>ジタコウシキキンジ</t>
    </rPh>
    <phoneticPr fontId="1"/>
  </si>
  <si>
    <t>← LINEST関数を使用した配列数式</t>
    <rPh sb="8" eb="10">
      <t>カンスウ</t>
    </rPh>
    <rPh sb="11" eb="13">
      <t>シヨウ</t>
    </rPh>
    <rPh sb="15" eb="17">
      <t>ハイレツ</t>
    </rPh>
    <rPh sb="17" eb="19">
      <t>スウシキ</t>
    </rPh>
    <phoneticPr fontId="1"/>
  </si>
  <si>
    <t xml:space="preserve"> ※ 2020/4/1までの全データを使った近似</t>
    <rPh sb="14" eb="15">
      <t>ゼン</t>
    </rPh>
    <rPh sb="19" eb="20">
      <t>ツカ</t>
    </rPh>
    <rPh sb="22" eb="24">
      <t>キンジ</t>
    </rPh>
    <phoneticPr fontId="1"/>
  </si>
  <si>
    <t xml:space="preserve"> ※ 2020/4/1までの全データを使った平均</t>
    <rPh sb="14" eb="15">
      <t>ゼン</t>
    </rPh>
    <rPh sb="19" eb="20">
      <t>ツカ</t>
    </rPh>
    <rPh sb="22" eb="24">
      <t>ヘイキン</t>
    </rPh>
    <phoneticPr fontId="1"/>
  </si>
  <si>
    <t>季節変動（Y(t)-T(t) の月別平均値）</t>
  </si>
  <si>
    <t>季節変動（Y(t)-T(t) の月別平均値）</t>
    <rPh sb="0" eb="4">
      <t>キセツヘンドウ</t>
    </rPh>
    <rPh sb="16" eb="18">
      <t>ツキベツ</t>
    </rPh>
    <rPh sb="18" eb="21">
      <t>ヘイキンチ</t>
    </rPh>
    <phoneticPr fontId="1"/>
  </si>
  <si>
    <t>季節変動（Y(t)-T(t) の月別平均値）</t>
    <rPh sb="0" eb="2">
      <t>キセツ</t>
    </rPh>
    <rPh sb="2" eb="4">
      <t>ヘンドウ</t>
    </rPh>
    <rPh sb="16" eb="18">
      <t>ツキベツ</t>
    </rPh>
    <rPh sb="18" eb="20">
      <t>ヘイキン</t>
    </rPh>
    <rPh sb="20" eb="21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</si>
</sst>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;[Red]\-0.00\ "/>
    <numFmt numFmtId="177" formatCode="0.000000000_ ;[Red]\-0.000000000\ "/>
    <numFmt numFmtId="178" formatCode="0.000000000_ ;\-0.000000000\ 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6" xfId="0" applyBorder="1">
      <alignment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>
      <alignment vertical="center"/>
    </xf>
    <xf numFmtId="0" fontId="3" fillId="0" borderId="0" xfId="0" quotePrefix="1" applyFont="1">
      <alignment vertical="center"/>
    </xf>
    <xf numFmtId="178" fontId="3" fillId="0" borderId="5" xfId="0" applyNumberFormat="1" applyFont="1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4.xml"/><Relationship Id="rId18" Type="http://schemas.openxmlformats.org/officeDocument/2006/relationships/sheetMetadata" Target="metadata.xml"/><Relationship Id="rId3" Type="http://schemas.openxmlformats.org/officeDocument/2006/relationships/chartsheet" Target="chartsheets/sheet2.xml"/><Relationship Id="rId21" Type="http://schemas.openxmlformats.org/officeDocument/2006/relationships/customXml" Target="../customXml/item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9.xml"/><Relationship Id="rId1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8.xml"/><Relationship Id="rId5" Type="http://schemas.openxmlformats.org/officeDocument/2006/relationships/worksheet" Target="worksheets/sheet2.xml"/><Relationship Id="rId15" Type="http://schemas.openxmlformats.org/officeDocument/2006/relationships/connections" Target="connections.xml"/><Relationship Id="rId10" Type="http://schemas.openxmlformats.org/officeDocument/2006/relationships/chartsheet" Target="chartsheets/sheet7.xml"/><Relationship Id="rId19" Type="http://schemas.openxmlformats.org/officeDocument/2006/relationships/powerPivotData" Target="model/item.data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'co2'!$B$1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'co2'!$A$2:$A$742</c:f>
              <c:numCache>
                <c:formatCode>m/d/yyyy</c:formatCode>
                <c:ptCount val="7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</c:numCache>
            </c:numRef>
          </c:xVal>
          <c:yVal>
            <c:numRef>
              <c:f>'co2'!$B$2:$B$742</c:f>
              <c:numCache>
                <c:formatCode>General</c:formatCode>
                <c:ptCount val="7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E4-451F-846E-9B3824F5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05640"/>
        <c:axId val="562406000"/>
      </c:scatterChart>
      <c:valAx>
        <c:axId val="562405640"/>
        <c:scaling>
          <c:orientation val="minMax"/>
          <c:max val="44197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Date (t)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6000"/>
        <c:crosses val="autoZero"/>
        <c:crossBetween val="midCat"/>
        <c:majorUnit val="3652.5"/>
      </c:valAx>
      <c:valAx>
        <c:axId val="56240600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CO</a:t>
                </a:r>
                <a:r>
                  <a:rPr lang="en-US" altLang="ja-JP" baseline="-25000"/>
                  <a:t>2</a:t>
                </a:r>
                <a:r>
                  <a:rPr lang="en-US" altLang="ja-JP"/>
                  <a:t> (y)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5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線形モデル!$H$1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4-4E7D-BCA4-4CCAFD4A1366}"/>
            </c:ext>
          </c:extLst>
        </c:ser>
        <c:ser>
          <c:idx val="1"/>
          <c:order val="1"/>
          <c:tx>
            <c:strRef>
              <c:f>線形モデル!$I$1</c:f>
              <c:strCache>
                <c:ptCount val="1"/>
                <c:pt idx="0">
                  <c:v>T(t)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線形モデル!$I$2:$I$982</c:f>
              <c:numCache>
                <c:formatCode>0.00_ ;[Red]\-0.00\ </c:formatCode>
                <c:ptCount val="981"/>
                <c:pt idx="0">
                  <c:v>310.56099854233639</c:v>
                </c:pt>
                <c:pt idx="1">
                  <c:v>310.67338142394635</c:v>
                </c:pt>
                <c:pt idx="2">
                  <c:v>310.78213905131082</c:v>
                </c:pt>
                <c:pt idx="3">
                  <c:v>311.00327956028525</c:v>
                </c:pt>
                <c:pt idx="4">
                  <c:v>311.11566244189521</c:v>
                </c:pt>
                <c:pt idx="5">
                  <c:v>311.22804532350517</c:v>
                </c:pt>
                <c:pt idx="6">
                  <c:v>311.44918583247966</c:v>
                </c:pt>
                <c:pt idx="7">
                  <c:v>311.55794345984413</c:v>
                </c:pt>
                <c:pt idx="8">
                  <c:v>311.67032634145409</c:v>
                </c:pt>
                <c:pt idx="9">
                  <c:v>311.78270922306405</c:v>
                </c:pt>
                <c:pt idx="10">
                  <c:v>311.88421634193753</c:v>
                </c:pt>
                <c:pt idx="11">
                  <c:v>311.99659922354749</c:v>
                </c:pt>
                <c:pt idx="12">
                  <c:v>312.10535685091196</c:v>
                </c:pt>
                <c:pt idx="13">
                  <c:v>312.21773973252192</c:v>
                </c:pt>
                <c:pt idx="14">
                  <c:v>312.32649735988639</c:v>
                </c:pt>
                <c:pt idx="15">
                  <c:v>312.43888024149635</c:v>
                </c:pt>
                <c:pt idx="16">
                  <c:v>312.55126312310631</c:v>
                </c:pt>
                <c:pt idx="17">
                  <c:v>312.66002075047084</c:v>
                </c:pt>
                <c:pt idx="18">
                  <c:v>312.7724036320808</c:v>
                </c:pt>
                <c:pt idx="19">
                  <c:v>312.88116125944526</c:v>
                </c:pt>
                <c:pt idx="20">
                  <c:v>312.99354414105522</c:v>
                </c:pt>
                <c:pt idx="21">
                  <c:v>313.10592702266518</c:v>
                </c:pt>
                <c:pt idx="22">
                  <c:v>313.21105939578416</c:v>
                </c:pt>
                <c:pt idx="23">
                  <c:v>313.32344227739412</c:v>
                </c:pt>
                <c:pt idx="24">
                  <c:v>313.43219990475859</c:v>
                </c:pt>
                <c:pt idx="25">
                  <c:v>313.54458278636855</c:v>
                </c:pt>
                <c:pt idx="26">
                  <c:v>313.65334041373302</c:v>
                </c:pt>
                <c:pt idx="27">
                  <c:v>313.76572329534298</c:v>
                </c:pt>
                <c:pt idx="28">
                  <c:v>313.87810617695294</c:v>
                </c:pt>
                <c:pt idx="29">
                  <c:v>313.98686380431741</c:v>
                </c:pt>
                <c:pt idx="30">
                  <c:v>314.09924668592737</c:v>
                </c:pt>
                <c:pt idx="31">
                  <c:v>314.20800431329189</c:v>
                </c:pt>
                <c:pt idx="32">
                  <c:v>314.32038719490185</c:v>
                </c:pt>
                <c:pt idx="33">
                  <c:v>314.43277007651182</c:v>
                </c:pt>
                <c:pt idx="34">
                  <c:v>314.5342771953853</c:v>
                </c:pt>
                <c:pt idx="35">
                  <c:v>314.64666007699526</c:v>
                </c:pt>
                <c:pt idx="36">
                  <c:v>314.75541770435973</c:v>
                </c:pt>
                <c:pt idx="37">
                  <c:v>314.86780058596969</c:v>
                </c:pt>
                <c:pt idx="38">
                  <c:v>314.97655821333421</c:v>
                </c:pt>
                <c:pt idx="39">
                  <c:v>315.08894109494418</c:v>
                </c:pt>
                <c:pt idx="40">
                  <c:v>315.20132397655414</c:v>
                </c:pt>
                <c:pt idx="41">
                  <c:v>315.31008160391855</c:v>
                </c:pt>
                <c:pt idx="42">
                  <c:v>315.42246448552851</c:v>
                </c:pt>
                <c:pt idx="43">
                  <c:v>315.53122211289303</c:v>
                </c:pt>
                <c:pt idx="44">
                  <c:v>315.64360499450299</c:v>
                </c:pt>
                <c:pt idx="45">
                  <c:v>315.75598787611295</c:v>
                </c:pt>
                <c:pt idx="46">
                  <c:v>315.85749499498644</c:v>
                </c:pt>
                <c:pt idx="47">
                  <c:v>315.9698778765964</c:v>
                </c:pt>
                <c:pt idx="48">
                  <c:v>316.07863550396087</c:v>
                </c:pt>
                <c:pt idx="49">
                  <c:v>316.19101838557083</c:v>
                </c:pt>
                <c:pt idx="50">
                  <c:v>316.29977601293535</c:v>
                </c:pt>
                <c:pt idx="51">
                  <c:v>316.41215889454531</c:v>
                </c:pt>
                <c:pt idx="52">
                  <c:v>316.52454177615527</c:v>
                </c:pt>
                <c:pt idx="53">
                  <c:v>316.63329940351974</c:v>
                </c:pt>
                <c:pt idx="54">
                  <c:v>316.7456822851297</c:v>
                </c:pt>
                <c:pt idx="55">
                  <c:v>316.85443991249417</c:v>
                </c:pt>
                <c:pt idx="56">
                  <c:v>316.96682279410413</c:v>
                </c:pt>
                <c:pt idx="57">
                  <c:v>317.07920567571409</c:v>
                </c:pt>
                <c:pt idx="58">
                  <c:v>317.18071279458758</c:v>
                </c:pt>
                <c:pt idx="59">
                  <c:v>317.29309567619754</c:v>
                </c:pt>
                <c:pt idx="60">
                  <c:v>317.40185330356201</c:v>
                </c:pt>
                <c:pt idx="61">
                  <c:v>317.51423618517197</c:v>
                </c:pt>
                <c:pt idx="62">
                  <c:v>317.62299381253649</c:v>
                </c:pt>
                <c:pt idx="63">
                  <c:v>317.73537669414645</c:v>
                </c:pt>
                <c:pt idx="64">
                  <c:v>317.84775957575641</c:v>
                </c:pt>
                <c:pt idx="65">
                  <c:v>317.95651720312088</c:v>
                </c:pt>
                <c:pt idx="66">
                  <c:v>318.06890008473084</c:v>
                </c:pt>
                <c:pt idx="67">
                  <c:v>318.17765771209531</c:v>
                </c:pt>
                <c:pt idx="68">
                  <c:v>318.29004059370527</c:v>
                </c:pt>
                <c:pt idx="69">
                  <c:v>318.72869635740864</c:v>
                </c:pt>
                <c:pt idx="70">
                  <c:v>318.8410792390186</c:v>
                </c:pt>
                <c:pt idx="71">
                  <c:v>318.94983686638307</c:v>
                </c:pt>
                <c:pt idx="72">
                  <c:v>319.06221974799303</c:v>
                </c:pt>
                <c:pt idx="73">
                  <c:v>319.17460262960299</c:v>
                </c:pt>
                <c:pt idx="74">
                  <c:v>319.28336025696751</c:v>
                </c:pt>
                <c:pt idx="75">
                  <c:v>319.39574313857747</c:v>
                </c:pt>
                <c:pt idx="76">
                  <c:v>319.50450076594194</c:v>
                </c:pt>
                <c:pt idx="77">
                  <c:v>319.6168836475519</c:v>
                </c:pt>
                <c:pt idx="78">
                  <c:v>319.72926652916186</c:v>
                </c:pt>
                <c:pt idx="79">
                  <c:v>319.83077364803535</c:v>
                </c:pt>
                <c:pt idx="80">
                  <c:v>319.94315652964531</c:v>
                </c:pt>
                <c:pt idx="81">
                  <c:v>320.05191415700983</c:v>
                </c:pt>
                <c:pt idx="82">
                  <c:v>320.16429703861974</c:v>
                </c:pt>
                <c:pt idx="83">
                  <c:v>320.2730546659842</c:v>
                </c:pt>
                <c:pt idx="84">
                  <c:v>320.38543754759417</c:v>
                </c:pt>
                <c:pt idx="85">
                  <c:v>320.49782042920413</c:v>
                </c:pt>
                <c:pt idx="86">
                  <c:v>320.60657805656865</c:v>
                </c:pt>
                <c:pt idx="87">
                  <c:v>320.71896093817861</c:v>
                </c:pt>
                <c:pt idx="88">
                  <c:v>320.82771856554308</c:v>
                </c:pt>
                <c:pt idx="89">
                  <c:v>320.94010144715304</c:v>
                </c:pt>
                <c:pt idx="90">
                  <c:v>321.052484328763</c:v>
                </c:pt>
                <c:pt idx="91">
                  <c:v>321.15399144763649</c:v>
                </c:pt>
                <c:pt idx="92">
                  <c:v>321.26637432924645</c:v>
                </c:pt>
                <c:pt idx="93">
                  <c:v>321.37513195661097</c:v>
                </c:pt>
                <c:pt idx="94">
                  <c:v>321.48751483822093</c:v>
                </c:pt>
                <c:pt idx="95">
                  <c:v>321.59627246558534</c:v>
                </c:pt>
                <c:pt idx="96">
                  <c:v>321.7086553471953</c:v>
                </c:pt>
                <c:pt idx="97">
                  <c:v>321.82103822880526</c:v>
                </c:pt>
                <c:pt idx="98">
                  <c:v>321.92979585616979</c:v>
                </c:pt>
                <c:pt idx="99">
                  <c:v>322.04217873777975</c:v>
                </c:pt>
                <c:pt idx="100">
                  <c:v>322.15093636514422</c:v>
                </c:pt>
                <c:pt idx="101">
                  <c:v>322.26331924675418</c:v>
                </c:pt>
                <c:pt idx="102">
                  <c:v>322.37570212836414</c:v>
                </c:pt>
                <c:pt idx="103">
                  <c:v>322.47720924723762</c:v>
                </c:pt>
                <c:pt idx="104">
                  <c:v>322.58959212884758</c:v>
                </c:pt>
                <c:pt idx="105">
                  <c:v>322.69834975621211</c:v>
                </c:pt>
                <c:pt idx="106">
                  <c:v>322.81073263782207</c:v>
                </c:pt>
                <c:pt idx="107">
                  <c:v>322.91949026518654</c:v>
                </c:pt>
                <c:pt idx="108">
                  <c:v>323.0318731467965</c:v>
                </c:pt>
                <c:pt idx="109">
                  <c:v>323.14425602840646</c:v>
                </c:pt>
                <c:pt idx="110">
                  <c:v>323.25301365577093</c:v>
                </c:pt>
                <c:pt idx="111">
                  <c:v>323.36539653738089</c:v>
                </c:pt>
                <c:pt idx="112">
                  <c:v>323.47415416474536</c:v>
                </c:pt>
                <c:pt idx="113">
                  <c:v>323.58653704635532</c:v>
                </c:pt>
                <c:pt idx="114">
                  <c:v>323.69891992796528</c:v>
                </c:pt>
                <c:pt idx="115">
                  <c:v>323.80405230108425</c:v>
                </c:pt>
                <c:pt idx="116">
                  <c:v>323.91643518269422</c:v>
                </c:pt>
                <c:pt idx="117">
                  <c:v>324.02519281005868</c:v>
                </c:pt>
                <c:pt idx="118">
                  <c:v>324.13757569166864</c:v>
                </c:pt>
                <c:pt idx="119">
                  <c:v>324.24633331903317</c:v>
                </c:pt>
                <c:pt idx="120">
                  <c:v>324.35871620064313</c:v>
                </c:pt>
                <c:pt idx="121">
                  <c:v>324.47109908225309</c:v>
                </c:pt>
                <c:pt idx="122">
                  <c:v>324.57985670961756</c:v>
                </c:pt>
                <c:pt idx="123">
                  <c:v>324.69223959122752</c:v>
                </c:pt>
                <c:pt idx="124">
                  <c:v>324.80099721859199</c:v>
                </c:pt>
                <c:pt idx="125">
                  <c:v>324.91338010020195</c:v>
                </c:pt>
                <c:pt idx="126">
                  <c:v>325.02576298181191</c:v>
                </c:pt>
                <c:pt idx="127">
                  <c:v>325.12727010068539</c:v>
                </c:pt>
                <c:pt idx="128">
                  <c:v>325.23965298229535</c:v>
                </c:pt>
                <c:pt idx="129">
                  <c:v>325.34841060965982</c:v>
                </c:pt>
                <c:pt idx="130">
                  <c:v>325.46079349126978</c:v>
                </c:pt>
                <c:pt idx="131">
                  <c:v>325.56955111863431</c:v>
                </c:pt>
                <c:pt idx="132">
                  <c:v>325.68193400024427</c:v>
                </c:pt>
                <c:pt idx="133">
                  <c:v>325.79431688185423</c:v>
                </c:pt>
                <c:pt idx="134">
                  <c:v>325.9030745092187</c:v>
                </c:pt>
                <c:pt idx="135">
                  <c:v>326.01545739082866</c:v>
                </c:pt>
                <c:pt idx="136">
                  <c:v>326.12421501819313</c:v>
                </c:pt>
                <c:pt idx="137">
                  <c:v>326.23659789980309</c:v>
                </c:pt>
                <c:pt idx="138">
                  <c:v>326.34898078141305</c:v>
                </c:pt>
                <c:pt idx="139">
                  <c:v>326.45048790028659</c:v>
                </c:pt>
                <c:pt idx="140">
                  <c:v>326.56287078189655</c:v>
                </c:pt>
                <c:pt idx="141">
                  <c:v>326.67162840926096</c:v>
                </c:pt>
                <c:pt idx="142">
                  <c:v>326.78401129087092</c:v>
                </c:pt>
                <c:pt idx="143">
                  <c:v>326.89276891823545</c:v>
                </c:pt>
                <c:pt idx="144">
                  <c:v>327.00515179984541</c:v>
                </c:pt>
                <c:pt idx="145">
                  <c:v>327.11753468145537</c:v>
                </c:pt>
                <c:pt idx="146">
                  <c:v>327.22629230881984</c:v>
                </c:pt>
                <c:pt idx="147">
                  <c:v>327.3386751904298</c:v>
                </c:pt>
                <c:pt idx="148">
                  <c:v>327.44743281779427</c:v>
                </c:pt>
                <c:pt idx="149">
                  <c:v>327.55981569940423</c:v>
                </c:pt>
                <c:pt idx="150">
                  <c:v>327.67219858101419</c:v>
                </c:pt>
                <c:pt idx="151">
                  <c:v>327.77370569988773</c:v>
                </c:pt>
                <c:pt idx="152">
                  <c:v>327.88608858149769</c:v>
                </c:pt>
                <c:pt idx="153">
                  <c:v>327.9948462088621</c:v>
                </c:pt>
                <c:pt idx="154">
                  <c:v>328.10722909047206</c:v>
                </c:pt>
                <c:pt idx="155">
                  <c:v>328.21598671783659</c:v>
                </c:pt>
                <c:pt idx="156">
                  <c:v>328.32836959944655</c:v>
                </c:pt>
                <c:pt idx="157">
                  <c:v>328.44075248105651</c:v>
                </c:pt>
                <c:pt idx="158">
                  <c:v>328.54951010842098</c:v>
                </c:pt>
                <c:pt idx="159">
                  <c:v>328.66189299003094</c:v>
                </c:pt>
                <c:pt idx="160">
                  <c:v>328.7706506173954</c:v>
                </c:pt>
                <c:pt idx="161">
                  <c:v>328.88303349900536</c:v>
                </c:pt>
                <c:pt idx="162">
                  <c:v>328.99541638061532</c:v>
                </c:pt>
                <c:pt idx="163">
                  <c:v>329.1005487537343</c:v>
                </c:pt>
                <c:pt idx="164">
                  <c:v>329.21293163534426</c:v>
                </c:pt>
                <c:pt idx="165">
                  <c:v>329.32168926270879</c:v>
                </c:pt>
                <c:pt idx="166">
                  <c:v>329.43407214431875</c:v>
                </c:pt>
                <c:pt idx="167">
                  <c:v>329.54282977168322</c:v>
                </c:pt>
                <c:pt idx="168">
                  <c:v>329.65521265329318</c:v>
                </c:pt>
                <c:pt idx="169">
                  <c:v>329.76759553490314</c:v>
                </c:pt>
                <c:pt idx="170">
                  <c:v>329.87635316226761</c:v>
                </c:pt>
                <c:pt idx="171">
                  <c:v>329.98873604387757</c:v>
                </c:pt>
                <c:pt idx="172">
                  <c:v>330.09749367124203</c:v>
                </c:pt>
                <c:pt idx="173">
                  <c:v>330.20987655285199</c:v>
                </c:pt>
                <c:pt idx="174">
                  <c:v>330.32225943446196</c:v>
                </c:pt>
                <c:pt idx="175">
                  <c:v>330.42376655333544</c:v>
                </c:pt>
                <c:pt idx="176">
                  <c:v>330.5361494349454</c:v>
                </c:pt>
                <c:pt idx="177">
                  <c:v>330.64490706230993</c:v>
                </c:pt>
                <c:pt idx="178">
                  <c:v>330.75728994391989</c:v>
                </c:pt>
                <c:pt idx="179">
                  <c:v>330.86604757128435</c:v>
                </c:pt>
                <c:pt idx="180">
                  <c:v>330.97843045289432</c:v>
                </c:pt>
                <c:pt idx="181">
                  <c:v>331.09081333450428</c:v>
                </c:pt>
                <c:pt idx="182">
                  <c:v>331.19957096186874</c:v>
                </c:pt>
                <c:pt idx="183">
                  <c:v>331.3119538434787</c:v>
                </c:pt>
                <c:pt idx="184">
                  <c:v>331.42071147084317</c:v>
                </c:pt>
                <c:pt idx="185">
                  <c:v>331.53309435245313</c:v>
                </c:pt>
                <c:pt idx="186">
                  <c:v>331.64547723406309</c:v>
                </c:pt>
                <c:pt idx="187">
                  <c:v>331.74698435293658</c:v>
                </c:pt>
                <c:pt idx="188">
                  <c:v>331.85936723454654</c:v>
                </c:pt>
                <c:pt idx="189">
                  <c:v>331.96812486191106</c:v>
                </c:pt>
                <c:pt idx="190">
                  <c:v>332.08050774352103</c:v>
                </c:pt>
                <c:pt idx="191">
                  <c:v>332.18926537088549</c:v>
                </c:pt>
                <c:pt idx="192">
                  <c:v>332.30164825249545</c:v>
                </c:pt>
                <c:pt idx="193">
                  <c:v>332.41403113410541</c:v>
                </c:pt>
                <c:pt idx="194">
                  <c:v>332.52278876146988</c:v>
                </c:pt>
                <c:pt idx="195">
                  <c:v>332.63517164307984</c:v>
                </c:pt>
                <c:pt idx="196">
                  <c:v>332.74392927044431</c:v>
                </c:pt>
                <c:pt idx="197">
                  <c:v>332.85631215205427</c:v>
                </c:pt>
                <c:pt idx="198">
                  <c:v>332.96869503366423</c:v>
                </c:pt>
                <c:pt idx="199">
                  <c:v>333.07020215253772</c:v>
                </c:pt>
                <c:pt idx="200">
                  <c:v>333.18258503414768</c:v>
                </c:pt>
                <c:pt idx="201">
                  <c:v>333.2913426615122</c:v>
                </c:pt>
                <c:pt idx="202">
                  <c:v>333.40372554312216</c:v>
                </c:pt>
                <c:pt idx="203">
                  <c:v>333.51248317048663</c:v>
                </c:pt>
                <c:pt idx="204">
                  <c:v>333.62486605209659</c:v>
                </c:pt>
                <c:pt idx="205">
                  <c:v>333.73724893370655</c:v>
                </c:pt>
                <c:pt idx="206">
                  <c:v>333.84600656107102</c:v>
                </c:pt>
                <c:pt idx="207">
                  <c:v>333.95838944268098</c:v>
                </c:pt>
                <c:pt idx="208">
                  <c:v>334.06714707004545</c:v>
                </c:pt>
                <c:pt idx="209">
                  <c:v>334.17952995165541</c:v>
                </c:pt>
                <c:pt idx="210">
                  <c:v>334.29191283326537</c:v>
                </c:pt>
                <c:pt idx="211">
                  <c:v>334.3970452063844</c:v>
                </c:pt>
                <c:pt idx="212">
                  <c:v>334.50942808799437</c:v>
                </c:pt>
                <c:pt idx="213">
                  <c:v>334.61818571535878</c:v>
                </c:pt>
                <c:pt idx="214">
                  <c:v>334.73056859696874</c:v>
                </c:pt>
                <c:pt idx="215">
                  <c:v>334.83932622433326</c:v>
                </c:pt>
                <c:pt idx="216">
                  <c:v>334.95170910594322</c:v>
                </c:pt>
                <c:pt idx="217">
                  <c:v>335.06409198755318</c:v>
                </c:pt>
                <c:pt idx="218">
                  <c:v>335.17284961491765</c:v>
                </c:pt>
                <c:pt idx="219">
                  <c:v>335.28523249652761</c:v>
                </c:pt>
                <c:pt idx="220">
                  <c:v>335.39399012389208</c:v>
                </c:pt>
                <c:pt idx="221">
                  <c:v>335.50637300550204</c:v>
                </c:pt>
                <c:pt idx="222">
                  <c:v>335.618755887112</c:v>
                </c:pt>
                <c:pt idx="223">
                  <c:v>335.72026300598554</c:v>
                </c:pt>
                <c:pt idx="224">
                  <c:v>335.8326458875955</c:v>
                </c:pt>
                <c:pt idx="225">
                  <c:v>335.94140351495997</c:v>
                </c:pt>
                <c:pt idx="226">
                  <c:v>336.05378639656993</c:v>
                </c:pt>
                <c:pt idx="227">
                  <c:v>336.1625440239344</c:v>
                </c:pt>
                <c:pt idx="228">
                  <c:v>336.27492690554436</c:v>
                </c:pt>
                <c:pt idx="229">
                  <c:v>336.38730978715432</c:v>
                </c:pt>
                <c:pt idx="230">
                  <c:v>336.49606741451879</c:v>
                </c:pt>
                <c:pt idx="231">
                  <c:v>336.60845029612875</c:v>
                </c:pt>
                <c:pt idx="232">
                  <c:v>336.71720792349322</c:v>
                </c:pt>
                <c:pt idx="233">
                  <c:v>336.82959080510318</c:v>
                </c:pt>
                <c:pt idx="234">
                  <c:v>336.94197368671314</c:v>
                </c:pt>
                <c:pt idx="235">
                  <c:v>337.04348080558668</c:v>
                </c:pt>
                <c:pt idx="236">
                  <c:v>337.15586368719664</c:v>
                </c:pt>
                <c:pt idx="237">
                  <c:v>337.26462131456111</c:v>
                </c:pt>
                <c:pt idx="238">
                  <c:v>337.37700419617107</c:v>
                </c:pt>
                <c:pt idx="239">
                  <c:v>337.48576182353554</c:v>
                </c:pt>
                <c:pt idx="240">
                  <c:v>337.5981447051455</c:v>
                </c:pt>
                <c:pt idx="241">
                  <c:v>337.71052758675546</c:v>
                </c:pt>
                <c:pt idx="242">
                  <c:v>337.81928521411993</c:v>
                </c:pt>
                <c:pt idx="243">
                  <c:v>337.93166809572989</c:v>
                </c:pt>
                <c:pt idx="244">
                  <c:v>338.04042572309436</c:v>
                </c:pt>
                <c:pt idx="245">
                  <c:v>338.15280860470432</c:v>
                </c:pt>
                <c:pt idx="246">
                  <c:v>338.26519148631428</c:v>
                </c:pt>
                <c:pt idx="247">
                  <c:v>338.36669860518782</c:v>
                </c:pt>
                <c:pt idx="248">
                  <c:v>338.47908148679778</c:v>
                </c:pt>
                <c:pt idx="249">
                  <c:v>338.58783911416225</c:v>
                </c:pt>
                <c:pt idx="250">
                  <c:v>338.70022199577221</c:v>
                </c:pt>
                <c:pt idx="251">
                  <c:v>338.80897962313668</c:v>
                </c:pt>
                <c:pt idx="252">
                  <c:v>338.92136250474664</c:v>
                </c:pt>
                <c:pt idx="253">
                  <c:v>339.0337453863566</c:v>
                </c:pt>
                <c:pt idx="254">
                  <c:v>339.14250301372107</c:v>
                </c:pt>
                <c:pt idx="255">
                  <c:v>339.25488589533103</c:v>
                </c:pt>
                <c:pt idx="256">
                  <c:v>339.3636435226955</c:v>
                </c:pt>
                <c:pt idx="257">
                  <c:v>339.47602640430546</c:v>
                </c:pt>
                <c:pt idx="258">
                  <c:v>339.58840928591542</c:v>
                </c:pt>
                <c:pt idx="259">
                  <c:v>339.69354165903439</c:v>
                </c:pt>
                <c:pt idx="260">
                  <c:v>339.80592454064436</c:v>
                </c:pt>
                <c:pt idx="261">
                  <c:v>339.91468216800888</c:v>
                </c:pt>
                <c:pt idx="262">
                  <c:v>340.02706504961884</c:v>
                </c:pt>
                <c:pt idx="263">
                  <c:v>340.13582267698331</c:v>
                </c:pt>
                <c:pt idx="264">
                  <c:v>340.24820555859327</c:v>
                </c:pt>
                <c:pt idx="265">
                  <c:v>340.36058844020323</c:v>
                </c:pt>
                <c:pt idx="266">
                  <c:v>340.4693460675677</c:v>
                </c:pt>
                <c:pt idx="267">
                  <c:v>340.58172894917766</c:v>
                </c:pt>
                <c:pt idx="268">
                  <c:v>340.69048657654213</c:v>
                </c:pt>
                <c:pt idx="269">
                  <c:v>340.80286945815209</c:v>
                </c:pt>
                <c:pt idx="270">
                  <c:v>340.91525233976205</c:v>
                </c:pt>
                <c:pt idx="271">
                  <c:v>341.01675945863553</c:v>
                </c:pt>
                <c:pt idx="272">
                  <c:v>341.12914234024549</c:v>
                </c:pt>
                <c:pt idx="273">
                  <c:v>341.23789996761002</c:v>
                </c:pt>
                <c:pt idx="274">
                  <c:v>341.35028284921998</c:v>
                </c:pt>
                <c:pt idx="275">
                  <c:v>341.45904047658445</c:v>
                </c:pt>
                <c:pt idx="276">
                  <c:v>341.57142335819441</c:v>
                </c:pt>
                <c:pt idx="277">
                  <c:v>341.68380623980437</c:v>
                </c:pt>
                <c:pt idx="278">
                  <c:v>341.79256386716884</c:v>
                </c:pt>
                <c:pt idx="279">
                  <c:v>341.9049467487788</c:v>
                </c:pt>
                <c:pt idx="280">
                  <c:v>342.01370437614327</c:v>
                </c:pt>
                <c:pt idx="281">
                  <c:v>342.12608725775323</c:v>
                </c:pt>
                <c:pt idx="282">
                  <c:v>342.23847013936319</c:v>
                </c:pt>
                <c:pt idx="283">
                  <c:v>342.33997725823673</c:v>
                </c:pt>
                <c:pt idx="284">
                  <c:v>342.45236013984669</c:v>
                </c:pt>
                <c:pt idx="285">
                  <c:v>342.56111776721116</c:v>
                </c:pt>
                <c:pt idx="286">
                  <c:v>342.67350064882112</c:v>
                </c:pt>
                <c:pt idx="287">
                  <c:v>342.78225827618559</c:v>
                </c:pt>
                <c:pt idx="288">
                  <c:v>342.89464115779555</c:v>
                </c:pt>
                <c:pt idx="289">
                  <c:v>343.00702403940551</c:v>
                </c:pt>
                <c:pt idx="290">
                  <c:v>343.11578166676998</c:v>
                </c:pt>
                <c:pt idx="291">
                  <c:v>343.22816454837994</c:v>
                </c:pt>
                <c:pt idx="292">
                  <c:v>343.33692217574441</c:v>
                </c:pt>
                <c:pt idx="293">
                  <c:v>343.44930505735437</c:v>
                </c:pt>
                <c:pt idx="294">
                  <c:v>343.56168793896433</c:v>
                </c:pt>
                <c:pt idx="295">
                  <c:v>343.66319505783787</c:v>
                </c:pt>
                <c:pt idx="296">
                  <c:v>343.77557793944783</c:v>
                </c:pt>
                <c:pt idx="297">
                  <c:v>343.8843355668123</c:v>
                </c:pt>
                <c:pt idx="298">
                  <c:v>343.99671844842226</c:v>
                </c:pt>
                <c:pt idx="299">
                  <c:v>344.10547607578673</c:v>
                </c:pt>
                <c:pt idx="300">
                  <c:v>344.21785895739669</c:v>
                </c:pt>
                <c:pt idx="301">
                  <c:v>344.33024183900665</c:v>
                </c:pt>
                <c:pt idx="302">
                  <c:v>344.43899946637111</c:v>
                </c:pt>
                <c:pt idx="303">
                  <c:v>344.55138234798108</c:v>
                </c:pt>
                <c:pt idx="304">
                  <c:v>344.66013997534554</c:v>
                </c:pt>
                <c:pt idx="305">
                  <c:v>344.7725228569555</c:v>
                </c:pt>
                <c:pt idx="306">
                  <c:v>344.88490573856546</c:v>
                </c:pt>
                <c:pt idx="307">
                  <c:v>344.9900381116845</c:v>
                </c:pt>
                <c:pt idx="308">
                  <c:v>345.10242099329446</c:v>
                </c:pt>
                <c:pt idx="309">
                  <c:v>345.21117862065893</c:v>
                </c:pt>
                <c:pt idx="310">
                  <c:v>345.32356150226889</c:v>
                </c:pt>
                <c:pt idx="311">
                  <c:v>345.43231912963336</c:v>
                </c:pt>
                <c:pt idx="312">
                  <c:v>345.54470201124332</c:v>
                </c:pt>
                <c:pt idx="313">
                  <c:v>345.65708489285328</c:v>
                </c:pt>
                <c:pt idx="314">
                  <c:v>345.76584252021775</c:v>
                </c:pt>
                <c:pt idx="315">
                  <c:v>345.87822540182771</c:v>
                </c:pt>
                <c:pt idx="316">
                  <c:v>345.98698302919217</c:v>
                </c:pt>
                <c:pt idx="317">
                  <c:v>346.09936591080213</c:v>
                </c:pt>
                <c:pt idx="318">
                  <c:v>346.2117487924121</c:v>
                </c:pt>
                <c:pt idx="319">
                  <c:v>346.31325591128564</c:v>
                </c:pt>
                <c:pt idx="320">
                  <c:v>346.4256387928956</c:v>
                </c:pt>
                <c:pt idx="321">
                  <c:v>346.53439642026007</c:v>
                </c:pt>
                <c:pt idx="322">
                  <c:v>346.64677930187003</c:v>
                </c:pt>
                <c:pt idx="323">
                  <c:v>346.75553692923449</c:v>
                </c:pt>
                <c:pt idx="324">
                  <c:v>346.86791981084446</c:v>
                </c:pt>
                <c:pt idx="325">
                  <c:v>346.98030269245442</c:v>
                </c:pt>
                <c:pt idx="326">
                  <c:v>347.08906031981888</c:v>
                </c:pt>
                <c:pt idx="327">
                  <c:v>347.20144320142884</c:v>
                </c:pt>
                <c:pt idx="328">
                  <c:v>347.31020082879331</c:v>
                </c:pt>
                <c:pt idx="329">
                  <c:v>347.42258371040327</c:v>
                </c:pt>
                <c:pt idx="330">
                  <c:v>347.53496659201323</c:v>
                </c:pt>
                <c:pt idx="331">
                  <c:v>347.63647371088678</c:v>
                </c:pt>
                <c:pt idx="332">
                  <c:v>347.74885659249674</c:v>
                </c:pt>
                <c:pt idx="333">
                  <c:v>347.8576142198612</c:v>
                </c:pt>
                <c:pt idx="334">
                  <c:v>347.96999710147117</c:v>
                </c:pt>
                <c:pt idx="335">
                  <c:v>348.07875472883563</c:v>
                </c:pt>
                <c:pt idx="336">
                  <c:v>348.19113761044559</c:v>
                </c:pt>
                <c:pt idx="337">
                  <c:v>348.30352049205555</c:v>
                </c:pt>
                <c:pt idx="338">
                  <c:v>348.41227811942002</c:v>
                </c:pt>
                <c:pt idx="339">
                  <c:v>348.52466100102998</c:v>
                </c:pt>
                <c:pt idx="340">
                  <c:v>348.63341862839445</c:v>
                </c:pt>
                <c:pt idx="341">
                  <c:v>348.74580151000441</c:v>
                </c:pt>
                <c:pt idx="342">
                  <c:v>348.85818439161437</c:v>
                </c:pt>
                <c:pt idx="343">
                  <c:v>348.95969151048791</c:v>
                </c:pt>
                <c:pt idx="344">
                  <c:v>349.07207439209787</c:v>
                </c:pt>
                <c:pt idx="345">
                  <c:v>349.18083201946234</c:v>
                </c:pt>
                <c:pt idx="346">
                  <c:v>349.2932149010723</c:v>
                </c:pt>
                <c:pt idx="347">
                  <c:v>349.40197252843677</c:v>
                </c:pt>
                <c:pt idx="348">
                  <c:v>349.51435541004673</c:v>
                </c:pt>
                <c:pt idx="349">
                  <c:v>349.62673829165669</c:v>
                </c:pt>
                <c:pt idx="350">
                  <c:v>349.73549591902116</c:v>
                </c:pt>
                <c:pt idx="351">
                  <c:v>349.84787880063112</c:v>
                </c:pt>
                <c:pt idx="352">
                  <c:v>349.95663642799559</c:v>
                </c:pt>
                <c:pt idx="353">
                  <c:v>350.06901930960555</c:v>
                </c:pt>
                <c:pt idx="354">
                  <c:v>350.18140219121551</c:v>
                </c:pt>
                <c:pt idx="355">
                  <c:v>350.28653456433454</c:v>
                </c:pt>
                <c:pt idx="356">
                  <c:v>350.39891744594451</c:v>
                </c:pt>
                <c:pt idx="357">
                  <c:v>350.50767507330897</c:v>
                </c:pt>
                <c:pt idx="358">
                  <c:v>350.62005795491893</c:v>
                </c:pt>
                <c:pt idx="359">
                  <c:v>350.7288155822834</c:v>
                </c:pt>
                <c:pt idx="360">
                  <c:v>350.84119846389336</c:v>
                </c:pt>
                <c:pt idx="361">
                  <c:v>350.95358134550332</c:v>
                </c:pt>
                <c:pt idx="362">
                  <c:v>351.06233897286779</c:v>
                </c:pt>
                <c:pt idx="363">
                  <c:v>351.17472185447775</c:v>
                </c:pt>
                <c:pt idx="364">
                  <c:v>351.28347948184222</c:v>
                </c:pt>
                <c:pt idx="365">
                  <c:v>351.39586236345218</c:v>
                </c:pt>
                <c:pt idx="366">
                  <c:v>351.50824524506214</c:v>
                </c:pt>
                <c:pt idx="367">
                  <c:v>351.60975236393568</c:v>
                </c:pt>
                <c:pt idx="368">
                  <c:v>351.72213524554564</c:v>
                </c:pt>
                <c:pt idx="369">
                  <c:v>351.83089287291011</c:v>
                </c:pt>
                <c:pt idx="370">
                  <c:v>351.94327575452007</c:v>
                </c:pt>
                <c:pt idx="371">
                  <c:v>352.05203338188454</c:v>
                </c:pt>
                <c:pt idx="372">
                  <c:v>352.1644162634945</c:v>
                </c:pt>
                <c:pt idx="373">
                  <c:v>352.27679914510446</c:v>
                </c:pt>
                <c:pt idx="374">
                  <c:v>352.38555677246893</c:v>
                </c:pt>
                <c:pt idx="375">
                  <c:v>352.49793965407889</c:v>
                </c:pt>
                <c:pt idx="376">
                  <c:v>352.60669728144342</c:v>
                </c:pt>
                <c:pt idx="377">
                  <c:v>352.71908016305338</c:v>
                </c:pt>
                <c:pt idx="378">
                  <c:v>352.83146304466334</c:v>
                </c:pt>
                <c:pt idx="379">
                  <c:v>352.93297016353682</c:v>
                </c:pt>
                <c:pt idx="380">
                  <c:v>353.04535304514678</c:v>
                </c:pt>
                <c:pt idx="381">
                  <c:v>353.15411067251125</c:v>
                </c:pt>
                <c:pt idx="382">
                  <c:v>353.26649355412121</c:v>
                </c:pt>
                <c:pt idx="383">
                  <c:v>353.37525118148568</c:v>
                </c:pt>
                <c:pt idx="384">
                  <c:v>353.48763406309564</c:v>
                </c:pt>
                <c:pt idx="385">
                  <c:v>353.6000169447056</c:v>
                </c:pt>
                <c:pt idx="386">
                  <c:v>353.70877457207007</c:v>
                </c:pt>
                <c:pt idx="387">
                  <c:v>353.82115745368003</c:v>
                </c:pt>
                <c:pt idx="388">
                  <c:v>353.92991508104456</c:v>
                </c:pt>
                <c:pt idx="389">
                  <c:v>354.04229796265452</c:v>
                </c:pt>
                <c:pt idx="390">
                  <c:v>354.15468084426448</c:v>
                </c:pt>
                <c:pt idx="391">
                  <c:v>354.25618796313796</c:v>
                </c:pt>
                <c:pt idx="392">
                  <c:v>354.36857084474792</c:v>
                </c:pt>
                <c:pt idx="393">
                  <c:v>354.47732847211239</c:v>
                </c:pt>
                <c:pt idx="394">
                  <c:v>354.58971135372235</c:v>
                </c:pt>
                <c:pt idx="395">
                  <c:v>354.69846898108682</c:v>
                </c:pt>
                <c:pt idx="396">
                  <c:v>354.81085186269678</c:v>
                </c:pt>
                <c:pt idx="397">
                  <c:v>354.92323474430674</c:v>
                </c:pt>
                <c:pt idx="398">
                  <c:v>355.03199237167121</c:v>
                </c:pt>
                <c:pt idx="399">
                  <c:v>355.14437525328117</c:v>
                </c:pt>
                <c:pt idx="400">
                  <c:v>355.25313288064569</c:v>
                </c:pt>
                <c:pt idx="401">
                  <c:v>355.36551576225565</c:v>
                </c:pt>
                <c:pt idx="402">
                  <c:v>355.47789864386561</c:v>
                </c:pt>
                <c:pt idx="403">
                  <c:v>355.58303101698459</c:v>
                </c:pt>
                <c:pt idx="404">
                  <c:v>355.69541389859455</c:v>
                </c:pt>
                <c:pt idx="405">
                  <c:v>355.80417152595902</c:v>
                </c:pt>
                <c:pt idx="406">
                  <c:v>355.91655440756898</c:v>
                </c:pt>
                <c:pt idx="407">
                  <c:v>356.02531203493345</c:v>
                </c:pt>
                <c:pt idx="408">
                  <c:v>356.13769491654341</c:v>
                </c:pt>
                <c:pt idx="409">
                  <c:v>356.25007779815337</c:v>
                </c:pt>
                <c:pt idx="410">
                  <c:v>356.35883542551784</c:v>
                </c:pt>
                <c:pt idx="411">
                  <c:v>356.4712183071278</c:v>
                </c:pt>
                <c:pt idx="412">
                  <c:v>356.57997593449227</c:v>
                </c:pt>
                <c:pt idx="413">
                  <c:v>356.69235881610223</c:v>
                </c:pt>
                <c:pt idx="414">
                  <c:v>356.80474169771219</c:v>
                </c:pt>
                <c:pt idx="415">
                  <c:v>356.90624881658573</c:v>
                </c:pt>
                <c:pt idx="416">
                  <c:v>357.01863169819569</c:v>
                </c:pt>
                <c:pt idx="417">
                  <c:v>357.12738932556016</c:v>
                </c:pt>
                <c:pt idx="418">
                  <c:v>357.23977220717012</c:v>
                </c:pt>
                <c:pt idx="419">
                  <c:v>357.34852983453459</c:v>
                </c:pt>
                <c:pt idx="420">
                  <c:v>357.46091271614455</c:v>
                </c:pt>
                <c:pt idx="421">
                  <c:v>357.57329559775451</c:v>
                </c:pt>
                <c:pt idx="422">
                  <c:v>357.68205322511898</c:v>
                </c:pt>
                <c:pt idx="423">
                  <c:v>357.79443610672894</c:v>
                </c:pt>
                <c:pt idx="424">
                  <c:v>357.90319373409341</c:v>
                </c:pt>
                <c:pt idx="425">
                  <c:v>358.01557661570337</c:v>
                </c:pt>
                <c:pt idx="426">
                  <c:v>358.12795949731333</c:v>
                </c:pt>
                <c:pt idx="427">
                  <c:v>358.22946661618687</c:v>
                </c:pt>
                <c:pt idx="428">
                  <c:v>358.34184949779683</c:v>
                </c:pt>
                <c:pt idx="429">
                  <c:v>358.4506071251613</c:v>
                </c:pt>
                <c:pt idx="430">
                  <c:v>358.56299000677126</c:v>
                </c:pt>
                <c:pt idx="431">
                  <c:v>358.67174763413573</c:v>
                </c:pt>
                <c:pt idx="432">
                  <c:v>358.78413051574569</c:v>
                </c:pt>
                <c:pt idx="433">
                  <c:v>358.89651339735565</c:v>
                </c:pt>
                <c:pt idx="434">
                  <c:v>359.00527102472017</c:v>
                </c:pt>
                <c:pt idx="435">
                  <c:v>359.11765390633013</c:v>
                </c:pt>
                <c:pt idx="436">
                  <c:v>359.22641153369455</c:v>
                </c:pt>
                <c:pt idx="437">
                  <c:v>359.33879441530451</c:v>
                </c:pt>
                <c:pt idx="438">
                  <c:v>359.45117729691447</c:v>
                </c:pt>
                <c:pt idx="439">
                  <c:v>359.55268441578801</c:v>
                </c:pt>
                <c:pt idx="440">
                  <c:v>359.66506729739797</c:v>
                </c:pt>
                <c:pt idx="441">
                  <c:v>359.77382492476244</c:v>
                </c:pt>
                <c:pt idx="442">
                  <c:v>359.8862078063724</c:v>
                </c:pt>
                <c:pt idx="443">
                  <c:v>359.99496543373687</c:v>
                </c:pt>
                <c:pt idx="444">
                  <c:v>360.10734831534683</c:v>
                </c:pt>
                <c:pt idx="445">
                  <c:v>360.21973119695679</c:v>
                </c:pt>
                <c:pt idx="446">
                  <c:v>360.32848882432131</c:v>
                </c:pt>
                <c:pt idx="447">
                  <c:v>360.44087170593127</c:v>
                </c:pt>
                <c:pt idx="448">
                  <c:v>360.54962933329568</c:v>
                </c:pt>
                <c:pt idx="449">
                  <c:v>360.66201221490564</c:v>
                </c:pt>
                <c:pt idx="450">
                  <c:v>360.7743950965156</c:v>
                </c:pt>
                <c:pt idx="451">
                  <c:v>360.87952746963464</c:v>
                </c:pt>
                <c:pt idx="452">
                  <c:v>360.9919103512446</c:v>
                </c:pt>
                <c:pt idx="453">
                  <c:v>361.10066797860907</c:v>
                </c:pt>
                <c:pt idx="454">
                  <c:v>361.21305086021903</c:v>
                </c:pt>
                <c:pt idx="455">
                  <c:v>361.3218084875835</c:v>
                </c:pt>
                <c:pt idx="456">
                  <c:v>361.43419136919346</c:v>
                </c:pt>
                <c:pt idx="457">
                  <c:v>361.54657425080342</c:v>
                </c:pt>
                <c:pt idx="458">
                  <c:v>361.65533187816789</c:v>
                </c:pt>
                <c:pt idx="459">
                  <c:v>361.76771475977785</c:v>
                </c:pt>
                <c:pt idx="460">
                  <c:v>361.87647238714237</c:v>
                </c:pt>
                <c:pt idx="461">
                  <c:v>361.98885526875233</c:v>
                </c:pt>
                <c:pt idx="462">
                  <c:v>362.10123815036229</c:v>
                </c:pt>
                <c:pt idx="463">
                  <c:v>362.20274526923578</c:v>
                </c:pt>
                <c:pt idx="464">
                  <c:v>362.31512815084574</c:v>
                </c:pt>
                <c:pt idx="465">
                  <c:v>362.42388577821021</c:v>
                </c:pt>
                <c:pt idx="466">
                  <c:v>362.53626865982017</c:v>
                </c:pt>
                <c:pt idx="467">
                  <c:v>362.64502628718469</c:v>
                </c:pt>
                <c:pt idx="468">
                  <c:v>362.75740916879465</c:v>
                </c:pt>
                <c:pt idx="469">
                  <c:v>362.86979205040461</c:v>
                </c:pt>
                <c:pt idx="470">
                  <c:v>362.97854967776902</c:v>
                </c:pt>
                <c:pt idx="471">
                  <c:v>363.09093255937898</c:v>
                </c:pt>
                <c:pt idx="472">
                  <c:v>363.19969018674351</c:v>
                </c:pt>
                <c:pt idx="473">
                  <c:v>363.31207306835347</c:v>
                </c:pt>
                <c:pt idx="474">
                  <c:v>363.42445594996343</c:v>
                </c:pt>
                <c:pt idx="475">
                  <c:v>363.52596306883692</c:v>
                </c:pt>
                <c:pt idx="476">
                  <c:v>363.63834595044688</c:v>
                </c:pt>
                <c:pt idx="477">
                  <c:v>363.74710357781134</c:v>
                </c:pt>
                <c:pt idx="478">
                  <c:v>363.8594864594213</c:v>
                </c:pt>
                <c:pt idx="479">
                  <c:v>363.96824408678583</c:v>
                </c:pt>
                <c:pt idx="480">
                  <c:v>364.08062696839579</c:v>
                </c:pt>
                <c:pt idx="481">
                  <c:v>364.19300985000575</c:v>
                </c:pt>
                <c:pt idx="482">
                  <c:v>364.30176747737016</c:v>
                </c:pt>
                <c:pt idx="483">
                  <c:v>364.41415035898012</c:v>
                </c:pt>
                <c:pt idx="484">
                  <c:v>364.52290798634465</c:v>
                </c:pt>
                <c:pt idx="485">
                  <c:v>364.63529086795461</c:v>
                </c:pt>
                <c:pt idx="486">
                  <c:v>364.74767374956457</c:v>
                </c:pt>
                <c:pt idx="487">
                  <c:v>364.84918086843805</c:v>
                </c:pt>
                <c:pt idx="488">
                  <c:v>364.96156375004801</c:v>
                </c:pt>
                <c:pt idx="489">
                  <c:v>365.07032137741248</c:v>
                </c:pt>
                <c:pt idx="490">
                  <c:v>365.18270425902244</c:v>
                </c:pt>
                <c:pt idx="491">
                  <c:v>365.29146188638697</c:v>
                </c:pt>
                <c:pt idx="492">
                  <c:v>365.40384476799693</c:v>
                </c:pt>
                <c:pt idx="493">
                  <c:v>365.51622764960689</c:v>
                </c:pt>
                <c:pt idx="494">
                  <c:v>365.6249852769713</c:v>
                </c:pt>
                <c:pt idx="495">
                  <c:v>365.73736815858126</c:v>
                </c:pt>
                <c:pt idx="496">
                  <c:v>365.84612578594579</c:v>
                </c:pt>
                <c:pt idx="497">
                  <c:v>365.95850866755575</c:v>
                </c:pt>
                <c:pt idx="498">
                  <c:v>366.07089154916571</c:v>
                </c:pt>
                <c:pt idx="499">
                  <c:v>366.17602392228468</c:v>
                </c:pt>
                <c:pt idx="500">
                  <c:v>366.28840680389465</c:v>
                </c:pt>
                <c:pt idx="501">
                  <c:v>366.39716443125911</c:v>
                </c:pt>
                <c:pt idx="502">
                  <c:v>366.50954731286907</c:v>
                </c:pt>
                <c:pt idx="503">
                  <c:v>366.61830494023354</c:v>
                </c:pt>
                <c:pt idx="504">
                  <c:v>366.7306878218435</c:v>
                </c:pt>
                <c:pt idx="505">
                  <c:v>366.84307070345346</c:v>
                </c:pt>
                <c:pt idx="506">
                  <c:v>366.95182833081799</c:v>
                </c:pt>
                <c:pt idx="507">
                  <c:v>367.06421121242795</c:v>
                </c:pt>
                <c:pt idx="508">
                  <c:v>367.17296883979236</c:v>
                </c:pt>
                <c:pt idx="509">
                  <c:v>367.28535172140232</c:v>
                </c:pt>
                <c:pt idx="510">
                  <c:v>367.39773460301228</c:v>
                </c:pt>
                <c:pt idx="511">
                  <c:v>367.49924172188582</c:v>
                </c:pt>
                <c:pt idx="512">
                  <c:v>367.61162460349578</c:v>
                </c:pt>
                <c:pt idx="513">
                  <c:v>367.72038223086025</c:v>
                </c:pt>
                <c:pt idx="514">
                  <c:v>367.83276511247021</c:v>
                </c:pt>
                <c:pt idx="515">
                  <c:v>367.94152273983468</c:v>
                </c:pt>
                <c:pt idx="516">
                  <c:v>368.05390562144464</c:v>
                </c:pt>
                <c:pt idx="517">
                  <c:v>368.1662885030546</c:v>
                </c:pt>
                <c:pt idx="518">
                  <c:v>368.27504613041913</c:v>
                </c:pt>
                <c:pt idx="519">
                  <c:v>368.38742901202909</c:v>
                </c:pt>
                <c:pt idx="520">
                  <c:v>368.4961866393935</c:v>
                </c:pt>
                <c:pt idx="521">
                  <c:v>368.60856952100346</c:v>
                </c:pt>
                <c:pt idx="522">
                  <c:v>368.72095240261342</c:v>
                </c:pt>
                <c:pt idx="523">
                  <c:v>368.82245952148696</c:v>
                </c:pt>
                <c:pt idx="524">
                  <c:v>368.93484240309692</c:v>
                </c:pt>
                <c:pt idx="525">
                  <c:v>369.04360003046145</c:v>
                </c:pt>
                <c:pt idx="526">
                  <c:v>369.15598291207141</c:v>
                </c:pt>
                <c:pt idx="527">
                  <c:v>369.26474053943582</c:v>
                </c:pt>
                <c:pt idx="528">
                  <c:v>369.37712342104578</c:v>
                </c:pt>
                <c:pt idx="529">
                  <c:v>369.48950630265574</c:v>
                </c:pt>
                <c:pt idx="530">
                  <c:v>369.59826393002027</c:v>
                </c:pt>
                <c:pt idx="531">
                  <c:v>369.71064681163023</c:v>
                </c:pt>
                <c:pt idx="532">
                  <c:v>369.81940443899464</c:v>
                </c:pt>
                <c:pt idx="533">
                  <c:v>369.9317873206046</c:v>
                </c:pt>
                <c:pt idx="534">
                  <c:v>370.04417020221456</c:v>
                </c:pt>
                <c:pt idx="535">
                  <c:v>370.1456773210881</c:v>
                </c:pt>
                <c:pt idx="536">
                  <c:v>370.25806020269806</c:v>
                </c:pt>
                <c:pt idx="537">
                  <c:v>370.36681783006259</c:v>
                </c:pt>
                <c:pt idx="538">
                  <c:v>370.47920071167255</c:v>
                </c:pt>
                <c:pt idx="539">
                  <c:v>370.58795833903696</c:v>
                </c:pt>
                <c:pt idx="540">
                  <c:v>370.70034122064692</c:v>
                </c:pt>
                <c:pt idx="541">
                  <c:v>370.81272410225688</c:v>
                </c:pt>
                <c:pt idx="542">
                  <c:v>370.92148172962141</c:v>
                </c:pt>
                <c:pt idx="543">
                  <c:v>371.03386461123137</c:v>
                </c:pt>
                <c:pt idx="544">
                  <c:v>371.14262223859583</c:v>
                </c:pt>
                <c:pt idx="545">
                  <c:v>371.25500512020579</c:v>
                </c:pt>
                <c:pt idx="546">
                  <c:v>371.36738800181575</c:v>
                </c:pt>
                <c:pt idx="547">
                  <c:v>371.47252037493473</c:v>
                </c:pt>
                <c:pt idx="548">
                  <c:v>371.58490325654469</c:v>
                </c:pt>
                <c:pt idx="549">
                  <c:v>371.69366088390916</c:v>
                </c:pt>
                <c:pt idx="550">
                  <c:v>371.80604376551912</c:v>
                </c:pt>
                <c:pt idx="551">
                  <c:v>371.91480139288365</c:v>
                </c:pt>
                <c:pt idx="552">
                  <c:v>372.02718427449361</c:v>
                </c:pt>
                <c:pt idx="553">
                  <c:v>372.13956715610357</c:v>
                </c:pt>
                <c:pt idx="554">
                  <c:v>372.24832478346798</c:v>
                </c:pt>
                <c:pt idx="555">
                  <c:v>372.36070766507794</c:v>
                </c:pt>
                <c:pt idx="556">
                  <c:v>372.46946529244246</c:v>
                </c:pt>
                <c:pt idx="557">
                  <c:v>372.58184817405242</c:v>
                </c:pt>
                <c:pt idx="558">
                  <c:v>372.69423105566239</c:v>
                </c:pt>
                <c:pt idx="559">
                  <c:v>372.79573817453587</c:v>
                </c:pt>
                <c:pt idx="560">
                  <c:v>372.90812105614583</c:v>
                </c:pt>
                <c:pt idx="561">
                  <c:v>373.0168786835103</c:v>
                </c:pt>
                <c:pt idx="562">
                  <c:v>373.12926156512026</c:v>
                </c:pt>
                <c:pt idx="563">
                  <c:v>373.23801919248478</c:v>
                </c:pt>
                <c:pt idx="564">
                  <c:v>373.35040207409475</c:v>
                </c:pt>
                <c:pt idx="565">
                  <c:v>373.46278495570471</c:v>
                </c:pt>
                <c:pt idx="566">
                  <c:v>373.57154258306912</c:v>
                </c:pt>
                <c:pt idx="567">
                  <c:v>373.68392546467908</c:v>
                </c:pt>
                <c:pt idx="568">
                  <c:v>373.7926830920436</c:v>
                </c:pt>
                <c:pt idx="569">
                  <c:v>373.90506597365356</c:v>
                </c:pt>
                <c:pt idx="570">
                  <c:v>374.01744885526352</c:v>
                </c:pt>
                <c:pt idx="571">
                  <c:v>374.11895597413701</c:v>
                </c:pt>
                <c:pt idx="572">
                  <c:v>374.23133885574697</c:v>
                </c:pt>
                <c:pt idx="573">
                  <c:v>374.34009648311144</c:v>
                </c:pt>
                <c:pt idx="574">
                  <c:v>374.4524793647214</c:v>
                </c:pt>
                <c:pt idx="575">
                  <c:v>374.56123699208592</c:v>
                </c:pt>
                <c:pt idx="576">
                  <c:v>374.67361987369588</c:v>
                </c:pt>
                <c:pt idx="577">
                  <c:v>374.78600275530584</c:v>
                </c:pt>
                <c:pt idx="578">
                  <c:v>374.89476038267026</c:v>
                </c:pt>
                <c:pt idx="579">
                  <c:v>375.00714326428022</c:v>
                </c:pt>
                <c:pt idx="580">
                  <c:v>375.11590089164474</c:v>
                </c:pt>
                <c:pt idx="581">
                  <c:v>375.2282837732547</c:v>
                </c:pt>
                <c:pt idx="582">
                  <c:v>375.34066665486466</c:v>
                </c:pt>
                <c:pt idx="583">
                  <c:v>375.4421737737382</c:v>
                </c:pt>
                <c:pt idx="584">
                  <c:v>375.55455665534816</c:v>
                </c:pt>
                <c:pt idx="585">
                  <c:v>375.66331428271258</c:v>
                </c:pt>
                <c:pt idx="586">
                  <c:v>375.77569716432254</c:v>
                </c:pt>
                <c:pt idx="587">
                  <c:v>375.88445479168706</c:v>
                </c:pt>
                <c:pt idx="588">
                  <c:v>375.99683767329702</c:v>
                </c:pt>
                <c:pt idx="589">
                  <c:v>376.10922055490698</c:v>
                </c:pt>
                <c:pt idx="590">
                  <c:v>376.21797818227139</c:v>
                </c:pt>
                <c:pt idx="591">
                  <c:v>376.33036106388136</c:v>
                </c:pt>
                <c:pt idx="592">
                  <c:v>376.43911869124588</c:v>
                </c:pt>
                <c:pt idx="593">
                  <c:v>376.55150157285584</c:v>
                </c:pt>
                <c:pt idx="594">
                  <c:v>376.6638844544658</c:v>
                </c:pt>
                <c:pt idx="595">
                  <c:v>376.76901682758478</c:v>
                </c:pt>
                <c:pt idx="596">
                  <c:v>376.88139970919474</c:v>
                </c:pt>
                <c:pt idx="597">
                  <c:v>376.99015733655926</c:v>
                </c:pt>
                <c:pt idx="598">
                  <c:v>377.10254021816922</c:v>
                </c:pt>
                <c:pt idx="599">
                  <c:v>377.21129784553364</c:v>
                </c:pt>
                <c:pt idx="600">
                  <c:v>377.3236807271436</c:v>
                </c:pt>
                <c:pt idx="601">
                  <c:v>377.43606360875356</c:v>
                </c:pt>
                <c:pt idx="602">
                  <c:v>377.54482123611808</c:v>
                </c:pt>
                <c:pt idx="603">
                  <c:v>377.65720411772804</c:v>
                </c:pt>
                <c:pt idx="604">
                  <c:v>377.76596174509251</c:v>
                </c:pt>
                <c:pt idx="605">
                  <c:v>377.87834462670247</c:v>
                </c:pt>
                <c:pt idx="606">
                  <c:v>377.99072750831243</c:v>
                </c:pt>
                <c:pt idx="607">
                  <c:v>378.09223462718592</c:v>
                </c:pt>
                <c:pt idx="608">
                  <c:v>378.20461750879588</c:v>
                </c:pt>
                <c:pt idx="609">
                  <c:v>378.3133751361604</c:v>
                </c:pt>
                <c:pt idx="610">
                  <c:v>378.42575801777036</c:v>
                </c:pt>
                <c:pt idx="611">
                  <c:v>378.53451564513477</c:v>
                </c:pt>
                <c:pt idx="612">
                  <c:v>378.64689852674474</c:v>
                </c:pt>
                <c:pt idx="613">
                  <c:v>378.7592814083547</c:v>
                </c:pt>
                <c:pt idx="614">
                  <c:v>378.86803903571922</c:v>
                </c:pt>
                <c:pt idx="615">
                  <c:v>378.98042191732918</c:v>
                </c:pt>
                <c:pt idx="616">
                  <c:v>379.08917954469365</c:v>
                </c:pt>
                <c:pt idx="617">
                  <c:v>379.20156242630361</c:v>
                </c:pt>
                <c:pt idx="618">
                  <c:v>379.31394530791357</c:v>
                </c:pt>
                <c:pt idx="619">
                  <c:v>379.41545242678706</c:v>
                </c:pt>
                <c:pt idx="620">
                  <c:v>379.52783530839702</c:v>
                </c:pt>
                <c:pt idx="621">
                  <c:v>379.63659293576154</c:v>
                </c:pt>
                <c:pt idx="622">
                  <c:v>379.7489758173715</c:v>
                </c:pt>
                <c:pt idx="623">
                  <c:v>379.85773344473591</c:v>
                </c:pt>
                <c:pt idx="624">
                  <c:v>379.97011632634587</c:v>
                </c:pt>
                <c:pt idx="625">
                  <c:v>380.08249920795583</c:v>
                </c:pt>
                <c:pt idx="626">
                  <c:v>380.19125683532036</c:v>
                </c:pt>
                <c:pt idx="627">
                  <c:v>380.30363971693032</c:v>
                </c:pt>
                <c:pt idx="628">
                  <c:v>380.41239734429479</c:v>
                </c:pt>
                <c:pt idx="629">
                  <c:v>380.52478022590475</c:v>
                </c:pt>
                <c:pt idx="630">
                  <c:v>380.63716310751471</c:v>
                </c:pt>
                <c:pt idx="631">
                  <c:v>380.73867022638819</c:v>
                </c:pt>
                <c:pt idx="632">
                  <c:v>380.85105310799815</c:v>
                </c:pt>
                <c:pt idx="633">
                  <c:v>380.95981073536268</c:v>
                </c:pt>
                <c:pt idx="634">
                  <c:v>381.07219361697264</c:v>
                </c:pt>
                <c:pt idx="635">
                  <c:v>381.18095124433705</c:v>
                </c:pt>
                <c:pt idx="636">
                  <c:v>381.29333412594701</c:v>
                </c:pt>
                <c:pt idx="637">
                  <c:v>381.40571700755697</c:v>
                </c:pt>
                <c:pt idx="638">
                  <c:v>381.5144746349215</c:v>
                </c:pt>
                <c:pt idx="639">
                  <c:v>381.62685751653146</c:v>
                </c:pt>
                <c:pt idx="640">
                  <c:v>381.73561514389593</c:v>
                </c:pt>
                <c:pt idx="641">
                  <c:v>381.84799802550589</c:v>
                </c:pt>
                <c:pt idx="642">
                  <c:v>381.96038090711585</c:v>
                </c:pt>
                <c:pt idx="643">
                  <c:v>382.06551328023488</c:v>
                </c:pt>
                <c:pt idx="644">
                  <c:v>382.17789616184484</c:v>
                </c:pt>
                <c:pt idx="645">
                  <c:v>382.28665378920925</c:v>
                </c:pt>
                <c:pt idx="646">
                  <c:v>382.39903667081921</c:v>
                </c:pt>
                <c:pt idx="647">
                  <c:v>382.50779429818374</c:v>
                </c:pt>
                <c:pt idx="648">
                  <c:v>382.6201771797937</c:v>
                </c:pt>
                <c:pt idx="649">
                  <c:v>382.73256006140366</c:v>
                </c:pt>
                <c:pt idx="650">
                  <c:v>382.84131768876807</c:v>
                </c:pt>
                <c:pt idx="651">
                  <c:v>382.95370057037803</c:v>
                </c:pt>
                <c:pt idx="652">
                  <c:v>383.06245819774256</c:v>
                </c:pt>
                <c:pt idx="653">
                  <c:v>383.17484107935252</c:v>
                </c:pt>
                <c:pt idx="654">
                  <c:v>383.28722396096248</c:v>
                </c:pt>
                <c:pt idx="655">
                  <c:v>383.38873107983602</c:v>
                </c:pt>
                <c:pt idx="656">
                  <c:v>383.50111396144598</c:v>
                </c:pt>
                <c:pt idx="657">
                  <c:v>383.60987158881039</c:v>
                </c:pt>
                <c:pt idx="658">
                  <c:v>383.72225447042035</c:v>
                </c:pt>
                <c:pt idx="659">
                  <c:v>383.83101209778488</c:v>
                </c:pt>
                <c:pt idx="660">
                  <c:v>383.94339497939484</c:v>
                </c:pt>
                <c:pt idx="661">
                  <c:v>384.0557778610048</c:v>
                </c:pt>
                <c:pt idx="662">
                  <c:v>384.16453548836927</c:v>
                </c:pt>
                <c:pt idx="663">
                  <c:v>384.27691836997923</c:v>
                </c:pt>
                <c:pt idx="664">
                  <c:v>384.3856759973437</c:v>
                </c:pt>
                <c:pt idx="665">
                  <c:v>384.49805887895366</c:v>
                </c:pt>
                <c:pt idx="666">
                  <c:v>384.61044176056362</c:v>
                </c:pt>
                <c:pt idx="667">
                  <c:v>384.71194887943716</c:v>
                </c:pt>
                <c:pt idx="668">
                  <c:v>384.82433176104712</c:v>
                </c:pt>
                <c:pt idx="669">
                  <c:v>384.93308938841153</c:v>
                </c:pt>
                <c:pt idx="670">
                  <c:v>385.04547227002149</c:v>
                </c:pt>
                <c:pt idx="671">
                  <c:v>385.15422989738602</c:v>
                </c:pt>
                <c:pt idx="672">
                  <c:v>385.26661277899598</c:v>
                </c:pt>
                <c:pt idx="673">
                  <c:v>385.37899566060594</c:v>
                </c:pt>
                <c:pt idx="674">
                  <c:v>385.48775328797041</c:v>
                </c:pt>
                <c:pt idx="675">
                  <c:v>385.60013616958037</c:v>
                </c:pt>
                <c:pt idx="676">
                  <c:v>385.70889379694484</c:v>
                </c:pt>
                <c:pt idx="677">
                  <c:v>385.8212766785548</c:v>
                </c:pt>
                <c:pt idx="678">
                  <c:v>385.93365956016476</c:v>
                </c:pt>
                <c:pt idx="679">
                  <c:v>386.0351666790383</c:v>
                </c:pt>
                <c:pt idx="680">
                  <c:v>386.14754956064826</c:v>
                </c:pt>
                <c:pt idx="681">
                  <c:v>386.25630718801267</c:v>
                </c:pt>
                <c:pt idx="682">
                  <c:v>386.36869006962263</c:v>
                </c:pt>
                <c:pt idx="683">
                  <c:v>386.47744769698716</c:v>
                </c:pt>
                <c:pt idx="684">
                  <c:v>386.58983057859712</c:v>
                </c:pt>
                <c:pt idx="685">
                  <c:v>386.70221346020708</c:v>
                </c:pt>
                <c:pt idx="686">
                  <c:v>386.81097108757155</c:v>
                </c:pt>
                <c:pt idx="687">
                  <c:v>386.92335396918151</c:v>
                </c:pt>
                <c:pt idx="688">
                  <c:v>387.03211159654597</c:v>
                </c:pt>
                <c:pt idx="689">
                  <c:v>387.14449447815593</c:v>
                </c:pt>
                <c:pt idx="690">
                  <c:v>387.25687735976589</c:v>
                </c:pt>
                <c:pt idx="691">
                  <c:v>387.36200973288487</c:v>
                </c:pt>
                <c:pt idx="692">
                  <c:v>387.47439261449483</c:v>
                </c:pt>
                <c:pt idx="693">
                  <c:v>387.58315024185936</c:v>
                </c:pt>
                <c:pt idx="694">
                  <c:v>387.69553312346932</c:v>
                </c:pt>
                <c:pt idx="695">
                  <c:v>387.80429075083373</c:v>
                </c:pt>
                <c:pt idx="696">
                  <c:v>387.91667363244369</c:v>
                </c:pt>
                <c:pt idx="697">
                  <c:v>388.02905651405365</c:v>
                </c:pt>
                <c:pt idx="698">
                  <c:v>388.13781414141818</c:v>
                </c:pt>
                <c:pt idx="699">
                  <c:v>388.25019702302814</c:v>
                </c:pt>
                <c:pt idx="700">
                  <c:v>388.3589546503926</c:v>
                </c:pt>
                <c:pt idx="701">
                  <c:v>388.47133753200256</c:v>
                </c:pt>
                <c:pt idx="702">
                  <c:v>388.58372041361253</c:v>
                </c:pt>
                <c:pt idx="703">
                  <c:v>388.68522753248601</c:v>
                </c:pt>
                <c:pt idx="704">
                  <c:v>388.79761041409597</c:v>
                </c:pt>
                <c:pt idx="705">
                  <c:v>388.9063680414605</c:v>
                </c:pt>
                <c:pt idx="706">
                  <c:v>389.01875092307046</c:v>
                </c:pt>
                <c:pt idx="707">
                  <c:v>389.12750855043492</c:v>
                </c:pt>
                <c:pt idx="708">
                  <c:v>389.23989143204489</c:v>
                </c:pt>
                <c:pt idx="709">
                  <c:v>389.35227431365479</c:v>
                </c:pt>
                <c:pt idx="710">
                  <c:v>389.46103194101931</c:v>
                </c:pt>
                <c:pt idx="711">
                  <c:v>389.57341482262927</c:v>
                </c:pt>
                <c:pt idx="712">
                  <c:v>389.68217244999374</c:v>
                </c:pt>
                <c:pt idx="713">
                  <c:v>389.7945553316037</c:v>
                </c:pt>
                <c:pt idx="714">
                  <c:v>389.90693821321366</c:v>
                </c:pt>
                <c:pt idx="715">
                  <c:v>390.00844533208715</c:v>
                </c:pt>
                <c:pt idx="716">
                  <c:v>390.12082821369711</c:v>
                </c:pt>
                <c:pt idx="717">
                  <c:v>390.22958584106163</c:v>
                </c:pt>
                <c:pt idx="718">
                  <c:v>390.3419687226716</c:v>
                </c:pt>
                <c:pt idx="719">
                  <c:v>390.45072635003606</c:v>
                </c:pt>
                <c:pt idx="720">
                  <c:v>390.56310923164602</c:v>
                </c:pt>
                <c:pt idx="721">
                  <c:v>390.67549211325598</c:v>
                </c:pt>
                <c:pt idx="722">
                  <c:v>390.78424974062045</c:v>
                </c:pt>
                <c:pt idx="723">
                  <c:v>390.89663262223041</c:v>
                </c:pt>
                <c:pt idx="724">
                  <c:v>391.00539024959488</c:v>
                </c:pt>
                <c:pt idx="725">
                  <c:v>391.11777313120484</c:v>
                </c:pt>
                <c:pt idx="726">
                  <c:v>391.2301560128148</c:v>
                </c:pt>
                <c:pt idx="727">
                  <c:v>391.33166313168829</c:v>
                </c:pt>
                <c:pt idx="728">
                  <c:v>391.44404601329825</c:v>
                </c:pt>
                <c:pt idx="729">
                  <c:v>391.55280364066277</c:v>
                </c:pt>
                <c:pt idx="730">
                  <c:v>391.66518652227273</c:v>
                </c:pt>
                <c:pt idx="731">
                  <c:v>391.7739441496372</c:v>
                </c:pt>
                <c:pt idx="732">
                  <c:v>391.88632703124716</c:v>
                </c:pt>
                <c:pt idx="733">
                  <c:v>391.99870991285712</c:v>
                </c:pt>
                <c:pt idx="734">
                  <c:v>392.10746754022159</c:v>
                </c:pt>
                <c:pt idx="735">
                  <c:v>392.21985042183155</c:v>
                </c:pt>
                <c:pt idx="736">
                  <c:v>392.32860804919602</c:v>
                </c:pt>
                <c:pt idx="737">
                  <c:v>392.44099093080598</c:v>
                </c:pt>
                <c:pt idx="738">
                  <c:v>392.55337381241594</c:v>
                </c:pt>
                <c:pt idx="739">
                  <c:v>392.65850618553497</c:v>
                </c:pt>
                <c:pt idx="740">
                  <c:v>392.77088906714494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4-4E7D-BCA4-4CCAFD4A1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8656"/>
        <c:axId val="5859072"/>
      </c:lineChart>
      <c:dateAx>
        <c:axId val="5858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59072"/>
        <c:crosses val="autoZero"/>
        <c:auto val="1"/>
        <c:lblOffset val="100"/>
        <c:baseTimeUnit val="months"/>
      </c:dateAx>
      <c:valAx>
        <c:axId val="5859072"/>
        <c:scaling>
          <c:orientation val="minMax"/>
          <c:max val="48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5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線形モデル!$H$1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5-41FF-BDB8-ED314EECE947}"/>
            </c:ext>
          </c:extLst>
        </c:ser>
        <c:ser>
          <c:idx val="1"/>
          <c:order val="1"/>
          <c:tx>
            <c:strRef>
              <c:f>線形モデル!$L$1</c:f>
              <c:strCache>
                <c:ptCount val="1"/>
                <c:pt idx="0">
                  <c:v>TS(t)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線形モデル!$L$2:$L$982</c:f>
              <c:numCache>
                <c:formatCode>0.00_ ;[Red]\-0.00\ </c:formatCode>
                <c:ptCount val="981"/>
                <c:pt idx="0">
                  <c:v>312.00008215560854</c:v>
                </c:pt>
                <c:pt idx="1">
                  <c:v>313.27436786989426</c:v>
                </c:pt>
                <c:pt idx="2">
                  <c:v>313.7819504430812</c:v>
                </c:pt>
                <c:pt idx="3">
                  <c:v>311.82718853831926</c:v>
                </c:pt>
                <c:pt idx="4">
                  <c:v>309.88337901450973</c:v>
                </c:pt>
                <c:pt idx="5">
                  <c:v>308.151474252605</c:v>
                </c:pt>
                <c:pt idx="6">
                  <c:v>309.38004568117645</c:v>
                </c:pt>
                <c:pt idx="7">
                  <c:v>310.61742663355739</c:v>
                </c:pt>
                <c:pt idx="8">
                  <c:v>311.64385520498598</c:v>
                </c:pt>
                <c:pt idx="9">
                  <c:v>312.3700398258942</c:v>
                </c:pt>
                <c:pt idx="10">
                  <c:v>313.32329995520968</c:v>
                </c:pt>
                <c:pt idx="11">
                  <c:v>314.5975856694954</c:v>
                </c:pt>
                <c:pt idx="12">
                  <c:v>315.10516824268234</c:v>
                </c:pt>
                <c:pt idx="13">
                  <c:v>314.45594752178187</c:v>
                </c:pt>
                <c:pt idx="14">
                  <c:v>313.1504063379204</c:v>
                </c:pt>
                <c:pt idx="15">
                  <c:v>311.20659681411087</c:v>
                </c:pt>
                <c:pt idx="16">
                  <c:v>309.47469205220614</c:v>
                </c:pt>
                <c:pt idx="17">
                  <c:v>309.3030206925136</c:v>
                </c:pt>
                <c:pt idx="18">
                  <c:v>310.70326348077759</c:v>
                </c:pt>
                <c:pt idx="19">
                  <c:v>311.94064443315852</c:v>
                </c:pt>
                <c:pt idx="20">
                  <c:v>312.96707300458712</c:v>
                </c:pt>
                <c:pt idx="21">
                  <c:v>313.69325762549533</c:v>
                </c:pt>
                <c:pt idx="22">
                  <c:v>314.65014300905631</c:v>
                </c:pt>
                <c:pt idx="23">
                  <c:v>315.92442872334203</c:v>
                </c:pt>
                <c:pt idx="24">
                  <c:v>316.43201129652897</c:v>
                </c:pt>
                <c:pt idx="25">
                  <c:v>315.7827905756285</c:v>
                </c:pt>
                <c:pt idx="26">
                  <c:v>314.47724939176703</c:v>
                </c:pt>
                <c:pt idx="27">
                  <c:v>312.5334398679575</c:v>
                </c:pt>
                <c:pt idx="28">
                  <c:v>310.80153510605277</c:v>
                </c:pt>
                <c:pt idx="29">
                  <c:v>310.62986374636017</c:v>
                </c:pt>
                <c:pt idx="30">
                  <c:v>312.03010653462417</c:v>
                </c:pt>
                <c:pt idx="31">
                  <c:v>313.26748748700516</c:v>
                </c:pt>
                <c:pt idx="32">
                  <c:v>314.29391605843375</c:v>
                </c:pt>
                <c:pt idx="33">
                  <c:v>315.02010067934197</c:v>
                </c:pt>
                <c:pt idx="34">
                  <c:v>315.97336080865745</c:v>
                </c:pt>
                <c:pt idx="35">
                  <c:v>317.24764652294317</c:v>
                </c:pt>
                <c:pt idx="36">
                  <c:v>317.75522909613011</c:v>
                </c:pt>
                <c:pt idx="37">
                  <c:v>317.10600837522964</c:v>
                </c:pt>
                <c:pt idx="38">
                  <c:v>315.80046719136823</c:v>
                </c:pt>
                <c:pt idx="39">
                  <c:v>313.85665766755869</c:v>
                </c:pt>
                <c:pt idx="40">
                  <c:v>312.12475290565396</c:v>
                </c:pt>
                <c:pt idx="41">
                  <c:v>311.95308154596131</c:v>
                </c:pt>
                <c:pt idx="42">
                  <c:v>313.35332433422531</c:v>
                </c:pt>
                <c:pt idx="43">
                  <c:v>314.59070528660629</c:v>
                </c:pt>
                <c:pt idx="44">
                  <c:v>315.61713385803489</c:v>
                </c:pt>
                <c:pt idx="45">
                  <c:v>316.3433184789431</c:v>
                </c:pt>
                <c:pt idx="46">
                  <c:v>317.29657860825859</c:v>
                </c:pt>
                <c:pt idx="47">
                  <c:v>318.57086432254431</c:v>
                </c:pt>
                <c:pt idx="48">
                  <c:v>319.07844689573125</c:v>
                </c:pt>
                <c:pt idx="49">
                  <c:v>318.42922617483077</c:v>
                </c:pt>
                <c:pt idx="50">
                  <c:v>317.12368499096937</c:v>
                </c:pt>
                <c:pt idx="51">
                  <c:v>315.17987546715983</c:v>
                </c:pt>
                <c:pt idx="52">
                  <c:v>313.4479707052551</c:v>
                </c:pt>
                <c:pt idx="53">
                  <c:v>313.27629934556251</c:v>
                </c:pt>
                <c:pt idx="54">
                  <c:v>314.6765421338265</c:v>
                </c:pt>
                <c:pt idx="55">
                  <c:v>315.91392308620743</c:v>
                </c:pt>
                <c:pt idx="56">
                  <c:v>316.94035165763603</c:v>
                </c:pt>
                <c:pt idx="57">
                  <c:v>317.66653627854424</c:v>
                </c:pt>
                <c:pt idx="58">
                  <c:v>318.61979640785972</c:v>
                </c:pt>
                <c:pt idx="59">
                  <c:v>319.89408212214545</c:v>
                </c:pt>
                <c:pt idx="60">
                  <c:v>320.40166469533239</c:v>
                </c:pt>
                <c:pt idx="61">
                  <c:v>319.75244397443191</c:v>
                </c:pt>
                <c:pt idx="62">
                  <c:v>318.4469027905705</c:v>
                </c:pt>
                <c:pt idx="63">
                  <c:v>316.50309326676097</c:v>
                </c:pt>
                <c:pt idx="64">
                  <c:v>314.77118850485624</c:v>
                </c:pt>
                <c:pt idx="65">
                  <c:v>314.59951714516365</c:v>
                </c:pt>
                <c:pt idx="66">
                  <c:v>315.99975993342764</c:v>
                </c:pt>
                <c:pt idx="67">
                  <c:v>317.23714088580857</c:v>
                </c:pt>
                <c:pt idx="68">
                  <c:v>318.26356945723717</c:v>
                </c:pt>
                <c:pt idx="69">
                  <c:v>321.72850774917902</c:v>
                </c:pt>
                <c:pt idx="70">
                  <c:v>321.07928702827854</c:v>
                </c:pt>
                <c:pt idx="71">
                  <c:v>319.77374584441708</c:v>
                </c:pt>
                <c:pt idx="72">
                  <c:v>317.82993632060754</c:v>
                </c:pt>
                <c:pt idx="73">
                  <c:v>316.09803155870281</c:v>
                </c:pt>
                <c:pt idx="74">
                  <c:v>315.92636019901028</c:v>
                </c:pt>
                <c:pt idx="75">
                  <c:v>317.32660298727427</c:v>
                </c:pt>
                <c:pt idx="76">
                  <c:v>318.5639839396552</c:v>
                </c:pt>
                <c:pt idx="77">
                  <c:v>319.5904125110838</c:v>
                </c:pt>
                <c:pt idx="78">
                  <c:v>320.31659713199201</c:v>
                </c:pt>
                <c:pt idx="79">
                  <c:v>321.26985726130749</c:v>
                </c:pt>
                <c:pt idx="80">
                  <c:v>322.54414297559322</c:v>
                </c:pt>
                <c:pt idx="81">
                  <c:v>323.05172554878021</c:v>
                </c:pt>
                <c:pt idx="82">
                  <c:v>322.40250482787968</c:v>
                </c:pt>
                <c:pt idx="83">
                  <c:v>321.09696364401822</c:v>
                </c:pt>
                <c:pt idx="84">
                  <c:v>319.15315412020868</c:v>
                </c:pt>
                <c:pt idx="85">
                  <c:v>317.42124935830395</c:v>
                </c:pt>
                <c:pt idx="86">
                  <c:v>317.24957799861141</c:v>
                </c:pt>
                <c:pt idx="87">
                  <c:v>318.64982078687541</c:v>
                </c:pt>
                <c:pt idx="88">
                  <c:v>319.88720173925634</c:v>
                </c:pt>
                <c:pt idx="89">
                  <c:v>320.91363031068494</c:v>
                </c:pt>
                <c:pt idx="90">
                  <c:v>321.63981493159315</c:v>
                </c:pt>
                <c:pt idx="91">
                  <c:v>322.59307506090863</c:v>
                </c:pt>
                <c:pt idx="92">
                  <c:v>323.86736077519436</c:v>
                </c:pt>
                <c:pt idx="93">
                  <c:v>324.37494334838135</c:v>
                </c:pt>
                <c:pt idx="94">
                  <c:v>323.72572262748088</c:v>
                </c:pt>
                <c:pt idx="95">
                  <c:v>322.42018144361936</c:v>
                </c:pt>
                <c:pt idx="96">
                  <c:v>320.47637191980982</c:v>
                </c:pt>
                <c:pt idx="97">
                  <c:v>318.74446715790509</c:v>
                </c:pt>
                <c:pt idx="98">
                  <c:v>318.57279579821255</c:v>
                </c:pt>
                <c:pt idx="99">
                  <c:v>319.97303858647655</c:v>
                </c:pt>
                <c:pt idx="100">
                  <c:v>321.21041953885748</c:v>
                </c:pt>
                <c:pt idx="101">
                  <c:v>322.23684811028608</c:v>
                </c:pt>
                <c:pt idx="102">
                  <c:v>322.96303273119429</c:v>
                </c:pt>
                <c:pt idx="103">
                  <c:v>323.91629286050977</c:v>
                </c:pt>
                <c:pt idx="104">
                  <c:v>325.1905785747955</c:v>
                </c:pt>
                <c:pt idx="105">
                  <c:v>325.69816114798249</c:v>
                </c:pt>
                <c:pt idx="106">
                  <c:v>325.04894042708202</c:v>
                </c:pt>
                <c:pt idx="107">
                  <c:v>323.74339924322055</c:v>
                </c:pt>
                <c:pt idx="108">
                  <c:v>321.79958971941102</c:v>
                </c:pt>
                <c:pt idx="109">
                  <c:v>320.06768495750629</c:v>
                </c:pt>
                <c:pt idx="110">
                  <c:v>319.89601359781369</c:v>
                </c:pt>
                <c:pt idx="111">
                  <c:v>321.29625638607769</c:v>
                </c:pt>
                <c:pt idx="112">
                  <c:v>322.53363733845862</c:v>
                </c:pt>
                <c:pt idx="113">
                  <c:v>323.56006590988721</c:v>
                </c:pt>
                <c:pt idx="114">
                  <c:v>324.28625053079543</c:v>
                </c:pt>
                <c:pt idx="115">
                  <c:v>325.2431359143564</c:v>
                </c:pt>
                <c:pt idx="116">
                  <c:v>326.51742162864213</c:v>
                </c:pt>
                <c:pt idx="117">
                  <c:v>327.02500420182906</c:v>
                </c:pt>
                <c:pt idx="118">
                  <c:v>326.37578348092859</c:v>
                </c:pt>
                <c:pt idx="119">
                  <c:v>325.07024229706718</c:v>
                </c:pt>
                <c:pt idx="120">
                  <c:v>323.12643277325765</c:v>
                </c:pt>
                <c:pt idx="121">
                  <c:v>321.39452801135292</c:v>
                </c:pt>
                <c:pt idx="122">
                  <c:v>321.22285665166032</c:v>
                </c:pt>
                <c:pt idx="123">
                  <c:v>322.62309943992432</c:v>
                </c:pt>
                <c:pt idx="124">
                  <c:v>323.86048039230525</c:v>
                </c:pt>
                <c:pt idx="125">
                  <c:v>324.88690896373384</c:v>
                </c:pt>
                <c:pt idx="126">
                  <c:v>325.61309358464206</c:v>
                </c:pt>
                <c:pt idx="127">
                  <c:v>326.56635371395754</c:v>
                </c:pt>
                <c:pt idx="128">
                  <c:v>327.84063942824326</c:v>
                </c:pt>
                <c:pt idx="129">
                  <c:v>328.3482220014302</c:v>
                </c:pt>
                <c:pt idx="130">
                  <c:v>327.69900128052973</c:v>
                </c:pt>
                <c:pt idx="131">
                  <c:v>326.39346009666832</c:v>
                </c:pt>
                <c:pt idx="132">
                  <c:v>324.44965057285879</c:v>
                </c:pt>
                <c:pt idx="133">
                  <c:v>322.71774581095406</c:v>
                </c:pt>
                <c:pt idx="134">
                  <c:v>322.54607445126146</c:v>
                </c:pt>
                <c:pt idx="135">
                  <c:v>323.94631723952546</c:v>
                </c:pt>
                <c:pt idx="136">
                  <c:v>325.18369819190639</c:v>
                </c:pt>
                <c:pt idx="137">
                  <c:v>326.21012676333498</c:v>
                </c:pt>
                <c:pt idx="138">
                  <c:v>326.9363113842432</c:v>
                </c:pt>
                <c:pt idx="139">
                  <c:v>327.88957151355874</c:v>
                </c:pt>
                <c:pt idx="140">
                  <c:v>329.16385722784446</c:v>
                </c:pt>
                <c:pt idx="141">
                  <c:v>329.67143980103134</c:v>
                </c:pt>
                <c:pt idx="142">
                  <c:v>329.02221908013087</c:v>
                </c:pt>
                <c:pt idx="143">
                  <c:v>327.71667789626946</c:v>
                </c:pt>
                <c:pt idx="144">
                  <c:v>325.77286837245993</c:v>
                </c:pt>
                <c:pt idx="145">
                  <c:v>324.0409636105552</c:v>
                </c:pt>
                <c:pt idx="146">
                  <c:v>323.8692922508626</c:v>
                </c:pt>
                <c:pt idx="147">
                  <c:v>325.26953503912659</c:v>
                </c:pt>
                <c:pt idx="148">
                  <c:v>326.50691599150753</c:v>
                </c:pt>
                <c:pt idx="149">
                  <c:v>327.53334456293612</c:v>
                </c:pt>
                <c:pt idx="150">
                  <c:v>328.25952918384434</c:v>
                </c:pt>
                <c:pt idx="151">
                  <c:v>329.21278931315987</c:v>
                </c:pt>
                <c:pt idx="152">
                  <c:v>330.4870750274456</c:v>
                </c:pt>
                <c:pt idx="153">
                  <c:v>330.99465760063248</c:v>
                </c:pt>
                <c:pt idx="154">
                  <c:v>330.34543687973201</c:v>
                </c:pt>
                <c:pt idx="155">
                  <c:v>329.0398956958706</c:v>
                </c:pt>
                <c:pt idx="156">
                  <c:v>327.09608617206106</c:v>
                </c:pt>
                <c:pt idx="157">
                  <c:v>325.36418141015633</c:v>
                </c:pt>
                <c:pt idx="158">
                  <c:v>325.19251005046374</c:v>
                </c:pt>
                <c:pt idx="159">
                  <c:v>326.59275283872773</c:v>
                </c:pt>
                <c:pt idx="160">
                  <c:v>327.83013379110866</c:v>
                </c:pt>
                <c:pt idx="161">
                  <c:v>328.85656236253726</c:v>
                </c:pt>
                <c:pt idx="162">
                  <c:v>329.58274698344547</c:v>
                </c:pt>
                <c:pt idx="163">
                  <c:v>330.53963236700645</c:v>
                </c:pt>
                <c:pt idx="164">
                  <c:v>331.81391808129217</c:v>
                </c:pt>
                <c:pt idx="165">
                  <c:v>332.32150065447917</c:v>
                </c:pt>
                <c:pt idx="166">
                  <c:v>331.67227993357869</c:v>
                </c:pt>
                <c:pt idx="167">
                  <c:v>330.36673874971723</c:v>
                </c:pt>
                <c:pt idx="168">
                  <c:v>328.42292922590769</c:v>
                </c:pt>
                <c:pt idx="169">
                  <c:v>326.69102446400296</c:v>
                </c:pt>
                <c:pt idx="170">
                  <c:v>326.51935310431037</c:v>
                </c:pt>
                <c:pt idx="171">
                  <c:v>327.91959589257436</c:v>
                </c:pt>
                <c:pt idx="172">
                  <c:v>329.1569768449553</c:v>
                </c:pt>
                <c:pt idx="173">
                  <c:v>330.18340541638389</c:v>
                </c:pt>
                <c:pt idx="174">
                  <c:v>330.90959003729211</c:v>
                </c:pt>
                <c:pt idx="175">
                  <c:v>331.86285016660759</c:v>
                </c:pt>
                <c:pt idx="176">
                  <c:v>333.13713588089331</c:v>
                </c:pt>
                <c:pt idx="177">
                  <c:v>333.64471845408031</c:v>
                </c:pt>
                <c:pt idx="178">
                  <c:v>332.99549773317983</c:v>
                </c:pt>
                <c:pt idx="179">
                  <c:v>331.68995654931837</c:v>
                </c:pt>
                <c:pt idx="180">
                  <c:v>329.74614702550883</c:v>
                </c:pt>
                <c:pt idx="181">
                  <c:v>328.0142422636041</c:v>
                </c:pt>
                <c:pt idx="182">
                  <c:v>327.84257090391151</c:v>
                </c:pt>
                <c:pt idx="183">
                  <c:v>329.2428136921755</c:v>
                </c:pt>
                <c:pt idx="184">
                  <c:v>330.48019464455643</c:v>
                </c:pt>
                <c:pt idx="185">
                  <c:v>331.50662321598503</c:v>
                </c:pt>
                <c:pt idx="186">
                  <c:v>332.23280783689324</c:v>
                </c:pt>
                <c:pt idx="187">
                  <c:v>333.18606796620873</c:v>
                </c:pt>
                <c:pt idx="188">
                  <c:v>334.46035368049445</c:v>
                </c:pt>
                <c:pt idx="189">
                  <c:v>334.96793625368144</c:v>
                </c:pt>
                <c:pt idx="190">
                  <c:v>334.31871553278097</c:v>
                </c:pt>
                <c:pt idx="191">
                  <c:v>333.01317434891951</c:v>
                </c:pt>
                <c:pt idx="192">
                  <c:v>331.06936482510997</c:v>
                </c:pt>
                <c:pt idx="193">
                  <c:v>329.33746006320524</c:v>
                </c:pt>
                <c:pt idx="194">
                  <c:v>329.16578870351265</c:v>
                </c:pt>
                <c:pt idx="195">
                  <c:v>330.56603149177664</c:v>
                </c:pt>
                <c:pt idx="196">
                  <c:v>331.80341244415757</c:v>
                </c:pt>
                <c:pt idx="197">
                  <c:v>332.82984101558617</c:v>
                </c:pt>
                <c:pt idx="198">
                  <c:v>333.55602563649438</c:v>
                </c:pt>
                <c:pt idx="199">
                  <c:v>334.50928576580986</c:v>
                </c:pt>
                <c:pt idx="200">
                  <c:v>335.78357148009559</c:v>
                </c:pt>
                <c:pt idx="201">
                  <c:v>336.29115405328258</c:v>
                </c:pt>
                <c:pt idx="202">
                  <c:v>335.64193333238211</c:v>
                </c:pt>
                <c:pt idx="203">
                  <c:v>334.33639214852064</c:v>
                </c:pt>
                <c:pt idx="204">
                  <c:v>332.39258262471111</c:v>
                </c:pt>
                <c:pt idx="205">
                  <c:v>330.66067786280638</c:v>
                </c:pt>
                <c:pt idx="206">
                  <c:v>330.48900650311379</c:v>
                </c:pt>
                <c:pt idx="207">
                  <c:v>331.88924929137778</c:v>
                </c:pt>
                <c:pt idx="208">
                  <c:v>333.12663024375871</c:v>
                </c:pt>
                <c:pt idx="209">
                  <c:v>334.15305881518731</c:v>
                </c:pt>
                <c:pt idx="210">
                  <c:v>334.87924343609552</c:v>
                </c:pt>
                <c:pt idx="211">
                  <c:v>335.83612881965655</c:v>
                </c:pt>
                <c:pt idx="212">
                  <c:v>337.11041453394228</c:v>
                </c:pt>
                <c:pt idx="213">
                  <c:v>337.61799710712916</c:v>
                </c:pt>
                <c:pt idx="214">
                  <c:v>336.96877638622868</c:v>
                </c:pt>
                <c:pt idx="215">
                  <c:v>335.66323520236728</c:v>
                </c:pt>
                <c:pt idx="216">
                  <c:v>333.71942567855774</c:v>
                </c:pt>
                <c:pt idx="217">
                  <c:v>331.98752091665301</c:v>
                </c:pt>
                <c:pt idx="218">
                  <c:v>331.81584955696042</c:v>
                </c:pt>
                <c:pt idx="219">
                  <c:v>333.21609234522441</c:v>
                </c:pt>
                <c:pt idx="220">
                  <c:v>334.45347329760534</c:v>
                </c:pt>
                <c:pt idx="221">
                  <c:v>335.47990186903394</c:v>
                </c:pt>
                <c:pt idx="222">
                  <c:v>336.20608648994215</c:v>
                </c:pt>
                <c:pt idx="223">
                  <c:v>337.15934661925769</c:v>
                </c:pt>
                <c:pt idx="224">
                  <c:v>338.43363233354341</c:v>
                </c:pt>
                <c:pt idx="225">
                  <c:v>338.94121490673035</c:v>
                </c:pt>
                <c:pt idx="226">
                  <c:v>338.29199418582988</c:v>
                </c:pt>
                <c:pt idx="227">
                  <c:v>336.98645300196841</c:v>
                </c:pt>
                <c:pt idx="228">
                  <c:v>335.04264347815888</c:v>
                </c:pt>
                <c:pt idx="229">
                  <c:v>333.31073871625415</c:v>
                </c:pt>
                <c:pt idx="230">
                  <c:v>333.13906735656155</c:v>
                </c:pt>
                <c:pt idx="231">
                  <c:v>334.53931014482555</c:v>
                </c:pt>
                <c:pt idx="232">
                  <c:v>335.77669109720648</c:v>
                </c:pt>
                <c:pt idx="233">
                  <c:v>336.80311966863508</c:v>
                </c:pt>
                <c:pt idx="234">
                  <c:v>337.52930428954329</c:v>
                </c:pt>
                <c:pt idx="235">
                  <c:v>338.48256441885883</c:v>
                </c:pt>
                <c:pt idx="236">
                  <c:v>339.75685013314455</c:v>
                </c:pt>
                <c:pt idx="237">
                  <c:v>340.26443270633149</c:v>
                </c:pt>
                <c:pt idx="238">
                  <c:v>339.61521198543102</c:v>
                </c:pt>
                <c:pt idx="239">
                  <c:v>338.30967080156955</c:v>
                </c:pt>
                <c:pt idx="240">
                  <c:v>336.36586127776002</c:v>
                </c:pt>
                <c:pt idx="241">
                  <c:v>334.63395651585529</c:v>
                </c:pt>
                <c:pt idx="242">
                  <c:v>334.46228515616269</c:v>
                </c:pt>
                <c:pt idx="243">
                  <c:v>335.86252794442669</c:v>
                </c:pt>
                <c:pt idx="244">
                  <c:v>337.09990889680762</c:v>
                </c:pt>
                <c:pt idx="245">
                  <c:v>338.12633746823622</c:v>
                </c:pt>
                <c:pt idx="246">
                  <c:v>338.85252208914443</c:v>
                </c:pt>
                <c:pt idx="247">
                  <c:v>339.80578221845997</c:v>
                </c:pt>
                <c:pt idx="248">
                  <c:v>341.08006793274569</c:v>
                </c:pt>
                <c:pt idx="249">
                  <c:v>341.58765050593263</c:v>
                </c:pt>
                <c:pt idx="250">
                  <c:v>340.93842978503216</c:v>
                </c:pt>
                <c:pt idx="251">
                  <c:v>339.63288860117069</c:v>
                </c:pt>
                <c:pt idx="252">
                  <c:v>337.68907907736116</c:v>
                </c:pt>
                <c:pt idx="253">
                  <c:v>335.95717431545643</c:v>
                </c:pt>
                <c:pt idx="254">
                  <c:v>335.78550295576383</c:v>
                </c:pt>
                <c:pt idx="255">
                  <c:v>337.18574574402783</c:v>
                </c:pt>
                <c:pt idx="256">
                  <c:v>338.42312669640876</c:v>
                </c:pt>
                <c:pt idx="257">
                  <c:v>339.44955526783735</c:v>
                </c:pt>
                <c:pt idx="258">
                  <c:v>340.17573988874557</c:v>
                </c:pt>
                <c:pt idx="259">
                  <c:v>341.13262527230654</c:v>
                </c:pt>
                <c:pt idx="260">
                  <c:v>342.40691098659227</c:v>
                </c:pt>
                <c:pt idx="261">
                  <c:v>342.91449355977926</c:v>
                </c:pt>
                <c:pt idx="262">
                  <c:v>342.26527283887879</c:v>
                </c:pt>
                <c:pt idx="263">
                  <c:v>340.95973165501732</c:v>
                </c:pt>
                <c:pt idx="264">
                  <c:v>339.01592213120779</c:v>
                </c:pt>
                <c:pt idx="265">
                  <c:v>337.28401736930306</c:v>
                </c:pt>
                <c:pt idx="266">
                  <c:v>337.11234600961046</c:v>
                </c:pt>
                <c:pt idx="267">
                  <c:v>338.51258879787446</c:v>
                </c:pt>
                <c:pt idx="268">
                  <c:v>339.74996975025539</c:v>
                </c:pt>
                <c:pt idx="269">
                  <c:v>340.77639832168398</c:v>
                </c:pt>
                <c:pt idx="270">
                  <c:v>341.5025829425922</c:v>
                </c:pt>
                <c:pt idx="271">
                  <c:v>342.45584307190768</c:v>
                </c:pt>
                <c:pt idx="272">
                  <c:v>343.7301287861934</c:v>
                </c:pt>
                <c:pt idx="273">
                  <c:v>344.2377113593804</c:v>
                </c:pt>
                <c:pt idx="274">
                  <c:v>343.58849063847993</c:v>
                </c:pt>
                <c:pt idx="275">
                  <c:v>342.28294945461846</c:v>
                </c:pt>
                <c:pt idx="276">
                  <c:v>340.33913993080893</c:v>
                </c:pt>
                <c:pt idx="277">
                  <c:v>338.6072351689042</c:v>
                </c:pt>
                <c:pt idx="278">
                  <c:v>338.4355638092116</c:v>
                </c:pt>
                <c:pt idx="279">
                  <c:v>339.8358065974756</c:v>
                </c:pt>
                <c:pt idx="280">
                  <c:v>341.07318754985653</c:v>
                </c:pt>
                <c:pt idx="281">
                  <c:v>342.09961612128512</c:v>
                </c:pt>
                <c:pt idx="282">
                  <c:v>342.82580074219334</c:v>
                </c:pt>
                <c:pt idx="283">
                  <c:v>343.77906087150888</c:v>
                </c:pt>
                <c:pt idx="284">
                  <c:v>345.0533465857946</c:v>
                </c:pt>
                <c:pt idx="285">
                  <c:v>345.56092915898154</c:v>
                </c:pt>
                <c:pt idx="286">
                  <c:v>344.91170843808106</c:v>
                </c:pt>
                <c:pt idx="287">
                  <c:v>343.6061672542196</c:v>
                </c:pt>
                <c:pt idx="288">
                  <c:v>341.66235773041006</c:v>
                </c:pt>
                <c:pt idx="289">
                  <c:v>339.93045296850534</c:v>
                </c:pt>
                <c:pt idx="290">
                  <c:v>339.75878160881274</c:v>
                </c:pt>
                <c:pt idx="291">
                  <c:v>341.15902439707673</c:v>
                </c:pt>
                <c:pt idx="292">
                  <c:v>342.39640534945767</c:v>
                </c:pt>
                <c:pt idx="293">
                  <c:v>343.42283392088626</c:v>
                </c:pt>
                <c:pt idx="294">
                  <c:v>344.14901854179448</c:v>
                </c:pt>
                <c:pt idx="295">
                  <c:v>345.10227867111001</c:v>
                </c:pt>
                <c:pt idx="296">
                  <c:v>346.37656438539574</c:v>
                </c:pt>
                <c:pt idx="297">
                  <c:v>346.88414695858268</c:v>
                </c:pt>
                <c:pt idx="298">
                  <c:v>346.2349262376822</c:v>
                </c:pt>
                <c:pt idx="299">
                  <c:v>344.92938505382074</c:v>
                </c:pt>
                <c:pt idx="300">
                  <c:v>342.9855755300112</c:v>
                </c:pt>
                <c:pt idx="301">
                  <c:v>341.25367076810647</c:v>
                </c:pt>
                <c:pt idx="302">
                  <c:v>341.08199940841388</c:v>
                </c:pt>
                <c:pt idx="303">
                  <c:v>342.48224219667787</c:v>
                </c:pt>
                <c:pt idx="304">
                  <c:v>343.7196231490588</c:v>
                </c:pt>
                <c:pt idx="305">
                  <c:v>344.7460517204874</c:v>
                </c:pt>
                <c:pt idx="306">
                  <c:v>345.47223634139561</c:v>
                </c:pt>
                <c:pt idx="307">
                  <c:v>346.42912172495664</c:v>
                </c:pt>
                <c:pt idx="308">
                  <c:v>347.70340743924237</c:v>
                </c:pt>
                <c:pt idx="309">
                  <c:v>348.21099001242931</c:v>
                </c:pt>
                <c:pt idx="310">
                  <c:v>347.56176929152883</c:v>
                </c:pt>
                <c:pt idx="311">
                  <c:v>346.25622810766737</c:v>
                </c:pt>
                <c:pt idx="312">
                  <c:v>344.31241858385783</c:v>
                </c:pt>
                <c:pt idx="313">
                  <c:v>342.5805138219531</c:v>
                </c:pt>
                <c:pt idx="314">
                  <c:v>342.40884246226051</c:v>
                </c:pt>
                <c:pt idx="315">
                  <c:v>343.8090852505245</c:v>
                </c:pt>
                <c:pt idx="316">
                  <c:v>345.04646620290544</c:v>
                </c:pt>
                <c:pt idx="317">
                  <c:v>346.07289477433403</c:v>
                </c:pt>
                <c:pt idx="318">
                  <c:v>346.79907939524225</c:v>
                </c:pt>
                <c:pt idx="319">
                  <c:v>347.75233952455778</c:v>
                </c:pt>
                <c:pt idx="320">
                  <c:v>349.02662523884351</c:v>
                </c:pt>
                <c:pt idx="321">
                  <c:v>349.53420781203044</c:v>
                </c:pt>
                <c:pt idx="322">
                  <c:v>348.88498709112997</c:v>
                </c:pt>
                <c:pt idx="323">
                  <c:v>347.57944590726851</c:v>
                </c:pt>
                <c:pt idx="324">
                  <c:v>345.63563638345897</c:v>
                </c:pt>
                <c:pt idx="325">
                  <c:v>343.90373162155424</c:v>
                </c:pt>
                <c:pt idx="326">
                  <c:v>343.73206026186165</c:v>
                </c:pt>
                <c:pt idx="327">
                  <c:v>345.13230305012564</c:v>
                </c:pt>
                <c:pt idx="328">
                  <c:v>346.36968400250657</c:v>
                </c:pt>
                <c:pt idx="329">
                  <c:v>347.39611257393517</c:v>
                </c:pt>
                <c:pt idx="330">
                  <c:v>348.12229719484338</c:v>
                </c:pt>
                <c:pt idx="331">
                  <c:v>349.07555732415892</c:v>
                </c:pt>
                <c:pt idx="332">
                  <c:v>350.34984303844465</c:v>
                </c:pt>
                <c:pt idx="333">
                  <c:v>350.85742561163158</c:v>
                </c:pt>
                <c:pt idx="334">
                  <c:v>350.20820489073111</c:v>
                </c:pt>
                <c:pt idx="335">
                  <c:v>348.90266370686965</c:v>
                </c:pt>
                <c:pt idx="336">
                  <c:v>346.95885418306011</c:v>
                </c:pt>
                <c:pt idx="337">
                  <c:v>345.22694942115538</c:v>
                </c:pt>
                <c:pt idx="338">
                  <c:v>345.05527806146279</c:v>
                </c:pt>
                <c:pt idx="339">
                  <c:v>346.45552084972678</c:v>
                </c:pt>
                <c:pt idx="340">
                  <c:v>347.69290180210771</c:v>
                </c:pt>
                <c:pt idx="341">
                  <c:v>348.71933037353631</c:v>
                </c:pt>
                <c:pt idx="342">
                  <c:v>349.44551499444452</c:v>
                </c:pt>
                <c:pt idx="343">
                  <c:v>350.39877512376006</c:v>
                </c:pt>
                <c:pt idx="344">
                  <c:v>351.67306083804579</c:v>
                </c:pt>
                <c:pt idx="345">
                  <c:v>352.18064341123272</c:v>
                </c:pt>
                <c:pt idx="346">
                  <c:v>351.53142269033225</c:v>
                </c:pt>
                <c:pt idx="347">
                  <c:v>350.22588150647078</c:v>
                </c:pt>
                <c:pt idx="348">
                  <c:v>348.28207198266125</c:v>
                </c:pt>
                <c:pt idx="349">
                  <c:v>346.55016722075652</c:v>
                </c:pt>
                <c:pt idx="350">
                  <c:v>346.37849586106393</c:v>
                </c:pt>
                <c:pt idx="351">
                  <c:v>347.77873864932792</c:v>
                </c:pt>
                <c:pt idx="352">
                  <c:v>349.01611960170885</c:v>
                </c:pt>
                <c:pt idx="353">
                  <c:v>350.04254817313745</c:v>
                </c:pt>
                <c:pt idx="354">
                  <c:v>350.76873279404566</c:v>
                </c:pt>
                <c:pt idx="355">
                  <c:v>351.72561817760669</c:v>
                </c:pt>
                <c:pt idx="356">
                  <c:v>352.99990389189242</c:v>
                </c:pt>
                <c:pt idx="357">
                  <c:v>353.50748646507935</c:v>
                </c:pt>
                <c:pt idx="358">
                  <c:v>352.85826574417888</c:v>
                </c:pt>
                <c:pt idx="359">
                  <c:v>351.55272456031742</c:v>
                </c:pt>
                <c:pt idx="360">
                  <c:v>349.60891503650788</c:v>
                </c:pt>
                <c:pt idx="361">
                  <c:v>347.87701027460315</c:v>
                </c:pt>
                <c:pt idx="362">
                  <c:v>347.70533891491056</c:v>
                </c:pt>
                <c:pt idx="363">
                  <c:v>349.10558170317455</c:v>
                </c:pt>
                <c:pt idx="364">
                  <c:v>350.34296265555548</c:v>
                </c:pt>
                <c:pt idx="365">
                  <c:v>351.36939122698408</c:v>
                </c:pt>
                <c:pt idx="366">
                  <c:v>352.09557584789229</c:v>
                </c:pt>
                <c:pt idx="367">
                  <c:v>353.04883597720783</c:v>
                </c:pt>
                <c:pt idx="368">
                  <c:v>354.32312169149355</c:v>
                </c:pt>
                <c:pt idx="369">
                  <c:v>354.83070426468049</c:v>
                </c:pt>
                <c:pt idx="370">
                  <c:v>354.18148354378002</c:v>
                </c:pt>
                <c:pt idx="371">
                  <c:v>352.87594235991855</c:v>
                </c:pt>
                <c:pt idx="372">
                  <c:v>350.93213283610902</c:v>
                </c:pt>
                <c:pt idx="373">
                  <c:v>349.20022807420429</c:v>
                </c:pt>
                <c:pt idx="374">
                  <c:v>349.02855671451169</c:v>
                </c:pt>
                <c:pt idx="375">
                  <c:v>350.42879950277569</c:v>
                </c:pt>
                <c:pt idx="376">
                  <c:v>351.66618045515668</c:v>
                </c:pt>
                <c:pt idx="377">
                  <c:v>352.69260902658527</c:v>
                </c:pt>
                <c:pt idx="378">
                  <c:v>353.41879364749349</c:v>
                </c:pt>
                <c:pt idx="379">
                  <c:v>354.37205377680897</c:v>
                </c:pt>
                <c:pt idx="380">
                  <c:v>355.64633949109469</c:v>
                </c:pt>
                <c:pt idx="381">
                  <c:v>356.15392206428163</c:v>
                </c:pt>
                <c:pt idx="382">
                  <c:v>355.50470134338116</c:v>
                </c:pt>
                <c:pt idx="383">
                  <c:v>354.19916015951969</c:v>
                </c:pt>
                <c:pt idx="384">
                  <c:v>352.25535063571016</c:v>
                </c:pt>
                <c:pt idx="385">
                  <c:v>350.52344587380543</c:v>
                </c:pt>
                <c:pt idx="386">
                  <c:v>350.35177451411283</c:v>
                </c:pt>
                <c:pt idx="387">
                  <c:v>351.75201730237683</c:v>
                </c:pt>
                <c:pt idx="388">
                  <c:v>352.98939825475782</c:v>
                </c:pt>
                <c:pt idx="389">
                  <c:v>354.01582682618641</c:v>
                </c:pt>
                <c:pt idx="390">
                  <c:v>354.74201144709463</c:v>
                </c:pt>
                <c:pt idx="391">
                  <c:v>355.69527157641011</c:v>
                </c:pt>
                <c:pt idx="392">
                  <c:v>356.96955729069583</c:v>
                </c:pt>
                <c:pt idx="393">
                  <c:v>357.47713986388277</c:v>
                </c:pt>
                <c:pt idx="394">
                  <c:v>356.8279191429823</c:v>
                </c:pt>
                <c:pt idx="395">
                  <c:v>355.52237795912083</c:v>
                </c:pt>
                <c:pt idx="396">
                  <c:v>353.5785684353113</c:v>
                </c:pt>
                <c:pt idx="397">
                  <c:v>351.84666367340657</c:v>
                </c:pt>
                <c:pt idx="398">
                  <c:v>351.67499231371397</c:v>
                </c:pt>
                <c:pt idx="399">
                  <c:v>353.07523510197797</c:v>
                </c:pt>
                <c:pt idx="400">
                  <c:v>354.31261605435895</c:v>
                </c:pt>
                <c:pt idx="401">
                  <c:v>355.33904462578755</c:v>
                </c:pt>
                <c:pt idx="402">
                  <c:v>356.06522924669576</c:v>
                </c:pt>
                <c:pt idx="403">
                  <c:v>357.02211463025674</c:v>
                </c:pt>
                <c:pt idx="404">
                  <c:v>358.29640034454246</c:v>
                </c:pt>
                <c:pt idx="405">
                  <c:v>358.8039829177294</c:v>
                </c:pt>
                <c:pt idx="406">
                  <c:v>358.15476219682893</c:v>
                </c:pt>
                <c:pt idx="407">
                  <c:v>356.84922101296746</c:v>
                </c:pt>
                <c:pt idx="408">
                  <c:v>354.90541148915793</c:v>
                </c:pt>
                <c:pt idx="409">
                  <c:v>353.1735067272532</c:v>
                </c:pt>
                <c:pt idx="410">
                  <c:v>353.0018353675606</c:v>
                </c:pt>
                <c:pt idx="411">
                  <c:v>354.4020781558246</c:v>
                </c:pt>
                <c:pt idx="412">
                  <c:v>355.63945910820553</c:v>
                </c:pt>
                <c:pt idx="413">
                  <c:v>356.66588767963412</c:v>
                </c:pt>
                <c:pt idx="414">
                  <c:v>357.39207230054234</c:v>
                </c:pt>
                <c:pt idx="415">
                  <c:v>358.34533242985788</c:v>
                </c:pt>
                <c:pt idx="416">
                  <c:v>359.6196181441436</c:v>
                </c:pt>
                <c:pt idx="417">
                  <c:v>360.12720071733054</c:v>
                </c:pt>
                <c:pt idx="418">
                  <c:v>359.47797999643007</c:v>
                </c:pt>
                <c:pt idx="419">
                  <c:v>358.1724388125686</c:v>
                </c:pt>
                <c:pt idx="420">
                  <c:v>356.22862928875907</c:v>
                </c:pt>
                <c:pt idx="421">
                  <c:v>354.49672452685434</c:v>
                </c:pt>
                <c:pt idx="422">
                  <c:v>354.32505316716174</c:v>
                </c:pt>
                <c:pt idx="423">
                  <c:v>355.72529595542574</c:v>
                </c:pt>
                <c:pt idx="424">
                  <c:v>356.96267690780667</c:v>
                </c:pt>
                <c:pt idx="425">
                  <c:v>357.98910547923526</c:v>
                </c:pt>
                <c:pt idx="426">
                  <c:v>358.71529010014348</c:v>
                </c:pt>
                <c:pt idx="427">
                  <c:v>359.66855022945902</c:v>
                </c:pt>
                <c:pt idx="428">
                  <c:v>360.94283594374474</c:v>
                </c:pt>
                <c:pt idx="429">
                  <c:v>361.45041851693168</c:v>
                </c:pt>
                <c:pt idx="430">
                  <c:v>360.8011977960312</c:v>
                </c:pt>
                <c:pt idx="431">
                  <c:v>359.49565661216974</c:v>
                </c:pt>
                <c:pt idx="432">
                  <c:v>357.5518470883602</c:v>
                </c:pt>
                <c:pt idx="433">
                  <c:v>355.81994232645548</c:v>
                </c:pt>
                <c:pt idx="434">
                  <c:v>355.64827096676294</c:v>
                </c:pt>
                <c:pt idx="435">
                  <c:v>357.04851375502693</c:v>
                </c:pt>
                <c:pt idx="436">
                  <c:v>358.28589470740781</c:v>
                </c:pt>
                <c:pt idx="437">
                  <c:v>359.3123232788364</c:v>
                </c:pt>
                <c:pt idx="438">
                  <c:v>360.03850789974462</c:v>
                </c:pt>
                <c:pt idx="439">
                  <c:v>360.99176802906015</c:v>
                </c:pt>
                <c:pt idx="440">
                  <c:v>362.26605374334588</c:v>
                </c:pt>
                <c:pt idx="441">
                  <c:v>362.77363631653282</c:v>
                </c:pt>
                <c:pt idx="442">
                  <c:v>362.12441559563234</c:v>
                </c:pt>
                <c:pt idx="443">
                  <c:v>360.81887441177088</c:v>
                </c:pt>
                <c:pt idx="444">
                  <c:v>358.87506488796134</c:v>
                </c:pt>
                <c:pt idx="445">
                  <c:v>357.14316012605661</c:v>
                </c:pt>
                <c:pt idx="446">
                  <c:v>356.97148876636408</c:v>
                </c:pt>
                <c:pt idx="447">
                  <c:v>358.37173155462807</c:v>
                </c:pt>
                <c:pt idx="448">
                  <c:v>359.60911250700894</c:v>
                </c:pt>
                <c:pt idx="449">
                  <c:v>360.63554107843754</c:v>
                </c:pt>
                <c:pt idx="450">
                  <c:v>361.36172569934575</c:v>
                </c:pt>
                <c:pt idx="451">
                  <c:v>362.31861108290678</c:v>
                </c:pt>
                <c:pt idx="452">
                  <c:v>363.59289679719251</c:v>
                </c:pt>
                <c:pt idx="453">
                  <c:v>364.10047937037945</c:v>
                </c:pt>
                <c:pt idx="454">
                  <c:v>363.45125864947897</c:v>
                </c:pt>
                <c:pt idx="455">
                  <c:v>362.14571746561751</c:v>
                </c:pt>
                <c:pt idx="456">
                  <c:v>360.20190794180797</c:v>
                </c:pt>
                <c:pt idx="457">
                  <c:v>358.47000317990324</c:v>
                </c:pt>
                <c:pt idx="458">
                  <c:v>358.29833182021065</c:v>
                </c:pt>
                <c:pt idx="459">
                  <c:v>359.69857460847464</c:v>
                </c:pt>
                <c:pt idx="460">
                  <c:v>360.93595556085563</c:v>
                </c:pt>
                <c:pt idx="461">
                  <c:v>361.96238413228423</c:v>
                </c:pt>
                <c:pt idx="462">
                  <c:v>362.68856875319244</c:v>
                </c:pt>
                <c:pt idx="463">
                  <c:v>363.64182888250792</c:v>
                </c:pt>
                <c:pt idx="464">
                  <c:v>364.91611459679365</c:v>
                </c:pt>
                <c:pt idx="465">
                  <c:v>365.42369716998058</c:v>
                </c:pt>
                <c:pt idx="466">
                  <c:v>364.77447644908011</c:v>
                </c:pt>
                <c:pt idx="467">
                  <c:v>363.4689352652187</c:v>
                </c:pt>
                <c:pt idx="468">
                  <c:v>361.52512574140917</c:v>
                </c:pt>
                <c:pt idx="469">
                  <c:v>359.79322097950444</c:v>
                </c:pt>
                <c:pt idx="470">
                  <c:v>359.62154961981179</c:v>
                </c:pt>
                <c:pt idx="471">
                  <c:v>361.02179240807578</c:v>
                </c:pt>
                <c:pt idx="472">
                  <c:v>362.25917336045677</c:v>
                </c:pt>
                <c:pt idx="473">
                  <c:v>363.28560193188537</c:v>
                </c:pt>
                <c:pt idx="474">
                  <c:v>364.01178655279358</c:v>
                </c:pt>
                <c:pt idx="475">
                  <c:v>364.96504668210906</c:v>
                </c:pt>
                <c:pt idx="476">
                  <c:v>366.23933239639479</c:v>
                </c:pt>
                <c:pt idx="477">
                  <c:v>366.74691496958172</c:v>
                </c:pt>
                <c:pt idx="478">
                  <c:v>366.09769424868125</c:v>
                </c:pt>
                <c:pt idx="479">
                  <c:v>364.79215306481984</c:v>
                </c:pt>
                <c:pt idx="480">
                  <c:v>362.84834354101031</c:v>
                </c:pt>
                <c:pt idx="481">
                  <c:v>361.11643877910558</c:v>
                </c:pt>
                <c:pt idx="482">
                  <c:v>360.94476741941293</c:v>
                </c:pt>
                <c:pt idx="483">
                  <c:v>362.34501020767692</c:v>
                </c:pt>
                <c:pt idx="484">
                  <c:v>363.58239116005791</c:v>
                </c:pt>
                <c:pt idx="485">
                  <c:v>364.60881973148651</c:v>
                </c:pt>
                <c:pt idx="486">
                  <c:v>365.33500435239472</c:v>
                </c:pt>
                <c:pt idx="487">
                  <c:v>366.2882644817102</c:v>
                </c:pt>
                <c:pt idx="488">
                  <c:v>367.56255019599593</c:v>
                </c:pt>
                <c:pt idx="489">
                  <c:v>368.07013276918286</c:v>
                </c:pt>
                <c:pt idx="490">
                  <c:v>367.42091204828239</c:v>
                </c:pt>
                <c:pt idx="491">
                  <c:v>366.11537086442098</c:v>
                </c:pt>
                <c:pt idx="492">
                  <c:v>364.17156134061145</c:v>
                </c:pt>
                <c:pt idx="493">
                  <c:v>362.43965657870672</c:v>
                </c:pt>
                <c:pt idx="494">
                  <c:v>362.26798521901407</c:v>
                </c:pt>
                <c:pt idx="495">
                  <c:v>363.66822800727806</c:v>
                </c:pt>
                <c:pt idx="496">
                  <c:v>364.90560895965905</c:v>
                </c:pt>
                <c:pt idx="497">
                  <c:v>365.93203753108764</c:v>
                </c:pt>
                <c:pt idx="498">
                  <c:v>366.65822215199586</c:v>
                </c:pt>
                <c:pt idx="499">
                  <c:v>367.61510753555683</c:v>
                </c:pt>
                <c:pt idx="500">
                  <c:v>368.88939324984256</c:v>
                </c:pt>
                <c:pt idx="501">
                  <c:v>369.39697582302949</c:v>
                </c:pt>
                <c:pt idx="502">
                  <c:v>368.74775510212902</c:v>
                </c:pt>
                <c:pt idx="503">
                  <c:v>367.44221391826756</c:v>
                </c:pt>
                <c:pt idx="504">
                  <c:v>365.49840439445802</c:v>
                </c:pt>
                <c:pt idx="505">
                  <c:v>363.76649963255329</c:v>
                </c:pt>
                <c:pt idx="506">
                  <c:v>363.59482827286075</c:v>
                </c:pt>
                <c:pt idx="507">
                  <c:v>364.99507106112475</c:v>
                </c:pt>
                <c:pt idx="508">
                  <c:v>366.23245201350562</c:v>
                </c:pt>
                <c:pt idx="509">
                  <c:v>367.25888058493422</c:v>
                </c:pt>
                <c:pt idx="510">
                  <c:v>367.98506520584243</c:v>
                </c:pt>
                <c:pt idx="511">
                  <c:v>368.93832533515797</c:v>
                </c:pt>
                <c:pt idx="512">
                  <c:v>370.21261104944369</c:v>
                </c:pt>
                <c:pt idx="513">
                  <c:v>370.72019362263063</c:v>
                </c:pt>
                <c:pt idx="514">
                  <c:v>370.07097290173016</c:v>
                </c:pt>
                <c:pt idx="515">
                  <c:v>368.76543171786869</c:v>
                </c:pt>
                <c:pt idx="516">
                  <c:v>366.82162219405916</c:v>
                </c:pt>
                <c:pt idx="517">
                  <c:v>365.08971743215443</c:v>
                </c:pt>
                <c:pt idx="518">
                  <c:v>364.91804607246189</c:v>
                </c:pt>
                <c:pt idx="519">
                  <c:v>366.31828886072589</c:v>
                </c:pt>
                <c:pt idx="520">
                  <c:v>367.55566981310676</c:v>
                </c:pt>
                <c:pt idx="521">
                  <c:v>368.58209838453536</c:v>
                </c:pt>
                <c:pt idx="522">
                  <c:v>369.30828300544357</c:v>
                </c:pt>
                <c:pt idx="523">
                  <c:v>370.26154313475911</c:v>
                </c:pt>
                <c:pt idx="524">
                  <c:v>371.53582884904483</c:v>
                </c:pt>
                <c:pt idx="525">
                  <c:v>372.04341142223183</c:v>
                </c:pt>
                <c:pt idx="526">
                  <c:v>371.39419070133135</c:v>
                </c:pt>
                <c:pt idx="527">
                  <c:v>370.08864951746983</c:v>
                </c:pt>
                <c:pt idx="528">
                  <c:v>368.1448399936603</c:v>
                </c:pt>
                <c:pt idx="529">
                  <c:v>366.41293523175557</c:v>
                </c:pt>
                <c:pt idx="530">
                  <c:v>366.24126387206303</c:v>
                </c:pt>
                <c:pt idx="531">
                  <c:v>367.64150666032702</c:v>
                </c:pt>
                <c:pt idx="532">
                  <c:v>368.8788876127079</c:v>
                </c:pt>
                <c:pt idx="533">
                  <c:v>369.9053161841365</c:v>
                </c:pt>
                <c:pt idx="534">
                  <c:v>370.63150080504471</c:v>
                </c:pt>
                <c:pt idx="535">
                  <c:v>371.58476093436025</c:v>
                </c:pt>
                <c:pt idx="536">
                  <c:v>372.85904664864597</c:v>
                </c:pt>
                <c:pt idx="537">
                  <c:v>373.36662922183297</c:v>
                </c:pt>
                <c:pt idx="538">
                  <c:v>372.71740850093249</c:v>
                </c:pt>
                <c:pt idx="539">
                  <c:v>371.41186731707097</c:v>
                </c:pt>
                <c:pt idx="540">
                  <c:v>369.46805779326144</c:v>
                </c:pt>
                <c:pt idx="541">
                  <c:v>367.73615303135671</c:v>
                </c:pt>
                <c:pt idx="542">
                  <c:v>367.56448167166417</c:v>
                </c:pt>
                <c:pt idx="543">
                  <c:v>368.96472445992816</c:v>
                </c:pt>
                <c:pt idx="544">
                  <c:v>370.20210541230909</c:v>
                </c:pt>
                <c:pt idx="545">
                  <c:v>371.22853398373769</c:v>
                </c:pt>
                <c:pt idx="546">
                  <c:v>371.9547186046459</c:v>
                </c:pt>
                <c:pt idx="547">
                  <c:v>372.91160398820688</c:v>
                </c:pt>
                <c:pt idx="548">
                  <c:v>374.1858897024926</c:v>
                </c:pt>
                <c:pt idx="549">
                  <c:v>374.69347227567954</c:v>
                </c:pt>
                <c:pt idx="550">
                  <c:v>374.04425155477907</c:v>
                </c:pt>
                <c:pt idx="551">
                  <c:v>372.73871037091766</c:v>
                </c:pt>
                <c:pt idx="552">
                  <c:v>370.79490084710812</c:v>
                </c:pt>
                <c:pt idx="553">
                  <c:v>369.06299608520339</c:v>
                </c:pt>
                <c:pt idx="554">
                  <c:v>368.89132472551074</c:v>
                </c:pt>
                <c:pt idx="555">
                  <c:v>370.29156751377474</c:v>
                </c:pt>
                <c:pt idx="556">
                  <c:v>371.52894846615573</c:v>
                </c:pt>
                <c:pt idx="557">
                  <c:v>372.55537703758432</c:v>
                </c:pt>
                <c:pt idx="558">
                  <c:v>373.28156165849254</c:v>
                </c:pt>
                <c:pt idx="559">
                  <c:v>374.23482178780802</c:v>
                </c:pt>
                <c:pt idx="560">
                  <c:v>375.50910750209374</c:v>
                </c:pt>
                <c:pt idx="561">
                  <c:v>376.01669007528068</c:v>
                </c:pt>
                <c:pt idx="562">
                  <c:v>375.36746935438021</c:v>
                </c:pt>
                <c:pt idx="563">
                  <c:v>374.0619281705188</c:v>
                </c:pt>
                <c:pt idx="564">
                  <c:v>372.11811864670926</c:v>
                </c:pt>
                <c:pt idx="565">
                  <c:v>370.38621388480453</c:v>
                </c:pt>
                <c:pt idx="566">
                  <c:v>370.21454252511188</c:v>
                </c:pt>
                <c:pt idx="567">
                  <c:v>371.61478531337588</c:v>
                </c:pt>
                <c:pt idx="568">
                  <c:v>372.85216626575686</c:v>
                </c:pt>
                <c:pt idx="569">
                  <c:v>373.87859483718546</c:v>
                </c:pt>
                <c:pt idx="570">
                  <c:v>374.60477945809367</c:v>
                </c:pt>
                <c:pt idx="571">
                  <c:v>375.55803958740916</c:v>
                </c:pt>
                <c:pt idx="572">
                  <c:v>376.83232530169488</c:v>
                </c:pt>
                <c:pt idx="573">
                  <c:v>377.33990787488182</c:v>
                </c:pt>
                <c:pt idx="574">
                  <c:v>376.69068715398134</c:v>
                </c:pt>
                <c:pt idx="575">
                  <c:v>375.38514597011994</c:v>
                </c:pt>
                <c:pt idx="576">
                  <c:v>373.4413364463104</c:v>
                </c:pt>
                <c:pt idx="577">
                  <c:v>371.70943168440567</c:v>
                </c:pt>
                <c:pt idx="578">
                  <c:v>371.53776032471302</c:v>
                </c:pt>
                <c:pt idx="579">
                  <c:v>372.93800311297701</c:v>
                </c:pt>
                <c:pt idx="580">
                  <c:v>374.175384065358</c:v>
                </c:pt>
                <c:pt idx="581">
                  <c:v>375.2018126367866</c:v>
                </c:pt>
                <c:pt idx="582">
                  <c:v>375.92799725769481</c:v>
                </c:pt>
                <c:pt idx="583">
                  <c:v>376.88125738701035</c:v>
                </c:pt>
                <c:pt idx="584">
                  <c:v>378.15554310129608</c:v>
                </c:pt>
                <c:pt idx="585">
                  <c:v>378.66312567448296</c:v>
                </c:pt>
                <c:pt idx="586">
                  <c:v>378.01390495358248</c:v>
                </c:pt>
                <c:pt idx="587">
                  <c:v>376.70836376972107</c:v>
                </c:pt>
                <c:pt idx="588">
                  <c:v>374.76455424591154</c:v>
                </c:pt>
                <c:pt idx="589">
                  <c:v>373.03264948400681</c:v>
                </c:pt>
                <c:pt idx="590">
                  <c:v>372.86097812431416</c:v>
                </c:pt>
                <c:pt idx="591">
                  <c:v>374.26122091257815</c:v>
                </c:pt>
                <c:pt idx="592">
                  <c:v>375.49860186495914</c:v>
                </c:pt>
                <c:pt idx="593">
                  <c:v>376.52503043638774</c:v>
                </c:pt>
                <c:pt idx="594">
                  <c:v>377.25121505729595</c:v>
                </c:pt>
                <c:pt idx="595">
                  <c:v>378.20810044085692</c:v>
                </c:pt>
                <c:pt idx="596">
                  <c:v>379.48238615514265</c:v>
                </c:pt>
                <c:pt idx="597">
                  <c:v>379.98996872832964</c:v>
                </c:pt>
                <c:pt idx="598">
                  <c:v>379.34074800742917</c:v>
                </c:pt>
                <c:pt idx="599">
                  <c:v>378.03520682356765</c:v>
                </c:pt>
                <c:pt idx="600">
                  <c:v>376.09139729975811</c:v>
                </c:pt>
                <c:pt idx="601">
                  <c:v>374.35949253785338</c:v>
                </c:pt>
                <c:pt idx="602">
                  <c:v>374.18782117816085</c:v>
                </c:pt>
                <c:pt idx="603">
                  <c:v>375.58806396642484</c:v>
                </c:pt>
                <c:pt idx="604">
                  <c:v>376.82544491880577</c:v>
                </c:pt>
                <c:pt idx="605">
                  <c:v>377.85187349023437</c:v>
                </c:pt>
                <c:pt idx="606">
                  <c:v>378.57805811114258</c:v>
                </c:pt>
                <c:pt idx="607">
                  <c:v>379.53131824045806</c:v>
                </c:pt>
                <c:pt idx="608">
                  <c:v>380.80560395474379</c:v>
                </c:pt>
                <c:pt idx="609">
                  <c:v>381.31318652793078</c:v>
                </c:pt>
                <c:pt idx="610">
                  <c:v>380.66396580703031</c:v>
                </c:pt>
                <c:pt idx="611">
                  <c:v>379.35842462316879</c:v>
                </c:pt>
                <c:pt idx="612">
                  <c:v>377.41461509935925</c:v>
                </c:pt>
                <c:pt idx="613">
                  <c:v>375.68271033745452</c:v>
                </c:pt>
                <c:pt idx="614">
                  <c:v>375.51103897776198</c:v>
                </c:pt>
                <c:pt idx="615">
                  <c:v>376.91128176602598</c:v>
                </c:pt>
                <c:pt idx="616">
                  <c:v>378.14866271840691</c:v>
                </c:pt>
                <c:pt idx="617">
                  <c:v>379.17509128983551</c:v>
                </c:pt>
                <c:pt idx="618">
                  <c:v>379.90127591074372</c:v>
                </c:pt>
                <c:pt idx="619">
                  <c:v>380.8545360400592</c:v>
                </c:pt>
                <c:pt idx="620">
                  <c:v>382.12882175434493</c:v>
                </c:pt>
                <c:pt idx="621">
                  <c:v>382.63640432753192</c:v>
                </c:pt>
                <c:pt idx="622">
                  <c:v>381.98718360663145</c:v>
                </c:pt>
                <c:pt idx="623">
                  <c:v>380.68164242276993</c:v>
                </c:pt>
                <c:pt idx="624">
                  <c:v>378.73783289896039</c:v>
                </c:pt>
                <c:pt idx="625">
                  <c:v>377.00592813705566</c:v>
                </c:pt>
                <c:pt idx="626">
                  <c:v>376.83425677736312</c:v>
                </c:pt>
                <c:pt idx="627">
                  <c:v>378.23449956562712</c:v>
                </c:pt>
                <c:pt idx="628">
                  <c:v>379.47188051800805</c:v>
                </c:pt>
                <c:pt idx="629">
                  <c:v>380.49830908943665</c:v>
                </c:pt>
                <c:pt idx="630">
                  <c:v>381.22449371034486</c:v>
                </c:pt>
                <c:pt idx="631">
                  <c:v>382.17775383966034</c:v>
                </c:pt>
                <c:pt idx="632">
                  <c:v>383.45203955394607</c:v>
                </c:pt>
                <c:pt idx="633">
                  <c:v>383.95962212713306</c:v>
                </c:pt>
                <c:pt idx="634">
                  <c:v>383.31040140623259</c:v>
                </c:pt>
                <c:pt idx="635">
                  <c:v>382.00486022237106</c:v>
                </c:pt>
                <c:pt idx="636">
                  <c:v>380.06105069856153</c:v>
                </c:pt>
                <c:pt idx="637">
                  <c:v>378.3291459366568</c:v>
                </c:pt>
                <c:pt idx="638">
                  <c:v>378.15747457696426</c:v>
                </c:pt>
                <c:pt idx="639">
                  <c:v>379.55771736522826</c:v>
                </c:pt>
                <c:pt idx="640">
                  <c:v>380.79509831760919</c:v>
                </c:pt>
                <c:pt idx="641">
                  <c:v>381.82152688903778</c:v>
                </c:pt>
                <c:pt idx="642">
                  <c:v>382.547711509946</c:v>
                </c:pt>
                <c:pt idx="643">
                  <c:v>383.50459689350703</c:v>
                </c:pt>
                <c:pt idx="644">
                  <c:v>384.77888260779275</c:v>
                </c:pt>
                <c:pt idx="645">
                  <c:v>385.28646518097963</c:v>
                </c:pt>
                <c:pt idx="646">
                  <c:v>384.63724446007916</c:v>
                </c:pt>
                <c:pt idx="647">
                  <c:v>383.33170327621775</c:v>
                </c:pt>
                <c:pt idx="648">
                  <c:v>381.38789375240822</c:v>
                </c:pt>
                <c:pt idx="649">
                  <c:v>379.65598899050349</c:v>
                </c:pt>
                <c:pt idx="650">
                  <c:v>379.48431763081084</c:v>
                </c:pt>
                <c:pt idx="651">
                  <c:v>380.88456041907483</c:v>
                </c:pt>
                <c:pt idx="652">
                  <c:v>382.12194137145582</c:v>
                </c:pt>
                <c:pt idx="653">
                  <c:v>383.14836994288441</c:v>
                </c:pt>
                <c:pt idx="654">
                  <c:v>383.87455456379263</c:v>
                </c:pt>
                <c:pt idx="655">
                  <c:v>384.82781469310817</c:v>
                </c:pt>
                <c:pt idx="656">
                  <c:v>386.10210040739389</c:v>
                </c:pt>
                <c:pt idx="657">
                  <c:v>386.60968298058077</c:v>
                </c:pt>
                <c:pt idx="658">
                  <c:v>385.9604622596803</c:v>
                </c:pt>
                <c:pt idx="659">
                  <c:v>384.65492107581889</c:v>
                </c:pt>
                <c:pt idx="660">
                  <c:v>382.71111155200936</c:v>
                </c:pt>
                <c:pt idx="661">
                  <c:v>380.97920679010463</c:v>
                </c:pt>
                <c:pt idx="662">
                  <c:v>380.80753543041203</c:v>
                </c:pt>
                <c:pt idx="663">
                  <c:v>382.20777821867603</c:v>
                </c:pt>
                <c:pt idx="664">
                  <c:v>383.44515917105696</c:v>
                </c:pt>
                <c:pt idx="665">
                  <c:v>384.47158774248555</c:v>
                </c:pt>
                <c:pt idx="666">
                  <c:v>385.19777236339377</c:v>
                </c:pt>
                <c:pt idx="667">
                  <c:v>386.15103249270931</c:v>
                </c:pt>
                <c:pt idx="668">
                  <c:v>387.42531820699503</c:v>
                </c:pt>
                <c:pt idx="669">
                  <c:v>387.93290078018191</c:v>
                </c:pt>
                <c:pt idx="670">
                  <c:v>387.28368005928144</c:v>
                </c:pt>
                <c:pt idx="671">
                  <c:v>385.97813887542003</c:v>
                </c:pt>
                <c:pt idx="672">
                  <c:v>384.03432935161049</c:v>
                </c:pt>
                <c:pt idx="673">
                  <c:v>382.30242458970577</c:v>
                </c:pt>
                <c:pt idx="674">
                  <c:v>382.13075323001317</c:v>
                </c:pt>
                <c:pt idx="675">
                  <c:v>383.53099601827716</c:v>
                </c:pt>
                <c:pt idx="676">
                  <c:v>384.7683769706581</c:v>
                </c:pt>
                <c:pt idx="677">
                  <c:v>385.79480554208669</c:v>
                </c:pt>
                <c:pt idx="678">
                  <c:v>386.52099016299491</c:v>
                </c:pt>
                <c:pt idx="679">
                  <c:v>387.47425029231044</c:v>
                </c:pt>
                <c:pt idx="680">
                  <c:v>388.74853600659617</c:v>
                </c:pt>
                <c:pt idx="681">
                  <c:v>389.25611857978305</c:v>
                </c:pt>
                <c:pt idx="682">
                  <c:v>388.60689785888258</c:v>
                </c:pt>
                <c:pt idx="683">
                  <c:v>387.30135667502117</c:v>
                </c:pt>
                <c:pt idx="684">
                  <c:v>385.35754715121163</c:v>
                </c:pt>
                <c:pt idx="685">
                  <c:v>383.6256423893069</c:v>
                </c:pt>
                <c:pt idx="686">
                  <c:v>383.45397102961431</c:v>
                </c:pt>
                <c:pt idx="687">
                  <c:v>384.8542138178783</c:v>
                </c:pt>
                <c:pt idx="688">
                  <c:v>386.09159477025923</c:v>
                </c:pt>
                <c:pt idx="689">
                  <c:v>387.11802334168783</c:v>
                </c:pt>
                <c:pt idx="690">
                  <c:v>387.84420796259604</c:v>
                </c:pt>
                <c:pt idx="691">
                  <c:v>388.80109334615702</c:v>
                </c:pt>
                <c:pt idx="692">
                  <c:v>390.07537906044274</c:v>
                </c:pt>
                <c:pt idx="693">
                  <c:v>390.58296163362974</c:v>
                </c:pt>
                <c:pt idx="694">
                  <c:v>389.93374091272926</c:v>
                </c:pt>
                <c:pt idx="695">
                  <c:v>388.62819972886774</c:v>
                </c:pt>
                <c:pt idx="696">
                  <c:v>386.68439020505821</c:v>
                </c:pt>
                <c:pt idx="697">
                  <c:v>384.95248544315348</c:v>
                </c:pt>
                <c:pt idx="698">
                  <c:v>384.78081408346094</c:v>
                </c:pt>
                <c:pt idx="699">
                  <c:v>386.18105687172493</c:v>
                </c:pt>
                <c:pt idx="700">
                  <c:v>387.41843782410587</c:v>
                </c:pt>
                <c:pt idx="701">
                  <c:v>388.44486639553446</c:v>
                </c:pt>
                <c:pt idx="702">
                  <c:v>389.17105101644268</c:v>
                </c:pt>
                <c:pt idx="703">
                  <c:v>390.12431114575816</c:v>
                </c:pt>
                <c:pt idx="704">
                  <c:v>391.39859686004388</c:v>
                </c:pt>
                <c:pt idx="705">
                  <c:v>391.90617943323088</c:v>
                </c:pt>
                <c:pt idx="706">
                  <c:v>391.2569587123304</c:v>
                </c:pt>
                <c:pt idx="707">
                  <c:v>389.95141752846894</c:v>
                </c:pt>
                <c:pt idx="708">
                  <c:v>388.0076080046594</c:v>
                </c:pt>
                <c:pt idx="709">
                  <c:v>386.27570324275462</c:v>
                </c:pt>
                <c:pt idx="710">
                  <c:v>386.10403188306208</c:v>
                </c:pt>
                <c:pt idx="711">
                  <c:v>387.50427467132607</c:v>
                </c:pt>
                <c:pt idx="712">
                  <c:v>388.741655623707</c:v>
                </c:pt>
                <c:pt idx="713">
                  <c:v>389.7680841951356</c:v>
                </c:pt>
                <c:pt idx="714">
                  <c:v>390.49426881604381</c:v>
                </c:pt>
                <c:pt idx="715">
                  <c:v>391.44752894535929</c:v>
                </c:pt>
                <c:pt idx="716">
                  <c:v>392.72181465964502</c:v>
                </c:pt>
                <c:pt idx="717">
                  <c:v>393.22939723283201</c:v>
                </c:pt>
                <c:pt idx="718">
                  <c:v>392.58017651193154</c:v>
                </c:pt>
                <c:pt idx="719">
                  <c:v>391.27463532807008</c:v>
                </c:pt>
                <c:pt idx="720">
                  <c:v>389.33082580426054</c:v>
                </c:pt>
                <c:pt idx="721">
                  <c:v>387.59892104235581</c:v>
                </c:pt>
                <c:pt idx="722">
                  <c:v>387.42724968266322</c:v>
                </c:pt>
                <c:pt idx="723">
                  <c:v>388.82749247092721</c:v>
                </c:pt>
                <c:pt idx="724">
                  <c:v>390.06487342330814</c:v>
                </c:pt>
                <c:pt idx="725">
                  <c:v>391.09130199473674</c:v>
                </c:pt>
                <c:pt idx="726">
                  <c:v>391.81748661564495</c:v>
                </c:pt>
                <c:pt idx="727">
                  <c:v>392.77074674496043</c:v>
                </c:pt>
                <c:pt idx="728">
                  <c:v>394.04503245924616</c:v>
                </c:pt>
                <c:pt idx="729">
                  <c:v>394.55261503243315</c:v>
                </c:pt>
                <c:pt idx="730">
                  <c:v>393.90339431153268</c:v>
                </c:pt>
                <c:pt idx="731">
                  <c:v>392.59785312767121</c:v>
                </c:pt>
                <c:pt idx="732">
                  <c:v>390.65404360386168</c:v>
                </c:pt>
                <c:pt idx="733">
                  <c:v>388.92213884195695</c:v>
                </c:pt>
                <c:pt idx="734">
                  <c:v>388.75046748226436</c:v>
                </c:pt>
                <c:pt idx="735">
                  <c:v>390.15071027052835</c:v>
                </c:pt>
                <c:pt idx="736">
                  <c:v>391.38809122290928</c:v>
                </c:pt>
                <c:pt idx="737">
                  <c:v>392.41451979433788</c:v>
                </c:pt>
                <c:pt idx="738">
                  <c:v>393.14070441524609</c:v>
                </c:pt>
                <c:pt idx="739">
                  <c:v>394.09758979880712</c:v>
                </c:pt>
                <c:pt idx="740">
                  <c:v>395.37187551309285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5-41FF-BDB8-ED314EEC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9904"/>
        <c:axId val="5857824"/>
      </c:lineChart>
      <c:dateAx>
        <c:axId val="5859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57824"/>
        <c:crosses val="autoZero"/>
        <c:auto val="1"/>
        <c:lblOffset val="100"/>
        <c:baseTimeUnit val="months"/>
      </c:dateAx>
      <c:valAx>
        <c:axId val="5857824"/>
        <c:scaling>
          <c:orientation val="minMax"/>
          <c:max val="48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5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線形モデル!$M$1</c:f>
              <c:strCache>
                <c:ptCount val="1"/>
                <c:pt idx="0">
                  <c:v>I(t) (=残差)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線形モデル!$M$2:$M$982</c:f>
              <c:numCache>
                <c:formatCode>0.00_ ;[Red]\-0.00\ </c:formatCode>
                <c:ptCount val="981"/>
                <c:pt idx="0">
                  <c:v>3.6999178443914502</c:v>
                </c:pt>
                <c:pt idx="1">
                  <c:v>4.1856321301057164</c:v>
                </c:pt>
                <c:pt idx="2">
                  <c:v>3.7280495569187906</c:v>
                </c:pt>
                <c:pt idx="3">
                  <c:v>4.0328114616807511</c:v>
                </c:pt>
                <c:pt idx="4">
                  <c:v>5.0466209854902786</c:v>
                </c:pt>
                <c:pt idx="5">
                  <c:v>5.058525747394981</c:v>
                </c:pt>
                <c:pt idx="6">
                  <c:v>3.9499543188235293</c:v>
                </c:pt>
                <c:pt idx="7">
                  <c:v>4.0525733664426298</c:v>
                </c:pt>
                <c:pt idx="8">
                  <c:v>3.9361447950140018</c:v>
                </c:pt>
                <c:pt idx="9">
                  <c:v>4.1199601741058132</c:v>
                </c:pt>
                <c:pt idx="10">
                  <c:v>3.3267000447903001</c:v>
                </c:pt>
                <c:pt idx="11">
                  <c:v>3.1224143305046255</c:v>
                </c:pt>
                <c:pt idx="12">
                  <c:v>3.1848317573176814</c:v>
                </c:pt>
                <c:pt idx="13">
                  <c:v>3.6940524782181114</c:v>
                </c:pt>
                <c:pt idx="14">
                  <c:v>3.3895936620796192</c:v>
                </c:pt>
                <c:pt idx="15">
                  <c:v>3.5934031858891444</c:v>
                </c:pt>
                <c:pt idx="16">
                  <c:v>4.3653079477938377</c:v>
                </c:pt>
                <c:pt idx="17">
                  <c:v>4.0269793074863856</c:v>
                </c:pt>
                <c:pt idx="18">
                  <c:v>4.1067365192224088</c:v>
                </c:pt>
                <c:pt idx="19">
                  <c:v>3.6393555668414592</c:v>
                </c:pt>
                <c:pt idx="20">
                  <c:v>3.4629269954128858</c:v>
                </c:pt>
                <c:pt idx="21">
                  <c:v>3.2867423745046835</c:v>
                </c:pt>
                <c:pt idx="22">
                  <c:v>2.9298569909436765</c:v>
                </c:pt>
                <c:pt idx="23">
                  <c:v>3.1055712766579404</c:v>
                </c:pt>
                <c:pt idx="24">
                  <c:v>3.6079887034710509</c:v>
                </c:pt>
                <c:pt idx="25">
                  <c:v>3.7972094243714878</c:v>
                </c:pt>
                <c:pt idx="26">
                  <c:v>3.7027506082329751</c:v>
                </c:pt>
                <c:pt idx="27">
                  <c:v>3.3665601320424798</c:v>
                </c:pt>
                <c:pt idx="28">
                  <c:v>3.3684648939472481</c:v>
                </c:pt>
                <c:pt idx="29">
                  <c:v>3.2001362536398119</c:v>
                </c:pt>
                <c:pt idx="30">
                  <c:v>2.9698934653758329</c:v>
                </c:pt>
                <c:pt idx="31">
                  <c:v>2.9225125129948424</c:v>
                </c:pt>
                <c:pt idx="32">
                  <c:v>2.6060839415662258</c:v>
                </c:pt>
                <c:pt idx="33">
                  <c:v>2.6798993206580235</c:v>
                </c:pt>
                <c:pt idx="34">
                  <c:v>2.5666391913425741</c:v>
                </c:pt>
                <c:pt idx="35">
                  <c:v>2.2323534770568472</c:v>
                </c:pt>
                <c:pt idx="36">
                  <c:v>2.8247709038698758</c:v>
                </c:pt>
                <c:pt idx="37">
                  <c:v>2.6639916247703468</c:v>
                </c:pt>
                <c:pt idx="38">
                  <c:v>2.7695328086317659</c:v>
                </c:pt>
                <c:pt idx="39">
                  <c:v>2.9333423324413275</c:v>
                </c:pt>
                <c:pt idx="40">
                  <c:v>2.8652470943460457</c:v>
                </c:pt>
                <c:pt idx="41">
                  <c:v>3.3569184540386914</c:v>
                </c:pt>
                <c:pt idx="42">
                  <c:v>2.7466756657747169</c:v>
                </c:pt>
                <c:pt idx="43">
                  <c:v>2.4192947133936968</c:v>
                </c:pt>
                <c:pt idx="44">
                  <c:v>2.3228661419651075</c:v>
                </c:pt>
                <c:pt idx="45">
                  <c:v>2.2066815210569075</c:v>
                </c:pt>
                <c:pt idx="46">
                  <c:v>2.3834213917414218</c:v>
                </c:pt>
                <c:pt idx="47">
                  <c:v>1.9991356774556834</c:v>
                </c:pt>
                <c:pt idx="48">
                  <c:v>1.9415531042687348</c:v>
                </c:pt>
                <c:pt idx="49">
                  <c:v>2.1907738251692308</c:v>
                </c:pt>
                <c:pt idx="50">
                  <c:v>2.4863150090306476</c:v>
                </c:pt>
                <c:pt idx="51">
                  <c:v>2.2201245328401455</c:v>
                </c:pt>
                <c:pt idx="52">
                  <c:v>2.8020292947448979</c:v>
                </c:pt>
                <c:pt idx="53">
                  <c:v>2.1437006544375095</c:v>
                </c:pt>
                <c:pt idx="54">
                  <c:v>2.0134578661734963</c:v>
                </c:pt>
                <c:pt idx="55">
                  <c:v>1.7860769137925558</c:v>
                </c:pt>
                <c:pt idx="56">
                  <c:v>1.7996483423639802</c:v>
                </c:pt>
                <c:pt idx="57">
                  <c:v>1.4034637214557506</c:v>
                </c:pt>
                <c:pt idx="58">
                  <c:v>1.2402035921402899</c:v>
                </c:pt>
                <c:pt idx="59">
                  <c:v>1.485917877854547</c:v>
                </c:pt>
                <c:pt idx="60">
                  <c:v>1.8483353046676143</c:v>
                </c:pt>
                <c:pt idx="61">
                  <c:v>1.7275560255681057</c:v>
                </c:pt>
                <c:pt idx="62">
                  <c:v>1.2930972094295043</c:v>
                </c:pt>
                <c:pt idx="63">
                  <c:v>1.2669067332390114</c:v>
                </c:pt>
                <c:pt idx="64">
                  <c:v>1.4388114951437387</c:v>
                </c:pt>
                <c:pt idx="65">
                  <c:v>1.3904828548363639</c:v>
                </c:pt>
                <c:pt idx="66">
                  <c:v>1.070240066572353</c:v>
                </c:pt>
                <c:pt idx="67">
                  <c:v>1.1128591141914512</c:v>
                </c:pt>
                <c:pt idx="68">
                  <c:v>1.3064305427628256</c:v>
                </c:pt>
                <c:pt idx="69">
                  <c:v>0.53149225082097473</c:v>
                </c:pt>
                <c:pt idx="70">
                  <c:v>0.81071297172144341</c:v>
                </c:pt>
                <c:pt idx="71">
                  <c:v>0.66625415558291934</c:v>
                </c:pt>
                <c:pt idx="72">
                  <c:v>0.86006367939245365</c:v>
                </c:pt>
                <c:pt idx="73">
                  <c:v>0.60196844129717419</c:v>
                </c:pt>
                <c:pt idx="74">
                  <c:v>0.94363980098972888</c:v>
                </c:pt>
                <c:pt idx="75">
                  <c:v>0.3533970127257362</c:v>
                </c:pt>
                <c:pt idx="76">
                  <c:v>0.14601606034477754</c:v>
                </c:pt>
                <c:pt idx="77">
                  <c:v>-0.15041251108380038</c:v>
                </c:pt>
                <c:pt idx="78">
                  <c:v>0.12340286800798594</c:v>
                </c:pt>
                <c:pt idx="79">
                  <c:v>-0.37985726130750663</c:v>
                </c:pt>
                <c:pt idx="80">
                  <c:v>-0.40414297559323131</c:v>
                </c:pt>
                <c:pt idx="81">
                  <c:v>-0.88172554878019582</c:v>
                </c:pt>
                <c:pt idx="82">
                  <c:v>-0.53250482787967712</c:v>
                </c:pt>
                <c:pt idx="83">
                  <c:v>0.11303635598176243</c:v>
                </c:pt>
                <c:pt idx="84">
                  <c:v>-0.28315412020867825</c:v>
                </c:pt>
                <c:pt idx="85">
                  <c:v>0.38875064169604912</c:v>
                </c:pt>
                <c:pt idx="86">
                  <c:v>5.0422001388596982E-2</c:v>
                </c:pt>
                <c:pt idx="87">
                  <c:v>0.22017921312459521</c:v>
                </c:pt>
                <c:pt idx="88">
                  <c:v>-0.4672017392563248</c:v>
                </c:pt>
                <c:pt idx="89">
                  <c:v>-0.29363031068493228</c:v>
                </c:pt>
                <c:pt idx="90">
                  <c:v>-3.9814931593127767E-2</c:v>
                </c:pt>
                <c:pt idx="91">
                  <c:v>-0.20307506090864536</c:v>
                </c:pt>
                <c:pt idx="92">
                  <c:v>-0.16736077519436776</c:v>
                </c:pt>
                <c:pt idx="93">
                  <c:v>-0.29494334838136638</c:v>
                </c:pt>
                <c:pt idx="94">
                  <c:v>2.4277372519122764E-2</c:v>
                </c:pt>
                <c:pt idx="95">
                  <c:v>-4.018144361936038E-2</c:v>
                </c:pt>
                <c:pt idx="96">
                  <c:v>-0.11637191980980788</c:v>
                </c:pt>
                <c:pt idx="97">
                  <c:v>-0.10446715790510552</c:v>
                </c:pt>
                <c:pt idx="98">
                  <c:v>-0.47279579821253037</c:v>
                </c:pt>
                <c:pt idx="99">
                  <c:v>-0.19303858647657535</c:v>
                </c:pt>
                <c:pt idx="100">
                  <c:v>-0.18041953885750672</c:v>
                </c:pt>
                <c:pt idx="101">
                  <c:v>9.3151889713908531E-2</c:v>
                </c:pt>
                <c:pt idx="102">
                  <c:v>-0.46303273119428923</c:v>
                </c:pt>
                <c:pt idx="103">
                  <c:v>-0.87629286050974997</c:v>
                </c:pt>
                <c:pt idx="104">
                  <c:v>-0.7705785747954792</c:v>
                </c:pt>
                <c:pt idx="105">
                  <c:v>-0.69816114798248918</c:v>
                </c:pt>
                <c:pt idx="106">
                  <c:v>-0.95894042708204097</c:v>
                </c:pt>
                <c:pt idx="107">
                  <c:v>-1.2033992432205309</c:v>
                </c:pt>
                <c:pt idx="108">
                  <c:v>-0.87958971941100117</c:v>
                </c:pt>
                <c:pt idx="109">
                  <c:v>-0.81768495750628745</c:v>
                </c:pt>
                <c:pt idx="110">
                  <c:v>-0.50601359781370547</c:v>
                </c:pt>
                <c:pt idx="111">
                  <c:v>-0.56625638607766859</c:v>
                </c:pt>
                <c:pt idx="112">
                  <c:v>-0.57363733845863862</c:v>
                </c:pt>
                <c:pt idx="113">
                  <c:v>-0.9900659098872211</c:v>
                </c:pt>
                <c:pt idx="114">
                  <c:v>-1.1362505307954507</c:v>
                </c:pt>
                <c:pt idx="115">
                  <c:v>-1.3531359143564146</c:v>
                </c:pt>
                <c:pt idx="116">
                  <c:v>-1.4974216286421438</c:v>
                </c:pt>
                <c:pt idx="117">
                  <c:v>-1.4550042018290696</c:v>
                </c:pt>
                <c:pt idx="118">
                  <c:v>-1.015783480928576</c:v>
                </c:pt>
                <c:pt idx="119">
                  <c:v>-0.93024229706719552</c:v>
                </c:pt>
                <c:pt idx="120">
                  <c:v>-1.0164327732576339</c:v>
                </c:pt>
                <c:pt idx="121">
                  <c:v>-1.0645280113529338</c:v>
                </c:pt>
                <c:pt idx="122">
                  <c:v>-0.97285665166032231</c:v>
                </c:pt>
                <c:pt idx="123">
                  <c:v>-1.3030994399243241</c:v>
                </c:pt>
                <c:pt idx="124">
                  <c:v>-0.97048039230526228</c:v>
                </c:pt>
                <c:pt idx="125">
                  <c:v>-0.88690896373384476</c:v>
                </c:pt>
                <c:pt idx="126">
                  <c:v>-1.2030935846420334</c:v>
                </c:pt>
                <c:pt idx="127">
                  <c:v>-0.93635371395754419</c:v>
                </c:pt>
                <c:pt idx="128">
                  <c:v>-1.1806394282432393</c:v>
                </c:pt>
                <c:pt idx="129">
                  <c:v>-0.96822200143020609</c:v>
                </c:pt>
                <c:pt idx="130">
                  <c:v>-0.98900128052974878</c:v>
                </c:pt>
                <c:pt idx="131">
                  <c:v>-0.51346009666832515</c:v>
                </c:pt>
                <c:pt idx="132">
                  <c:v>-0.78965057285876128</c:v>
                </c:pt>
                <c:pt idx="133">
                  <c:v>-0.3377458109540612</c:v>
                </c:pt>
                <c:pt idx="134">
                  <c:v>-0.76607445126148832</c:v>
                </c:pt>
                <c:pt idx="135">
                  <c:v>-1.0963172395254333</c:v>
                </c:pt>
                <c:pt idx="136">
                  <c:v>-1.0636981919063828</c:v>
                </c:pt>
                <c:pt idx="137">
                  <c:v>-1.1501267633349812</c:v>
                </c:pt>
                <c:pt idx="138">
                  <c:v>-0.95631138424317896</c:v>
                </c:pt>
                <c:pt idx="139">
                  <c:v>-0.95957151355872838</c:v>
                </c:pt>
                <c:pt idx="140">
                  <c:v>-1.0338572278444644</c:v>
                </c:pt>
                <c:pt idx="141">
                  <c:v>-1.5914398010313562</c:v>
                </c:pt>
                <c:pt idx="142">
                  <c:v>-1.3522190801308511</c:v>
                </c:pt>
                <c:pt idx="143">
                  <c:v>-1.3766778962694843</c:v>
                </c:pt>
                <c:pt idx="144">
                  <c:v>-1.0828683724599273</c:v>
                </c:pt>
                <c:pt idx="145">
                  <c:v>-0.94096361055517264</c:v>
                </c:pt>
                <c:pt idx="146">
                  <c:v>-0.80929225086259748</c:v>
                </c:pt>
                <c:pt idx="147">
                  <c:v>-1.2595350391266038</c:v>
                </c:pt>
                <c:pt idx="148">
                  <c:v>-1.3769159915075306</c:v>
                </c:pt>
                <c:pt idx="149">
                  <c:v>-1.3633445629361063</c:v>
                </c:pt>
                <c:pt idx="150">
                  <c:v>-1.5795291838443291</c:v>
                </c:pt>
                <c:pt idx="151">
                  <c:v>-2.042789313159858</c:v>
                </c:pt>
                <c:pt idx="152">
                  <c:v>-2.6970750274455781</c:v>
                </c:pt>
                <c:pt idx="153">
                  <c:v>-2.0646576006324722</c:v>
                </c:pt>
                <c:pt idx="154">
                  <c:v>-1.7754368797320126</c:v>
                </c:pt>
                <c:pt idx="155">
                  <c:v>-1.6798956958705844</c:v>
                </c:pt>
                <c:pt idx="156">
                  <c:v>-1.6660861720610569</c:v>
                </c:pt>
                <c:pt idx="157">
                  <c:v>-2.0041814101563205</c:v>
                </c:pt>
                <c:pt idx="158">
                  <c:v>-1.6325100504637362</c:v>
                </c:pt>
                <c:pt idx="159">
                  <c:v>-1.7927528387277221</c:v>
                </c:pt>
                <c:pt idx="160">
                  <c:v>-1.8201337911086739</c:v>
                </c:pt>
                <c:pt idx="161">
                  <c:v>-2.0865623625372791</c:v>
                </c:pt>
                <c:pt idx="162">
                  <c:v>-1.9527469834454791</c:v>
                </c:pt>
                <c:pt idx="163">
                  <c:v>-2.7896323670064476</c:v>
                </c:pt>
                <c:pt idx="164">
                  <c:v>-2.093918081292145</c:v>
                </c:pt>
                <c:pt idx="165">
                  <c:v>-2.2515006544791731</c:v>
                </c:pt>
                <c:pt idx="166">
                  <c:v>-2.5822799335787181</c:v>
                </c:pt>
                <c:pt idx="167">
                  <c:v>-2.3267387497172081</c:v>
                </c:pt>
                <c:pt idx="168">
                  <c:v>-2.102929225907701</c:v>
                </c:pt>
                <c:pt idx="169">
                  <c:v>-1.8510244640029896</c:v>
                </c:pt>
                <c:pt idx="170">
                  <c:v>-1.3193531043103803</c:v>
                </c:pt>
                <c:pt idx="171">
                  <c:v>-1.4195958925743639</c:v>
                </c:pt>
                <c:pt idx="172">
                  <c:v>-1.6069768449552839</c:v>
                </c:pt>
                <c:pt idx="173">
                  <c:v>-1.63340541638388</c:v>
                </c:pt>
                <c:pt idx="174">
                  <c:v>-1.3495900372921028</c:v>
                </c:pt>
                <c:pt idx="175">
                  <c:v>-1.5628501666075749</c:v>
                </c:pt>
                <c:pt idx="176">
                  <c:v>-1.637135880893311</c:v>
                </c:pt>
                <c:pt idx="177">
                  <c:v>-1.1647184540802868</c:v>
                </c:pt>
                <c:pt idx="178">
                  <c:v>-0.92549773317983863</c:v>
                </c:pt>
                <c:pt idx="179">
                  <c:v>-0.8199565493183627</c:v>
                </c:pt>
                <c:pt idx="180">
                  <c:v>-0.43614702550883067</c:v>
                </c:pt>
                <c:pt idx="181">
                  <c:v>-0.5042422636041124</c:v>
                </c:pt>
                <c:pt idx="182">
                  <c:v>-0.66257090391150086</c:v>
                </c:pt>
                <c:pt idx="183">
                  <c:v>-1.0828136921754776</c:v>
                </c:pt>
                <c:pt idx="184">
                  <c:v>-1.8401946445564477</c:v>
                </c:pt>
                <c:pt idx="185">
                  <c:v>-2.1566232159850074</c:v>
                </c:pt>
                <c:pt idx="186">
                  <c:v>-1.5228078368932643</c:v>
                </c:pt>
                <c:pt idx="187">
                  <c:v>-1.7060679662087068</c:v>
                </c:pt>
                <c:pt idx="188">
                  <c:v>-1.8103536804944724</c:v>
                </c:pt>
                <c:pt idx="189">
                  <c:v>-1.8779362536814688</c:v>
                </c:pt>
                <c:pt idx="190">
                  <c:v>-2.0687155327809705</c:v>
                </c:pt>
                <c:pt idx="191">
                  <c:v>-1.8331743489194992</c:v>
                </c:pt>
                <c:pt idx="192">
                  <c:v>-1.6793648251099853</c:v>
                </c:pt>
                <c:pt idx="193">
                  <c:v>-1.9074600632052352</c:v>
                </c:pt>
                <c:pt idx="194">
                  <c:v>-1.7957887035126419</c:v>
                </c:pt>
                <c:pt idx="195">
                  <c:v>-2.1060314917766618</c:v>
                </c:pt>
                <c:pt idx="196">
                  <c:v>-2.2334124441575796</c:v>
                </c:pt>
                <c:pt idx="197">
                  <c:v>-2.4298410155861916</c:v>
                </c:pt>
                <c:pt idx="198">
                  <c:v>-2.1560256364944053</c:v>
                </c:pt>
                <c:pt idx="199">
                  <c:v>-2.4692857658098433</c:v>
                </c:pt>
                <c:pt idx="200">
                  <c:v>-2.4735714800955861</c:v>
                </c:pt>
                <c:pt idx="201">
                  <c:v>-2.3211540532825552</c:v>
                </c:pt>
                <c:pt idx="202">
                  <c:v>-2.0419333323820865</c:v>
                </c:pt>
                <c:pt idx="203">
                  <c:v>-2.4363921485206674</c:v>
                </c:pt>
                <c:pt idx="204">
                  <c:v>-2.3325826247111081</c:v>
                </c:pt>
                <c:pt idx="205">
                  <c:v>-2.1006778628063785</c:v>
                </c:pt>
                <c:pt idx="206">
                  <c:v>-2.1490065031138101</c:v>
                </c:pt>
                <c:pt idx="207">
                  <c:v>-2.399249291377771</c:v>
                </c:pt>
                <c:pt idx="208">
                  <c:v>-2.3666302437587206</c:v>
                </c:pt>
                <c:pt idx="209">
                  <c:v>-2.4030588151873076</c:v>
                </c:pt>
                <c:pt idx="210">
                  <c:v>-2.3092434360955281</c:v>
                </c:pt>
                <c:pt idx="211">
                  <c:v>-2.3361288196565511</c:v>
                </c:pt>
                <c:pt idx="212">
                  <c:v>-2.5304145339422917</c:v>
                </c:pt>
                <c:pt idx="213">
                  <c:v>-2.7379971071291607</c:v>
                </c:pt>
                <c:pt idx="214">
                  <c:v>-2.6387763862286988</c:v>
                </c:pt>
                <c:pt idx="215">
                  <c:v>-2.6132352023672638</c:v>
                </c:pt>
                <c:pt idx="216">
                  <c:v>-2.7794256785577431</c:v>
                </c:pt>
                <c:pt idx="217">
                  <c:v>-2.6875209166529999</c:v>
                </c:pt>
                <c:pt idx="218">
                  <c:v>-2.8758495569604179</c:v>
                </c:pt>
                <c:pt idx="219">
                  <c:v>-2.9060923452244083</c:v>
                </c:pt>
                <c:pt idx="220">
                  <c:v>-2.7734732976053351</c:v>
                </c:pt>
                <c:pt idx="221">
                  <c:v>-2.5499018690339312</c:v>
                </c:pt>
                <c:pt idx="222">
                  <c:v>-2.7860864899421358</c:v>
                </c:pt>
                <c:pt idx="223">
                  <c:v>-2.4593466192577011</c:v>
                </c:pt>
                <c:pt idx="224">
                  <c:v>-2.3636323335434213</c:v>
                </c:pt>
                <c:pt idx="225">
                  <c:v>-2.1912149067303517</c:v>
                </c:pt>
                <c:pt idx="226">
                  <c:v>-2.0219941858298967</c:v>
                </c:pt>
                <c:pt idx="227">
                  <c:v>-2.066453001968398</c:v>
                </c:pt>
                <c:pt idx="228">
                  <c:v>-2.2926434781588796</c:v>
                </c:pt>
                <c:pt idx="229">
                  <c:v>-1.720738716254175</c:v>
                </c:pt>
                <c:pt idx="230">
                  <c:v>-1.9790673565615293</c:v>
                </c:pt>
                <c:pt idx="231">
                  <c:v>-2.139310144825572</c:v>
                </c:pt>
                <c:pt idx="232">
                  <c:v>-1.9266910972064579</c:v>
                </c:pt>
                <c:pt idx="233">
                  <c:v>-1.8331196686350495</c:v>
                </c:pt>
                <c:pt idx="234">
                  <c:v>-2.1393042895433041</c:v>
                </c:pt>
                <c:pt idx="235">
                  <c:v>-1.8425644188588421</c:v>
                </c:pt>
                <c:pt idx="236">
                  <c:v>-1.9968501331445623</c:v>
                </c:pt>
                <c:pt idx="237">
                  <c:v>-2.2544327063314995</c:v>
                </c:pt>
                <c:pt idx="238">
                  <c:v>-1.7152119854310399</c:v>
                </c:pt>
                <c:pt idx="239">
                  <c:v>-1.7696708015695322</c:v>
                </c:pt>
                <c:pt idx="240">
                  <c:v>-1.6858612777600115</c:v>
                </c:pt>
                <c:pt idx="241">
                  <c:v>-1.8739565158552978</c:v>
                </c:pt>
                <c:pt idx="242">
                  <c:v>-1.9122851561626817</c:v>
                </c:pt>
                <c:pt idx="243">
                  <c:v>-1.9425279444266721</c:v>
                </c:pt>
                <c:pt idx="244">
                  <c:v>-2.1499088968076308</c:v>
                </c:pt>
                <c:pt idx="245">
                  <c:v>-1.8963374682361973</c:v>
                </c:pt>
                <c:pt idx="246">
                  <c:v>-2.0925220891444383</c:v>
                </c:pt>
                <c:pt idx="247">
                  <c:v>-1.8457822184599877</c:v>
                </c:pt>
                <c:pt idx="248">
                  <c:v>-2.2000679327456965</c:v>
                </c:pt>
                <c:pt idx="249">
                  <c:v>-2.1176505059326018</c:v>
                </c:pt>
                <c:pt idx="250">
                  <c:v>-1.6484297850321354</c:v>
                </c:pt>
                <c:pt idx="251">
                  <c:v>-1.9028886011706732</c:v>
                </c:pt>
                <c:pt idx="252">
                  <c:v>-1.599079077361182</c:v>
                </c:pt>
                <c:pt idx="253">
                  <c:v>-2.0371743154564115</c:v>
                </c:pt>
                <c:pt idx="254">
                  <c:v>-1.9255029557638181</c:v>
                </c:pt>
                <c:pt idx="255">
                  <c:v>-1.8957457440278063</c:v>
                </c:pt>
                <c:pt idx="256">
                  <c:v>-1.6931266964087399</c:v>
                </c:pt>
                <c:pt idx="257">
                  <c:v>-1.4395552678373633</c:v>
                </c:pt>
                <c:pt idx="258">
                  <c:v>-1.8157398887455543</c:v>
                </c:pt>
                <c:pt idx="259">
                  <c:v>-1.0626252723065477</c:v>
                </c:pt>
                <c:pt idx="260">
                  <c:v>-1.6469109865922746</c:v>
                </c:pt>
                <c:pt idx="261">
                  <c:v>-1.4444935597792323</c:v>
                </c:pt>
                <c:pt idx="262">
                  <c:v>-1.0952728388787705</c:v>
                </c:pt>
                <c:pt idx="263">
                  <c:v>-1.3997316550173196</c:v>
                </c:pt>
                <c:pt idx="264">
                  <c:v>-1.4159221312077648</c:v>
                </c:pt>
                <c:pt idx="265">
                  <c:v>-1.4040173693030624</c:v>
                </c:pt>
                <c:pt idx="266">
                  <c:v>-1.0923460096104805</c:v>
                </c:pt>
                <c:pt idx="267">
                  <c:v>-1.4125887978744345</c:v>
                </c:pt>
                <c:pt idx="268">
                  <c:v>-1.5399697502554091</c:v>
                </c:pt>
                <c:pt idx="269">
                  <c:v>-1.5363983216839756</c:v>
                </c:pt>
                <c:pt idx="270">
                  <c:v>-1.0225829425921802</c:v>
                </c:pt>
                <c:pt idx="271">
                  <c:v>-1.0758430719076841</c:v>
                </c:pt>
                <c:pt idx="272">
                  <c:v>-1.2301287861934043</c:v>
                </c:pt>
                <c:pt idx="273">
                  <c:v>-1.3277113593803733</c:v>
                </c:pt>
                <c:pt idx="274">
                  <c:v>-1.3384906384799251</c:v>
                </c:pt>
                <c:pt idx="275">
                  <c:v>-1.7929494546184515</c:v>
                </c:pt>
                <c:pt idx="276">
                  <c:v>-1.9091399308089194</c:v>
                </c:pt>
                <c:pt idx="277">
                  <c:v>-1.9172351689041989</c:v>
                </c:pt>
                <c:pt idx="278">
                  <c:v>-1.5755638092115873</c:v>
                </c:pt>
                <c:pt idx="279">
                  <c:v>-1.4758065974755823</c:v>
                </c:pt>
                <c:pt idx="280">
                  <c:v>-1.4631875498565137</c:v>
                </c:pt>
                <c:pt idx="281">
                  <c:v>-1.3496161212851234</c:v>
                </c:pt>
                <c:pt idx="282">
                  <c:v>-1.2158007421933235</c:v>
                </c:pt>
                <c:pt idx="283">
                  <c:v>-1.0790608715088865</c:v>
                </c:pt>
                <c:pt idx="284">
                  <c:v>-1.4833465857946067</c:v>
                </c:pt>
                <c:pt idx="285">
                  <c:v>-1.4209291589815507</c:v>
                </c:pt>
                <c:pt idx="286">
                  <c:v>-1.5617084380810411</c:v>
                </c:pt>
                <c:pt idx="287">
                  <c:v>-1.546167254219597</c:v>
                </c:pt>
                <c:pt idx="288">
                  <c:v>-1.8523577304100627</c:v>
                </c:pt>
                <c:pt idx="289">
                  <c:v>-1.9504529685053171</c:v>
                </c:pt>
                <c:pt idx="290">
                  <c:v>-1.8987816088127261</c:v>
                </c:pt>
                <c:pt idx="291">
                  <c:v>-1.8990243970767438</c:v>
                </c:pt>
                <c:pt idx="292">
                  <c:v>-1.9064053494576569</c:v>
                </c:pt>
                <c:pt idx="293">
                  <c:v>-2.0428339208862667</c:v>
                </c:pt>
                <c:pt idx="294">
                  <c:v>-1.629018541794494</c:v>
                </c:pt>
                <c:pt idx="295">
                  <c:v>-2.0022786711099911</c:v>
                </c:pt>
                <c:pt idx="296">
                  <c:v>-1.4365643853957408</c:v>
                </c:pt>
                <c:pt idx="297">
                  <c:v>-1.1241469585826849</c:v>
                </c:pt>
                <c:pt idx="298">
                  <c:v>-0.91492623768220938</c:v>
                </c:pt>
                <c:pt idx="299">
                  <c:v>-0.9493850538207198</c:v>
                </c:pt>
                <c:pt idx="300">
                  <c:v>-0.60557553001120823</c:v>
                </c:pt>
                <c:pt idx="301">
                  <c:v>-1.3836707681064695</c:v>
                </c:pt>
                <c:pt idx="302">
                  <c:v>-1.0919994084138693</c:v>
                </c:pt>
                <c:pt idx="303">
                  <c:v>-1.3322421966778961</c:v>
                </c:pt>
                <c:pt idx="304">
                  <c:v>-0.72962314905879566</c:v>
                </c:pt>
                <c:pt idx="305">
                  <c:v>-1.0460517204874122</c:v>
                </c:pt>
                <c:pt idx="306">
                  <c:v>-0.97223634139561455</c:v>
                </c:pt>
                <c:pt idx="307">
                  <c:v>-1.1491217249566716</c:v>
                </c:pt>
                <c:pt idx="308">
                  <c:v>-0.65340743924235767</c:v>
                </c:pt>
                <c:pt idx="309">
                  <c:v>-0.78099001242929944</c:v>
                </c:pt>
                <c:pt idx="310">
                  <c:v>-0.76176929152882167</c:v>
                </c:pt>
                <c:pt idx="311">
                  <c:v>-0.86622810766738212</c:v>
                </c:pt>
                <c:pt idx="312">
                  <c:v>-1.0324185838578614</c:v>
                </c:pt>
                <c:pt idx="313">
                  <c:v>-1.5105138219531113</c:v>
                </c:pt>
                <c:pt idx="314">
                  <c:v>-1.0588424622604862</c:v>
                </c:pt>
                <c:pt idx="315">
                  <c:v>-0.82908525052448567</c:v>
                </c:pt>
                <c:pt idx="316">
                  <c:v>-0.82646620290540795</c:v>
                </c:pt>
                <c:pt idx="317">
                  <c:v>-1.1028947743340041</c:v>
                </c:pt>
                <c:pt idx="318">
                  <c:v>-0.80907939524223593</c:v>
                </c:pt>
                <c:pt idx="319">
                  <c:v>-0.33233952455776716</c:v>
                </c:pt>
                <c:pt idx="320">
                  <c:v>-0.67662523884348502</c:v>
                </c:pt>
                <c:pt idx="321">
                  <c:v>-0.60420781203043816</c:v>
                </c:pt>
                <c:pt idx="322">
                  <c:v>-0.63498709112997176</c:v>
                </c:pt>
                <c:pt idx="323">
                  <c:v>-1.0194459072685049</c:v>
                </c:pt>
                <c:pt idx="324">
                  <c:v>-0.96563638345895697</c:v>
                </c:pt>
                <c:pt idx="325">
                  <c:v>-0.81373162155426826</c:v>
                </c:pt>
                <c:pt idx="326">
                  <c:v>-0.93206026186163626</c:v>
                </c:pt>
                <c:pt idx="327">
                  <c:v>-0.89230305012563349</c:v>
                </c:pt>
                <c:pt idx="328">
                  <c:v>-0.80968400250657169</c:v>
                </c:pt>
                <c:pt idx="329">
                  <c:v>-1.0961125739351587</c:v>
                </c:pt>
                <c:pt idx="330">
                  <c:v>-1.1722971948433951</c:v>
                </c:pt>
                <c:pt idx="331">
                  <c:v>-1.2255573241588991</c:v>
                </c:pt>
                <c:pt idx="332">
                  <c:v>-0.79984303844463511</c:v>
                </c:pt>
                <c:pt idx="333">
                  <c:v>-0.63742561163155642</c:v>
                </c:pt>
                <c:pt idx="334">
                  <c:v>-0.65820489073109911</c:v>
                </c:pt>
                <c:pt idx="335">
                  <c:v>-0.96266370686964819</c:v>
                </c:pt>
                <c:pt idx="336">
                  <c:v>-1.0588541830601343</c:v>
                </c:pt>
                <c:pt idx="337">
                  <c:v>-0.37694942115535923</c:v>
                </c:pt>
                <c:pt idx="338">
                  <c:v>-0.88527806146277044</c:v>
                </c:pt>
                <c:pt idx="339">
                  <c:v>-0.7955208497267563</c:v>
                </c:pt>
                <c:pt idx="340">
                  <c:v>-0.79290180210773542</c:v>
                </c:pt>
                <c:pt idx="341">
                  <c:v>-0.69933037353632699</c:v>
                </c:pt>
                <c:pt idx="342">
                  <c:v>-0.96551499444450428</c:v>
                </c:pt>
                <c:pt idx="343">
                  <c:v>-0.97877512376004461</c:v>
                </c:pt>
                <c:pt idx="344">
                  <c:v>-0.69306083804576701</c:v>
                </c:pt>
                <c:pt idx="345">
                  <c:v>-0.33064341123269969</c:v>
                </c:pt>
                <c:pt idx="346">
                  <c:v>-0.2714226903322583</c:v>
                </c:pt>
                <c:pt idx="347">
                  <c:v>-0.71588150647079374</c:v>
                </c:pt>
                <c:pt idx="348">
                  <c:v>-0.18207198266122759</c:v>
                </c:pt>
                <c:pt idx="349">
                  <c:v>-0.10016722075653206</c:v>
                </c:pt>
                <c:pt idx="350">
                  <c:v>-1.8495861063911434E-2</c:v>
                </c:pt>
                <c:pt idx="351">
                  <c:v>3.1261350672082244E-2</c:v>
                </c:pt>
                <c:pt idx="352">
                  <c:v>-5.6119601708871869E-2</c:v>
                </c:pt>
                <c:pt idx="353">
                  <c:v>0.3874518268625593</c:v>
                </c:pt>
                <c:pt idx="354">
                  <c:v>0.961267205954357</c:v>
                </c:pt>
                <c:pt idx="355">
                  <c:v>0.49438182239333628</c:v>
                </c:pt>
                <c:pt idx="356">
                  <c:v>0.5900961081075593</c:v>
                </c:pt>
                <c:pt idx="357">
                  <c:v>0.71251353492067437</c:v>
                </c:pt>
                <c:pt idx="358">
                  <c:v>0.94173425582113168</c:v>
                </c:pt>
                <c:pt idx="359">
                  <c:v>0.82727543968258033</c:v>
                </c:pt>
                <c:pt idx="360">
                  <c:v>0.82108496349212601</c:v>
                </c:pt>
                <c:pt idx="361">
                  <c:v>0.85298972539686702</c:v>
                </c:pt>
                <c:pt idx="362">
                  <c:v>1.1746610850894399</c:v>
                </c:pt>
                <c:pt idx="363">
                  <c:v>0.96441829682544267</c:v>
                </c:pt>
                <c:pt idx="364">
                  <c:v>0.9970373444444931</c:v>
                </c:pt>
                <c:pt idx="365">
                  <c:v>1.3906087730159129</c:v>
                </c:pt>
                <c:pt idx="366">
                  <c:v>0.9744241521077015</c:v>
                </c:pt>
                <c:pt idx="367">
                  <c:v>0.63116402279217709</c:v>
                </c:pt>
                <c:pt idx="368">
                  <c:v>1.0968783085064615</c:v>
                </c:pt>
                <c:pt idx="369">
                  <c:v>0.83929573531952428</c:v>
                </c:pt>
                <c:pt idx="370">
                  <c:v>0.93851645621998614</c:v>
                </c:pt>
                <c:pt idx="371">
                  <c:v>1.0240576400814234</c:v>
                </c:pt>
                <c:pt idx="372">
                  <c:v>0.73786716389099638</c:v>
                </c:pt>
                <c:pt idx="373">
                  <c:v>0.60977192579571238</c:v>
                </c:pt>
                <c:pt idx="374">
                  <c:v>0.96144328548831481</c:v>
                </c:pt>
                <c:pt idx="375">
                  <c:v>0.87120049722432213</c:v>
                </c:pt>
                <c:pt idx="376">
                  <c:v>0.85381954484330436</c:v>
                </c:pt>
                <c:pt idx="377">
                  <c:v>0.96739097341475144</c:v>
                </c:pt>
                <c:pt idx="378">
                  <c:v>1.2812063525065014</c:v>
                </c:pt>
                <c:pt idx="379">
                  <c:v>1.007946223191027</c:v>
                </c:pt>
                <c:pt idx="380">
                  <c:v>0.5536605089052955</c:v>
                </c:pt>
                <c:pt idx="381">
                  <c:v>1.0060779357183947</c:v>
                </c:pt>
                <c:pt idx="382">
                  <c:v>0.72529865661886106</c:v>
                </c:pt>
                <c:pt idx="383">
                  <c:v>0.6108398404803097</c:v>
                </c:pt>
                <c:pt idx="384">
                  <c:v>0.65464936428986675</c:v>
                </c:pt>
                <c:pt idx="385">
                  <c:v>0.43655412619455092</c:v>
                </c:pt>
                <c:pt idx="386">
                  <c:v>0.82822548588717382</c:v>
                </c:pt>
                <c:pt idx="387">
                  <c:v>1.0779826976231561</c:v>
                </c:pt>
                <c:pt idx="388">
                  <c:v>1.2206017452421634</c:v>
                </c:pt>
                <c:pt idx="389">
                  <c:v>0.70417317381361499</c:v>
                </c:pt>
                <c:pt idx="390">
                  <c:v>1.007988552905374</c:v>
                </c:pt>
                <c:pt idx="391">
                  <c:v>1.4647284235899178</c:v>
                </c:pt>
                <c:pt idx="392">
                  <c:v>1.6304427093041909</c:v>
                </c:pt>
                <c:pt idx="393">
                  <c:v>1.8628601361172059</c:v>
                </c:pt>
                <c:pt idx="394">
                  <c:v>1.4120808570177132</c:v>
                </c:pt>
                <c:pt idx="395">
                  <c:v>0.64762204087918462</c:v>
                </c:pt>
                <c:pt idx="396">
                  <c:v>0.43143156468869392</c:v>
                </c:pt>
                <c:pt idx="397">
                  <c:v>0.30333632659340992</c:v>
                </c:pt>
                <c:pt idx="398">
                  <c:v>0.53500768628600781</c:v>
                </c:pt>
                <c:pt idx="399">
                  <c:v>0.67476489802203332</c:v>
                </c:pt>
                <c:pt idx="400">
                  <c:v>0.6773839456410542</c:v>
                </c:pt>
                <c:pt idx="401">
                  <c:v>0.65095537421245808</c:v>
                </c:pt>
                <c:pt idx="402">
                  <c:v>0.6547707533042626</c:v>
                </c:pt>
                <c:pt idx="403">
                  <c:v>0.78788536974326462</c:v>
                </c:pt>
                <c:pt idx="404">
                  <c:v>0.85359965545751493</c:v>
                </c:pt>
                <c:pt idx="405">
                  <c:v>0.85601708227062545</c:v>
                </c:pt>
                <c:pt idx="406">
                  <c:v>1.0952378031710737</c:v>
                </c:pt>
                <c:pt idx="407">
                  <c:v>0.17077898703252004</c:v>
                </c:pt>
                <c:pt idx="408">
                  <c:v>9.4588510842072537E-2</c:v>
                </c:pt>
                <c:pt idx="409">
                  <c:v>-0.16350672725320692</c:v>
                </c:pt>
                <c:pt idx="410">
                  <c:v>0.30816463243940007</c:v>
                </c:pt>
                <c:pt idx="411">
                  <c:v>-0.24207815582457215</c:v>
                </c:pt>
                <c:pt idx="412">
                  <c:v>-0.23945910820555127</c:v>
                </c:pt>
                <c:pt idx="413">
                  <c:v>3.411232036586398E-2</c:v>
                </c:pt>
                <c:pt idx="414">
                  <c:v>-0.22207230054232241</c:v>
                </c:pt>
                <c:pt idx="415">
                  <c:v>3.4667570142119075E-2</c:v>
                </c:pt>
                <c:pt idx="416">
                  <c:v>-0.15961814414362152</c:v>
                </c:pt>
                <c:pt idx="417">
                  <c:v>0.15279928266943443</c:v>
                </c:pt>
                <c:pt idx="418">
                  <c:v>0.12202000356995768</c:v>
                </c:pt>
                <c:pt idx="419">
                  <c:v>-0.60243881256860732</c:v>
                </c:pt>
                <c:pt idx="420">
                  <c:v>-0.70862928875908437</c:v>
                </c:pt>
                <c:pt idx="421">
                  <c:v>-0.80672452685433882</c:v>
                </c:pt>
                <c:pt idx="422">
                  <c:v>-0.33505316716173184</c:v>
                </c:pt>
                <c:pt idx="423">
                  <c:v>-0.38529595542576089</c:v>
                </c:pt>
                <c:pt idx="424">
                  <c:v>-0.16267690780665589</c:v>
                </c:pt>
                <c:pt idx="425">
                  <c:v>0.38089452076474117</c:v>
                </c:pt>
                <c:pt idx="426">
                  <c:v>0.19470989985654796</c:v>
                </c:pt>
                <c:pt idx="427">
                  <c:v>0.30144977054101219</c:v>
                </c:pt>
                <c:pt idx="428">
                  <c:v>0.31716405625525113</c:v>
                </c:pt>
                <c:pt idx="429">
                  <c:v>0.23958148306832072</c:v>
                </c:pt>
                <c:pt idx="430">
                  <c:v>0.13880220396879395</c:v>
                </c:pt>
                <c:pt idx="431">
                  <c:v>5.434338783027215E-2</c:v>
                </c:pt>
                <c:pt idx="432">
                  <c:v>-7.1847088360186717E-2</c:v>
                </c:pt>
                <c:pt idx="433">
                  <c:v>2.0057673544499721E-2</c:v>
                </c:pt>
                <c:pt idx="434">
                  <c:v>0.3517290332370635</c:v>
                </c:pt>
                <c:pt idx="435">
                  <c:v>0.53148624497305264</c:v>
                </c:pt>
                <c:pt idx="436">
                  <c:v>0.75410529259221448</c:v>
                </c:pt>
                <c:pt idx="437">
                  <c:v>0.65767672116362519</c:v>
                </c:pt>
                <c:pt idx="438">
                  <c:v>0.96149210025538423</c:v>
                </c:pt>
                <c:pt idx="439">
                  <c:v>0.63823197093984163</c:v>
                </c:pt>
                <c:pt idx="440">
                  <c:v>1.1839462566541101</c:v>
                </c:pt>
                <c:pt idx="441">
                  <c:v>1.0263636834671956</c:v>
                </c:pt>
                <c:pt idx="442">
                  <c:v>1.1355844043676484</c:v>
                </c:pt>
                <c:pt idx="443">
                  <c:v>1.0711255882291084</c:v>
                </c:pt>
                <c:pt idx="444">
                  <c:v>0.574935112038645</c:v>
                </c:pt>
                <c:pt idx="445">
                  <c:v>0.90683987394339738</c:v>
                </c:pt>
                <c:pt idx="446">
                  <c:v>0.77851123363592478</c:v>
                </c:pt>
                <c:pt idx="447">
                  <c:v>1.1882684453719321</c:v>
                </c:pt>
                <c:pt idx="448">
                  <c:v>1.0908874929910439</c:v>
                </c:pt>
                <c:pt idx="449">
                  <c:v>1.4144589215624706</c:v>
                </c:pt>
                <c:pt idx="450">
                  <c:v>1.8782743006542546</c:v>
                </c:pt>
                <c:pt idx="451">
                  <c:v>1.7013889170931975</c:v>
                </c:pt>
                <c:pt idx="452">
                  <c:v>1.1171032028074706</c:v>
                </c:pt>
                <c:pt idx="453">
                  <c:v>1.3195206296205697</c:v>
                </c:pt>
                <c:pt idx="454">
                  <c:v>1.5187413505210543</c:v>
                </c:pt>
                <c:pt idx="455">
                  <c:v>1.5042825343824688</c:v>
                </c:pt>
                <c:pt idx="456">
                  <c:v>1.2780920581920441</c:v>
                </c:pt>
                <c:pt idx="457">
                  <c:v>0.97999682009674416</c:v>
                </c:pt>
                <c:pt idx="458">
                  <c:v>1.3116681797893648</c:v>
                </c:pt>
                <c:pt idx="459">
                  <c:v>1.0614253915253471</c:v>
                </c:pt>
                <c:pt idx="460">
                  <c:v>1.3940444391443521</c:v>
                </c:pt>
                <c:pt idx="461">
                  <c:v>1.2276158677157696</c:v>
                </c:pt>
                <c:pt idx="462">
                  <c:v>1.3014312468075673</c:v>
                </c:pt>
                <c:pt idx="463">
                  <c:v>0.91817111749207925</c:v>
                </c:pt>
                <c:pt idx="464">
                  <c:v>1.4438854032063659</c:v>
                </c:pt>
                <c:pt idx="465">
                  <c:v>1.3763028300194264</c:v>
                </c:pt>
                <c:pt idx="466">
                  <c:v>0.85552355091988375</c:v>
                </c:pt>
                <c:pt idx="467">
                  <c:v>1.0010647347813233</c:v>
                </c:pt>
                <c:pt idx="468">
                  <c:v>0.97487425859083032</c:v>
                </c:pt>
                <c:pt idx="469">
                  <c:v>0.39677902049555769</c:v>
                </c:pt>
                <c:pt idx="470">
                  <c:v>1.1584503801881851</c:v>
                </c:pt>
                <c:pt idx="471">
                  <c:v>1.4082075919242243</c:v>
                </c:pt>
                <c:pt idx="472">
                  <c:v>2.020826639543202</c:v>
                </c:pt>
                <c:pt idx="473">
                  <c:v>2.0443980681146172</c:v>
                </c:pt>
                <c:pt idx="474">
                  <c:v>2.1382134472063967</c:v>
                </c:pt>
                <c:pt idx="475">
                  <c:v>2.3449533178909405</c:v>
                </c:pt>
                <c:pt idx="476">
                  <c:v>2.3706676036052272</c:v>
                </c:pt>
                <c:pt idx="477">
                  <c:v>2.5530850304182877</c:v>
                </c:pt>
                <c:pt idx="478">
                  <c:v>2.782305751318745</c:v>
                </c:pt>
                <c:pt idx="479">
                  <c:v>2.8478469351801436</c:v>
                </c:pt>
                <c:pt idx="480">
                  <c:v>2.9316564589896643</c:v>
                </c:pt>
                <c:pt idx="481">
                  <c:v>2.7835612208943985</c:v>
                </c:pt>
                <c:pt idx="482">
                  <c:v>3.2852325805870919</c:v>
                </c:pt>
                <c:pt idx="483">
                  <c:v>3.1149897923230583</c:v>
                </c:pt>
                <c:pt idx="484">
                  <c:v>3.3876088399421178</c:v>
                </c:pt>
                <c:pt idx="485">
                  <c:v>3.5411802685134717</c:v>
                </c:pt>
                <c:pt idx="486">
                  <c:v>3.5349956476052853</c:v>
                </c:pt>
                <c:pt idx="487">
                  <c:v>3.3017355182897745</c:v>
                </c:pt>
                <c:pt idx="488">
                  <c:v>3.5774498040040612</c:v>
                </c:pt>
                <c:pt idx="489">
                  <c:v>2.9298672308171376</c:v>
                </c:pt>
                <c:pt idx="490">
                  <c:v>2.9290879517176336</c:v>
                </c:pt>
                <c:pt idx="491">
                  <c:v>3.1546291355790004</c:v>
                </c:pt>
                <c:pt idx="492">
                  <c:v>2.7584386593885597</c:v>
                </c:pt>
                <c:pt idx="493">
                  <c:v>2.2003434212932689</c:v>
                </c:pt>
                <c:pt idx="494">
                  <c:v>2.8620147809859304</c:v>
                </c:pt>
                <c:pt idx="495">
                  <c:v>3.0117719927219468</c:v>
                </c:pt>
                <c:pt idx="496">
                  <c:v>3.0943910403409518</c:v>
                </c:pt>
                <c:pt idx="497">
                  <c:v>3.207962468912342</c:v>
                </c:pt>
                <c:pt idx="498">
                  <c:v>2.8017778480041216</c:v>
                </c:pt>
                <c:pt idx="499">
                  <c:v>2.89489246444316</c:v>
                </c:pt>
                <c:pt idx="500">
                  <c:v>2.7706067501574694</c:v>
                </c:pt>
                <c:pt idx="501">
                  <c:v>2.4330241769704912</c:v>
                </c:pt>
                <c:pt idx="502">
                  <c:v>2.9422448978709781</c:v>
                </c:pt>
                <c:pt idx="503">
                  <c:v>2.6777860817324495</c:v>
                </c:pt>
                <c:pt idx="504">
                  <c:v>2.6215956055419838</c:v>
                </c:pt>
                <c:pt idx="505">
                  <c:v>2.8535003674467134</c:v>
                </c:pt>
                <c:pt idx="506">
                  <c:v>3.1351717271392658</c:v>
                </c:pt>
                <c:pt idx="507">
                  <c:v>3.2949289388752732</c:v>
                </c:pt>
                <c:pt idx="508">
                  <c:v>3.28754798649436</c:v>
                </c:pt>
                <c:pt idx="509">
                  <c:v>3.0211194150657548</c:v>
                </c:pt>
                <c:pt idx="510">
                  <c:v>3.5149347941575684</c:v>
                </c:pt>
                <c:pt idx="511">
                  <c:v>3.1816746648420349</c:v>
                </c:pt>
                <c:pt idx="512">
                  <c:v>2.6473889505563193</c:v>
                </c:pt>
                <c:pt idx="513">
                  <c:v>3.2998063773693502</c:v>
                </c:pt>
                <c:pt idx="514">
                  <c:v>3.2390270982698439</c:v>
                </c:pt>
                <c:pt idx="515">
                  <c:v>2.8545682821313108</c:v>
                </c:pt>
                <c:pt idx="516">
                  <c:v>2.7283778059408519</c:v>
                </c:pt>
                <c:pt idx="517">
                  <c:v>2.8702825678455497</c:v>
                </c:pt>
                <c:pt idx="518">
                  <c:v>3.1719539275380839</c:v>
                </c:pt>
                <c:pt idx="519">
                  <c:v>3.3617111392741208</c:v>
                </c:pt>
                <c:pt idx="520">
                  <c:v>3.6843301868932485</c:v>
                </c:pt>
                <c:pt idx="521">
                  <c:v>3.8579016154646411</c:v>
                </c:pt>
                <c:pt idx="522">
                  <c:v>3.7717169945564137</c:v>
                </c:pt>
                <c:pt idx="523">
                  <c:v>3.2584568652408734</c:v>
                </c:pt>
                <c:pt idx="524">
                  <c:v>3.3141711509551897</c:v>
                </c:pt>
                <c:pt idx="525">
                  <c:v>3.5065885777681842</c:v>
                </c:pt>
                <c:pt idx="526">
                  <c:v>4.0058092986686233</c:v>
                </c:pt>
                <c:pt idx="527">
                  <c:v>3.9313504825301493</c:v>
                </c:pt>
                <c:pt idx="528">
                  <c:v>3.33516000633972</c:v>
                </c:pt>
                <c:pt idx="529">
                  <c:v>4.2870647682444201</c:v>
                </c:pt>
                <c:pt idx="530">
                  <c:v>4.0087361279369702</c:v>
                </c:pt>
                <c:pt idx="531">
                  <c:v>4.4384933396729593</c:v>
                </c:pt>
                <c:pt idx="532">
                  <c:v>4.9011123872920734</c:v>
                </c:pt>
                <c:pt idx="533">
                  <c:v>4.7746838158635114</c:v>
                </c:pt>
                <c:pt idx="534">
                  <c:v>4.9884991949552955</c:v>
                </c:pt>
                <c:pt idx="535">
                  <c:v>4.5252390656397665</c:v>
                </c:pt>
                <c:pt idx="536">
                  <c:v>4.7909533513540055</c:v>
                </c:pt>
                <c:pt idx="537">
                  <c:v>4.9833707781670569</c:v>
                </c:pt>
                <c:pt idx="538">
                  <c:v>5.4125914990675028</c:v>
                </c:pt>
                <c:pt idx="539">
                  <c:v>5.1881326829290515</c:v>
                </c:pt>
                <c:pt idx="540">
                  <c:v>5.0119422067385813</c:v>
                </c:pt>
                <c:pt idx="541">
                  <c:v>5.2438469686433109</c:v>
                </c:pt>
                <c:pt idx="542">
                  <c:v>5.4355183283358315</c:v>
                </c:pt>
                <c:pt idx="543">
                  <c:v>5.3852755400718593</c:v>
                </c:pt>
                <c:pt idx="544">
                  <c:v>5.4878945876909029</c:v>
                </c:pt>
                <c:pt idx="545">
                  <c:v>5.5614660162623295</c:v>
                </c:pt>
                <c:pt idx="546">
                  <c:v>5.4152813953540999</c:v>
                </c:pt>
                <c:pt idx="547">
                  <c:v>5.4783960117931088</c:v>
                </c:pt>
                <c:pt idx="548">
                  <c:v>6.3141102975073977</c:v>
                </c:pt>
                <c:pt idx="549">
                  <c:v>5.926527724320465</c:v>
                </c:pt>
                <c:pt idx="550">
                  <c:v>5.5057484452209451</c:v>
                </c:pt>
                <c:pt idx="551">
                  <c:v>5.0212896290823323</c:v>
                </c:pt>
                <c:pt idx="552">
                  <c:v>5.0350991528918598</c:v>
                </c:pt>
                <c:pt idx="553">
                  <c:v>4.9870039147966168</c:v>
                </c:pt>
                <c:pt idx="554">
                  <c:v>5.3286752744892851</c:v>
                </c:pt>
                <c:pt idx="555">
                  <c:v>5.5484324862252379</c:v>
                </c:pt>
                <c:pt idx="556">
                  <c:v>5.9110515338442724</c:v>
                </c:pt>
                <c:pt idx="557">
                  <c:v>5.7846229624156535</c:v>
                </c:pt>
                <c:pt idx="558">
                  <c:v>6.3284383415074785</c:v>
                </c:pt>
                <c:pt idx="559">
                  <c:v>5.8451782121919678</c:v>
                </c:pt>
                <c:pt idx="560">
                  <c:v>6.5408924979062704</c:v>
                </c:pt>
                <c:pt idx="561">
                  <c:v>6.2233099247193309</c:v>
                </c:pt>
                <c:pt idx="562">
                  <c:v>6.7125306456197791</c:v>
                </c:pt>
                <c:pt idx="563">
                  <c:v>6.5980718294812277</c:v>
                </c:pt>
                <c:pt idx="564">
                  <c:v>6.5518813532907529</c:v>
                </c:pt>
                <c:pt idx="565">
                  <c:v>6.0337861151954826</c:v>
                </c:pt>
                <c:pt idx="566">
                  <c:v>6.5854574748881305</c:v>
                </c:pt>
                <c:pt idx="567">
                  <c:v>6.6952146866241264</c:v>
                </c:pt>
                <c:pt idx="568">
                  <c:v>7.1078337342431155</c:v>
                </c:pt>
                <c:pt idx="569">
                  <c:v>7.4914051628145444</c:v>
                </c:pt>
                <c:pt idx="570">
                  <c:v>7.415220541906308</c:v>
                </c:pt>
                <c:pt idx="571">
                  <c:v>7.0019604125908472</c:v>
                </c:pt>
                <c:pt idx="572">
                  <c:v>7.5276746983051339</c:v>
                </c:pt>
                <c:pt idx="573">
                  <c:v>7.580092125118199</c:v>
                </c:pt>
                <c:pt idx="574">
                  <c:v>7.339312846018629</c:v>
                </c:pt>
                <c:pt idx="575">
                  <c:v>6.8948540298800367</c:v>
                </c:pt>
                <c:pt idx="576">
                  <c:v>7.0386635536896165</c:v>
                </c:pt>
                <c:pt idx="577">
                  <c:v>7.1005683155943302</c:v>
                </c:pt>
                <c:pt idx="578">
                  <c:v>7.5222396752869827</c:v>
                </c:pt>
                <c:pt idx="579">
                  <c:v>7.2019968870229718</c:v>
                </c:pt>
                <c:pt idx="580">
                  <c:v>7.4846159346420222</c:v>
                </c:pt>
                <c:pt idx="581">
                  <c:v>7.3781873632133852</c:v>
                </c:pt>
                <c:pt idx="582">
                  <c:v>7.782002742305167</c:v>
                </c:pt>
                <c:pt idx="583">
                  <c:v>7.4587426129896244</c:v>
                </c:pt>
                <c:pt idx="584">
                  <c:v>8.0744568987039429</c:v>
                </c:pt>
                <c:pt idx="585">
                  <c:v>7.7468743255170693</c:v>
                </c:pt>
                <c:pt idx="586">
                  <c:v>7.8560950464175221</c:v>
                </c:pt>
                <c:pt idx="587">
                  <c:v>7.731636230278923</c:v>
                </c:pt>
                <c:pt idx="588">
                  <c:v>7.0754457540884346</c:v>
                </c:pt>
                <c:pt idx="589">
                  <c:v>7.8273505159932029</c:v>
                </c:pt>
                <c:pt idx="590">
                  <c:v>7.9990218756858553</c:v>
                </c:pt>
                <c:pt idx="591">
                  <c:v>8.0987790874218604</c:v>
                </c:pt>
                <c:pt idx="592">
                  <c:v>8.1113981350408721</c:v>
                </c:pt>
                <c:pt idx="593">
                  <c:v>8.5449695636122556</c:v>
                </c:pt>
                <c:pt idx="594">
                  <c:v>8.5887849427040237</c:v>
                </c:pt>
                <c:pt idx="595">
                  <c:v>7.6218995591430598</c:v>
                </c:pt>
                <c:pt idx="596">
                  <c:v>7.2876138448573329</c:v>
                </c:pt>
                <c:pt idx="597">
                  <c:v>8.5200312716703479</c:v>
                </c:pt>
                <c:pt idx="598">
                  <c:v>8.7092519925708416</c:v>
                </c:pt>
                <c:pt idx="599">
                  <c:v>8.2147931764323516</c:v>
                </c:pt>
                <c:pt idx="600">
                  <c:v>7.98860270024187</c:v>
                </c:pt>
                <c:pt idx="601">
                  <c:v>8.7305074621465906</c:v>
                </c:pt>
                <c:pt idx="602">
                  <c:v>8.5921788218391271</c:v>
                </c:pt>
                <c:pt idx="603">
                  <c:v>8.4219360335751503</c:v>
                </c:pt>
                <c:pt idx="604">
                  <c:v>8.2845550811942417</c:v>
                </c:pt>
                <c:pt idx="605">
                  <c:v>8.7981265097656092</c:v>
                </c:pt>
                <c:pt idx="606">
                  <c:v>8.5419418888574228</c:v>
                </c:pt>
                <c:pt idx="607">
                  <c:v>8.9886817595419188</c:v>
                </c:pt>
                <c:pt idx="608">
                  <c:v>8.7643960452562055</c:v>
                </c:pt>
                <c:pt idx="609">
                  <c:v>8.8568134720692342</c:v>
                </c:pt>
                <c:pt idx="610">
                  <c:v>8.9560341929696961</c:v>
                </c:pt>
                <c:pt idx="611">
                  <c:v>8.7115753768312061</c:v>
                </c:pt>
                <c:pt idx="612">
                  <c:v>8.6653849006407313</c:v>
                </c:pt>
                <c:pt idx="613">
                  <c:v>8.9672896625454541</c:v>
                </c:pt>
                <c:pt idx="614">
                  <c:v>8.8189610222379997</c:v>
                </c:pt>
                <c:pt idx="615">
                  <c:v>9.138718233974032</c:v>
                </c:pt>
                <c:pt idx="616">
                  <c:v>9.3413372815930984</c:v>
                </c:pt>
                <c:pt idx="617">
                  <c:v>9.3749087101645046</c:v>
                </c:pt>
                <c:pt idx="618">
                  <c:v>10.178724089256264</c:v>
                </c:pt>
                <c:pt idx="619">
                  <c:v>10.155463959940789</c:v>
                </c:pt>
                <c:pt idx="620">
                  <c:v>10.251178245655069</c:v>
                </c:pt>
                <c:pt idx="621">
                  <c:v>10.583595672468107</c:v>
                </c:pt>
                <c:pt idx="622">
                  <c:v>10.252816393368562</c:v>
                </c:pt>
                <c:pt idx="623">
                  <c:v>9.6483575772300583</c:v>
                </c:pt>
                <c:pt idx="624">
                  <c:v>9.7821671010395903</c:v>
                </c:pt>
                <c:pt idx="625">
                  <c:v>9.8340718629443131</c:v>
                </c:pt>
                <c:pt idx="626">
                  <c:v>10.325743222636902</c:v>
                </c:pt>
                <c:pt idx="627">
                  <c:v>10.435500434372898</c:v>
                </c:pt>
                <c:pt idx="628">
                  <c:v>10.338119481991953</c:v>
                </c:pt>
                <c:pt idx="629">
                  <c:v>10.801690910563366</c:v>
                </c:pt>
                <c:pt idx="630">
                  <c:v>10.695506289655157</c:v>
                </c:pt>
                <c:pt idx="631">
                  <c:v>10.272246160339648</c:v>
                </c:pt>
                <c:pt idx="632">
                  <c:v>9.9179604460539394</c:v>
                </c:pt>
                <c:pt idx="633">
                  <c:v>10.320377872866914</c:v>
                </c:pt>
                <c:pt idx="634">
                  <c:v>10.379598593767412</c:v>
                </c:pt>
                <c:pt idx="635">
                  <c:v>10.58513977762891</c:v>
                </c:pt>
                <c:pt idx="636">
                  <c:v>10.148949301438449</c:v>
                </c:pt>
                <c:pt idx="637">
                  <c:v>10.670854063343199</c:v>
                </c:pt>
                <c:pt idx="638">
                  <c:v>10.772525423035745</c:v>
                </c:pt>
                <c:pt idx="639">
                  <c:v>10.682282634771752</c:v>
                </c:pt>
                <c:pt idx="640">
                  <c:v>11.004901682390823</c:v>
                </c:pt>
                <c:pt idx="641">
                  <c:v>11.248473110962209</c:v>
                </c:pt>
                <c:pt idx="642">
                  <c:v>10.802288490054025</c:v>
                </c:pt>
                <c:pt idx="643">
                  <c:v>10.855403106492986</c:v>
                </c:pt>
                <c:pt idx="644">
                  <c:v>11.651117392207254</c:v>
                </c:pt>
                <c:pt idx="645">
                  <c:v>11.583534819020372</c:v>
                </c:pt>
                <c:pt idx="646">
                  <c:v>11.242755539920836</c:v>
                </c:pt>
                <c:pt idx="647">
                  <c:v>11.18829672378223</c:v>
                </c:pt>
                <c:pt idx="648">
                  <c:v>11.152106247591803</c:v>
                </c:pt>
                <c:pt idx="649">
                  <c:v>11.474011009496508</c:v>
                </c:pt>
                <c:pt idx="650">
                  <c:v>11.525682369189155</c:v>
                </c:pt>
                <c:pt idx="651">
                  <c:v>12.065439580925158</c:v>
                </c:pt>
                <c:pt idx="652">
                  <c:v>12.208058628544165</c:v>
                </c:pt>
                <c:pt idx="653">
                  <c:v>12.461630057115599</c:v>
                </c:pt>
                <c:pt idx="654">
                  <c:v>12.975445436207394</c:v>
                </c:pt>
                <c:pt idx="655">
                  <c:v>12.432185306891824</c:v>
                </c:pt>
                <c:pt idx="656">
                  <c:v>12.247899592606132</c:v>
                </c:pt>
                <c:pt idx="657">
                  <c:v>13.370317019419247</c:v>
                </c:pt>
                <c:pt idx="658">
                  <c:v>12.909537740319706</c:v>
                </c:pt>
                <c:pt idx="659">
                  <c:v>12.715078924181114</c:v>
                </c:pt>
                <c:pt idx="660">
                  <c:v>12.698888447990669</c:v>
                </c:pt>
                <c:pt idx="661">
                  <c:v>12.41079320989536</c:v>
                </c:pt>
                <c:pt idx="662">
                  <c:v>12.892464569587958</c:v>
                </c:pt>
                <c:pt idx="663">
                  <c:v>12.982221781323972</c:v>
                </c:pt>
                <c:pt idx="664">
                  <c:v>13.374840828943036</c:v>
                </c:pt>
                <c:pt idx="665">
                  <c:v>13.458412257514453</c:v>
                </c:pt>
                <c:pt idx="666">
                  <c:v>12.902227636606256</c:v>
                </c:pt>
                <c:pt idx="667">
                  <c:v>13.318967507290722</c:v>
                </c:pt>
                <c:pt idx="668">
                  <c:v>13.904681793004954</c:v>
                </c:pt>
                <c:pt idx="669">
                  <c:v>13.947099219818085</c:v>
                </c:pt>
                <c:pt idx="670">
                  <c:v>14.026319940718565</c:v>
                </c:pt>
                <c:pt idx="671">
                  <c:v>13.091861124579964</c:v>
                </c:pt>
                <c:pt idx="672">
                  <c:v>13.175670648389485</c:v>
                </c:pt>
                <c:pt idx="673">
                  <c:v>13.097575410294212</c:v>
                </c:pt>
                <c:pt idx="674">
                  <c:v>13.519246769986808</c:v>
                </c:pt>
                <c:pt idx="675">
                  <c:v>13.699003981722853</c:v>
                </c:pt>
                <c:pt idx="676">
                  <c:v>14.021623029341924</c:v>
                </c:pt>
                <c:pt idx="677">
                  <c:v>14.055194457913331</c:v>
                </c:pt>
                <c:pt idx="678">
                  <c:v>13.789009837005096</c:v>
                </c:pt>
                <c:pt idx="679">
                  <c:v>14.035749707689547</c:v>
                </c:pt>
                <c:pt idx="680">
                  <c:v>14.70146399340382</c:v>
                </c:pt>
                <c:pt idx="681">
                  <c:v>14.843881420216974</c:v>
                </c:pt>
                <c:pt idx="682">
                  <c:v>14.27310214111742</c:v>
                </c:pt>
                <c:pt idx="683">
                  <c:v>14.308643324978846</c:v>
                </c:pt>
                <c:pt idx="684">
                  <c:v>13.642452848788366</c:v>
                </c:pt>
                <c:pt idx="685">
                  <c:v>13.874357610693096</c:v>
                </c:pt>
                <c:pt idx="686">
                  <c:v>14.826028970385664</c:v>
                </c:pt>
                <c:pt idx="687">
                  <c:v>15.385786182121706</c:v>
                </c:pt>
                <c:pt idx="688">
                  <c:v>15.798405229740752</c:v>
                </c:pt>
                <c:pt idx="689">
                  <c:v>15.531976658312146</c:v>
                </c:pt>
                <c:pt idx="690">
                  <c:v>16.31579203740398</c:v>
                </c:pt>
                <c:pt idx="691">
                  <c:v>16.048906653843005</c:v>
                </c:pt>
                <c:pt idx="692">
                  <c:v>17.494620939557251</c:v>
                </c:pt>
                <c:pt idx="693">
                  <c:v>17.077038366370289</c:v>
                </c:pt>
                <c:pt idx="694">
                  <c:v>17.066259087270737</c:v>
                </c:pt>
                <c:pt idx="695">
                  <c:v>15.871800271132258</c:v>
                </c:pt>
                <c:pt idx="696">
                  <c:v>15.555609794941802</c:v>
                </c:pt>
                <c:pt idx="697">
                  <c:v>16.057514556846513</c:v>
                </c:pt>
                <c:pt idx="698">
                  <c:v>16.719185916539061</c:v>
                </c:pt>
                <c:pt idx="699">
                  <c:v>17.458943128275052</c:v>
                </c:pt>
                <c:pt idx="700">
                  <c:v>17.131562175894146</c:v>
                </c:pt>
                <c:pt idx="701">
                  <c:v>17.625133604465532</c:v>
                </c:pt>
                <c:pt idx="702">
                  <c:v>17.468948983557311</c:v>
                </c:pt>
                <c:pt idx="703">
                  <c:v>16.925688854241855</c:v>
                </c:pt>
                <c:pt idx="704">
                  <c:v>17.551403139956108</c:v>
                </c:pt>
                <c:pt idx="705">
                  <c:v>18.00382056676915</c:v>
                </c:pt>
                <c:pt idx="706">
                  <c:v>17.863041287669603</c:v>
                </c:pt>
                <c:pt idx="707">
                  <c:v>17.248582471531051</c:v>
                </c:pt>
                <c:pt idx="708">
                  <c:v>17.232391995340606</c:v>
                </c:pt>
                <c:pt idx="709">
                  <c:v>16.994296757245365</c:v>
                </c:pt>
                <c:pt idx="710">
                  <c:v>17.535968116937909</c:v>
                </c:pt>
                <c:pt idx="711">
                  <c:v>17.665725328673943</c:v>
                </c:pt>
                <c:pt idx="712">
                  <c:v>18.008344376292996</c:v>
                </c:pt>
                <c:pt idx="713">
                  <c:v>18.281915804864411</c:v>
                </c:pt>
                <c:pt idx="714">
                  <c:v>17.845731183956161</c:v>
                </c:pt>
                <c:pt idx="715">
                  <c:v>17.802471054640705</c:v>
                </c:pt>
                <c:pt idx="716">
                  <c:v>17.578185340354992</c:v>
                </c:pt>
                <c:pt idx="717">
                  <c:v>18.070602767167998</c:v>
                </c:pt>
                <c:pt idx="718">
                  <c:v>18.299823488068455</c:v>
                </c:pt>
                <c:pt idx="719">
                  <c:v>17.625364671929901</c:v>
                </c:pt>
                <c:pt idx="720">
                  <c:v>17.769174195739481</c:v>
                </c:pt>
                <c:pt idx="721">
                  <c:v>17.991078957644163</c:v>
                </c:pt>
                <c:pt idx="722">
                  <c:v>18.562750317336793</c:v>
                </c:pt>
                <c:pt idx="723">
                  <c:v>19.292507529072793</c:v>
                </c:pt>
                <c:pt idx="724">
                  <c:v>19.165126576691875</c:v>
                </c:pt>
                <c:pt idx="725">
                  <c:v>19.828698005263277</c:v>
                </c:pt>
                <c:pt idx="726">
                  <c:v>19.842513384355073</c:v>
                </c:pt>
                <c:pt idx="727">
                  <c:v>19.229253255039566</c:v>
                </c:pt>
                <c:pt idx="728">
                  <c:v>19.474967540753823</c:v>
                </c:pt>
                <c:pt idx="729">
                  <c:v>20.277384967566832</c:v>
                </c:pt>
                <c:pt idx="730">
                  <c:v>20.0566056884673</c:v>
                </c:pt>
                <c:pt idx="731">
                  <c:v>19.252146872328808</c:v>
                </c:pt>
                <c:pt idx="732">
                  <c:v>19.425956396138304</c:v>
                </c:pt>
                <c:pt idx="733">
                  <c:v>19.627861158043061</c:v>
                </c:pt>
                <c:pt idx="734">
                  <c:v>19.679532517735652</c:v>
                </c:pt>
                <c:pt idx="735">
                  <c:v>20.13928972947167</c:v>
                </c:pt>
                <c:pt idx="736">
                  <c:v>20.461908777090741</c:v>
                </c:pt>
                <c:pt idx="737">
                  <c:v>20.955480205662127</c:v>
                </c:pt>
                <c:pt idx="738">
                  <c:v>20.949295584753884</c:v>
                </c:pt>
                <c:pt idx="739">
                  <c:v>20.41241020119287</c:v>
                </c:pt>
                <c:pt idx="740">
                  <c:v>20.808124486907161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0-4C6D-92EE-02B641157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591184"/>
        <c:axId val="338577040"/>
      </c:lineChart>
      <c:dateAx>
        <c:axId val="338591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577040"/>
        <c:crosses val="autoZero"/>
        <c:auto val="1"/>
        <c:lblOffset val="100"/>
        <c:baseTimeUnit val="months"/>
      </c:dateAx>
      <c:valAx>
        <c:axId val="3385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59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線形モデル!$B$11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線形モデル!$A$12:$A$24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線形モデル!$B$12:$B$24</c:f>
              <c:numCache>
                <c:formatCode>0.000000000_ ;[Red]\-0.000000000\ </c:formatCode>
                <c:ptCount val="13"/>
                <c:pt idx="0">
                  <c:v>-2.6471136468108808E-2</c:v>
                </c:pt>
                <c:pt idx="1">
                  <c:v>0.58733060283015548</c:v>
                </c:pt>
                <c:pt idx="2">
                  <c:v>1.4390836132721692</c:v>
                </c:pt>
                <c:pt idx="3">
                  <c:v>2.6009864459479211</c:v>
                </c:pt>
                <c:pt idx="4">
                  <c:v>2.9998113917703657</c:v>
                </c:pt>
                <c:pt idx="5">
                  <c:v>2.2382077892599441</c:v>
                </c:pt>
                <c:pt idx="6">
                  <c:v>0.82390897803401641</c:v>
                </c:pt>
                <c:pt idx="7">
                  <c:v>-1.2322834273854675</c:v>
                </c:pt>
                <c:pt idx="8">
                  <c:v>-3.0765710709001954</c:v>
                </c:pt>
                <c:pt idx="9">
                  <c:v>-3.3570000579572215</c:v>
                </c:pt>
                <c:pt idx="10">
                  <c:v>-2.069140151303194</c:v>
                </c:pt>
                <c:pt idx="11">
                  <c:v>-0.94051682628672428</c:v>
                </c:pt>
                <c:pt idx="12" formatCode="0.000000000_ ;\-0.000000000\ ">
                  <c:v>-2.6471136468108808E-2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B-4382-9C87-D867C5F25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99920"/>
        <c:axId val="338603248"/>
      </c:scatterChart>
      <c:valAx>
        <c:axId val="33859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603248"/>
        <c:crosses val="autoZero"/>
        <c:crossBetween val="midCat"/>
      </c:valAx>
      <c:valAx>
        <c:axId val="3386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859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E-43E2-A04C-16744D8F41DD}"/>
            </c:ext>
          </c:extLst>
        </c:ser>
        <c:ser>
          <c:idx val="1"/>
          <c:order val="1"/>
          <c:tx>
            <c:strRef>
              <c:f>'2次多項式モデル'!$I$1</c:f>
              <c:strCache>
                <c:ptCount val="1"/>
                <c:pt idx="0">
                  <c:v>T(t)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'2次多項式モデル'!$I$2:$I$982</c:f>
              <c:numCache>
                <c:formatCode>0.00_ ;[Red]\-0.00\ </c:formatCode>
                <c:ptCount val="981"/>
                <c:pt idx="0">
                  <c:v>314.32880345834894</c:v>
                </c:pt>
                <c:pt idx="1">
                  <c:v>314.39628797069503</c:v>
                </c:pt>
                <c:pt idx="2">
                  <c:v>314.4617674802671</c:v>
                </c:pt>
                <c:pt idx="3">
                  <c:v>314.5954306312338</c:v>
                </c:pt>
                <c:pt idx="4">
                  <c:v>314.66362573376034</c:v>
                </c:pt>
                <c:pt idx="5">
                  <c:v>314.73200139608684</c:v>
                </c:pt>
                <c:pt idx="6">
                  <c:v>314.8670742662826</c:v>
                </c:pt>
                <c:pt idx="7">
                  <c:v>314.93376001301993</c:v>
                </c:pt>
                <c:pt idx="8">
                  <c:v>315.0028462655269</c:v>
                </c:pt>
                <c:pt idx="9">
                  <c:v>315.07211307783388</c:v>
                </c:pt>
                <c:pt idx="10">
                  <c:v>315.13483184523994</c:v>
                </c:pt>
                <c:pt idx="11">
                  <c:v>315.20444230361778</c:v>
                </c:pt>
                <c:pt idx="12">
                  <c:v>315.27197918031743</c:v>
                </c:pt>
                <c:pt idx="13">
                  <c:v>315.34194493378556</c:v>
                </c:pt>
                <c:pt idx="14">
                  <c:v>315.40982564444352</c:v>
                </c:pt>
                <c:pt idx="15">
                  <c:v>315.48014669300187</c:v>
                </c:pt>
                <c:pt idx="16">
                  <c:v>315.55064830136018</c:v>
                </c:pt>
                <c:pt idx="17">
                  <c:v>315.61904758126678</c:v>
                </c:pt>
                <c:pt idx="18">
                  <c:v>315.68990448471533</c:v>
                </c:pt>
                <c:pt idx="19">
                  <c:v>315.75864759858018</c:v>
                </c:pt>
                <c:pt idx="20">
                  <c:v>315.82985979711901</c:v>
                </c:pt>
                <c:pt idx="21">
                  <c:v>315.9012525554578</c:v>
                </c:pt>
                <c:pt idx="22">
                  <c:v>315.96820279143333</c:v>
                </c:pt>
                <c:pt idx="23">
                  <c:v>316.03994502035272</c:v>
                </c:pt>
                <c:pt idx="24">
                  <c:v>316.10954490080218</c:v>
                </c:pt>
                <c:pt idx="25">
                  <c:v>316.1816424248118</c:v>
                </c:pt>
                <c:pt idx="26">
                  <c:v>316.25158613921957</c:v>
                </c:pt>
                <c:pt idx="27">
                  <c:v>316.32403895831942</c:v>
                </c:pt>
                <c:pt idx="28">
                  <c:v>316.39667233721923</c:v>
                </c:pt>
                <c:pt idx="29">
                  <c:v>316.46713462087564</c:v>
                </c:pt>
                <c:pt idx="30">
                  <c:v>316.54012329486568</c:v>
                </c:pt>
                <c:pt idx="31">
                  <c:v>316.61092941248035</c:v>
                </c:pt>
                <c:pt idx="32">
                  <c:v>316.68427338156067</c:v>
                </c:pt>
                <c:pt idx="33">
                  <c:v>316.7577979104409</c:v>
                </c:pt>
                <c:pt idx="34">
                  <c:v>316.82436235733252</c:v>
                </c:pt>
                <c:pt idx="35">
                  <c:v>316.89823053228372</c:v>
                </c:pt>
                <c:pt idx="36">
                  <c:v>316.96988777986076</c:v>
                </c:pt>
                <c:pt idx="37">
                  <c:v>317.04411124990213</c:v>
                </c:pt>
                <c:pt idx="38">
                  <c:v>317.11611233143753</c:v>
                </c:pt>
                <c:pt idx="39">
                  <c:v>317.19069109656914</c:v>
                </c:pt>
                <c:pt idx="40">
                  <c:v>317.26545042150076</c:v>
                </c:pt>
                <c:pt idx="41">
                  <c:v>317.33797007228475</c:v>
                </c:pt>
                <c:pt idx="42">
                  <c:v>317.4130846923066</c:v>
                </c:pt>
                <c:pt idx="43">
                  <c:v>317.48594817704884</c:v>
                </c:pt>
                <c:pt idx="44">
                  <c:v>317.56141809216092</c:v>
                </c:pt>
                <c:pt idx="45">
                  <c:v>317.63706856707302</c:v>
                </c:pt>
                <c:pt idx="46">
                  <c:v>317.70555322328369</c:v>
                </c:pt>
                <c:pt idx="47">
                  <c:v>317.78154734426664</c:v>
                </c:pt>
                <c:pt idx="48">
                  <c:v>317.85526195897125</c:v>
                </c:pt>
                <c:pt idx="49">
                  <c:v>317.9316113750445</c:v>
                </c:pt>
                <c:pt idx="50">
                  <c:v>318.00566982370742</c:v>
                </c:pt>
                <c:pt idx="51">
                  <c:v>318.08237453487089</c:v>
                </c:pt>
                <c:pt idx="52">
                  <c:v>318.15925980583432</c:v>
                </c:pt>
                <c:pt idx="53">
                  <c:v>318.23383682374583</c:v>
                </c:pt>
                <c:pt idx="54">
                  <c:v>318.31107738979949</c:v>
                </c:pt>
                <c:pt idx="55">
                  <c:v>318.38599824166931</c:v>
                </c:pt>
                <c:pt idx="56">
                  <c:v>318.4635941028132</c:v>
                </c:pt>
                <c:pt idx="57">
                  <c:v>318.54137052375711</c:v>
                </c:pt>
                <c:pt idx="58">
                  <c:v>318.61177538928683</c:v>
                </c:pt>
                <c:pt idx="59">
                  <c:v>318.6898954563016</c:v>
                </c:pt>
                <c:pt idx="60">
                  <c:v>318.76566743813379</c:v>
                </c:pt>
                <c:pt idx="61">
                  <c:v>318.84414280023884</c:v>
                </c:pt>
                <c:pt idx="62">
                  <c:v>318.92025861602929</c:v>
                </c:pt>
                <c:pt idx="63">
                  <c:v>318.99908927322457</c:v>
                </c:pt>
                <c:pt idx="64">
                  <c:v>319.07810049021981</c:v>
                </c:pt>
                <c:pt idx="65">
                  <c:v>319.1547348752589</c:v>
                </c:pt>
                <c:pt idx="66">
                  <c:v>319.23410138734437</c:v>
                </c:pt>
                <c:pt idx="67">
                  <c:v>319.31107960634171</c:v>
                </c:pt>
                <c:pt idx="68">
                  <c:v>319.39080141351747</c:v>
                </c:pt>
                <c:pt idx="69">
                  <c:v>319.70370144123513</c:v>
                </c:pt>
                <c:pt idx="70">
                  <c:v>319.78430857388162</c:v>
                </c:pt>
                <c:pt idx="71">
                  <c:v>319.86248739342193</c:v>
                </c:pt>
                <c:pt idx="72">
                  <c:v>319.94344982115865</c:v>
                </c:pt>
                <c:pt idx="73">
                  <c:v>320.02459280869539</c:v>
                </c:pt>
                <c:pt idx="74">
                  <c:v>320.10329019748428</c:v>
                </c:pt>
                <c:pt idx="75">
                  <c:v>320.18478848011125</c:v>
                </c:pt>
                <c:pt idx="76">
                  <c:v>320.26382970285846</c:v>
                </c:pt>
                <c:pt idx="77">
                  <c:v>320.34568328057571</c:v>
                </c:pt>
                <c:pt idx="78">
                  <c:v>320.42771741809287</c:v>
                </c:pt>
                <c:pt idx="79">
                  <c:v>320.50196796310814</c:v>
                </c:pt>
                <c:pt idx="80">
                  <c:v>320.58434574669627</c:v>
                </c:pt>
                <c:pt idx="81">
                  <c:v>320.66423809940579</c:v>
                </c:pt>
                <c:pt idx="82">
                  <c:v>320.74697117808415</c:v>
                </c:pt>
                <c:pt idx="83">
                  <c:v>320.82720736475198</c:v>
                </c:pt>
                <c:pt idx="84">
                  <c:v>320.91029573852057</c:v>
                </c:pt>
                <c:pt idx="85">
                  <c:v>320.99356467208912</c:v>
                </c:pt>
                <c:pt idx="86">
                  <c:v>321.07431942800559</c:v>
                </c:pt>
                <c:pt idx="87">
                  <c:v>321.15794365666437</c:v>
                </c:pt>
                <c:pt idx="88">
                  <c:v>321.2390422465391</c:v>
                </c:pt>
                <c:pt idx="89">
                  <c:v>321.32302177028816</c:v>
                </c:pt>
                <c:pt idx="90">
                  <c:v>321.40718185383713</c:v>
                </c:pt>
                <c:pt idx="91">
                  <c:v>321.48335260817151</c:v>
                </c:pt>
                <c:pt idx="92">
                  <c:v>321.5678563377914</c:v>
                </c:pt>
                <c:pt idx="93">
                  <c:v>321.6498060576285</c:v>
                </c:pt>
                <c:pt idx="94">
                  <c:v>321.73466508233867</c:v>
                </c:pt>
                <c:pt idx="95">
                  <c:v>321.81695863613407</c:v>
                </c:pt>
                <c:pt idx="96">
                  <c:v>321.90217295593447</c:v>
                </c:pt>
                <c:pt idx="97">
                  <c:v>321.98756783553483</c:v>
                </c:pt>
                <c:pt idx="98">
                  <c:v>322.07037995857883</c:v>
                </c:pt>
                <c:pt idx="99">
                  <c:v>322.15613013326941</c:v>
                </c:pt>
                <c:pt idx="100">
                  <c:v>322.23928609027172</c:v>
                </c:pt>
                <c:pt idx="101">
                  <c:v>322.32539156005259</c:v>
                </c:pt>
                <c:pt idx="102">
                  <c:v>322.41167758963337</c:v>
                </c:pt>
                <c:pt idx="103">
                  <c:v>322.48976855328681</c:v>
                </c:pt>
                <c:pt idx="104">
                  <c:v>322.5763982289385</c:v>
                </c:pt>
                <c:pt idx="105">
                  <c:v>322.66040531590318</c:v>
                </c:pt>
                <c:pt idx="106">
                  <c:v>322.7473902866451</c:v>
                </c:pt>
                <c:pt idx="107">
                  <c:v>322.83174120756809</c:v>
                </c:pt>
                <c:pt idx="108">
                  <c:v>322.9190814734003</c:v>
                </c:pt>
                <c:pt idx="109">
                  <c:v>323.00660229903247</c:v>
                </c:pt>
                <c:pt idx="110">
                  <c:v>323.09147178920404</c:v>
                </c:pt>
                <c:pt idx="111">
                  <c:v>323.17934790992643</c:v>
                </c:pt>
                <c:pt idx="112">
                  <c:v>323.26456123405632</c:v>
                </c:pt>
                <c:pt idx="113">
                  <c:v>323.352792649869</c:v>
                </c:pt>
                <c:pt idx="114">
                  <c:v>323.44120462548159</c:v>
                </c:pt>
                <c:pt idx="115">
                  <c:v>323.52407606471337</c:v>
                </c:pt>
                <c:pt idx="116">
                  <c:v>323.61283751090656</c:v>
                </c:pt>
                <c:pt idx="117">
                  <c:v>323.69890760162104</c:v>
                </c:pt>
                <c:pt idx="118">
                  <c:v>323.78802434290446</c:v>
                </c:pt>
                <c:pt idx="119">
                  <c:v>323.87443826757732</c:v>
                </c:pt>
                <c:pt idx="120">
                  <c:v>323.96391030395097</c:v>
                </c:pt>
                <c:pt idx="121">
                  <c:v>324.05356290012463</c:v>
                </c:pt>
                <c:pt idx="122">
                  <c:v>324.14049539404607</c:v>
                </c:pt>
                <c:pt idx="123">
                  <c:v>324.23050328530996</c:v>
                </c:pt>
                <c:pt idx="124">
                  <c:v>324.31777961318966</c:v>
                </c:pt>
                <c:pt idx="125">
                  <c:v>324.40814279954378</c:v>
                </c:pt>
                <c:pt idx="126">
                  <c:v>324.49868654569792</c:v>
                </c:pt>
                <c:pt idx="127">
                  <c:v>324.58062318883685</c:v>
                </c:pt>
                <c:pt idx="128">
                  <c:v>324.67151058106185</c:v>
                </c:pt>
                <c:pt idx="129">
                  <c:v>324.75963803890392</c:v>
                </c:pt>
                <c:pt idx="130">
                  <c:v>324.8508807262192</c:v>
                </c:pt>
                <c:pt idx="131">
                  <c:v>324.93935201801958</c:v>
                </c:pt>
                <c:pt idx="132">
                  <c:v>325.03095000042504</c:v>
                </c:pt>
                <c:pt idx="133">
                  <c:v>325.12272854263051</c:v>
                </c:pt>
                <c:pt idx="134">
                  <c:v>325.21171840367947</c:v>
                </c:pt>
                <c:pt idx="135">
                  <c:v>325.30385224097517</c:v>
                </c:pt>
                <c:pt idx="136">
                  <c:v>325.39318593598244</c:v>
                </c:pt>
                <c:pt idx="137">
                  <c:v>325.48567506836838</c:v>
                </c:pt>
                <c:pt idx="138">
                  <c:v>325.57834476055433</c:v>
                </c:pt>
                <c:pt idx="139">
                  <c:v>325.66220161301231</c:v>
                </c:pt>
                <c:pt idx="140">
                  <c:v>325.75521495126918</c:v>
                </c:pt>
                <c:pt idx="141">
                  <c:v>325.84539977623876</c:v>
                </c:pt>
                <c:pt idx="142">
                  <c:v>325.93876840958586</c:v>
                </c:pt>
                <c:pt idx="143">
                  <c:v>326.02929706851376</c:v>
                </c:pt>
                <c:pt idx="144">
                  <c:v>326.12302099695108</c:v>
                </c:pt>
                <c:pt idx="145">
                  <c:v>326.21692548518837</c:v>
                </c:pt>
                <c:pt idx="146">
                  <c:v>326.30797271336485</c:v>
                </c:pt>
                <c:pt idx="147">
                  <c:v>326.40223249669242</c:v>
                </c:pt>
                <c:pt idx="148">
                  <c:v>326.49362355882721</c:v>
                </c:pt>
                <c:pt idx="149">
                  <c:v>326.58823863724501</c:v>
                </c:pt>
                <c:pt idx="150">
                  <c:v>326.68303427546272</c:v>
                </c:pt>
                <c:pt idx="151">
                  <c:v>326.76881133723981</c:v>
                </c:pt>
                <c:pt idx="152">
                  <c:v>326.86395062152843</c:v>
                </c:pt>
                <c:pt idx="153">
                  <c:v>326.95619281362559</c:v>
                </c:pt>
                <c:pt idx="154">
                  <c:v>327.0516873930045</c:v>
                </c:pt>
                <c:pt idx="155">
                  <c:v>327.14427341905997</c:v>
                </c:pt>
                <c:pt idx="156">
                  <c:v>327.24012329352911</c:v>
                </c:pt>
                <c:pt idx="157">
                  <c:v>327.33615372779821</c:v>
                </c:pt>
                <c:pt idx="158">
                  <c:v>327.42925832310226</c:v>
                </c:pt>
                <c:pt idx="159">
                  <c:v>327.52564405246159</c:v>
                </c:pt>
                <c:pt idx="160">
                  <c:v>327.61909248172395</c:v>
                </c:pt>
                <c:pt idx="161">
                  <c:v>327.71583350617357</c:v>
                </c:pt>
                <c:pt idx="162">
                  <c:v>327.81275509042308</c:v>
                </c:pt>
                <c:pt idx="163">
                  <c:v>327.90358713128296</c:v>
                </c:pt>
                <c:pt idx="164">
                  <c:v>328.00085818611308</c:v>
                </c:pt>
                <c:pt idx="165">
                  <c:v>328.09516338196005</c:v>
                </c:pt>
                <c:pt idx="166">
                  <c:v>328.19278973188045</c:v>
                </c:pt>
                <c:pt idx="167">
                  <c:v>328.28743876168573</c:v>
                </c:pt>
                <c:pt idx="168">
                  <c:v>328.38542040669637</c:v>
                </c:pt>
                <c:pt idx="169">
                  <c:v>328.48358261150696</c:v>
                </c:pt>
                <c:pt idx="170">
                  <c:v>328.57875021056083</c:v>
                </c:pt>
                <c:pt idx="171">
                  <c:v>328.67726771046165</c:v>
                </c:pt>
                <c:pt idx="172">
                  <c:v>328.77277914347388</c:v>
                </c:pt>
                <c:pt idx="173">
                  <c:v>328.87165193846494</c:v>
                </c:pt>
                <c:pt idx="174">
                  <c:v>328.970705293256</c:v>
                </c:pt>
                <c:pt idx="175">
                  <c:v>329.06032803451859</c:v>
                </c:pt>
                <c:pt idx="176">
                  <c:v>329.15972503538057</c:v>
                </c:pt>
                <c:pt idx="177">
                  <c:v>329.25608759835512</c:v>
                </c:pt>
                <c:pt idx="178">
                  <c:v>329.35583989430728</c:v>
                </c:pt>
                <c:pt idx="179">
                  <c:v>329.45254629124014</c:v>
                </c:pt>
                <c:pt idx="180">
                  <c:v>329.55265388228258</c:v>
                </c:pt>
                <c:pt idx="181">
                  <c:v>329.65294203312499</c:v>
                </c:pt>
                <c:pt idx="182">
                  <c:v>329.75016699930643</c:v>
                </c:pt>
                <c:pt idx="183">
                  <c:v>329.85081044523906</c:v>
                </c:pt>
                <c:pt idx="184">
                  <c:v>329.94837924537882</c:v>
                </c:pt>
                <c:pt idx="185">
                  <c:v>330.04937798640174</c:v>
                </c:pt>
                <c:pt idx="186">
                  <c:v>330.15055728722456</c:v>
                </c:pt>
                <c:pt idx="187">
                  <c:v>330.24210023780626</c:v>
                </c:pt>
                <c:pt idx="188">
                  <c:v>330.34362318469999</c:v>
                </c:pt>
                <c:pt idx="189">
                  <c:v>330.44204311480212</c:v>
                </c:pt>
                <c:pt idx="190">
                  <c:v>330.54392135678609</c:v>
                </c:pt>
                <c:pt idx="191">
                  <c:v>330.64268512084652</c:v>
                </c:pt>
                <c:pt idx="192">
                  <c:v>330.74491865792078</c:v>
                </c:pt>
                <c:pt idx="193">
                  <c:v>330.84733275479499</c:v>
                </c:pt>
                <c:pt idx="194">
                  <c:v>330.94661508810401</c:v>
                </c:pt>
                <c:pt idx="195">
                  <c:v>331.04938448006845</c:v>
                </c:pt>
                <c:pt idx="196">
                  <c:v>331.14901064733579</c:v>
                </c:pt>
                <c:pt idx="197">
                  <c:v>331.25213533439046</c:v>
                </c:pt>
                <c:pt idx="198">
                  <c:v>331.35544058124515</c:v>
                </c:pt>
                <c:pt idx="199">
                  <c:v>331.44890374114584</c:v>
                </c:pt>
                <c:pt idx="200">
                  <c:v>331.55255263407145</c:v>
                </c:pt>
                <c:pt idx="201">
                  <c:v>331.65302993130109</c:v>
                </c:pt>
                <c:pt idx="202">
                  <c:v>331.75703411931693</c:v>
                </c:pt>
                <c:pt idx="203">
                  <c:v>331.85785525050488</c:v>
                </c:pt>
                <c:pt idx="204">
                  <c:v>331.96221473361095</c:v>
                </c:pt>
                <c:pt idx="205">
                  <c:v>332.06675477651697</c:v>
                </c:pt>
                <c:pt idx="206">
                  <c:v>332.16809447695357</c:v>
                </c:pt>
                <c:pt idx="207">
                  <c:v>332.27298981494982</c:v>
                </c:pt>
                <c:pt idx="208">
                  <c:v>332.37467334934468</c:v>
                </c:pt>
                <c:pt idx="209">
                  <c:v>332.47992398243122</c:v>
                </c:pt>
                <c:pt idx="210">
                  <c:v>332.58535517531766</c:v>
                </c:pt>
                <c:pt idx="211">
                  <c:v>332.68414781780558</c:v>
                </c:pt>
                <c:pt idx="212">
                  <c:v>332.78992848127263</c:v>
                </c:pt>
                <c:pt idx="213">
                  <c:v>332.89246878225214</c:v>
                </c:pt>
                <c:pt idx="214">
                  <c:v>332.99860474080947</c:v>
                </c:pt>
                <c:pt idx="215">
                  <c:v>333.10148887574724</c:v>
                </c:pt>
                <c:pt idx="216">
                  <c:v>333.2079801293948</c:v>
                </c:pt>
                <c:pt idx="217">
                  <c:v>333.31465194284232</c:v>
                </c:pt>
                <c:pt idx="218">
                  <c:v>333.41805464702873</c:v>
                </c:pt>
                <c:pt idx="219">
                  <c:v>333.52508175556648</c:v>
                </c:pt>
                <c:pt idx="220">
                  <c:v>333.62882829371119</c:v>
                </c:pt>
                <c:pt idx="221">
                  <c:v>333.73621069733917</c:v>
                </c:pt>
                <c:pt idx="222">
                  <c:v>333.84377366076711</c:v>
                </c:pt>
                <c:pt idx="223">
                  <c:v>333.94108250015341</c:v>
                </c:pt>
                <c:pt idx="224">
                  <c:v>334.04898910965227</c:v>
                </c:pt>
                <c:pt idx="225">
                  <c:v>334.15358677775936</c:v>
                </c:pt>
                <c:pt idx="226">
                  <c:v>334.26184868234844</c:v>
                </c:pt>
                <c:pt idx="227">
                  <c:v>334.36679018441384</c:v>
                </c:pt>
                <c:pt idx="228">
                  <c:v>334.47540738409316</c:v>
                </c:pt>
                <c:pt idx="229">
                  <c:v>334.58420514357249</c:v>
                </c:pt>
                <c:pt idx="230">
                  <c:v>334.68966521488647</c:v>
                </c:pt>
                <c:pt idx="231">
                  <c:v>334.79881826945604</c:v>
                </c:pt>
                <c:pt idx="232">
                  <c:v>334.90462217472827</c:v>
                </c:pt>
                <c:pt idx="233">
                  <c:v>335.01413052438807</c:v>
                </c:pt>
                <c:pt idx="234">
                  <c:v>335.12381943384787</c:v>
                </c:pt>
                <c:pt idx="235">
                  <c:v>335.22304848255322</c:v>
                </c:pt>
                <c:pt idx="236">
                  <c:v>335.33308103808389</c:v>
                </c:pt>
                <c:pt idx="237">
                  <c:v>335.4397360733185</c:v>
                </c:pt>
                <c:pt idx="238">
                  <c:v>335.55012392393945</c:v>
                </c:pt>
                <c:pt idx="239">
                  <c:v>335.65712279313237</c:v>
                </c:pt>
                <c:pt idx="240">
                  <c:v>335.76786593884356</c:v>
                </c:pt>
                <c:pt idx="241">
                  <c:v>335.87878964435464</c:v>
                </c:pt>
                <c:pt idx="242">
                  <c:v>335.9863070827962</c:v>
                </c:pt>
                <c:pt idx="243">
                  <c:v>336.09758608339757</c:v>
                </c:pt>
                <c:pt idx="244">
                  <c:v>336.20544735579739</c:v>
                </c:pt>
                <c:pt idx="245">
                  <c:v>336.31708165148899</c:v>
                </c:pt>
                <c:pt idx="246">
                  <c:v>336.42889650698061</c:v>
                </c:pt>
                <c:pt idx="247">
                  <c:v>336.53004576500501</c:v>
                </c:pt>
                <c:pt idx="248">
                  <c:v>336.64220426656749</c:v>
                </c:pt>
                <c:pt idx="249">
                  <c:v>336.75091666892968</c:v>
                </c:pt>
                <c:pt idx="250">
                  <c:v>336.86343046558238</c:v>
                </c:pt>
                <c:pt idx="251">
                  <c:v>336.97248670190288</c:v>
                </c:pt>
                <c:pt idx="252">
                  <c:v>337.08535579364587</c:v>
                </c:pt>
                <c:pt idx="253">
                  <c:v>337.19840544518883</c:v>
                </c:pt>
                <c:pt idx="254">
                  <c:v>337.30798025075791</c:v>
                </c:pt>
                <c:pt idx="255">
                  <c:v>337.42138519739109</c:v>
                </c:pt>
                <c:pt idx="256">
                  <c:v>337.53130383691848</c:v>
                </c:pt>
                <c:pt idx="257">
                  <c:v>337.64506407864189</c:v>
                </c:pt>
                <c:pt idx="258">
                  <c:v>337.75900488016532</c:v>
                </c:pt>
                <c:pt idx="259">
                  <c:v>337.86575812428129</c:v>
                </c:pt>
                <c:pt idx="260">
                  <c:v>337.98004839638526</c:v>
                </c:pt>
                <c:pt idx="261">
                  <c:v>338.09082380249731</c:v>
                </c:pt>
                <c:pt idx="262">
                  <c:v>338.20546936969151</c:v>
                </c:pt>
                <c:pt idx="263">
                  <c:v>338.31658860976182</c:v>
                </c:pt>
                <c:pt idx="264">
                  <c:v>338.43158947204631</c:v>
                </c:pt>
                <c:pt idx="265">
                  <c:v>338.5467708941307</c:v>
                </c:pt>
                <c:pt idx="266">
                  <c:v>338.6584087034496</c:v>
                </c:pt>
                <c:pt idx="267">
                  <c:v>338.77394542062427</c:v>
                </c:pt>
                <c:pt idx="268">
                  <c:v>338.88592706390153</c:v>
                </c:pt>
                <c:pt idx="269">
                  <c:v>339.00181907616644</c:v>
                </c:pt>
                <c:pt idx="270">
                  <c:v>339.11789164823131</c:v>
                </c:pt>
                <c:pt idx="271">
                  <c:v>339.22288658574126</c:v>
                </c:pt>
                <c:pt idx="272">
                  <c:v>339.33930280387705</c:v>
                </c:pt>
                <c:pt idx="273">
                  <c:v>339.45213557711668</c:v>
                </c:pt>
                <c:pt idx="274">
                  <c:v>339.56890709034269</c:v>
                </c:pt>
                <c:pt idx="275">
                  <c:v>339.68208369754058</c:v>
                </c:pt>
                <c:pt idx="276">
                  <c:v>339.79921050585682</c:v>
                </c:pt>
                <c:pt idx="277">
                  <c:v>339.91651787397308</c:v>
                </c:pt>
                <c:pt idx="278">
                  <c:v>340.03021305041955</c:v>
                </c:pt>
                <c:pt idx="279">
                  <c:v>340.14787571362604</c:v>
                </c:pt>
                <c:pt idx="280">
                  <c:v>340.26191472403082</c:v>
                </c:pt>
                <c:pt idx="281">
                  <c:v>340.37993268232754</c:v>
                </c:pt>
                <c:pt idx="282">
                  <c:v>340.49813120042421</c:v>
                </c:pt>
                <c:pt idx="283">
                  <c:v>340.60504634725322</c:v>
                </c:pt>
                <c:pt idx="284">
                  <c:v>340.72358851142087</c:v>
                </c:pt>
                <c:pt idx="285">
                  <c:v>340.83847865178797</c:v>
                </c:pt>
                <c:pt idx="286">
                  <c:v>340.95737611104579</c:v>
                </c:pt>
                <c:pt idx="287">
                  <c:v>341.07261008537125</c:v>
                </c:pt>
                <c:pt idx="288">
                  <c:v>341.19186283971936</c:v>
                </c:pt>
                <c:pt idx="289">
                  <c:v>341.31129615386737</c:v>
                </c:pt>
                <c:pt idx="290">
                  <c:v>341.42704869744142</c:v>
                </c:pt>
                <c:pt idx="291">
                  <c:v>341.54683730667972</c:v>
                </c:pt>
                <c:pt idx="292">
                  <c:v>341.66293368421208</c:v>
                </c:pt>
                <c:pt idx="293">
                  <c:v>341.78307758854061</c:v>
                </c:pt>
                <c:pt idx="294">
                  <c:v>341.90340205266909</c:v>
                </c:pt>
                <c:pt idx="295">
                  <c:v>342.01223740881721</c:v>
                </c:pt>
                <c:pt idx="296">
                  <c:v>342.13290551901656</c:v>
                </c:pt>
                <c:pt idx="297">
                  <c:v>342.24985302651129</c:v>
                </c:pt>
                <c:pt idx="298">
                  <c:v>342.37087643180092</c:v>
                </c:pt>
                <c:pt idx="299">
                  <c:v>342.48816777325396</c:v>
                </c:pt>
                <c:pt idx="300">
                  <c:v>342.60954647363383</c:v>
                </c:pt>
                <c:pt idx="301">
                  <c:v>342.73110573381371</c:v>
                </c:pt>
                <c:pt idx="302">
                  <c:v>342.84891564451527</c:v>
                </c:pt>
                <c:pt idx="303">
                  <c:v>342.97083019978538</c:v>
                </c:pt>
                <c:pt idx="304">
                  <c:v>343.08898394444532</c:v>
                </c:pt>
                <c:pt idx="305">
                  <c:v>343.21125379480566</c:v>
                </c:pt>
                <c:pt idx="306">
                  <c:v>343.33370420496595</c:v>
                </c:pt>
                <c:pt idx="307">
                  <c:v>343.44841805071007</c:v>
                </c:pt>
                <c:pt idx="308">
                  <c:v>343.57121793145097</c:v>
                </c:pt>
                <c:pt idx="309">
                  <c:v>343.69022844269546</c:v>
                </c:pt>
                <c:pt idx="310">
                  <c:v>343.81338361852664</c:v>
                </c:pt>
                <c:pt idx="311">
                  <c:v>343.93273796372944</c:v>
                </c:pt>
                <c:pt idx="312">
                  <c:v>344.0562484346508</c:v>
                </c:pt>
                <c:pt idx="313">
                  <c:v>344.17993946537217</c:v>
                </c:pt>
                <c:pt idx="314">
                  <c:v>344.29981237982361</c:v>
                </c:pt>
                <c:pt idx="315">
                  <c:v>344.42385870563521</c:v>
                </c:pt>
                <c:pt idx="316">
                  <c:v>344.5440754540449</c:v>
                </c:pt>
                <c:pt idx="317">
                  <c:v>344.66847707494679</c:v>
                </c:pt>
                <c:pt idx="318">
                  <c:v>344.79305925564859</c:v>
                </c:pt>
                <c:pt idx="319">
                  <c:v>344.9057402912822</c:v>
                </c:pt>
                <c:pt idx="320">
                  <c:v>345.03066611805491</c:v>
                </c:pt>
                <c:pt idx="321">
                  <c:v>345.15173399642697</c:v>
                </c:pt>
                <c:pt idx="322">
                  <c:v>345.27701511828997</c:v>
                </c:pt>
                <c:pt idx="323">
                  <c:v>345.39842683062034</c:v>
                </c:pt>
                <c:pt idx="324">
                  <c:v>345.52406324757351</c:v>
                </c:pt>
                <c:pt idx="325">
                  <c:v>345.64988022432669</c:v>
                </c:pt>
                <c:pt idx="326">
                  <c:v>345.77181050590571</c:v>
                </c:pt>
                <c:pt idx="327">
                  <c:v>345.89798277774906</c:v>
                </c:pt>
                <c:pt idx="328">
                  <c:v>346.02025689328639</c:v>
                </c:pt>
                <c:pt idx="329">
                  <c:v>346.14678446022003</c:v>
                </c:pt>
                <c:pt idx="330">
                  <c:v>346.27349258695364</c:v>
                </c:pt>
                <c:pt idx="331">
                  <c:v>346.38809383190636</c:v>
                </c:pt>
                <c:pt idx="332">
                  <c:v>346.51514560471088</c:v>
                </c:pt>
                <c:pt idx="333">
                  <c:v>346.63827085021052</c:v>
                </c:pt>
                <c:pt idx="334">
                  <c:v>346.76567791810527</c:v>
                </c:pt>
                <c:pt idx="335">
                  <c:v>346.88914699756322</c:v>
                </c:pt>
                <c:pt idx="336">
                  <c:v>347.0169093605482</c:v>
                </c:pt>
                <c:pt idx="337">
                  <c:v>347.14485228333319</c:v>
                </c:pt>
                <c:pt idx="338">
                  <c:v>347.26883993203973</c:v>
                </c:pt>
                <c:pt idx="339">
                  <c:v>347.39713814991495</c:v>
                </c:pt>
                <c:pt idx="340">
                  <c:v>347.52146963257979</c:v>
                </c:pt>
                <c:pt idx="341">
                  <c:v>347.65012314554525</c:v>
                </c:pt>
                <c:pt idx="342">
                  <c:v>347.77895721831067</c:v>
                </c:pt>
                <c:pt idx="343">
                  <c:v>347.89547867258244</c:v>
                </c:pt>
                <c:pt idx="344">
                  <c:v>348.02465639141877</c:v>
                </c:pt>
                <c:pt idx="345">
                  <c:v>348.14983900404593</c:v>
                </c:pt>
                <c:pt idx="346">
                  <c:v>348.27937201797255</c:v>
                </c:pt>
                <c:pt idx="347">
                  <c:v>348.40489846455807</c:v>
                </c:pt>
                <c:pt idx="348">
                  <c:v>348.53478677357487</c:v>
                </c:pt>
                <c:pt idx="349">
                  <c:v>348.66485564239167</c:v>
                </c:pt>
                <c:pt idx="350">
                  <c:v>348.79090065822572</c:v>
                </c:pt>
                <c:pt idx="351">
                  <c:v>348.92132482213276</c:v>
                </c:pt>
                <c:pt idx="352">
                  <c:v>349.04771367192518</c:v>
                </c:pt>
                <c:pt idx="353">
                  <c:v>349.17849313092245</c:v>
                </c:pt>
                <c:pt idx="354">
                  <c:v>349.30945314971973</c:v>
                </c:pt>
                <c:pt idx="355">
                  <c:v>349.43212759709189</c:v>
                </c:pt>
                <c:pt idx="356">
                  <c:v>349.56343708646972</c:v>
                </c:pt>
                <c:pt idx="357">
                  <c:v>349.69068270284674</c:v>
                </c:pt>
                <c:pt idx="358">
                  <c:v>349.8223474873148</c:v>
                </c:pt>
                <c:pt idx="359">
                  <c:v>349.94993693765014</c:v>
                </c:pt>
                <c:pt idx="360">
                  <c:v>350.08195701720842</c:v>
                </c:pt>
                <c:pt idx="361">
                  <c:v>350.21415765656673</c:v>
                </c:pt>
                <c:pt idx="362">
                  <c:v>350.34226567615065</c:v>
                </c:pt>
                <c:pt idx="363">
                  <c:v>350.47482161059918</c:v>
                </c:pt>
                <c:pt idx="364">
                  <c:v>350.60327346414141</c:v>
                </c:pt>
                <c:pt idx="365">
                  <c:v>350.73618469368012</c:v>
                </c:pt>
                <c:pt idx="366">
                  <c:v>350.86927648301889</c:v>
                </c:pt>
                <c:pt idx="367">
                  <c:v>350.98964361677622</c:v>
                </c:pt>
                <c:pt idx="368">
                  <c:v>351.12307905218586</c:v>
                </c:pt>
                <c:pt idx="369">
                  <c:v>351.2523820356904</c:v>
                </c:pt>
                <c:pt idx="370">
                  <c:v>351.38617276619027</c:v>
                </c:pt>
                <c:pt idx="371">
                  <c:v>351.51581958365318</c:v>
                </c:pt>
                <c:pt idx="372">
                  <c:v>351.64996560924334</c:v>
                </c:pt>
                <c:pt idx="373">
                  <c:v>351.78429219463339</c:v>
                </c:pt>
                <c:pt idx="374">
                  <c:v>351.91445758134489</c:v>
                </c:pt>
                <c:pt idx="375">
                  <c:v>352.04913946182523</c:v>
                </c:pt>
                <c:pt idx="376">
                  <c:v>352.17964868249499</c:v>
                </c:pt>
                <c:pt idx="377">
                  <c:v>352.31468585806556</c:v>
                </c:pt>
                <c:pt idx="378">
                  <c:v>352.44990359343615</c:v>
                </c:pt>
                <c:pt idx="379">
                  <c:v>352.57219093651247</c:v>
                </c:pt>
                <c:pt idx="380">
                  <c:v>352.70775231795392</c:v>
                </c:pt>
                <c:pt idx="381">
                  <c:v>352.8391126685861</c:v>
                </c:pt>
                <c:pt idx="382">
                  <c:v>352.97502934511778</c:v>
                </c:pt>
                <c:pt idx="383">
                  <c:v>353.10673352970821</c:v>
                </c:pt>
                <c:pt idx="384">
                  <c:v>353.24300550133017</c:v>
                </c:pt>
                <c:pt idx="385">
                  <c:v>353.37945803275204</c:v>
                </c:pt>
                <c:pt idx="386">
                  <c:v>353.51168078659111</c:v>
                </c:pt>
                <c:pt idx="387">
                  <c:v>353.64848861310321</c:v>
                </c:pt>
                <c:pt idx="388">
                  <c:v>353.7810552009006</c:v>
                </c:pt>
                <c:pt idx="389">
                  <c:v>353.91821832250298</c:v>
                </c:pt>
                <c:pt idx="390">
                  <c:v>354.05556200390532</c:v>
                </c:pt>
                <c:pt idx="391">
                  <c:v>354.17976955630076</c:v>
                </c:pt>
                <c:pt idx="392">
                  <c:v>354.31745688377396</c:v>
                </c:pt>
                <c:pt idx="393">
                  <c:v>354.45087460153371</c:v>
                </c:pt>
                <c:pt idx="394">
                  <c:v>354.5889172240972</c:v>
                </c:pt>
                <c:pt idx="395">
                  <c:v>354.72267877581521</c:v>
                </c:pt>
                <c:pt idx="396">
                  <c:v>354.86107669346893</c:v>
                </c:pt>
                <c:pt idx="397">
                  <c:v>354.99965517092267</c:v>
                </c:pt>
                <c:pt idx="398">
                  <c:v>355.13393529188926</c:v>
                </c:pt>
                <c:pt idx="399">
                  <c:v>355.27286906443322</c:v>
                </c:pt>
                <c:pt idx="400">
                  <c:v>355.40749301935813</c:v>
                </c:pt>
                <c:pt idx="401">
                  <c:v>355.54678208699232</c:v>
                </c:pt>
                <c:pt idx="402">
                  <c:v>355.68625171442653</c:v>
                </c:pt>
                <c:pt idx="403">
                  <c:v>355.81688676342679</c:v>
                </c:pt>
                <c:pt idx="404">
                  <c:v>355.95670586144155</c:v>
                </c:pt>
                <c:pt idx="405">
                  <c:v>356.09218658295106</c:v>
                </c:pt>
                <c:pt idx="406">
                  <c:v>356.23236097605604</c:v>
                </c:pt>
                <c:pt idx="407">
                  <c:v>356.36818553152386</c:v>
                </c:pt>
                <c:pt idx="408">
                  <c:v>356.50871521971914</c:v>
                </c:pt>
                <c:pt idx="409">
                  <c:v>356.64942546771431</c:v>
                </c:pt>
                <c:pt idx="410">
                  <c:v>356.78576859243077</c:v>
                </c:pt>
                <c:pt idx="411">
                  <c:v>356.92683413551617</c:v>
                </c:pt>
                <c:pt idx="412">
                  <c:v>357.06352109419095</c:v>
                </c:pt>
                <c:pt idx="413">
                  <c:v>357.20494193236664</c:v>
                </c:pt>
                <c:pt idx="414">
                  <c:v>357.34654333034229</c:v>
                </c:pt>
                <c:pt idx="415">
                  <c:v>357.47459656222327</c:v>
                </c:pt>
                <c:pt idx="416">
                  <c:v>357.61654160626978</c:v>
                </c:pt>
                <c:pt idx="417">
                  <c:v>357.75407969490686</c:v>
                </c:pt>
                <c:pt idx="418">
                  <c:v>357.89638003404372</c:v>
                </c:pt>
                <c:pt idx="419">
                  <c:v>358.03426195663911</c:v>
                </c:pt>
                <c:pt idx="420">
                  <c:v>358.17691759086614</c:v>
                </c:pt>
                <c:pt idx="421">
                  <c:v>358.31975378489312</c:v>
                </c:pt>
                <c:pt idx="422">
                  <c:v>358.4581542767371</c:v>
                </c:pt>
                <c:pt idx="423">
                  <c:v>358.60134576585438</c:v>
                </c:pt>
                <c:pt idx="424">
                  <c:v>358.74009009165667</c:v>
                </c:pt>
                <c:pt idx="425">
                  <c:v>358.88363687586417</c:v>
                </c:pt>
                <c:pt idx="426">
                  <c:v>359.02736421987163</c:v>
                </c:pt>
                <c:pt idx="427">
                  <c:v>359.15733766107167</c:v>
                </c:pt>
                <c:pt idx="428">
                  <c:v>359.30140865115004</c:v>
                </c:pt>
                <c:pt idx="429">
                  <c:v>359.4410041069147</c:v>
                </c:pt>
                <c:pt idx="430">
                  <c:v>359.58543039208331</c:v>
                </c:pt>
                <c:pt idx="431">
                  <c:v>359.72536968180628</c:v>
                </c:pt>
                <c:pt idx="432">
                  <c:v>359.87015126206512</c:v>
                </c:pt>
                <c:pt idx="433">
                  <c:v>360.01511340212392</c:v>
                </c:pt>
                <c:pt idx="434">
                  <c:v>360.15557126109547</c:v>
                </c:pt>
                <c:pt idx="435">
                  <c:v>360.30088869624456</c:v>
                </c:pt>
                <c:pt idx="436">
                  <c:v>360.44169038917443</c:v>
                </c:pt>
                <c:pt idx="437">
                  <c:v>360.58736311941374</c:v>
                </c:pt>
                <c:pt idx="438">
                  <c:v>360.73321640945301</c:v>
                </c:pt>
                <c:pt idx="439">
                  <c:v>360.8651100599721</c:v>
                </c:pt>
                <c:pt idx="440">
                  <c:v>361.01130699608228</c:v>
                </c:pt>
                <c:pt idx="441">
                  <c:v>361.15295981897452</c:v>
                </c:pt>
                <c:pt idx="442">
                  <c:v>361.29951205017494</c:v>
                </c:pt>
                <c:pt idx="443">
                  <c:v>361.44150870702543</c:v>
                </c:pt>
                <c:pt idx="444">
                  <c:v>361.58841623331614</c:v>
                </c:pt>
                <c:pt idx="445">
                  <c:v>361.73550431940674</c:v>
                </c:pt>
                <c:pt idx="446">
                  <c:v>361.87801954550582</c:v>
                </c:pt>
                <c:pt idx="447">
                  <c:v>362.02546292668671</c:v>
                </c:pt>
                <c:pt idx="448">
                  <c:v>362.16832198674416</c:v>
                </c:pt>
                <c:pt idx="449">
                  <c:v>362.31612066301528</c:v>
                </c:pt>
                <c:pt idx="450">
                  <c:v>362.46409989908636</c:v>
                </c:pt>
                <c:pt idx="451">
                  <c:v>362.60269554971472</c:v>
                </c:pt>
                <c:pt idx="452">
                  <c:v>362.75102425636641</c:v>
                </c:pt>
                <c:pt idx="453">
                  <c:v>362.89474008300846</c:v>
                </c:pt>
                <c:pt idx="454">
                  <c:v>363.04342408475031</c:v>
                </c:pt>
                <c:pt idx="455">
                  <c:v>363.18748374535073</c:v>
                </c:pt>
                <c:pt idx="456">
                  <c:v>363.33652304218288</c:v>
                </c:pt>
                <c:pt idx="457">
                  <c:v>363.48574289881498</c:v>
                </c:pt>
                <c:pt idx="458">
                  <c:v>363.63032112866392</c:v>
                </c:pt>
                <c:pt idx="459">
                  <c:v>363.77989628038625</c:v>
                </c:pt>
                <c:pt idx="460">
                  <c:v>363.92481834419351</c:v>
                </c:pt>
                <c:pt idx="461">
                  <c:v>364.07474879100613</c:v>
                </c:pt>
                <c:pt idx="462">
                  <c:v>364.22485979761871</c:v>
                </c:pt>
                <c:pt idx="463">
                  <c:v>364.36059912762335</c:v>
                </c:pt>
                <c:pt idx="464">
                  <c:v>364.51105378030684</c:v>
                </c:pt>
                <c:pt idx="465">
                  <c:v>364.65682697407647</c:v>
                </c:pt>
                <c:pt idx="466">
                  <c:v>364.80763692185013</c:v>
                </c:pt>
                <c:pt idx="467">
                  <c:v>364.95375394957807</c:v>
                </c:pt>
                <c:pt idx="468">
                  <c:v>365.10491919244203</c:v>
                </c:pt>
                <c:pt idx="469">
                  <c:v>365.25626499510594</c:v>
                </c:pt>
                <c:pt idx="470">
                  <c:v>365.40290059208246</c:v>
                </c:pt>
                <c:pt idx="471">
                  <c:v>365.55460168983666</c:v>
                </c:pt>
                <c:pt idx="472">
                  <c:v>365.70158112077144</c:v>
                </c:pt>
                <c:pt idx="473">
                  <c:v>365.85363751361587</c:v>
                </c:pt>
                <c:pt idx="474">
                  <c:v>366.00587446626025</c:v>
                </c:pt>
                <c:pt idx="475">
                  <c:v>366.14353400558394</c:v>
                </c:pt>
                <c:pt idx="476">
                  <c:v>366.29611460429925</c:v>
                </c:pt>
                <c:pt idx="477">
                  <c:v>366.4439451651964</c:v>
                </c:pt>
                <c:pt idx="478">
                  <c:v>366.59688105900193</c:v>
                </c:pt>
                <c:pt idx="479">
                  <c:v>366.74505545385739</c:v>
                </c:pt>
                <c:pt idx="480">
                  <c:v>366.89834664275321</c:v>
                </c:pt>
                <c:pt idx="481">
                  <c:v>367.05181839144893</c:v>
                </c:pt>
                <c:pt idx="482">
                  <c:v>367.20051135555298</c:v>
                </c:pt>
                <c:pt idx="483">
                  <c:v>367.35433839933899</c:v>
                </c:pt>
                <c:pt idx="484">
                  <c:v>367.50337519740134</c:v>
                </c:pt>
                <c:pt idx="485">
                  <c:v>367.65755753627758</c:v>
                </c:pt>
                <c:pt idx="486">
                  <c:v>367.81192043495378</c:v>
                </c:pt>
                <c:pt idx="487">
                  <c:v>367.95150018359652</c:v>
                </c:pt>
                <c:pt idx="488">
                  <c:v>368.10620672834364</c:v>
                </c:pt>
                <c:pt idx="489">
                  <c:v>368.25609465636836</c:v>
                </c:pt>
                <c:pt idx="490">
                  <c:v>368.41115649620571</c:v>
                </c:pt>
                <c:pt idx="491">
                  <c:v>368.56138825818874</c:v>
                </c:pt>
                <c:pt idx="492">
                  <c:v>368.71680539311632</c:v>
                </c:pt>
                <c:pt idx="493">
                  <c:v>368.87240308784385</c:v>
                </c:pt>
                <c:pt idx="494">
                  <c:v>369.02315341907547</c:v>
                </c:pt>
                <c:pt idx="495">
                  <c:v>369.17910640889329</c:v>
                </c:pt>
                <c:pt idx="496">
                  <c:v>369.33020057408322</c:v>
                </c:pt>
                <c:pt idx="497">
                  <c:v>369.48650885899127</c:v>
                </c:pt>
                <c:pt idx="498">
                  <c:v>369.64299770369928</c:v>
                </c:pt>
                <c:pt idx="499">
                  <c:v>369.78955395595574</c:v>
                </c:pt>
                <c:pt idx="500">
                  <c:v>369.94639227124435</c:v>
                </c:pt>
                <c:pt idx="501">
                  <c:v>370.09834320301889</c:v>
                </c:pt>
                <c:pt idx="502">
                  <c:v>370.25553681339773</c:v>
                </c:pt>
                <c:pt idx="503">
                  <c:v>370.40783157913057</c:v>
                </c:pt>
                <c:pt idx="504">
                  <c:v>370.56538048459964</c:v>
                </c:pt>
                <c:pt idx="505">
                  <c:v>370.72310994986867</c:v>
                </c:pt>
                <c:pt idx="506">
                  <c:v>370.87592328485016</c:v>
                </c:pt>
                <c:pt idx="507">
                  <c:v>371.03400804520942</c:v>
                </c:pt>
                <c:pt idx="508">
                  <c:v>371.18716521414916</c:v>
                </c:pt>
                <c:pt idx="509">
                  <c:v>371.34560526959871</c:v>
                </c:pt>
                <c:pt idx="510">
                  <c:v>371.50422588484821</c:v>
                </c:pt>
                <c:pt idx="511">
                  <c:v>371.64765131297651</c:v>
                </c:pt>
                <c:pt idx="512">
                  <c:v>371.80661557429693</c:v>
                </c:pt>
                <c:pt idx="513">
                  <c:v>371.96062387319904</c:v>
                </c:pt>
                <c:pt idx="514">
                  <c:v>372.11994342960969</c:v>
                </c:pt>
                <c:pt idx="515">
                  <c:v>372.27429556247012</c:v>
                </c:pt>
                <c:pt idx="516">
                  <c:v>372.433970413971</c:v>
                </c:pt>
                <c:pt idx="517">
                  <c:v>372.59382582527184</c:v>
                </c:pt>
                <c:pt idx="518">
                  <c:v>372.74869652738084</c:v>
                </c:pt>
                <c:pt idx="519">
                  <c:v>372.90890723377191</c:v>
                </c:pt>
                <c:pt idx="520">
                  <c:v>373.06412176983923</c:v>
                </c:pt>
                <c:pt idx="521">
                  <c:v>373.22468777132059</c:v>
                </c:pt>
                <c:pt idx="522">
                  <c:v>373.3854343326019</c:v>
                </c:pt>
                <c:pt idx="523">
                  <c:v>373.53077997004925</c:v>
                </c:pt>
                <c:pt idx="524">
                  <c:v>373.69187017740148</c:v>
                </c:pt>
                <c:pt idx="525">
                  <c:v>373.84793584343117</c:v>
                </c:pt>
                <c:pt idx="526">
                  <c:v>374.00938134587363</c:v>
                </c:pt>
                <c:pt idx="527">
                  <c:v>374.16579084586158</c:v>
                </c:pt>
                <c:pt idx="528">
                  <c:v>374.32759164339427</c:v>
                </c:pt>
                <c:pt idx="529">
                  <c:v>374.48957300072698</c:v>
                </c:pt>
                <c:pt idx="530">
                  <c:v>374.64650106996351</c:v>
                </c:pt>
                <c:pt idx="531">
                  <c:v>374.80883772238644</c:v>
                </c:pt>
                <c:pt idx="532">
                  <c:v>374.96610962558134</c:v>
                </c:pt>
                <c:pt idx="533">
                  <c:v>375.12880157309451</c:v>
                </c:pt>
                <c:pt idx="534">
                  <c:v>375.29167408040757</c:v>
                </c:pt>
                <c:pt idx="535">
                  <c:v>375.43893992717403</c:v>
                </c:pt>
                <c:pt idx="536">
                  <c:v>375.60215608055807</c:v>
                </c:pt>
                <c:pt idx="537">
                  <c:v>375.76027911371528</c:v>
                </c:pt>
                <c:pt idx="538">
                  <c:v>375.92385056218956</c:v>
                </c:pt>
                <c:pt idx="539">
                  <c:v>376.08231742930508</c:v>
                </c:pt>
                <c:pt idx="540">
                  <c:v>376.24624417286964</c:v>
                </c:pt>
                <c:pt idx="541">
                  <c:v>376.41035147623404</c:v>
                </c:pt>
                <c:pt idx="542">
                  <c:v>376.5693369125982</c:v>
                </c:pt>
                <c:pt idx="543">
                  <c:v>376.73379951105289</c:v>
                </c:pt>
                <c:pt idx="544">
                  <c:v>376.89312878137537</c:v>
                </c:pt>
                <c:pt idx="545">
                  <c:v>377.05794667492034</c:v>
                </c:pt>
                <c:pt idx="546">
                  <c:v>377.22294512826522</c:v>
                </c:pt>
                <c:pt idx="547">
                  <c:v>377.37746198214978</c:v>
                </c:pt>
                <c:pt idx="548">
                  <c:v>377.54280990607532</c:v>
                </c:pt>
                <c:pt idx="549">
                  <c:v>377.70299594298234</c:v>
                </c:pt>
                <c:pt idx="550">
                  <c:v>377.86869916199817</c:v>
                </c:pt>
                <c:pt idx="551">
                  <c:v>378.0292290328635</c:v>
                </c:pt>
                <c:pt idx="552">
                  <c:v>378.1952875469695</c:v>
                </c:pt>
                <c:pt idx="553">
                  <c:v>378.36152662087545</c:v>
                </c:pt>
                <c:pt idx="554">
                  <c:v>378.52257506098942</c:v>
                </c:pt>
                <c:pt idx="555">
                  <c:v>378.68916942998561</c:v>
                </c:pt>
                <c:pt idx="556">
                  <c:v>378.8505617040579</c:v>
                </c:pt>
                <c:pt idx="557">
                  <c:v>379.01751136814437</c:v>
                </c:pt>
                <c:pt idx="558">
                  <c:v>379.18464159203074</c:v>
                </c:pt>
                <c:pt idx="559">
                  <c:v>379.33575311828275</c:v>
                </c:pt>
                <c:pt idx="560">
                  <c:v>379.50322698824004</c:v>
                </c:pt>
                <c:pt idx="561">
                  <c:v>379.6654703922747</c:v>
                </c:pt>
                <c:pt idx="562">
                  <c:v>379.83329955732228</c:v>
                </c:pt>
                <c:pt idx="563">
                  <c:v>379.99588679531519</c:v>
                </c:pt>
                <c:pt idx="564">
                  <c:v>380.164071255453</c:v>
                </c:pt>
                <c:pt idx="565">
                  <c:v>380.33243627539076</c:v>
                </c:pt>
                <c:pt idx="566">
                  <c:v>380.49554208263226</c:v>
                </c:pt>
                <c:pt idx="567">
                  <c:v>380.66426239766031</c:v>
                </c:pt>
                <c:pt idx="568">
                  <c:v>380.82771203886011</c:v>
                </c:pt>
                <c:pt idx="569">
                  <c:v>380.9967876489784</c:v>
                </c:pt>
                <c:pt idx="570">
                  <c:v>381.16604381889658</c:v>
                </c:pt>
                <c:pt idx="571">
                  <c:v>381.31907555446764</c:v>
                </c:pt>
                <c:pt idx="572">
                  <c:v>381.4886753704568</c:v>
                </c:pt>
                <c:pt idx="573">
                  <c:v>381.65297614161898</c:v>
                </c:pt>
                <c:pt idx="574">
                  <c:v>381.82293125269837</c:v>
                </c:pt>
                <c:pt idx="575">
                  <c:v>381.9875758578188</c:v>
                </c:pt>
                <c:pt idx="576">
                  <c:v>382.15788626398847</c:v>
                </c:pt>
                <c:pt idx="577">
                  <c:v>382.32837722995805</c:v>
                </c:pt>
                <c:pt idx="578">
                  <c:v>382.49354040432712</c:v>
                </c:pt>
                <c:pt idx="579">
                  <c:v>382.66438666538698</c:v>
                </c:pt>
                <c:pt idx="580">
                  <c:v>382.82989367371431</c:v>
                </c:pt>
                <c:pt idx="581">
                  <c:v>383.0010952298644</c:v>
                </c:pt>
                <c:pt idx="582">
                  <c:v>383.17247734581446</c:v>
                </c:pt>
                <c:pt idx="583">
                  <c:v>383.32742929070457</c:v>
                </c:pt>
                <c:pt idx="584">
                  <c:v>383.49915505272554</c:v>
                </c:pt>
                <c:pt idx="585">
                  <c:v>383.66551319101524</c:v>
                </c:pt>
                <c:pt idx="586">
                  <c:v>383.83759424812644</c:v>
                </c:pt>
                <c:pt idx="587">
                  <c:v>384.0042962203745</c:v>
                </c:pt>
                <c:pt idx="588">
                  <c:v>384.17673257257593</c:v>
                </c:pt>
                <c:pt idx="589">
                  <c:v>384.34934948457732</c:v>
                </c:pt>
                <c:pt idx="590">
                  <c:v>384.51657002607396</c:v>
                </c:pt>
                <c:pt idx="591">
                  <c:v>384.68954223316558</c:v>
                </c:pt>
                <c:pt idx="592">
                  <c:v>384.85710660862054</c:v>
                </c:pt>
                <c:pt idx="593">
                  <c:v>385.03043411080239</c:v>
                </c:pt>
                <c:pt idx="594">
                  <c:v>385.20394217278431</c:v>
                </c:pt>
                <c:pt idx="595">
                  <c:v>385.36641962829691</c:v>
                </c:pt>
                <c:pt idx="596">
                  <c:v>385.54027716085938</c:v>
                </c:pt>
                <c:pt idx="597">
                  <c:v>385.70869830289894</c:v>
                </c:pt>
                <c:pt idx="598">
                  <c:v>385.88291113055163</c:v>
                </c:pt>
                <c:pt idx="599">
                  <c:v>386.05167610654945</c:v>
                </c:pt>
                <c:pt idx="600">
                  <c:v>386.22624422929243</c:v>
                </c:pt>
                <c:pt idx="601">
                  <c:v>386.40099291183526</c:v>
                </c:pt>
                <c:pt idx="602">
                  <c:v>386.57027645708172</c:v>
                </c:pt>
                <c:pt idx="603">
                  <c:v>386.74538043471489</c:v>
                </c:pt>
                <c:pt idx="604">
                  <c:v>386.91500781391966</c:v>
                </c:pt>
                <c:pt idx="605">
                  <c:v>387.090467086643</c:v>
                </c:pt>
                <c:pt idx="606">
                  <c:v>387.26610691916636</c:v>
                </c:pt>
                <c:pt idx="607">
                  <c:v>387.42490454354203</c:v>
                </c:pt>
                <c:pt idx="608">
                  <c:v>387.6008880221363</c:v>
                </c:pt>
                <c:pt idx="609">
                  <c:v>387.77136653130344</c:v>
                </c:pt>
                <c:pt idx="610">
                  <c:v>387.94770530498789</c:v>
                </c:pt>
                <c:pt idx="611">
                  <c:v>388.11852764811334</c:v>
                </c:pt>
                <c:pt idx="612">
                  <c:v>388.29522171688808</c:v>
                </c:pt>
                <c:pt idx="613">
                  <c:v>388.47209634546277</c:v>
                </c:pt>
                <c:pt idx="614">
                  <c:v>388.64343725783675</c:v>
                </c:pt>
                <c:pt idx="615">
                  <c:v>388.82066718150173</c:v>
                </c:pt>
                <c:pt idx="616">
                  <c:v>388.99235192783402</c:v>
                </c:pt>
                <c:pt idx="617">
                  <c:v>389.16993714658923</c:v>
                </c:pt>
                <c:pt idx="618">
                  <c:v>389.3477029251444</c:v>
                </c:pt>
                <c:pt idx="619">
                  <c:v>389.50842075883912</c:v>
                </c:pt>
                <c:pt idx="620">
                  <c:v>389.68653018346515</c:v>
                </c:pt>
                <c:pt idx="621">
                  <c:v>389.85906605975987</c:v>
                </c:pt>
                <c:pt idx="622">
                  <c:v>390.03753077947613</c:v>
                </c:pt>
                <c:pt idx="623">
                  <c:v>390.21041048972916</c:v>
                </c:pt>
                <c:pt idx="624">
                  <c:v>390.3892305045357</c:v>
                </c:pt>
                <c:pt idx="625">
                  <c:v>390.56823107914221</c:v>
                </c:pt>
                <c:pt idx="626">
                  <c:v>390.74162935864376</c:v>
                </c:pt>
                <c:pt idx="627">
                  <c:v>390.92098522834056</c:v>
                </c:pt>
                <c:pt idx="628">
                  <c:v>391.09472734180042</c:v>
                </c:pt>
                <c:pt idx="629">
                  <c:v>391.27443850658744</c:v>
                </c:pt>
                <c:pt idx="630">
                  <c:v>391.45433023117442</c:v>
                </c:pt>
                <c:pt idx="631">
                  <c:v>391.6169682741882</c:v>
                </c:pt>
                <c:pt idx="632">
                  <c:v>391.79720364484604</c:v>
                </c:pt>
                <c:pt idx="633">
                  <c:v>391.97179688826827</c:v>
                </c:pt>
                <c:pt idx="634">
                  <c:v>392.1523875540164</c:v>
                </c:pt>
                <c:pt idx="635">
                  <c:v>392.32732463139695</c:v>
                </c:pt>
                <c:pt idx="636">
                  <c:v>392.50827059223536</c:v>
                </c:pt>
                <c:pt idx="637">
                  <c:v>392.68939711287362</c:v>
                </c:pt>
                <c:pt idx="638">
                  <c:v>392.86485275950281</c:v>
                </c:pt>
                <c:pt idx="639">
                  <c:v>393.0463345752313</c:v>
                </c:pt>
                <c:pt idx="640">
                  <c:v>393.2221340558188</c:v>
                </c:pt>
                <c:pt idx="641">
                  <c:v>393.40397116663758</c:v>
                </c:pt>
                <c:pt idx="642">
                  <c:v>393.58598883725642</c:v>
                </c:pt>
                <c:pt idx="643">
                  <c:v>393.75642689439712</c:v>
                </c:pt>
                <c:pt idx="644">
                  <c:v>393.93879403559646</c:v>
                </c:pt>
                <c:pt idx="645">
                  <c:v>394.11545028276856</c:v>
                </c:pt>
                <c:pt idx="646">
                  <c:v>394.29817271905813</c:v>
                </c:pt>
                <c:pt idx="647">
                  <c:v>394.47517280018855</c:v>
                </c:pt>
                <c:pt idx="648">
                  <c:v>394.65825053156834</c:v>
                </c:pt>
                <c:pt idx="649">
                  <c:v>394.84150882274821</c:v>
                </c:pt>
                <c:pt idx="650">
                  <c:v>395.01902747312715</c:v>
                </c:pt>
                <c:pt idx="651">
                  <c:v>395.20264105939719</c:v>
                </c:pt>
                <c:pt idx="652">
                  <c:v>395.38050354373445</c:v>
                </c:pt>
                <c:pt idx="653">
                  <c:v>395.56447242509478</c:v>
                </c:pt>
                <c:pt idx="654">
                  <c:v>395.74862186625501</c:v>
                </c:pt>
                <c:pt idx="655">
                  <c:v>395.91510558875439</c:v>
                </c:pt>
                <c:pt idx="656">
                  <c:v>396.09959867598553</c:v>
                </c:pt>
                <c:pt idx="657">
                  <c:v>396.27831229028521</c:v>
                </c:pt>
                <c:pt idx="658">
                  <c:v>396.46316067260659</c:v>
                </c:pt>
                <c:pt idx="659">
                  <c:v>396.64221812086453</c:v>
                </c:pt>
                <c:pt idx="660">
                  <c:v>396.82742179827619</c:v>
                </c:pt>
                <c:pt idx="661">
                  <c:v>397.01280603548781</c:v>
                </c:pt>
                <c:pt idx="662">
                  <c:v>397.19238205299433</c:v>
                </c:pt>
                <c:pt idx="663">
                  <c:v>397.37812158529619</c:v>
                </c:pt>
                <c:pt idx="664">
                  <c:v>397.55804143676102</c:v>
                </c:pt>
                <c:pt idx="665">
                  <c:v>397.74413626415316</c:v>
                </c:pt>
                <c:pt idx="666">
                  <c:v>397.9304116513452</c:v>
                </c:pt>
                <c:pt idx="667">
                  <c:v>398.09881558316363</c:v>
                </c:pt>
                <c:pt idx="668">
                  <c:v>398.28543461642664</c:v>
                </c:pt>
                <c:pt idx="669">
                  <c:v>398.46620559785379</c:v>
                </c:pt>
                <c:pt idx="670">
                  <c:v>398.65317992620703</c:v>
                </c:pt>
                <c:pt idx="671">
                  <c:v>398.83429474159254</c:v>
                </c:pt>
                <c:pt idx="672">
                  <c:v>399.02162436503596</c:v>
                </c:pt>
                <c:pt idx="673">
                  <c:v>399.20913454827939</c:v>
                </c:pt>
                <c:pt idx="674">
                  <c:v>399.39076793291349</c:v>
                </c:pt>
                <c:pt idx="675">
                  <c:v>399.57863341124721</c:v>
                </c:pt>
                <c:pt idx="676">
                  <c:v>399.76061062983956</c:v>
                </c:pt>
                <c:pt idx="677">
                  <c:v>399.94883140326351</c:v>
                </c:pt>
                <c:pt idx="678">
                  <c:v>400.13723273648742</c:v>
                </c:pt>
                <c:pt idx="679">
                  <c:v>400.30755687762485</c:v>
                </c:pt>
                <c:pt idx="680">
                  <c:v>400.49630185691967</c:v>
                </c:pt>
                <c:pt idx="681">
                  <c:v>400.67913020547439</c:v>
                </c:pt>
                <c:pt idx="682">
                  <c:v>400.86823047985945</c:v>
                </c:pt>
                <c:pt idx="683">
                  <c:v>401.05140266237248</c:v>
                </c:pt>
                <c:pt idx="684">
                  <c:v>401.24085823184777</c:v>
                </c:pt>
                <c:pt idx="685">
                  <c:v>401.43049436112301</c:v>
                </c:pt>
                <c:pt idx="686">
                  <c:v>401.61418511288468</c:v>
                </c:pt>
                <c:pt idx="687">
                  <c:v>401.80417653725016</c:v>
                </c:pt>
                <c:pt idx="688">
                  <c:v>401.98821112297009</c:v>
                </c:pt>
                <c:pt idx="689">
                  <c:v>402.17855784242585</c:v>
                </c:pt>
                <c:pt idx="690">
                  <c:v>402.36908512168156</c:v>
                </c:pt>
                <c:pt idx="691">
                  <c:v>402.54748378045036</c:v>
                </c:pt>
                <c:pt idx="692">
                  <c:v>402.73836053028663</c:v>
                </c:pt>
                <c:pt idx="693">
                  <c:v>402.92325188259122</c:v>
                </c:pt>
                <c:pt idx="694">
                  <c:v>403.11448392751771</c:v>
                </c:pt>
                <c:pt idx="695">
                  <c:v>403.29971911378061</c:v>
                </c:pt>
                <c:pt idx="696">
                  <c:v>403.49130645379739</c:v>
                </c:pt>
                <c:pt idx="697">
                  <c:v>403.68307435361407</c:v>
                </c:pt>
                <c:pt idx="698">
                  <c:v>403.86882810912562</c:v>
                </c:pt>
                <c:pt idx="699">
                  <c:v>404.06095130403259</c:v>
                </c:pt>
                <c:pt idx="700">
                  <c:v>404.24704889350232</c:v>
                </c:pt>
                <c:pt idx="701">
                  <c:v>404.43952738349958</c:v>
                </c:pt>
                <c:pt idx="702">
                  <c:v>404.63218643329674</c:v>
                </c:pt>
                <c:pt idx="703">
                  <c:v>404.80635625391983</c:v>
                </c:pt>
                <c:pt idx="704">
                  <c:v>404.9993589497879</c:v>
                </c:pt>
                <c:pt idx="705">
                  <c:v>405.18630766922001</c:v>
                </c:pt>
                <c:pt idx="706">
                  <c:v>405.37966566017838</c:v>
                </c:pt>
                <c:pt idx="707">
                  <c:v>405.5669582135688</c:v>
                </c:pt>
                <c:pt idx="708">
                  <c:v>405.76067149961733</c:v>
                </c:pt>
                <c:pt idx="709">
                  <c:v>405.95456534546588</c:v>
                </c:pt>
                <c:pt idx="710">
                  <c:v>406.14237646810494</c:v>
                </c:pt>
                <c:pt idx="711">
                  <c:v>406.33662560904378</c:v>
                </c:pt>
                <c:pt idx="712">
                  <c:v>406.52478056564109</c:v>
                </c:pt>
                <c:pt idx="713">
                  <c:v>406.7193850016701</c:v>
                </c:pt>
                <c:pt idx="714">
                  <c:v>406.91416999749913</c:v>
                </c:pt>
                <c:pt idx="715">
                  <c:v>407.09026002744122</c:v>
                </c:pt>
                <c:pt idx="716">
                  <c:v>407.2853886693411</c:v>
                </c:pt>
                <c:pt idx="717">
                  <c:v>407.47439475590079</c:v>
                </c:pt>
                <c:pt idx="718">
                  <c:v>407.66987869289096</c:v>
                </c:pt>
                <c:pt idx="719">
                  <c:v>407.85922861340896</c:v>
                </c:pt>
                <c:pt idx="720">
                  <c:v>408.05506784548936</c:v>
                </c:pt>
                <c:pt idx="721">
                  <c:v>408.25108763736966</c:v>
                </c:pt>
                <c:pt idx="722">
                  <c:v>408.4409561271363</c:v>
                </c:pt>
                <c:pt idx="723">
                  <c:v>408.63733121410689</c:v>
                </c:pt>
                <c:pt idx="724">
                  <c:v>408.82754353783179</c:v>
                </c:pt>
                <c:pt idx="725">
                  <c:v>409.02427391989261</c:v>
                </c:pt>
                <c:pt idx="726">
                  <c:v>409.22118486175344</c:v>
                </c:pt>
                <c:pt idx="727">
                  <c:v>409.39919510101458</c:v>
                </c:pt>
                <c:pt idx="728">
                  <c:v>409.59644968894628</c:v>
                </c:pt>
                <c:pt idx="729">
                  <c:v>409.78751314263354</c:v>
                </c:pt>
                <c:pt idx="730">
                  <c:v>409.98512302565553</c:v>
                </c:pt>
                <c:pt idx="731">
                  <c:v>410.17653031330104</c:v>
                </c:pt>
                <c:pt idx="732">
                  <c:v>410.37449549141326</c:v>
                </c:pt>
                <c:pt idx="733">
                  <c:v>410.57264122932543</c:v>
                </c:pt>
                <c:pt idx="734">
                  <c:v>410.76456708621959</c:v>
                </c:pt>
                <c:pt idx="735">
                  <c:v>410.96306811922199</c:v>
                </c:pt>
                <c:pt idx="736">
                  <c:v>411.15533781007446</c:v>
                </c:pt>
                <c:pt idx="737">
                  <c:v>411.35419413816714</c:v>
                </c:pt>
                <c:pt idx="738">
                  <c:v>411.55323102605973</c:v>
                </c:pt>
                <c:pt idx="739">
                  <c:v>411.73959028645669</c:v>
                </c:pt>
                <c:pt idx="740">
                  <c:v>411.93897664492988</c:v>
                </c:pt>
                <c:pt idx="741">
                  <c:v>412.13210310236695</c:v>
                </c:pt>
                <c:pt idx="742">
                  <c:v>412.33184475593038</c:v>
                </c:pt>
                <c:pt idx="743">
                  <c:v>412.52531504732582</c:v>
                </c:pt>
                <c:pt idx="744">
                  <c:v>412.72541199597947</c:v>
                </c:pt>
                <c:pt idx="745">
                  <c:v>412.92568950443308</c:v>
                </c:pt>
                <c:pt idx="746">
                  <c:v>413.11967836507711</c:v>
                </c:pt>
                <c:pt idx="747">
                  <c:v>413.320311168621</c:v>
                </c:pt>
                <c:pt idx="748">
                  <c:v>413.51464386322328</c:v>
                </c:pt>
                <c:pt idx="749">
                  <c:v>413.71563196185741</c:v>
                </c:pt>
                <c:pt idx="750">
                  <c:v>413.91680062029155</c:v>
                </c:pt>
                <c:pt idx="751">
                  <c:v>414.0986565390383</c:v>
                </c:pt>
                <c:pt idx="752">
                  <c:v>414.3001688435433</c:v>
                </c:pt>
                <c:pt idx="753">
                  <c:v>414.4953526681079</c:v>
                </c:pt>
                <c:pt idx="754">
                  <c:v>414.69722026770319</c:v>
                </c:pt>
                <c:pt idx="755">
                  <c:v>414.89274792622609</c:v>
                </c:pt>
                <c:pt idx="756">
                  <c:v>415.09497082091161</c:v>
                </c:pt>
                <c:pt idx="757">
                  <c:v>415.29737427539709</c:v>
                </c:pt>
                <c:pt idx="758">
                  <c:v>415.49342050316864</c:v>
                </c:pt>
                <c:pt idx="759">
                  <c:v>415.69617925274434</c:v>
                </c:pt>
                <c:pt idx="760">
                  <c:v>415.8925693144742</c:v>
                </c:pt>
                <c:pt idx="761">
                  <c:v>416.09568335914014</c:v>
                </c:pt>
                <c:pt idx="762">
                  <c:v>416.29897796360609</c:v>
                </c:pt>
                <c:pt idx="763">
                  <c:v>416.48275409167184</c:v>
                </c:pt>
                <c:pt idx="764">
                  <c:v>416.68639234220871</c:v>
                </c:pt>
                <c:pt idx="765">
                  <c:v>416.88363353390082</c:v>
                </c:pt>
                <c:pt idx="766">
                  <c:v>417.08762707952792</c:v>
                </c:pt>
                <c:pt idx="767">
                  <c:v>417.2852121051784</c:v>
                </c:pt>
                <c:pt idx="768">
                  <c:v>417.48956094589573</c:v>
                </c:pt>
                <c:pt idx="769">
                  <c:v>417.69409034641302</c:v>
                </c:pt>
                <c:pt idx="770">
                  <c:v>417.89219394131214</c:v>
                </c:pt>
                <c:pt idx="771">
                  <c:v>418.0970786369196</c:v>
                </c:pt>
                <c:pt idx="772">
                  <c:v>418.29552606577704</c:v>
                </c:pt>
                <c:pt idx="773">
                  <c:v>418.50076605647484</c:v>
                </c:pt>
                <c:pt idx="774">
                  <c:v>418.70618660697255</c:v>
                </c:pt>
                <c:pt idx="775">
                  <c:v>418.89188294435741</c:v>
                </c:pt>
                <c:pt idx="776">
                  <c:v>419.09764714092597</c:v>
                </c:pt>
                <c:pt idx="777">
                  <c:v>419.29694569974578</c:v>
                </c:pt>
                <c:pt idx="778">
                  <c:v>419.50306519140463</c:v>
                </c:pt>
                <c:pt idx="779">
                  <c:v>419.70270758418269</c:v>
                </c:pt>
                <c:pt idx="780">
                  <c:v>419.90918237093183</c:v>
                </c:pt>
                <c:pt idx="781">
                  <c:v>420.11583771748093</c:v>
                </c:pt>
                <c:pt idx="782">
                  <c:v>420.31599867950763</c:v>
                </c:pt>
                <c:pt idx="783">
                  <c:v>420.5230093211469</c:v>
                </c:pt>
                <c:pt idx="784">
                  <c:v>420.72351411713191</c:v>
                </c:pt>
                <c:pt idx="785">
                  <c:v>420.93088005386147</c:v>
                </c:pt>
                <c:pt idx="786">
                  <c:v>421.13842655039105</c:v>
                </c:pt>
                <c:pt idx="787">
                  <c:v>421.33274641241604</c:v>
                </c:pt>
                <c:pt idx="788">
                  <c:v>421.54064237952616</c:v>
                </c:pt>
                <c:pt idx="789">
                  <c:v>421.74200394209572</c:v>
                </c:pt>
                <c:pt idx="790">
                  <c:v>421.95025520429613</c:v>
                </c:pt>
                <c:pt idx="791">
                  <c:v>422.151960600824</c:v>
                </c:pt>
                <c:pt idx="792">
                  <c:v>422.36056715811458</c:v>
                </c:pt>
                <c:pt idx="793">
                  <c:v>422.56935427520517</c:v>
                </c:pt>
                <c:pt idx="794">
                  <c:v>422.77157824098168</c:v>
                </c:pt>
                <c:pt idx="795">
                  <c:v>422.98072065316251</c:v>
                </c:pt>
                <c:pt idx="796">
                  <c:v>423.18328845289727</c:v>
                </c:pt>
                <c:pt idx="797">
                  <c:v>423.39278616016838</c:v>
                </c:pt>
                <c:pt idx="798">
                  <c:v>423.6024644272394</c:v>
                </c:pt>
                <c:pt idx="799">
                  <c:v>423.7920064441098</c:v>
                </c:pt>
                <c:pt idx="800">
                  <c:v>424.00202835725173</c:v>
                </c:pt>
                <c:pt idx="801">
                  <c:v>424.20544728694887</c:v>
                </c:pt>
                <c:pt idx="802">
                  <c:v>424.41582449518103</c:v>
                </c:pt>
                <c:pt idx="803">
                  <c:v>424.61958725883648</c:v>
                </c:pt>
                <c:pt idx="804">
                  <c:v>424.83031976215887</c:v>
                </c:pt>
                <c:pt idx="805">
                  <c:v>425.04123282528133</c:v>
                </c:pt>
                <c:pt idx="806">
                  <c:v>425.24551415818536</c:v>
                </c:pt>
                <c:pt idx="807">
                  <c:v>425.45678251639799</c:v>
                </c:pt>
                <c:pt idx="808">
                  <c:v>425.66140768326034</c:v>
                </c:pt>
                <c:pt idx="809">
                  <c:v>425.87303133656326</c:v>
                </c:pt>
                <c:pt idx="810">
                  <c:v>426.08483554966608</c:v>
                </c:pt>
                <c:pt idx="811">
                  <c:v>426.27629777585554</c:v>
                </c:pt>
                <c:pt idx="812">
                  <c:v>426.48844563502922</c:v>
                </c:pt>
                <c:pt idx="813">
                  <c:v>426.69392193185399</c:v>
                </c:pt>
                <c:pt idx="814">
                  <c:v>426.90642508611796</c:v>
                </c:pt>
                <c:pt idx="815">
                  <c:v>427.11224521690099</c:v>
                </c:pt>
                <c:pt idx="816">
                  <c:v>427.32510366625525</c:v>
                </c:pt>
                <c:pt idx="817">
                  <c:v>427.5381426754094</c:v>
                </c:pt>
                <c:pt idx="818">
                  <c:v>427.74448137544107</c:v>
                </c:pt>
                <c:pt idx="819">
                  <c:v>427.95787567968546</c:v>
                </c:pt>
                <c:pt idx="820">
                  <c:v>428.16455821367538</c:v>
                </c:pt>
                <c:pt idx="821">
                  <c:v>428.37830781301011</c:v>
                </c:pt>
                <c:pt idx="822">
                  <c:v>428.59223797214474</c:v>
                </c:pt>
                <c:pt idx="823">
                  <c:v>428.7856204076532</c:v>
                </c:pt>
                <c:pt idx="824">
                  <c:v>428.99989421285875</c:v>
                </c:pt>
                <c:pt idx="825">
                  <c:v>429.20742787681104</c:v>
                </c:pt>
                <c:pt idx="826">
                  <c:v>429.42205697710688</c:v>
                </c:pt>
                <c:pt idx="827">
                  <c:v>429.62993447501742</c:v>
                </c:pt>
                <c:pt idx="828">
                  <c:v>429.84491887040349</c:v>
                </c:pt>
                <c:pt idx="829">
                  <c:v>430.06008382558946</c:v>
                </c:pt>
                <c:pt idx="830">
                  <c:v>430.26847989274864</c:v>
                </c:pt>
                <c:pt idx="831">
                  <c:v>430.4840001430249</c:v>
                </c:pt>
                <c:pt idx="832">
                  <c:v>430.6927400441424</c:v>
                </c:pt>
                <c:pt idx="833">
                  <c:v>430.90861558950888</c:v>
                </c:pt>
                <c:pt idx="834">
                  <c:v>431.12467169467538</c:v>
                </c:pt>
                <c:pt idx="835">
                  <c:v>431.32695215832848</c:v>
                </c:pt>
                <c:pt idx="836">
                  <c:v>431.54335773407553</c:v>
                </c:pt>
                <c:pt idx="837">
                  <c:v>431.75295440177757</c:v>
                </c:pt>
                <c:pt idx="838">
                  <c:v>431.96971527261491</c:v>
                </c:pt>
                <c:pt idx="839">
                  <c:v>432.17965577427526</c:v>
                </c:pt>
                <c:pt idx="840">
                  <c:v>432.39677194020283</c:v>
                </c:pt>
                <c:pt idx="841">
                  <c:v>432.61406866593029</c:v>
                </c:pt>
                <c:pt idx="842">
                  <c:v>432.82452773683934</c:v>
                </c:pt>
                <c:pt idx="843">
                  <c:v>433.0421797576571</c:v>
                </c:pt>
                <c:pt idx="844">
                  <c:v>433.25298266252435</c:v>
                </c:pt>
                <c:pt idx="845">
                  <c:v>433.47098997843239</c:v>
                </c:pt>
                <c:pt idx="846">
                  <c:v>433.68917785414033</c:v>
                </c:pt>
                <c:pt idx="847">
                  <c:v>433.88640596913439</c:v>
                </c:pt>
                <c:pt idx="848">
                  <c:v>434.10493749091319</c:v>
                </c:pt>
                <c:pt idx="849">
                  <c:v>434.31659152574287</c:v>
                </c:pt>
                <c:pt idx="850">
                  <c:v>434.53547834261201</c:v>
                </c:pt>
                <c:pt idx="851">
                  <c:v>434.74747621139988</c:v>
                </c:pt>
                <c:pt idx="852">
                  <c:v>434.96671832335926</c:v>
                </c:pt>
                <c:pt idx="853">
                  <c:v>435.18614099511859</c:v>
                </c:pt>
                <c:pt idx="854">
                  <c:v>435.39865743315517</c:v>
                </c:pt>
                <c:pt idx="855">
                  <c:v>435.61843540000473</c:v>
                </c:pt>
                <c:pt idx="856">
                  <c:v>435.83129567199956</c:v>
                </c:pt>
                <c:pt idx="857">
                  <c:v>436.05142893393941</c:v>
                </c:pt>
                <c:pt idx="858">
                  <c:v>436.27174275567916</c:v>
                </c:pt>
                <c:pt idx="859">
                  <c:v>436.47089107999227</c:v>
                </c:pt>
                <c:pt idx="860">
                  <c:v>436.69154854780288</c:v>
                </c:pt>
                <c:pt idx="861">
                  <c:v>436.90525994976014</c:v>
                </c:pt>
                <c:pt idx="862">
                  <c:v>437.12627271266103</c:v>
                </c:pt>
                <c:pt idx="863">
                  <c:v>437.34032794857654</c:v>
                </c:pt>
                <c:pt idx="864">
                  <c:v>437.56169600656773</c:v>
                </c:pt>
                <c:pt idx="865">
                  <c:v>437.78324462435887</c:v>
                </c:pt>
                <c:pt idx="866">
                  <c:v>437.99781842952297</c:v>
                </c:pt>
                <c:pt idx="867">
                  <c:v>438.21972234240434</c:v>
                </c:pt>
                <c:pt idx="868">
                  <c:v>438.43463998152674</c:v>
                </c:pt>
                <c:pt idx="869">
                  <c:v>438.6568991894984</c:v>
                </c:pt>
                <c:pt idx="870">
                  <c:v>438.87933895726997</c:v>
                </c:pt>
                <c:pt idx="871">
                  <c:v>439.08040749090213</c:v>
                </c:pt>
                <c:pt idx="872">
                  <c:v>439.30319090474461</c:v>
                </c:pt>
                <c:pt idx="873">
                  <c:v>439.51895967382939</c:v>
                </c:pt>
                <c:pt idx="874">
                  <c:v>439.74209838276209</c:v>
                </c:pt>
                <c:pt idx="875">
                  <c:v>439.95821098580518</c:v>
                </c:pt>
                <c:pt idx="876">
                  <c:v>440.18170498982818</c:v>
                </c:pt>
                <c:pt idx="877">
                  <c:v>440.40537955365107</c:v>
                </c:pt>
                <c:pt idx="878">
                  <c:v>440.62201072594274</c:v>
                </c:pt>
                <c:pt idx="879">
                  <c:v>440.84604058485593</c:v>
                </c:pt>
                <c:pt idx="880">
                  <c:v>441.06301559110591</c:v>
                </c:pt>
                <c:pt idx="881">
                  <c:v>441.28740074510938</c:v>
                </c:pt>
                <c:pt idx="882">
                  <c:v>441.51196645891275</c:v>
                </c:pt>
                <c:pt idx="883">
                  <c:v>441.72220752419395</c:v>
                </c:pt>
                <c:pt idx="884">
                  <c:v>441.94712270857787</c:v>
                </c:pt>
                <c:pt idx="885">
                  <c:v>442.16495448141251</c:v>
                </c:pt>
                <c:pt idx="886">
                  <c:v>442.39022496088671</c:v>
                </c:pt>
                <c:pt idx="887">
                  <c:v>442.60840056767961</c:v>
                </c:pt>
                <c:pt idx="888">
                  <c:v>442.8340263422441</c:v>
                </c:pt>
                <c:pt idx="889">
                  <c:v>443.05983267660849</c:v>
                </c:pt>
                <c:pt idx="890">
                  <c:v>443.27852685265003</c:v>
                </c:pt>
                <c:pt idx="891">
                  <c:v>443.50468848210465</c:v>
                </c:pt>
                <c:pt idx="892">
                  <c:v>443.7237264921045</c:v>
                </c:pt>
                <c:pt idx="893">
                  <c:v>443.95024341664941</c:v>
                </c:pt>
                <c:pt idx="894">
                  <c:v>444.17694090099428</c:v>
                </c:pt>
                <c:pt idx="895">
                  <c:v>444.381855114112</c:v>
                </c:pt>
                <c:pt idx="896">
                  <c:v>444.60889624452773</c:v>
                </c:pt>
                <c:pt idx="897">
                  <c:v>444.82878538448995</c:v>
                </c:pt>
                <c:pt idx="898">
                  <c:v>445.05618180999602</c:v>
                </c:pt>
                <c:pt idx="899">
                  <c:v>445.27641478391644</c:v>
                </c:pt>
                <c:pt idx="900">
                  <c:v>445.50416650451268</c:v>
                </c:pt>
                <c:pt idx="901">
                  <c:v>445.73209878490894</c:v>
                </c:pt>
                <c:pt idx="902">
                  <c:v>445.95285032807794</c:v>
                </c:pt>
                <c:pt idx="903">
                  <c:v>446.18113790356449</c:v>
                </c:pt>
                <c:pt idx="904">
                  <c:v>446.40223328069186</c:v>
                </c:pt>
                <c:pt idx="905">
                  <c:v>446.63087615126858</c:v>
                </c:pt>
                <c:pt idx="906">
                  <c:v>446.85969958164532</c:v>
                </c:pt>
                <c:pt idx="907">
                  <c:v>447.06653400408203</c:v>
                </c:pt>
                <c:pt idx="908">
                  <c:v>447.29570108052962</c:v>
                </c:pt>
                <c:pt idx="909">
                  <c:v>447.51764758761936</c:v>
                </c:pt>
                <c:pt idx="910">
                  <c:v>447.74716995915719</c:v>
                </c:pt>
                <c:pt idx="911">
                  <c:v>447.96946030020524</c:v>
                </c:pt>
                <c:pt idx="912">
                  <c:v>448.19933796683335</c:v>
                </c:pt>
                <c:pt idx="913">
                  <c:v>448.42939619326137</c:v>
                </c:pt>
                <c:pt idx="914">
                  <c:v>448.652205103558</c:v>
                </c:pt>
                <c:pt idx="915">
                  <c:v>448.88261862507625</c:v>
                </c:pt>
                <c:pt idx="916">
                  <c:v>449.10577136933125</c:v>
                </c:pt>
                <c:pt idx="917">
                  <c:v>449.33654018593973</c:v>
                </c:pt>
                <c:pt idx="918">
                  <c:v>449.56748956234821</c:v>
                </c:pt>
                <c:pt idx="919">
                  <c:v>449.77624419410409</c:v>
                </c:pt>
                <c:pt idx="920">
                  <c:v>450.0075372165835</c:v>
                </c:pt>
                <c:pt idx="921">
                  <c:v>450.23154109080076</c:v>
                </c:pt>
                <c:pt idx="922">
                  <c:v>450.46318940837045</c:v>
                </c:pt>
                <c:pt idx="923">
                  <c:v>450.68753711654603</c:v>
                </c:pt>
                <c:pt idx="924">
                  <c:v>450.91954072920589</c:v>
                </c:pt>
                <c:pt idx="925">
                  <c:v>451.15172490166577</c:v>
                </c:pt>
                <c:pt idx="926">
                  <c:v>451.37659117908993</c:v>
                </c:pt>
                <c:pt idx="927">
                  <c:v>451.60913064664004</c:v>
                </c:pt>
                <c:pt idx="928">
                  <c:v>451.83434075802256</c:v>
                </c:pt>
                <c:pt idx="929">
                  <c:v>452.0672355206629</c:v>
                </c:pt>
                <c:pt idx="930">
                  <c:v>452.3003108431032</c:v>
                </c:pt>
                <c:pt idx="931">
                  <c:v>452.5185125100125</c:v>
                </c:pt>
                <c:pt idx="932">
                  <c:v>452.75193730303334</c:v>
                </c:pt>
                <c:pt idx="933">
                  <c:v>452.97800418100047</c:v>
                </c:pt>
                <c:pt idx="934">
                  <c:v>453.2117842691116</c:v>
                </c:pt>
                <c:pt idx="935">
                  <c:v>453.43819498103704</c:v>
                </c:pt>
                <c:pt idx="936">
                  <c:v>453.67233036423841</c:v>
                </c:pt>
                <c:pt idx="937">
                  <c:v>453.90664630723978</c:v>
                </c:pt>
                <c:pt idx="938">
                  <c:v>454.13357558841381</c:v>
                </c:pt>
                <c:pt idx="939">
                  <c:v>454.36824682650536</c:v>
                </c:pt>
                <c:pt idx="940">
                  <c:v>454.59551994163769</c:v>
                </c:pt>
                <c:pt idx="941">
                  <c:v>454.83054647481953</c:v>
                </c:pt>
                <c:pt idx="942">
                  <c:v>455.06575356780132</c:v>
                </c:pt>
                <c:pt idx="943">
                  <c:v>455.2783538790427</c:v>
                </c:pt>
                <c:pt idx="944">
                  <c:v>455.51390461809535</c:v>
                </c:pt>
                <c:pt idx="945">
                  <c:v>455.74202886319006</c:v>
                </c:pt>
                <c:pt idx="946">
                  <c:v>455.97793489733306</c:v>
                </c:pt>
                <c:pt idx="947">
                  <c:v>456.20640297638602</c:v>
                </c:pt>
                <c:pt idx="948">
                  <c:v>456.44266430561919</c:v>
                </c:pt>
                <c:pt idx="949">
                  <c:v>456.67910619465238</c:v>
                </c:pt>
                <c:pt idx="950">
                  <c:v>456.90809284295392</c:v>
                </c:pt>
                <c:pt idx="951">
                  <c:v>457.14489002707728</c:v>
                </c:pt>
                <c:pt idx="952">
                  <c:v>457.37422050933719</c:v>
                </c:pt>
                <c:pt idx="953">
                  <c:v>457.6113729885509</c:v>
                </c:pt>
                <c:pt idx="954">
                  <c:v>457.84870602756445</c:v>
                </c:pt>
                <c:pt idx="955">
                  <c:v>458.06322654812487</c:v>
                </c:pt>
                <c:pt idx="956">
                  <c:v>458.3009032332094</c:v>
                </c:pt>
                <c:pt idx="957">
                  <c:v>458.53108484543168</c:v>
                </c:pt>
                <c:pt idx="958">
                  <c:v>458.76911682560649</c:v>
                </c:pt>
                <c:pt idx="959">
                  <c:v>458.99964227178697</c:v>
                </c:pt>
                <c:pt idx="960">
                  <c:v>459.23802954705195</c:v>
                </c:pt>
                <c:pt idx="961">
                  <c:v>459.47659738211695</c:v>
                </c:pt>
                <c:pt idx="962">
                  <c:v>459.70764139754601</c:v>
                </c:pt>
                <c:pt idx="963">
                  <c:v>459.9465645277013</c:v>
                </c:pt>
                <c:pt idx="964">
                  <c:v>460.17795237708873</c:v>
                </c:pt>
                <c:pt idx="965">
                  <c:v>460.41723080233419</c:v>
                </c:pt>
                <c:pt idx="966">
                  <c:v>460.65668978737961</c:v>
                </c:pt>
                <c:pt idx="967">
                  <c:v>460.87313051725909</c:v>
                </c:pt>
                <c:pt idx="968">
                  <c:v>461.11293314837542</c:v>
                </c:pt>
                <c:pt idx="969">
                  <c:v>461.34517212772522</c:v>
                </c:pt>
                <c:pt idx="970">
                  <c:v>461.58533005393178</c:v>
                </c:pt>
                <c:pt idx="971">
                  <c:v>461.8179128672399</c:v>
                </c:pt>
                <c:pt idx="972">
                  <c:v>462.05842608853669</c:v>
                </c:pt>
                <c:pt idx="973">
                  <c:v>462.2991198696335</c:v>
                </c:pt>
                <c:pt idx="974">
                  <c:v>462.53222125219014</c:v>
                </c:pt>
                <c:pt idx="975">
                  <c:v>462.77327032837718</c:v>
                </c:pt>
                <c:pt idx="976">
                  <c:v>463.00671554489219</c:v>
                </c:pt>
                <c:pt idx="977">
                  <c:v>463.24811991616946</c:v>
                </c:pt>
                <c:pt idx="978">
                  <c:v>463.48970484724668</c:v>
                </c:pt>
                <c:pt idx="979">
                  <c:v>463.71586711578408</c:v>
                </c:pt>
                <c:pt idx="980">
                  <c:v>463.95780151744185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E-43E2-A04C-16744D8F4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667024"/>
        <c:axId val="417676176"/>
      </c:lineChart>
      <c:dateAx>
        <c:axId val="417667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76176"/>
        <c:crosses val="autoZero"/>
        <c:auto val="1"/>
        <c:lblOffset val="100"/>
        <c:baseTimeUnit val="months"/>
      </c:dateAx>
      <c:valAx>
        <c:axId val="417676176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6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D-42C9-9BB7-19133218B19D}"/>
            </c:ext>
          </c:extLst>
        </c:ser>
        <c:ser>
          <c:idx val="1"/>
          <c:order val="1"/>
          <c:tx>
            <c:strRef>
              <c:f>'2次多項式モデル'!$L$1</c:f>
              <c:strCache>
                <c:ptCount val="1"/>
                <c:pt idx="0">
                  <c:v>TS(t)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'2次多項式モデル'!$L$2:$L$982</c:f>
              <c:numCache>
                <c:formatCode>0.00_ ;[Red]\-0.00\ </c:formatCode>
                <c:ptCount val="981"/>
                <c:pt idx="0">
                  <c:v>315.69697538711114</c:v>
                </c:pt>
                <c:pt idx="1">
                  <c:v>316.92582521084324</c:v>
                </c:pt>
                <c:pt idx="2">
                  <c:v>317.45434646469715</c:v>
                </c:pt>
                <c:pt idx="3">
                  <c:v>315.41376660566743</c:v>
                </c:pt>
                <c:pt idx="4">
                  <c:v>313.42634467886938</c:v>
                </c:pt>
                <c:pt idx="5">
                  <c:v>311.65082751397608</c:v>
                </c:pt>
                <c:pt idx="6">
                  <c:v>312.79358098827976</c:v>
                </c:pt>
                <c:pt idx="7">
                  <c:v>313.98875638938148</c:v>
                </c:pt>
                <c:pt idx="8">
                  <c:v>314.9715725578215</c:v>
                </c:pt>
                <c:pt idx="9">
                  <c:v>315.68007115135714</c:v>
                </c:pt>
                <c:pt idx="10">
                  <c:v>316.50300377400214</c:v>
                </c:pt>
                <c:pt idx="11">
                  <c:v>317.733979543766</c:v>
                </c:pt>
                <c:pt idx="12">
                  <c:v>318.26455816474748</c:v>
                </c:pt>
                <c:pt idx="13">
                  <c:v>317.66235790441777</c:v>
                </c:pt>
                <c:pt idx="14">
                  <c:v>316.22816161887715</c:v>
                </c:pt>
                <c:pt idx="15">
                  <c:v>314.24286563811091</c:v>
                </c:pt>
                <c:pt idx="16">
                  <c:v>312.46947441924942</c:v>
                </c:pt>
                <c:pt idx="17">
                  <c:v>312.34197555126116</c:v>
                </c:pt>
                <c:pt idx="18">
                  <c:v>313.61641120671248</c:v>
                </c:pt>
                <c:pt idx="19">
                  <c:v>314.81364397494173</c:v>
                </c:pt>
                <c:pt idx="20">
                  <c:v>315.79858608941362</c:v>
                </c:pt>
                <c:pt idx="21">
                  <c:v>316.50921062898107</c:v>
                </c:pt>
                <c:pt idx="22">
                  <c:v>317.33637472019552</c:v>
                </c:pt>
                <c:pt idx="23">
                  <c:v>318.56948226050093</c:v>
                </c:pt>
                <c:pt idx="24">
                  <c:v>319.10212388523223</c:v>
                </c:pt>
                <c:pt idx="25">
                  <c:v>318.50205539544402</c:v>
                </c:pt>
                <c:pt idx="26">
                  <c:v>317.06992211365321</c:v>
                </c:pt>
                <c:pt idx="27">
                  <c:v>315.08675790342846</c:v>
                </c:pt>
                <c:pt idx="28">
                  <c:v>313.31549845510847</c:v>
                </c:pt>
                <c:pt idx="29">
                  <c:v>313.19006259087001</c:v>
                </c:pt>
                <c:pt idx="30">
                  <c:v>314.46663001686284</c:v>
                </c:pt>
                <c:pt idx="31">
                  <c:v>315.66592578884189</c:v>
                </c:pt>
                <c:pt idx="32">
                  <c:v>316.65299967385528</c:v>
                </c:pt>
                <c:pt idx="33">
                  <c:v>317.36575598396416</c:v>
                </c:pt>
                <c:pt idx="34">
                  <c:v>318.19253428609471</c:v>
                </c:pt>
                <c:pt idx="35">
                  <c:v>319.42776777243193</c:v>
                </c:pt>
                <c:pt idx="36">
                  <c:v>319.96246676429081</c:v>
                </c:pt>
                <c:pt idx="37">
                  <c:v>319.36452422053435</c:v>
                </c:pt>
                <c:pt idx="38">
                  <c:v>317.93444830587117</c:v>
                </c:pt>
                <c:pt idx="39">
                  <c:v>315.95341004167818</c:v>
                </c:pt>
                <c:pt idx="40">
                  <c:v>314.18427653939</c:v>
                </c:pt>
                <c:pt idx="41">
                  <c:v>314.06089804227912</c:v>
                </c:pt>
                <c:pt idx="42">
                  <c:v>315.33959141430375</c:v>
                </c:pt>
                <c:pt idx="43">
                  <c:v>316.54094455341038</c:v>
                </c:pt>
                <c:pt idx="44">
                  <c:v>317.53014438445553</c:v>
                </c:pt>
                <c:pt idx="45">
                  <c:v>318.24502664059628</c:v>
                </c:pt>
                <c:pt idx="46">
                  <c:v>319.07372515204588</c:v>
                </c:pt>
                <c:pt idx="47">
                  <c:v>320.31108458441486</c:v>
                </c:pt>
                <c:pt idx="48">
                  <c:v>320.84784094340131</c:v>
                </c:pt>
                <c:pt idx="49">
                  <c:v>320.25202434567672</c:v>
                </c:pt>
                <c:pt idx="50">
                  <c:v>318.82400579814106</c:v>
                </c:pt>
                <c:pt idx="51">
                  <c:v>316.84509347997994</c:v>
                </c:pt>
                <c:pt idx="52">
                  <c:v>315.07808592372356</c:v>
                </c:pt>
                <c:pt idx="53">
                  <c:v>314.95676479374021</c:v>
                </c:pt>
                <c:pt idx="54">
                  <c:v>316.23758411179665</c:v>
                </c:pt>
                <c:pt idx="55">
                  <c:v>317.44099461803086</c:v>
                </c:pt>
                <c:pt idx="56">
                  <c:v>318.43232039510781</c:v>
                </c:pt>
                <c:pt idx="57">
                  <c:v>319.14932859728037</c:v>
                </c:pt>
                <c:pt idx="58">
                  <c:v>319.97994731804903</c:v>
                </c:pt>
                <c:pt idx="59">
                  <c:v>321.21943269644981</c:v>
                </c:pt>
                <c:pt idx="60">
                  <c:v>321.75824642256384</c:v>
                </c:pt>
                <c:pt idx="61">
                  <c:v>321.16455577087106</c:v>
                </c:pt>
                <c:pt idx="62">
                  <c:v>319.73859459046292</c:v>
                </c:pt>
                <c:pt idx="63">
                  <c:v>317.76180821833361</c:v>
                </c:pt>
                <c:pt idx="64">
                  <c:v>315.99692660810905</c:v>
                </c:pt>
                <c:pt idx="65">
                  <c:v>315.87766284525327</c:v>
                </c:pt>
                <c:pt idx="66">
                  <c:v>317.16060810934152</c:v>
                </c:pt>
                <c:pt idx="67">
                  <c:v>318.36607598270325</c:v>
                </c:pt>
                <c:pt idx="68">
                  <c:v>319.35952770581207</c:v>
                </c:pt>
                <c:pt idx="69">
                  <c:v>322.69628042566518</c:v>
                </c:pt>
                <c:pt idx="70">
                  <c:v>322.10472154451384</c:v>
                </c:pt>
                <c:pt idx="71">
                  <c:v>320.68082336785557</c:v>
                </c:pt>
                <c:pt idx="72">
                  <c:v>318.70616876626769</c:v>
                </c:pt>
                <c:pt idx="73">
                  <c:v>316.94341892658463</c:v>
                </c:pt>
                <c:pt idx="74">
                  <c:v>316.82621816747866</c:v>
                </c:pt>
                <c:pt idx="75">
                  <c:v>318.11129520210841</c:v>
                </c:pt>
                <c:pt idx="76">
                  <c:v>319.31882607922</c:v>
                </c:pt>
                <c:pt idx="77">
                  <c:v>320.31440957287032</c:v>
                </c:pt>
                <c:pt idx="78">
                  <c:v>321.03567549161613</c:v>
                </c:pt>
                <c:pt idx="79">
                  <c:v>321.87013989187034</c:v>
                </c:pt>
                <c:pt idx="80">
                  <c:v>323.11388298684449</c:v>
                </c:pt>
                <c:pt idx="81">
                  <c:v>323.65681708383585</c:v>
                </c:pt>
                <c:pt idx="82">
                  <c:v>323.06738414871637</c:v>
                </c:pt>
                <c:pt idx="83">
                  <c:v>321.64554333918562</c:v>
                </c:pt>
                <c:pt idx="84">
                  <c:v>319.67301468362962</c:v>
                </c:pt>
                <c:pt idx="85">
                  <c:v>317.91239078997836</c:v>
                </c:pt>
                <c:pt idx="86">
                  <c:v>317.79724739799997</c:v>
                </c:pt>
                <c:pt idx="87">
                  <c:v>319.08445037866153</c:v>
                </c:pt>
                <c:pt idx="88">
                  <c:v>320.29403862290064</c:v>
                </c:pt>
                <c:pt idx="89">
                  <c:v>321.29174806258277</c:v>
                </c:pt>
                <c:pt idx="90">
                  <c:v>322.01513992736039</c:v>
                </c:pt>
                <c:pt idx="91">
                  <c:v>322.85152453693371</c:v>
                </c:pt>
                <c:pt idx="92">
                  <c:v>324.09739357793961</c:v>
                </c:pt>
                <c:pt idx="93">
                  <c:v>324.64238504205855</c:v>
                </c:pt>
                <c:pt idx="94">
                  <c:v>324.05507805297088</c:v>
                </c:pt>
                <c:pt idx="95">
                  <c:v>322.63529461056771</c:v>
                </c:pt>
                <c:pt idx="96">
                  <c:v>320.66489190104352</c:v>
                </c:pt>
                <c:pt idx="97">
                  <c:v>318.90639395342407</c:v>
                </c:pt>
                <c:pt idx="98">
                  <c:v>318.7933079285732</c:v>
                </c:pt>
                <c:pt idx="99">
                  <c:v>320.08263685526657</c:v>
                </c:pt>
                <c:pt idx="100">
                  <c:v>321.29428246663326</c:v>
                </c:pt>
                <c:pt idx="101">
                  <c:v>322.2941178523472</c:v>
                </c:pt>
                <c:pt idx="102">
                  <c:v>323.01963566315663</c:v>
                </c:pt>
                <c:pt idx="103">
                  <c:v>323.857940482049</c:v>
                </c:pt>
                <c:pt idx="104">
                  <c:v>325.10593546908672</c:v>
                </c:pt>
                <c:pt idx="105">
                  <c:v>325.65298430033323</c:v>
                </c:pt>
                <c:pt idx="106">
                  <c:v>325.06780325727732</c:v>
                </c:pt>
                <c:pt idx="107">
                  <c:v>323.65007718200172</c:v>
                </c:pt>
                <c:pt idx="108">
                  <c:v>321.68180041850934</c:v>
                </c:pt>
                <c:pt idx="109">
                  <c:v>319.9254284169217</c:v>
                </c:pt>
                <c:pt idx="110">
                  <c:v>319.81439975919841</c:v>
                </c:pt>
                <c:pt idx="111">
                  <c:v>321.10585463192359</c:v>
                </c:pt>
                <c:pt idx="112">
                  <c:v>322.31955761041786</c:v>
                </c:pt>
                <c:pt idx="113">
                  <c:v>323.32151894216361</c:v>
                </c:pt>
                <c:pt idx="114">
                  <c:v>324.04916269900485</c:v>
                </c:pt>
                <c:pt idx="115">
                  <c:v>324.89224799347556</c:v>
                </c:pt>
                <c:pt idx="116">
                  <c:v>326.14237475105477</c:v>
                </c:pt>
                <c:pt idx="117">
                  <c:v>326.6914865860511</c:v>
                </c:pt>
                <c:pt idx="118">
                  <c:v>326.10843731353668</c:v>
                </c:pt>
                <c:pt idx="119">
                  <c:v>324.69277424201096</c:v>
                </c:pt>
                <c:pt idx="120">
                  <c:v>322.72662924906001</c:v>
                </c:pt>
                <c:pt idx="121">
                  <c:v>320.97238901801387</c:v>
                </c:pt>
                <c:pt idx="122">
                  <c:v>320.86342336404044</c:v>
                </c:pt>
                <c:pt idx="123">
                  <c:v>322.15701000730712</c:v>
                </c:pt>
                <c:pt idx="124">
                  <c:v>323.3727759895512</c:v>
                </c:pt>
                <c:pt idx="125">
                  <c:v>324.37686909183839</c:v>
                </c:pt>
                <c:pt idx="126">
                  <c:v>325.10664461922119</c:v>
                </c:pt>
                <c:pt idx="127">
                  <c:v>325.94879511759905</c:v>
                </c:pt>
                <c:pt idx="128">
                  <c:v>327.20104782121007</c:v>
                </c:pt>
                <c:pt idx="129">
                  <c:v>327.75221702333397</c:v>
                </c:pt>
                <c:pt idx="130">
                  <c:v>327.17129369685142</c:v>
                </c:pt>
                <c:pt idx="131">
                  <c:v>325.75768799245321</c:v>
                </c:pt>
                <c:pt idx="132">
                  <c:v>323.79366894553408</c:v>
                </c:pt>
                <c:pt idx="133">
                  <c:v>322.04155466051975</c:v>
                </c:pt>
                <c:pt idx="134">
                  <c:v>321.93464637367384</c:v>
                </c:pt>
                <c:pt idx="135">
                  <c:v>323.23035896297233</c:v>
                </c:pt>
                <c:pt idx="136">
                  <c:v>324.44818231234399</c:v>
                </c:pt>
                <c:pt idx="137">
                  <c:v>325.45440136066298</c:v>
                </c:pt>
                <c:pt idx="138">
                  <c:v>326.18630283407759</c:v>
                </c:pt>
                <c:pt idx="139">
                  <c:v>327.03037354177451</c:v>
                </c:pt>
                <c:pt idx="140">
                  <c:v>328.2847521914174</c:v>
                </c:pt>
                <c:pt idx="141">
                  <c:v>328.83797876066882</c:v>
                </c:pt>
                <c:pt idx="142">
                  <c:v>328.25918138021808</c:v>
                </c:pt>
                <c:pt idx="143">
                  <c:v>326.84763304294739</c:v>
                </c:pt>
                <c:pt idx="144">
                  <c:v>324.88573994206013</c:v>
                </c:pt>
                <c:pt idx="145">
                  <c:v>323.13575160307761</c:v>
                </c:pt>
                <c:pt idx="146">
                  <c:v>323.03090068335922</c:v>
                </c:pt>
                <c:pt idx="147">
                  <c:v>324.32873921868958</c:v>
                </c:pt>
                <c:pt idx="148">
                  <c:v>325.54861993518875</c:v>
                </c:pt>
                <c:pt idx="149">
                  <c:v>326.55696492953962</c:v>
                </c:pt>
                <c:pt idx="150">
                  <c:v>327.29099234898598</c:v>
                </c:pt>
                <c:pt idx="151">
                  <c:v>328.13698326600201</c:v>
                </c:pt>
                <c:pt idx="152">
                  <c:v>329.39348786167665</c:v>
                </c:pt>
                <c:pt idx="153">
                  <c:v>329.94877179805565</c:v>
                </c:pt>
                <c:pt idx="154">
                  <c:v>329.37210036363672</c:v>
                </c:pt>
                <c:pt idx="155">
                  <c:v>327.96260939349361</c:v>
                </c:pt>
                <c:pt idx="156">
                  <c:v>326.00284223863815</c:v>
                </c:pt>
                <c:pt idx="157">
                  <c:v>324.25497984568744</c:v>
                </c:pt>
                <c:pt idx="158">
                  <c:v>324.15218629309663</c:v>
                </c:pt>
                <c:pt idx="159">
                  <c:v>325.45215077445874</c:v>
                </c:pt>
                <c:pt idx="160">
                  <c:v>326.6740888580855</c:v>
                </c:pt>
                <c:pt idx="161">
                  <c:v>327.68455979846817</c:v>
                </c:pt>
                <c:pt idx="162">
                  <c:v>328.42071316394635</c:v>
                </c:pt>
                <c:pt idx="163">
                  <c:v>329.27175906004516</c:v>
                </c:pt>
                <c:pt idx="164">
                  <c:v>330.53039542626129</c:v>
                </c:pt>
                <c:pt idx="165">
                  <c:v>331.0877423663901</c:v>
                </c:pt>
                <c:pt idx="166">
                  <c:v>330.51320270251267</c:v>
                </c:pt>
                <c:pt idx="167">
                  <c:v>329.10577473611937</c:v>
                </c:pt>
                <c:pt idx="168">
                  <c:v>327.14813935180541</c:v>
                </c:pt>
                <c:pt idx="169">
                  <c:v>325.4024087293962</c:v>
                </c:pt>
                <c:pt idx="170">
                  <c:v>325.3016781805552</c:v>
                </c:pt>
                <c:pt idx="171">
                  <c:v>326.60377443245881</c:v>
                </c:pt>
                <c:pt idx="172">
                  <c:v>327.82777551983543</c:v>
                </c:pt>
                <c:pt idx="173">
                  <c:v>328.84037823075954</c:v>
                </c:pt>
                <c:pt idx="174">
                  <c:v>329.57866336677927</c:v>
                </c:pt>
                <c:pt idx="175">
                  <c:v>330.42849996328079</c:v>
                </c:pt>
                <c:pt idx="176">
                  <c:v>331.68926227552879</c:v>
                </c:pt>
                <c:pt idx="177">
                  <c:v>332.24866658278518</c:v>
                </c:pt>
                <c:pt idx="178">
                  <c:v>331.6762528649395</c:v>
                </c:pt>
                <c:pt idx="179">
                  <c:v>330.27088226567378</c:v>
                </c:pt>
                <c:pt idx="180">
                  <c:v>328.31537282739163</c:v>
                </c:pt>
                <c:pt idx="181">
                  <c:v>326.57176815101423</c:v>
                </c:pt>
                <c:pt idx="182">
                  <c:v>326.4730949693008</c:v>
                </c:pt>
                <c:pt idx="183">
                  <c:v>327.77731716723622</c:v>
                </c:pt>
                <c:pt idx="184">
                  <c:v>329.00337562174036</c:v>
                </c:pt>
                <c:pt idx="185">
                  <c:v>330.01810427869634</c:v>
                </c:pt>
                <c:pt idx="186">
                  <c:v>330.75851536074782</c:v>
                </c:pt>
                <c:pt idx="187">
                  <c:v>331.61027216656845</c:v>
                </c:pt>
                <c:pt idx="188">
                  <c:v>332.87316042484821</c:v>
                </c:pt>
                <c:pt idx="189">
                  <c:v>333.43462209923217</c:v>
                </c:pt>
                <c:pt idx="190">
                  <c:v>332.86433432741831</c:v>
                </c:pt>
                <c:pt idx="191">
                  <c:v>331.46102109528016</c:v>
                </c:pt>
                <c:pt idx="192">
                  <c:v>329.50763760302982</c:v>
                </c:pt>
                <c:pt idx="193">
                  <c:v>327.76615887268423</c:v>
                </c:pt>
                <c:pt idx="194">
                  <c:v>327.66954305809838</c:v>
                </c:pt>
                <c:pt idx="195">
                  <c:v>328.97589120206561</c:v>
                </c:pt>
                <c:pt idx="196">
                  <c:v>330.20400702369733</c:v>
                </c:pt>
                <c:pt idx="197">
                  <c:v>331.22086162668506</c:v>
                </c:pt>
                <c:pt idx="198">
                  <c:v>331.96339865476841</c:v>
                </c:pt>
                <c:pt idx="199">
                  <c:v>332.81707566990804</c:v>
                </c:pt>
                <c:pt idx="200">
                  <c:v>334.08208987421966</c:v>
                </c:pt>
                <c:pt idx="201">
                  <c:v>334.64560891573115</c:v>
                </c:pt>
                <c:pt idx="202">
                  <c:v>334.07744708994915</c:v>
                </c:pt>
                <c:pt idx="203">
                  <c:v>332.67619122493852</c:v>
                </c:pt>
                <c:pt idx="204">
                  <c:v>330.72493367871999</c:v>
                </c:pt>
                <c:pt idx="205">
                  <c:v>328.98558089440621</c:v>
                </c:pt>
                <c:pt idx="206">
                  <c:v>328.89102244694794</c:v>
                </c:pt>
                <c:pt idx="207">
                  <c:v>330.19949653694698</c:v>
                </c:pt>
                <c:pt idx="208">
                  <c:v>331.42966972570622</c:v>
                </c:pt>
                <c:pt idx="209">
                  <c:v>332.44865027472582</c:v>
                </c:pt>
                <c:pt idx="210">
                  <c:v>333.19331324884092</c:v>
                </c:pt>
                <c:pt idx="211">
                  <c:v>334.05231974656778</c:v>
                </c:pt>
                <c:pt idx="212">
                  <c:v>335.31946572142084</c:v>
                </c:pt>
                <c:pt idx="213">
                  <c:v>335.88504776668219</c:v>
                </c:pt>
                <c:pt idx="214">
                  <c:v>335.31901771144169</c:v>
                </c:pt>
                <c:pt idx="215">
                  <c:v>333.91982485018087</c:v>
                </c:pt>
                <c:pt idx="216">
                  <c:v>331.97069907450384</c:v>
                </c:pt>
                <c:pt idx="217">
                  <c:v>330.23347806073156</c:v>
                </c:pt>
                <c:pt idx="218">
                  <c:v>330.1409826170231</c:v>
                </c:pt>
                <c:pt idx="219">
                  <c:v>331.45158847756363</c:v>
                </c:pt>
                <c:pt idx="220">
                  <c:v>332.68382467007274</c:v>
                </c:pt>
                <c:pt idx="221">
                  <c:v>333.70493698963378</c:v>
                </c:pt>
                <c:pt idx="222">
                  <c:v>334.45173173429038</c:v>
                </c:pt>
                <c:pt idx="223">
                  <c:v>335.30925442891561</c:v>
                </c:pt>
                <c:pt idx="224">
                  <c:v>336.57852634980048</c:v>
                </c:pt>
                <c:pt idx="225">
                  <c:v>337.14616576218941</c:v>
                </c:pt>
                <c:pt idx="226">
                  <c:v>336.58226165298066</c:v>
                </c:pt>
                <c:pt idx="227">
                  <c:v>335.18512615884748</c:v>
                </c:pt>
                <c:pt idx="228">
                  <c:v>333.2381263292022</c:v>
                </c:pt>
                <c:pt idx="229">
                  <c:v>331.50303126146173</c:v>
                </c:pt>
                <c:pt idx="230">
                  <c:v>331.41259318488085</c:v>
                </c:pt>
                <c:pt idx="231">
                  <c:v>332.72532499145319</c:v>
                </c:pt>
                <c:pt idx="232">
                  <c:v>333.95961855108982</c:v>
                </c:pt>
                <c:pt idx="233">
                  <c:v>334.98285681668267</c:v>
                </c:pt>
                <c:pt idx="234">
                  <c:v>335.73177750737113</c:v>
                </c:pt>
                <c:pt idx="235">
                  <c:v>336.59122041131542</c:v>
                </c:pt>
                <c:pt idx="236">
                  <c:v>337.86261827823211</c:v>
                </c:pt>
                <c:pt idx="237">
                  <c:v>338.43231505774855</c:v>
                </c:pt>
                <c:pt idx="238">
                  <c:v>337.87053689457167</c:v>
                </c:pt>
                <c:pt idx="239">
                  <c:v>336.47545876756601</c:v>
                </c:pt>
                <c:pt idx="240">
                  <c:v>334.5305848839526</c:v>
                </c:pt>
                <c:pt idx="241">
                  <c:v>332.79761576224388</c:v>
                </c:pt>
                <c:pt idx="242">
                  <c:v>332.70923505279058</c:v>
                </c:pt>
                <c:pt idx="243">
                  <c:v>334.02409280539473</c:v>
                </c:pt>
                <c:pt idx="244">
                  <c:v>335.26044373215893</c:v>
                </c:pt>
                <c:pt idx="245">
                  <c:v>336.2858079437836</c:v>
                </c:pt>
                <c:pt idx="246">
                  <c:v>337.03685458050387</c:v>
                </c:pt>
                <c:pt idx="247">
                  <c:v>337.89821769376721</c:v>
                </c:pt>
                <c:pt idx="248">
                  <c:v>339.1717415067157</c:v>
                </c:pt>
                <c:pt idx="249">
                  <c:v>339.74349565335973</c:v>
                </c:pt>
                <c:pt idx="250">
                  <c:v>339.1838434362146</c:v>
                </c:pt>
                <c:pt idx="251">
                  <c:v>337.79082267633652</c:v>
                </c:pt>
                <c:pt idx="252">
                  <c:v>335.84807473875492</c:v>
                </c:pt>
                <c:pt idx="253">
                  <c:v>334.11723156307806</c:v>
                </c:pt>
                <c:pt idx="254">
                  <c:v>334.03090822075228</c:v>
                </c:pt>
                <c:pt idx="255">
                  <c:v>335.34789191938825</c:v>
                </c:pt>
                <c:pt idx="256">
                  <c:v>336.58630021328003</c:v>
                </c:pt>
                <c:pt idx="257">
                  <c:v>337.6137903709365</c:v>
                </c:pt>
                <c:pt idx="258">
                  <c:v>338.36696295368859</c:v>
                </c:pt>
                <c:pt idx="259">
                  <c:v>339.23393005304348</c:v>
                </c:pt>
                <c:pt idx="260">
                  <c:v>340.50958563653347</c:v>
                </c:pt>
                <c:pt idx="261">
                  <c:v>341.08340278692737</c:v>
                </c:pt>
                <c:pt idx="262">
                  <c:v>340.52588234032373</c:v>
                </c:pt>
                <c:pt idx="263">
                  <c:v>339.13492458419546</c:v>
                </c:pt>
                <c:pt idx="264">
                  <c:v>337.19430841715536</c:v>
                </c:pt>
                <c:pt idx="265">
                  <c:v>335.46559701201994</c:v>
                </c:pt>
                <c:pt idx="266">
                  <c:v>335.38133667344397</c:v>
                </c:pt>
                <c:pt idx="267">
                  <c:v>336.70045214262143</c:v>
                </c:pt>
                <c:pt idx="268">
                  <c:v>337.94092344026308</c:v>
                </c:pt>
                <c:pt idx="269">
                  <c:v>338.97054536846105</c:v>
                </c:pt>
                <c:pt idx="270">
                  <c:v>339.72584972175457</c:v>
                </c:pt>
                <c:pt idx="271">
                  <c:v>340.59105851450346</c:v>
                </c:pt>
                <c:pt idx="272">
                  <c:v>341.86884004402526</c:v>
                </c:pt>
                <c:pt idx="273">
                  <c:v>342.44471456154673</c:v>
                </c:pt>
                <c:pt idx="274">
                  <c:v>341.88932006097491</c:v>
                </c:pt>
                <c:pt idx="275">
                  <c:v>340.50041967197421</c:v>
                </c:pt>
                <c:pt idx="276">
                  <c:v>338.56192945096586</c:v>
                </c:pt>
                <c:pt idx="277">
                  <c:v>336.83534399186232</c:v>
                </c:pt>
                <c:pt idx="278">
                  <c:v>336.75314102041392</c:v>
                </c:pt>
                <c:pt idx="279">
                  <c:v>338.07438243562319</c:v>
                </c:pt>
                <c:pt idx="280">
                  <c:v>339.31691110039236</c:v>
                </c:pt>
                <c:pt idx="281">
                  <c:v>340.34865897462214</c:v>
                </c:pt>
                <c:pt idx="282">
                  <c:v>341.10608927394748</c:v>
                </c:pt>
                <c:pt idx="283">
                  <c:v>341.97321827601542</c:v>
                </c:pt>
                <c:pt idx="284">
                  <c:v>343.25312575156909</c:v>
                </c:pt>
                <c:pt idx="285">
                  <c:v>343.83105763621802</c:v>
                </c:pt>
                <c:pt idx="286">
                  <c:v>343.27778908167801</c:v>
                </c:pt>
                <c:pt idx="287">
                  <c:v>341.89094605980489</c:v>
                </c:pt>
                <c:pt idx="288">
                  <c:v>339.95458178482841</c:v>
                </c:pt>
                <c:pt idx="289">
                  <c:v>338.23012227175661</c:v>
                </c:pt>
                <c:pt idx="290">
                  <c:v>338.14997666743579</c:v>
                </c:pt>
                <c:pt idx="291">
                  <c:v>339.47334402867688</c:v>
                </c:pt>
                <c:pt idx="292">
                  <c:v>340.71793006057362</c:v>
                </c:pt>
                <c:pt idx="293">
                  <c:v>341.75180388083521</c:v>
                </c:pt>
                <c:pt idx="294">
                  <c:v>342.51136012619236</c:v>
                </c:pt>
                <c:pt idx="295">
                  <c:v>343.38040933757941</c:v>
                </c:pt>
                <c:pt idx="296">
                  <c:v>344.66244275916478</c:v>
                </c:pt>
                <c:pt idx="297">
                  <c:v>345.24243201094134</c:v>
                </c:pt>
                <c:pt idx="298">
                  <c:v>344.69128940243314</c:v>
                </c:pt>
                <c:pt idx="299">
                  <c:v>343.3065037476876</c:v>
                </c:pt>
                <c:pt idx="300">
                  <c:v>341.37226541874287</c:v>
                </c:pt>
                <c:pt idx="301">
                  <c:v>339.64993185170295</c:v>
                </c:pt>
                <c:pt idx="302">
                  <c:v>339.57184361450965</c:v>
                </c:pt>
                <c:pt idx="303">
                  <c:v>340.89733692178254</c:v>
                </c:pt>
                <c:pt idx="304">
                  <c:v>342.14398032080686</c:v>
                </c:pt>
                <c:pt idx="305">
                  <c:v>343.17998008710026</c:v>
                </c:pt>
                <c:pt idx="306">
                  <c:v>343.94166227848922</c:v>
                </c:pt>
                <c:pt idx="307">
                  <c:v>344.81658997947227</c:v>
                </c:pt>
                <c:pt idx="308">
                  <c:v>346.10075517159919</c:v>
                </c:pt>
                <c:pt idx="309">
                  <c:v>346.68280742712551</c:v>
                </c:pt>
                <c:pt idx="310">
                  <c:v>346.13379658915886</c:v>
                </c:pt>
                <c:pt idx="311">
                  <c:v>344.75107393816307</c:v>
                </c:pt>
                <c:pt idx="312">
                  <c:v>342.81896737975984</c:v>
                </c:pt>
                <c:pt idx="313">
                  <c:v>341.09876558326141</c:v>
                </c:pt>
                <c:pt idx="314">
                  <c:v>341.02274034981798</c:v>
                </c:pt>
                <c:pt idx="315">
                  <c:v>342.35036542763237</c:v>
                </c:pt>
                <c:pt idx="316">
                  <c:v>343.59907183040644</c:v>
                </c:pt>
                <c:pt idx="317">
                  <c:v>344.6372033672414</c:v>
                </c:pt>
                <c:pt idx="318">
                  <c:v>345.40101732917185</c:v>
                </c:pt>
                <c:pt idx="319">
                  <c:v>346.27391222004439</c:v>
                </c:pt>
                <c:pt idx="320">
                  <c:v>347.56020335820313</c:v>
                </c:pt>
                <c:pt idx="321">
                  <c:v>348.14431298085702</c:v>
                </c:pt>
                <c:pt idx="322">
                  <c:v>347.59742808892219</c:v>
                </c:pt>
                <c:pt idx="323">
                  <c:v>346.21676280505397</c:v>
                </c:pt>
                <c:pt idx="324">
                  <c:v>344.28678219268255</c:v>
                </c:pt>
                <c:pt idx="325">
                  <c:v>342.56870634221593</c:v>
                </c:pt>
                <c:pt idx="326">
                  <c:v>342.49473847590008</c:v>
                </c:pt>
                <c:pt idx="327">
                  <c:v>343.82448949974622</c:v>
                </c:pt>
                <c:pt idx="328">
                  <c:v>345.07525326964793</c:v>
                </c:pt>
                <c:pt idx="329">
                  <c:v>346.11551075251464</c:v>
                </c:pt>
                <c:pt idx="330">
                  <c:v>346.8814506604769</c:v>
                </c:pt>
                <c:pt idx="331">
                  <c:v>347.75626576066855</c:v>
                </c:pt>
                <c:pt idx="332">
                  <c:v>349.0446828448591</c:v>
                </c:pt>
                <c:pt idx="333">
                  <c:v>349.63084983464057</c:v>
                </c:pt>
                <c:pt idx="334">
                  <c:v>349.08609088873749</c:v>
                </c:pt>
                <c:pt idx="335">
                  <c:v>347.70748297199685</c:v>
                </c:pt>
                <c:pt idx="336">
                  <c:v>345.77962830565724</c:v>
                </c:pt>
                <c:pt idx="337">
                  <c:v>344.06367840122243</c:v>
                </c:pt>
                <c:pt idx="338">
                  <c:v>343.9917679020341</c:v>
                </c:pt>
                <c:pt idx="339">
                  <c:v>345.32364487191211</c:v>
                </c:pt>
                <c:pt idx="340">
                  <c:v>346.57646600894134</c:v>
                </c:pt>
                <c:pt idx="341">
                  <c:v>347.61884943783986</c:v>
                </c:pt>
                <c:pt idx="342">
                  <c:v>348.38691529183393</c:v>
                </c:pt>
                <c:pt idx="343">
                  <c:v>349.26365060134464</c:v>
                </c:pt>
                <c:pt idx="344">
                  <c:v>350.55419363156699</c:v>
                </c:pt>
                <c:pt idx="345">
                  <c:v>351.14241798847598</c:v>
                </c:pt>
                <c:pt idx="346">
                  <c:v>350.59978498860477</c:v>
                </c:pt>
                <c:pt idx="347">
                  <c:v>349.22323443899171</c:v>
                </c:pt>
                <c:pt idx="348">
                  <c:v>347.29750571868391</c:v>
                </c:pt>
                <c:pt idx="349">
                  <c:v>345.58368176028091</c:v>
                </c:pt>
                <c:pt idx="350">
                  <c:v>345.5138286282201</c:v>
                </c:pt>
                <c:pt idx="351">
                  <c:v>346.84783154412992</c:v>
                </c:pt>
                <c:pt idx="352">
                  <c:v>348.10271004828672</c:v>
                </c:pt>
                <c:pt idx="353">
                  <c:v>349.14721942321705</c:v>
                </c:pt>
                <c:pt idx="354">
                  <c:v>349.91741122324299</c:v>
                </c:pt>
                <c:pt idx="355">
                  <c:v>350.80029952585409</c:v>
                </c:pt>
                <c:pt idx="356">
                  <c:v>352.09297432661793</c:v>
                </c:pt>
                <c:pt idx="357">
                  <c:v>352.6832616872768</c:v>
                </c:pt>
                <c:pt idx="358">
                  <c:v>352.14276045794702</c:v>
                </c:pt>
                <c:pt idx="359">
                  <c:v>350.76827291208377</c:v>
                </c:pt>
                <c:pt idx="360">
                  <c:v>348.84467596231747</c:v>
                </c:pt>
                <c:pt idx="361">
                  <c:v>347.13298377445597</c:v>
                </c:pt>
                <c:pt idx="362">
                  <c:v>347.06519364614502</c:v>
                </c:pt>
                <c:pt idx="363">
                  <c:v>348.40132833259634</c:v>
                </c:pt>
                <c:pt idx="364">
                  <c:v>349.65826984050295</c:v>
                </c:pt>
                <c:pt idx="365">
                  <c:v>350.70491098597472</c:v>
                </c:pt>
                <c:pt idx="366">
                  <c:v>351.47723455654216</c:v>
                </c:pt>
                <c:pt idx="367">
                  <c:v>352.35781554553841</c:v>
                </c:pt>
                <c:pt idx="368">
                  <c:v>353.65261629233407</c:v>
                </c:pt>
                <c:pt idx="369">
                  <c:v>354.24496102012046</c:v>
                </c:pt>
                <c:pt idx="370">
                  <c:v>353.70658573682249</c:v>
                </c:pt>
                <c:pt idx="371">
                  <c:v>352.33415555808682</c:v>
                </c:pt>
                <c:pt idx="372">
                  <c:v>350.41268455435238</c:v>
                </c:pt>
                <c:pt idx="373">
                  <c:v>348.70311831252263</c:v>
                </c:pt>
                <c:pt idx="374">
                  <c:v>348.63738555133926</c:v>
                </c:pt>
                <c:pt idx="375">
                  <c:v>349.97564618382239</c:v>
                </c:pt>
                <c:pt idx="376">
                  <c:v>351.23464505885653</c:v>
                </c:pt>
                <c:pt idx="377">
                  <c:v>352.28341215036016</c:v>
                </c:pt>
                <c:pt idx="378">
                  <c:v>353.05786166695941</c:v>
                </c:pt>
                <c:pt idx="379">
                  <c:v>353.94036286527466</c:v>
                </c:pt>
                <c:pt idx="380">
                  <c:v>355.23728955810213</c:v>
                </c:pt>
                <c:pt idx="381">
                  <c:v>355.83169165301615</c:v>
                </c:pt>
                <c:pt idx="382">
                  <c:v>355.29544231574999</c:v>
                </c:pt>
                <c:pt idx="383">
                  <c:v>353.92506950414185</c:v>
                </c:pt>
                <c:pt idx="384">
                  <c:v>352.00572444643922</c:v>
                </c:pt>
                <c:pt idx="385">
                  <c:v>350.29828415064128</c:v>
                </c:pt>
                <c:pt idx="386">
                  <c:v>350.23460875658549</c:v>
                </c:pt>
                <c:pt idx="387">
                  <c:v>351.57499533510037</c:v>
                </c:pt>
                <c:pt idx="388">
                  <c:v>352.83605157726214</c:v>
                </c:pt>
                <c:pt idx="389">
                  <c:v>353.88694461479759</c:v>
                </c:pt>
                <c:pt idx="390">
                  <c:v>354.66352007742859</c:v>
                </c:pt>
                <c:pt idx="391">
                  <c:v>355.54794148506295</c:v>
                </c:pt>
                <c:pt idx="392">
                  <c:v>356.84699412392217</c:v>
                </c:pt>
                <c:pt idx="393">
                  <c:v>357.44345358596377</c:v>
                </c:pt>
                <c:pt idx="394">
                  <c:v>356.90933019472942</c:v>
                </c:pt>
                <c:pt idx="395">
                  <c:v>355.54101475024885</c:v>
                </c:pt>
                <c:pt idx="396">
                  <c:v>353.62379563857797</c:v>
                </c:pt>
                <c:pt idx="397">
                  <c:v>351.9184812888119</c:v>
                </c:pt>
                <c:pt idx="398">
                  <c:v>351.85686326188363</c:v>
                </c:pt>
                <c:pt idx="399">
                  <c:v>353.19937578643038</c:v>
                </c:pt>
                <c:pt idx="400">
                  <c:v>354.46248939571967</c:v>
                </c:pt>
                <c:pt idx="401">
                  <c:v>355.51550837928693</c:v>
                </c:pt>
                <c:pt idx="402">
                  <c:v>356.2942097879498</c:v>
                </c:pt>
                <c:pt idx="403">
                  <c:v>357.18505869218899</c:v>
                </c:pt>
                <c:pt idx="404">
                  <c:v>358.48624310158976</c:v>
                </c:pt>
                <c:pt idx="405">
                  <c:v>359.08476556738111</c:v>
                </c:pt>
                <c:pt idx="406">
                  <c:v>358.55277394668826</c:v>
                </c:pt>
                <c:pt idx="407">
                  <c:v>357.1865215059575</c:v>
                </c:pt>
                <c:pt idx="408">
                  <c:v>355.27143416482818</c:v>
                </c:pt>
                <c:pt idx="409">
                  <c:v>353.56825158560355</c:v>
                </c:pt>
                <c:pt idx="410">
                  <c:v>353.50869656242514</c:v>
                </c:pt>
                <c:pt idx="411">
                  <c:v>354.85334085751333</c:v>
                </c:pt>
                <c:pt idx="412">
                  <c:v>356.11851747055249</c:v>
                </c:pt>
                <c:pt idx="413">
                  <c:v>357.17366822466124</c:v>
                </c:pt>
                <c:pt idx="414">
                  <c:v>357.95450140386555</c:v>
                </c:pt>
                <c:pt idx="415">
                  <c:v>358.84276849098546</c:v>
                </c:pt>
                <c:pt idx="416">
                  <c:v>360.14607884641799</c:v>
                </c:pt>
                <c:pt idx="417">
                  <c:v>360.74665867933692</c:v>
                </c:pt>
                <c:pt idx="418">
                  <c:v>360.21679300467594</c:v>
                </c:pt>
                <c:pt idx="419">
                  <c:v>358.85259793107275</c:v>
                </c:pt>
                <c:pt idx="420">
                  <c:v>356.93963653597518</c:v>
                </c:pt>
                <c:pt idx="421">
                  <c:v>355.23857990278236</c:v>
                </c:pt>
                <c:pt idx="422">
                  <c:v>355.18108224673148</c:v>
                </c:pt>
                <c:pt idx="423">
                  <c:v>356.52785248785153</c:v>
                </c:pt>
                <c:pt idx="424">
                  <c:v>357.79508646801821</c:v>
                </c:pt>
                <c:pt idx="425">
                  <c:v>358.85236316815877</c:v>
                </c:pt>
                <c:pt idx="426">
                  <c:v>359.63532229339489</c:v>
                </c:pt>
                <c:pt idx="427">
                  <c:v>360.52550958983386</c:v>
                </c:pt>
                <c:pt idx="428">
                  <c:v>361.83094589129826</c:v>
                </c:pt>
                <c:pt idx="429">
                  <c:v>362.43358309134476</c:v>
                </c:pt>
                <c:pt idx="430">
                  <c:v>361.90584336271553</c:v>
                </c:pt>
                <c:pt idx="431">
                  <c:v>360.54370565623992</c:v>
                </c:pt>
                <c:pt idx="432">
                  <c:v>358.63287020717416</c:v>
                </c:pt>
                <c:pt idx="433">
                  <c:v>356.93393952001315</c:v>
                </c:pt>
                <c:pt idx="434">
                  <c:v>356.87849923108985</c:v>
                </c:pt>
                <c:pt idx="435">
                  <c:v>358.22739541824171</c:v>
                </c:pt>
                <c:pt idx="436">
                  <c:v>359.49668676553597</c:v>
                </c:pt>
                <c:pt idx="437">
                  <c:v>360.55608941170834</c:v>
                </c:pt>
                <c:pt idx="438">
                  <c:v>361.34117448297627</c:v>
                </c:pt>
                <c:pt idx="439">
                  <c:v>362.23328198873429</c:v>
                </c:pt>
                <c:pt idx="440">
                  <c:v>363.5408442362305</c:v>
                </c:pt>
                <c:pt idx="441">
                  <c:v>364.14553880340458</c:v>
                </c:pt>
                <c:pt idx="442">
                  <c:v>363.61992502080716</c:v>
                </c:pt>
                <c:pt idx="443">
                  <c:v>362.25984468145907</c:v>
                </c:pt>
                <c:pt idx="444">
                  <c:v>360.35113517842518</c:v>
                </c:pt>
                <c:pt idx="445">
                  <c:v>358.65433043729598</c:v>
                </c:pt>
                <c:pt idx="446">
                  <c:v>358.6009475155002</c:v>
                </c:pt>
                <c:pt idx="447">
                  <c:v>359.95196964868387</c:v>
                </c:pt>
                <c:pt idx="448">
                  <c:v>361.2233183631057</c:v>
                </c:pt>
                <c:pt idx="449">
                  <c:v>362.28484695530989</c:v>
                </c:pt>
                <c:pt idx="450">
                  <c:v>363.07205797260963</c:v>
                </c:pt>
                <c:pt idx="451">
                  <c:v>363.97086747847692</c:v>
                </c:pt>
                <c:pt idx="452">
                  <c:v>365.28056149651462</c:v>
                </c:pt>
                <c:pt idx="453">
                  <c:v>365.88731906743851</c:v>
                </c:pt>
                <c:pt idx="454">
                  <c:v>365.36383705538253</c:v>
                </c:pt>
                <c:pt idx="455">
                  <c:v>364.00581971978437</c:v>
                </c:pt>
                <c:pt idx="456">
                  <c:v>362.09924198729192</c:v>
                </c:pt>
                <c:pt idx="457">
                  <c:v>360.40456901670422</c:v>
                </c:pt>
                <c:pt idx="458">
                  <c:v>360.3532490986583</c:v>
                </c:pt>
                <c:pt idx="459">
                  <c:v>361.70640300238341</c:v>
                </c:pt>
                <c:pt idx="460">
                  <c:v>362.97981472055505</c:v>
                </c:pt>
                <c:pt idx="461">
                  <c:v>364.04347508330073</c:v>
                </c:pt>
                <c:pt idx="462">
                  <c:v>364.83281787114197</c:v>
                </c:pt>
                <c:pt idx="463">
                  <c:v>365.72877105638554</c:v>
                </c:pt>
                <c:pt idx="464">
                  <c:v>367.04059102045505</c:v>
                </c:pt>
                <c:pt idx="465">
                  <c:v>367.64940595850652</c:v>
                </c:pt>
                <c:pt idx="466">
                  <c:v>367.12804989248235</c:v>
                </c:pt>
                <c:pt idx="467">
                  <c:v>365.77208992401171</c:v>
                </c:pt>
                <c:pt idx="468">
                  <c:v>363.86763813755107</c:v>
                </c:pt>
                <c:pt idx="469">
                  <c:v>362.17509111299518</c:v>
                </c:pt>
                <c:pt idx="470">
                  <c:v>362.12582856207683</c:v>
                </c:pt>
                <c:pt idx="471">
                  <c:v>363.48110841183382</c:v>
                </c:pt>
                <c:pt idx="472">
                  <c:v>364.75657749713298</c:v>
                </c:pt>
                <c:pt idx="473">
                  <c:v>365.82236380591047</c:v>
                </c:pt>
                <c:pt idx="474">
                  <c:v>366.61383253978352</c:v>
                </c:pt>
                <c:pt idx="475">
                  <c:v>367.51170593434614</c:v>
                </c:pt>
                <c:pt idx="476">
                  <c:v>368.82565184444746</c:v>
                </c:pt>
                <c:pt idx="477">
                  <c:v>369.43652414962645</c:v>
                </c:pt>
                <c:pt idx="478">
                  <c:v>368.91729402963415</c:v>
                </c:pt>
                <c:pt idx="479">
                  <c:v>367.56339142829103</c:v>
                </c:pt>
                <c:pt idx="480">
                  <c:v>365.66106558786225</c:v>
                </c:pt>
                <c:pt idx="481">
                  <c:v>363.97064450933817</c:v>
                </c:pt>
                <c:pt idx="482">
                  <c:v>363.92343932554735</c:v>
                </c:pt>
                <c:pt idx="483">
                  <c:v>365.28084512133614</c:v>
                </c:pt>
                <c:pt idx="484">
                  <c:v>366.55837157376288</c:v>
                </c:pt>
                <c:pt idx="485">
                  <c:v>367.62628382857218</c:v>
                </c:pt>
                <c:pt idx="486">
                  <c:v>368.41987850847704</c:v>
                </c:pt>
                <c:pt idx="487">
                  <c:v>369.31967211235872</c:v>
                </c:pt>
                <c:pt idx="488">
                  <c:v>370.63574396849185</c:v>
                </c:pt>
                <c:pt idx="489">
                  <c:v>371.24867364079842</c:v>
                </c:pt>
                <c:pt idx="490">
                  <c:v>370.73156946683793</c:v>
                </c:pt>
                <c:pt idx="491">
                  <c:v>369.37972423262238</c:v>
                </c:pt>
                <c:pt idx="492">
                  <c:v>367.47952433822536</c:v>
                </c:pt>
                <c:pt idx="493">
                  <c:v>365.79122920573309</c:v>
                </c:pt>
                <c:pt idx="494">
                  <c:v>365.74608138906984</c:v>
                </c:pt>
                <c:pt idx="495">
                  <c:v>367.10561313089045</c:v>
                </c:pt>
                <c:pt idx="496">
                  <c:v>368.38519695044477</c:v>
                </c:pt>
                <c:pt idx="497">
                  <c:v>369.45523515128588</c:v>
                </c:pt>
                <c:pt idx="498">
                  <c:v>370.25095577722254</c:v>
                </c:pt>
                <c:pt idx="499">
                  <c:v>371.15772588471793</c:v>
                </c:pt>
                <c:pt idx="500">
                  <c:v>372.47592951139256</c:v>
                </c:pt>
                <c:pt idx="501">
                  <c:v>373.09092218744894</c:v>
                </c:pt>
                <c:pt idx="502">
                  <c:v>372.57594978402994</c:v>
                </c:pt>
                <c:pt idx="503">
                  <c:v>371.22616755356421</c:v>
                </c:pt>
                <c:pt idx="504">
                  <c:v>369.32809942970869</c:v>
                </c:pt>
                <c:pt idx="505">
                  <c:v>367.64193606775791</c:v>
                </c:pt>
                <c:pt idx="506">
                  <c:v>367.59885125484453</c:v>
                </c:pt>
                <c:pt idx="507">
                  <c:v>368.96051476720658</c:v>
                </c:pt>
                <c:pt idx="508">
                  <c:v>370.2421615905107</c:v>
                </c:pt>
                <c:pt idx="509">
                  <c:v>371.31433156189331</c:v>
                </c:pt>
                <c:pt idx="510">
                  <c:v>372.11218395837147</c:v>
                </c:pt>
                <c:pt idx="511">
                  <c:v>373.0158232417387</c:v>
                </c:pt>
                <c:pt idx="512">
                  <c:v>374.33615281444514</c:v>
                </c:pt>
                <c:pt idx="513">
                  <c:v>374.95320285762909</c:v>
                </c:pt>
                <c:pt idx="514">
                  <c:v>374.44035640024191</c:v>
                </c:pt>
                <c:pt idx="515">
                  <c:v>373.09263153690375</c:v>
                </c:pt>
                <c:pt idx="516">
                  <c:v>371.19668935908004</c:v>
                </c:pt>
                <c:pt idx="517">
                  <c:v>369.51265194316107</c:v>
                </c:pt>
                <c:pt idx="518">
                  <c:v>369.47162449737522</c:v>
                </c:pt>
                <c:pt idx="519">
                  <c:v>370.83541395576907</c:v>
                </c:pt>
                <c:pt idx="520">
                  <c:v>372.11911814620078</c:v>
                </c:pt>
                <c:pt idx="521">
                  <c:v>373.19341406361519</c:v>
                </c:pt>
                <c:pt idx="522">
                  <c:v>373.99339240612517</c:v>
                </c:pt>
                <c:pt idx="523">
                  <c:v>374.89895189881145</c:v>
                </c:pt>
                <c:pt idx="524">
                  <c:v>376.2214074175497</c:v>
                </c:pt>
                <c:pt idx="525">
                  <c:v>376.84051482786123</c:v>
                </c:pt>
                <c:pt idx="526">
                  <c:v>376.32979431650585</c:v>
                </c:pt>
                <c:pt idx="527">
                  <c:v>374.98412682029522</c:v>
                </c:pt>
                <c:pt idx="528">
                  <c:v>373.09031058850331</c:v>
                </c:pt>
                <c:pt idx="529">
                  <c:v>371.40839911861622</c:v>
                </c:pt>
                <c:pt idx="530">
                  <c:v>371.36942903995788</c:v>
                </c:pt>
                <c:pt idx="531">
                  <c:v>372.7353444443836</c:v>
                </c:pt>
                <c:pt idx="532">
                  <c:v>374.02110600194288</c:v>
                </c:pt>
                <c:pt idx="533">
                  <c:v>375.09752786538911</c:v>
                </c:pt>
                <c:pt idx="534">
                  <c:v>375.89963215393084</c:v>
                </c:pt>
                <c:pt idx="535">
                  <c:v>376.80711185593623</c:v>
                </c:pt>
                <c:pt idx="536">
                  <c:v>378.13169332070629</c:v>
                </c:pt>
                <c:pt idx="537">
                  <c:v>378.75285809814534</c:v>
                </c:pt>
                <c:pt idx="538">
                  <c:v>378.24426353282178</c:v>
                </c:pt>
                <c:pt idx="539">
                  <c:v>376.90065340373872</c:v>
                </c:pt>
                <c:pt idx="540">
                  <c:v>375.00896311797868</c:v>
                </c:pt>
                <c:pt idx="541">
                  <c:v>373.32917759412328</c:v>
                </c:pt>
                <c:pt idx="542">
                  <c:v>373.29226488259258</c:v>
                </c:pt>
                <c:pt idx="543">
                  <c:v>374.66030623305005</c:v>
                </c:pt>
                <c:pt idx="544">
                  <c:v>375.94812515773691</c:v>
                </c:pt>
                <c:pt idx="545">
                  <c:v>377.02667296721495</c:v>
                </c:pt>
                <c:pt idx="546">
                  <c:v>377.83090320178849</c:v>
                </c:pt>
                <c:pt idx="547">
                  <c:v>378.74563391091198</c:v>
                </c:pt>
                <c:pt idx="548">
                  <c:v>380.07234714622354</c:v>
                </c:pt>
                <c:pt idx="549">
                  <c:v>380.69557492741239</c:v>
                </c:pt>
                <c:pt idx="550">
                  <c:v>380.18911213263038</c:v>
                </c:pt>
                <c:pt idx="551">
                  <c:v>378.84756500729713</c:v>
                </c:pt>
                <c:pt idx="552">
                  <c:v>376.95800649207854</c:v>
                </c:pt>
                <c:pt idx="553">
                  <c:v>375.28035273876469</c:v>
                </c:pt>
                <c:pt idx="554">
                  <c:v>375.2455030309838</c:v>
                </c:pt>
                <c:pt idx="555">
                  <c:v>376.61567615198277</c:v>
                </c:pt>
                <c:pt idx="556">
                  <c:v>377.90555808041944</c:v>
                </c:pt>
                <c:pt idx="557">
                  <c:v>378.98623766043897</c:v>
                </c:pt>
                <c:pt idx="558">
                  <c:v>379.79259966555401</c:v>
                </c:pt>
                <c:pt idx="559">
                  <c:v>380.70392504704495</c:v>
                </c:pt>
                <c:pt idx="560">
                  <c:v>382.03276422838826</c:v>
                </c:pt>
                <c:pt idx="561">
                  <c:v>382.65804937670475</c:v>
                </c:pt>
                <c:pt idx="562">
                  <c:v>382.1537125279545</c:v>
                </c:pt>
                <c:pt idx="563">
                  <c:v>380.81422276974882</c:v>
                </c:pt>
                <c:pt idx="564">
                  <c:v>378.92679020056204</c:v>
                </c:pt>
                <c:pt idx="565">
                  <c:v>377.25126239328</c:v>
                </c:pt>
                <c:pt idx="566">
                  <c:v>377.21847005262663</c:v>
                </c:pt>
                <c:pt idx="567">
                  <c:v>378.59076911965747</c:v>
                </c:pt>
                <c:pt idx="568">
                  <c:v>379.88270841522166</c:v>
                </c:pt>
                <c:pt idx="569">
                  <c:v>380.965513941273</c:v>
                </c:pt>
                <c:pt idx="570">
                  <c:v>381.77400189241985</c:v>
                </c:pt>
                <c:pt idx="571">
                  <c:v>382.68724748322984</c:v>
                </c:pt>
                <c:pt idx="572">
                  <c:v>384.01821261060502</c:v>
                </c:pt>
                <c:pt idx="573">
                  <c:v>384.64555512604903</c:v>
                </c:pt>
                <c:pt idx="574">
                  <c:v>384.14334422333059</c:v>
                </c:pt>
                <c:pt idx="575">
                  <c:v>382.80591183225243</c:v>
                </c:pt>
                <c:pt idx="576">
                  <c:v>380.92060520909752</c:v>
                </c:pt>
                <c:pt idx="577">
                  <c:v>379.24720334784729</c:v>
                </c:pt>
                <c:pt idx="578">
                  <c:v>379.21646837432149</c:v>
                </c:pt>
                <c:pt idx="579">
                  <c:v>380.59089338738414</c:v>
                </c:pt>
                <c:pt idx="580">
                  <c:v>381.88489005007585</c:v>
                </c:pt>
                <c:pt idx="581">
                  <c:v>382.96982152215901</c:v>
                </c:pt>
                <c:pt idx="582">
                  <c:v>383.78043541933772</c:v>
                </c:pt>
                <c:pt idx="583">
                  <c:v>384.69560121946677</c:v>
                </c:pt>
                <c:pt idx="584">
                  <c:v>386.02869229287376</c:v>
                </c:pt>
                <c:pt idx="585">
                  <c:v>386.65809217544529</c:v>
                </c:pt>
                <c:pt idx="586">
                  <c:v>386.15800721875866</c:v>
                </c:pt>
                <c:pt idx="587">
                  <c:v>384.82263219480814</c:v>
                </c:pt>
                <c:pt idx="588">
                  <c:v>382.93945151768497</c:v>
                </c:pt>
                <c:pt idx="589">
                  <c:v>381.26817560246656</c:v>
                </c:pt>
                <c:pt idx="590">
                  <c:v>381.23949799606834</c:v>
                </c:pt>
                <c:pt idx="591">
                  <c:v>382.61604895516274</c:v>
                </c:pt>
                <c:pt idx="592">
                  <c:v>383.91210298498208</c:v>
                </c:pt>
                <c:pt idx="593">
                  <c:v>384.99916040309699</c:v>
                </c:pt>
                <c:pt idx="594">
                  <c:v>385.81190024630757</c:v>
                </c:pt>
                <c:pt idx="595">
                  <c:v>386.7345915570591</c:v>
                </c:pt>
                <c:pt idx="596">
                  <c:v>388.06981440100759</c:v>
                </c:pt>
                <c:pt idx="597">
                  <c:v>388.70127728732899</c:v>
                </c:pt>
                <c:pt idx="598">
                  <c:v>388.20332410118385</c:v>
                </c:pt>
                <c:pt idx="599">
                  <c:v>386.87001208098309</c:v>
                </c:pt>
                <c:pt idx="600">
                  <c:v>384.98896317440148</c:v>
                </c:pt>
                <c:pt idx="601">
                  <c:v>383.3198190297245</c:v>
                </c:pt>
                <c:pt idx="602">
                  <c:v>383.29320442707609</c:v>
                </c:pt>
                <c:pt idx="603">
                  <c:v>384.67188715671205</c:v>
                </c:pt>
                <c:pt idx="604">
                  <c:v>385.9700041902812</c:v>
                </c:pt>
                <c:pt idx="605">
                  <c:v>387.05919337893761</c:v>
                </c:pt>
                <c:pt idx="606">
                  <c:v>387.87406499268963</c:v>
                </c:pt>
                <c:pt idx="607">
                  <c:v>388.79307647230422</c:v>
                </c:pt>
                <c:pt idx="608">
                  <c:v>390.13042526228452</c:v>
                </c:pt>
                <c:pt idx="609">
                  <c:v>390.7639455157335</c:v>
                </c:pt>
                <c:pt idx="610">
                  <c:v>390.26811827562011</c:v>
                </c:pt>
                <c:pt idx="611">
                  <c:v>388.93686362254698</c:v>
                </c:pt>
                <c:pt idx="612">
                  <c:v>387.05794066199712</c:v>
                </c:pt>
                <c:pt idx="613">
                  <c:v>385.39092246335201</c:v>
                </c:pt>
                <c:pt idx="614">
                  <c:v>385.36636522783112</c:v>
                </c:pt>
                <c:pt idx="615">
                  <c:v>386.74717390349889</c:v>
                </c:pt>
                <c:pt idx="616">
                  <c:v>388.04734830419557</c:v>
                </c:pt>
                <c:pt idx="617">
                  <c:v>389.13866343888384</c:v>
                </c:pt>
                <c:pt idx="618">
                  <c:v>389.95566099866767</c:v>
                </c:pt>
                <c:pt idx="619">
                  <c:v>390.87659268760132</c:v>
                </c:pt>
                <c:pt idx="620">
                  <c:v>392.21606742361337</c:v>
                </c:pt>
                <c:pt idx="621">
                  <c:v>392.85164504418992</c:v>
                </c:pt>
                <c:pt idx="622">
                  <c:v>392.35794375010835</c:v>
                </c:pt>
                <c:pt idx="623">
                  <c:v>391.02874646416279</c:v>
                </c:pt>
                <c:pt idx="624">
                  <c:v>389.15194944964475</c:v>
                </c:pt>
                <c:pt idx="625">
                  <c:v>387.48705719703145</c:v>
                </c:pt>
                <c:pt idx="626">
                  <c:v>387.46455732863814</c:v>
                </c:pt>
                <c:pt idx="627">
                  <c:v>388.84749195033771</c:v>
                </c:pt>
                <c:pt idx="628">
                  <c:v>390.14972371816197</c:v>
                </c:pt>
                <c:pt idx="629">
                  <c:v>391.24316479888205</c:v>
                </c:pt>
                <c:pt idx="630">
                  <c:v>392.06228830469769</c:v>
                </c:pt>
                <c:pt idx="631">
                  <c:v>392.98514020295039</c:v>
                </c:pt>
                <c:pt idx="632">
                  <c:v>394.32674088499425</c:v>
                </c:pt>
                <c:pt idx="633">
                  <c:v>394.96437587269833</c:v>
                </c:pt>
                <c:pt idx="634">
                  <c:v>394.47280052464862</c:v>
                </c:pt>
                <c:pt idx="635">
                  <c:v>393.14566060583059</c:v>
                </c:pt>
                <c:pt idx="636">
                  <c:v>391.27098953734441</c:v>
                </c:pt>
                <c:pt idx="637">
                  <c:v>389.60822323076286</c:v>
                </c:pt>
                <c:pt idx="638">
                  <c:v>389.58778072949718</c:v>
                </c:pt>
                <c:pt idx="639">
                  <c:v>390.97284129722846</c:v>
                </c:pt>
                <c:pt idx="640">
                  <c:v>392.27713043218034</c:v>
                </c:pt>
                <c:pt idx="641">
                  <c:v>393.37269745893218</c:v>
                </c:pt>
                <c:pt idx="642">
                  <c:v>394.19394691077969</c:v>
                </c:pt>
                <c:pt idx="643">
                  <c:v>395.12459882315932</c:v>
                </c:pt>
                <c:pt idx="644">
                  <c:v>396.46833127574467</c:v>
                </c:pt>
                <c:pt idx="645">
                  <c:v>397.10802926719862</c:v>
                </c:pt>
                <c:pt idx="646">
                  <c:v>396.61858568969035</c:v>
                </c:pt>
                <c:pt idx="647">
                  <c:v>395.29350877462218</c:v>
                </c:pt>
                <c:pt idx="648">
                  <c:v>393.42096947667739</c:v>
                </c:pt>
                <c:pt idx="649">
                  <c:v>391.76033494063745</c:v>
                </c:pt>
                <c:pt idx="650">
                  <c:v>391.74195544312153</c:v>
                </c:pt>
                <c:pt idx="651">
                  <c:v>393.12914778139435</c:v>
                </c:pt>
                <c:pt idx="652">
                  <c:v>394.43549992009599</c:v>
                </c:pt>
                <c:pt idx="653">
                  <c:v>395.53319871738938</c:v>
                </c:pt>
                <c:pt idx="654">
                  <c:v>396.35657993977827</c:v>
                </c:pt>
                <c:pt idx="655">
                  <c:v>397.28327751751658</c:v>
                </c:pt>
                <c:pt idx="656">
                  <c:v>398.62913591613375</c:v>
                </c:pt>
                <c:pt idx="657">
                  <c:v>399.27089127471527</c:v>
                </c:pt>
                <c:pt idx="658">
                  <c:v>398.78357364323881</c:v>
                </c:pt>
                <c:pt idx="659">
                  <c:v>397.46055409529816</c:v>
                </c:pt>
                <c:pt idx="660">
                  <c:v>395.59014074338523</c:v>
                </c:pt>
                <c:pt idx="661">
                  <c:v>393.93163215337705</c:v>
                </c:pt>
                <c:pt idx="662">
                  <c:v>393.91531002298871</c:v>
                </c:pt>
                <c:pt idx="663">
                  <c:v>395.30462830729334</c:v>
                </c:pt>
                <c:pt idx="664">
                  <c:v>396.61303781312256</c:v>
                </c:pt>
                <c:pt idx="665">
                  <c:v>397.71286255644776</c:v>
                </c:pt>
                <c:pt idx="666">
                  <c:v>398.53836972486846</c:v>
                </c:pt>
                <c:pt idx="667">
                  <c:v>399.46698751192582</c:v>
                </c:pt>
                <c:pt idx="668">
                  <c:v>400.81497185657486</c:v>
                </c:pt>
                <c:pt idx="669">
                  <c:v>401.45878458228384</c:v>
                </c:pt>
                <c:pt idx="670">
                  <c:v>400.97359289683925</c:v>
                </c:pt>
                <c:pt idx="671">
                  <c:v>399.65263071602618</c:v>
                </c:pt>
                <c:pt idx="672">
                  <c:v>397.784343310145</c:v>
                </c:pt>
                <c:pt idx="673">
                  <c:v>396.12796066616863</c:v>
                </c:pt>
                <c:pt idx="674">
                  <c:v>396.11369590290786</c:v>
                </c:pt>
                <c:pt idx="675">
                  <c:v>397.50514013324437</c:v>
                </c:pt>
                <c:pt idx="676">
                  <c:v>398.81560700620111</c:v>
                </c:pt>
                <c:pt idx="677">
                  <c:v>399.91755769555812</c:v>
                </c:pt>
                <c:pt idx="678">
                  <c:v>400.74519081001068</c:v>
                </c:pt>
                <c:pt idx="679">
                  <c:v>401.67572880638704</c:v>
                </c:pt>
                <c:pt idx="680">
                  <c:v>403.02583909706789</c:v>
                </c:pt>
                <c:pt idx="681">
                  <c:v>403.67170918990445</c:v>
                </c:pt>
                <c:pt idx="682">
                  <c:v>403.18864345049167</c:v>
                </c:pt>
                <c:pt idx="683">
                  <c:v>401.86973863680612</c:v>
                </c:pt>
                <c:pt idx="684">
                  <c:v>400.00357717695681</c:v>
                </c:pt>
                <c:pt idx="685">
                  <c:v>398.34932047901225</c:v>
                </c:pt>
                <c:pt idx="686">
                  <c:v>398.33711308287906</c:v>
                </c:pt>
                <c:pt idx="687">
                  <c:v>399.73068325924731</c:v>
                </c:pt>
                <c:pt idx="688">
                  <c:v>401.04320749933163</c:v>
                </c:pt>
                <c:pt idx="689">
                  <c:v>402.14728413472045</c:v>
                </c:pt>
                <c:pt idx="690">
                  <c:v>402.97704319520483</c:v>
                </c:pt>
                <c:pt idx="691">
                  <c:v>403.91565570921256</c:v>
                </c:pt>
                <c:pt idx="692">
                  <c:v>405.26789777043484</c:v>
                </c:pt>
                <c:pt idx="693">
                  <c:v>405.91583086702127</c:v>
                </c:pt>
                <c:pt idx="694">
                  <c:v>405.43489689814993</c:v>
                </c:pt>
                <c:pt idx="695">
                  <c:v>404.11805508821425</c:v>
                </c:pt>
                <c:pt idx="696">
                  <c:v>402.25402539890644</c:v>
                </c:pt>
                <c:pt idx="697">
                  <c:v>400.60190047150331</c:v>
                </c:pt>
                <c:pt idx="698">
                  <c:v>400.59175607911999</c:v>
                </c:pt>
                <c:pt idx="699">
                  <c:v>401.98745802602974</c:v>
                </c:pt>
                <c:pt idx="700">
                  <c:v>403.30204526986387</c:v>
                </c:pt>
                <c:pt idx="701">
                  <c:v>404.40825367579419</c:v>
                </c:pt>
                <c:pt idx="702">
                  <c:v>405.24014450682</c:v>
                </c:pt>
                <c:pt idx="703">
                  <c:v>406.17452818268202</c:v>
                </c:pt>
                <c:pt idx="704">
                  <c:v>407.52889618993612</c:v>
                </c:pt>
                <c:pt idx="705">
                  <c:v>408.17888665365007</c:v>
                </c:pt>
                <c:pt idx="706">
                  <c:v>407.70007863081059</c:v>
                </c:pt>
                <c:pt idx="707">
                  <c:v>406.38529418800243</c:v>
                </c:pt>
                <c:pt idx="708">
                  <c:v>404.52339044472637</c:v>
                </c:pt>
                <c:pt idx="709">
                  <c:v>402.87339146335512</c:v>
                </c:pt>
                <c:pt idx="710">
                  <c:v>402.86530443809932</c:v>
                </c:pt>
                <c:pt idx="711">
                  <c:v>404.26313233104094</c:v>
                </c:pt>
                <c:pt idx="712">
                  <c:v>405.57977694200264</c:v>
                </c:pt>
                <c:pt idx="713">
                  <c:v>406.68811129396471</c:v>
                </c:pt>
                <c:pt idx="714">
                  <c:v>407.52212807102239</c:v>
                </c:pt>
                <c:pt idx="715">
                  <c:v>408.45843195620341</c:v>
                </c:pt>
                <c:pt idx="716">
                  <c:v>409.81492590948932</c:v>
                </c:pt>
                <c:pt idx="717">
                  <c:v>410.46697374033084</c:v>
                </c:pt>
                <c:pt idx="718">
                  <c:v>409.99029166352318</c:v>
                </c:pt>
                <c:pt idx="719">
                  <c:v>408.6775645878426</c:v>
                </c:pt>
                <c:pt idx="720">
                  <c:v>406.8177867905984</c:v>
                </c:pt>
                <c:pt idx="721">
                  <c:v>405.1699137552589</c:v>
                </c:pt>
                <c:pt idx="722">
                  <c:v>405.16388409713068</c:v>
                </c:pt>
                <c:pt idx="723">
                  <c:v>406.56383793610405</c:v>
                </c:pt>
                <c:pt idx="724">
                  <c:v>407.88253991419333</c:v>
                </c:pt>
                <c:pt idx="725">
                  <c:v>408.99300021218721</c:v>
                </c:pt>
                <c:pt idx="726">
                  <c:v>409.82914293527671</c:v>
                </c:pt>
                <c:pt idx="727">
                  <c:v>410.76736702977678</c:v>
                </c:pt>
                <c:pt idx="728">
                  <c:v>412.12598692909449</c:v>
                </c:pt>
                <c:pt idx="729">
                  <c:v>412.7800921270636</c:v>
                </c:pt>
                <c:pt idx="730">
                  <c:v>412.30553599628774</c:v>
                </c:pt>
                <c:pt idx="731">
                  <c:v>410.99486628773468</c:v>
                </c:pt>
                <c:pt idx="732">
                  <c:v>409.1372144365223</c:v>
                </c:pt>
                <c:pt idx="733">
                  <c:v>407.49146734721467</c:v>
                </c:pt>
                <c:pt idx="734">
                  <c:v>407.48749505621396</c:v>
                </c:pt>
                <c:pt idx="735">
                  <c:v>408.88957484121914</c:v>
                </c:pt>
                <c:pt idx="736">
                  <c:v>410.210334186436</c:v>
                </c:pt>
                <c:pt idx="737">
                  <c:v>411.32292043046175</c:v>
                </c:pt>
                <c:pt idx="738">
                  <c:v>412.161189099583</c:v>
                </c:pt>
                <c:pt idx="739">
                  <c:v>413.10776221521888</c:v>
                </c:pt>
                <c:pt idx="740">
                  <c:v>414.4685138850781</c:v>
                </c:pt>
                <c:pt idx="741">
                  <c:v>415.12468208679701</c:v>
                </c:pt>
                <c:pt idx="742">
                  <c:v>414.6522577265626</c:v>
                </c:pt>
                <c:pt idx="743">
                  <c:v>413.34365102175946</c:v>
                </c:pt>
                <c:pt idx="744">
                  <c:v>411.48813094108851</c:v>
                </c:pt>
                <c:pt idx="745">
                  <c:v>409.84451562232232</c:v>
                </c:pt>
                <c:pt idx="746">
                  <c:v>409.84260633507148</c:v>
                </c:pt>
                <c:pt idx="747">
                  <c:v>411.24681789061816</c:v>
                </c:pt>
                <c:pt idx="748">
                  <c:v>412.56964023958483</c:v>
                </c:pt>
                <c:pt idx="749">
                  <c:v>413.68435825415202</c:v>
                </c:pt>
                <c:pt idx="750">
                  <c:v>414.52475869381482</c:v>
                </c:pt>
                <c:pt idx="751">
                  <c:v>415.4668284678005</c:v>
                </c:pt>
                <c:pt idx="752">
                  <c:v>416.82970608369152</c:v>
                </c:pt>
                <c:pt idx="753">
                  <c:v>417.48793165253795</c:v>
                </c:pt>
                <c:pt idx="754">
                  <c:v>417.01763323833541</c:v>
                </c:pt>
                <c:pt idx="755">
                  <c:v>415.71108390065973</c:v>
                </c:pt>
                <c:pt idx="756">
                  <c:v>413.85768976602066</c:v>
                </c:pt>
                <c:pt idx="757">
                  <c:v>412.21620039328633</c:v>
                </c:pt>
                <c:pt idx="758">
                  <c:v>412.21634847316301</c:v>
                </c:pt>
                <c:pt idx="759">
                  <c:v>413.6226859747415</c:v>
                </c:pt>
                <c:pt idx="760">
                  <c:v>414.94756569083575</c:v>
                </c:pt>
                <c:pt idx="761">
                  <c:v>416.06440965143474</c:v>
                </c:pt>
                <c:pt idx="762">
                  <c:v>416.90693603712936</c:v>
                </c:pt>
                <c:pt idx="763">
                  <c:v>417.85092602043403</c:v>
                </c:pt>
                <c:pt idx="764">
                  <c:v>419.21592958235692</c:v>
                </c:pt>
                <c:pt idx="765">
                  <c:v>419.87621251833087</c:v>
                </c:pt>
                <c:pt idx="766">
                  <c:v>419.40804005016014</c:v>
                </c:pt>
                <c:pt idx="767">
                  <c:v>418.10354807961204</c:v>
                </c:pt>
                <c:pt idx="768">
                  <c:v>416.25227989100478</c:v>
                </c:pt>
                <c:pt idx="769">
                  <c:v>414.61291646430226</c:v>
                </c:pt>
                <c:pt idx="770">
                  <c:v>414.61512191130652</c:v>
                </c:pt>
                <c:pt idx="771">
                  <c:v>416.02358535891676</c:v>
                </c:pt>
                <c:pt idx="772">
                  <c:v>417.35052244213858</c:v>
                </c:pt>
                <c:pt idx="773">
                  <c:v>418.46949234876945</c:v>
                </c:pt>
                <c:pt idx="774">
                  <c:v>419.31414468049582</c:v>
                </c:pt>
                <c:pt idx="775">
                  <c:v>420.2600548731196</c:v>
                </c:pt>
                <c:pt idx="776">
                  <c:v>421.62718438107419</c:v>
                </c:pt>
                <c:pt idx="777">
                  <c:v>422.28952468417583</c:v>
                </c:pt>
                <c:pt idx="778">
                  <c:v>421.82347816203685</c:v>
                </c:pt>
                <c:pt idx="779">
                  <c:v>420.52104355861633</c:v>
                </c:pt>
                <c:pt idx="780">
                  <c:v>418.67190131604087</c:v>
                </c:pt>
                <c:pt idx="781">
                  <c:v>417.03466383537017</c:v>
                </c:pt>
                <c:pt idx="782">
                  <c:v>417.038926649502</c:v>
                </c:pt>
                <c:pt idx="783">
                  <c:v>418.44951604314406</c:v>
                </c:pt>
                <c:pt idx="784">
                  <c:v>419.77851049349346</c:v>
                </c:pt>
                <c:pt idx="785">
                  <c:v>420.89960634615608</c:v>
                </c:pt>
                <c:pt idx="786">
                  <c:v>421.74638462391431</c:v>
                </c:pt>
                <c:pt idx="787">
                  <c:v>422.70091834117824</c:v>
                </c:pt>
                <c:pt idx="788">
                  <c:v>424.07017961967438</c:v>
                </c:pt>
                <c:pt idx="789">
                  <c:v>424.73458292652577</c:v>
                </c:pt>
                <c:pt idx="790">
                  <c:v>424.27066817492835</c:v>
                </c:pt>
                <c:pt idx="791">
                  <c:v>422.97029657525763</c:v>
                </c:pt>
                <c:pt idx="792">
                  <c:v>421.12328610322362</c:v>
                </c:pt>
                <c:pt idx="793">
                  <c:v>419.48818039309441</c:v>
                </c:pt>
                <c:pt idx="794">
                  <c:v>419.49450621097606</c:v>
                </c:pt>
                <c:pt idx="795">
                  <c:v>420.90722737515966</c:v>
                </c:pt>
                <c:pt idx="796">
                  <c:v>422.23828482925882</c:v>
                </c:pt>
                <c:pt idx="797">
                  <c:v>423.36151245246299</c:v>
                </c:pt>
                <c:pt idx="798">
                  <c:v>424.21042250076266</c:v>
                </c:pt>
                <c:pt idx="799">
                  <c:v>425.160178372872</c:v>
                </c:pt>
                <c:pt idx="800">
                  <c:v>426.53156559739995</c:v>
                </c:pt>
                <c:pt idx="801">
                  <c:v>427.19802627137892</c:v>
                </c:pt>
                <c:pt idx="802">
                  <c:v>426.73623746581325</c:v>
                </c:pt>
                <c:pt idx="803">
                  <c:v>425.43792323327011</c:v>
                </c:pt>
                <c:pt idx="804">
                  <c:v>423.59303870726791</c:v>
                </c:pt>
                <c:pt idx="805">
                  <c:v>421.96005894317057</c:v>
                </c:pt>
                <c:pt idx="806">
                  <c:v>421.96844212817973</c:v>
                </c:pt>
                <c:pt idx="807">
                  <c:v>423.38328923839515</c:v>
                </c:pt>
                <c:pt idx="808">
                  <c:v>424.71640405962188</c:v>
                </c:pt>
                <c:pt idx="809">
                  <c:v>425.84175762885786</c:v>
                </c:pt>
                <c:pt idx="810">
                  <c:v>426.69279362318935</c:v>
                </c:pt>
                <c:pt idx="811">
                  <c:v>427.64446970461773</c:v>
                </c:pt>
                <c:pt idx="812">
                  <c:v>429.01798287517744</c:v>
                </c:pt>
                <c:pt idx="813">
                  <c:v>429.68650091628405</c:v>
                </c:pt>
                <c:pt idx="814">
                  <c:v>429.22683805675018</c:v>
                </c:pt>
                <c:pt idx="815">
                  <c:v>427.93058119133462</c:v>
                </c:pt>
                <c:pt idx="816">
                  <c:v>426.08782261136429</c:v>
                </c:pt>
                <c:pt idx="817">
                  <c:v>424.45696879329864</c:v>
                </c:pt>
                <c:pt idx="818">
                  <c:v>424.46740934543544</c:v>
                </c:pt>
                <c:pt idx="819">
                  <c:v>425.88438240168261</c:v>
                </c:pt>
                <c:pt idx="820">
                  <c:v>427.21955459003692</c:v>
                </c:pt>
                <c:pt idx="821">
                  <c:v>428.34703410530472</c:v>
                </c:pt>
                <c:pt idx="822">
                  <c:v>429.20019604566801</c:v>
                </c:pt>
                <c:pt idx="823">
                  <c:v>430.15379233641539</c:v>
                </c:pt>
                <c:pt idx="824">
                  <c:v>431.52943145300696</c:v>
                </c:pt>
                <c:pt idx="825">
                  <c:v>432.20000686124109</c:v>
                </c:pt>
                <c:pt idx="826">
                  <c:v>431.7424699477391</c:v>
                </c:pt>
                <c:pt idx="827">
                  <c:v>430.44827044945106</c:v>
                </c:pt>
                <c:pt idx="828">
                  <c:v>428.60763781551253</c:v>
                </c:pt>
                <c:pt idx="829">
                  <c:v>426.9789099434787</c:v>
                </c:pt>
                <c:pt idx="830">
                  <c:v>426.99140786274302</c:v>
                </c:pt>
                <c:pt idx="831">
                  <c:v>428.41050686502206</c:v>
                </c:pt>
                <c:pt idx="832">
                  <c:v>429.74773642050394</c:v>
                </c:pt>
                <c:pt idx="833">
                  <c:v>430.87734188180349</c:v>
                </c:pt>
                <c:pt idx="834">
                  <c:v>431.73262976819865</c:v>
                </c:pt>
                <c:pt idx="835">
                  <c:v>432.69512408709068</c:v>
                </c:pt>
                <c:pt idx="836">
                  <c:v>434.07289497422374</c:v>
                </c:pt>
                <c:pt idx="837">
                  <c:v>434.74553338620763</c:v>
                </c:pt>
                <c:pt idx="838">
                  <c:v>434.29012824324712</c:v>
                </c:pt>
                <c:pt idx="839">
                  <c:v>432.9979917487089</c:v>
                </c:pt>
                <c:pt idx="840">
                  <c:v>431.15949088531187</c:v>
                </c:pt>
                <c:pt idx="841">
                  <c:v>429.53289478381953</c:v>
                </c:pt>
                <c:pt idx="842">
                  <c:v>429.54745570683372</c:v>
                </c:pt>
                <c:pt idx="843">
                  <c:v>430.96868647965425</c:v>
                </c:pt>
                <c:pt idx="844">
                  <c:v>432.30797903888589</c:v>
                </c:pt>
                <c:pt idx="845">
                  <c:v>433.43971627072699</c:v>
                </c:pt>
                <c:pt idx="846">
                  <c:v>434.29713592766359</c:v>
                </c:pt>
                <c:pt idx="847">
                  <c:v>435.25457789789658</c:v>
                </c:pt>
                <c:pt idx="848">
                  <c:v>436.6344747310614</c:v>
                </c:pt>
                <c:pt idx="849">
                  <c:v>437.30917051017292</c:v>
                </c:pt>
                <c:pt idx="850">
                  <c:v>436.85589131324423</c:v>
                </c:pt>
                <c:pt idx="851">
                  <c:v>435.56581218583352</c:v>
                </c:pt>
                <c:pt idx="852">
                  <c:v>433.7294372684683</c:v>
                </c:pt>
                <c:pt idx="853">
                  <c:v>432.10496711300783</c:v>
                </c:pt>
                <c:pt idx="854">
                  <c:v>432.12158540314954</c:v>
                </c:pt>
                <c:pt idx="855">
                  <c:v>433.54494212200188</c:v>
                </c:pt>
                <c:pt idx="856">
                  <c:v>434.8862920483611</c:v>
                </c:pt>
                <c:pt idx="857">
                  <c:v>436.02015522623401</c:v>
                </c:pt>
                <c:pt idx="858">
                  <c:v>436.87970082920242</c:v>
                </c:pt>
                <c:pt idx="859">
                  <c:v>437.83906300875447</c:v>
                </c:pt>
                <c:pt idx="860">
                  <c:v>439.2210857879511</c:v>
                </c:pt>
                <c:pt idx="861">
                  <c:v>439.89783893419019</c:v>
                </c:pt>
                <c:pt idx="862">
                  <c:v>439.44668568329325</c:v>
                </c:pt>
                <c:pt idx="863">
                  <c:v>438.15866392301018</c:v>
                </c:pt>
                <c:pt idx="864">
                  <c:v>436.32441495167677</c:v>
                </c:pt>
                <c:pt idx="865">
                  <c:v>434.70207074224811</c:v>
                </c:pt>
                <c:pt idx="866">
                  <c:v>434.72074639951734</c:v>
                </c:pt>
                <c:pt idx="867">
                  <c:v>436.1462290644015</c:v>
                </c:pt>
                <c:pt idx="868">
                  <c:v>437.48963635788829</c:v>
                </c:pt>
                <c:pt idx="869">
                  <c:v>438.62562548179301</c:v>
                </c:pt>
                <c:pt idx="870">
                  <c:v>439.48729703079323</c:v>
                </c:pt>
                <c:pt idx="871">
                  <c:v>440.44857941966433</c:v>
                </c:pt>
                <c:pt idx="872">
                  <c:v>441.83272814489283</c:v>
                </c:pt>
                <c:pt idx="873">
                  <c:v>442.51153865825944</c:v>
                </c:pt>
                <c:pt idx="874">
                  <c:v>442.06251135339431</c:v>
                </c:pt>
                <c:pt idx="875">
                  <c:v>440.77654696023882</c:v>
                </c:pt>
                <c:pt idx="876">
                  <c:v>438.94442393493722</c:v>
                </c:pt>
                <c:pt idx="877">
                  <c:v>437.32420567154031</c:v>
                </c:pt>
                <c:pt idx="878">
                  <c:v>437.34493869593712</c:v>
                </c:pt>
                <c:pt idx="879">
                  <c:v>438.77254730685308</c:v>
                </c:pt>
                <c:pt idx="880">
                  <c:v>440.11801196746745</c:v>
                </c:pt>
                <c:pt idx="881">
                  <c:v>441.25612703740399</c:v>
                </c:pt>
                <c:pt idx="882">
                  <c:v>442.11992453243602</c:v>
                </c:pt>
                <c:pt idx="883">
                  <c:v>443.09037945295614</c:v>
                </c:pt>
                <c:pt idx="884">
                  <c:v>444.47665994872608</c:v>
                </c:pt>
                <c:pt idx="885">
                  <c:v>445.15753346584256</c:v>
                </c:pt>
                <c:pt idx="886">
                  <c:v>444.71063793151893</c:v>
                </c:pt>
                <c:pt idx="887">
                  <c:v>443.42673654211325</c:v>
                </c:pt>
                <c:pt idx="888">
                  <c:v>441.59674528735314</c:v>
                </c:pt>
                <c:pt idx="889">
                  <c:v>439.97865879449773</c:v>
                </c:pt>
                <c:pt idx="890">
                  <c:v>440.0014548226444</c:v>
                </c:pt>
                <c:pt idx="891">
                  <c:v>441.43119520410181</c:v>
                </c:pt>
                <c:pt idx="892">
                  <c:v>442.77872286846605</c:v>
                </c:pt>
                <c:pt idx="893">
                  <c:v>443.91896970894402</c:v>
                </c:pt>
                <c:pt idx="894">
                  <c:v>444.78489897451755</c:v>
                </c:pt>
                <c:pt idx="895">
                  <c:v>445.75002704287419</c:v>
                </c:pt>
                <c:pt idx="896">
                  <c:v>447.13843348467594</c:v>
                </c:pt>
                <c:pt idx="897">
                  <c:v>447.82136436892</c:v>
                </c:pt>
                <c:pt idx="898">
                  <c:v>447.37659478062824</c:v>
                </c:pt>
                <c:pt idx="899">
                  <c:v>446.09475075835007</c:v>
                </c:pt>
                <c:pt idx="900">
                  <c:v>444.26688544962173</c:v>
                </c:pt>
                <c:pt idx="901">
                  <c:v>442.65092490279818</c:v>
                </c:pt>
                <c:pt idx="902">
                  <c:v>442.67577829807232</c:v>
                </c:pt>
                <c:pt idx="903">
                  <c:v>444.10764462556165</c:v>
                </c:pt>
                <c:pt idx="904">
                  <c:v>445.4572296570534</c:v>
                </c:pt>
                <c:pt idx="905">
                  <c:v>446.59960244356319</c:v>
                </c:pt>
                <c:pt idx="906">
                  <c:v>447.46765765516858</c:v>
                </c:pt>
                <c:pt idx="907">
                  <c:v>448.43470593284422</c:v>
                </c:pt>
                <c:pt idx="908">
                  <c:v>449.82523832067784</c:v>
                </c:pt>
                <c:pt idx="909">
                  <c:v>450.51022657204942</c:v>
                </c:pt>
                <c:pt idx="910">
                  <c:v>450.06758292978941</c:v>
                </c:pt>
                <c:pt idx="911">
                  <c:v>448.78779627463888</c:v>
                </c:pt>
                <c:pt idx="912">
                  <c:v>446.9620569119424</c:v>
                </c:pt>
                <c:pt idx="913">
                  <c:v>445.34822231115061</c:v>
                </c:pt>
                <c:pt idx="914">
                  <c:v>445.37513307355238</c:v>
                </c:pt>
                <c:pt idx="915">
                  <c:v>446.8091253470734</c:v>
                </c:pt>
                <c:pt idx="916">
                  <c:v>448.16076774569279</c:v>
                </c:pt>
                <c:pt idx="917">
                  <c:v>449.30526647823433</c:v>
                </c:pt>
                <c:pt idx="918">
                  <c:v>450.17544763587148</c:v>
                </c:pt>
                <c:pt idx="919">
                  <c:v>451.14441612286629</c:v>
                </c:pt>
                <c:pt idx="920">
                  <c:v>452.53707445673172</c:v>
                </c:pt>
                <c:pt idx="921">
                  <c:v>453.22412007523081</c:v>
                </c:pt>
                <c:pt idx="922">
                  <c:v>452.78360237900267</c:v>
                </c:pt>
                <c:pt idx="923">
                  <c:v>451.50587309097966</c:v>
                </c:pt>
                <c:pt idx="924">
                  <c:v>449.68225967431493</c:v>
                </c:pt>
                <c:pt idx="925">
                  <c:v>448.07055101955501</c:v>
                </c:pt>
                <c:pt idx="926">
                  <c:v>448.0995191490843</c:v>
                </c:pt>
                <c:pt idx="927">
                  <c:v>449.5356373686372</c:v>
                </c:pt>
                <c:pt idx="928">
                  <c:v>450.88933713438411</c:v>
                </c:pt>
                <c:pt idx="929">
                  <c:v>452.03596181295751</c:v>
                </c:pt>
                <c:pt idx="930">
                  <c:v>452.90826891662647</c:v>
                </c:pt>
                <c:pt idx="931">
                  <c:v>453.88668443877469</c:v>
                </c:pt>
                <c:pt idx="932">
                  <c:v>455.28147454318156</c:v>
                </c:pt>
                <c:pt idx="933">
                  <c:v>455.97058316543053</c:v>
                </c:pt>
                <c:pt idx="934">
                  <c:v>455.53219723974382</c:v>
                </c:pt>
                <c:pt idx="935">
                  <c:v>454.25653095547068</c:v>
                </c:pt>
                <c:pt idx="936">
                  <c:v>452.43504930934745</c:v>
                </c:pt>
                <c:pt idx="937">
                  <c:v>450.82547242512902</c:v>
                </c:pt>
                <c:pt idx="938">
                  <c:v>450.85650355840818</c:v>
                </c:pt>
                <c:pt idx="939">
                  <c:v>452.29475354850251</c:v>
                </c:pt>
                <c:pt idx="940">
                  <c:v>453.65051631799923</c:v>
                </c:pt>
                <c:pt idx="941">
                  <c:v>454.79927276711413</c:v>
                </c:pt>
                <c:pt idx="942">
                  <c:v>455.67371164132459</c:v>
                </c:pt>
                <c:pt idx="943">
                  <c:v>456.64652580780489</c:v>
                </c:pt>
                <c:pt idx="944">
                  <c:v>458.04344185824357</c:v>
                </c:pt>
                <c:pt idx="945">
                  <c:v>458.73460784762011</c:v>
                </c:pt>
                <c:pt idx="946">
                  <c:v>458.29834786796528</c:v>
                </c:pt>
                <c:pt idx="947">
                  <c:v>457.02473895081965</c:v>
                </c:pt>
                <c:pt idx="948">
                  <c:v>455.20538325072823</c:v>
                </c:pt>
                <c:pt idx="949">
                  <c:v>453.59793231254162</c:v>
                </c:pt>
                <c:pt idx="950">
                  <c:v>453.63102081294829</c:v>
                </c:pt>
                <c:pt idx="951">
                  <c:v>455.07139674907444</c:v>
                </c:pt>
                <c:pt idx="952">
                  <c:v>456.42921688569874</c:v>
                </c:pt>
                <c:pt idx="953">
                  <c:v>457.5800992808455</c:v>
                </c:pt>
                <c:pt idx="954">
                  <c:v>458.45666410108771</c:v>
                </c:pt>
                <c:pt idx="955">
                  <c:v>459.43139847688707</c:v>
                </c:pt>
                <c:pt idx="956">
                  <c:v>460.83044047335761</c:v>
                </c:pt>
                <c:pt idx="957">
                  <c:v>461.52366382986173</c:v>
                </c:pt>
                <c:pt idx="958">
                  <c:v>461.08952979623871</c:v>
                </c:pt>
                <c:pt idx="959">
                  <c:v>459.8179782462206</c:v>
                </c:pt>
                <c:pt idx="960">
                  <c:v>458.00074849216099</c:v>
                </c:pt>
                <c:pt idx="961">
                  <c:v>456.39542350000619</c:v>
                </c:pt>
                <c:pt idx="962">
                  <c:v>456.43056936754039</c:v>
                </c:pt>
                <c:pt idx="963">
                  <c:v>457.87307124969846</c:v>
                </c:pt>
                <c:pt idx="964">
                  <c:v>459.23294875345027</c:v>
                </c:pt>
                <c:pt idx="965">
                  <c:v>460.38595709462879</c:v>
                </c:pt>
                <c:pt idx="966">
                  <c:v>461.26464786090287</c:v>
                </c:pt>
                <c:pt idx="967">
                  <c:v>462.24130244602128</c:v>
                </c:pt>
                <c:pt idx="968">
                  <c:v>463.64247038852363</c:v>
                </c:pt>
                <c:pt idx="969">
                  <c:v>464.33775111215527</c:v>
                </c:pt>
                <c:pt idx="970">
                  <c:v>463.905743024564</c:v>
                </c:pt>
                <c:pt idx="971">
                  <c:v>462.63624884167353</c:v>
                </c:pt>
                <c:pt idx="972">
                  <c:v>460.82114503364573</c:v>
                </c:pt>
                <c:pt idx="973">
                  <c:v>459.21794598752274</c:v>
                </c:pt>
                <c:pt idx="974">
                  <c:v>459.25514922218451</c:v>
                </c:pt>
                <c:pt idx="975">
                  <c:v>460.69977705037434</c:v>
                </c:pt>
                <c:pt idx="976">
                  <c:v>462.06171192125373</c:v>
                </c:pt>
                <c:pt idx="977">
                  <c:v>463.21684620846406</c:v>
                </c:pt>
                <c:pt idx="978">
                  <c:v>464.09766292076995</c:v>
                </c:pt>
                <c:pt idx="979">
                  <c:v>465.08403904454627</c:v>
                </c:pt>
                <c:pt idx="980">
                  <c:v>466.48733875759007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D-42C9-9BB7-19133218B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661616"/>
        <c:axId val="417676592"/>
      </c:lineChart>
      <c:dateAx>
        <c:axId val="417661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76592"/>
        <c:crosses val="autoZero"/>
        <c:auto val="1"/>
        <c:lblOffset val="100"/>
        <c:baseTimeUnit val="months"/>
      </c:dateAx>
      <c:valAx>
        <c:axId val="417676592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6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'2次多項式モデル'!$M$1</c:f>
              <c:strCache>
                <c:ptCount val="1"/>
                <c:pt idx="0">
                  <c:v>I(t) (=残差)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'2次多項式モデル'!$M$2:$M$982</c:f>
              <c:numCache>
                <c:formatCode>0.00_ ;[Red]\-0.00\ </c:formatCode>
                <c:ptCount val="981"/>
                <c:pt idx="0">
                  <c:v>3.0246128888506973E-3</c:v>
                </c:pt>
                <c:pt idx="1">
                  <c:v>0.53417478915673655</c:v>
                </c:pt>
                <c:pt idx="2">
                  <c:v>5.5653535302838009E-2</c:v>
                </c:pt>
                <c:pt idx="3">
                  <c:v>0.44623339433258025</c:v>
                </c:pt>
                <c:pt idx="4">
                  <c:v>1.5036553211306227</c:v>
                </c:pt>
                <c:pt idx="5">
                  <c:v>1.5591724860238969</c:v>
                </c:pt>
                <c:pt idx="6">
                  <c:v>0.53641901172022699</c:v>
                </c:pt>
                <c:pt idx="7">
                  <c:v>0.68124361061853733</c:v>
                </c:pt>
                <c:pt idx="8">
                  <c:v>0.60842744217848121</c:v>
                </c:pt>
                <c:pt idx="9">
                  <c:v>0.80992884864286907</c:v>
                </c:pt>
                <c:pt idx="10">
                  <c:v>0.14699622599783879</c:v>
                </c:pt>
                <c:pt idx="11">
                  <c:v>-1.3979543765969993E-2</c:v>
                </c:pt>
                <c:pt idx="12">
                  <c:v>2.5441835252536293E-2</c:v>
                </c:pt>
                <c:pt idx="13">
                  <c:v>0.48764209558220273</c:v>
                </c:pt>
                <c:pt idx="14">
                  <c:v>0.31183838112286821</c:v>
                </c:pt>
                <c:pt idx="15">
                  <c:v>0.55713436188909782</c:v>
                </c:pt>
                <c:pt idx="16">
                  <c:v>1.3705255807505523</c:v>
                </c:pt>
                <c:pt idx="17">
                  <c:v>0.98802444873882678</c:v>
                </c:pt>
                <c:pt idx="18">
                  <c:v>1.1935887932875175</c:v>
                </c:pt>
                <c:pt idx="19">
                  <c:v>0.76635602505825773</c:v>
                </c:pt>
                <c:pt idx="20">
                  <c:v>0.63141391058638874</c:v>
                </c:pt>
                <c:pt idx="21">
                  <c:v>0.47078937101895235</c:v>
                </c:pt>
                <c:pt idx="22">
                  <c:v>0.24362527980446202</c:v>
                </c:pt>
                <c:pt idx="23">
                  <c:v>0.46051773949903918</c:v>
                </c:pt>
                <c:pt idx="24">
                  <c:v>0.9378761147677892</c:v>
                </c:pt>
                <c:pt idx="25">
                  <c:v>1.0779446045559666</c:v>
                </c:pt>
                <c:pt idx="26">
                  <c:v>1.1100778863468008</c:v>
                </c:pt>
                <c:pt idx="27">
                  <c:v>0.81324209657151414</c:v>
                </c:pt>
                <c:pt idx="28">
                  <c:v>0.85450154489154784</c:v>
                </c:pt>
                <c:pt idx="29">
                  <c:v>0.63993740912997055</c:v>
                </c:pt>
                <c:pt idx="30">
                  <c:v>0.53336998313716322</c:v>
                </c:pt>
                <c:pt idx="31">
                  <c:v>0.52407421115810848</c:v>
                </c:pt>
                <c:pt idx="32">
                  <c:v>0.24700032614470047</c:v>
                </c:pt>
                <c:pt idx="33">
                  <c:v>0.3342440160358251</c:v>
                </c:pt>
                <c:pt idx="34">
                  <c:v>0.34746571390530789</c:v>
                </c:pt>
                <c:pt idx="35">
                  <c:v>5.2232227568083545E-2</c:v>
                </c:pt>
                <c:pt idx="36">
                  <c:v>0.61753323570917473</c:v>
                </c:pt>
                <c:pt idx="37">
                  <c:v>0.40547577946563251</c:v>
                </c:pt>
                <c:pt idx="38">
                  <c:v>0.63555169412882151</c:v>
                </c:pt>
                <c:pt idx="39">
                  <c:v>0.83658995832183791</c:v>
                </c:pt>
                <c:pt idx="40">
                  <c:v>0.80572346061001099</c:v>
                </c:pt>
                <c:pt idx="41">
                  <c:v>1.2491019577208817</c:v>
                </c:pt>
                <c:pt idx="42">
                  <c:v>0.76040858569626835</c:v>
                </c:pt>
                <c:pt idx="43">
                  <c:v>0.46905544658960707</c:v>
                </c:pt>
                <c:pt idx="44">
                  <c:v>0.40985561554447258</c:v>
                </c:pt>
                <c:pt idx="45">
                  <c:v>0.30497335940373205</c:v>
                </c:pt>
                <c:pt idx="46">
                  <c:v>0.60627484795412556</c:v>
                </c:pt>
                <c:pt idx="47">
                  <c:v>0.25891541558513609</c:v>
                </c:pt>
                <c:pt idx="48">
                  <c:v>0.17215905659867303</c:v>
                </c:pt>
                <c:pt idx="49">
                  <c:v>0.36797565432328838</c:v>
                </c:pt>
                <c:pt idx="50">
                  <c:v>0.78599420185895497</c:v>
                </c:pt>
                <c:pt idx="51">
                  <c:v>0.55490652002004026</c:v>
                </c:pt>
                <c:pt idx="52">
                  <c:v>1.1719140762764368</c:v>
                </c:pt>
                <c:pt idx="53">
                  <c:v>0.46323520625981018</c:v>
                </c:pt>
                <c:pt idx="54">
                  <c:v>0.45241588820334755</c:v>
                </c:pt>
                <c:pt idx="55">
                  <c:v>0.25900538196913203</c:v>
                </c:pt>
                <c:pt idx="56">
                  <c:v>0.30767960489220059</c:v>
                </c:pt>
                <c:pt idx="57">
                  <c:v>-7.9328597280380109E-2</c:v>
                </c:pt>
                <c:pt idx="58">
                  <c:v>-0.11994731804901448</c:v>
                </c:pt>
                <c:pt idx="59">
                  <c:v>0.1605673035501809</c:v>
                </c:pt>
                <c:pt idx="60">
                  <c:v>0.49175357743615677</c:v>
                </c:pt>
                <c:pt idx="61">
                  <c:v>0.31544422912895698</c:v>
                </c:pt>
                <c:pt idx="62">
                  <c:v>1.4054095370852338E-3</c:v>
                </c:pt>
                <c:pt idx="63">
                  <c:v>8.1917816663690246E-3</c:v>
                </c:pt>
                <c:pt idx="64">
                  <c:v>0.21307339189093</c:v>
                </c:pt>
                <c:pt idx="65">
                  <c:v>0.11233715474674</c:v>
                </c:pt>
                <c:pt idx="66">
                  <c:v>-9.0608109341530962E-2</c:v>
                </c:pt>
                <c:pt idx="67">
                  <c:v>-1.6075982703227965E-2</c:v>
                </c:pt>
                <c:pt idx="68">
                  <c:v>0.21047229418792313</c:v>
                </c:pt>
                <c:pt idx="69">
                  <c:v>-0.43628042566518843</c:v>
                </c:pt>
                <c:pt idx="70">
                  <c:v>-0.21472154451384995</c:v>
                </c:pt>
                <c:pt idx="71">
                  <c:v>-0.2408233678555689</c:v>
                </c:pt>
                <c:pt idx="72">
                  <c:v>-1.616876626769681E-2</c:v>
                </c:pt>
                <c:pt idx="73">
                  <c:v>-0.24341892658463848</c:v>
                </c:pt>
                <c:pt idx="74">
                  <c:v>4.3781832521347042E-2</c:v>
                </c:pt>
                <c:pt idx="75">
                  <c:v>-0.43129520210840155</c:v>
                </c:pt>
                <c:pt idx="76">
                  <c:v>-0.60882607922002308</c:v>
                </c:pt>
                <c:pt idx="77">
                  <c:v>-0.87440957287032006</c:v>
                </c:pt>
                <c:pt idx="78">
                  <c:v>-0.59567549161613442</c:v>
                </c:pt>
                <c:pt idx="79">
                  <c:v>-0.98013989187035122</c:v>
                </c:pt>
                <c:pt idx="80">
                  <c:v>-0.97388298684450092</c:v>
                </c:pt>
                <c:pt idx="81">
                  <c:v>-1.486817083835831</c:v>
                </c:pt>
                <c:pt idx="82">
                  <c:v>-1.1973841487163668</c:v>
                </c:pt>
                <c:pt idx="83">
                  <c:v>-0.43554333918564225</c:v>
                </c:pt>
                <c:pt idx="84">
                  <c:v>-0.80301468362961259</c:v>
                </c:pt>
                <c:pt idx="85">
                  <c:v>-0.10239078997835804</c:v>
                </c:pt>
                <c:pt idx="86">
                  <c:v>-0.49724739799995632</c:v>
                </c:pt>
                <c:pt idx="87">
                  <c:v>-0.21445037866152461</c:v>
                </c:pt>
                <c:pt idx="88">
                  <c:v>-0.87403862290062762</c:v>
                </c:pt>
                <c:pt idx="89">
                  <c:v>-0.67174806258276476</c:v>
                </c:pt>
                <c:pt idx="90">
                  <c:v>-0.41513992736037153</c:v>
                </c:pt>
                <c:pt idx="91">
                  <c:v>-0.46152453693372308</c:v>
                </c:pt>
                <c:pt idx="92">
                  <c:v>-0.39739357793962427</c:v>
                </c:pt>
                <c:pt idx="93">
                  <c:v>-0.56238504205856543</c:v>
                </c:pt>
                <c:pt idx="94">
                  <c:v>-0.30507805297088453</c:v>
                </c:pt>
                <c:pt idx="95">
                  <c:v>-0.25529461056771652</c:v>
                </c:pt>
                <c:pt idx="96">
                  <c:v>-0.30489190104350428</c:v>
                </c:pt>
                <c:pt idx="97">
                  <c:v>-0.26639395342408534</c:v>
                </c:pt>
                <c:pt idx="98">
                  <c:v>-0.69330792857317647</c:v>
                </c:pt>
                <c:pt idx="99">
                  <c:v>-0.30263685526659856</c:v>
                </c:pt>
                <c:pt idx="100">
                  <c:v>-0.26428246663328991</c:v>
                </c:pt>
                <c:pt idx="101">
                  <c:v>3.5882147652785079E-2</c:v>
                </c:pt>
                <c:pt idx="102">
                  <c:v>-0.51963566315663456</c:v>
                </c:pt>
                <c:pt idx="103">
                  <c:v>-0.81794048204898218</c:v>
                </c:pt>
                <c:pt idx="104">
                  <c:v>-0.68593546908670078</c:v>
                </c:pt>
                <c:pt idx="105">
                  <c:v>-0.65298430033323029</c:v>
                </c:pt>
                <c:pt idx="106">
                  <c:v>-0.97780325727734407</c:v>
                </c:pt>
                <c:pt idx="107">
                  <c:v>-1.110077182001703</c:v>
                </c:pt>
                <c:pt idx="108">
                  <c:v>-0.76180041850932412</c:v>
                </c:pt>
                <c:pt idx="109">
                  <c:v>-0.67542841692170441</c:v>
                </c:pt>
                <c:pt idx="110">
                  <c:v>-0.42439975919842254</c:v>
                </c:pt>
                <c:pt idx="111">
                  <c:v>-0.37585463192357338</c:v>
                </c:pt>
                <c:pt idx="112">
                  <c:v>-0.35955761041788037</c:v>
                </c:pt>
                <c:pt idx="113">
                  <c:v>-0.7515189421636137</c:v>
                </c:pt>
                <c:pt idx="114">
                  <c:v>-0.89916269900487578</c:v>
                </c:pt>
                <c:pt idx="115">
                  <c:v>-1.0022479934755779</c:v>
                </c:pt>
                <c:pt idx="116">
                  <c:v>-1.1223747510547923</c:v>
                </c:pt>
                <c:pt idx="117">
                  <c:v>-1.1214865860511054</c:v>
                </c:pt>
                <c:pt idx="118">
                  <c:v>-0.74843731353666954</c:v>
                </c:pt>
                <c:pt idx="119">
                  <c:v>-0.55277424201096892</c:v>
                </c:pt>
                <c:pt idx="120">
                  <c:v>-0.61662924905999716</c:v>
                </c:pt>
                <c:pt idx="121">
                  <c:v>-0.64238901801388693</c:v>
                </c:pt>
                <c:pt idx="122">
                  <c:v>-0.61342336404044318</c:v>
                </c:pt>
                <c:pt idx="123">
                  <c:v>-0.83701000730712849</c:v>
                </c:pt>
                <c:pt idx="124">
                  <c:v>-0.48277598955121448</c:v>
                </c:pt>
                <c:pt idx="125">
                  <c:v>-0.37686909183838679</c:v>
                </c:pt>
                <c:pt idx="126">
                  <c:v>-0.69664461922116061</c:v>
                </c:pt>
                <c:pt idx="127">
                  <c:v>-0.31879511759905199</c:v>
                </c:pt>
                <c:pt idx="128">
                  <c:v>-0.54104782121004291</c:v>
                </c:pt>
                <c:pt idx="129">
                  <c:v>-0.37221702333397388</c:v>
                </c:pt>
                <c:pt idx="130">
                  <c:v>-0.46129369685144184</c:v>
                </c:pt>
                <c:pt idx="131">
                  <c:v>0.12231200754678184</c:v>
                </c:pt>
                <c:pt idx="132">
                  <c:v>-0.13366894553405473</c:v>
                </c:pt>
                <c:pt idx="133">
                  <c:v>0.33844533948024491</c:v>
                </c:pt>
                <c:pt idx="134">
                  <c:v>-0.15464637367387013</c:v>
                </c:pt>
                <c:pt idx="135">
                  <c:v>-0.3803589629723092</c:v>
                </c:pt>
                <c:pt idx="136">
                  <c:v>-0.32818231234398354</c:v>
                </c:pt>
                <c:pt idx="137">
                  <c:v>-0.39440136066298237</c:v>
                </c:pt>
                <c:pt idx="138">
                  <c:v>-0.20630283407757588</c:v>
                </c:pt>
                <c:pt idx="139">
                  <c:v>-0.10037354177450197</c:v>
                </c:pt>
                <c:pt idx="140">
                  <c:v>-0.15475219141740126</c:v>
                </c:pt>
                <c:pt idx="141">
                  <c:v>-0.75797876066883418</c:v>
                </c:pt>
                <c:pt idx="142">
                  <c:v>-0.58918138021806499</c:v>
                </c:pt>
                <c:pt idx="143">
                  <c:v>-0.50763304294741829</c:v>
                </c:pt>
                <c:pt idx="144">
                  <c:v>-0.19573994206012912</c:v>
                </c:pt>
                <c:pt idx="145">
                  <c:v>-3.5751603077585514E-2</c:v>
                </c:pt>
                <c:pt idx="146">
                  <c:v>2.9099316640781581E-2</c:v>
                </c:pt>
                <c:pt idx="147">
                  <c:v>-0.31873921868958632</c:v>
                </c:pt>
                <c:pt idx="148">
                  <c:v>-0.41861993518875806</c:v>
                </c:pt>
                <c:pt idx="149">
                  <c:v>-0.3869649295396016</c:v>
                </c:pt>
                <c:pt idx="150">
                  <c:v>-0.61099234898597388</c:v>
                </c:pt>
                <c:pt idx="151">
                  <c:v>-0.96698326600198925</c:v>
                </c:pt>
                <c:pt idx="152">
                  <c:v>-1.6034878616766264</c:v>
                </c:pt>
                <c:pt idx="153">
                  <c:v>-1.0187717980556386</c:v>
                </c:pt>
                <c:pt idx="154">
                  <c:v>-0.80210036363672543</c:v>
                </c:pt>
                <c:pt idx="155">
                  <c:v>-0.60260939349359433</c:v>
                </c:pt>
                <c:pt idx="156">
                  <c:v>-0.57284223863814532</c:v>
                </c:pt>
                <c:pt idx="157">
                  <c:v>-0.8949798456874305</c:v>
                </c:pt>
                <c:pt idx="158">
                  <c:v>-0.59218629309663129</c:v>
                </c:pt>
                <c:pt idx="159">
                  <c:v>-0.65215077445873249</c:v>
                </c:pt>
                <c:pt idx="160">
                  <c:v>-0.66408885808550622</c:v>
                </c:pt>
                <c:pt idx="161">
                  <c:v>-0.91455979846818991</c:v>
                </c:pt>
                <c:pt idx="162">
                  <c:v>-0.79071316394635005</c:v>
                </c:pt>
                <c:pt idx="163">
                  <c:v>-1.5217590600451558</c:v>
                </c:pt>
                <c:pt idx="164">
                  <c:v>-0.81039542626126604</c:v>
                </c:pt>
                <c:pt idx="165">
                  <c:v>-1.0177423663901095</c:v>
                </c:pt>
                <c:pt idx="166">
                  <c:v>-1.4232027025126968</c:v>
                </c:pt>
                <c:pt idx="167">
                  <c:v>-1.0657747361193515</c:v>
                </c:pt>
                <c:pt idx="168">
                  <c:v>-0.82813935180541876</c:v>
                </c:pt>
                <c:pt idx="169">
                  <c:v>-0.56240872939622477</c:v>
                </c:pt>
                <c:pt idx="170">
                  <c:v>-0.10167818055521138</c:v>
                </c:pt>
                <c:pt idx="171">
                  <c:v>-0.10377443245880613</c:v>
                </c:pt>
                <c:pt idx="172">
                  <c:v>-0.27777551983541571</c:v>
                </c:pt>
                <c:pt idx="173">
                  <c:v>-0.29037823075952929</c:v>
                </c:pt>
                <c:pt idx="174">
                  <c:v>-1.8663366779264834E-2</c:v>
                </c:pt>
                <c:pt idx="175">
                  <c:v>-0.12849996328077395</c:v>
                </c:pt>
                <c:pt idx="176">
                  <c:v>-0.18926227552879027</c:v>
                </c:pt>
                <c:pt idx="177">
                  <c:v>0.23133341721484157</c:v>
                </c:pt>
                <c:pt idx="178">
                  <c:v>0.39374713506049375</c:v>
                </c:pt>
                <c:pt idx="179">
                  <c:v>0.59911773432622795</c:v>
                </c:pt>
                <c:pt idx="180">
                  <c:v>0.99462717260837508</c:v>
                </c:pt>
                <c:pt idx="181">
                  <c:v>0.93823184898576528</c:v>
                </c:pt>
                <c:pt idx="182">
                  <c:v>0.70690503069920396</c:v>
                </c:pt>
                <c:pt idx="183">
                  <c:v>0.38268283276380544</c:v>
                </c:pt>
                <c:pt idx="184">
                  <c:v>-0.3633756217403743</c:v>
                </c:pt>
                <c:pt idx="185">
                  <c:v>-0.66810427869631894</c:v>
                </c:pt>
                <c:pt idx="186">
                  <c:v>-4.8515360747842351E-2</c:v>
                </c:pt>
                <c:pt idx="187">
                  <c:v>-0.13027216656843166</c:v>
                </c:pt>
                <c:pt idx="188">
                  <c:v>-0.22316042484823129</c:v>
                </c:pt>
                <c:pt idx="189">
                  <c:v>-0.34462209923219689</c:v>
                </c:pt>
                <c:pt idx="190">
                  <c:v>-0.61433432741830529</c:v>
                </c:pt>
                <c:pt idx="191">
                  <c:v>-0.28102109528015262</c:v>
                </c:pt>
                <c:pt idx="192">
                  <c:v>-0.11763760302983428</c:v>
                </c:pt>
                <c:pt idx="193">
                  <c:v>-0.33615887268422284</c:v>
                </c:pt>
                <c:pt idx="194">
                  <c:v>-0.29954305809837933</c:v>
                </c:pt>
                <c:pt idx="195">
                  <c:v>-0.51589120206563166</c:v>
                </c:pt>
                <c:pt idx="196">
                  <c:v>-0.63400702369733608</c:v>
                </c:pt>
                <c:pt idx="197">
                  <c:v>-0.82086162668508678</c:v>
                </c:pt>
                <c:pt idx="198">
                  <c:v>-0.56339865476843443</c:v>
                </c:pt>
                <c:pt idx="199">
                  <c:v>-0.77707566990801524</c:v>
                </c:pt>
                <c:pt idx="200">
                  <c:v>-0.77208987421965958</c:v>
                </c:pt>
                <c:pt idx="201">
                  <c:v>-0.67560891573111803</c:v>
                </c:pt>
                <c:pt idx="202">
                  <c:v>-0.47744708994912344</c:v>
                </c:pt>
                <c:pt idx="203">
                  <c:v>-0.7761912249385432</c:v>
                </c:pt>
                <c:pt idx="204">
                  <c:v>-0.66493367871998998</c:v>
                </c:pt>
                <c:pt idx="205">
                  <c:v>-0.42558089440620961</c:v>
                </c:pt>
                <c:pt idx="206">
                  <c:v>-0.55102244694796809</c:v>
                </c:pt>
                <c:pt idx="207">
                  <c:v>-0.7094965369469719</c:v>
                </c:pt>
                <c:pt idx="208">
                  <c:v>-0.66966972570622829</c:v>
                </c:pt>
                <c:pt idx="209">
                  <c:v>-0.69865027472582142</c:v>
                </c:pt>
                <c:pt idx="210">
                  <c:v>-0.62331324884092965</c:v>
                </c:pt>
                <c:pt idx="211">
                  <c:v>-0.55231974656777538</c:v>
                </c:pt>
                <c:pt idx="212">
                  <c:v>-0.73946572142085643</c:v>
                </c:pt>
                <c:pt idx="213">
                  <c:v>-1.0050477666821962</c:v>
                </c:pt>
                <c:pt idx="214">
                  <c:v>-0.98901771144170425</c:v>
                </c:pt>
                <c:pt idx="215">
                  <c:v>-0.86982485018086209</c:v>
                </c:pt>
                <c:pt idx="216">
                  <c:v>-1.0306990745038433</c:v>
                </c:pt>
                <c:pt idx="217">
                  <c:v>-0.93347806073154516</c:v>
                </c:pt>
                <c:pt idx="218">
                  <c:v>-1.2009826170231008</c:v>
                </c:pt>
                <c:pt idx="219">
                  <c:v>-1.14158847756363</c:v>
                </c:pt>
                <c:pt idx="220">
                  <c:v>-1.0038246700727314</c:v>
                </c:pt>
                <c:pt idx="221">
                  <c:v>-0.77493698963377255</c:v>
                </c:pt>
                <c:pt idx="222">
                  <c:v>-1.0317317342903607</c:v>
                </c:pt>
                <c:pt idx="223">
                  <c:v>-0.60925442891561943</c:v>
                </c:pt>
                <c:pt idx="224">
                  <c:v>-0.50852634980049061</c:v>
                </c:pt>
                <c:pt idx="225">
                  <c:v>-0.39616576218941191</c:v>
                </c:pt>
                <c:pt idx="226">
                  <c:v>-0.31226165298068054</c:v>
                </c:pt>
                <c:pt idx="227">
                  <c:v>-0.26512615884746538</c:v>
                </c:pt>
                <c:pt idx="228">
                  <c:v>-0.48812632920220267</c:v>
                </c:pt>
                <c:pt idx="229">
                  <c:v>8.6968738538246271E-2</c:v>
                </c:pt>
                <c:pt idx="230">
                  <c:v>-0.25259318488082272</c:v>
                </c:pt>
                <c:pt idx="231">
                  <c:v>-0.32532499145321481</c:v>
                </c:pt>
                <c:pt idx="232">
                  <c:v>-0.10961855108979535</c:v>
                </c:pt>
                <c:pt idx="233">
                  <c:v>-1.2856816682642602E-2</c:v>
                </c:pt>
                <c:pt idx="234">
                  <c:v>-0.3417775073711482</c:v>
                </c:pt>
                <c:pt idx="235">
                  <c:v>4.8779588684567443E-2</c:v>
                </c:pt>
                <c:pt idx="236">
                  <c:v>-0.10261827823211433</c:v>
                </c:pt>
                <c:pt idx="237">
                  <c:v>-0.42231505774856259</c:v>
                </c:pt>
                <c:pt idx="238">
                  <c:v>2.946310542830588E-2</c:v>
                </c:pt>
                <c:pt idx="239">
                  <c:v>6.4541232434009999E-2</c:v>
                </c:pt>
                <c:pt idx="240">
                  <c:v>0.14941511604740754</c:v>
                </c:pt>
                <c:pt idx="241">
                  <c:v>-3.7615762243888184E-2</c:v>
                </c:pt>
                <c:pt idx="242">
                  <c:v>-0.15923505279056371</c:v>
                </c:pt>
                <c:pt idx="243">
                  <c:v>-0.10409280539471411</c:v>
                </c:pt>
                <c:pt idx="244">
                  <c:v>-0.31044373215894439</c:v>
                </c:pt>
                <c:pt idx="245">
                  <c:v>-5.580794378357723E-2</c:v>
                </c:pt>
                <c:pt idx="246">
                  <c:v>-0.27685458050387979</c:v>
                </c:pt>
                <c:pt idx="247">
                  <c:v>6.1782306232771589E-2</c:v>
                </c:pt>
                <c:pt idx="248">
                  <c:v>-0.29174150671570942</c:v>
                </c:pt>
                <c:pt idx="249">
                  <c:v>-0.27349565335970283</c:v>
                </c:pt>
                <c:pt idx="250">
                  <c:v>0.10615656378541871</c:v>
                </c:pt>
                <c:pt idx="251">
                  <c:v>-6.0822676336499626E-2</c:v>
                </c:pt>
                <c:pt idx="252">
                  <c:v>0.24192526124505775</c:v>
                </c:pt>
                <c:pt idx="253">
                  <c:v>-0.19723156307804857</c:v>
                </c:pt>
                <c:pt idx="254">
                  <c:v>-0.17090822075226697</c:v>
                </c:pt>
                <c:pt idx="255">
                  <c:v>-5.7891919388225688E-2</c:v>
                </c:pt>
                <c:pt idx="256">
                  <c:v>0.14369978671999206</c:v>
                </c:pt>
                <c:pt idx="257">
                  <c:v>0.39620962906349178</c:v>
                </c:pt>
                <c:pt idx="258">
                  <c:v>-6.9629536885713605E-3</c:v>
                </c:pt>
                <c:pt idx="259">
                  <c:v>0.83606994695651338</c:v>
                </c:pt>
                <c:pt idx="260">
                  <c:v>0.25041436346651835</c:v>
                </c:pt>
                <c:pt idx="261">
                  <c:v>0.38659721307266182</c:v>
                </c:pt>
                <c:pt idx="262">
                  <c:v>0.64411765967628298</c:v>
                </c:pt>
                <c:pt idx="263">
                  <c:v>0.42507541580454244</c:v>
                </c:pt>
                <c:pt idx="264">
                  <c:v>0.40569158284466766</c:v>
                </c:pt>
                <c:pt idx="265">
                  <c:v>0.41440298798005415</c:v>
                </c:pt>
                <c:pt idx="266">
                  <c:v>0.63866332655601354</c:v>
                </c:pt>
                <c:pt idx="267">
                  <c:v>0.39954785737859311</c:v>
                </c:pt>
                <c:pt idx="268">
                  <c:v>0.26907655973690225</c:v>
                </c:pt>
                <c:pt idx="269">
                  <c:v>0.26945463153896299</c:v>
                </c:pt>
                <c:pt idx="270">
                  <c:v>0.75415027824544723</c:v>
                </c:pt>
                <c:pt idx="271">
                  <c:v>0.78894148549653664</c:v>
                </c:pt>
                <c:pt idx="272">
                  <c:v>0.63115995597473784</c:v>
                </c:pt>
                <c:pt idx="273">
                  <c:v>0.46528543845329295</c:v>
                </c:pt>
                <c:pt idx="274">
                  <c:v>0.36067993902508988</c:v>
                </c:pt>
                <c:pt idx="275">
                  <c:v>-1.0419671974204903E-2</c:v>
                </c:pt>
                <c:pt idx="276">
                  <c:v>-0.13192945096585618</c:v>
                </c:pt>
                <c:pt idx="277">
                  <c:v>-0.14534399186231894</c:v>
                </c:pt>
                <c:pt idx="278">
                  <c:v>0.10685897958609303</c:v>
                </c:pt>
                <c:pt idx="279">
                  <c:v>0.28561756437682106</c:v>
                </c:pt>
                <c:pt idx="280">
                  <c:v>0.29308889960765327</c:v>
                </c:pt>
                <c:pt idx="281">
                  <c:v>0.40134102537786021</c:v>
                </c:pt>
                <c:pt idx="282">
                  <c:v>0.50391072605253839</c:v>
                </c:pt>
                <c:pt idx="283">
                  <c:v>0.72678172398457264</c:v>
                </c:pt>
                <c:pt idx="284">
                  <c:v>0.31687424843090639</c:v>
                </c:pt>
                <c:pt idx="285">
                  <c:v>0.30894236378196638</c:v>
                </c:pt>
                <c:pt idx="286">
                  <c:v>7.2210918322014095E-2</c:v>
                </c:pt>
                <c:pt idx="287">
                  <c:v>0.16905394019511277</c:v>
                </c:pt>
                <c:pt idx="288">
                  <c:v>-0.14458178482840367</c:v>
                </c:pt>
                <c:pt idx="289">
                  <c:v>-0.25012227175659518</c:v>
                </c:pt>
                <c:pt idx="290">
                  <c:v>-0.28997666743578066</c:v>
                </c:pt>
                <c:pt idx="291">
                  <c:v>-0.21334402867688596</c:v>
                </c:pt>
                <c:pt idx="292">
                  <c:v>-0.22793006057361254</c:v>
                </c:pt>
                <c:pt idx="293">
                  <c:v>-0.37180388083521621</c:v>
                </c:pt>
                <c:pt idx="294">
                  <c:v>8.6398738076240988E-3</c:v>
                </c:pt>
                <c:pt idx="295">
                  <c:v>-0.28040933757938546</c:v>
                </c:pt>
                <c:pt idx="296">
                  <c:v>0.27755724083522182</c:v>
                </c:pt>
                <c:pt idx="297">
                  <c:v>0.51756798905864798</c:v>
                </c:pt>
                <c:pt idx="298">
                  <c:v>0.62871059756685099</c:v>
                </c:pt>
                <c:pt idx="299">
                  <c:v>0.67349625231241816</c:v>
                </c:pt>
                <c:pt idx="300">
                  <c:v>1.0077345812571252</c:v>
                </c:pt>
                <c:pt idx="301">
                  <c:v>0.22006814829705945</c:v>
                </c:pt>
                <c:pt idx="302">
                  <c:v>0.41815638549036294</c:v>
                </c:pt>
                <c:pt idx="303">
                  <c:v>0.25266307821743794</c:v>
                </c:pt>
                <c:pt idx="304">
                  <c:v>0.84601967919314802</c:v>
                </c:pt>
                <c:pt idx="305">
                  <c:v>0.52001991289972693</c:v>
                </c:pt>
                <c:pt idx="306">
                  <c:v>0.55833772151078165</c:v>
                </c:pt>
                <c:pt idx="307">
                  <c:v>0.46341002052770364</c:v>
                </c:pt>
                <c:pt idx="308">
                  <c:v>0.94924482840082192</c:v>
                </c:pt>
                <c:pt idx="309">
                  <c:v>0.74719257287449636</c:v>
                </c:pt>
                <c:pt idx="310">
                  <c:v>0.66620341084114898</c:v>
                </c:pt>
                <c:pt idx="311">
                  <c:v>0.63892606183691214</c:v>
                </c:pt>
                <c:pt idx="312">
                  <c:v>0.46103262024013247</c:v>
                </c:pt>
                <c:pt idx="313">
                  <c:v>-2.876558326141776E-2</c:v>
                </c:pt>
                <c:pt idx="314">
                  <c:v>0.32725965018204306</c:v>
                </c:pt>
                <c:pt idx="315">
                  <c:v>0.62963457236764953</c:v>
                </c:pt>
                <c:pt idx="316">
                  <c:v>0.62092816959358288</c:v>
                </c:pt>
                <c:pt idx="317">
                  <c:v>0.33279663275862958</c:v>
                </c:pt>
                <c:pt idx="318">
                  <c:v>0.58898267082815892</c:v>
                </c:pt>
                <c:pt idx="319">
                  <c:v>1.1460877799556215</c:v>
                </c:pt>
                <c:pt idx="320">
                  <c:v>0.78979664179689735</c:v>
                </c:pt>
                <c:pt idx="321">
                  <c:v>0.78568701914298344</c:v>
                </c:pt>
                <c:pt idx="322">
                  <c:v>0.65257191107781409</c:v>
                </c:pt>
                <c:pt idx="323">
                  <c:v>0.34323719494602756</c:v>
                </c:pt>
                <c:pt idx="324">
                  <c:v>0.38321780731746458</c:v>
                </c:pt>
                <c:pt idx="325">
                  <c:v>0.52129365778404235</c:v>
                </c:pt>
                <c:pt idx="326">
                  <c:v>0.30526152409993301</c:v>
                </c:pt>
                <c:pt idx="327">
                  <c:v>0.415510500253788</c:v>
                </c:pt>
                <c:pt idx="328">
                  <c:v>0.48474673035207161</c:v>
                </c:pt>
                <c:pt idx="329">
                  <c:v>0.18448924748537365</c:v>
                </c:pt>
                <c:pt idx="330">
                  <c:v>6.8549339523087838E-2</c:v>
                </c:pt>
                <c:pt idx="331">
                  <c:v>9.3734239331467961E-2</c:v>
                </c:pt>
                <c:pt idx="332">
                  <c:v>0.50531715514091502</c:v>
                </c:pt>
                <c:pt idx="333">
                  <c:v>0.58915016535945597</c:v>
                </c:pt>
                <c:pt idx="334">
                  <c:v>0.46390911126252377</c:v>
                </c:pt>
                <c:pt idx="335">
                  <c:v>0.23251702800314433</c:v>
                </c:pt>
                <c:pt idx="336">
                  <c:v>0.12037169434273665</c:v>
                </c:pt>
                <c:pt idx="337">
                  <c:v>0.78632159877759022</c:v>
                </c:pt>
                <c:pt idx="338">
                  <c:v>0.17823209796591755</c:v>
                </c:pt>
                <c:pt idx="339">
                  <c:v>0.33635512808791646</c:v>
                </c:pt>
                <c:pt idx="340">
                  <c:v>0.323533991058639</c:v>
                </c:pt>
                <c:pt idx="341">
                  <c:v>0.4011505621601259</c:v>
                </c:pt>
                <c:pt idx="342">
                  <c:v>9.3084708166088603E-2</c:v>
                </c:pt>
                <c:pt idx="343">
                  <c:v>0.15634939865537945</c:v>
                </c:pt>
                <c:pt idx="344">
                  <c:v>0.42580636843302955</c:v>
                </c:pt>
                <c:pt idx="345">
                  <c:v>0.70758201152403899</c:v>
                </c:pt>
                <c:pt idx="346">
                  <c:v>0.66021501139522343</c:v>
                </c:pt>
                <c:pt idx="347">
                  <c:v>0.28676556100828066</c:v>
                </c:pt>
                <c:pt idx="348">
                  <c:v>0.80249428131611467</c:v>
                </c:pt>
                <c:pt idx="349">
                  <c:v>0.86631823971907806</c:v>
                </c:pt>
                <c:pt idx="350">
                  <c:v>0.84617137177991708</c:v>
                </c:pt>
                <c:pt idx="351">
                  <c:v>0.96216845587008493</c:v>
                </c:pt>
                <c:pt idx="352">
                  <c:v>0.8572899517132555</c:v>
                </c:pt>
                <c:pt idx="353">
                  <c:v>1.2827805767829545</c:v>
                </c:pt>
                <c:pt idx="354">
                  <c:v>1.8125887767570248</c:v>
                </c:pt>
                <c:pt idx="355">
                  <c:v>1.4197004741459409</c:v>
                </c:pt>
                <c:pt idx="356">
                  <c:v>1.4970256733820406</c:v>
                </c:pt>
                <c:pt idx="357">
                  <c:v>1.5367383127232301</c:v>
                </c:pt>
                <c:pt idx="358">
                  <c:v>1.6572395420529915</c:v>
                </c:pt>
                <c:pt idx="359">
                  <c:v>1.611727087916222</c:v>
                </c:pt>
                <c:pt idx="360">
                  <c:v>1.5853240376825397</c:v>
                </c:pt>
                <c:pt idx="361">
                  <c:v>1.5970162255440528</c:v>
                </c:pt>
                <c:pt idx="362">
                  <c:v>1.8148063538549764</c:v>
                </c:pt>
                <c:pt idx="363">
                  <c:v>1.6686716674036575</c:v>
                </c:pt>
                <c:pt idx="364">
                  <c:v>1.6817301594970218</c:v>
                </c:pt>
                <c:pt idx="365">
                  <c:v>2.0550890140252704</c:v>
                </c:pt>
                <c:pt idx="366">
                  <c:v>1.5927654434578358</c:v>
                </c:pt>
                <c:pt idx="367">
                  <c:v>1.3221844544615919</c:v>
                </c:pt>
                <c:pt idx="368">
                  <c:v>1.7673837076659424</c:v>
                </c:pt>
                <c:pt idx="369">
                  <c:v>1.4250389798795595</c:v>
                </c:pt>
                <c:pt idx="370">
                  <c:v>1.4134142631775148</c:v>
                </c:pt>
                <c:pt idx="371">
                  <c:v>1.565844441913157</c:v>
                </c:pt>
                <c:pt idx="372">
                  <c:v>1.2573154456476345</c:v>
                </c:pt>
                <c:pt idx="373">
                  <c:v>1.1068816874773688</c:v>
                </c:pt>
                <c:pt idx="374">
                  <c:v>1.352614448660745</c:v>
                </c:pt>
                <c:pt idx="375">
                  <c:v>1.32435381617762</c:v>
                </c:pt>
                <c:pt idx="376">
                  <c:v>1.2853549411434528</c:v>
                </c:pt>
                <c:pt idx="377">
                  <c:v>1.3765878496398614</c:v>
                </c:pt>
                <c:pt idx="378">
                  <c:v>1.6421383330405774</c:v>
                </c:pt>
                <c:pt idx="379">
                  <c:v>1.4396371347253307</c:v>
                </c:pt>
                <c:pt idx="380">
                  <c:v>0.96271044189785471</c:v>
                </c:pt>
                <c:pt idx="381">
                  <c:v>1.3283083469838743</c:v>
                </c:pt>
                <c:pt idx="382">
                  <c:v>0.93455768425002361</c:v>
                </c:pt>
                <c:pt idx="383">
                  <c:v>0.88493049585815697</c:v>
                </c:pt>
                <c:pt idx="384">
                  <c:v>0.90427555356080802</c:v>
                </c:pt>
                <c:pt idx="385">
                  <c:v>0.66171584935869987</c:v>
                </c:pt>
                <c:pt idx="386">
                  <c:v>0.94539124341451952</c:v>
                </c:pt>
                <c:pt idx="387">
                  <c:v>1.2550046648996158</c:v>
                </c:pt>
                <c:pt idx="388">
                  <c:v>1.3739484227378398</c:v>
                </c:pt>
                <c:pt idx="389">
                  <c:v>0.83305538520244227</c:v>
                </c:pt>
                <c:pt idx="390">
                  <c:v>1.0864799225714137</c:v>
                </c:pt>
                <c:pt idx="391">
                  <c:v>1.6120585149370754</c:v>
                </c:pt>
                <c:pt idx="392">
                  <c:v>1.7530058760778502</c:v>
                </c:pt>
                <c:pt idx="393">
                  <c:v>1.8965464140362087</c:v>
                </c:pt>
                <c:pt idx="394">
                  <c:v>1.3306698052705883</c:v>
                </c:pt>
                <c:pt idx="395">
                  <c:v>0.62898524975116743</c:v>
                </c:pt>
                <c:pt idx="396">
                  <c:v>0.38620436142201697</c:v>
                </c:pt>
                <c:pt idx="397">
                  <c:v>0.23151871118807321</c:v>
                </c:pt>
                <c:pt idx="398">
                  <c:v>0.35313673811634771</c:v>
                </c:pt>
                <c:pt idx="399">
                  <c:v>0.55062421356961977</c:v>
                </c:pt>
                <c:pt idx="400">
                  <c:v>0.52751060428033725</c:v>
                </c:pt>
                <c:pt idx="401">
                  <c:v>0.47449162071308137</c:v>
                </c:pt>
                <c:pt idx="402">
                  <c:v>0.42579021205023082</c:v>
                </c:pt>
                <c:pt idx="403">
                  <c:v>0.62494130781101376</c:v>
                </c:pt>
                <c:pt idx="404">
                  <c:v>0.66375689841021313</c:v>
                </c:pt>
                <c:pt idx="405">
                  <c:v>0.57523443261891316</c:v>
                </c:pt>
                <c:pt idx="406">
                  <c:v>0.69722605331173781</c:v>
                </c:pt>
                <c:pt idx="407">
                  <c:v>-0.16652150595751891</c:v>
                </c:pt>
                <c:pt idx="408">
                  <c:v>-0.27143416482817884</c:v>
                </c:pt>
                <c:pt idx="409">
                  <c:v>-0.55825158560355703</c:v>
                </c:pt>
                <c:pt idx="410">
                  <c:v>-0.19869656242514111</c:v>
                </c:pt>
                <c:pt idx="411">
                  <c:v>-0.69334085751330576</c:v>
                </c:pt>
                <c:pt idx="412">
                  <c:v>-0.7185174705525128</c:v>
                </c:pt>
                <c:pt idx="413">
                  <c:v>-0.47366822466125313</c:v>
                </c:pt>
                <c:pt idx="414">
                  <c:v>-0.78450140386553358</c:v>
                </c:pt>
                <c:pt idx="415">
                  <c:v>-0.46276849098546791</c:v>
                </c:pt>
                <c:pt idx="416">
                  <c:v>-0.6860788464180132</c:v>
                </c:pt>
                <c:pt idx="417">
                  <c:v>-0.46665867933694472</c:v>
                </c:pt>
                <c:pt idx="418">
                  <c:v>-0.61679300467591247</c:v>
                </c:pt>
                <c:pt idx="419">
                  <c:v>-1.2825979310727575</c:v>
                </c:pt>
                <c:pt idx="420">
                  <c:v>-1.4196365359752008</c:v>
                </c:pt>
                <c:pt idx="421">
                  <c:v>-1.5485799027823646</c:v>
                </c:pt>
                <c:pt idx="422">
                  <c:v>-1.1910822467314688</c:v>
                </c:pt>
                <c:pt idx="423">
                  <c:v>-1.1878524878515577</c:v>
                </c:pt>
                <c:pt idx="424">
                  <c:v>-0.99508646801820078</c:v>
                </c:pt>
                <c:pt idx="425">
                  <c:v>-0.48236316815876989</c:v>
                </c:pt>
                <c:pt idx="426">
                  <c:v>-0.72532229339486776</c:v>
                </c:pt>
                <c:pt idx="427">
                  <c:v>-0.55550958983383225</c:v>
                </c:pt>
                <c:pt idx="428">
                  <c:v>-0.57094589129826545</c:v>
                </c:pt>
                <c:pt idx="429">
                  <c:v>-0.74358309134476031</c:v>
                </c:pt>
                <c:pt idx="430">
                  <c:v>-0.96584336271553184</c:v>
                </c:pt>
                <c:pt idx="431">
                  <c:v>-0.9937056562399107</c:v>
                </c:pt>
                <c:pt idx="432">
                  <c:v>-1.1528702071741463</c:v>
                </c:pt>
                <c:pt idx="433">
                  <c:v>-1.0939395200131798</c:v>
                </c:pt>
                <c:pt idx="434">
                  <c:v>-0.8784992310898474</c:v>
                </c:pt>
                <c:pt idx="435">
                  <c:v>-0.64739541824172875</c:v>
                </c:pt>
                <c:pt idx="436">
                  <c:v>-0.45668676553594878</c:v>
                </c:pt>
                <c:pt idx="437">
                  <c:v>-0.58608941170831486</c:v>
                </c:pt>
                <c:pt idx="438">
                  <c:v>-0.34117448297627107</c:v>
                </c:pt>
                <c:pt idx="439">
                  <c:v>-0.60328198873429528</c:v>
                </c:pt>
                <c:pt idx="440">
                  <c:v>-9.0844236230509523E-2</c:v>
                </c:pt>
                <c:pt idx="441">
                  <c:v>-0.34553880340456544</c:v>
                </c:pt>
                <c:pt idx="442">
                  <c:v>-0.35992502080716804</c:v>
                </c:pt>
                <c:pt idx="443">
                  <c:v>-0.36984468145908522</c:v>
                </c:pt>
                <c:pt idx="444">
                  <c:v>-0.90113517842519286</c:v>
                </c:pt>
                <c:pt idx="445">
                  <c:v>-0.60433043729597102</c:v>
                </c:pt>
                <c:pt idx="446">
                  <c:v>-0.8509475155001951</c:v>
                </c:pt>
                <c:pt idx="447">
                  <c:v>-0.39196964868386885</c:v>
                </c:pt>
                <c:pt idx="448">
                  <c:v>-0.52331836310571589</c:v>
                </c:pt>
                <c:pt idx="449">
                  <c:v>-0.23484695530987665</c:v>
                </c:pt>
                <c:pt idx="450">
                  <c:v>0.16794202739038155</c:v>
                </c:pt>
                <c:pt idx="451">
                  <c:v>4.9132521523063133E-2</c:v>
                </c:pt>
                <c:pt idx="452">
                  <c:v>-0.57056149651464239</c:v>
                </c:pt>
                <c:pt idx="453">
                  <c:v>-0.46731906743849549</c:v>
                </c:pt>
                <c:pt idx="454">
                  <c:v>-0.39383705538250524</c:v>
                </c:pt>
                <c:pt idx="455">
                  <c:v>-0.35581971978439242</c:v>
                </c:pt>
                <c:pt idx="456">
                  <c:v>-0.61924198729190039</c:v>
                </c:pt>
                <c:pt idx="457">
                  <c:v>-0.95456901670422667</c:v>
                </c:pt>
                <c:pt idx="458">
                  <c:v>-0.74324909865828204</c:v>
                </c:pt>
                <c:pt idx="459">
                  <c:v>-0.94640300238341979</c:v>
                </c:pt>
                <c:pt idx="460">
                  <c:v>-0.64981472055507083</c:v>
                </c:pt>
                <c:pt idx="461">
                  <c:v>-0.85347508330073651</c:v>
                </c:pt>
                <c:pt idx="462">
                  <c:v>-0.8428178711419605</c:v>
                </c:pt>
                <c:pt idx="463">
                  <c:v>-1.1687710563855376</c:v>
                </c:pt>
                <c:pt idx="464">
                  <c:v>-0.68059102045504005</c:v>
                </c:pt>
                <c:pt idx="465">
                  <c:v>-0.8494059585065088</c:v>
                </c:pt>
                <c:pt idx="466">
                  <c:v>-1.4980498924823564</c:v>
                </c:pt>
                <c:pt idx="467">
                  <c:v>-1.3020899240116819</c:v>
                </c:pt>
                <c:pt idx="468">
                  <c:v>-1.3676381375510687</c:v>
                </c:pt>
                <c:pt idx="469">
                  <c:v>-1.9850911129951783</c:v>
                </c:pt>
                <c:pt idx="470">
                  <c:v>-1.3458285620768606</c:v>
                </c:pt>
                <c:pt idx="471">
                  <c:v>-1.051108411833809</c:v>
                </c:pt>
                <c:pt idx="472">
                  <c:v>-0.47657749713300745</c:v>
                </c:pt>
                <c:pt idx="473">
                  <c:v>-0.49236380591048601</c:v>
                </c:pt>
                <c:pt idx="474">
                  <c:v>-0.46383253978353878</c:v>
                </c:pt>
                <c:pt idx="475">
                  <c:v>-0.20170593434613693</c:v>
                </c:pt>
                <c:pt idx="476">
                  <c:v>-0.21565184444745</c:v>
                </c:pt>
                <c:pt idx="477">
                  <c:v>-0.13652414962643888</c:v>
                </c:pt>
                <c:pt idx="478">
                  <c:v>-3.7294029634153958E-2</c:v>
                </c:pt>
                <c:pt idx="479">
                  <c:v>7.6608571708959516E-2</c:v>
                </c:pt>
                <c:pt idx="480">
                  <c:v>0.11893441213771894</c:v>
                </c:pt>
                <c:pt idx="481">
                  <c:v>-7.0644509338194439E-2</c:v>
                </c:pt>
                <c:pt idx="482">
                  <c:v>0.30656067445266899</c:v>
                </c:pt>
                <c:pt idx="483">
                  <c:v>0.17915487866383728</c:v>
                </c:pt>
                <c:pt idx="484">
                  <c:v>0.41162842623714369</c:v>
                </c:pt>
                <c:pt idx="485">
                  <c:v>0.52371617142779314</c:v>
                </c:pt>
                <c:pt idx="486">
                  <c:v>0.45012149152296388</c:v>
                </c:pt>
                <c:pt idx="487">
                  <c:v>0.27032788764125826</c:v>
                </c:pt>
                <c:pt idx="488">
                  <c:v>0.50425603150813458</c:v>
                </c:pt>
                <c:pt idx="489">
                  <c:v>-0.24867364079841536</c:v>
                </c:pt>
                <c:pt idx="490">
                  <c:v>-0.38156946683790238</c:v>
                </c:pt>
                <c:pt idx="491">
                  <c:v>-0.10972423262239772</c:v>
                </c:pt>
                <c:pt idx="492">
                  <c:v>-0.5495243382253534</c:v>
                </c:pt>
                <c:pt idx="493">
                  <c:v>-1.1512292057331024</c:v>
                </c:pt>
                <c:pt idx="494">
                  <c:v>-0.61608138906984777</c:v>
                </c:pt>
                <c:pt idx="495">
                  <c:v>-0.42561313089044006</c:v>
                </c:pt>
                <c:pt idx="496">
                  <c:v>-0.38519695044476521</c:v>
                </c:pt>
                <c:pt idx="497">
                  <c:v>-0.31523515128588997</c:v>
                </c:pt>
                <c:pt idx="498">
                  <c:v>-0.79095577722256394</c:v>
                </c:pt>
                <c:pt idx="499">
                  <c:v>-0.64772588471794279</c:v>
                </c:pt>
                <c:pt idx="500">
                  <c:v>-0.81592951139253955</c:v>
                </c:pt>
                <c:pt idx="501">
                  <c:v>-1.2609221874489549</c:v>
                </c:pt>
                <c:pt idx="502">
                  <c:v>-0.88594978402994684</c:v>
                </c:pt>
                <c:pt idx="503">
                  <c:v>-1.1061675535642053</c:v>
                </c:pt>
                <c:pt idx="504">
                  <c:v>-1.2080994297086818</c:v>
                </c:pt>
                <c:pt idx="505">
                  <c:v>-1.0219360677579061</c:v>
                </c:pt>
                <c:pt idx="506">
                  <c:v>-0.86885125484451464</c:v>
                </c:pt>
                <c:pt idx="507">
                  <c:v>-0.67051476720655501</c:v>
                </c:pt>
                <c:pt idx="508">
                  <c:v>-0.72216159051072282</c:v>
                </c:pt>
                <c:pt idx="509">
                  <c:v>-1.0343315618933389</c:v>
                </c:pt>
                <c:pt idx="510">
                  <c:v>-0.61218395837147455</c:v>
                </c:pt>
                <c:pt idx="511">
                  <c:v>-0.89582324173869665</c:v>
                </c:pt>
                <c:pt idx="512">
                  <c:v>-1.476152814445129</c:v>
                </c:pt>
                <c:pt idx="513">
                  <c:v>-0.93320285762911226</c:v>
                </c:pt>
                <c:pt idx="514">
                  <c:v>-1.130356400241908</c:v>
                </c:pt>
                <c:pt idx="515">
                  <c:v>-1.4726315369037479</c:v>
                </c:pt>
                <c:pt idx="516">
                  <c:v>-1.6466893590800282</c:v>
                </c:pt>
                <c:pt idx="517">
                  <c:v>-1.552651943161095</c:v>
                </c:pt>
                <c:pt idx="518">
                  <c:v>-1.3816244973752418</c:v>
                </c:pt>
                <c:pt idx="519">
                  <c:v>-1.1554139557690633</c:v>
                </c:pt>
                <c:pt idx="520">
                  <c:v>-0.87911814620076711</c:v>
                </c:pt>
                <c:pt idx="521">
                  <c:v>-0.75341406361519603</c:v>
                </c:pt>
                <c:pt idx="522">
                  <c:v>-0.91339240612518324</c:v>
                </c:pt>
                <c:pt idx="523">
                  <c:v>-1.3789518988114651</c:v>
                </c:pt>
                <c:pt idx="524">
                  <c:v>-1.3714074175496762</c:v>
                </c:pt>
                <c:pt idx="525">
                  <c:v>-1.290514827861216</c:v>
                </c:pt>
                <c:pt idx="526">
                  <c:v>-0.92979431650587685</c:v>
                </c:pt>
                <c:pt idx="527">
                  <c:v>-0.96412682029523467</c:v>
                </c:pt>
                <c:pt idx="528">
                  <c:v>-1.610310588503296</c:v>
                </c:pt>
                <c:pt idx="529">
                  <c:v>-0.70839911861622795</c:v>
                </c:pt>
                <c:pt idx="530">
                  <c:v>-1.119429039957879</c:v>
                </c:pt>
                <c:pt idx="531">
                  <c:v>-0.65534444438361561</c:v>
                </c:pt>
                <c:pt idx="532">
                  <c:v>-0.2411060019429101</c:v>
                </c:pt>
                <c:pt idx="533">
                  <c:v>-0.41752786538910414</c:v>
                </c:pt>
                <c:pt idx="534">
                  <c:v>-0.27963215393083374</c:v>
                </c:pt>
                <c:pt idx="535">
                  <c:v>-0.69711185593621394</c:v>
                </c:pt>
                <c:pt idx="536">
                  <c:v>-0.48169332070631299</c:v>
                </c:pt>
                <c:pt idx="537">
                  <c:v>-0.40285809814531603</c:v>
                </c:pt>
                <c:pt idx="538">
                  <c:v>-0.1142635328217807</c:v>
                </c:pt>
                <c:pt idx="539">
                  <c:v>-0.30065340373869276</c:v>
                </c:pt>
                <c:pt idx="540">
                  <c:v>-0.52896311797866247</c:v>
                </c:pt>
                <c:pt idx="541">
                  <c:v>-0.34917759412326177</c:v>
                </c:pt>
                <c:pt idx="542">
                  <c:v>-0.29226488259257621</c:v>
                </c:pt>
                <c:pt idx="543">
                  <c:v>-0.31030623305002791</c:v>
                </c:pt>
                <c:pt idx="544">
                  <c:v>-0.25812515773691302</c:v>
                </c:pt>
                <c:pt idx="545">
                  <c:v>-0.23667296721492903</c:v>
                </c:pt>
                <c:pt idx="546">
                  <c:v>-0.46090320178848287</c:v>
                </c:pt>
                <c:pt idx="547">
                  <c:v>-0.35563391091199037</c:v>
                </c:pt>
                <c:pt idx="548">
                  <c:v>0.42765285377646478</c:v>
                </c:pt>
                <c:pt idx="549">
                  <c:v>-7.5574927412390025E-2</c:v>
                </c:pt>
                <c:pt idx="550">
                  <c:v>-0.63911213263037325</c:v>
                </c:pt>
                <c:pt idx="551">
                  <c:v>-1.0875650072971439</c:v>
                </c:pt>
                <c:pt idx="552">
                  <c:v>-1.1280064920785549</c:v>
                </c:pt>
                <c:pt idx="553">
                  <c:v>-1.2303527387646795</c:v>
                </c:pt>
                <c:pt idx="554">
                  <c:v>-1.0255030309837707</c:v>
                </c:pt>
                <c:pt idx="555">
                  <c:v>-0.77567615198279327</c:v>
                </c:pt>
                <c:pt idx="556">
                  <c:v>-0.46555808041944147</c:v>
                </c:pt>
                <c:pt idx="557">
                  <c:v>-0.64623766043899877</c:v>
                </c:pt>
                <c:pt idx="558">
                  <c:v>-0.18259966555399387</c:v>
                </c:pt>
                <c:pt idx="559">
                  <c:v>-0.62392504704496332</c:v>
                </c:pt>
                <c:pt idx="560">
                  <c:v>1.7235771611751716E-2</c:v>
                </c:pt>
                <c:pt idx="561">
                  <c:v>-0.41804937670474374</c:v>
                </c:pt>
                <c:pt idx="562">
                  <c:v>-7.3712527954512552E-2</c:v>
                </c:pt>
                <c:pt idx="563">
                  <c:v>-0.15422276974879878</c:v>
                </c:pt>
                <c:pt idx="564">
                  <c:v>-0.25679020056202262</c:v>
                </c:pt>
                <c:pt idx="565">
                  <c:v>-0.83126239327998519</c:v>
                </c:pt>
                <c:pt idx="566">
                  <c:v>-0.41847005262661696</c:v>
                </c:pt>
                <c:pt idx="567">
                  <c:v>-0.28076911965746376</c:v>
                </c:pt>
                <c:pt idx="568">
                  <c:v>7.7291584778322431E-2</c:v>
                </c:pt>
                <c:pt idx="569">
                  <c:v>0.40448605872700227</c:v>
                </c:pt>
                <c:pt idx="570">
                  <c:v>0.24599810758013518</c:v>
                </c:pt>
                <c:pt idx="571">
                  <c:v>-0.12724748322983714</c:v>
                </c:pt>
                <c:pt idx="572">
                  <c:v>0.34178738939499453</c:v>
                </c:pt>
                <c:pt idx="573">
                  <c:v>0.27444487395098349</c:v>
                </c:pt>
                <c:pt idx="574">
                  <c:v>-0.11334422333061411</c:v>
                </c:pt>
                <c:pt idx="575">
                  <c:v>-0.52591183225246141</c:v>
                </c:pt>
                <c:pt idx="576">
                  <c:v>-0.44060520909749812</c:v>
                </c:pt>
                <c:pt idx="577">
                  <c:v>-0.4372033478472872</c:v>
                </c:pt>
                <c:pt idx="578">
                  <c:v>-0.15646837432149141</c:v>
                </c:pt>
                <c:pt idx="579">
                  <c:v>-0.45089338738415563</c:v>
                </c:pt>
                <c:pt idx="580">
                  <c:v>-0.22489005007582819</c:v>
                </c:pt>
                <c:pt idx="581">
                  <c:v>-0.38982152215902488</c:v>
                </c:pt>
                <c:pt idx="582">
                  <c:v>-7.0435419337741223E-2</c:v>
                </c:pt>
                <c:pt idx="583">
                  <c:v>-0.35560121946679146</c:v>
                </c:pt>
                <c:pt idx="584">
                  <c:v>0.20130770712626145</c:v>
                </c:pt>
                <c:pt idx="585">
                  <c:v>-0.24809217544526518</c:v>
                </c:pt>
                <c:pt idx="586">
                  <c:v>-0.28800721875865065</c:v>
                </c:pt>
                <c:pt idx="587">
                  <c:v>-0.38263219480813859</c:v>
                </c:pt>
                <c:pt idx="588">
                  <c:v>-1.0994515176849973</c:v>
                </c:pt>
                <c:pt idx="589">
                  <c:v>-0.40817560246654239</c:v>
                </c:pt>
                <c:pt idx="590">
                  <c:v>-0.37949799606832357</c:v>
                </c:pt>
                <c:pt idx="591">
                  <c:v>-0.25604895516272563</c:v>
                </c:pt>
                <c:pt idx="592">
                  <c:v>-0.30210298498207067</c:v>
                </c:pt>
                <c:pt idx="593">
                  <c:v>7.0839596902999347E-2</c:v>
                </c:pt>
                <c:pt idx="594">
                  <c:v>2.8099753692401919E-2</c:v>
                </c:pt>
                <c:pt idx="595">
                  <c:v>-0.90459155705912053</c:v>
                </c:pt>
                <c:pt idx="596">
                  <c:v>-1.2998144010076089</c:v>
                </c:pt>
                <c:pt idx="597">
                  <c:v>-0.19127728732900096</c:v>
                </c:pt>
                <c:pt idx="598">
                  <c:v>-0.15332410118384132</c:v>
                </c:pt>
                <c:pt idx="599">
                  <c:v>-0.6200120809830878</c:v>
                </c:pt>
                <c:pt idx="600">
                  <c:v>-0.90896317440149232</c:v>
                </c:pt>
                <c:pt idx="601">
                  <c:v>-0.22981902972452417</c:v>
                </c:pt>
                <c:pt idx="602">
                  <c:v>-0.51320442707611846</c:v>
                </c:pt>
                <c:pt idx="603">
                  <c:v>-0.661887156712055</c:v>
                </c:pt>
                <c:pt idx="604">
                  <c:v>-0.86000419028118813</c:v>
                </c:pt>
                <c:pt idx="605">
                  <c:v>-0.40919337893762986</c:v>
                </c:pt>
                <c:pt idx="606">
                  <c:v>-0.75406499268962079</c:v>
                </c:pt>
                <c:pt idx="607">
                  <c:v>-0.27307647230423981</c:v>
                </c:pt>
                <c:pt idx="608">
                  <c:v>-0.56042526228452516</c:v>
                </c:pt>
                <c:pt idx="609">
                  <c:v>-0.59394551573348053</c:v>
                </c:pt>
                <c:pt idx="610">
                  <c:v>-0.64811827562010649</c:v>
                </c:pt>
                <c:pt idx="611">
                  <c:v>-0.86686362254698679</c:v>
                </c:pt>
                <c:pt idx="612">
                  <c:v>-0.97794066199713825</c:v>
                </c:pt>
                <c:pt idx="613">
                  <c:v>-0.74092246335203527</c:v>
                </c:pt>
                <c:pt idx="614">
                  <c:v>-1.0363652278311406</c:v>
                </c:pt>
                <c:pt idx="615">
                  <c:v>-0.69717390349887864</c:v>
                </c:pt>
                <c:pt idx="616">
                  <c:v>-0.55734830419555692</c:v>
                </c:pt>
                <c:pt idx="617">
                  <c:v>-0.58866343888382744</c:v>
                </c:pt>
                <c:pt idx="618">
                  <c:v>0.12433900133231646</c:v>
                </c:pt>
                <c:pt idx="619">
                  <c:v>0.13340731239867409</c:v>
                </c:pt>
                <c:pt idx="620">
                  <c:v>0.16393257638662817</c:v>
                </c:pt>
                <c:pt idx="621">
                  <c:v>0.36835495581010491</c:v>
                </c:pt>
                <c:pt idx="622">
                  <c:v>-0.11794375010833846</c:v>
                </c:pt>
                <c:pt idx="623">
                  <c:v>-0.69874646416280939</c:v>
                </c:pt>
                <c:pt idx="624">
                  <c:v>-0.63194944964476463</c:v>
                </c:pt>
                <c:pt idx="625">
                  <c:v>-0.64705719703147224</c:v>
                </c:pt>
                <c:pt idx="626">
                  <c:v>-0.30455732863811136</c:v>
                </c:pt>
                <c:pt idx="627">
                  <c:v>-0.17749195033769638</c:v>
                </c:pt>
                <c:pt idx="628">
                  <c:v>-0.33972371816196301</c:v>
                </c:pt>
                <c:pt idx="629">
                  <c:v>5.6835201117962697E-2</c:v>
                </c:pt>
                <c:pt idx="630">
                  <c:v>-0.14228830469767217</c:v>
                </c:pt>
                <c:pt idx="631">
                  <c:v>-0.53514020295040154</c:v>
                </c:pt>
                <c:pt idx="632">
                  <c:v>-0.9567408849942467</c:v>
                </c:pt>
                <c:pt idx="633">
                  <c:v>-0.68437587269835376</c:v>
                </c:pt>
                <c:pt idx="634">
                  <c:v>-0.78280052464862138</c:v>
                </c:pt>
                <c:pt idx="635">
                  <c:v>-0.55566060583061017</c:v>
                </c:pt>
                <c:pt idx="636">
                  <c:v>-1.060989537344426</c:v>
                </c:pt>
                <c:pt idx="637">
                  <c:v>-0.60822323076286011</c:v>
                </c:pt>
                <c:pt idx="638">
                  <c:v>-0.65778072949717625</c:v>
                </c:pt>
                <c:pt idx="639">
                  <c:v>-0.73284129722844682</c:v>
                </c:pt>
                <c:pt idx="640">
                  <c:v>-0.47713043218033135</c:v>
                </c:pt>
                <c:pt idx="641">
                  <c:v>-0.30269745893218669</c:v>
                </c:pt>
                <c:pt idx="642">
                  <c:v>-0.84394691077966399</c:v>
                </c:pt>
                <c:pt idx="643">
                  <c:v>-0.76459882315930372</c:v>
                </c:pt>
                <c:pt idx="644">
                  <c:v>-3.8331275744667437E-2</c:v>
                </c:pt>
                <c:pt idx="645">
                  <c:v>-0.23802926719861262</c:v>
                </c:pt>
                <c:pt idx="646">
                  <c:v>-0.73858568969035332</c:v>
                </c:pt>
                <c:pt idx="647">
                  <c:v>-0.77350877462220069</c:v>
                </c:pt>
                <c:pt idx="648">
                  <c:v>-0.88096947667736458</c:v>
                </c:pt>
                <c:pt idx="649">
                  <c:v>-0.63033494063745366</c:v>
                </c:pt>
                <c:pt idx="650">
                  <c:v>-0.73195544312153515</c:v>
                </c:pt>
                <c:pt idx="651">
                  <c:v>-0.17914778139436294</c:v>
                </c:pt>
                <c:pt idx="652">
                  <c:v>-0.10549992009600828</c:v>
                </c:pt>
                <c:pt idx="653">
                  <c:v>7.6801282610631461E-2</c:v>
                </c:pt>
                <c:pt idx="654">
                  <c:v>0.49342006022175156</c:v>
                </c:pt>
                <c:pt idx="655">
                  <c:v>-2.3277517516589796E-2</c:v>
                </c:pt>
                <c:pt idx="656">
                  <c:v>-0.27913591613372546</c:v>
                </c:pt>
                <c:pt idx="657">
                  <c:v>0.70910872528475011</c:v>
                </c:pt>
                <c:pt idx="658">
                  <c:v>8.6426356761194256E-2</c:v>
                </c:pt>
                <c:pt idx="659">
                  <c:v>-9.0554095298159609E-2</c:v>
                </c:pt>
                <c:pt idx="660">
                  <c:v>-0.18014074338520913</c:v>
                </c:pt>
                <c:pt idx="661">
                  <c:v>-0.54163215337706561</c:v>
                </c:pt>
                <c:pt idx="662">
                  <c:v>-0.21531002298871726</c:v>
                </c:pt>
                <c:pt idx="663">
                  <c:v>-0.11462830729334428</c:v>
                </c:pt>
                <c:pt idx="664">
                  <c:v>0.2069621868774334</c:v>
                </c:pt>
                <c:pt idx="665">
                  <c:v>0.21713744355224662</c:v>
                </c:pt>
                <c:pt idx="666">
                  <c:v>-0.43836972486843706</c:v>
                </c:pt>
                <c:pt idx="667">
                  <c:v>3.0124880742050664E-3</c:v>
                </c:pt>
                <c:pt idx="668">
                  <c:v>0.51502814342512693</c:v>
                </c:pt>
                <c:pt idx="669">
                  <c:v>0.42121541771615512</c:v>
                </c:pt>
                <c:pt idx="670">
                  <c:v>0.33640710316075229</c:v>
                </c:pt>
                <c:pt idx="671">
                  <c:v>-0.58263071602618766</c:v>
                </c:pt>
                <c:pt idx="672">
                  <c:v>-0.57434331014502504</c:v>
                </c:pt>
                <c:pt idx="673">
                  <c:v>-0.72796066616865573</c:v>
                </c:pt>
                <c:pt idx="674">
                  <c:v>-0.46369590290788665</c:v>
                </c:pt>
                <c:pt idx="675">
                  <c:v>-0.27514013324434927</c:v>
                </c:pt>
                <c:pt idx="676">
                  <c:v>-2.5607006201084914E-2</c:v>
                </c:pt>
                <c:pt idx="677">
                  <c:v>-6.7557695558093656E-2</c:v>
                </c:pt>
                <c:pt idx="678">
                  <c:v>-0.43519081001068116</c:v>
                </c:pt>
                <c:pt idx="679">
                  <c:v>-0.16572880638705101</c:v>
                </c:pt>
                <c:pt idx="680">
                  <c:v>0.42416090293210118</c:v>
                </c:pt>
                <c:pt idx="681">
                  <c:v>0.42829081009557513</c:v>
                </c:pt>
                <c:pt idx="682">
                  <c:v>-0.30864345049167241</c:v>
                </c:pt>
                <c:pt idx="683">
                  <c:v>-0.25973863680610521</c:v>
                </c:pt>
                <c:pt idx="684">
                  <c:v>-1.00357717695681</c:v>
                </c:pt>
                <c:pt idx="685">
                  <c:v>-0.84932047901224905</c:v>
                </c:pt>
                <c:pt idx="686">
                  <c:v>-5.7113082879084232E-2</c:v>
                </c:pt>
                <c:pt idx="687">
                  <c:v>0.50931674075269484</c:v>
                </c:pt>
                <c:pt idx="688">
                  <c:v>0.84679250066835721</c:v>
                </c:pt>
                <c:pt idx="689">
                  <c:v>0.5027158652795265</c:v>
                </c:pt>
                <c:pt idx="690">
                  <c:v>1.1829568047951966</c:v>
                </c:pt>
                <c:pt idx="691">
                  <c:v>0.93434429078746462</c:v>
                </c:pt>
                <c:pt idx="692">
                  <c:v>2.3021022295651505</c:v>
                </c:pt>
                <c:pt idx="693">
                  <c:v>1.7441691329787545</c:v>
                </c:pt>
                <c:pt idx="694">
                  <c:v>1.5651031018500703</c:v>
                </c:pt>
                <c:pt idx="695">
                  <c:v>0.38194491178575163</c:v>
                </c:pt>
                <c:pt idx="696">
                  <c:v>-1.402539890642629E-2</c:v>
                </c:pt>
                <c:pt idx="697">
                  <c:v>0.40809952849667752</c:v>
                </c:pt>
                <c:pt idx="698">
                  <c:v>0.90824392088001105</c:v>
                </c:pt>
                <c:pt idx="699">
                  <c:v>1.6525419739702443</c:v>
                </c:pt>
                <c:pt idx="700">
                  <c:v>1.2479547301361436</c:v>
                </c:pt>
                <c:pt idx="701">
                  <c:v>1.6617463242058079</c:v>
                </c:pt>
                <c:pt idx="702">
                  <c:v>1.3998554931799845</c:v>
                </c:pt>
                <c:pt idx="703">
                  <c:v>0.87547181731798673</c:v>
                </c:pt>
                <c:pt idx="704">
                  <c:v>1.4211038100638689</c:v>
                </c:pt>
                <c:pt idx="705">
                  <c:v>1.7311133463499573</c:v>
                </c:pt>
                <c:pt idx="706">
                  <c:v>1.4199213691894101</c:v>
                </c:pt>
                <c:pt idx="707">
                  <c:v>0.81470581199755543</c:v>
                </c:pt>
                <c:pt idx="708">
                  <c:v>0.71660955527363512</c:v>
                </c:pt>
                <c:pt idx="709">
                  <c:v>0.3966085366448624</c:v>
                </c:pt>
                <c:pt idx="710">
                  <c:v>0.77469556190067124</c:v>
                </c:pt>
                <c:pt idx="711">
                  <c:v>0.90686766895908022</c:v>
                </c:pt>
                <c:pt idx="712">
                  <c:v>1.1702230579973616</c:v>
                </c:pt>
                <c:pt idx="713">
                  <c:v>1.3618887060353018</c:v>
                </c:pt>
                <c:pt idx="714">
                  <c:v>0.81787192897758132</c:v>
                </c:pt>
                <c:pt idx="715">
                  <c:v>0.79156804379658752</c:v>
                </c:pt>
                <c:pt idx="716">
                  <c:v>0.48507409051069317</c:v>
                </c:pt>
                <c:pt idx="717">
                  <c:v>0.83302625966916821</c:v>
                </c:pt>
                <c:pt idx="718">
                  <c:v>0.88970833647681502</c:v>
                </c:pt>
                <c:pt idx="719">
                  <c:v>0.22243541215738105</c:v>
                </c:pt>
                <c:pt idx="720">
                  <c:v>0.28221320940161831</c:v>
                </c:pt>
                <c:pt idx="721">
                  <c:v>0.42008624474107137</c:v>
                </c:pt>
                <c:pt idx="722">
                  <c:v>0.82611590286933279</c:v>
                </c:pt>
                <c:pt idx="723">
                  <c:v>1.5561620638959539</c:v>
                </c:pt>
                <c:pt idx="724">
                  <c:v>1.3474600858066879</c:v>
                </c:pt>
                <c:pt idx="725">
                  <c:v>1.9269997878128038</c:v>
                </c:pt>
                <c:pt idx="726">
                  <c:v>1.8308570647233182</c:v>
                </c:pt>
                <c:pt idx="727">
                  <c:v>1.2326329702232215</c:v>
                </c:pt>
                <c:pt idx="728">
                  <c:v>1.394013070905487</c:v>
                </c:pt>
                <c:pt idx="729">
                  <c:v>2.0499078729363873</c:v>
                </c:pt>
                <c:pt idx="730">
                  <c:v>1.6544640037122349</c:v>
                </c:pt>
                <c:pt idx="731">
                  <c:v>0.85513371226534218</c:v>
                </c:pt>
                <c:pt idx="732">
                  <c:v>0.94278556347768472</c:v>
                </c:pt>
                <c:pt idx="733">
                  <c:v>1.0585326527853454</c:v>
                </c:pt>
                <c:pt idx="734">
                  <c:v>0.94250494378604799</c:v>
                </c:pt>
                <c:pt idx="735">
                  <c:v>1.4004251587808767</c:v>
                </c:pt>
                <c:pt idx="736">
                  <c:v>1.6396658135640223</c:v>
                </c:pt>
                <c:pt idx="737">
                  <c:v>2.0470795695382549</c:v>
                </c:pt>
                <c:pt idx="738">
                  <c:v>1.9288109004169769</c:v>
                </c:pt>
                <c:pt idx="739">
                  <c:v>1.4022377847811072</c:v>
                </c:pt>
                <c:pt idx="740">
                  <c:v>1.7114861149219109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2-4DA0-BFEC-A4C0A0164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16112"/>
        <c:axId val="417732752"/>
      </c:lineChart>
      <c:dateAx>
        <c:axId val="417716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732752"/>
        <c:crosses val="autoZero"/>
        <c:auto val="1"/>
        <c:lblOffset val="100"/>
        <c:baseTimeUnit val="months"/>
      </c:dateAx>
      <c:valAx>
        <c:axId val="417732752"/>
        <c:scaling>
          <c:orientation val="minMax"/>
          <c:max val="2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71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'2次多項式モデル'!$B$11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'2次多項式モデル'!$A$12:$A$24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'2次多項式モデル'!$B$12:$B$24</c:f>
              <c:numCache>
                <c:formatCode>0.000000000_ ;[Red]\-0.000000000\ </c:formatCode>
                <c:ptCount val="13"/>
                <c:pt idx="0">
                  <c:v>-3.1273707705410173E-2</c:v>
                </c:pt>
                <c:pt idx="1">
                  <c:v>0.60795807352328612</c:v>
                </c:pt>
                <c:pt idx="2">
                  <c:v>1.368171928762181</c:v>
                </c:pt>
                <c:pt idx="3">
                  <c:v>2.5295372401482399</c:v>
                </c:pt>
                <c:pt idx="4">
                  <c:v>2.9925789844300432</c:v>
                </c:pt>
                <c:pt idx="5">
                  <c:v>2.3204129706322356</c:v>
                </c:pt>
                <c:pt idx="6">
                  <c:v>0.81833597443365613</c:v>
                </c:pt>
                <c:pt idx="7">
                  <c:v>-1.2372810548909516</c:v>
                </c:pt>
                <c:pt idx="8">
                  <c:v>-3.0811738821107677</c:v>
                </c:pt>
                <c:pt idx="9">
                  <c:v>-3.2770720300056544</c:v>
                </c:pt>
                <c:pt idx="10">
                  <c:v>-2.0734932780028581</c:v>
                </c:pt>
                <c:pt idx="11">
                  <c:v>-0.94500362363844403</c:v>
                </c:pt>
                <c:pt idx="12" formatCode="0.000000000_ ;\-0.000000000\ ">
                  <c:v>-3.1273707705410173E-2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C5-4CE4-B1E5-2DEE78BF9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669936"/>
        <c:axId val="417663696"/>
      </c:scatterChart>
      <c:valAx>
        <c:axId val="41766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63696"/>
        <c:crosses val="autoZero"/>
        <c:crossBetween val="midCat"/>
      </c:valAx>
      <c:valAx>
        <c:axId val="4176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6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 (2)'!$H$1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5-4DAA-83A1-155ECFDEFC5B}"/>
            </c:ext>
          </c:extLst>
        </c:ser>
        <c:ser>
          <c:idx val="1"/>
          <c:order val="1"/>
          <c:tx>
            <c:strRef>
              <c:f>'2次多項式モデル (2)'!$I$1</c:f>
              <c:strCache>
                <c:ptCount val="1"/>
                <c:pt idx="0">
                  <c:v>T(t)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(2)'!$I$2:$I$982</c:f>
              <c:numCache>
                <c:formatCode>0.00_ ;[Red]\-0.00\ </c:formatCode>
                <c:ptCount val="981"/>
                <c:pt idx="0">
                  <c:v>314.61155003735519</c:v>
                </c:pt>
                <c:pt idx="1">
                  <c:v>314.67624382141679</c:v>
                </c:pt>
                <c:pt idx="2">
                  <c:v>314.73903013579707</c:v>
                </c:pt>
                <c:pt idx="3">
                  <c:v>314.86723990232565</c:v>
                </c:pt>
                <c:pt idx="4">
                  <c:v>314.93267531624593</c:v>
                </c:pt>
                <c:pt idx="5">
                  <c:v>314.99829917709746</c:v>
                </c:pt>
                <c:pt idx="6">
                  <c:v>315.12798024157149</c:v>
                </c:pt>
                <c:pt idx="7">
                  <c:v>315.19202548342207</c:v>
                </c:pt>
                <c:pt idx="8">
                  <c:v>315.25839097413228</c:v>
                </c:pt>
                <c:pt idx="9">
                  <c:v>315.3249449117738</c:v>
                </c:pt>
                <c:pt idx="10">
                  <c:v>315.38522011993001</c:v>
                </c:pt>
                <c:pt idx="11">
                  <c:v>315.45213271463433</c:v>
                </c:pt>
                <c:pt idx="12">
                  <c:v>315.51706626512043</c:v>
                </c:pt>
                <c:pt idx="13">
                  <c:v>315.58434967475409</c:v>
                </c:pt>
                <c:pt idx="14">
                  <c:v>315.64964207839762</c:v>
                </c:pt>
                <c:pt idx="15">
                  <c:v>315.71729630296062</c:v>
                </c:pt>
                <c:pt idx="16">
                  <c:v>315.78513897445492</c:v>
                </c:pt>
                <c:pt idx="17">
                  <c:v>315.85097259925391</c:v>
                </c:pt>
                <c:pt idx="18">
                  <c:v>315.91918608567755</c:v>
                </c:pt>
                <c:pt idx="19">
                  <c:v>315.98537856363396</c:v>
                </c:pt>
                <c:pt idx="20">
                  <c:v>316.05396286498689</c:v>
                </c:pt>
                <c:pt idx="21">
                  <c:v>316.12273561327112</c:v>
                </c:pt>
                <c:pt idx="22">
                  <c:v>316.18724201237393</c:v>
                </c:pt>
                <c:pt idx="23">
                  <c:v>316.25637949665423</c:v>
                </c:pt>
                <c:pt idx="24">
                  <c:v>316.32346616608487</c:v>
                </c:pt>
                <c:pt idx="25">
                  <c:v>316.39297446529451</c:v>
                </c:pt>
                <c:pt idx="26">
                  <c:v>316.46041998788257</c:v>
                </c:pt>
                <c:pt idx="27">
                  <c:v>316.53029910202156</c:v>
                </c:pt>
                <c:pt idx="28">
                  <c:v>316.60036666309185</c:v>
                </c:pt>
                <c:pt idx="29">
                  <c:v>316.66835340683537</c:v>
                </c:pt>
                <c:pt idx="30">
                  <c:v>316.73879178283499</c:v>
                </c:pt>
                <c:pt idx="31">
                  <c:v>316.80713737973588</c:v>
                </c:pt>
                <c:pt idx="32">
                  <c:v>316.87794657066485</c:v>
                </c:pt>
                <c:pt idx="33">
                  <c:v>316.94894420852512</c:v>
                </c:pt>
                <c:pt idx="34">
                  <c:v>317.01323308139501</c:v>
                </c:pt>
                <c:pt idx="35">
                  <c:v>317.08458937631804</c:v>
                </c:pt>
                <c:pt idx="36">
                  <c:v>317.15382328185456</c:v>
                </c:pt>
                <c:pt idx="37">
                  <c:v>317.22555039170692</c:v>
                </c:pt>
                <c:pt idx="38">
                  <c:v>317.29514315040086</c:v>
                </c:pt>
                <c:pt idx="39">
                  <c:v>317.36724107518256</c:v>
                </c:pt>
                <c:pt idx="40">
                  <c:v>317.43952744689557</c:v>
                </c:pt>
                <c:pt idx="41">
                  <c:v>317.50966142674497</c:v>
                </c:pt>
                <c:pt idx="42">
                  <c:v>317.58231861338732</c:v>
                </c:pt>
                <c:pt idx="43">
                  <c:v>317.65281144639408</c:v>
                </c:pt>
                <c:pt idx="44">
                  <c:v>317.72583944796577</c:v>
                </c:pt>
                <c:pt idx="45">
                  <c:v>317.79905589646876</c:v>
                </c:pt>
                <c:pt idx="46">
                  <c:v>317.86534885637082</c:v>
                </c:pt>
                <c:pt idx="47">
                  <c:v>317.93892396193655</c:v>
                </c:pt>
                <c:pt idx="48">
                  <c:v>318.01030510357896</c:v>
                </c:pt>
                <c:pt idx="49">
                  <c:v>318.08425102407404</c:v>
                </c:pt>
                <c:pt idx="50">
                  <c:v>318.15599101887386</c:v>
                </c:pt>
                <c:pt idx="51">
                  <c:v>318.23030775429828</c:v>
                </c:pt>
                <c:pt idx="52">
                  <c:v>318.304812936654</c:v>
                </c:pt>
                <c:pt idx="53">
                  <c:v>318.37709415260929</c:v>
                </c:pt>
                <c:pt idx="54">
                  <c:v>318.45197014989435</c:v>
                </c:pt>
                <c:pt idx="55">
                  <c:v>318.524610219007</c:v>
                </c:pt>
                <c:pt idx="56">
                  <c:v>318.5998570312214</c:v>
                </c:pt>
                <c:pt idx="57">
                  <c:v>318.67529229036711</c:v>
                </c:pt>
                <c:pt idx="58">
                  <c:v>318.74358933730127</c:v>
                </c:pt>
                <c:pt idx="59">
                  <c:v>318.81938325350978</c:v>
                </c:pt>
                <c:pt idx="60">
                  <c:v>318.89291163125802</c:v>
                </c:pt>
                <c:pt idx="61">
                  <c:v>318.96907636239587</c:v>
                </c:pt>
                <c:pt idx="62">
                  <c:v>319.04296359330158</c:v>
                </c:pt>
                <c:pt idx="63">
                  <c:v>319.11949913936871</c:v>
                </c:pt>
                <c:pt idx="64">
                  <c:v>319.19622313236721</c:v>
                </c:pt>
                <c:pt idx="65">
                  <c:v>319.27065158442832</c:v>
                </c:pt>
                <c:pt idx="66">
                  <c:v>319.3477463923561</c:v>
                </c:pt>
                <c:pt idx="67">
                  <c:v>319.42253369757464</c:v>
                </c:pt>
                <c:pt idx="68">
                  <c:v>319.49999932043181</c:v>
                </c:pt>
                <c:pt idx="69">
                  <c:v>319.80416842482032</c:v>
                </c:pt>
                <c:pt idx="70">
                  <c:v>319.88255804553415</c:v>
                </c:pt>
                <c:pt idx="71">
                  <c:v>319.95859839538434</c:v>
                </c:pt>
                <c:pt idx="72">
                  <c:v>320.03735883102746</c:v>
                </c:pt>
                <c:pt idx="73">
                  <c:v>320.11630771360194</c:v>
                </c:pt>
                <c:pt idx="74">
                  <c:v>320.19288928460759</c:v>
                </c:pt>
                <c:pt idx="75">
                  <c:v>320.27220898211135</c:v>
                </c:pt>
                <c:pt idx="76">
                  <c:v>320.34914940627442</c:v>
                </c:pt>
                <c:pt idx="77">
                  <c:v>320.42883991870758</c:v>
                </c:pt>
                <c:pt idx="78">
                  <c:v>320.50871887807199</c:v>
                </c:pt>
                <c:pt idx="79">
                  <c:v>320.58102958971983</c:v>
                </c:pt>
                <c:pt idx="80">
                  <c:v>320.6612672061471</c:v>
                </c:pt>
                <c:pt idx="81">
                  <c:v>320.7390959389457</c:v>
                </c:pt>
                <c:pt idx="82">
                  <c:v>320.8197043703023</c:v>
                </c:pt>
                <c:pt idx="83">
                  <c:v>320.89789195625832</c:v>
                </c:pt>
                <c:pt idx="84">
                  <c:v>320.97887120254421</c:v>
                </c:pt>
                <c:pt idx="85">
                  <c:v>321.06003889576141</c:v>
                </c:pt>
                <c:pt idx="86">
                  <c:v>321.13876770287288</c:v>
                </c:pt>
                <c:pt idx="87">
                  <c:v>321.22030621101942</c:v>
                </c:pt>
                <c:pt idx="88">
                  <c:v>321.29939387128832</c:v>
                </c:pt>
                <c:pt idx="89">
                  <c:v>321.38130319436419</c:v>
                </c:pt>
                <c:pt idx="90">
                  <c:v>321.46340096437137</c:v>
                </c:pt>
                <c:pt idx="91">
                  <c:v>321.53771576305138</c:v>
                </c:pt>
                <c:pt idx="92">
                  <c:v>321.62017219012137</c:v>
                </c:pt>
                <c:pt idx="93">
                  <c:v>321.70014815902584</c:v>
                </c:pt>
                <c:pt idx="94">
                  <c:v>321.78297540102511</c:v>
                </c:pt>
                <c:pt idx="95">
                  <c:v>321.86331022308701</c:v>
                </c:pt>
                <c:pt idx="96">
                  <c:v>321.94650828001568</c:v>
                </c:pt>
                <c:pt idx="97">
                  <c:v>322.02989478387559</c:v>
                </c:pt>
                <c:pt idx="98">
                  <c:v>322.11077082709295</c:v>
                </c:pt>
                <c:pt idx="99">
                  <c:v>322.1945281458822</c:v>
                </c:pt>
                <c:pt idx="100">
                  <c:v>322.27576304225698</c:v>
                </c:pt>
                <c:pt idx="101">
                  <c:v>322.35989117597558</c:v>
                </c:pt>
                <c:pt idx="102">
                  <c:v>322.44420775662547</c:v>
                </c:pt>
                <c:pt idx="103">
                  <c:v>322.52052664233764</c:v>
                </c:pt>
                <c:pt idx="104">
                  <c:v>322.60520188005034</c:v>
                </c:pt>
                <c:pt idx="105">
                  <c:v>322.68732508506065</c:v>
                </c:pt>
                <c:pt idx="106">
                  <c:v>322.77237113770269</c:v>
                </c:pt>
                <c:pt idx="107">
                  <c:v>322.85485319587048</c:v>
                </c:pt>
                <c:pt idx="108">
                  <c:v>322.9402700634418</c:v>
                </c:pt>
                <c:pt idx="109">
                  <c:v>323.02587537794449</c:v>
                </c:pt>
                <c:pt idx="110">
                  <c:v>323.10889865726773</c:v>
                </c:pt>
                <c:pt idx="111">
                  <c:v>323.1948747866997</c:v>
                </c:pt>
                <c:pt idx="112">
                  <c:v>323.27825691918036</c:v>
                </c:pt>
                <c:pt idx="113">
                  <c:v>323.36460386354167</c:v>
                </c:pt>
                <c:pt idx="114">
                  <c:v>323.45113925483429</c:v>
                </c:pt>
                <c:pt idx="115">
                  <c:v>323.53226231997718</c:v>
                </c:pt>
                <c:pt idx="116">
                  <c:v>323.61916244726586</c:v>
                </c:pt>
                <c:pt idx="117">
                  <c:v>323.7034387712207</c:v>
                </c:pt>
                <c:pt idx="118">
                  <c:v>323.79070971343873</c:v>
                </c:pt>
                <c:pt idx="119">
                  <c:v>323.87534489055105</c:v>
                </c:pt>
                <c:pt idx="120">
                  <c:v>323.96298664769841</c:v>
                </c:pt>
                <c:pt idx="121">
                  <c:v>324.05081685177709</c:v>
                </c:pt>
                <c:pt idx="122">
                  <c:v>324.13599325004481</c:v>
                </c:pt>
                <c:pt idx="123">
                  <c:v>324.22419426905276</c:v>
                </c:pt>
                <c:pt idx="124">
                  <c:v>324.30972952047796</c:v>
                </c:pt>
                <c:pt idx="125">
                  <c:v>324.39830135441525</c:v>
                </c:pt>
                <c:pt idx="126">
                  <c:v>324.48706163528391</c:v>
                </c:pt>
                <c:pt idx="127">
                  <c:v>324.5673941857097</c:v>
                </c:pt>
                <c:pt idx="128">
                  <c:v>324.65651312364116</c:v>
                </c:pt>
                <c:pt idx="129">
                  <c:v>324.74293668370188</c:v>
                </c:pt>
                <c:pt idx="130">
                  <c:v>324.83242643656263</c:v>
                </c:pt>
                <c:pt idx="131">
                  <c:v>324.91920884978077</c:v>
                </c:pt>
                <c:pt idx="132">
                  <c:v>325.00906941757086</c:v>
                </c:pt>
                <c:pt idx="133">
                  <c:v>325.09911843229224</c:v>
                </c:pt>
                <c:pt idx="134">
                  <c:v>325.18644206666585</c:v>
                </c:pt>
                <c:pt idx="135">
                  <c:v>325.27686189631657</c:v>
                </c:pt>
                <c:pt idx="136">
                  <c:v>325.3645443838476</c:v>
                </c:pt>
                <c:pt idx="137">
                  <c:v>325.45533502842767</c:v>
                </c:pt>
                <c:pt idx="138">
                  <c:v>325.54631411993898</c:v>
                </c:pt>
                <c:pt idx="139">
                  <c:v>325.628650757397</c:v>
                </c:pt>
                <c:pt idx="140">
                  <c:v>325.71998850597112</c:v>
                </c:pt>
                <c:pt idx="141">
                  <c:v>325.80855930213772</c:v>
                </c:pt>
                <c:pt idx="142">
                  <c:v>325.90026786564124</c:v>
                </c:pt>
                <c:pt idx="143">
                  <c:v>325.98919751496521</c:v>
                </c:pt>
                <c:pt idx="144">
                  <c:v>326.08127689339801</c:v>
                </c:pt>
                <c:pt idx="145">
                  <c:v>326.17354471876217</c:v>
                </c:pt>
                <c:pt idx="146">
                  <c:v>326.2630155892416</c:v>
                </c:pt>
                <c:pt idx="147">
                  <c:v>326.35565422953511</c:v>
                </c:pt>
                <c:pt idx="148">
                  <c:v>326.44548395317196</c:v>
                </c:pt>
                <c:pt idx="149">
                  <c:v>326.53849340839474</c:v>
                </c:pt>
                <c:pt idx="150">
                  <c:v>326.63169131054883</c:v>
                </c:pt>
                <c:pt idx="151">
                  <c:v>326.71603203503895</c:v>
                </c:pt>
                <c:pt idx="152">
                  <c:v>326.80958859425584</c:v>
                </c:pt>
                <c:pt idx="153">
                  <c:v>326.90030662652828</c:v>
                </c:pt>
                <c:pt idx="154">
                  <c:v>326.99423400067451</c:v>
                </c:pt>
                <c:pt idx="155">
                  <c:v>327.08531088610442</c:v>
                </c:pt>
                <c:pt idx="156">
                  <c:v>327.17960907517994</c:v>
                </c:pt>
                <c:pt idx="157">
                  <c:v>327.27409571118676</c:v>
                </c:pt>
                <c:pt idx="158">
                  <c:v>327.36571381777213</c:v>
                </c:pt>
                <c:pt idx="159">
                  <c:v>327.46057126870829</c:v>
                </c:pt>
                <c:pt idx="160">
                  <c:v>327.55254822845109</c:v>
                </c:pt>
                <c:pt idx="161">
                  <c:v>327.64777649431659</c:v>
                </c:pt>
                <c:pt idx="162">
                  <c:v>327.74319320711339</c:v>
                </c:pt>
                <c:pt idx="163">
                  <c:v>327.83262460527629</c:v>
                </c:pt>
                <c:pt idx="164">
                  <c:v>327.92840605406917</c:v>
                </c:pt>
                <c:pt idx="165">
                  <c:v>328.02127720528614</c:v>
                </c:pt>
                <c:pt idx="166">
                  <c:v>328.11742946900836</c:v>
                </c:pt>
                <c:pt idx="167">
                  <c:v>328.21065947338275</c:v>
                </c:pt>
                <c:pt idx="168">
                  <c:v>328.30718255203431</c:v>
                </c:pt>
                <c:pt idx="169">
                  <c:v>328.40389407761717</c:v>
                </c:pt>
                <c:pt idx="170">
                  <c:v>328.49766530314702</c:v>
                </c:pt>
                <c:pt idx="171">
                  <c:v>328.59474764365916</c:v>
                </c:pt>
                <c:pt idx="172">
                  <c:v>328.68887772234643</c:v>
                </c:pt>
                <c:pt idx="173">
                  <c:v>328.78633087778798</c:v>
                </c:pt>
                <c:pt idx="174">
                  <c:v>328.88397248016076</c:v>
                </c:pt>
                <c:pt idx="175">
                  <c:v>328.97232686936457</c:v>
                </c:pt>
                <c:pt idx="176">
                  <c:v>329.07032712880022</c:v>
                </c:pt>
                <c:pt idx="177">
                  <c:v>329.16534551612301</c:v>
                </c:pt>
                <c:pt idx="178">
                  <c:v>329.263716590488</c:v>
                </c:pt>
                <c:pt idx="179">
                  <c:v>329.35909383096822</c:v>
                </c:pt>
                <c:pt idx="180">
                  <c:v>329.45783572026249</c:v>
                </c:pt>
                <c:pt idx="181">
                  <c:v>329.55676605648807</c:v>
                </c:pt>
                <c:pt idx="182">
                  <c:v>329.65268451812381</c:v>
                </c:pt>
                <c:pt idx="183">
                  <c:v>329.75198566927872</c:v>
                </c:pt>
                <c:pt idx="184">
                  <c:v>329.84826298407188</c:v>
                </c:pt>
                <c:pt idx="185">
                  <c:v>329.94793495015608</c:v>
                </c:pt>
                <c:pt idx="186">
                  <c:v>330.04779536317164</c:v>
                </c:pt>
                <c:pt idx="187">
                  <c:v>330.13815383940755</c:v>
                </c:pt>
                <c:pt idx="188">
                  <c:v>330.23837290948592</c:v>
                </c:pt>
                <c:pt idx="189">
                  <c:v>330.3355385329146</c:v>
                </c:pt>
                <c:pt idx="190">
                  <c:v>330.4361284179223</c:v>
                </c:pt>
                <c:pt idx="191">
                  <c:v>330.53365289450841</c:v>
                </c:pt>
                <c:pt idx="192">
                  <c:v>330.6346135944454</c:v>
                </c:pt>
                <c:pt idx="193">
                  <c:v>330.73576274131375</c:v>
                </c:pt>
                <c:pt idx="194">
                  <c:v>330.83382843905531</c:v>
                </c:pt>
                <c:pt idx="195">
                  <c:v>330.93534840085294</c:v>
                </c:pt>
                <c:pt idx="196">
                  <c:v>331.03377295175198</c:v>
                </c:pt>
                <c:pt idx="197">
                  <c:v>331.1356637284789</c:v>
                </c:pt>
                <c:pt idx="198">
                  <c:v>331.23774295213718</c:v>
                </c:pt>
                <c:pt idx="199">
                  <c:v>331.33010551540531</c:v>
                </c:pt>
                <c:pt idx="200">
                  <c:v>331.43254339612633</c:v>
                </c:pt>
                <c:pt idx="201">
                  <c:v>331.53185625566095</c:v>
                </c:pt>
                <c:pt idx="202">
                  <c:v>331.63466495131132</c:v>
                </c:pt>
                <c:pt idx="203">
                  <c:v>331.73433666400331</c:v>
                </c:pt>
                <c:pt idx="204">
                  <c:v>331.83751617458307</c:v>
                </c:pt>
                <c:pt idx="205">
                  <c:v>331.94088413209408</c:v>
                </c:pt>
                <c:pt idx="206">
                  <c:v>332.04109706594153</c:v>
                </c:pt>
                <c:pt idx="207">
                  <c:v>332.14483583838194</c:v>
                </c:pt>
                <c:pt idx="208">
                  <c:v>332.2454076253868</c:v>
                </c:pt>
                <c:pt idx="209">
                  <c:v>332.3495172127565</c:v>
                </c:pt>
                <c:pt idx="210">
                  <c:v>332.45381524705749</c:v>
                </c:pt>
                <c:pt idx="211">
                  <c:v>332.55155497824046</c:v>
                </c:pt>
                <c:pt idx="212">
                  <c:v>332.65621774853753</c:v>
                </c:pt>
                <c:pt idx="213">
                  <c:v>332.75768372701657</c:v>
                </c:pt>
                <c:pt idx="214">
                  <c:v>332.86271731224298</c:v>
                </c:pt>
                <c:pt idx="215">
                  <c:v>332.9645421438795</c:v>
                </c:pt>
                <c:pt idx="216">
                  <c:v>333.06994654403525</c:v>
                </c:pt>
                <c:pt idx="217">
                  <c:v>333.17553939112224</c:v>
                </c:pt>
                <c:pt idx="218">
                  <c:v>333.27790544391422</c:v>
                </c:pt>
                <c:pt idx="219">
                  <c:v>333.38386910593061</c:v>
                </c:pt>
                <c:pt idx="220">
                  <c:v>333.48659401187996</c:v>
                </c:pt>
                <c:pt idx="221">
                  <c:v>333.59292848882569</c:v>
                </c:pt>
                <c:pt idx="222">
                  <c:v>333.69945141270267</c:v>
                </c:pt>
                <c:pt idx="223">
                  <c:v>333.79582764068448</c:v>
                </c:pt>
                <c:pt idx="224">
                  <c:v>333.90270922162426</c:v>
                </c:pt>
                <c:pt idx="225">
                  <c:v>334.00632243620919</c:v>
                </c:pt>
                <c:pt idx="226">
                  <c:v>334.11357483207831</c:v>
                </c:pt>
                <c:pt idx="227">
                  <c:v>334.21754689982072</c:v>
                </c:pt>
                <c:pt idx="228">
                  <c:v>334.32517011061918</c:v>
                </c:pt>
                <c:pt idx="229">
                  <c:v>334.43298176834895</c:v>
                </c:pt>
                <c:pt idx="230">
                  <c:v>334.53749505724676</c:v>
                </c:pt>
                <c:pt idx="231">
                  <c:v>334.64567752990587</c:v>
                </c:pt>
                <c:pt idx="232">
                  <c:v>334.7505496719611</c:v>
                </c:pt>
                <c:pt idx="233">
                  <c:v>334.85910295954955</c:v>
                </c:pt>
                <c:pt idx="234">
                  <c:v>334.96784469406924</c:v>
                </c:pt>
                <c:pt idx="235">
                  <c:v>335.06622500908315</c:v>
                </c:pt>
                <c:pt idx="236">
                  <c:v>335.17532540066571</c:v>
                </c:pt>
                <c:pt idx="237">
                  <c:v>335.28108585135652</c:v>
                </c:pt>
                <c:pt idx="238">
                  <c:v>335.39055705786836</c:v>
                </c:pt>
                <c:pt idx="239">
                  <c:v>335.49667636171665</c:v>
                </c:pt>
                <c:pt idx="240">
                  <c:v>335.60651838315783</c:v>
                </c:pt>
                <c:pt idx="241">
                  <c:v>335.71654885153032</c:v>
                </c:pt>
                <c:pt idx="242">
                  <c:v>335.82320937653401</c:v>
                </c:pt>
                <c:pt idx="243">
                  <c:v>335.93361065983584</c:v>
                </c:pt>
                <c:pt idx="244">
                  <c:v>336.04063003799695</c:v>
                </c:pt>
                <c:pt idx="245">
                  <c:v>336.15140213622811</c:v>
                </c:pt>
                <c:pt idx="246">
                  <c:v>336.26236268139053</c:v>
                </c:pt>
                <c:pt idx="247">
                  <c:v>336.3627470834366</c:v>
                </c:pt>
                <c:pt idx="248">
                  <c:v>336.47406628566188</c:v>
                </c:pt>
                <c:pt idx="249">
                  <c:v>336.58197397245857</c:v>
                </c:pt>
                <c:pt idx="250">
                  <c:v>336.69366398961313</c:v>
                </c:pt>
                <c:pt idx="251">
                  <c:v>336.80193052956724</c:v>
                </c:pt>
                <c:pt idx="252">
                  <c:v>336.9139913616512</c:v>
                </c:pt>
                <c:pt idx="253">
                  <c:v>337.0262406406664</c:v>
                </c:pt>
                <c:pt idx="254">
                  <c:v>337.13504840177598</c:v>
                </c:pt>
                <c:pt idx="255">
                  <c:v>337.24766849572052</c:v>
                </c:pt>
                <c:pt idx="256">
                  <c:v>337.35683510998751</c:v>
                </c:pt>
                <c:pt idx="257">
                  <c:v>337.4698260188614</c:v>
                </c:pt>
                <c:pt idx="258">
                  <c:v>337.58300537466658</c:v>
                </c:pt>
                <c:pt idx="259">
                  <c:v>337.68905343886956</c:v>
                </c:pt>
                <c:pt idx="260">
                  <c:v>337.80259753067082</c:v>
                </c:pt>
                <c:pt idx="261">
                  <c:v>337.91265833641205</c:v>
                </c:pt>
                <c:pt idx="262">
                  <c:v>338.02657324314265</c:v>
                </c:pt>
                <c:pt idx="263">
                  <c:v>338.13699290204124</c:v>
                </c:pt>
                <c:pt idx="264">
                  <c:v>338.25127862370118</c:v>
                </c:pt>
                <c:pt idx="265">
                  <c:v>338.36575279229237</c:v>
                </c:pt>
                <c:pt idx="266">
                  <c:v>338.47671367234648</c:v>
                </c:pt>
                <c:pt idx="267">
                  <c:v>338.591558655867</c:v>
                </c:pt>
                <c:pt idx="268">
                  <c:v>338.70287838907853</c:v>
                </c:pt>
                <c:pt idx="269">
                  <c:v>338.8180941875284</c:v>
                </c:pt>
                <c:pt idx="270">
                  <c:v>338.93349843290957</c:v>
                </c:pt>
                <c:pt idx="271">
                  <c:v>339.03789649966933</c:v>
                </c:pt>
                <c:pt idx="272">
                  <c:v>339.15365940211331</c:v>
                </c:pt>
                <c:pt idx="273">
                  <c:v>339.26586744396036</c:v>
                </c:pt>
                <c:pt idx="274">
                  <c:v>339.38200116133368</c:v>
                </c:pt>
                <c:pt idx="275">
                  <c:v>339.49456805633821</c:v>
                </c:pt>
                <c:pt idx="276">
                  <c:v>339.61107258864081</c:v>
                </c:pt>
                <c:pt idx="277">
                  <c:v>339.72776556787477</c:v>
                </c:pt>
                <c:pt idx="278">
                  <c:v>339.8408736840347</c:v>
                </c:pt>
                <c:pt idx="279">
                  <c:v>339.95793747819801</c:v>
                </c:pt>
                <c:pt idx="280">
                  <c:v>340.07140444751536</c:v>
                </c:pt>
                <c:pt idx="281">
                  <c:v>340.188839056608</c:v>
                </c:pt>
                <c:pt idx="282">
                  <c:v>340.30646211263189</c:v>
                </c:pt>
                <c:pt idx="283">
                  <c:v>340.41286426642381</c:v>
                </c:pt>
                <c:pt idx="284">
                  <c:v>340.5308459795105</c:v>
                </c:pt>
                <c:pt idx="285">
                  <c:v>340.64520125746344</c:v>
                </c:pt>
                <c:pt idx="286">
                  <c:v>340.76355378547947</c:v>
                </c:pt>
                <c:pt idx="287">
                  <c:v>340.87826791658983</c:v>
                </c:pt>
                <c:pt idx="288">
                  <c:v>340.99699125953521</c:v>
                </c:pt>
                <c:pt idx="289">
                  <c:v>341.11590304941188</c:v>
                </c:pt>
                <c:pt idx="290">
                  <c:v>341.2311584016777</c:v>
                </c:pt>
                <c:pt idx="291">
                  <c:v>341.35044100648372</c:v>
                </c:pt>
                <c:pt idx="292">
                  <c:v>341.46605521190696</c:v>
                </c:pt>
                <c:pt idx="293">
                  <c:v>341.58570863164232</c:v>
                </c:pt>
                <c:pt idx="294">
                  <c:v>341.70555049830892</c:v>
                </c:pt>
                <c:pt idx="295">
                  <c:v>341.813956739133</c:v>
                </c:pt>
                <c:pt idx="296">
                  <c:v>341.93415726286241</c:v>
                </c:pt>
                <c:pt idx="297">
                  <c:v>342.05065977692124</c:v>
                </c:pt>
                <c:pt idx="298">
                  <c:v>342.17123111557999</c:v>
                </c:pt>
                <c:pt idx="299">
                  <c:v>342.28809248279623</c:v>
                </c:pt>
                <c:pt idx="300">
                  <c:v>342.40903463638432</c:v>
                </c:pt>
                <c:pt idx="301">
                  <c:v>342.53016523690371</c:v>
                </c:pt>
                <c:pt idx="302">
                  <c:v>342.64756782527542</c:v>
                </c:pt>
                <c:pt idx="303">
                  <c:v>342.76906924072415</c:v>
                </c:pt>
                <c:pt idx="304">
                  <c:v>342.88683068225328</c:v>
                </c:pt>
                <c:pt idx="305">
                  <c:v>343.00870291263129</c:v>
                </c:pt>
                <c:pt idx="306">
                  <c:v>343.13076358994067</c:v>
                </c:pt>
                <c:pt idx="307">
                  <c:v>343.24511998716372</c:v>
                </c:pt>
                <c:pt idx="308">
                  <c:v>343.36754540046917</c:v>
                </c:pt>
                <c:pt idx="309">
                  <c:v>343.48620103347253</c:v>
                </c:pt>
                <c:pt idx="310">
                  <c:v>343.60899726170726</c:v>
                </c:pt>
                <c:pt idx="311">
                  <c:v>343.72801174786798</c:v>
                </c:pt>
                <c:pt idx="312">
                  <c:v>343.85117879103211</c:v>
                </c:pt>
                <c:pt idx="313">
                  <c:v>343.97453428112749</c:v>
                </c:pt>
                <c:pt idx="314">
                  <c:v>344.09408998844373</c:v>
                </c:pt>
                <c:pt idx="315">
                  <c:v>344.21781629346845</c:v>
                </c:pt>
                <c:pt idx="316">
                  <c:v>344.33773085394205</c:v>
                </c:pt>
                <c:pt idx="317">
                  <c:v>344.46182797389611</c:v>
                </c:pt>
                <c:pt idx="318">
                  <c:v>344.58611354078153</c:v>
                </c:pt>
                <c:pt idx="319">
                  <c:v>344.69853344631923</c:v>
                </c:pt>
                <c:pt idx="320">
                  <c:v>344.82317767026734</c:v>
                </c:pt>
                <c:pt idx="321">
                  <c:v>344.94398053937658</c:v>
                </c:pt>
                <c:pt idx="322">
                  <c:v>345.06899557825409</c:v>
                </c:pt>
                <c:pt idx="323">
                  <c:v>345.1901573005207</c:v>
                </c:pt>
                <c:pt idx="324">
                  <c:v>345.31554315432754</c:v>
                </c:pt>
                <c:pt idx="325">
                  <c:v>345.44111745506564</c:v>
                </c:pt>
                <c:pt idx="326">
                  <c:v>345.5628203984877</c:v>
                </c:pt>
                <c:pt idx="327">
                  <c:v>345.68876551415519</c:v>
                </c:pt>
                <c:pt idx="328">
                  <c:v>345.81082731073462</c:v>
                </c:pt>
                <c:pt idx="329">
                  <c:v>345.93714324133146</c:v>
                </c:pt>
                <c:pt idx="330">
                  <c:v>346.06364761885953</c:v>
                </c:pt>
                <c:pt idx="331">
                  <c:v>346.1780716114294</c:v>
                </c:pt>
                <c:pt idx="332">
                  <c:v>346.30493464602029</c:v>
                </c:pt>
                <c:pt idx="333">
                  <c:v>346.42788475123535</c:v>
                </c:pt>
                <c:pt idx="334">
                  <c:v>346.55511860075558</c:v>
                </c:pt>
                <c:pt idx="335">
                  <c:v>346.67842755912807</c:v>
                </c:pt>
                <c:pt idx="336">
                  <c:v>346.80603222357763</c:v>
                </c:pt>
                <c:pt idx="337">
                  <c:v>346.9338253349585</c:v>
                </c:pt>
                <c:pt idx="338">
                  <c:v>347.05767551448639</c:v>
                </c:pt>
                <c:pt idx="339">
                  <c:v>347.1858394407966</c:v>
                </c:pt>
                <c:pt idx="340">
                  <c:v>347.31004847348197</c:v>
                </c:pt>
                <c:pt idx="341">
                  <c:v>347.43858321472146</c:v>
                </c:pt>
                <c:pt idx="342">
                  <c:v>347.56730640289231</c:v>
                </c:pt>
                <c:pt idx="343">
                  <c:v>347.68373448249429</c:v>
                </c:pt>
                <c:pt idx="344">
                  <c:v>347.81281632772794</c:v>
                </c:pt>
                <c:pt idx="345">
                  <c:v>347.93791366904884</c:v>
                </c:pt>
                <c:pt idx="346">
                  <c:v>348.06736632921184</c:v>
                </c:pt>
                <c:pt idx="347">
                  <c:v>348.19282252369015</c:v>
                </c:pt>
                <c:pt idx="348">
                  <c:v>348.32264599878249</c:v>
                </c:pt>
                <c:pt idx="349">
                  <c:v>348.45265792080602</c:v>
                </c:pt>
                <c:pt idx="350">
                  <c:v>348.57865533643985</c:v>
                </c:pt>
                <c:pt idx="351">
                  <c:v>348.70903807339278</c:v>
                </c:pt>
                <c:pt idx="352">
                  <c:v>348.83539434218397</c:v>
                </c:pt>
                <c:pt idx="353">
                  <c:v>348.96614789406624</c:v>
                </c:pt>
                <c:pt idx="354">
                  <c:v>349.09708989287981</c:v>
                </c:pt>
                <c:pt idx="355">
                  <c:v>349.21975462312287</c:v>
                </c:pt>
                <c:pt idx="356">
                  <c:v>349.35106135793251</c:v>
                </c:pt>
                <c:pt idx="357">
                  <c:v>349.47831181819794</c:v>
                </c:pt>
                <c:pt idx="358">
                  <c:v>349.60998936793692</c:v>
                </c:pt>
                <c:pt idx="359">
                  <c:v>349.73759868135977</c:v>
                </c:pt>
                <c:pt idx="360">
                  <c:v>349.86964704602804</c:v>
                </c:pt>
                <c:pt idx="361">
                  <c:v>350.00188385762766</c:v>
                </c:pt>
                <c:pt idx="362">
                  <c:v>350.13003439220597</c:v>
                </c:pt>
                <c:pt idx="363">
                  <c:v>350.26264201873488</c:v>
                </c:pt>
                <c:pt idx="364">
                  <c:v>350.39115140647061</c:v>
                </c:pt>
                <c:pt idx="365">
                  <c:v>350.52412984792886</c:v>
                </c:pt>
                <c:pt idx="366">
                  <c:v>350.65729673631841</c:v>
                </c:pt>
                <c:pt idx="367">
                  <c:v>350.77773848063407</c:v>
                </c:pt>
                <c:pt idx="368">
                  <c:v>350.91126402608643</c:v>
                </c:pt>
                <c:pt idx="369">
                  <c:v>351.04066172245774</c:v>
                </c:pt>
                <c:pt idx="370">
                  <c:v>351.17455808283944</c:v>
                </c:pt>
                <c:pt idx="371">
                  <c:v>351.30431463236818</c:v>
                </c:pt>
                <c:pt idx="372">
                  <c:v>351.43858180767916</c:v>
                </c:pt>
                <c:pt idx="373">
                  <c:v>351.5730374299215</c:v>
                </c:pt>
                <c:pt idx="374">
                  <c:v>351.70333520060569</c:v>
                </c:pt>
                <c:pt idx="375">
                  <c:v>351.83816163777732</c:v>
                </c:pt>
                <c:pt idx="376">
                  <c:v>351.96881826161894</c:v>
                </c:pt>
                <c:pt idx="377">
                  <c:v>352.1040155137199</c:v>
                </c:pt>
                <c:pt idx="378">
                  <c:v>352.23940121275223</c:v>
                </c:pt>
                <c:pt idx="379">
                  <c:v>352.36184704410005</c:v>
                </c:pt>
                <c:pt idx="380">
                  <c:v>352.49759140019512</c:v>
                </c:pt>
                <c:pt idx="381">
                  <c:v>352.62913633267226</c:v>
                </c:pt>
                <c:pt idx="382">
                  <c:v>352.76525150369673</c:v>
                </c:pt>
                <c:pt idx="383">
                  <c:v>352.89715528933129</c:v>
                </c:pt>
                <c:pt idx="384">
                  <c:v>353.03364127528505</c:v>
                </c:pt>
                <c:pt idx="385">
                  <c:v>353.17031570817011</c:v>
                </c:pt>
                <c:pt idx="386">
                  <c:v>353.30276071496013</c:v>
                </c:pt>
                <c:pt idx="387">
                  <c:v>353.43980596277447</c:v>
                </c:pt>
                <c:pt idx="388">
                  <c:v>353.57260982272197</c:v>
                </c:pt>
                <c:pt idx="389">
                  <c:v>353.71002588546565</c:v>
                </c:pt>
                <c:pt idx="390">
                  <c:v>353.8476303951407</c:v>
                </c:pt>
                <c:pt idx="391">
                  <c:v>353.97208031352068</c:v>
                </c:pt>
                <c:pt idx="392">
                  <c:v>354.11004348025847</c:v>
                </c:pt>
                <c:pt idx="393">
                  <c:v>354.24373564884149</c:v>
                </c:pt>
                <c:pt idx="394">
                  <c:v>354.38206963050868</c:v>
                </c:pt>
                <c:pt idx="395">
                  <c:v>354.51612065224913</c:v>
                </c:pt>
                <c:pt idx="396">
                  <c:v>354.6548254488456</c:v>
                </c:pt>
                <c:pt idx="397">
                  <c:v>354.79371869237337</c:v>
                </c:pt>
                <c:pt idx="398">
                  <c:v>354.92831093526928</c:v>
                </c:pt>
                <c:pt idx="399">
                  <c:v>355.0675749937264</c:v>
                </c:pt>
                <c:pt idx="400">
                  <c:v>355.20252608977972</c:v>
                </c:pt>
                <c:pt idx="401">
                  <c:v>355.34216096316618</c:v>
                </c:pt>
                <c:pt idx="402">
                  <c:v>355.48198428348394</c:v>
                </c:pt>
                <c:pt idx="403">
                  <c:v>355.61295734674707</c:v>
                </c:pt>
                <c:pt idx="404">
                  <c:v>355.75314540306084</c:v>
                </c:pt>
                <c:pt idx="405">
                  <c:v>355.8889906905884</c:v>
                </c:pt>
                <c:pt idx="406">
                  <c:v>356.02954956183157</c:v>
                </c:pt>
                <c:pt idx="407">
                  <c:v>356.16575370251655</c:v>
                </c:pt>
                <c:pt idx="408">
                  <c:v>356.30668338868901</c:v>
                </c:pt>
                <c:pt idx="409">
                  <c:v>356.44780152179277</c:v>
                </c:pt>
                <c:pt idx="410">
                  <c:v>356.58454688363321</c:v>
                </c:pt>
                <c:pt idx="411">
                  <c:v>356.72603583166631</c:v>
                </c:pt>
                <c:pt idx="412">
                  <c:v>356.86314004666417</c:v>
                </c:pt>
                <c:pt idx="413">
                  <c:v>357.00499980962661</c:v>
                </c:pt>
                <c:pt idx="414">
                  <c:v>357.1470480195203</c:v>
                </c:pt>
                <c:pt idx="415">
                  <c:v>357.27551160261402</c:v>
                </c:pt>
                <c:pt idx="416">
                  <c:v>357.41791846957051</c:v>
                </c:pt>
                <c:pt idx="417">
                  <c:v>357.55591099320395</c:v>
                </c:pt>
                <c:pt idx="418">
                  <c:v>357.69868867508984</c:v>
                </c:pt>
                <c:pt idx="419">
                  <c:v>357.83704005188065</c:v>
                </c:pt>
                <c:pt idx="420">
                  <c:v>357.98018854869588</c:v>
                </c:pt>
                <c:pt idx="421">
                  <c:v>358.12352549244235</c:v>
                </c:pt>
                <c:pt idx="422">
                  <c:v>358.26241809038868</c:v>
                </c:pt>
                <c:pt idx="423">
                  <c:v>358.40612584906449</c:v>
                </c:pt>
                <c:pt idx="424">
                  <c:v>358.54537730016818</c:v>
                </c:pt>
                <c:pt idx="425">
                  <c:v>358.6894558737734</c:v>
                </c:pt>
                <c:pt idx="426">
                  <c:v>358.83372289430986</c:v>
                </c:pt>
                <c:pt idx="427">
                  <c:v>358.96419056443563</c:v>
                </c:pt>
                <c:pt idx="428">
                  <c:v>359.10881624203489</c:v>
                </c:pt>
                <c:pt idx="429">
                  <c:v>359.24895600177422</c:v>
                </c:pt>
                <c:pt idx="430">
                  <c:v>359.39395249430282</c:v>
                </c:pt>
                <c:pt idx="431">
                  <c:v>359.53445110719952</c:v>
                </c:pt>
                <c:pt idx="432">
                  <c:v>359.67981841465746</c:v>
                </c:pt>
                <c:pt idx="433">
                  <c:v>359.82537416904665</c:v>
                </c:pt>
                <c:pt idx="434">
                  <c:v>359.96641400309886</c:v>
                </c:pt>
                <c:pt idx="435">
                  <c:v>360.11234057241739</c:v>
                </c:pt>
                <c:pt idx="436">
                  <c:v>360.25373925962697</c:v>
                </c:pt>
                <c:pt idx="437">
                  <c:v>360.4000366438749</c:v>
                </c:pt>
                <c:pt idx="438">
                  <c:v>360.54652247505408</c:v>
                </c:pt>
                <c:pt idx="439">
                  <c:v>360.67899423221206</c:v>
                </c:pt>
                <c:pt idx="440">
                  <c:v>360.82583872045404</c:v>
                </c:pt>
                <c:pt idx="441">
                  <c:v>360.9681257162992</c:v>
                </c:pt>
                <c:pt idx="442">
                  <c:v>361.11534101947052</c:v>
                </c:pt>
                <c:pt idx="443">
                  <c:v>361.2579868684731</c:v>
                </c:pt>
                <c:pt idx="444">
                  <c:v>361.40557298657376</c:v>
                </c:pt>
                <c:pt idx="445">
                  <c:v>361.55334755160573</c:v>
                </c:pt>
                <c:pt idx="446">
                  <c:v>361.69653462176376</c:v>
                </c:pt>
                <c:pt idx="447">
                  <c:v>361.84468000172507</c:v>
                </c:pt>
                <c:pt idx="448">
                  <c:v>361.98822592504047</c:v>
                </c:pt>
                <c:pt idx="449">
                  <c:v>362.13674211993111</c:v>
                </c:pt>
                <c:pt idx="450">
                  <c:v>362.28544676175306</c:v>
                </c:pt>
                <c:pt idx="451">
                  <c:v>362.42472815803626</c:v>
                </c:pt>
                <c:pt idx="452">
                  <c:v>362.57379753585423</c:v>
                </c:pt>
                <c:pt idx="453">
                  <c:v>362.71823765064391</c:v>
                </c:pt>
                <c:pt idx="454">
                  <c:v>362.86767784339122</c:v>
                </c:pt>
                <c:pt idx="455">
                  <c:v>363.01247681133827</c:v>
                </c:pt>
                <c:pt idx="456">
                  <c:v>363.16228781901498</c:v>
                </c:pt>
                <c:pt idx="457">
                  <c:v>363.31228727362293</c:v>
                </c:pt>
                <c:pt idx="458">
                  <c:v>363.45762746272544</c:v>
                </c:pt>
                <c:pt idx="459">
                  <c:v>363.60799773226273</c:v>
                </c:pt>
                <c:pt idx="460">
                  <c:v>363.75369677452272</c:v>
                </c:pt>
                <c:pt idx="461">
                  <c:v>363.90443785898935</c:v>
                </c:pt>
                <c:pt idx="462">
                  <c:v>364.05536739038723</c:v>
                </c:pt>
                <c:pt idx="463">
                  <c:v>364.1918528122589</c:v>
                </c:pt>
                <c:pt idx="464">
                  <c:v>364.34314100071964</c:v>
                </c:pt>
                <c:pt idx="465">
                  <c:v>364.48972835161516</c:v>
                </c:pt>
                <c:pt idx="466">
                  <c:v>364.64138735500524</c:v>
                </c:pt>
                <c:pt idx="467">
                  <c:v>364.78833355905817</c:v>
                </c:pt>
                <c:pt idx="468">
                  <c:v>364.94036337737754</c:v>
                </c:pt>
                <c:pt idx="469">
                  <c:v>365.09258164262826</c:v>
                </c:pt>
                <c:pt idx="470">
                  <c:v>365.24006906783666</c:v>
                </c:pt>
                <c:pt idx="471">
                  <c:v>365.39265814801666</c:v>
                </c:pt>
                <c:pt idx="472">
                  <c:v>365.54050442638254</c:v>
                </c:pt>
                <c:pt idx="473">
                  <c:v>365.69346432149183</c:v>
                </c:pt>
                <c:pt idx="474">
                  <c:v>365.84661266353248</c:v>
                </c:pt>
                <c:pt idx="475">
                  <c:v>365.98510217243631</c:v>
                </c:pt>
                <c:pt idx="476">
                  <c:v>366.13860917153977</c:v>
                </c:pt>
                <c:pt idx="477">
                  <c:v>366.28734375854117</c:v>
                </c:pt>
                <c:pt idx="478">
                  <c:v>366.44122157257391</c:v>
                </c:pt>
                <c:pt idx="479">
                  <c:v>366.59031501273273</c:v>
                </c:pt>
                <c:pt idx="480">
                  <c:v>366.74456364169487</c:v>
                </c:pt>
                <c:pt idx="481">
                  <c:v>366.89900071758831</c:v>
                </c:pt>
                <c:pt idx="482">
                  <c:v>367.04863537890253</c:v>
                </c:pt>
                <c:pt idx="483">
                  <c:v>367.20344326972531</c:v>
                </c:pt>
                <c:pt idx="484">
                  <c:v>367.35343678419702</c:v>
                </c:pt>
                <c:pt idx="485">
                  <c:v>367.50861548994908</c:v>
                </c:pt>
                <c:pt idx="486">
                  <c:v>367.66398264263245</c:v>
                </c:pt>
                <c:pt idx="487">
                  <c:v>367.80447623856844</c:v>
                </c:pt>
                <c:pt idx="488">
                  <c:v>367.96020204831461</c:v>
                </c:pt>
                <c:pt idx="489">
                  <c:v>368.11108387142184</c:v>
                </c:pt>
                <c:pt idx="490">
                  <c:v>368.26718049609741</c:v>
                </c:pt>
                <c:pt idx="491">
                  <c:v>368.41842117236206</c:v>
                </c:pt>
                <c:pt idx="492">
                  <c:v>368.57488861196691</c:v>
                </c:pt>
                <c:pt idx="493">
                  <c:v>368.73154449850307</c:v>
                </c:pt>
                <c:pt idx="494">
                  <c:v>368.88332639592323</c:v>
                </c:pt>
                <c:pt idx="495">
                  <c:v>369.04035309738867</c:v>
                </c:pt>
                <c:pt idx="496">
                  <c:v>369.19249384796626</c:v>
                </c:pt>
                <c:pt idx="497">
                  <c:v>369.34989136436104</c:v>
                </c:pt>
                <c:pt idx="498">
                  <c:v>369.50747732768718</c:v>
                </c:pt>
                <c:pt idx="499">
                  <c:v>369.65506705699039</c:v>
                </c:pt>
                <c:pt idx="500">
                  <c:v>369.81301775631255</c:v>
                </c:pt>
                <c:pt idx="501">
                  <c:v>369.96605269836436</c:v>
                </c:pt>
                <c:pt idx="502">
                  <c:v>370.12437421261586</c:v>
                </c:pt>
                <c:pt idx="503">
                  <c:v>370.2777680078251</c:v>
                </c:pt>
                <c:pt idx="504">
                  <c:v>370.43646033700594</c:v>
                </c:pt>
                <c:pt idx="505">
                  <c:v>370.59534111311808</c:v>
                </c:pt>
                <c:pt idx="506">
                  <c:v>370.74927612948272</c:v>
                </c:pt>
                <c:pt idx="507">
                  <c:v>370.90852772052421</c:v>
                </c:pt>
                <c:pt idx="508">
                  <c:v>371.06282159004627</c:v>
                </c:pt>
                <c:pt idx="509">
                  <c:v>371.22244399601709</c:v>
                </c:pt>
                <c:pt idx="510">
                  <c:v>371.38225484891916</c:v>
                </c:pt>
                <c:pt idx="511">
                  <c:v>371.52676210956878</c:v>
                </c:pt>
                <c:pt idx="512">
                  <c:v>371.68693161953371</c:v>
                </c:pt>
                <c:pt idx="513">
                  <c:v>371.84211379769135</c:v>
                </c:pt>
                <c:pt idx="514">
                  <c:v>372.00265412258562</c:v>
                </c:pt>
                <c:pt idx="515">
                  <c:v>372.15819515390069</c:v>
                </c:pt>
                <c:pt idx="516">
                  <c:v>372.31910629372425</c:v>
                </c:pt>
                <c:pt idx="517">
                  <c:v>372.48020588047916</c:v>
                </c:pt>
                <c:pt idx="518">
                  <c:v>372.63628813294963</c:v>
                </c:pt>
                <c:pt idx="519">
                  <c:v>372.79775853463389</c:v>
                </c:pt>
                <c:pt idx="520">
                  <c:v>372.95419964026178</c:v>
                </c:pt>
                <c:pt idx="521">
                  <c:v>373.11604085687532</c:v>
                </c:pt>
                <c:pt idx="522">
                  <c:v>373.27807052042016</c:v>
                </c:pt>
                <c:pt idx="523">
                  <c:v>373.42458186810194</c:v>
                </c:pt>
                <c:pt idx="524">
                  <c:v>373.58697018870953</c:v>
                </c:pt>
                <c:pt idx="525">
                  <c:v>373.74429960297311</c:v>
                </c:pt>
                <c:pt idx="526">
                  <c:v>373.90705873851005</c:v>
                </c:pt>
                <c:pt idx="527">
                  <c:v>374.064747005931</c:v>
                </c:pt>
                <c:pt idx="528">
                  <c:v>374.22787695639732</c:v>
                </c:pt>
                <c:pt idx="529">
                  <c:v>374.3911953537949</c:v>
                </c:pt>
                <c:pt idx="530">
                  <c:v>374.54942484237131</c:v>
                </c:pt>
                <c:pt idx="531">
                  <c:v>374.71311405469822</c:v>
                </c:pt>
                <c:pt idx="532">
                  <c:v>374.87170239643206</c:v>
                </c:pt>
                <c:pt idx="533">
                  <c:v>375.03576242368831</c:v>
                </c:pt>
                <c:pt idx="534">
                  <c:v>375.20001089787587</c:v>
                </c:pt>
                <c:pt idx="535">
                  <c:v>375.34852633258981</c:v>
                </c:pt>
                <c:pt idx="536">
                  <c:v>375.51313346384018</c:v>
                </c:pt>
                <c:pt idx="537">
                  <c:v>375.67261011420953</c:v>
                </c:pt>
                <c:pt idx="538">
                  <c:v>375.83758806038924</c:v>
                </c:pt>
                <c:pt idx="539">
                  <c:v>375.99742356391607</c:v>
                </c:pt>
                <c:pt idx="540">
                  <c:v>376.16277232502506</c:v>
                </c:pt>
                <c:pt idx="541">
                  <c:v>376.32830953306541</c:v>
                </c:pt>
                <c:pt idx="542">
                  <c:v>376.48868625774764</c:v>
                </c:pt>
                <c:pt idx="543">
                  <c:v>376.65459428071733</c:v>
                </c:pt>
                <c:pt idx="544">
                  <c:v>376.81532985855699</c:v>
                </c:pt>
                <c:pt idx="545">
                  <c:v>376.98160869645602</c:v>
                </c:pt>
                <c:pt idx="546">
                  <c:v>377.1480759812863</c:v>
                </c:pt>
                <c:pt idx="547">
                  <c:v>377.30397404360957</c:v>
                </c:pt>
                <c:pt idx="548">
                  <c:v>377.47080606443592</c:v>
                </c:pt>
                <c:pt idx="549">
                  <c:v>377.63243583374981</c:v>
                </c:pt>
                <c:pt idx="550">
                  <c:v>377.79963866950555</c:v>
                </c:pt>
                <c:pt idx="551">
                  <c:v>377.96162729197687</c:v>
                </c:pt>
                <c:pt idx="552">
                  <c:v>378.1292009426619</c:v>
                </c:pt>
                <c:pt idx="553">
                  <c:v>378.29696304027823</c:v>
                </c:pt>
                <c:pt idx="554">
                  <c:v>378.459492883905</c:v>
                </c:pt>
                <c:pt idx="555">
                  <c:v>378.62762579645062</c:v>
                </c:pt>
                <c:pt idx="556">
                  <c:v>378.79051449323487</c:v>
                </c:pt>
                <c:pt idx="557">
                  <c:v>378.95901822070982</c:v>
                </c:pt>
                <c:pt idx="558">
                  <c:v>379.12771039511614</c:v>
                </c:pt>
                <c:pt idx="559">
                  <c:v>379.28023949454371</c:v>
                </c:pt>
                <c:pt idx="560">
                  <c:v>379.44929032601283</c:v>
                </c:pt>
                <c:pt idx="561">
                  <c:v>379.6130673314326</c:v>
                </c:pt>
                <c:pt idx="562">
                  <c:v>379.78248897783101</c:v>
                </c:pt>
                <c:pt idx="563">
                  <c:v>379.9466248364082</c:v>
                </c:pt>
                <c:pt idx="564">
                  <c:v>380.11641729773595</c:v>
                </c:pt>
                <c:pt idx="565">
                  <c:v>380.28639820599506</c:v>
                </c:pt>
                <c:pt idx="566">
                  <c:v>380.45107528572765</c:v>
                </c:pt>
                <c:pt idx="567">
                  <c:v>380.62142700891604</c:v>
                </c:pt>
                <c:pt idx="568">
                  <c:v>380.78646294180612</c:v>
                </c:pt>
                <c:pt idx="569">
                  <c:v>380.95718547992385</c:v>
                </c:pt>
                <c:pt idx="570">
                  <c:v>381.12809646497283</c:v>
                </c:pt>
                <c:pt idx="571">
                  <c:v>381.28262965143256</c:v>
                </c:pt>
                <c:pt idx="572">
                  <c:v>381.4538992935444</c:v>
                </c:pt>
                <c:pt idx="573">
                  <c:v>381.61982353507005</c:v>
                </c:pt>
                <c:pt idx="574">
                  <c:v>381.79146399211123</c:v>
                </c:pt>
                <c:pt idx="575">
                  <c:v>381.95774708679426</c:v>
                </c:pt>
                <c:pt idx="576">
                  <c:v>382.12975835876478</c:v>
                </c:pt>
                <c:pt idx="577">
                  <c:v>382.30195807766654</c:v>
                </c:pt>
                <c:pt idx="578">
                  <c:v>382.46878239350502</c:v>
                </c:pt>
                <c:pt idx="579">
                  <c:v>382.64135292733613</c:v>
                </c:pt>
                <c:pt idx="580">
                  <c:v>382.80853609633209</c:v>
                </c:pt>
                <c:pt idx="581">
                  <c:v>382.98147744509254</c:v>
                </c:pt>
                <c:pt idx="582">
                  <c:v>383.15460724078429</c:v>
                </c:pt>
                <c:pt idx="583">
                  <c:v>383.31114451427618</c:v>
                </c:pt>
                <c:pt idx="584">
                  <c:v>383.48463296703073</c:v>
                </c:pt>
                <c:pt idx="585">
                  <c:v>383.65270444466222</c:v>
                </c:pt>
                <c:pt idx="586">
                  <c:v>383.82656371234611</c:v>
                </c:pt>
                <c:pt idx="587">
                  <c:v>383.99499404313502</c:v>
                </c:pt>
                <c:pt idx="588">
                  <c:v>384.16922412574826</c:v>
                </c:pt>
                <c:pt idx="589">
                  <c:v>384.34364265529274</c:v>
                </c:pt>
                <c:pt idx="590">
                  <c:v>384.51261420723711</c:v>
                </c:pt>
                <c:pt idx="591">
                  <c:v>384.68740355171099</c:v>
                </c:pt>
                <c:pt idx="592">
                  <c:v>384.85673395681277</c:v>
                </c:pt>
                <c:pt idx="593">
                  <c:v>385.03189411621599</c:v>
                </c:pt>
                <c:pt idx="594">
                  <c:v>385.2072427225504</c:v>
                </c:pt>
                <c:pt idx="595">
                  <c:v>385.37144911789375</c:v>
                </c:pt>
                <c:pt idx="596">
                  <c:v>385.54716246022434</c:v>
                </c:pt>
                <c:pt idx="597">
                  <c:v>385.71738705680036</c:v>
                </c:pt>
                <c:pt idx="598">
                  <c:v>385.89347121406024</c:v>
                </c:pt>
                <c:pt idx="599">
                  <c:v>386.06405466379363</c:v>
                </c:pt>
                <c:pt idx="600">
                  <c:v>386.24050963598285</c:v>
                </c:pt>
                <c:pt idx="601">
                  <c:v>386.41715305510337</c:v>
                </c:pt>
                <c:pt idx="602">
                  <c:v>386.58827772599227</c:v>
                </c:pt>
                <c:pt idx="603">
                  <c:v>386.76529196004213</c:v>
                </c:pt>
                <c:pt idx="604">
                  <c:v>386.9367754840884</c:v>
                </c:pt>
                <c:pt idx="605">
                  <c:v>387.1141605330676</c:v>
                </c:pt>
                <c:pt idx="606">
                  <c:v>387.29173402897806</c:v>
                </c:pt>
                <c:pt idx="607">
                  <c:v>387.45228496718363</c:v>
                </c:pt>
                <c:pt idx="608">
                  <c:v>387.63021712015694</c:v>
                </c:pt>
                <c:pt idx="609">
                  <c:v>387.80258895283879</c:v>
                </c:pt>
                <c:pt idx="610">
                  <c:v>387.98089192074144</c:v>
                </c:pt>
                <c:pt idx="611">
                  <c:v>388.15362260658071</c:v>
                </c:pt>
                <c:pt idx="612">
                  <c:v>388.33229638941265</c:v>
                </c:pt>
                <c:pt idx="613">
                  <c:v>388.51115861917589</c:v>
                </c:pt>
                <c:pt idx="614">
                  <c:v>388.68443052617067</c:v>
                </c:pt>
                <c:pt idx="615">
                  <c:v>388.8636635708632</c:v>
                </c:pt>
                <c:pt idx="616">
                  <c:v>389.0372943310154</c:v>
                </c:pt>
                <c:pt idx="617">
                  <c:v>389.21689819063732</c:v>
                </c:pt>
                <c:pt idx="618">
                  <c:v>389.39669049719055</c:v>
                </c:pt>
                <c:pt idx="619">
                  <c:v>389.55924552242823</c:v>
                </c:pt>
                <c:pt idx="620">
                  <c:v>389.73939648604426</c:v>
                </c:pt>
                <c:pt idx="621">
                  <c:v>389.91391555483199</c:v>
                </c:pt>
                <c:pt idx="622">
                  <c:v>390.09443733337736</c:v>
                </c:pt>
                <c:pt idx="623">
                  <c:v>390.26931525532251</c:v>
                </c:pt>
                <c:pt idx="624">
                  <c:v>390.45020784879716</c:v>
                </c:pt>
                <c:pt idx="625">
                  <c:v>390.63128888920318</c:v>
                </c:pt>
                <c:pt idx="626">
                  <c:v>390.80670803230373</c:v>
                </c:pt>
                <c:pt idx="627">
                  <c:v>390.98815988763909</c:v>
                </c:pt>
                <c:pt idx="628">
                  <c:v>391.16393788389712</c:v>
                </c:pt>
                <c:pt idx="629">
                  <c:v>391.34576055416176</c:v>
                </c:pt>
                <c:pt idx="630">
                  <c:v>391.5277716713577</c:v>
                </c:pt>
                <c:pt idx="631">
                  <c:v>391.69233078362754</c:v>
                </c:pt>
                <c:pt idx="632">
                  <c:v>391.87470055788629</c:v>
                </c:pt>
                <c:pt idx="633">
                  <c:v>392.0513668627799</c:v>
                </c:pt>
                <c:pt idx="634">
                  <c:v>392.23410745196799</c:v>
                </c:pt>
                <c:pt idx="635">
                  <c:v>392.41113261001902</c:v>
                </c:pt>
                <c:pt idx="636">
                  <c:v>392.59424401413639</c:v>
                </c:pt>
                <c:pt idx="637">
                  <c:v>392.77754386518512</c:v>
                </c:pt>
                <c:pt idx="638">
                  <c:v>392.95511024439162</c:v>
                </c:pt>
                <c:pt idx="639">
                  <c:v>393.13878091036963</c:v>
                </c:pt>
                <c:pt idx="640">
                  <c:v>393.31670614273355</c:v>
                </c:pt>
                <c:pt idx="641">
                  <c:v>393.5007476236409</c:v>
                </c:pt>
                <c:pt idx="642">
                  <c:v>393.68497755147956</c:v>
                </c:pt>
                <c:pt idx="643">
                  <c:v>393.85749227984297</c:v>
                </c:pt>
                <c:pt idx="644">
                  <c:v>394.0420869436777</c:v>
                </c:pt>
                <c:pt idx="645">
                  <c:v>394.22090636751585</c:v>
                </c:pt>
                <c:pt idx="646">
                  <c:v>394.40587184627987</c:v>
                </c:pt>
                <c:pt idx="647">
                  <c:v>394.58505012327544</c:v>
                </c:pt>
                <c:pt idx="648">
                  <c:v>394.77038641696885</c:v>
                </c:pt>
                <c:pt idx="649">
                  <c:v>394.9559111575935</c:v>
                </c:pt>
                <c:pt idx="650">
                  <c:v>395.13563065574454</c:v>
                </c:pt>
                <c:pt idx="651">
                  <c:v>395.32152621129859</c:v>
                </c:pt>
                <c:pt idx="652">
                  <c:v>395.50160456260699</c:v>
                </c:pt>
                <c:pt idx="653">
                  <c:v>395.68787093309038</c:v>
                </c:pt>
                <c:pt idx="654">
                  <c:v>395.87432575050502</c:v>
                </c:pt>
                <c:pt idx="655">
                  <c:v>396.04289852748855</c:v>
                </c:pt>
                <c:pt idx="656">
                  <c:v>396.22971200196605</c:v>
                </c:pt>
                <c:pt idx="657">
                  <c:v>396.41067866191003</c:v>
                </c:pt>
                <c:pt idx="658">
                  <c:v>396.59786295131687</c:v>
                </c:pt>
                <c:pt idx="659">
                  <c:v>396.77918846441827</c:v>
                </c:pt>
                <c:pt idx="660">
                  <c:v>396.96674356875434</c:v>
                </c:pt>
                <c:pt idx="661">
                  <c:v>397.15448712002183</c:v>
                </c:pt>
                <c:pt idx="662">
                  <c:v>397.33635385427868</c:v>
                </c:pt>
                <c:pt idx="663">
                  <c:v>397.52446822047546</c:v>
                </c:pt>
                <c:pt idx="664">
                  <c:v>397.70669380788974</c:v>
                </c:pt>
                <c:pt idx="665">
                  <c:v>397.89517898901585</c:v>
                </c:pt>
                <c:pt idx="666">
                  <c:v>398.08385261707321</c:v>
                </c:pt>
                <c:pt idx="667">
                  <c:v>398.25442948108889</c:v>
                </c:pt>
                <c:pt idx="668">
                  <c:v>398.44346176620911</c:v>
                </c:pt>
                <c:pt idx="669">
                  <c:v>398.62657566225897</c:v>
                </c:pt>
                <c:pt idx="670">
                  <c:v>398.81597876230848</c:v>
                </c:pt>
                <c:pt idx="671">
                  <c:v>398.99945151151576</c:v>
                </c:pt>
                <c:pt idx="672">
                  <c:v>399.18922542649466</c:v>
                </c:pt>
                <c:pt idx="673">
                  <c:v>399.37918778840481</c:v>
                </c:pt>
                <c:pt idx="674">
                  <c:v>399.56320175876749</c:v>
                </c:pt>
                <c:pt idx="675">
                  <c:v>399.75353493560704</c:v>
                </c:pt>
                <c:pt idx="676">
                  <c:v>399.93790775912714</c:v>
                </c:pt>
                <c:pt idx="677">
                  <c:v>400.12861175089597</c:v>
                </c:pt>
                <c:pt idx="678">
                  <c:v>400.31950418959616</c:v>
                </c:pt>
                <c:pt idx="679">
                  <c:v>400.49208514064395</c:v>
                </c:pt>
                <c:pt idx="680">
                  <c:v>400.68333623640683</c:v>
                </c:pt>
                <c:pt idx="681">
                  <c:v>400.86859736856263</c:v>
                </c:pt>
                <c:pt idx="682">
                  <c:v>401.06021927925485</c:v>
                </c:pt>
                <c:pt idx="683">
                  <c:v>401.24583926456802</c:v>
                </c:pt>
                <c:pt idx="684">
                  <c:v>401.43783199018958</c:v>
                </c:pt>
                <c:pt idx="685">
                  <c:v>401.6300131627425</c:v>
                </c:pt>
                <c:pt idx="686">
                  <c:v>401.81617436921113</c:v>
                </c:pt>
                <c:pt idx="687">
                  <c:v>402.00872635669333</c:v>
                </c:pt>
                <c:pt idx="688">
                  <c:v>402.19524641631938</c:v>
                </c:pt>
                <c:pt idx="689">
                  <c:v>402.38816921873087</c:v>
                </c:pt>
                <c:pt idx="690">
                  <c:v>402.58128046807371</c:v>
                </c:pt>
                <c:pt idx="691">
                  <c:v>402.76210352945714</c:v>
                </c:pt>
                <c:pt idx="692">
                  <c:v>402.95557951479611</c:v>
                </c:pt>
                <c:pt idx="693">
                  <c:v>403.14299376589628</c:v>
                </c:pt>
                <c:pt idx="694">
                  <c:v>403.3368405661646</c:v>
                </c:pt>
                <c:pt idx="695">
                  <c:v>403.52461367042224</c:v>
                </c:pt>
                <c:pt idx="696">
                  <c:v>403.71883128561979</c:v>
                </c:pt>
                <c:pt idx="697">
                  <c:v>403.91323734774869</c:v>
                </c:pt>
                <c:pt idx="698">
                  <c:v>404.10155167316185</c:v>
                </c:pt>
                <c:pt idx="699">
                  <c:v>404.29632855022004</c:v>
                </c:pt>
                <c:pt idx="700">
                  <c:v>404.48500172879062</c:v>
                </c:pt>
                <c:pt idx="701">
                  <c:v>404.68014942077815</c:v>
                </c:pt>
                <c:pt idx="702">
                  <c:v>404.87548555969698</c:v>
                </c:pt>
                <c:pt idx="703">
                  <c:v>405.05208017545851</c:v>
                </c:pt>
                <c:pt idx="704">
                  <c:v>405.24777497144015</c:v>
                </c:pt>
                <c:pt idx="705">
                  <c:v>405.43733645864626</c:v>
                </c:pt>
                <c:pt idx="706">
                  <c:v>405.63340206955729</c:v>
                </c:pt>
                <c:pt idx="707">
                  <c:v>405.82332240992076</c:v>
                </c:pt>
                <c:pt idx="708">
                  <c:v>406.01975883576108</c:v>
                </c:pt>
                <c:pt idx="709">
                  <c:v>406.21638370853276</c:v>
                </c:pt>
                <c:pt idx="710">
                  <c:v>406.40684527005169</c:v>
                </c:pt>
                <c:pt idx="711">
                  <c:v>406.60384095775265</c:v>
                </c:pt>
                <c:pt idx="712">
                  <c:v>406.79466137242906</c:v>
                </c:pt>
                <c:pt idx="713">
                  <c:v>406.99202787505931</c:v>
                </c:pt>
                <c:pt idx="714">
                  <c:v>407.18958282462091</c:v>
                </c:pt>
                <c:pt idx="715">
                  <c:v>407.36818152741455</c:v>
                </c:pt>
                <c:pt idx="716">
                  <c:v>407.56609513403896</c:v>
                </c:pt>
                <c:pt idx="717">
                  <c:v>407.75780385735095</c:v>
                </c:pt>
                <c:pt idx="718">
                  <c:v>407.95608827890464</c:v>
                </c:pt>
                <c:pt idx="719">
                  <c:v>408.14815585537406</c:v>
                </c:pt>
                <c:pt idx="720">
                  <c:v>408.34681109185709</c:v>
                </c:pt>
                <c:pt idx="721">
                  <c:v>408.54565477527143</c:v>
                </c:pt>
                <c:pt idx="722">
                  <c:v>408.7382635728963</c:v>
                </c:pt>
                <c:pt idx="723">
                  <c:v>408.93747807123992</c:v>
                </c:pt>
                <c:pt idx="724">
                  <c:v>409.13044572202222</c:v>
                </c:pt>
                <c:pt idx="725">
                  <c:v>409.33003103529524</c:v>
                </c:pt>
                <c:pt idx="726">
                  <c:v>409.52980479549956</c:v>
                </c:pt>
                <c:pt idx="727">
                  <c:v>409.71040758532536</c:v>
                </c:pt>
                <c:pt idx="728">
                  <c:v>409.91054000259248</c:v>
                </c:pt>
                <c:pt idx="729">
                  <c:v>410.1043959620103</c:v>
                </c:pt>
                <c:pt idx="730">
                  <c:v>410.30489919420671</c:v>
                </c:pt>
                <c:pt idx="731">
                  <c:v>410.49911400678201</c:v>
                </c:pt>
                <c:pt idx="732">
                  <c:v>410.69998805390776</c:v>
                </c:pt>
                <c:pt idx="733">
                  <c:v>410.90105054796481</c:v>
                </c:pt>
                <c:pt idx="734">
                  <c:v>411.09580658169557</c:v>
                </c:pt>
                <c:pt idx="735">
                  <c:v>411.29723989068202</c:v>
                </c:pt>
                <c:pt idx="736">
                  <c:v>411.49235477757014</c:v>
                </c:pt>
                <c:pt idx="737">
                  <c:v>411.69415890148588</c:v>
                </c:pt>
                <c:pt idx="738">
                  <c:v>411.89615147233292</c:v>
                </c:pt>
                <c:pt idx="739">
                  <c:v>412.08528286673641</c:v>
                </c:pt>
                <c:pt idx="740">
                  <c:v>412.28764017357946</c:v>
                </c:pt>
                <c:pt idx="741">
                  <c:v>412.48364925194181</c:v>
                </c:pt>
                <c:pt idx="742">
                  <c:v>412.68637737371427</c:v>
                </c:pt>
                <c:pt idx="743">
                  <c:v>412.88274530523404</c:v>
                </c:pt>
                <c:pt idx="744">
                  <c:v>413.08584424193583</c:v>
                </c:pt>
                <c:pt idx="745">
                  <c:v>413.28913162556893</c:v>
                </c:pt>
                <c:pt idx="746">
                  <c:v>413.48604077824416</c:v>
                </c:pt>
                <c:pt idx="747">
                  <c:v>413.68969897680654</c:v>
                </c:pt>
                <c:pt idx="748">
                  <c:v>413.88696698263919</c:v>
                </c:pt>
                <c:pt idx="749">
                  <c:v>414.09099599613091</c:v>
                </c:pt>
                <c:pt idx="750">
                  <c:v>414.29521345655394</c:v>
                </c:pt>
                <c:pt idx="751">
                  <c:v>414.47982991109342</c:v>
                </c:pt>
                <c:pt idx="752">
                  <c:v>414.6844060285793</c:v>
                </c:pt>
                <c:pt idx="753">
                  <c:v>414.88256234304754</c:v>
                </c:pt>
                <c:pt idx="754">
                  <c:v>415.08750927546271</c:v>
                </c:pt>
                <c:pt idx="755">
                  <c:v>415.28602444308831</c:v>
                </c:pt>
                <c:pt idx="756">
                  <c:v>415.49134219043282</c:v>
                </c:pt>
                <c:pt idx="757">
                  <c:v>415.69684838470857</c:v>
                </c:pt>
                <c:pt idx="758">
                  <c:v>415.89590477348975</c:v>
                </c:pt>
                <c:pt idx="759">
                  <c:v>416.10178178269484</c:v>
                </c:pt>
                <c:pt idx="760">
                  <c:v>416.30119702463338</c:v>
                </c:pt>
                <c:pt idx="761">
                  <c:v>416.50744484876782</c:v>
                </c:pt>
                <c:pt idx="762">
                  <c:v>416.71388111983362</c:v>
                </c:pt>
                <c:pt idx="763">
                  <c:v>416.90050166140526</c:v>
                </c:pt>
                <c:pt idx="764">
                  <c:v>417.1072965895338</c:v>
                </c:pt>
                <c:pt idx="765">
                  <c:v>417.30760014010787</c:v>
                </c:pt>
                <c:pt idx="766">
                  <c:v>417.51476588316581</c:v>
                </c:pt>
                <c:pt idx="767">
                  <c:v>417.71542828689735</c:v>
                </c:pt>
                <c:pt idx="768">
                  <c:v>417.92296484488452</c:v>
                </c:pt>
                <c:pt idx="769">
                  <c:v>418.13068984980305</c:v>
                </c:pt>
                <c:pt idx="770">
                  <c:v>418.33189347469005</c:v>
                </c:pt>
                <c:pt idx="771">
                  <c:v>418.53998929453792</c:v>
                </c:pt>
                <c:pt idx="772">
                  <c:v>418.74155177258228</c:v>
                </c:pt>
                <c:pt idx="773">
                  <c:v>418.95001840735949</c:v>
                </c:pt>
                <c:pt idx="774">
                  <c:v>419.15867348906795</c:v>
                </c:pt>
                <c:pt idx="775">
                  <c:v>419.34729811767176</c:v>
                </c:pt>
                <c:pt idx="776">
                  <c:v>419.55631185644307</c:v>
                </c:pt>
                <c:pt idx="777">
                  <c:v>419.75876264312302</c:v>
                </c:pt>
                <c:pt idx="778">
                  <c:v>419.96814719682362</c:v>
                </c:pt>
                <c:pt idx="779">
                  <c:v>420.17095683666105</c:v>
                </c:pt>
                <c:pt idx="780">
                  <c:v>420.38071220529099</c:v>
                </c:pt>
                <c:pt idx="781">
                  <c:v>420.59065602085224</c:v>
                </c:pt>
                <c:pt idx="782">
                  <c:v>420.79400688184506</c:v>
                </c:pt>
                <c:pt idx="783">
                  <c:v>421.00432151233565</c:v>
                </c:pt>
                <c:pt idx="784">
                  <c:v>421.2080312264859</c:v>
                </c:pt>
                <c:pt idx="785">
                  <c:v>421.41871667190583</c:v>
                </c:pt>
                <c:pt idx="786">
                  <c:v>421.62959056425711</c:v>
                </c:pt>
                <c:pt idx="787">
                  <c:v>421.82703029168056</c:v>
                </c:pt>
                <c:pt idx="788">
                  <c:v>422.03826892002786</c:v>
                </c:pt>
                <c:pt idx="789">
                  <c:v>422.24287282565234</c:v>
                </c:pt>
                <c:pt idx="790">
                  <c:v>422.45448226892898</c:v>
                </c:pt>
                <c:pt idx="791">
                  <c:v>422.65944502771083</c:v>
                </c:pt>
                <c:pt idx="792">
                  <c:v>422.87142528591681</c:v>
                </c:pt>
                <c:pt idx="793">
                  <c:v>423.0835939910541</c:v>
                </c:pt>
                <c:pt idx="794">
                  <c:v>423.28909797099141</c:v>
                </c:pt>
                <c:pt idx="795">
                  <c:v>423.50163749105803</c:v>
                </c:pt>
                <c:pt idx="796">
                  <c:v>423.70750032415282</c:v>
                </c:pt>
                <c:pt idx="797">
                  <c:v>423.92041065914867</c:v>
                </c:pt>
                <c:pt idx="798">
                  <c:v>424.13350944107594</c:v>
                </c:pt>
                <c:pt idx="799">
                  <c:v>424.32614773439337</c:v>
                </c:pt>
                <c:pt idx="800">
                  <c:v>424.53960517338345</c:v>
                </c:pt>
                <c:pt idx="801">
                  <c:v>424.74635631511376</c:v>
                </c:pt>
                <c:pt idx="802">
                  <c:v>424.96018456903312</c:v>
                </c:pt>
                <c:pt idx="803">
                  <c:v>425.1672945639209</c:v>
                </c:pt>
                <c:pt idx="804">
                  <c:v>425.38149363276955</c:v>
                </c:pt>
                <c:pt idx="805">
                  <c:v>425.59588114854955</c:v>
                </c:pt>
                <c:pt idx="806">
                  <c:v>425.80353236459274</c:v>
                </c:pt>
                <c:pt idx="807">
                  <c:v>426.01829069530208</c:v>
                </c:pt>
                <c:pt idx="808">
                  <c:v>426.2263007645027</c:v>
                </c:pt>
                <c:pt idx="809">
                  <c:v>426.44142991014138</c:v>
                </c:pt>
                <c:pt idx="810">
                  <c:v>426.65674750271131</c:v>
                </c:pt>
                <c:pt idx="811">
                  <c:v>426.85138988306096</c:v>
                </c:pt>
                <c:pt idx="812">
                  <c:v>427.06706613269364</c:v>
                </c:pt>
                <c:pt idx="813">
                  <c:v>427.27596451052989</c:v>
                </c:pt>
                <c:pt idx="814">
                  <c:v>427.49201157509196</c:v>
                </c:pt>
                <c:pt idx="815">
                  <c:v>427.70126880608558</c:v>
                </c:pt>
                <c:pt idx="816">
                  <c:v>427.917686685577</c:v>
                </c:pt>
                <c:pt idx="817">
                  <c:v>428.13429301199972</c:v>
                </c:pt>
                <c:pt idx="818">
                  <c:v>428.34409146414879</c:v>
                </c:pt>
                <c:pt idx="819">
                  <c:v>428.56106860550085</c:v>
                </c:pt>
                <c:pt idx="820">
                  <c:v>428.7712259108074</c:v>
                </c:pt>
                <c:pt idx="821">
                  <c:v>428.98857386708875</c:v>
                </c:pt>
                <c:pt idx="822">
                  <c:v>429.20611027030145</c:v>
                </c:pt>
                <c:pt idx="823">
                  <c:v>429.40275673768315</c:v>
                </c:pt>
                <c:pt idx="824">
                  <c:v>429.62065179795866</c:v>
                </c:pt>
                <c:pt idx="825">
                  <c:v>429.83169741190073</c:v>
                </c:pt>
                <c:pt idx="826">
                  <c:v>430.04996328710553</c:v>
                </c:pt>
                <c:pt idx="827">
                  <c:v>430.26136775420503</c:v>
                </c:pt>
                <c:pt idx="828">
                  <c:v>430.48000444433916</c:v>
                </c:pt>
                <c:pt idx="829">
                  <c:v>430.69882958140465</c:v>
                </c:pt>
                <c:pt idx="830">
                  <c:v>430.91077526965955</c:v>
                </c:pt>
                <c:pt idx="831">
                  <c:v>431.12997122165439</c:v>
                </c:pt>
                <c:pt idx="832">
                  <c:v>431.34227576306671</c:v>
                </c:pt>
                <c:pt idx="833">
                  <c:v>431.56184252999083</c:v>
                </c:pt>
                <c:pt idx="834">
                  <c:v>431.78159774384619</c:v>
                </c:pt>
                <c:pt idx="835">
                  <c:v>431.98734580428976</c:v>
                </c:pt>
                <c:pt idx="836">
                  <c:v>432.20746575414125</c:v>
                </c:pt>
                <c:pt idx="837">
                  <c:v>432.42066448702786</c:v>
                </c:pt>
                <c:pt idx="838">
                  <c:v>432.64115525180864</c:v>
                </c:pt>
                <c:pt idx="839">
                  <c:v>432.85471283785267</c:v>
                </c:pt>
                <c:pt idx="840">
                  <c:v>433.07557441756285</c:v>
                </c:pt>
                <c:pt idx="841">
                  <c:v>433.29662444420421</c:v>
                </c:pt>
                <c:pt idx="842">
                  <c:v>433.51072325140376</c:v>
                </c:pt>
                <c:pt idx="843">
                  <c:v>433.73214409297452</c:v>
                </c:pt>
                <c:pt idx="844">
                  <c:v>433.94660175333138</c:v>
                </c:pt>
                <c:pt idx="845">
                  <c:v>434.16839340983148</c:v>
                </c:pt>
                <c:pt idx="846">
                  <c:v>434.39037351326294</c:v>
                </c:pt>
                <c:pt idx="847">
                  <c:v>434.59103364535838</c:v>
                </c:pt>
                <c:pt idx="848">
                  <c:v>434.81337240585253</c:v>
                </c:pt>
                <c:pt idx="849">
                  <c:v>435.02871837484497</c:v>
                </c:pt>
                <c:pt idx="850">
                  <c:v>435.25142795026858</c:v>
                </c:pt>
                <c:pt idx="851">
                  <c:v>435.46713277241844</c:v>
                </c:pt>
                <c:pt idx="852">
                  <c:v>435.69021316277127</c:v>
                </c:pt>
                <c:pt idx="853">
                  <c:v>435.91348200005547</c:v>
                </c:pt>
                <c:pt idx="854">
                  <c:v>436.12972804336079</c:v>
                </c:pt>
                <c:pt idx="855">
                  <c:v>436.35336769557432</c:v>
                </c:pt>
                <c:pt idx="856">
                  <c:v>436.56997259203706</c:v>
                </c:pt>
                <c:pt idx="857">
                  <c:v>436.79398305917988</c:v>
                </c:pt>
                <c:pt idx="858">
                  <c:v>437.018181973254</c:v>
                </c:pt>
                <c:pt idx="859">
                  <c:v>437.2208461923816</c:v>
                </c:pt>
                <c:pt idx="860">
                  <c:v>437.44540376351858</c:v>
                </c:pt>
                <c:pt idx="861">
                  <c:v>437.66289696861691</c:v>
                </c:pt>
                <c:pt idx="862">
                  <c:v>437.88782535468312</c:v>
                </c:pt>
                <c:pt idx="863">
                  <c:v>438.10567741293892</c:v>
                </c:pt>
                <c:pt idx="864">
                  <c:v>438.33097661393447</c:v>
                </c:pt>
                <c:pt idx="865">
                  <c:v>438.55646426186138</c:v>
                </c:pt>
                <c:pt idx="866">
                  <c:v>438.77485754127258</c:v>
                </c:pt>
                <c:pt idx="867">
                  <c:v>439.00071600412883</c:v>
                </c:pt>
                <c:pt idx="868">
                  <c:v>439.2194681366974</c:v>
                </c:pt>
                <c:pt idx="869">
                  <c:v>439.44569741448299</c:v>
                </c:pt>
                <c:pt idx="870">
                  <c:v>439.67211513919989</c:v>
                </c:pt>
                <c:pt idx="871">
                  <c:v>439.87678344535959</c:v>
                </c:pt>
                <c:pt idx="872">
                  <c:v>440.10355982713924</c:v>
                </c:pt>
                <c:pt idx="873">
                  <c:v>440.32320026834344</c:v>
                </c:pt>
                <c:pt idx="874">
                  <c:v>440.55034746505248</c:v>
                </c:pt>
                <c:pt idx="875">
                  <c:v>440.77034675941405</c:v>
                </c:pt>
                <c:pt idx="876">
                  <c:v>440.99786477105238</c:v>
                </c:pt>
                <c:pt idx="877">
                  <c:v>441.22557122962201</c:v>
                </c:pt>
                <c:pt idx="878">
                  <c:v>441.44611174513909</c:v>
                </c:pt>
                <c:pt idx="879">
                  <c:v>441.67418901863806</c:v>
                </c:pt>
                <c:pt idx="880">
                  <c:v>441.89508838731251</c:v>
                </c:pt>
                <c:pt idx="881">
                  <c:v>442.12353647574082</c:v>
                </c:pt>
                <c:pt idx="882">
                  <c:v>442.35217301110043</c:v>
                </c:pt>
                <c:pt idx="883">
                  <c:v>442.56622940456401</c:v>
                </c:pt>
                <c:pt idx="884">
                  <c:v>442.7952306759197</c:v>
                </c:pt>
                <c:pt idx="885">
                  <c:v>443.01702423606832</c:v>
                </c:pt>
                <c:pt idx="886">
                  <c:v>443.24639632235335</c:v>
                </c:pt>
                <c:pt idx="887">
                  <c:v>443.46854873565951</c:v>
                </c:pt>
                <c:pt idx="888">
                  <c:v>443.69829163687382</c:v>
                </c:pt>
                <c:pt idx="889">
                  <c:v>443.92822298501949</c:v>
                </c:pt>
                <c:pt idx="890">
                  <c:v>444.15091661948105</c:v>
                </c:pt>
                <c:pt idx="891">
                  <c:v>444.381218782556</c:v>
                </c:pt>
                <c:pt idx="892">
                  <c:v>444.60427127017499</c:v>
                </c:pt>
                <c:pt idx="893">
                  <c:v>444.83494424817934</c:v>
                </c:pt>
                <c:pt idx="894">
                  <c:v>445.06580567311488</c:v>
                </c:pt>
                <c:pt idx="895">
                  <c:v>445.27448764398832</c:v>
                </c:pt>
                <c:pt idx="896">
                  <c:v>445.50570772598667</c:v>
                </c:pt>
                <c:pt idx="897">
                  <c:v>445.72964852224123</c:v>
                </c:pt>
                <c:pt idx="898">
                  <c:v>445.96123941916903</c:v>
                </c:pt>
                <c:pt idx="899">
                  <c:v>446.18553906858097</c:v>
                </c:pt>
                <c:pt idx="900">
                  <c:v>446.41750078043805</c:v>
                </c:pt>
                <c:pt idx="901">
                  <c:v>446.64965093922643</c:v>
                </c:pt>
                <c:pt idx="902">
                  <c:v>446.87449180979382</c:v>
                </c:pt>
                <c:pt idx="903">
                  <c:v>447.10701278351155</c:v>
                </c:pt>
                <c:pt idx="904">
                  <c:v>447.33221250723642</c:v>
                </c:pt>
                <c:pt idx="905">
                  <c:v>447.56510429588343</c:v>
                </c:pt>
                <c:pt idx="906">
                  <c:v>447.79818453146174</c:v>
                </c:pt>
                <c:pt idx="907">
                  <c:v>448.00887058936729</c:v>
                </c:pt>
                <c:pt idx="908">
                  <c:v>448.24230948200841</c:v>
                </c:pt>
                <c:pt idx="909">
                  <c:v>448.46839751436886</c:v>
                </c:pt>
                <c:pt idx="910">
                  <c:v>448.70220722193932</c:v>
                </c:pt>
                <c:pt idx="911">
                  <c:v>448.92865410745719</c:v>
                </c:pt>
                <c:pt idx="912">
                  <c:v>449.16283462995693</c:v>
                </c:pt>
                <c:pt idx="913">
                  <c:v>449.39720359938804</c:v>
                </c:pt>
                <c:pt idx="914">
                  <c:v>449.62419170606137</c:v>
                </c:pt>
                <c:pt idx="915">
                  <c:v>449.85893149042175</c:v>
                </c:pt>
                <c:pt idx="916">
                  <c:v>450.08627845025251</c:v>
                </c:pt>
                <c:pt idx="917">
                  <c:v>450.32138904954229</c:v>
                </c:pt>
                <c:pt idx="918">
                  <c:v>450.55668809576332</c:v>
                </c:pt>
                <c:pt idx="919">
                  <c:v>450.76937824070097</c:v>
                </c:pt>
                <c:pt idx="920">
                  <c:v>451.00503594398486</c:v>
                </c:pt>
                <c:pt idx="921">
                  <c:v>451.2332712124512</c:v>
                </c:pt>
                <c:pt idx="922">
                  <c:v>451.46929973066437</c:v>
                </c:pt>
                <c:pt idx="923">
                  <c:v>451.69789385228808</c:v>
                </c:pt>
                <c:pt idx="924">
                  <c:v>451.93429318543059</c:v>
                </c:pt>
                <c:pt idx="925">
                  <c:v>452.17088096550441</c:v>
                </c:pt>
                <c:pt idx="926">
                  <c:v>452.40001630828357</c:v>
                </c:pt>
                <c:pt idx="927">
                  <c:v>452.63697490328673</c:v>
                </c:pt>
                <c:pt idx="928">
                  <c:v>452.86646909922337</c:v>
                </c:pt>
                <c:pt idx="929">
                  <c:v>453.10379850915581</c:v>
                </c:pt>
                <c:pt idx="930">
                  <c:v>453.34131636601961</c:v>
                </c:pt>
                <c:pt idx="931">
                  <c:v>453.56368109250326</c:v>
                </c:pt>
                <c:pt idx="932">
                  <c:v>453.80156368536308</c:v>
                </c:pt>
                <c:pt idx="933">
                  <c:v>454.03195207277395</c:v>
                </c:pt>
                <c:pt idx="934">
                  <c:v>454.27020548056311</c:v>
                </c:pt>
                <c:pt idx="935">
                  <c:v>454.50095272113134</c:v>
                </c:pt>
                <c:pt idx="936">
                  <c:v>454.73957694384984</c:v>
                </c:pt>
                <c:pt idx="937">
                  <c:v>454.97838961349964</c:v>
                </c:pt>
                <c:pt idx="938">
                  <c:v>455.20967807522339</c:v>
                </c:pt>
                <c:pt idx="939">
                  <c:v>455.44886155980248</c:v>
                </c:pt>
                <c:pt idx="940">
                  <c:v>455.6805088746836</c:v>
                </c:pt>
                <c:pt idx="941">
                  <c:v>455.92006317419208</c:v>
                </c:pt>
                <c:pt idx="942">
                  <c:v>456.15980592063187</c:v>
                </c:pt>
                <c:pt idx="943">
                  <c:v>456.37650973028326</c:v>
                </c:pt>
                <c:pt idx="944">
                  <c:v>456.61661113378585</c:v>
                </c:pt>
                <c:pt idx="945">
                  <c:v>456.84914675730255</c:v>
                </c:pt>
                <c:pt idx="946">
                  <c:v>457.08961897573442</c:v>
                </c:pt>
                <c:pt idx="947">
                  <c:v>457.32251345240854</c:v>
                </c:pt>
                <c:pt idx="948">
                  <c:v>457.56335648576982</c:v>
                </c:pt>
                <c:pt idx="949">
                  <c:v>457.80438796606234</c:v>
                </c:pt>
                <c:pt idx="950">
                  <c:v>458.03782366389191</c:v>
                </c:pt>
                <c:pt idx="951">
                  <c:v>458.27922595911377</c:v>
                </c:pt>
                <c:pt idx="952">
                  <c:v>458.51302051010072</c:v>
                </c:pt>
                <c:pt idx="953">
                  <c:v>458.75479362025197</c:v>
                </c:pt>
                <c:pt idx="954">
                  <c:v>458.99675517733448</c:v>
                </c:pt>
                <c:pt idx="955">
                  <c:v>459.21546307401798</c:v>
                </c:pt>
                <c:pt idx="956">
                  <c:v>459.45778328816328</c:v>
                </c:pt>
                <c:pt idx="957">
                  <c:v>459.69246614778581</c:v>
                </c:pt>
                <c:pt idx="958">
                  <c:v>459.93515717686051</c:v>
                </c:pt>
                <c:pt idx="959">
                  <c:v>460.17019888964046</c:v>
                </c:pt>
                <c:pt idx="960">
                  <c:v>460.41326073364445</c:v>
                </c:pt>
                <c:pt idx="961">
                  <c:v>460.65651102457969</c:v>
                </c:pt>
                <c:pt idx="962">
                  <c:v>460.89209395851515</c:v>
                </c:pt>
                <c:pt idx="963">
                  <c:v>461.13571506437972</c:v>
                </c:pt>
                <c:pt idx="964">
                  <c:v>461.37165685147261</c:v>
                </c:pt>
                <c:pt idx="965">
                  <c:v>461.61564877226658</c:v>
                </c:pt>
                <c:pt idx="966">
                  <c:v>461.8598291399918</c:v>
                </c:pt>
                <c:pt idx="967">
                  <c:v>462.08054112370746</c:v>
                </c:pt>
                <c:pt idx="968">
                  <c:v>462.32508014849549</c:v>
                </c:pt>
                <c:pt idx="969">
                  <c:v>462.5619102442239</c:v>
                </c:pt>
                <c:pt idx="970">
                  <c:v>462.80682008394126</c:v>
                </c:pt>
                <c:pt idx="971">
                  <c:v>463.04400903282715</c:v>
                </c:pt>
                <c:pt idx="972">
                  <c:v>463.2892896874738</c:v>
                </c:pt>
                <c:pt idx="973">
                  <c:v>463.53475878905181</c:v>
                </c:pt>
                <c:pt idx="974">
                  <c:v>463.7724889590931</c:v>
                </c:pt>
                <c:pt idx="975">
                  <c:v>464.01832887560045</c:v>
                </c:pt>
                <c:pt idx="976">
                  <c:v>464.25641789879916</c:v>
                </c:pt>
                <c:pt idx="977">
                  <c:v>464.50262863023579</c:v>
                </c:pt>
                <c:pt idx="978">
                  <c:v>464.74902780860384</c:v>
                </c:pt>
                <c:pt idx="979">
                  <c:v>464.9797008681075</c:v>
                </c:pt>
                <c:pt idx="980">
                  <c:v>465.22646478247145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5-4DAA-83A1-155ECFDEF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001680"/>
        <c:axId val="346017904"/>
      </c:lineChart>
      <c:dateAx>
        <c:axId val="346001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017904"/>
        <c:crosses val="autoZero"/>
        <c:auto val="1"/>
        <c:lblOffset val="100"/>
        <c:baseTimeUnit val="months"/>
      </c:dateAx>
      <c:valAx>
        <c:axId val="346017904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00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 (2)'!$H$1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4359-86BE-CB99C57CB97A}"/>
            </c:ext>
          </c:extLst>
        </c:ser>
        <c:ser>
          <c:idx val="1"/>
          <c:order val="1"/>
          <c:tx>
            <c:strRef>
              <c:f>'2次多項式モデル (2)'!$L$1</c:f>
              <c:strCache>
                <c:ptCount val="1"/>
                <c:pt idx="0">
                  <c:v>TS(t)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(2)'!$L$2:$L$982</c:f>
              <c:numCache>
                <c:formatCode>0.00_ ;[Red]\-0.00\ </c:formatCode>
                <c:ptCount val="981"/>
                <c:pt idx="0">
                  <c:v>315.98492066776248</c:v>
                </c:pt>
                <c:pt idx="1">
                  <c:v>317.28616216269108</c:v>
                </c:pt>
                <c:pt idx="2">
                  <c:v>317.80432193699284</c:v>
                </c:pt>
                <c:pt idx="3">
                  <c:v>315.59058103292642</c:v>
                </c:pt>
                <c:pt idx="4">
                  <c:v>313.53511831013014</c:v>
                </c:pt>
                <c:pt idx="5">
                  <c:v>311.80481687765644</c:v>
                </c:pt>
                <c:pt idx="6">
                  <c:v>313.06881790907391</c:v>
                </c:pt>
                <c:pt idx="7">
                  <c:v>314.30070101812646</c:v>
                </c:pt>
                <c:pt idx="8">
                  <c:v>315.31943184371727</c:v>
                </c:pt>
                <c:pt idx="9">
                  <c:v>316.01916055697615</c:v>
                </c:pt>
                <c:pt idx="10">
                  <c:v>316.75859075033731</c:v>
                </c:pt>
                <c:pt idx="11">
                  <c:v>318.06205105590863</c:v>
                </c:pt>
                <c:pt idx="12">
                  <c:v>318.5823580663162</c:v>
                </c:pt>
                <c:pt idx="13">
                  <c:v>317.93073479701832</c:v>
                </c:pt>
                <c:pt idx="14">
                  <c:v>316.37298320899839</c:v>
                </c:pt>
                <c:pt idx="15">
                  <c:v>314.31973929684483</c:v>
                </c:pt>
                <c:pt idx="16">
                  <c:v>312.59165667501389</c:v>
                </c:pt>
                <c:pt idx="17">
                  <c:v>312.51415751175762</c:v>
                </c:pt>
                <c:pt idx="18">
                  <c:v>313.86002375317997</c:v>
                </c:pt>
                <c:pt idx="19">
                  <c:v>315.09405409833835</c:v>
                </c:pt>
                <c:pt idx="20">
                  <c:v>316.11500373457187</c:v>
                </c:pt>
                <c:pt idx="21">
                  <c:v>316.81695125847347</c:v>
                </c:pt>
                <c:pt idx="22">
                  <c:v>317.56061264278122</c:v>
                </c:pt>
                <c:pt idx="23">
                  <c:v>318.86629783792853</c:v>
                </c:pt>
                <c:pt idx="24">
                  <c:v>319.38875796728064</c:v>
                </c:pt>
                <c:pt idx="25">
                  <c:v>318.73935958755874</c:v>
                </c:pt>
                <c:pt idx="26">
                  <c:v>317.18376111848335</c:v>
                </c:pt>
                <c:pt idx="27">
                  <c:v>315.13274209590577</c:v>
                </c:pt>
                <c:pt idx="28">
                  <c:v>313.40688436365082</c:v>
                </c:pt>
                <c:pt idx="29">
                  <c:v>313.33153831933907</c:v>
                </c:pt>
                <c:pt idx="30">
                  <c:v>314.67962945033742</c:v>
                </c:pt>
                <c:pt idx="31">
                  <c:v>315.91581291444027</c:v>
                </c:pt>
                <c:pt idx="32">
                  <c:v>316.93898744024983</c:v>
                </c:pt>
                <c:pt idx="33">
                  <c:v>317.64315985372747</c:v>
                </c:pt>
                <c:pt idx="34">
                  <c:v>318.38660371180231</c:v>
                </c:pt>
                <c:pt idx="35">
                  <c:v>319.69450771759233</c:v>
                </c:pt>
                <c:pt idx="36">
                  <c:v>320.21911508305033</c:v>
                </c:pt>
                <c:pt idx="37">
                  <c:v>319.57193551397114</c:v>
                </c:pt>
                <c:pt idx="38">
                  <c:v>318.01848428100163</c:v>
                </c:pt>
                <c:pt idx="39">
                  <c:v>315.96968406906677</c:v>
                </c:pt>
                <c:pt idx="40">
                  <c:v>314.24604514745454</c:v>
                </c:pt>
                <c:pt idx="41">
                  <c:v>314.17284633924868</c:v>
                </c:pt>
                <c:pt idx="42">
                  <c:v>315.52315628088974</c:v>
                </c:pt>
                <c:pt idx="43">
                  <c:v>316.76148698109847</c:v>
                </c:pt>
                <c:pt idx="44">
                  <c:v>317.78688031755075</c:v>
                </c:pt>
                <c:pt idx="45">
                  <c:v>318.49327154167111</c:v>
                </c:pt>
                <c:pt idx="46">
                  <c:v>319.23871948677811</c:v>
                </c:pt>
                <c:pt idx="47">
                  <c:v>320.54884230321085</c:v>
                </c:pt>
                <c:pt idx="48">
                  <c:v>321.07559690477473</c:v>
                </c:pt>
                <c:pt idx="49">
                  <c:v>320.43063614633826</c:v>
                </c:pt>
                <c:pt idx="50">
                  <c:v>318.87933214947464</c:v>
                </c:pt>
                <c:pt idx="51">
                  <c:v>316.83275074818249</c:v>
                </c:pt>
                <c:pt idx="52">
                  <c:v>315.11133063721297</c:v>
                </c:pt>
                <c:pt idx="53">
                  <c:v>315.040279065113</c:v>
                </c:pt>
                <c:pt idx="54">
                  <c:v>316.39280781739677</c:v>
                </c:pt>
                <c:pt idx="55">
                  <c:v>317.63328575371139</c:v>
                </c:pt>
                <c:pt idx="56">
                  <c:v>318.66089790080639</c:v>
                </c:pt>
                <c:pt idx="57">
                  <c:v>319.36950793556946</c:v>
                </c:pt>
                <c:pt idx="58">
                  <c:v>320.11695996770857</c:v>
                </c:pt>
                <c:pt idx="59">
                  <c:v>321.42930159478408</c:v>
                </c:pt>
                <c:pt idx="60">
                  <c:v>321.95820343245379</c:v>
                </c:pt>
                <c:pt idx="61">
                  <c:v>321.31546148466009</c:v>
                </c:pt>
                <c:pt idx="62">
                  <c:v>319.76630472390235</c:v>
                </c:pt>
                <c:pt idx="63">
                  <c:v>317.72194213325292</c:v>
                </c:pt>
                <c:pt idx="64">
                  <c:v>316.00274083292618</c:v>
                </c:pt>
                <c:pt idx="65">
                  <c:v>315.93383649693203</c:v>
                </c:pt>
                <c:pt idx="66">
                  <c:v>317.28858405985852</c:v>
                </c:pt>
                <c:pt idx="67">
                  <c:v>318.53120923227902</c:v>
                </c:pt>
                <c:pt idx="68">
                  <c:v>319.5610401900168</c:v>
                </c:pt>
                <c:pt idx="69">
                  <c:v>322.86946022601609</c:v>
                </c:pt>
                <c:pt idx="70">
                  <c:v>322.22894316779838</c:v>
                </c:pt>
                <c:pt idx="71">
                  <c:v>320.68193952598511</c:v>
                </c:pt>
                <c:pt idx="72">
                  <c:v>318.63980182491167</c:v>
                </c:pt>
                <c:pt idx="73">
                  <c:v>316.92282541416091</c:v>
                </c:pt>
                <c:pt idx="74">
                  <c:v>316.8560741971113</c:v>
                </c:pt>
                <c:pt idx="75">
                  <c:v>318.21304664961377</c:v>
                </c:pt>
                <c:pt idx="76">
                  <c:v>319.45782494097881</c:v>
                </c:pt>
                <c:pt idx="77">
                  <c:v>320.48988078829257</c:v>
                </c:pt>
                <c:pt idx="78">
                  <c:v>321.20293452327434</c:v>
                </c:pt>
                <c:pt idx="79">
                  <c:v>321.95440022012713</c:v>
                </c:pt>
                <c:pt idx="80">
                  <c:v>323.2711855474214</c:v>
                </c:pt>
                <c:pt idx="81">
                  <c:v>323.80438774014146</c:v>
                </c:pt>
                <c:pt idx="82">
                  <c:v>323.16608949256653</c:v>
                </c:pt>
                <c:pt idx="83">
                  <c:v>321.62123308685909</c:v>
                </c:pt>
                <c:pt idx="84">
                  <c:v>319.58131419642842</c:v>
                </c:pt>
                <c:pt idx="85">
                  <c:v>317.86655659632038</c:v>
                </c:pt>
                <c:pt idx="86">
                  <c:v>317.80195261537659</c:v>
                </c:pt>
                <c:pt idx="87">
                  <c:v>319.16114387852184</c:v>
                </c:pt>
                <c:pt idx="88">
                  <c:v>320.40806940599271</c:v>
                </c:pt>
                <c:pt idx="89">
                  <c:v>321.44234406394918</c:v>
                </c:pt>
                <c:pt idx="90">
                  <c:v>322.15761660957372</c:v>
                </c:pt>
                <c:pt idx="91">
                  <c:v>322.91108639345867</c:v>
                </c:pt>
                <c:pt idx="92">
                  <c:v>324.23009053139566</c:v>
                </c:pt>
                <c:pt idx="93">
                  <c:v>324.76543996022161</c:v>
                </c:pt>
                <c:pt idx="94">
                  <c:v>324.12936052328934</c:v>
                </c:pt>
                <c:pt idx="95">
                  <c:v>322.58665135368778</c:v>
                </c:pt>
                <c:pt idx="96">
                  <c:v>320.54895127389989</c:v>
                </c:pt>
                <c:pt idx="97">
                  <c:v>318.83641248443456</c:v>
                </c:pt>
                <c:pt idx="98">
                  <c:v>318.77395573959666</c:v>
                </c:pt>
                <c:pt idx="99">
                  <c:v>320.13536581338462</c:v>
                </c:pt>
                <c:pt idx="100">
                  <c:v>321.38443857696137</c:v>
                </c:pt>
                <c:pt idx="101">
                  <c:v>322.42093204556056</c:v>
                </c:pt>
                <c:pt idx="102">
                  <c:v>323.13842340182782</c:v>
                </c:pt>
                <c:pt idx="103">
                  <c:v>323.89389727274494</c:v>
                </c:pt>
                <c:pt idx="104">
                  <c:v>325.21512022132464</c:v>
                </c:pt>
                <c:pt idx="105">
                  <c:v>325.75261688625642</c:v>
                </c:pt>
                <c:pt idx="106">
                  <c:v>325.11875625996691</c:v>
                </c:pt>
                <c:pt idx="107">
                  <c:v>323.57819432647125</c:v>
                </c:pt>
                <c:pt idx="108">
                  <c:v>321.54271305732601</c:v>
                </c:pt>
                <c:pt idx="109">
                  <c:v>319.83239307850346</c:v>
                </c:pt>
                <c:pt idx="110">
                  <c:v>319.77208356977144</c:v>
                </c:pt>
                <c:pt idx="111">
                  <c:v>321.13571245420212</c:v>
                </c:pt>
                <c:pt idx="112">
                  <c:v>322.38693245388475</c:v>
                </c:pt>
                <c:pt idx="113">
                  <c:v>323.42564473312666</c:v>
                </c:pt>
                <c:pt idx="114">
                  <c:v>324.14535490003664</c:v>
                </c:pt>
                <c:pt idx="115">
                  <c:v>324.90563295038447</c:v>
                </c:pt>
                <c:pt idx="116">
                  <c:v>326.22908078854016</c:v>
                </c:pt>
                <c:pt idx="117">
                  <c:v>326.76873057241647</c:v>
                </c:pt>
                <c:pt idx="118">
                  <c:v>326.13709483570295</c:v>
                </c:pt>
                <c:pt idx="119">
                  <c:v>324.59868602115182</c:v>
                </c:pt>
                <c:pt idx="120">
                  <c:v>322.56542964158263</c:v>
                </c:pt>
                <c:pt idx="121">
                  <c:v>320.85733455233606</c:v>
                </c:pt>
                <c:pt idx="122">
                  <c:v>320.79917816254851</c:v>
                </c:pt>
                <c:pt idx="123">
                  <c:v>322.16503193655518</c:v>
                </c:pt>
                <c:pt idx="124">
                  <c:v>323.41840505518235</c:v>
                </c:pt>
                <c:pt idx="125">
                  <c:v>324.45934222400024</c:v>
                </c:pt>
                <c:pt idx="126">
                  <c:v>325.18127728048626</c:v>
                </c:pt>
                <c:pt idx="127">
                  <c:v>325.940764816117</c:v>
                </c:pt>
                <c:pt idx="128">
                  <c:v>327.26643146491546</c:v>
                </c:pt>
                <c:pt idx="129">
                  <c:v>327.80822848489765</c:v>
                </c:pt>
                <c:pt idx="130">
                  <c:v>327.17881155882685</c:v>
                </c:pt>
                <c:pt idx="131">
                  <c:v>325.64254998038155</c:v>
                </c:pt>
                <c:pt idx="132">
                  <c:v>323.61151241145507</c:v>
                </c:pt>
                <c:pt idx="133">
                  <c:v>321.90563613285121</c:v>
                </c:pt>
                <c:pt idx="134">
                  <c:v>321.84962697916956</c:v>
                </c:pt>
                <c:pt idx="135">
                  <c:v>323.217699563819</c:v>
                </c:pt>
                <c:pt idx="136">
                  <c:v>324.47321991855199</c:v>
                </c:pt>
                <c:pt idx="137">
                  <c:v>325.51637589801265</c:v>
                </c:pt>
                <c:pt idx="138">
                  <c:v>326.24052976514133</c:v>
                </c:pt>
                <c:pt idx="139">
                  <c:v>327.00202138780429</c:v>
                </c:pt>
                <c:pt idx="140">
                  <c:v>328.32990684724541</c:v>
                </c:pt>
                <c:pt idx="141">
                  <c:v>328.87385110333349</c:v>
                </c:pt>
                <c:pt idx="142">
                  <c:v>328.24665298790546</c:v>
                </c:pt>
                <c:pt idx="143">
                  <c:v>326.71253864556599</c:v>
                </c:pt>
                <c:pt idx="144">
                  <c:v>324.68371988728222</c:v>
                </c:pt>
                <c:pt idx="145">
                  <c:v>322.98006241932114</c:v>
                </c:pt>
                <c:pt idx="146">
                  <c:v>322.92620050174531</c:v>
                </c:pt>
                <c:pt idx="147">
                  <c:v>324.29649189703753</c:v>
                </c:pt>
                <c:pt idx="148">
                  <c:v>325.55415948787635</c:v>
                </c:pt>
                <c:pt idx="149">
                  <c:v>326.59953427797973</c:v>
                </c:pt>
                <c:pt idx="150">
                  <c:v>327.32590695575118</c:v>
                </c:pt>
                <c:pt idx="151">
                  <c:v>328.08940266544624</c:v>
                </c:pt>
                <c:pt idx="152">
                  <c:v>329.41950693553014</c:v>
                </c:pt>
                <c:pt idx="153">
                  <c:v>329.96559842772405</c:v>
                </c:pt>
                <c:pt idx="154">
                  <c:v>329.34061912293873</c:v>
                </c:pt>
                <c:pt idx="155">
                  <c:v>327.8086520167052</c:v>
                </c:pt>
                <c:pt idx="156">
                  <c:v>325.78205206906415</c:v>
                </c:pt>
                <c:pt idx="157">
                  <c:v>324.08061341174573</c:v>
                </c:pt>
                <c:pt idx="158">
                  <c:v>324.02889873027584</c:v>
                </c:pt>
                <c:pt idx="159">
                  <c:v>325.40140893621071</c:v>
                </c:pt>
                <c:pt idx="160">
                  <c:v>326.66122376315548</c:v>
                </c:pt>
                <c:pt idx="161">
                  <c:v>327.70881736390157</c:v>
                </c:pt>
                <c:pt idx="162">
                  <c:v>328.43740885231574</c:v>
                </c:pt>
                <c:pt idx="163">
                  <c:v>329.20599523568359</c:v>
                </c:pt>
                <c:pt idx="164">
                  <c:v>330.53832439534347</c:v>
                </c:pt>
                <c:pt idx="165">
                  <c:v>331.08656900648191</c:v>
                </c:pt>
                <c:pt idx="166">
                  <c:v>330.46381459127258</c:v>
                </c:pt>
                <c:pt idx="167">
                  <c:v>328.93400060398352</c:v>
                </c:pt>
                <c:pt idx="168">
                  <c:v>326.90962554591852</c:v>
                </c:pt>
                <c:pt idx="169">
                  <c:v>325.21041177817614</c:v>
                </c:pt>
                <c:pt idx="170">
                  <c:v>325.16085021565073</c:v>
                </c:pt>
                <c:pt idx="171">
                  <c:v>326.53558531116158</c:v>
                </c:pt>
                <c:pt idx="172">
                  <c:v>327.79755325705082</c:v>
                </c:pt>
                <c:pt idx="173">
                  <c:v>328.84737174737296</c:v>
                </c:pt>
                <c:pt idx="174">
                  <c:v>329.57818812536311</c:v>
                </c:pt>
                <c:pt idx="175">
                  <c:v>330.34569749977186</c:v>
                </c:pt>
                <c:pt idx="176">
                  <c:v>331.68024547007451</c:v>
                </c:pt>
                <c:pt idx="177">
                  <c:v>332.23063731731878</c:v>
                </c:pt>
                <c:pt idx="178">
                  <c:v>331.61010171275223</c:v>
                </c:pt>
                <c:pt idx="179">
                  <c:v>330.08243496156899</c:v>
                </c:pt>
                <c:pt idx="180">
                  <c:v>328.0602787141467</c:v>
                </c:pt>
                <c:pt idx="181">
                  <c:v>326.36328375704704</c:v>
                </c:pt>
                <c:pt idx="182">
                  <c:v>326.31586943062752</c:v>
                </c:pt>
                <c:pt idx="183">
                  <c:v>327.69282333678115</c:v>
                </c:pt>
                <c:pt idx="184">
                  <c:v>328.95693851877627</c:v>
                </c:pt>
                <c:pt idx="185">
                  <c:v>330.00897581974107</c:v>
                </c:pt>
                <c:pt idx="186">
                  <c:v>330.74201100837399</c:v>
                </c:pt>
                <c:pt idx="187">
                  <c:v>331.51152446981484</c:v>
                </c:pt>
                <c:pt idx="188">
                  <c:v>332.84829125076021</c:v>
                </c:pt>
                <c:pt idx="189">
                  <c:v>333.40083033411037</c:v>
                </c:pt>
                <c:pt idx="190">
                  <c:v>332.78251354018653</c:v>
                </c:pt>
                <c:pt idx="191">
                  <c:v>331.25699402510918</c:v>
                </c:pt>
                <c:pt idx="192">
                  <c:v>329.23705658832961</c:v>
                </c:pt>
                <c:pt idx="193">
                  <c:v>327.54228044187272</c:v>
                </c:pt>
                <c:pt idx="194">
                  <c:v>327.49701335155902</c:v>
                </c:pt>
                <c:pt idx="195">
                  <c:v>328.87618606835537</c:v>
                </c:pt>
                <c:pt idx="196">
                  <c:v>330.14244848645637</c:v>
                </c:pt>
                <c:pt idx="197">
                  <c:v>331.19670459806389</c:v>
                </c:pt>
                <c:pt idx="198">
                  <c:v>331.93195859733953</c:v>
                </c:pt>
                <c:pt idx="199">
                  <c:v>332.7034761458126</c:v>
                </c:pt>
                <c:pt idx="200">
                  <c:v>334.04246173740063</c:v>
                </c:pt>
                <c:pt idx="201">
                  <c:v>334.59714805685672</c:v>
                </c:pt>
                <c:pt idx="202">
                  <c:v>333.98105007357555</c:v>
                </c:pt>
                <c:pt idx="203">
                  <c:v>332.45767779460408</c:v>
                </c:pt>
                <c:pt idx="204">
                  <c:v>330.43995916846728</c:v>
                </c:pt>
                <c:pt idx="205">
                  <c:v>328.74740183265305</c:v>
                </c:pt>
                <c:pt idx="206">
                  <c:v>328.70428197844524</c:v>
                </c:pt>
                <c:pt idx="207">
                  <c:v>330.08567350588436</c:v>
                </c:pt>
                <c:pt idx="208">
                  <c:v>331.35408316009119</c:v>
                </c:pt>
                <c:pt idx="209">
                  <c:v>332.41055808234148</c:v>
                </c:pt>
                <c:pt idx="210">
                  <c:v>333.14803089225984</c:v>
                </c:pt>
                <c:pt idx="211">
                  <c:v>333.92492560864775</c:v>
                </c:pt>
                <c:pt idx="212">
                  <c:v>335.26613608981182</c:v>
                </c:pt>
                <c:pt idx="213">
                  <c:v>335.82297552821234</c:v>
                </c:pt>
                <c:pt idx="214">
                  <c:v>335.2091024345072</c:v>
                </c:pt>
                <c:pt idx="215">
                  <c:v>333.68788327448027</c:v>
                </c:pt>
                <c:pt idx="216">
                  <c:v>331.67238953791946</c:v>
                </c:pt>
                <c:pt idx="217">
                  <c:v>329.98205709168121</c:v>
                </c:pt>
                <c:pt idx="218">
                  <c:v>329.94109035641793</c:v>
                </c:pt>
                <c:pt idx="219">
                  <c:v>331.32470677343304</c:v>
                </c:pt>
                <c:pt idx="220">
                  <c:v>332.59526954658435</c:v>
                </c:pt>
                <c:pt idx="221">
                  <c:v>333.65396935841068</c:v>
                </c:pt>
                <c:pt idx="222">
                  <c:v>334.39366705790502</c:v>
                </c:pt>
                <c:pt idx="223">
                  <c:v>335.16919827109177</c:v>
                </c:pt>
                <c:pt idx="224">
                  <c:v>336.51262756289856</c:v>
                </c:pt>
                <c:pt idx="225">
                  <c:v>337.07161423740496</c:v>
                </c:pt>
                <c:pt idx="226">
                  <c:v>336.45995995434254</c:v>
                </c:pt>
                <c:pt idx="227">
                  <c:v>334.94088803042149</c:v>
                </c:pt>
                <c:pt idx="228">
                  <c:v>332.92761310450339</c:v>
                </c:pt>
                <c:pt idx="229">
                  <c:v>331.23949946890792</c:v>
                </c:pt>
                <c:pt idx="230">
                  <c:v>331.20067996975047</c:v>
                </c:pt>
                <c:pt idx="231">
                  <c:v>332.58651519740829</c:v>
                </c:pt>
                <c:pt idx="232">
                  <c:v>333.85922520666549</c:v>
                </c:pt>
                <c:pt idx="233">
                  <c:v>334.92014382913453</c:v>
                </c:pt>
                <c:pt idx="234">
                  <c:v>335.66206033927159</c:v>
                </c:pt>
                <c:pt idx="235">
                  <c:v>336.43959563949045</c:v>
                </c:pt>
                <c:pt idx="236">
                  <c:v>337.78524374194001</c:v>
                </c:pt>
                <c:pt idx="237">
                  <c:v>338.34637765255229</c:v>
                </c:pt>
                <c:pt idx="238">
                  <c:v>337.73694218013259</c:v>
                </c:pt>
                <c:pt idx="239">
                  <c:v>336.22001749231742</c:v>
                </c:pt>
                <c:pt idx="240">
                  <c:v>334.20896137704204</c:v>
                </c:pt>
                <c:pt idx="241">
                  <c:v>332.52306655208929</c:v>
                </c:pt>
                <c:pt idx="242">
                  <c:v>332.48639428903772</c:v>
                </c:pt>
                <c:pt idx="243">
                  <c:v>333.87444832733826</c:v>
                </c:pt>
                <c:pt idx="244">
                  <c:v>335.14930557270134</c:v>
                </c:pt>
                <c:pt idx="245">
                  <c:v>336.2124430058131</c:v>
                </c:pt>
                <c:pt idx="246">
                  <c:v>336.95657832659288</c:v>
                </c:pt>
                <c:pt idx="247">
                  <c:v>337.7361177138439</c:v>
                </c:pt>
                <c:pt idx="248">
                  <c:v>339.08398462693617</c:v>
                </c:pt>
                <c:pt idx="249">
                  <c:v>339.64726577365434</c:v>
                </c:pt>
                <c:pt idx="250">
                  <c:v>339.04004911187735</c:v>
                </c:pt>
                <c:pt idx="251">
                  <c:v>337.52527166016802</c:v>
                </c:pt>
                <c:pt idx="252">
                  <c:v>335.51643435553541</c:v>
                </c:pt>
                <c:pt idx="253">
                  <c:v>333.83275834122537</c:v>
                </c:pt>
                <c:pt idx="254">
                  <c:v>333.79823331427968</c:v>
                </c:pt>
                <c:pt idx="255">
                  <c:v>335.18850616322294</c:v>
                </c:pt>
                <c:pt idx="256">
                  <c:v>336.4655106446919</c:v>
                </c:pt>
                <c:pt idx="257">
                  <c:v>337.53086688844638</c:v>
                </c:pt>
                <c:pt idx="258">
                  <c:v>338.27722101986893</c:v>
                </c:pt>
                <c:pt idx="259">
                  <c:v>339.06242406927686</c:v>
                </c:pt>
                <c:pt idx="260">
                  <c:v>340.41251587194512</c:v>
                </c:pt>
                <c:pt idx="261">
                  <c:v>340.97795013760782</c:v>
                </c:pt>
                <c:pt idx="262">
                  <c:v>340.37295836540687</c:v>
                </c:pt>
                <c:pt idx="263">
                  <c:v>338.86033403264202</c:v>
                </c:pt>
                <c:pt idx="264">
                  <c:v>336.85372161758539</c:v>
                </c:pt>
                <c:pt idx="265">
                  <c:v>335.17227049285134</c:v>
                </c:pt>
                <c:pt idx="266">
                  <c:v>335.13989858485019</c:v>
                </c:pt>
                <c:pt idx="267">
                  <c:v>336.53239632336943</c:v>
                </c:pt>
                <c:pt idx="268">
                  <c:v>337.81155392378292</c:v>
                </c:pt>
                <c:pt idx="269">
                  <c:v>338.87913505711339</c:v>
                </c:pt>
                <c:pt idx="270">
                  <c:v>339.62771407811192</c:v>
                </c:pt>
                <c:pt idx="271">
                  <c:v>340.41126713007662</c:v>
                </c:pt>
                <c:pt idx="272">
                  <c:v>341.7635777433876</c:v>
                </c:pt>
                <c:pt idx="273">
                  <c:v>342.33115924515613</c:v>
                </c:pt>
                <c:pt idx="274">
                  <c:v>341.7283862835979</c:v>
                </c:pt>
                <c:pt idx="275">
                  <c:v>340.21790918693898</c:v>
                </c:pt>
                <c:pt idx="276">
                  <c:v>338.21351558252502</c:v>
                </c:pt>
                <c:pt idx="277">
                  <c:v>336.53428326843374</c:v>
                </c:pt>
                <c:pt idx="278">
                  <c:v>336.50405859653841</c:v>
                </c:pt>
                <c:pt idx="279">
                  <c:v>337.89877514570043</c:v>
                </c:pt>
                <c:pt idx="280">
                  <c:v>339.18007998221975</c:v>
                </c:pt>
                <c:pt idx="281">
                  <c:v>340.24987992619299</c:v>
                </c:pt>
                <c:pt idx="282">
                  <c:v>341.00067775783424</c:v>
                </c:pt>
                <c:pt idx="283">
                  <c:v>341.7862348968311</c:v>
                </c:pt>
                <c:pt idx="284">
                  <c:v>343.1407643207848</c:v>
                </c:pt>
                <c:pt idx="285">
                  <c:v>343.71049305865921</c:v>
                </c:pt>
                <c:pt idx="286">
                  <c:v>343.1099389077437</c:v>
                </c:pt>
                <c:pt idx="287">
                  <c:v>341.60160904719061</c:v>
                </c:pt>
                <c:pt idx="288">
                  <c:v>339.59943425341942</c:v>
                </c:pt>
                <c:pt idx="289">
                  <c:v>337.92242074997085</c:v>
                </c:pt>
                <c:pt idx="290">
                  <c:v>337.89434331418141</c:v>
                </c:pt>
                <c:pt idx="291">
                  <c:v>339.29127867398614</c:v>
                </c:pt>
                <c:pt idx="292">
                  <c:v>340.57473074661135</c:v>
                </c:pt>
                <c:pt idx="293">
                  <c:v>341.6467495012273</c:v>
                </c:pt>
                <c:pt idx="294">
                  <c:v>342.39976614351127</c:v>
                </c:pt>
                <c:pt idx="295">
                  <c:v>343.1873273695403</c:v>
                </c:pt>
                <c:pt idx="296">
                  <c:v>344.54407560413671</c:v>
                </c:pt>
                <c:pt idx="297">
                  <c:v>345.11595157811701</c:v>
                </c:pt>
                <c:pt idx="298">
                  <c:v>344.51761623784421</c:v>
                </c:pt>
                <c:pt idx="299">
                  <c:v>343.011433613397</c:v>
                </c:pt>
                <c:pt idx="300">
                  <c:v>341.01147763026853</c:v>
                </c:pt>
                <c:pt idx="301">
                  <c:v>339.33668293746268</c:v>
                </c:pt>
                <c:pt idx="302">
                  <c:v>339.31075273777913</c:v>
                </c:pt>
                <c:pt idx="303">
                  <c:v>340.70990690822657</c:v>
                </c:pt>
                <c:pt idx="304">
                  <c:v>341.99550621695766</c:v>
                </c:pt>
                <c:pt idx="305">
                  <c:v>343.06974378221628</c:v>
                </c:pt>
                <c:pt idx="306">
                  <c:v>343.82497923514302</c:v>
                </c:pt>
                <c:pt idx="307">
                  <c:v>344.61849061757101</c:v>
                </c:pt>
                <c:pt idx="308">
                  <c:v>345.97746374174346</c:v>
                </c:pt>
                <c:pt idx="309">
                  <c:v>346.5514928346683</c:v>
                </c:pt>
                <c:pt idx="310">
                  <c:v>345.95538238397148</c:v>
                </c:pt>
                <c:pt idx="311">
                  <c:v>344.45135287846875</c:v>
                </c:pt>
                <c:pt idx="312">
                  <c:v>342.45362178491632</c:v>
                </c:pt>
                <c:pt idx="313">
                  <c:v>340.78105198168646</c:v>
                </c:pt>
                <c:pt idx="314">
                  <c:v>340.75727490094744</c:v>
                </c:pt>
                <c:pt idx="315">
                  <c:v>342.15865396097087</c:v>
                </c:pt>
                <c:pt idx="316">
                  <c:v>343.44640638864644</c:v>
                </c:pt>
                <c:pt idx="317">
                  <c:v>344.52286884348109</c:v>
                </c:pt>
                <c:pt idx="318">
                  <c:v>345.28032918598387</c:v>
                </c:pt>
                <c:pt idx="319">
                  <c:v>346.07190407672653</c:v>
                </c:pt>
                <c:pt idx="320">
                  <c:v>347.43309601154164</c:v>
                </c:pt>
                <c:pt idx="321">
                  <c:v>348.00927234057235</c:v>
                </c:pt>
                <c:pt idx="322">
                  <c:v>347.41538070051831</c:v>
                </c:pt>
                <c:pt idx="323">
                  <c:v>345.91349843112147</c:v>
                </c:pt>
                <c:pt idx="324">
                  <c:v>343.91798614821175</c:v>
                </c:pt>
                <c:pt idx="325">
                  <c:v>342.24763515562461</c:v>
                </c:pt>
                <c:pt idx="326">
                  <c:v>342.22600531099141</c:v>
                </c:pt>
                <c:pt idx="327">
                  <c:v>343.62960318165761</c:v>
                </c:pt>
                <c:pt idx="328">
                  <c:v>344.91950284543901</c:v>
                </c:pt>
                <c:pt idx="329">
                  <c:v>345.99818411091644</c:v>
                </c:pt>
                <c:pt idx="330">
                  <c:v>346.75786326406188</c:v>
                </c:pt>
                <c:pt idx="331">
                  <c:v>347.5514422418367</c:v>
                </c:pt>
                <c:pt idx="332">
                  <c:v>348.91485298729458</c:v>
                </c:pt>
                <c:pt idx="333">
                  <c:v>349.49317655243112</c:v>
                </c:pt>
                <c:pt idx="334">
                  <c:v>348.9015037230198</c:v>
                </c:pt>
                <c:pt idx="335">
                  <c:v>347.40176868972884</c:v>
                </c:pt>
                <c:pt idx="336">
                  <c:v>345.40847521746184</c:v>
                </c:pt>
                <c:pt idx="337">
                  <c:v>343.74034303551747</c:v>
                </c:pt>
                <c:pt idx="338">
                  <c:v>343.7208604269901</c:v>
                </c:pt>
                <c:pt idx="339">
                  <c:v>345.12667710829902</c:v>
                </c:pt>
                <c:pt idx="340">
                  <c:v>346.41872400818636</c:v>
                </c:pt>
                <c:pt idx="341">
                  <c:v>347.49962408430645</c:v>
                </c:pt>
                <c:pt idx="342">
                  <c:v>348.26152204809466</c:v>
                </c:pt>
                <c:pt idx="343">
                  <c:v>349.05710511290158</c:v>
                </c:pt>
                <c:pt idx="344">
                  <c:v>350.42273466900224</c:v>
                </c:pt>
                <c:pt idx="345">
                  <c:v>351.00320547024461</c:v>
                </c:pt>
                <c:pt idx="346">
                  <c:v>350.41375145147606</c:v>
                </c:pt>
                <c:pt idx="347">
                  <c:v>348.91616365429093</c:v>
                </c:pt>
                <c:pt idx="348">
                  <c:v>346.9250889926667</c:v>
                </c:pt>
                <c:pt idx="349">
                  <c:v>345.25917562136499</c:v>
                </c:pt>
                <c:pt idx="350">
                  <c:v>345.24184024894356</c:v>
                </c:pt>
                <c:pt idx="351">
                  <c:v>346.6498757408952</c:v>
                </c:pt>
                <c:pt idx="352">
                  <c:v>347.94406987688836</c:v>
                </c:pt>
                <c:pt idx="353">
                  <c:v>349.02718876365122</c:v>
                </c:pt>
                <c:pt idx="354">
                  <c:v>349.79130553808216</c:v>
                </c:pt>
                <c:pt idx="355">
                  <c:v>350.59312525353016</c:v>
                </c:pt>
                <c:pt idx="356">
                  <c:v>351.9609796992068</c:v>
                </c:pt>
                <c:pt idx="357">
                  <c:v>352.54360361939371</c:v>
                </c:pt>
                <c:pt idx="358">
                  <c:v>351.95637449020114</c:v>
                </c:pt>
                <c:pt idx="359">
                  <c:v>350.46093981196054</c:v>
                </c:pt>
                <c:pt idx="360">
                  <c:v>348.47209003991225</c:v>
                </c:pt>
                <c:pt idx="361">
                  <c:v>346.80840155818663</c:v>
                </c:pt>
                <c:pt idx="362">
                  <c:v>346.79321930470968</c:v>
                </c:pt>
                <c:pt idx="363">
                  <c:v>348.2034796862373</c:v>
                </c:pt>
                <c:pt idx="364">
                  <c:v>349.499826941175</c:v>
                </c:pt>
                <c:pt idx="365">
                  <c:v>350.58517071751385</c:v>
                </c:pt>
                <c:pt idx="366">
                  <c:v>351.35151238152076</c:v>
                </c:pt>
                <c:pt idx="367">
                  <c:v>352.15110911104136</c:v>
                </c:pt>
                <c:pt idx="368">
                  <c:v>353.52118236736072</c:v>
                </c:pt>
                <c:pt idx="369">
                  <c:v>354.10595352365351</c:v>
                </c:pt>
                <c:pt idx="370">
                  <c:v>353.52094320510366</c:v>
                </c:pt>
                <c:pt idx="371">
                  <c:v>352.02765576296895</c:v>
                </c:pt>
                <c:pt idx="372">
                  <c:v>350.04102480156337</c:v>
                </c:pt>
                <c:pt idx="373">
                  <c:v>348.37955513048047</c:v>
                </c:pt>
                <c:pt idx="374">
                  <c:v>348.3665201131094</c:v>
                </c:pt>
                <c:pt idx="375">
                  <c:v>349.77899930527974</c:v>
                </c:pt>
                <c:pt idx="376">
                  <c:v>351.07749379632332</c:v>
                </c:pt>
                <c:pt idx="377">
                  <c:v>352.16505638330489</c:v>
                </c:pt>
                <c:pt idx="378">
                  <c:v>352.93361685795458</c:v>
                </c:pt>
                <c:pt idx="379">
                  <c:v>353.73521767450734</c:v>
                </c:pt>
                <c:pt idx="380">
                  <c:v>355.10750974146941</c:v>
                </c:pt>
                <c:pt idx="381">
                  <c:v>355.69442813386803</c:v>
                </c:pt>
                <c:pt idx="382">
                  <c:v>355.11163662596095</c:v>
                </c:pt>
                <c:pt idx="383">
                  <c:v>353.62049641993207</c:v>
                </c:pt>
                <c:pt idx="384">
                  <c:v>351.63608426916926</c:v>
                </c:pt>
                <c:pt idx="385">
                  <c:v>349.97683340872908</c:v>
                </c:pt>
                <c:pt idx="386">
                  <c:v>349.96594562746384</c:v>
                </c:pt>
                <c:pt idx="387">
                  <c:v>351.38064363027689</c:v>
                </c:pt>
                <c:pt idx="388">
                  <c:v>352.68128535742636</c:v>
                </c:pt>
                <c:pt idx="389">
                  <c:v>353.77106675505064</c:v>
                </c:pt>
                <c:pt idx="390">
                  <c:v>354.54184604034305</c:v>
                </c:pt>
                <c:pt idx="391">
                  <c:v>355.34545094392797</c:v>
                </c:pt>
                <c:pt idx="392">
                  <c:v>356.71996182153276</c:v>
                </c:pt>
                <c:pt idx="393">
                  <c:v>357.30902745003726</c:v>
                </c:pt>
                <c:pt idx="394">
                  <c:v>356.7284547527729</c:v>
                </c:pt>
                <c:pt idx="395">
                  <c:v>355.2394617828499</c:v>
                </c:pt>
                <c:pt idx="396">
                  <c:v>353.25726844272981</c:v>
                </c:pt>
                <c:pt idx="397">
                  <c:v>351.60023639293235</c:v>
                </c:pt>
                <c:pt idx="398">
                  <c:v>351.59149584777299</c:v>
                </c:pt>
                <c:pt idx="399">
                  <c:v>353.00841266122882</c:v>
                </c:pt>
                <c:pt idx="400">
                  <c:v>354.31120162448411</c:v>
                </c:pt>
                <c:pt idx="401">
                  <c:v>355.40320183275117</c:v>
                </c:pt>
                <c:pt idx="402">
                  <c:v>356.17619992868629</c:v>
                </c:pt>
                <c:pt idx="403">
                  <c:v>356.98632797715436</c:v>
                </c:pt>
                <c:pt idx="404">
                  <c:v>358.36306374433514</c:v>
                </c:pt>
                <c:pt idx="405">
                  <c:v>358.95428249178417</c:v>
                </c:pt>
                <c:pt idx="406">
                  <c:v>358.3759346840958</c:v>
                </c:pt>
                <c:pt idx="407">
                  <c:v>356.88909483311733</c:v>
                </c:pt>
                <c:pt idx="408">
                  <c:v>354.90912638257322</c:v>
                </c:pt>
                <c:pt idx="409">
                  <c:v>353.25431922235174</c:v>
                </c:pt>
                <c:pt idx="410">
                  <c:v>353.24773179613692</c:v>
                </c:pt>
                <c:pt idx="411">
                  <c:v>354.66687349916873</c:v>
                </c:pt>
                <c:pt idx="412">
                  <c:v>355.97181558136856</c:v>
                </c:pt>
                <c:pt idx="413">
                  <c:v>357.0660406792116</c:v>
                </c:pt>
                <c:pt idx="414">
                  <c:v>357.84126366472265</c:v>
                </c:pt>
                <c:pt idx="415">
                  <c:v>358.64888223302131</c:v>
                </c:pt>
                <c:pt idx="416">
                  <c:v>360.0278368108448</c:v>
                </c:pt>
                <c:pt idx="417">
                  <c:v>360.62120279439972</c:v>
                </c:pt>
                <c:pt idx="418">
                  <c:v>360.04507379735406</c:v>
                </c:pt>
                <c:pt idx="419">
                  <c:v>358.56038118248142</c:v>
                </c:pt>
                <c:pt idx="420">
                  <c:v>356.58263154258009</c:v>
                </c:pt>
                <c:pt idx="421">
                  <c:v>354.93004319300132</c:v>
                </c:pt>
                <c:pt idx="422">
                  <c:v>354.92560300289239</c:v>
                </c:pt>
                <c:pt idx="423">
                  <c:v>356.34696351656692</c:v>
                </c:pt>
                <c:pt idx="424">
                  <c:v>357.65405283487257</c:v>
                </c:pt>
                <c:pt idx="425">
                  <c:v>358.75049674335838</c:v>
                </c:pt>
                <c:pt idx="426">
                  <c:v>359.52793853951221</c:v>
                </c:pt>
                <c:pt idx="427">
                  <c:v>360.33756119484292</c:v>
                </c:pt>
                <c:pt idx="428">
                  <c:v>361.71873458330919</c:v>
                </c:pt>
                <c:pt idx="429">
                  <c:v>362.31424780296999</c:v>
                </c:pt>
                <c:pt idx="430">
                  <c:v>361.74033761656705</c:v>
                </c:pt>
                <c:pt idx="431">
                  <c:v>360.25779223780029</c:v>
                </c:pt>
                <c:pt idx="432">
                  <c:v>358.28226140854167</c:v>
                </c:pt>
                <c:pt idx="433">
                  <c:v>356.63189186960562</c:v>
                </c:pt>
                <c:pt idx="434">
                  <c:v>356.62959891560257</c:v>
                </c:pt>
                <c:pt idx="435">
                  <c:v>358.05317823991982</c:v>
                </c:pt>
                <c:pt idx="436">
                  <c:v>359.36241479433136</c:v>
                </c:pt>
                <c:pt idx="437">
                  <c:v>360.46107751345988</c:v>
                </c:pt>
                <c:pt idx="438">
                  <c:v>361.24073812025642</c:v>
                </c:pt>
                <c:pt idx="439">
                  <c:v>362.05236486261936</c:v>
                </c:pt>
                <c:pt idx="440">
                  <c:v>363.43575706172834</c:v>
                </c:pt>
                <c:pt idx="441">
                  <c:v>364.03341751749497</c:v>
                </c:pt>
                <c:pt idx="442">
                  <c:v>363.46172614173474</c:v>
                </c:pt>
                <c:pt idx="443">
                  <c:v>361.98132799907387</c:v>
                </c:pt>
                <c:pt idx="444">
                  <c:v>360.00801598045797</c:v>
                </c:pt>
                <c:pt idx="445">
                  <c:v>358.3598652521647</c:v>
                </c:pt>
                <c:pt idx="446">
                  <c:v>358.35971953426747</c:v>
                </c:pt>
                <c:pt idx="447">
                  <c:v>359.78551766922749</c:v>
                </c:pt>
                <c:pt idx="448">
                  <c:v>361.09690145974486</c:v>
                </c:pt>
                <c:pt idx="449">
                  <c:v>362.1977829895161</c:v>
                </c:pt>
                <c:pt idx="450">
                  <c:v>362.97966240695541</c:v>
                </c:pt>
                <c:pt idx="451">
                  <c:v>363.79809878844355</c:v>
                </c:pt>
                <c:pt idx="452">
                  <c:v>365.18371587712852</c:v>
                </c:pt>
                <c:pt idx="453">
                  <c:v>365.78352945183968</c:v>
                </c:pt>
                <c:pt idx="454">
                  <c:v>365.21406296565544</c:v>
                </c:pt>
                <c:pt idx="455">
                  <c:v>363.73581794193905</c:v>
                </c:pt>
                <c:pt idx="456">
                  <c:v>361.76473081289919</c:v>
                </c:pt>
                <c:pt idx="457">
                  <c:v>360.1188049741819</c:v>
                </c:pt>
                <c:pt idx="458">
                  <c:v>360.12081237522915</c:v>
                </c:pt>
                <c:pt idx="459">
                  <c:v>361.54883539976515</c:v>
                </c:pt>
                <c:pt idx="460">
                  <c:v>362.86237230922711</c:v>
                </c:pt>
                <c:pt idx="461">
                  <c:v>363.96547872857434</c:v>
                </c:pt>
                <c:pt idx="462">
                  <c:v>364.74958303558958</c:v>
                </c:pt>
                <c:pt idx="463">
                  <c:v>365.56522344266619</c:v>
                </c:pt>
                <c:pt idx="464">
                  <c:v>366.95305934199394</c:v>
                </c:pt>
                <c:pt idx="465">
                  <c:v>367.55502015281093</c:v>
                </c:pt>
                <c:pt idx="466">
                  <c:v>366.98777247726946</c:v>
                </c:pt>
                <c:pt idx="467">
                  <c:v>365.51167468965895</c:v>
                </c:pt>
                <c:pt idx="468">
                  <c:v>363.54280637126175</c:v>
                </c:pt>
                <c:pt idx="469">
                  <c:v>361.89909934318723</c:v>
                </c:pt>
                <c:pt idx="470">
                  <c:v>361.90325398034037</c:v>
                </c:pt>
                <c:pt idx="471">
                  <c:v>363.33349581551909</c:v>
                </c:pt>
                <c:pt idx="472">
                  <c:v>364.64917996108693</c:v>
                </c:pt>
                <c:pt idx="473">
                  <c:v>365.75450519107682</c:v>
                </c:pt>
                <c:pt idx="474">
                  <c:v>366.54082830873483</c:v>
                </c:pt>
                <c:pt idx="475">
                  <c:v>367.35847280284361</c:v>
                </c:pt>
                <c:pt idx="476">
                  <c:v>368.74852751281406</c:v>
                </c:pt>
                <c:pt idx="477">
                  <c:v>369.35263555973694</c:v>
                </c:pt>
                <c:pt idx="478">
                  <c:v>368.78760669483813</c:v>
                </c:pt>
                <c:pt idx="479">
                  <c:v>367.3136561433335</c:v>
                </c:pt>
                <c:pt idx="480">
                  <c:v>365.34700663557908</c:v>
                </c:pt>
                <c:pt idx="481">
                  <c:v>363.70551841814728</c:v>
                </c:pt>
                <c:pt idx="482">
                  <c:v>363.71182029140624</c:v>
                </c:pt>
                <c:pt idx="483">
                  <c:v>365.14428093722773</c:v>
                </c:pt>
                <c:pt idx="484">
                  <c:v>366.4621123189014</c:v>
                </c:pt>
                <c:pt idx="485">
                  <c:v>367.56965635953406</c:v>
                </c:pt>
                <c:pt idx="486">
                  <c:v>368.3581982878348</c:v>
                </c:pt>
                <c:pt idx="487">
                  <c:v>369.17784686897573</c:v>
                </c:pt>
                <c:pt idx="488">
                  <c:v>370.57012038958891</c:v>
                </c:pt>
                <c:pt idx="489">
                  <c:v>371.17637567261761</c:v>
                </c:pt>
                <c:pt idx="490">
                  <c:v>370.61356561836163</c:v>
                </c:pt>
                <c:pt idx="491">
                  <c:v>369.14176230296283</c:v>
                </c:pt>
                <c:pt idx="492">
                  <c:v>367.17733160585112</c:v>
                </c:pt>
                <c:pt idx="493">
                  <c:v>365.53806219906204</c:v>
                </c:pt>
                <c:pt idx="494">
                  <c:v>365.54651130842694</c:v>
                </c:pt>
                <c:pt idx="495">
                  <c:v>366.9811907648911</c:v>
                </c:pt>
                <c:pt idx="496">
                  <c:v>368.30116938267065</c:v>
                </c:pt>
                <c:pt idx="497">
                  <c:v>369.41093223394603</c:v>
                </c:pt>
                <c:pt idx="498">
                  <c:v>370.20169297288953</c:v>
                </c:pt>
                <c:pt idx="499">
                  <c:v>371.02843768739768</c:v>
                </c:pt>
                <c:pt idx="500">
                  <c:v>372.42293609758684</c:v>
                </c:pt>
                <c:pt idx="501">
                  <c:v>373.03134449956013</c:v>
                </c:pt>
                <c:pt idx="502">
                  <c:v>372.47075933488009</c:v>
                </c:pt>
                <c:pt idx="503">
                  <c:v>371.00110913842587</c:v>
                </c:pt>
                <c:pt idx="504">
                  <c:v>369.03890333089015</c:v>
                </c:pt>
                <c:pt idx="505">
                  <c:v>367.40185881367705</c:v>
                </c:pt>
                <c:pt idx="506">
                  <c:v>367.41246104198643</c:v>
                </c:pt>
                <c:pt idx="507">
                  <c:v>368.84936538802663</c:v>
                </c:pt>
                <c:pt idx="508">
                  <c:v>370.17149712475066</c:v>
                </c:pt>
                <c:pt idx="509">
                  <c:v>371.28348486560208</c:v>
                </c:pt>
                <c:pt idx="510">
                  <c:v>372.07647049412151</c:v>
                </c:pt>
                <c:pt idx="511">
                  <c:v>372.90013273997607</c:v>
                </c:pt>
                <c:pt idx="512">
                  <c:v>374.296849960808</c:v>
                </c:pt>
                <c:pt idx="513">
                  <c:v>374.90740559888712</c:v>
                </c:pt>
                <c:pt idx="514">
                  <c:v>374.34903924484985</c:v>
                </c:pt>
                <c:pt idx="515">
                  <c:v>372.88153628450146</c:v>
                </c:pt>
                <c:pt idx="516">
                  <c:v>370.92154928760846</c:v>
                </c:pt>
                <c:pt idx="517">
                  <c:v>369.28672358103813</c:v>
                </c:pt>
                <c:pt idx="518">
                  <c:v>369.29947304545334</c:v>
                </c:pt>
                <c:pt idx="519">
                  <c:v>370.73859620213631</c:v>
                </c:pt>
                <c:pt idx="520">
                  <c:v>372.06287517496617</c:v>
                </c:pt>
                <c:pt idx="521">
                  <c:v>373.1770817264603</c:v>
                </c:pt>
                <c:pt idx="522">
                  <c:v>373.97228616562251</c:v>
                </c:pt>
                <c:pt idx="523">
                  <c:v>374.79795249850923</c:v>
                </c:pt>
                <c:pt idx="524">
                  <c:v>376.19688852998382</c:v>
                </c:pt>
                <c:pt idx="525">
                  <c:v>376.80959140416888</c:v>
                </c:pt>
                <c:pt idx="526">
                  <c:v>376.25344386077427</c:v>
                </c:pt>
                <c:pt idx="527">
                  <c:v>374.78808813653177</c:v>
                </c:pt>
                <c:pt idx="528">
                  <c:v>372.83031995028153</c:v>
                </c:pt>
                <c:pt idx="529">
                  <c:v>371.19771305435387</c:v>
                </c:pt>
                <c:pt idx="530">
                  <c:v>371.21260975487502</c:v>
                </c:pt>
                <c:pt idx="531">
                  <c:v>372.65395172220065</c:v>
                </c:pt>
                <c:pt idx="532">
                  <c:v>373.98037793113645</c:v>
                </c:pt>
                <c:pt idx="533">
                  <c:v>375.0968032932733</c:v>
                </c:pt>
                <c:pt idx="534">
                  <c:v>375.89422654307822</c:v>
                </c:pt>
                <c:pt idx="535">
                  <c:v>376.72189696299711</c:v>
                </c:pt>
                <c:pt idx="536">
                  <c:v>378.12305180511447</c:v>
                </c:pt>
                <c:pt idx="537">
                  <c:v>378.7379019154053</c:v>
                </c:pt>
                <c:pt idx="538">
                  <c:v>378.18397318265346</c:v>
                </c:pt>
                <c:pt idx="539">
                  <c:v>376.72076469451684</c:v>
                </c:pt>
                <c:pt idx="540">
                  <c:v>374.76521531890927</c:v>
                </c:pt>
                <c:pt idx="541">
                  <c:v>373.13482723362438</c:v>
                </c:pt>
                <c:pt idx="542">
                  <c:v>373.15187117025135</c:v>
                </c:pt>
                <c:pt idx="543">
                  <c:v>374.59543194821975</c:v>
                </c:pt>
                <c:pt idx="544">
                  <c:v>375.92400539326138</c:v>
                </c:pt>
                <c:pt idx="545">
                  <c:v>377.04264956604101</c:v>
                </c:pt>
                <c:pt idx="546">
                  <c:v>377.84229162648865</c:v>
                </c:pt>
                <c:pt idx="547">
                  <c:v>378.67734467401687</c:v>
                </c:pt>
                <c:pt idx="548">
                  <c:v>380.08072440571021</c:v>
                </c:pt>
                <c:pt idx="549">
                  <c:v>380.69772763494558</c:v>
                </c:pt>
                <c:pt idx="550">
                  <c:v>380.14602379176978</c:v>
                </c:pt>
                <c:pt idx="551">
                  <c:v>378.68496842257764</c:v>
                </c:pt>
                <c:pt idx="552">
                  <c:v>376.73164393654611</c:v>
                </c:pt>
                <c:pt idx="553">
                  <c:v>375.1034807408372</c:v>
                </c:pt>
                <c:pt idx="554">
                  <c:v>375.12267779640871</c:v>
                </c:pt>
                <c:pt idx="555">
                  <c:v>376.56846346395304</c:v>
                </c:pt>
                <c:pt idx="556">
                  <c:v>377.89919002793926</c:v>
                </c:pt>
                <c:pt idx="557">
                  <c:v>379.02005909029481</c:v>
                </c:pt>
                <c:pt idx="558">
                  <c:v>379.82192604031849</c:v>
                </c:pt>
                <c:pt idx="559">
                  <c:v>380.653610124951</c:v>
                </c:pt>
                <c:pt idx="560">
                  <c:v>382.05920866728712</c:v>
                </c:pt>
                <c:pt idx="561">
                  <c:v>382.67835913262837</c:v>
                </c:pt>
                <c:pt idx="562">
                  <c:v>382.12887410009523</c:v>
                </c:pt>
                <c:pt idx="563">
                  <c:v>380.66996596700898</c:v>
                </c:pt>
                <c:pt idx="564">
                  <c:v>378.71886029162016</c:v>
                </c:pt>
                <c:pt idx="565">
                  <c:v>377.09291590655403</c:v>
                </c:pt>
                <c:pt idx="566">
                  <c:v>377.11426019823136</c:v>
                </c:pt>
                <c:pt idx="567">
                  <c:v>378.56226467641847</c:v>
                </c:pt>
                <c:pt idx="568">
                  <c:v>379.89513847651051</c:v>
                </c:pt>
                <c:pt idx="569">
                  <c:v>381.01822634950884</c:v>
                </c:pt>
                <c:pt idx="570">
                  <c:v>381.82231211017518</c:v>
                </c:pt>
                <c:pt idx="571">
                  <c:v>382.65600028183985</c:v>
                </c:pt>
                <c:pt idx="572">
                  <c:v>384.06381763481869</c:v>
                </c:pt>
                <c:pt idx="573">
                  <c:v>384.68511533626582</c:v>
                </c:pt>
                <c:pt idx="574">
                  <c:v>384.13784911437546</c:v>
                </c:pt>
                <c:pt idx="575">
                  <c:v>382.68108821739503</c:v>
                </c:pt>
                <c:pt idx="576">
                  <c:v>380.73220135264899</c:v>
                </c:pt>
                <c:pt idx="577">
                  <c:v>379.10847577822551</c:v>
                </c:pt>
                <c:pt idx="578">
                  <c:v>379.13196730600873</c:v>
                </c:pt>
                <c:pt idx="579">
                  <c:v>380.58219059483855</c:v>
                </c:pt>
                <c:pt idx="580">
                  <c:v>381.91721163103648</c:v>
                </c:pt>
                <c:pt idx="581">
                  <c:v>383.04251831467752</c:v>
                </c:pt>
                <c:pt idx="582">
                  <c:v>383.84882288598664</c:v>
                </c:pt>
                <c:pt idx="583">
                  <c:v>384.68451514468347</c:v>
                </c:pt>
                <c:pt idx="584">
                  <c:v>386.09455130830503</c:v>
                </c:pt>
                <c:pt idx="585">
                  <c:v>386.71799624585799</c:v>
                </c:pt>
                <c:pt idx="586">
                  <c:v>386.17294883461034</c:v>
                </c:pt>
                <c:pt idx="587">
                  <c:v>384.7183351737358</c:v>
                </c:pt>
                <c:pt idx="588">
                  <c:v>382.77166711963247</c:v>
                </c:pt>
                <c:pt idx="589">
                  <c:v>381.15016035585171</c:v>
                </c:pt>
                <c:pt idx="590">
                  <c:v>381.17579911974082</c:v>
                </c:pt>
                <c:pt idx="591">
                  <c:v>382.62824121921341</c:v>
                </c:pt>
                <c:pt idx="592">
                  <c:v>383.96540949151716</c:v>
                </c:pt>
                <c:pt idx="593">
                  <c:v>385.09293498580098</c:v>
                </c:pt>
                <c:pt idx="594">
                  <c:v>385.90145836775275</c:v>
                </c:pt>
                <c:pt idx="595">
                  <c:v>386.74481974830104</c:v>
                </c:pt>
                <c:pt idx="596">
                  <c:v>388.15708080149864</c:v>
                </c:pt>
                <c:pt idx="597">
                  <c:v>388.78267885799613</c:v>
                </c:pt>
                <c:pt idx="598">
                  <c:v>388.23985633632446</c:v>
                </c:pt>
                <c:pt idx="599">
                  <c:v>386.7873957943944</c:v>
                </c:pt>
                <c:pt idx="600">
                  <c:v>384.84295262986706</c:v>
                </c:pt>
                <c:pt idx="601">
                  <c:v>383.22367075566234</c:v>
                </c:pt>
                <c:pt idx="602">
                  <c:v>383.25146263849598</c:v>
                </c:pt>
                <c:pt idx="603">
                  <c:v>384.70612962754456</c:v>
                </c:pt>
                <c:pt idx="604">
                  <c:v>386.04545101879279</c:v>
                </c:pt>
                <c:pt idx="605">
                  <c:v>387.17520140265259</c:v>
                </c:pt>
                <c:pt idx="606">
                  <c:v>387.9859496741804</c:v>
                </c:pt>
                <c:pt idx="607">
                  <c:v>388.82565559759092</c:v>
                </c:pt>
                <c:pt idx="608">
                  <c:v>390.24013546143124</c:v>
                </c:pt>
                <c:pt idx="609">
                  <c:v>390.86788075403456</c:v>
                </c:pt>
                <c:pt idx="610">
                  <c:v>390.32727704300567</c:v>
                </c:pt>
                <c:pt idx="611">
                  <c:v>388.87696373718148</c:v>
                </c:pt>
                <c:pt idx="612">
                  <c:v>386.93473938329686</c:v>
                </c:pt>
                <c:pt idx="613">
                  <c:v>385.31767631973486</c:v>
                </c:pt>
                <c:pt idx="614">
                  <c:v>385.34761543867438</c:v>
                </c:pt>
                <c:pt idx="615">
                  <c:v>386.80450123836562</c:v>
                </c:pt>
                <c:pt idx="616">
                  <c:v>388.14596986571979</c:v>
                </c:pt>
                <c:pt idx="617">
                  <c:v>389.27793906022231</c:v>
                </c:pt>
                <c:pt idx="618">
                  <c:v>390.0909061423929</c:v>
                </c:pt>
                <c:pt idx="619">
                  <c:v>390.93261615283552</c:v>
                </c:pt>
                <c:pt idx="620">
                  <c:v>392.34931482731855</c:v>
                </c:pt>
                <c:pt idx="621">
                  <c:v>392.97920735602776</c:v>
                </c:pt>
                <c:pt idx="622">
                  <c:v>392.44082245564158</c:v>
                </c:pt>
                <c:pt idx="623">
                  <c:v>390.99265638592328</c:v>
                </c:pt>
                <c:pt idx="624">
                  <c:v>389.05265084268137</c:v>
                </c:pt>
                <c:pt idx="625">
                  <c:v>387.43780658976215</c:v>
                </c:pt>
                <c:pt idx="626">
                  <c:v>387.46989294480744</c:v>
                </c:pt>
                <c:pt idx="627">
                  <c:v>388.92899755514151</c:v>
                </c:pt>
                <c:pt idx="628">
                  <c:v>390.27261341860151</c:v>
                </c:pt>
                <c:pt idx="629">
                  <c:v>391.40680142374674</c:v>
                </c:pt>
                <c:pt idx="630">
                  <c:v>392.22198731656005</c:v>
                </c:pt>
                <c:pt idx="631">
                  <c:v>393.06570141403483</c:v>
                </c:pt>
                <c:pt idx="632">
                  <c:v>394.48461889916058</c:v>
                </c:pt>
                <c:pt idx="633">
                  <c:v>395.11665866397567</c:v>
                </c:pt>
                <c:pt idx="634">
                  <c:v>394.58049257423221</c:v>
                </c:pt>
                <c:pt idx="635">
                  <c:v>393.1344737406198</c:v>
                </c:pt>
                <c:pt idx="636">
                  <c:v>391.1966870080206</c:v>
                </c:pt>
                <c:pt idx="637">
                  <c:v>389.58406156574409</c:v>
                </c:pt>
                <c:pt idx="638">
                  <c:v>389.61829515689533</c:v>
                </c:pt>
                <c:pt idx="639">
                  <c:v>391.07961857787205</c:v>
                </c:pt>
                <c:pt idx="640">
                  <c:v>392.42538167743794</c:v>
                </c:pt>
                <c:pt idx="641">
                  <c:v>393.56178849322589</c:v>
                </c:pt>
                <c:pt idx="642">
                  <c:v>394.37919319668191</c:v>
                </c:pt>
                <c:pt idx="643">
                  <c:v>395.23086291025027</c:v>
                </c:pt>
                <c:pt idx="644">
                  <c:v>396.652005284952</c:v>
                </c:pt>
                <c:pt idx="645">
                  <c:v>397.28619816871162</c:v>
                </c:pt>
                <c:pt idx="646">
                  <c:v>396.75225696854409</c:v>
                </c:pt>
                <c:pt idx="647">
                  <c:v>395.30839125387621</c:v>
                </c:pt>
                <c:pt idx="648">
                  <c:v>393.37282941085306</c:v>
                </c:pt>
                <c:pt idx="649">
                  <c:v>391.76242885815248</c:v>
                </c:pt>
                <c:pt idx="650">
                  <c:v>391.79881556824824</c:v>
                </c:pt>
                <c:pt idx="651">
                  <c:v>393.26236387880101</c:v>
                </c:pt>
                <c:pt idx="652">
                  <c:v>394.61028009731137</c:v>
                </c:pt>
                <c:pt idx="653">
                  <c:v>395.74891180267537</c:v>
                </c:pt>
                <c:pt idx="654">
                  <c:v>396.56854139570737</c:v>
                </c:pt>
                <c:pt idx="655">
                  <c:v>397.41626915789584</c:v>
                </c:pt>
                <c:pt idx="656">
                  <c:v>398.83963034324034</c:v>
                </c:pt>
                <c:pt idx="657">
                  <c:v>399.4759704631058</c:v>
                </c:pt>
                <c:pt idx="658">
                  <c:v>398.94424807358109</c:v>
                </c:pt>
                <c:pt idx="659">
                  <c:v>397.50252959501904</c:v>
                </c:pt>
                <c:pt idx="660">
                  <c:v>395.56918656263855</c:v>
                </c:pt>
                <c:pt idx="661">
                  <c:v>393.9610048205808</c:v>
                </c:pt>
                <c:pt idx="662">
                  <c:v>393.99953876678239</c:v>
                </c:pt>
                <c:pt idx="663">
                  <c:v>395.46530588797788</c:v>
                </c:pt>
                <c:pt idx="664">
                  <c:v>396.81536934259412</c:v>
                </c:pt>
                <c:pt idx="665">
                  <c:v>397.95621985860083</c:v>
                </c:pt>
                <c:pt idx="666">
                  <c:v>398.77806826227555</c:v>
                </c:pt>
                <c:pt idx="667">
                  <c:v>399.62780011149619</c:v>
                </c:pt>
                <c:pt idx="668">
                  <c:v>401.05338010748341</c:v>
                </c:pt>
                <c:pt idx="669">
                  <c:v>401.69186746345474</c:v>
                </c:pt>
                <c:pt idx="670">
                  <c:v>401.1623638845727</c:v>
                </c:pt>
                <c:pt idx="671">
                  <c:v>399.72279264211653</c:v>
                </c:pt>
                <c:pt idx="672">
                  <c:v>397.79166842037887</c:v>
                </c:pt>
                <c:pt idx="673">
                  <c:v>396.18570548896378</c:v>
                </c:pt>
                <c:pt idx="674">
                  <c:v>396.2263866712712</c:v>
                </c:pt>
                <c:pt idx="675">
                  <c:v>397.69437260310946</c:v>
                </c:pt>
                <c:pt idx="676">
                  <c:v>399.04658329383153</c:v>
                </c:pt>
                <c:pt idx="677">
                  <c:v>400.18965262048096</c:v>
                </c:pt>
                <c:pt idx="678">
                  <c:v>401.01371983479851</c:v>
                </c:pt>
                <c:pt idx="679">
                  <c:v>401.86545577105124</c:v>
                </c:pt>
                <c:pt idx="680">
                  <c:v>403.29325457768113</c:v>
                </c:pt>
                <c:pt idx="681">
                  <c:v>403.9338891697584</c:v>
                </c:pt>
                <c:pt idx="682">
                  <c:v>403.40660440151908</c:v>
                </c:pt>
                <c:pt idx="683">
                  <c:v>401.96918039516879</c:v>
                </c:pt>
                <c:pt idx="684">
                  <c:v>400.04027498407379</c:v>
                </c:pt>
                <c:pt idx="685">
                  <c:v>398.43653086330147</c:v>
                </c:pt>
                <c:pt idx="686">
                  <c:v>398.47935928171484</c:v>
                </c:pt>
                <c:pt idx="687">
                  <c:v>399.94956402419575</c:v>
                </c:pt>
                <c:pt idx="688">
                  <c:v>401.30392195102377</c:v>
                </c:pt>
                <c:pt idx="689">
                  <c:v>402.44921008831585</c:v>
                </c:pt>
                <c:pt idx="690">
                  <c:v>403.27549611327606</c:v>
                </c:pt>
                <c:pt idx="691">
                  <c:v>404.13547415986443</c:v>
                </c:pt>
                <c:pt idx="692">
                  <c:v>405.56549785607041</c:v>
                </c:pt>
                <c:pt idx="693">
                  <c:v>406.20828556709205</c:v>
                </c:pt>
                <c:pt idx="694">
                  <c:v>405.68322568842882</c:v>
                </c:pt>
                <c:pt idx="695">
                  <c:v>404.24795480102301</c:v>
                </c:pt>
                <c:pt idx="696">
                  <c:v>402.321274279504</c:v>
                </c:pt>
                <c:pt idx="697">
                  <c:v>400.71975504830766</c:v>
                </c:pt>
                <c:pt idx="698">
                  <c:v>400.76473658566556</c:v>
                </c:pt>
                <c:pt idx="699">
                  <c:v>402.23716621772246</c:v>
                </c:pt>
                <c:pt idx="700">
                  <c:v>403.59367726349501</c:v>
                </c:pt>
                <c:pt idx="701">
                  <c:v>404.74119029036314</c:v>
                </c:pt>
                <c:pt idx="702">
                  <c:v>405.56970120489933</c:v>
                </c:pt>
                <c:pt idx="703">
                  <c:v>406.42545080586581</c:v>
                </c:pt>
                <c:pt idx="704">
                  <c:v>407.85769331271445</c:v>
                </c:pt>
                <c:pt idx="705">
                  <c:v>408.50262825984203</c:v>
                </c:pt>
                <c:pt idx="706">
                  <c:v>407.97978719182152</c:v>
                </c:pt>
                <c:pt idx="707">
                  <c:v>406.54666354052154</c:v>
                </c:pt>
                <c:pt idx="708">
                  <c:v>404.62220182964529</c:v>
                </c:pt>
                <c:pt idx="709">
                  <c:v>403.02290140909173</c:v>
                </c:pt>
                <c:pt idx="710">
                  <c:v>403.0700301825554</c:v>
                </c:pt>
                <c:pt idx="711">
                  <c:v>404.54467862525507</c:v>
                </c:pt>
                <c:pt idx="712">
                  <c:v>405.90333690713345</c:v>
                </c:pt>
                <c:pt idx="713">
                  <c:v>407.05306874464429</c:v>
                </c:pt>
                <c:pt idx="714">
                  <c:v>407.88379846982326</c:v>
                </c:pt>
                <c:pt idx="715">
                  <c:v>408.74155215782184</c:v>
                </c:pt>
                <c:pt idx="716">
                  <c:v>410.17601347531325</c:v>
                </c:pt>
                <c:pt idx="717">
                  <c:v>410.82309565854672</c:v>
                </c:pt>
                <c:pt idx="718">
                  <c:v>410.30247340116887</c:v>
                </c:pt>
                <c:pt idx="719">
                  <c:v>408.87149698597483</c:v>
                </c:pt>
                <c:pt idx="720">
                  <c:v>406.9492540857413</c:v>
                </c:pt>
                <c:pt idx="721">
                  <c:v>405.3521724758304</c:v>
                </c:pt>
                <c:pt idx="722">
                  <c:v>405.40144848540001</c:v>
                </c:pt>
                <c:pt idx="723">
                  <c:v>406.87831573874234</c:v>
                </c:pt>
                <c:pt idx="724">
                  <c:v>408.23912125672661</c:v>
                </c:pt>
                <c:pt idx="725">
                  <c:v>409.39107190488022</c:v>
                </c:pt>
                <c:pt idx="726">
                  <c:v>410.22402044070191</c:v>
                </c:pt>
                <c:pt idx="727">
                  <c:v>411.08377821573265</c:v>
                </c:pt>
                <c:pt idx="728">
                  <c:v>412.52045834386678</c:v>
                </c:pt>
                <c:pt idx="729">
                  <c:v>413.16968776320607</c:v>
                </c:pt>
                <c:pt idx="730">
                  <c:v>412.65128431647094</c:v>
                </c:pt>
                <c:pt idx="731">
                  <c:v>411.22245513738278</c:v>
                </c:pt>
                <c:pt idx="732">
                  <c:v>409.30243104779197</c:v>
                </c:pt>
                <c:pt idx="733">
                  <c:v>407.70756824852378</c:v>
                </c:pt>
                <c:pt idx="734">
                  <c:v>407.75899149419928</c:v>
                </c:pt>
                <c:pt idx="735">
                  <c:v>409.23807755818444</c:v>
                </c:pt>
                <c:pt idx="736">
                  <c:v>410.60103031227453</c:v>
                </c:pt>
                <c:pt idx="737">
                  <c:v>411.75519977107086</c:v>
                </c:pt>
                <c:pt idx="738">
                  <c:v>412.59036711753527</c:v>
                </c:pt>
                <c:pt idx="739">
                  <c:v>413.4586534971437</c:v>
                </c:pt>
                <c:pt idx="740">
                  <c:v>414.89755851485376</c:v>
                </c:pt>
                <c:pt idx="741">
                  <c:v>415.54894105313758</c:v>
                </c:pt>
                <c:pt idx="742">
                  <c:v>415.03276249597849</c:v>
                </c:pt>
                <c:pt idx="743">
                  <c:v>413.60608643583481</c:v>
                </c:pt>
                <c:pt idx="744">
                  <c:v>411.68828723582004</c:v>
                </c:pt>
                <c:pt idx="745">
                  <c:v>410.0956493261279</c:v>
                </c:pt>
                <c:pt idx="746">
                  <c:v>410.14922569074787</c:v>
                </c:pt>
                <c:pt idx="747">
                  <c:v>411.63053664430896</c:v>
                </c:pt>
                <c:pt idx="748">
                  <c:v>412.99564251734358</c:v>
                </c:pt>
                <c:pt idx="749">
                  <c:v>414.1520368657159</c:v>
                </c:pt>
                <c:pt idx="750">
                  <c:v>414.98942910175629</c:v>
                </c:pt>
                <c:pt idx="751">
                  <c:v>415.85320054150071</c:v>
                </c:pt>
                <c:pt idx="752">
                  <c:v>417.2943243698536</c:v>
                </c:pt>
                <c:pt idx="753">
                  <c:v>417.94785414424331</c:v>
                </c:pt>
                <c:pt idx="754">
                  <c:v>417.43389439772693</c:v>
                </c:pt>
                <c:pt idx="755">
                  <c:v>416.00936557368908</c:v>
                </c:pt>
                <c:pt idx="756">
                  <c:v>414.09378518431703</c:v>
                </c:pt>
                <c:pt idx="757">
                  <c:v>412.50336608526754</c:v>
                </c:pt>
                <c:pt idx="758">
                  <c:v>412.55908968599346</c:v>
                </c:pt>
                <c:pt idx="759">
                  <c:v>414.04261945019726</c:v>
                </c:pt>
                <c:pt idx="760">
                  <c:v>415.40987255933777</c:v>
                </c:pt>
                <c:pt idx="761">
                  <c:v>416.5684857183528</c:v>
                </c:pt>
                <c:pt idx="762">
                  <c:v>417.40809676503596</c:v>
                </c:pt>
                <c:pt idx="763">
                  <c:v>418.27387229181255</c:v>
                </c:pt>
                <c:pt idx="764">
                  <c:v>419.7172149308081</c:v>
                </c:pt>
                <c:pt idx="765">
                  <c:v>420.37289194130364</c:v>
                </c:pt>
                <c:pt idx="766">
                  <c:v>419.86115100543003</c:v>
                </c:pt>
                <c:pt idx="767">
                  <c:v>418.43876941749812</c:v>
                </c:pt>
                <c:pt idx="768">
                  <c:v>416.52540783876873</c:v>
                </c:pt>
                <c:pt idx="769">
                  <c:v>414.93720755036202</c:v>
                </c:pt>
                <c:pt idx="770">
                  <c:v>414.99507838719376</c:v>
                </c:pt>
                <c:pt idx="771">
                  <c:v>416.48082696204034</c:v>
                </c:pt>
                <c:pt idx="772">
                  <c:v>417.85022730728667</c:v>
                </c:pt>
                <c:pt idx="773">
                  <c:v>419.01105927694448</c:v>
                </c:pt>
                <c:pt idx="774">
                  <c:v>419.8528891342703</c:v>
                </c:pt>
                <c:pt idx="775">
                  <c:v>420.72066874807905</c:v>
                </c:pt>
                <c:pt idx="776">
                  <c:v>422.16623019771737</c:v>
                </c:pt>
                <c:pt idx="777">
                  <c:v>422.82405444431879</c:v>
                </c:pt>
                <c:pt idx="778">
                  <c:v>422.31453231908785</c:v>
                </c:pt>
                <c:pt idx="779">
                  <c:v>420.89429796726182</c:v>
                </c:pt>
                <c:pt idx="780">
                  <c:v>418.9831551991752</c:v>
                </c:pt>
                <c:pt idx="781">
                  <c:v>417.39717372141121</c:v>
                </c:pt>
                <c:pt idx="782">
                  <c:v>417.45719179434877</c:v>
                </c:pt>
                <c:pt idx="783">
                  <c:v>418.94515917983807</c:v>
                </c:pt>
                <c:pt idx="784">
                  <c:v>420.31670676119029</c:v>
                </c:pt>
                <c:pt idx="785">
                  <c:v>421.47975754149081</c:v>
                </c:pt>
                <c:pt idx="786">
                  <c:v>422.32380620945946</c:v>
                </c:pt>
                <c:pt idx="787">
                  <c:v>423.20040092208785</c:v>
                </c:pt>
                <c:pt idx="788">
                  <c:v>424.64818726130216</c:v>
                </c:pt>
                <c:pt idx="789">
                  <c:v>425.30816462684811</c:v>
                </c:pt>
                <c:pt idx="790">
                  <c:v>424.80086739119321</c:v>
                </c:pt>
                <c:pt idx="791">
                  <c:v>423.3827861583116</c:v>
                </c:pt>
                <c:pt idx="792">
                  <c:v>421.47386827980102</c:v>
                </c:pt>
                <c:pt idx="793">
                  <c:v>419.89011169161307</c:v>
                </c:pt>
                <c:pt idx="794">
                  <c:v>419.95228288349512</c:v>
                </c:pt>
                <c:pt idx="795">
                  <c:v>421.44247515856046</c:v>
                </c:pt>
                <c:pt idx="796">
                  <c:v>422.81617585885721</c:v>
                </c:pt>
                <c:pt idx="797">
                  <c:v>423.98145152873366</c:v>
                </c:pt>
                <c:pt idx="798">
                  <c:v>424.82772508627829</c:v>
                </c:pt>
                <c:pt idx="799">
                  <c:v>425.69951836480067</c:v>
                </c:pt>
                <c:pt idx="800">
                  <c:v>427.14952351465774</c:v>
                </c:pt>
                <c:pt idx="801">
                  <c:v>427.81164811630953</c:v>
                </c:pt>
                <c:pt idx="802">
                  <c:v>427.30656969129734</c:v>
                </c:pt>
                <c:pt idx="803">
                  <c:v>425.89063569452168</c:v>
                </c:pt>
                <c:pt idx="804">
                  <c:v>423.98393662665376</c:v>
                </c:pt>
                <c:pt idx="805">
                  <c:v>422.40239884910852</c:v>
                </c:pt>
                <c:pt idx="806">
                  <c:v>422.46671727709645</c:v>
                </c:pt>
                <c:pt idx="807">
                  <c:v>423.95912836280451</c:v>
                </c:pt>
                <c:pt idx="808">
                  <c:v>425.33497629920709</c:v>
                </c:pt>
                <c:pt idx="809">
                  <c:v>426.50247077972637</c:v>
                </c:pt>
                <c:pt idx="810">
                  <c:v>427.35096314791366</c:v>
                </c:pt>
                <c:pt idx="811">
                  <c:v>428.22476051346825</c:v>
                </c:pt>
                <c:pt idx="812">
                  <c:v>429.67698447396793</c:v>
                </c:pt>
                <c:pt idx="813">
                  <c:v>430.34125631172566</c:v>
                </c:pt>
                <c:pt idx="814">
                  <c:v>429.83839669735619</c:v>
                </c:pt>
                <c:pt idx="815">
                  <c:v>428.42460993668635</c:v>
                </c:pt>
                <c:pt idx="816">
                  <c:v>426.52012967946121</c:v>
                </c:pt>
                <c:pt idx="817">
                  <c:v>424.94081071255869</c:v>
                </c:pt>
                <c:pt idx="818">
                  <c:v>425.0072763766525</c:v>
                </c:pt>
                <c:pt idx="819">
                  <c:v>426.50190627300327</c:v>
                </c:pt>
                <c:pt idx="820">
                  <c:v>427.87990144551179</c:v>
                </c:pt>
                <c:pt idx="821">
                  <c:v>429.04961473667373</c:v>
                </c:pt>
                <c:pt idx="822">
                  <c:v>429.9003259155038</c:v>
                </c:pt>
                <c:pt idx="823">
                  <c:v>430.77612736809044</c:v>
                </c:pt>
                <c:pt idx="824">
                  <c:v>432.23057013923295</c:v>
                </c:pt>
                <c:pt idx="825">
                  <c:v>432.8969892130965</c:v>
                </c:pt>
                <c:pt idx="826">
                  <c:v>432.39634840936975</c:v>
                </c:pt>
                <c:pt idx="827">
                  <c:v>430.9847088848058</c:v>
                </c:pt>
                <c:pt idx="828">
                  <c:v>429.08244743822337</c:v>
                </c:pt>
                <c:pt idx="829">
                  <c:v>427.50534728196362</c:v>
                </c:pt>
                <c:pt idx="830">
                  <c:v>427.57396018216326</c:v>
                </c:pt>
                <c:pt idx="831">
                  <c:v>429.07080888915681</c:v>
                </c:pt>
                <c:pt idx="832">
                  <c:v>430.4509512977711</c:v>
                </c:pt>
                <c:pt idx="833">
                  <c:v>431.62288339957581</c:v>
                </c:pt>
                <c:pt idx="834">
                  <c:v>432.47581338904854</c:v>
                </c:pt>
                <c:pt idx="835">
                  <c:v>433.36071643469705</c:v>
                </c:pt>
                <c:pt idx="836">
                  <c:v>434.81738409541555</c:v>
                </c:pt>
                <c:pt idx="837">
                  <c:v>435.48595628822363</c:v>
                </c:pt>
                <c:pt idx="838">
                  <c:v>434.98754037407286</c:v>
                </c:pt>
                <c:pt idx="839">
                  <c:v>433.57805396845345</c:v>
                </c:pt>
                <c:pt idx="840">
                  <c:v>431.67801741144706</c:v>
                </c:pt>
                <c:pt idx="841">
                  <c:v>430.10314214476318</c:v>
                </c:pt>
                <c:pt idx="842">
                  <c:v>430.17390816390747</c:v>
                </c:pt>
                <c:pt idx="843">
                  <c:v>431.67298176047694</c:v>
                </c:pt>
                <c:pt idx="844">
                  <c:v>433.05527728803577</c:v>
                </c:pt>
                <c:pt idx="845">
                  <c:v>434.22943427941647</c:v>
                </c:pt>
                <c:pt idx="846">
                  <c:v>435.08458915846529</c:v>
                </c:pt>
                <c:pt idx="847">
                  <c:v>435.96440427576567</c:v>
                </c:pt>
                <c:pt idx="848">
                  <c:v>437.42329074712683</c:v>
                </c:pt>
                <c:pt idx="849">
                  <c:v>438.09401017604074</c:v>
                </c:pt>
                <c:pt idx="850">
                  <c:v>437.5978130725328</c:v>
                </c:pt>
                <c:pt idx="851">
                  <c:v>436.19047390301921</c:v>
                </c:pt>
                <c:pt idx="852">
                  <c:v>434.29265615665548</c:v>
                </c:pt>
                <c:pt idx="853">
                  <c:v>432.71999970061444</c:v>
                </c:pt>
                <c:pt idx="854">
                  <c:v>432.79291295586449</c:v>
                </c:pt>
                <c:pt idx="855">
                  <c:v>434.29420536307674</c:v>
                </c:pt>
                <c:pt idx="856">
                  <c:v>435.67864812674145</c:v>
                </c:pt>
                <c:pt idx="857">
                  <c:v>436.85502392876487</c:v>
                </c:pt>
                <c:pt idx="858">
                  <c:v>437.71239761845635</c:v>
                </c:pt>
                <c:pt idx="859">
                  <c:v>438.59421682278889</c:v>
                </c:pt>
                <c:pt idx="860">
                  <c:v>440.05532210479288</c:v>
                </c:pt>
                <c:pt idx="861">
                  <c:v>440.72818876981268</c:v>
                </c:pt>
                <c:pt idx="862">
                  <c:v>440.23421047694734</c:v>
                </c:pt>
                <c:pt idx="863">
                  <c:v>438.82901854353969</c:v>
                </c:pt>
                <c:pt idx="864">
                  <c:v>436.93341960781868</c:v>
                </c:pt>
                <c:pt idx="865">
                  <c:v>435.36298196242035</c:v>
                </c:pt>
                <c:pt idx="866">
                  <c:v>435.43804245377629</c:v>
                </c:pt>
                <c:pt idx="867">
                  <c:v>436.94155367163125</c:v>
                </c:pt>
                <c:pt idx="868">
                  <c:v>438.32814367140179</c:v>
                </c:pt>
                <c:pt idx="869">
                  <c:v>439.50673828406798</c:v>
                </c:pt>
                <c:pt idx="870">
                  <c:v>440.36633078440224</c:v>
                </c:pt>
                <c:pt idx="871">
                  <c:v>441.25015407576689</c:v>
                </c:pt>
                <c:pt idx="872">
                  <c:v>442.71347816841353</c:v>
                </c:pt>
                <c:pt idx="873">
                  <c:v>443.38849206953921</c:v>
                </c:pt>
                <c:pt idx="874">
                  <c:v>442.89673258731671</c:v>
                </c:pt>
                <c:pt idx="875">
                  <c:v>441.49368789001483</c:v>
                </c:pt>
                <c:pt idx="876">
                  <c:v>439.60030776493659</c:v>
                </c:pt>
                <c:pt idx="877">
                  <c:v>438.03208893018098</c:v>
                </c:pt>
                <c:pt idx="878">
                  <c:v>438.1092966576428</c:v>
                </c:pt>
                <c:pt idx="879">
                  <c:v>439.61502668614048</c:v>
                </c:pt>
                <c:pt idx="880">
                  <c:v>441.0037639220169</c:v>
                </c:pt>
                <c:pt idx="881">
                  <c:v>442.18457734532581</c:v>
                </c:pt>
                <c:pt idx="882">
                  <c:v>443.04638865630278</c:v>
                </c:pt>
                <c:pt idx="883">
                  <c:v>443.93960003497131</c:v>
                </c:pt>
                <c:pt idx="884">
                  <c:v>445.40514901719399</c:v>
                </c:pt>
                <c:pt idx="885">
                  <c:v>446.08231603726409</c:v>
                </c:pt>
                <c:pt idx="886">
                  <c:v>445.59278144461757</c:v>
                </c:pt>
                <c:pt idx="887">
                  <c:v>444.19188986626028</c:v>
                </c:pt>
                <c:pt idx="888">
                  <c:v>442.30073463075803</c:v>
                </c:pt>
                <c:pt idx="889">
                  <c:v>440.73474068557846</c:v>
                </c:pt>
                <c:pt idx="890">
                  <c:v>440.81410153198476</c:v>
                </c:pt>
                <c:pt idx="891">
                  <c:v>442.32205645005843</c:v>
                </c:pt>
                <c:pt idx="892">
                  <c:v>443.71294680487938</c:v>
                </c:pt>
                <c:pt idx="893">
                  <c:v>444.89598511776433</c:v>
                </c:pt>
                <c:pt idx="894">
                  <c:v>445.76002131831723</c:v>
                </c:pt>
                <c:pt idx="895">
                  <c:v>446.64785827439562</c:v>
                </c:pt>
                <c:pt idx="896">
                  <c:v>448.11562606726096</c:v>
                </c:pt>
                <c:pt idx="897">
                  <c:v>448.794940323437</c:v>
                </c:pt>
                <c:pt idx="898">
                  <c:v>448.30762454143326</c:v>
                </c:pt>
                <c:pt idx="899">
                  <c:v>446.90888019918174</c:v>
                </c:pt>
                <c:pt idx="900">
                  <c:v>445.01994377432226</c:v>
                </c:pt>
                <c:pt idx="901">
                  <c:v>443.4561686397854</c:v>
                </c:pt>
                <c:pt idx="902">
                  <c:v>443.53767672229753</c:v>
                </c:pt>
                <c:pt idx="903">
                  <c:v>445.04785045101397</c:v>
                </c:pt>
                <c:pt idx="904">
                  <c:v>446.44088804194081</c:v>
                </c:pt>
                <c:pt idx="905">
                  <c:v>447.62614516546842</c:v>
                </c:pt>
                <c:pt idx="906">
                  <c:v>448.49240017666409</c:v>
                </c:pt>
                <c:pt idx="907">
                  <c:v>449.38224121977458</c:v>
                </c:pt>
                <c:pt idx="908">
                  <c:v>450.8522278232827</c:v>
                </c:pt>
                <c:pt idx="909">
                  <c:v>451.53368931556463</c:v>
                </c:pt>
                <c:pt idx="910">
                  <c:v>451.04859234420354</c:v>
                </c:pt>
                <c:pt idx="911">
                  <c:v>449.65199523805796</c:v>
                </c:pt>
                <c:pt idx="912">
                  <c:v>447.76527762384114</c:v>
                </c:pt>
                <c:pt idx="913">
                  <c:v>446.20372129994701</c:v>
                </c:pt>
                <c:pt idx="914">
                  <c:v>446.28737661856508</c:v>
                </c:pt>
                <c:pt idx="915">
                  <c:v>447.79976915792417</c:v>
                </c:pt>
                <c:pt idx="916">
                  <c:v>449.1949539849569</c:v>
                </c:pt>
                <c:pt idx="917">
                  <c:v>450.38242991912728</c:v>
                </c:pt>
                <c:pt idx="918">
                  <c:v>451.25090374096567</c:v>
                </c:pt>
                <c:pt idx="919">
                  <c:v>452.14274887110827</c:v>
                </c:pt>
                <c:pt idx="920">
                  <c:v>453.61495428525916</c:v>
                </c:pt>
                <c:pt idx="921">
                  <c:v>454.29856301364697</c:v>
                </c:pt>
                <c:pt idx="922">
                  <c:v>453.8156848529286</c:v>
                </c:pt>
                <c:pt idx="923">
                  <c:v>452.42123498288885</c:v>
                </c:pt>
                <c:pt idx="924">
                  <c:v>450.5367361793148</c:v>
                </c:pt>
                <c:pt idx="925">
                  <c:v>448.97739866606338</c:v>
                </c:pt>
                <c:pt idx="926">
                  <c:v>449.06320122078728</c:v>
                </c:pt>
                <c:pt idx="927">
                  <c:v>450.57781257078915</c:v>
                </c:pt>
                <c:pt idx="928">
                  <c:v>451.97514463392775</c:v>
                </c:pt>
                <c:pt idx="929">
                  <c:v>453.16483937874079</c:v>
                </c:pt>
                <c:pt idx="930">
                  <c:v>454.03553201122196</c:v>
                </c:pt>
                <c:pt idx="931">
                  <c:v>454.93705172291055</c:v>
                </c:pt>
                <c:pt idx="932">
                  <c:v>456.41148202663737</c:v>
                </c:pt>
                <c:pt idx="933">
                  <c:v>457.09724387396972</c:v>
                </c:pt>
                <c:pt idx="934">
                  <c:v>456.61659060282733</c:v>
                </c:pt>
                <c:pt idx="935">
                  <c:v>455.22429385173211</c:v>
                </c:pt>
                <c:pt idx="936">
                  <c:v>453.34201993773405</c:v>
                </c:pt>
                <c:pt idx="937">
                  <c:v>451.78490731405861</c:v>
                </c:pt>
                <c:pt idx="938">
                  <c:v>451.8728629877271</c:v>
                </c:pt>
                <c:pt idx="939">
                  <c:v>453.3896992273049</c:v>
                </c:pt>
                <c:pt idx="940">
                  <c:v>454.78918440938799</c:v>
                </c:pt>
                <c:pt idx="941">
                  <c:v>455.98110404377707</c:v>
                </c:pt>
                <c:pt idx="942">
                  <c:v>456.85402156583422</c:v>
                </c:pt>
                <c:pt idx="943">
                  <c:v>457.74988036069055</c:v>
                </c:pt>
                <c:pt idx="944">
                  <c:v>459.22652947506015</c:v>
                </c:pt>
                <c:pt idx="945">
                  <c:v>459.91443855849832</c:v>
                </c:pt>
                <c:pt idx="946">
                  <c:v>459.43600409799865</c:v>
                </c:pt>
                <c:pt idx="947">
                  <c:v>458.04585458300932</c:v>
                </c:pt>
                <c:pt idx="948">
                  <c:v>456.16579947965403</c:v>
                </c:pt>
                <c:pt idx="949">
                  <c:v>454.61090566662131</c:v>
                </c:pt>
                <c:pt idx="950">
                  <c:v>454.70100857639562</c:v>
                </c:pt>
                <c:pt idx="951">
                  <c:v>456.2200636266162</c:v>
                </c:pt>
                <c:pt idx="952">
                  <c:v>457.62169604480511</c:v>
                </c:pt>
                <c:pt idx="953">
                  <c:v>458.81583448983696</c:v>
                </c:pt>
                <c:pt idx="954">
                  <c:v>459.69097082253683</c:v>
                </c:pt>
                <c:pt idx="955">
                  <c:v>460.58883370442527</c:v>
                </c:pt>
                <c:pt idx="956">
                  <c:v>462.06770162943758</c:v>
                </c:pt>
                <c:pt idx="957">
                  <c:v>462.75775794898158</c:v>
                </c:pt>
                <c:pt idx="958">
                  <c:v>462.28154229912474</c:v>
                </c:pt>
                <c:pt idx="959">
                  <c:v>460.89354002024123</c:v>
                </c:pt>
                <c:pt idx="960">
                  <c:v>459.01570372752866</c:v>
                </c:pt>
                <c:pt idx="961">
                  <c:v>457.46302872513866</c:v>
                </c:pt>
                <c:pt idx="962">
                  <c:v>457.55527887101886</c:v>
                </c:pt>
                <c:pt idx="963">
                  <c:v>459.07655273188215</c:v>
                </c:pt>
                <c:pt idx="964">
                  <c:v>460.480332386177</c:v>
                </c:pt>
                <c:pt idx="965">
                  <c:v>461.67668964185157</c:v>
                </c:pt>
                <c:pt idx="966">
                  <c:v>462.55404478519415</c:v>
                </c:pt>
                <c:pt idx="967">
                  <c:v>463.45391175411476</c:v>
                </c:pt>
                <c:pt idx="968">
                  <c:v>464.93499848976978</c:v>
                </c:pt>
                <c:pt idx="969">
                  <c:v>465.62720204541966</c:v>
                </c:pt>
                <c:pt idx="970">
                  <c:v>465.15320520620548</c:v>
                </c:pt>
                <c:pt idx="971">
                  <c:v>463.76735016342792</c:v>
                </c:pt>
                <c:pt idx="972">
                  <c:v>461.89173268135801</c:v>
                </c:pt>
                <c:pt idx="973">
                  <c:v>460.34127648961078</c:v>
                </c:pt>
                <c:pt idx="974">
                  <c:v>460.4356738715968</c:v>
                </c:pt>
                <c:pt idx="975">
                  <c:v>461.95916654310287</c:v>
                </c:pt>
                <c:pt idx="976">
                  <c:v>463.36509343350355</c:v>
                </c:pt>
                <c:pt idx="977">
                  <c:v>464.56366949982078</c:v>
                </c:pt>
                <c:pt idx="978">
                  <c:v>465.44324345380619</c:v>
                </c:pt>
                <c:pt idx="979">
                  <c:v>466.35307149851479</c:v>
                </c:pt>
                <c:pt idx="980">
                  <c:v>467.83638312374575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D-4359-86BE-CB99C57C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069072"/>
        <c:axId val="346069488"/>
      </c:lineChart>
      <c:dateAx>
        <c:axId val="346069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069488"/>
        <c:crosses val="autoZero"/>
        <c:auto val="1"/>
        <c:lblOffset val="100"/>
        <c:baseTimeUnit val="months"/>
      </c:dateAx>
      <c:valAx>
        <c:axId val="34606948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0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 (2)'!$M$1</c:f>
              <c:strCache>
                <c:ptCount val="1"/>
                <c:pt idx="0">
                  <c:v>I(t) (=残差)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(2)'!$M$2:$M$982</c:f>
              <c:numCache>
                <c:formatCode>0.00_ ;[Red]\-0.00\ </c:formatCode>
                <c:ptCount val="981"/>
                <c:pt idx="0">
                  <c:v>-0.28492066776249203</c:v>
                </c:pt>
                <c:pt idx="1">
                  <c:v>0.1738378373088949</c:v>
                </c:pt>
                <c:pt idx="2">
                  <c:v>-0.29432193699284426</c:v>
                </c:pt>
                <c:pt idx="3">
                  <c:v>0.26941896707359092</c:v>
                </c:pt>
                <c:pt idx="4">
                  <c:v>1.3948816898698624</c:v>
                </c:pt>
                <c:pt idx="5">
                  <c:v>1.4051831223435443</c:v>
                </c:pt>
                <c:pt idx="6">
                  <c:v>0.26118209092607003</c:v>
                </c:pt>
                <c:pt idx="7">
                  <c:v>0.36929898187355548</c:v>
                </c:pt>
                <c:pt idx="8">
                  <c:v>0.26056815628271579</c:v>
                </c:pt>
                <c:pt idx="9">
                  <c:v>0.47083944302386271</c:v>
                </c:pt>
                <c:pt idx="10">
                  <c:v>-0.10859075033732779</c:v>
                </c:pt>
                <c:pt idx="11">
                  <c:v>-0.3420510559085983</c:v>
                </c:pt>
                <c:pt idx="12">
                  <c:v>-0.29235806631618289</c:v>
                </c:pt>
                <c:pt idx="13">
                  <c:v>0.21926520298165997</c:v>
                </c:pt>
                <c:pt idx="14">
                  <c:v>0.16701679100162892</c:v>
                </c:pt>
                <c:pt idx="15">
                  <c:v>0.48026070315518155</c:v>
                </c:pt>
                <c:pt idx="16">
                  <c:v>1.2483433249860809</c:v>
                </c:pt>
                <c:pt idx="17">
                  <c:v>0.81584248824236738</c:v>
                </c:pt>
                <c:pt idx="18">
                  <c:v>0.94997624682002879</c:v>
                </c:pt>
                <c:pt idx="19">
                  <c:v>0.48594590166163698</c:v>
                </c:pt>
                <c:pt idx="20">
                  <c:v>0.3149962654281353</c:v>
                </c:pt>
                <c:pt idx="21">
                  <c:v>0.16304874152655202</c:v>
                </c:pt>
                <c:pt idx="22">
                  <c:v>1.9387357218761281E-2</c:v>
                </c:pt>
                <c:pt idx="23">
                  <c:v>0.16370216207144495</c:v>
                </c:pt>
                <c:pt idx="24">
                  <c:v>0.65124203271938086</c:v>
                </c:pt>
                <c:pt idx="25">
                  <c:v>0.8406404124412461</c:v>
                </c:pt>
                <c:pt idx="26">
                  <c:v>0.99623888151666051</c:v>
                </c:pt>
                <c:pt idx="27">
                  <c:v>0.76725790409420824</c:v>
                </c:pt>
                <c:pt idx="28">
                  <c:v>0.76311563634919821</c:v>
                </c:pt>
                <c:pt idx="29">
                  <c:v>0.49846168066090968</c:v>
                </c:pt>
                <c:pt idx="30">
                  <c:v>0.32037054966258438</c:v>
                </c:pt>
                <c:pt idx="31">
                  <c:v>0.27418708555973126</c:v>
                </c:pt>
                <c:pt idx="32">
                  <c:v>-3.8987440249854899E-2</c:v>
                </c:pt>
                <c:pt idx="33">
                  <c:v>5.6840146272520542E-2</c:v>
                </c:pt>
                <c:pt idx="34">
                  <c:v>0.15339628819771178</c:v>
                </c:pt>
                <c:pt idx="35">
                  <c:v>-0.21450771759231202</c:v>
                </c:pt>
                <c:pt idx="36">
                  <c:v>0.36088491694965796</c:v>
                </c:pt>
                <c:pt idx="37">
                  <c:v>0.19806448602884075</c:v>
                </c:pt>
                <c:pt idx="38">
                  <c:v>0.55151571899835972</c:v>
                </c:pt>
                <c:pt idx="39">
                  <c:v>0.82031593093324773</c:v>
                </c:pt>
                <c:pt idx="40">
                  <c:v>0.74395485254547111</c:v>
                </c:pt>
                <c:pt idx="41">
                  <c:v>1.1371536607513235</c:v>
                </c:pt>
                <c:pt idx="42">
                  <c:v>0.5768437191102862</c:v>
                </c:pt>
                <c:pt idx="43">
                  <c:v>0.24851301890151944</c:v>
                </c:pt>
                <c:pt idx="44">
                  <c:v>0.15311968244924401</c:v>
                </c:pt>
                <c:pt idx="45">
                  <c:v>5.6728458328905162E-2</c:v>
                </c:pt>
                <c:pt idx="46">
                  <c:v>0.44128051322189776</c:v>
                </c:pt>
                <c:pt idx="47">
                  <c:v>2.115769678914603E-2</c:v>
                </c:pt>
                <c:pt idx="48">
                  <c:v>-5.5596904774745326E-2</c:v>
                </c:pt>
                <c:pt idx="49">
                  <c:v>0.18936385366174591</c:v>
                </c:pt>
                <c:pt idx="50">
                  <c:v>0.73066785052537853</c:v>
                </c:pt>
                <c:pt idx="51">
                  <c:v>0.56724925181748631</c:v>
                </c:pt>
                <c:pt idx="52">
                  <c:v>1.1386693627870272</c:v>
                </c:pt>
                <c:pt idx="53">
                  <c:v>0.3797209348870183</c:v>
                </c:pt>
                <c:pt idx="54">
                  <c:v>0.29719218260322577</c:v>
                </c:pt>
                <c:pt idx="55">
                  <c:v>6.6714246288597678E-2</c:v>
                </c:pt>
                <c:pt idx="56">
                  <c:v>7.9102099193619324E-2</c:v>
                </c:pt>
                <c:pt idx="57">
                  <c:v>-0.29950793556946564</c:v>
                </c:pt>
                <c:pt idx="58">
                  <c:v>-0.25695996770855345</c:v>
                </c:pt>
                <c:pt idx="59">
                  <c:v>-4.9301594784083136E-2</c:v>
                </c:pt>
                <c:pt idx="60">
                  <c:v>0.29179656754621419</c:v>
                </c:pt>
                <c:pt idx="61">
                  <c:v>0.16453851533992747</c:v>
                </c:pt>
                <c:pt idx="62">
                  <c:v>-2.6304723902342175E-2</c:v>
                </c:pt>
                <c:pt idx="63">
                  <c:v>4.8057866747058142E-2</c:v>
                </c:pt>
                <c:pt idx="64">
                  <c:v>0.20725916707380065</c:v>
                </c:pt>
                <c:pt idx="65">
                  <c:v>5.6163503067978127E-2</c:v>
                </c:pt>
                <c:pt idx="66">
                  <c:v>-0.21858405985852869</c:v>
                </c:pt>
                <c:pt idx="67">
                  <c:v>-0.18120923227900221</c:v>
                </c:pt>
                <c:pt idx="68">
                  <c:v>8.9598099831960099E-3</c:v>
                </c:pt>
                <c:pt idx="69">
                  <c:v>-0.60946022601609684</c:v>
                </c:pt>
                <c:pt idx="70">
                  <c:v>-0.33894316779839073</c:v>
                </c:pt>
                <c:pt idx="71">
                  <c:v>-0.24193952598511714</c:v>
                </c:pt>
                <c:pt idx="72">
                  <c:v>5.0198175088326025E-2</c:v>
                </c:pt>
                <c:pt idx="73">
                  <c:v>-0.22282541416092272</c:v>
                </c:pt>
                <c:pt idx="74">
                  <c:v>1.392580288870704E-2</c:v>
                </c:pt>
                <c:pt idx="75">
                  <c:v>-0.53304664961376602</c:v>
                </c:pt>
                <c:pt idx="76">
                  <c:v>-0.74782494097883045</c:v>
                </c:pt>
                <c:pt idx="77">
                  <c:v>-1.0498807882925689</c:v>
                </c:pt>
                <c:pt idx="78">
                  <c:v>-0.76293452327433897</c:v>
                </c:pt>
                <c:pt idx="79">
                  <c:v>-1.0644002201271405</c:v>
                </c:pt>
                <c:pt idx="80">
                  <c:v>-1.1311855474214099</c:v>
                </c:pt>
                <c:pt idx="81">
                  <c:v>-1.6343877401414488</c:v>
                </c:pt>
                <c:pt idx="82">
                  <c:v>-1.2960894925665229</c:v>
                </c:pt>
                <c:pt idx="83">
                  <c:v>-0.41123308685911297</c:v>
                </c:pt>
                <c:pt idx="84">
                  <c:v>-0.7113141964284182</c:v>
                </c:pt>
                <c:pt idx="85">
                  <c:v>-5.6556596320376684E-2</c:v>
                </c:pt>
                <c:pt idx="86">
                  <c:v>-0.50195261537658098</c:v>
                </c:pt>
                <c:pt idx="87">
                  <c:v>-0.29114387852183654</c:v>
                </c:pt>
                <c:pt idx="88">
                  <c:v>-0.98806940599268955</c:v>
                </c:pt>
                <c:pt idx="89">
                  <c:v>-0.82234406394917414</c:v>
                </c:pt>
                <c:pt idx="90">
                  <c:v>-0.55761660957369941</c:v>
                </c:pt>
                <c:pt idx="91">
                  <c:v>-0.52108639345868824</c:v>
                </c:pt>
                <c:pt idx="92">
                  <c:v>-0.53009053139567186</c:v>
                </c:pt>
                <c:pt idx="93">
                  <c:v>-0.68543996022162901</c:v>
                </c:pt>
                <c:pt idx="94">
                  <c:v>-0.37936052328933556</c:v>
                </c:pt>
                <c:pt idx="95">
                  <c:v>-0.2066513536877892</c:v>
                </c:pt>
                <c:pt idx="96">
                  <c:v>-0.18895127389987465</c:v>
                </c:pt>
                <c:pt idx="97">
                  <c:v>-0.19641248443457471</c:v>
                </c:pt>
                <c:pt idx="98">
                  <c:v>-0.67395573959663579</c:v>
                </c:pt>
                <c:pt idx="99">
                  <c:v>-0.35536581338465112</c:v>
                </c:pt>
                <c:pt idx="100">
                  <c:v>-0.35443857696139958</c:v>
                </c:pt>
                <c:pt idx="101">
                  <c:v>-9.093204556057799E-2</c:v>
                </c:pt>
                <c:pt idx="102">
                  <c:v>-0.63842340182782209</c:v>
                </c:pt>
                <c:pt idx="103">
                  <c:v>-0.85389727274491634</c:v>
                </c:pt>
                <c:pt idx="104">
                  <c:v>-0.79512022132462334</c:v>
                </c:pt>
                <c:pt idx="105">
                  <c:v>-0.75261688625641909</c:v>
                </c:pt>
                <c:pt idx="106">
                  <c:v>-1.02875625996694</c:v>
                </c:pt>
                <c:pt idx="107">
                  <c:v>-1.0381943264712277</c:v>
                </c:pt>
                <c:pt idx="108">
                  <c:v>-0.62271305732599558</c:v>
                </c:pt>
                <c:pt idx="109">
                  <c:v>-0.58239307850345767</c:v>
                </c:pt>
                <c:pt idx="110">
                  <c:v>-0.38208356977145286</c:v>
                </c:pt>
                <c:pt idx="111">
                  <c:v>-0.40571245420210289</c:v>
                </c:pt>
                <c:pt idx="112">
                  <c:v>-0.42693245388477408</c:v>
                </c:pt>
                <c:pt idx="113">
                  <c:v>-0.85564473312666678</c:v>
                </c:pt>
                <c:pt idx="114">
                  <c:v>-0.99535490003665927</c:v>
                </c:pt>
                <c:pt idx="115">
                  <c:v>-1.0156329503844859</c:v>
                </c:pt>
                <c:pt idx="116">
                  <c:v>-1.2090807885401773</c:v>
                </c:pt>
                <c:pt idx="117">
                  <c:v>-1.1987305724164798</c:v>
                </c:pt>
                <c:pt idx="118">
                  <c:v>-0.77709483570293969</c:v>
                </c:pt>
                <c:pt idx="119">
                  <c:v>-0.45868602115183421</c:v>
                </c:pt>
                <c:pt idx="120">
                  <c:v>-0.45542964158261157</c:v>
                </c:pt>
                <c:pt idx="121">
                  <c:v>-0.52733455233607174</c:v>
                </c:pt>
                <c:pt idx="122">
                  <c:v>-0.54917816254851459</c:v>
                </c:pt>
                <c:pt idx="123">
                  <c:v>-0.84503193655518771</c:v>
                </c:pt>
                <c:pt idx="124">
                  <c:v>-0.52840505518236114</c:v>
                </c:pt>
                <c:pt idx="125">
                  <c:v>-0.45934222400023828</c:v>
                </c:pt>
                <c:pt idx="126">
                  <c:v>-0.77127728048623112</c:v>
                </c:pt>
                <c:pt idx="127">
                  <c:v>-0.31076481611700046</c:v>
                </c:pt>
                <c:pt idx="128">
                  <c:v>-0.60643146491543121</c:v>
                </c:pt>
                <c:pt idx="129">
                  <c:v>-0.42822848489765875</c:v>
                </c:pt>
                <c:pt idx="130">
                  <c:v>-0.46881155882687153</c:v>
                </c:pt>
                <c:pt idx="131">
                  <c:v>0.23745001961844991</c:v>
                </c:pt>
                <c:pt idx="132">
                  <c:v>4.8487588544958271E-2</c:v>
                </c:pt>
                <c:pt idx="133">
                  <c:v>0.47436386714878154</c:v>
                </c:pt>
                <c:pt idx="134">
                  <c:v>-6.9626979169584047E-2</c:v>
                </c:pt>
                <c:pt idx="135">
                  <c:v>-0.36769956381897373</c:v>
                </c:pt>
                <c:pt idx="136">
                  <c:v>-0.35321991855198576</c:v>
                </c:pt>
                <c:pt idx="137">
                  <c:v>-0.45637589801265221</c:v>
                </c:pt>
                <c:pt idx="138">
                  <c:v>-0.26052976514131387</c:v>
                </c:pt>
                <c:pt idx="139">
                  <c:v>-7.2021387804284132E-2</c:v>
                </c:pt>
                <c:pt idx="140">
                  <c:v>-0.19990684724541552</c:v>
                </c:pt>
                <c:pt idx="141">
                  <c:v>-0.79385110333350895</c:v>
                </c:pt>
                <c:pt idx="142">
                  <c:v>-0.57665298790544739</c:v>
                </c:pt>
                <c:pt idx="143">
                  <c:v>-0.37253864556601002</c:v>
                </c:pt>
                <c:pt idx="144">
                  <c:v>6.2801127177749549E-3</c:v>
                </c:pt>
                <c:pt idx="145">
                  <c:v>0.11993758067887939</c:v>
                </c:pt>
                <c:pt idx="146">
                  <c:v>0.13379949825468884</c:v>
                </c:pt>
                <c:pt idx="147">
                  <c:v>-0.28649189703753564</c:v>
                </c:pt>
                <c:pt idx="148">
                  <c:v>-0.42415948787635216</c:v>
                </c:pt>
                <c:pt idx="149">
                  <c:v>-0.42953427797971244</c:v>
                </c:pt>
                <c:pt idx="150">
                  <c:v>-0.64590695575117252</c:v>
                </c:pt>
                <c:pt idx="151">
                  <c:v>-0.91940266544622773</c:v>
                </c:pt>
                <c:pt idx="152">
                  <c:v>-1.6295069355301166</c:v>
                </c:pt>
                <c:pt idx="153">
                  <c:v>-1.0355984277240395</c:v>
                </c:pt>
                <c:pt idx="154">
                  <c:v>-0.77061912293874002</c:v>
                </c:pt>
                <c:pt idx="155">
                  <c:v>-0.44865201670518218</c:v>
                </c:pt>
                <c:pt idx="156">
                  <c:v>-0.35205206906414332</c:v>
                </c:pt>
                <c:pt idx="157">
                  <c:v>-0.7206134117457168</c:v>
                </c:pt>
                <c:pt idx="158">
                  <c:v>-0.46889873027583917</c:v>
                </c:pt>
                <c:pt idx="159">
                  <c:v>-0.6014089362107029</c:v>
                </c:pt>
                <c:pt idx="160">
                  <c:v>-0.65122376315548536</c:v>
                </c:pt>
                <c:pt idx="161">
                  <c:v>-0.93881736390159176</c:v>
                </c:pt>
                <c:pt idx="162">
                  <c:v>-0.80740885231574566</c:v>
                </c:pt>
                <c:pt idx="163">
                  <c:v>-1.4559952356835879</c:v>
                </c:pt>
                <c:pt idx="164">
                  <c:v>-0.81832439534343848</c:v>
                </c:pt>
                <c:pt idx="165">
                  <c:v>-1.0165690064819159</c:v>
                </c:pt>
                <c:pt idx="166">
                  <c:v>-1.3738145912726054</c:v>
                </c:pt>
                <c:pt idx="167">
                  <c:v>-0.89400060398349979</c:v>
                </c:pt>
                <c:pt idx="168">
                  <c:v>-0.58962554591852268</c:v>
                </c:pt>
                <c:pt idx="169">
                  <c:v>-0.37041177817616244</c:v>
                </c:pt>
                <c:pt idx="170">
                  <c:v>3.9149784349262973E-2</c:v>
                </c:pt>
                <c:pt idx="171">
                  <c:v>-3.5585311161582922E-2</c:v>
                </c:pt>
                <c:pt idx="172">
                  <c:v>-0.24755325705081077</c:v>
                </c:pt>
                <c:pt idx="173">
                  <c:v>-0.29737174737294936</c:v>
                </c:pt>
                <c:pt idx="174">
                  <c:v>-1.818812536311043E-2</c:v>
                </c:pt>
                <c:pt idx="175">
                  <c:v>-4.5697499771847561E-2</c:v>
                </c:pt>
                <c:pt idx="176">
                  <c:v>-0.18024547007451019</c:v>
                </c:pt>
                <c:pt idx="177">
                  <c:v>0.2493626826812374</c:v>
                </c:pt>
                <c:pt idx="178">
                  <c:v>0.45989828724776771</c:v>
                </c:pt>
                <c:pt idx="179">
                  <c:v>0.787565038431012</c:v>
                </c:pt>
                <c:pt idx="180">
                  <c:v>1.2497212858532976</c:v>
                </c:pt>
                <c:pt idx="181">
                  <c:v>1.1467162429529481</c:v>
                </c:pt>
                <c:pt idx="182">
                  <c:v>0.86413056937249166</c:v>
                </c:pt>
                <c:pt idx="183">
                  <c:v>0.46717666321887918</c:v>
                </c:pt>
                <c:pt idx="184">
                  <c:v>-0.31693851877628276</c:v>
                </c:pt>
                <c:pt idx="185">
                  <c:v>-0.65897581974104469</c:v>
                </c:pt>
                <c:pt idx="186">
                  <c:v>-3.2011008374013272E-2</c:v>
                </c:pt>
                <c:pt idx="187">
                  <c:v>-3.1524469814826261E-2</c:v>
                </c:pt>
                <c:pt idx="188">
                  <c:v>-0.19829125076023502</c:v>
                </c:pt>
                <c:pt idx="189">
                  <c:v>-0.31083033411039196</c:v>
                </c:pt>
                <c:pt idx="190">
                  <c:v>-0.53251354018652819</c:v>
                </c:pt>
                <c:pt idx="191">
                  <c:v>-7.6994025109172526E-2</c:v>
                </c:pt>
                <c:pt idx="192">
                  <c:v>0.15294341167037828</c:v>
                </c:pt>
                <c:pt idx="193">
                  <c:v>-0.1122804418727128</c:v>
                </c:pt>
                <c:pt idx="194">
                  <c:v>-0.12701335155901461</c:v>
                </c:pt>
                <c:pt idx="195">
                  <c:v>-0.41618606835538685</c:v>
                </c:pt>
                <c:pt idx="196">
                  <c:v>-0.57244848645638058</c:v>
                </c:pt>
                <c:pt idx="197">
                  <c:v>-0.79670459806391136</c:v>
                </c:pt>
                <c:pt idx="198">
                  <c:v>-0.53195859733955331</c:v>
                </c:pt>
                <c:pt idx="199">
                  <c:v>-0.66347614581258085</c:v>
                </c:pt>
                <c:pt idx="200">
                  <c:v>-0.73246173740062659</c:v>
                </c:pt>
                <c:pt idx="201">
                  <c:v>-0.62714805685669717</c:v>
                </c:pt>
                <c:pt idx="202">
                  <c:v>-0.38105007357552267</c:v>
                </c:pt>
                <c:pt idx="203">
                  <c:v>-0.55767779460410338</c:v>
                </c:pt>
                <c:pt idx="204">
                  <c:v>-0.37995916846728051</c:v>
                </c:pt>
                <c:pt idx="205">
                  <c:v>-0.18740183265305177</c:v>
                </c:pt>
                <c:pt idx="206">
                  <c:v>-0.36428197844526267</c:v>
                </c:pt>
                <c:pt idx="207">
                  <c:v>-0.5956735058843492</c:v>
                </c:pt>
                <c:pt idx="208">
                  <c:v>-0.59408316009120199</c:v>
                </c:pt>
                <c:pt idx="209">
                  <c:v>-0.66055808234148117</c:v>
                </c:pt>
                <c:pt idx="210">
                  <c:v>-0.5780308922598465</c:v>
                </c:pt>
                <c:pt idx="211">
                  <c:v>-0.42492560864775442</c:v>
                </c:pt>
                <c:pt idx="212">
                  <c:v>-0.68613608981183916</c:v>
                </c:pt>
                <c:pt idx="213">
                  <c:v>-0.94297552821234376</c:v>
                </c:pt>
                <c:pt idx="214">
                  <c:v>-0.87910243450721737</c:v>
                </c:pt>
                <c:pt idx="215">
                  <c:v>-0.63788327448025939</c:v>
                </c:pt>
                <c:pt idx="216">
                  <c:v>-0.7323895379194596</c:v>
                </c:pt>
                <c:pt idx="217">
                  <c:v>-0.68205709168120165</c:v>
                </c:pt>
                <c:pt idx="218">
                  <c:v>-1.001090356417933</c:v>
                </c:pt>
                <c:pt idx="219">
                  <c:v>-1.0147067734330335</c:v>
                </c:pt>
                <c:pt idx="220">
                  <c:v>-0.91526954658434079</c:v>
                </c:pt>
                <c:pt idx="221">
                  <c:v>-0.72396935841067034</c:v>
                </c:pt>
                <c:pt idx="222">
                  <c:v>-0.97366705790500419</c:v>
                </c:pt>
                <c:pt idx="223">
                  <c:v>-0.46919827109178414</c:v>
                </c:pt>
                <c:pt idx="224">
                  <c:v>-0.44262756289856497</c:v>
                </c:pt>
                <c:pt idx="225">
                  <c:v>-0.3216142374049582</c:v>
                </c:pt>
                <c:pt idx="226">
                  <c:v>-0.18995995434255519</c:v>
                </c:pt>
                <c:pt idx="227">
                  <c:v>-2.0888030421474468E-2</c:v>
                </c:pt>
                <c:pt idx="228">
                  <c:v>-0.17761310450339352</c:v>
                </c:pt>
                <c:pt idx="229">
                  <c:v>0.35050053109205237</c:v>
                </c:pt>
                <c:pt idx="230">
                  <c:v>-4.0679969750442524E-2</c:v>
                </c:pt>
                <c:pt idx="231">
                  <c:v>-0.18651519740831191</c:v>
                </c:pt>
                <c:pt idx="232">
                  <c:v>-9.2252066654623377E-3</c:v>
                </c:pt>
                <c:pt idx="233">
                  <c:v>4.9856170865496097E-2</c:v>
                </c:pt>
                <c:pt idx="234">
                  <c:v>-0.27206033927160433</c:v>
                </c:pt>
                <c:pt idx="235">
                  <c:v>0.20040436050953758</c:v>
                </c:pt>
                <c:pt idx="236">
                  <c:v>-2.5243741940016662E-2</c:v>
                </c:pt>
                <c:pt idx="237">
                  <c:v>-0.33637765255230079</c:v>
                </c:pt>
                <c:pt idx="238">
                  <c:v>0.16305781986739021</c:v>
                </c:pt>
                <c:pt idx="239">
                  <c:v>0.31998250768259595</c:v>
                </c:pt>
                <c:pt idx="240">
                  <c:v>0.47103862295796262</c:v>
                </c:pt>
                <c:pt idx="241">
                  <c:v>0.23693344791070103</c:v>
                </c:pt>
                <c:pt idx="242">
                  <c:v>6.3605710962292505E-2</c:v>
                </c:pt>
                <c:pt idx="243">
                  <c:v>4.5551672661758857E-2</c:v>
                </c:pt>
                <c:pt idx="244">
                  <c:v>-0.19930557270134841</c:v>
                </c:pt>
                <c:pt idx="245">
                  <c:v>1.7556994186918473E-2</c:v>
                </c:pt>
                <c:pt idx="246">
                  <c:v>-0.19657832659288488</c:v>
                </c:pt>
                <c:pt idx="247">
                  <c:v>0.22388228615608341</c:v>
                </c:pt>
                <c:pt idx="248">
                  <c:v>-0.20398462693617603</c:v>
                </c:pt>
                <c:pt idx="249">
                  <c:v>-0.1772657736543124</c:v>
                </c:pt>
                <c:pt idx="250">
                  <c:v>0.24995088812266886</c:v>
                </c:pt>
                <c:pt idx="251">
                  <c:v>0.20472833983200189</c:v>
                </c:pt>
                <c:pt idx="252">
                  <c:v>0.57356564446456559</c:v>
                </c:pt>
                <c:pt idx="253">
                  <c:v>8.7241658774644293E-2</c:v>
                </c:pt>
                <c:pt idx="254">
                  <c:v>6.1766685720328951E-2</c:v>
                </c:pt>
                <c:pt idx="255">
                  <c:v>0.10149383677708101</c:v>
                </c:pt>
                <c:pt idx="256">
                  <c:v>0.26448935530811468</c:v>
                </c:pt>
                <c:pt idx="257">
                  <c:v>0.47913311155360816</c:v>
                </c:pt>
                <c:pt idx="258">
                  <c:v>8.2778980131081425E-2</c:v>
                </c:pt>
                <c:pt idx="259">
                  <c:v>1.0075759307231351</c:v>
                </c:pt>
                <c:pt idx="260">
                  <c:v>0.34748412805487305</c:v>
                </c:pt>
                <c:pt idx="261">
                  <c:v>0.49204986239220716</c:v>
                </c:pt>
                <c:pt idx="262">
                  <c:v>0.79704163459314259</c:v>
                </c:pt>
                <c:pt idx="263">
                  <c:v>0.69966596735798703</c:v>
                </c:pt>
                <c:pt idx="264">
                  <c:v>0.74627838241462996</c:v>
                </c:pt>
                <c:pt idx="265">
                  <c:v>0.70772950714865601</c:v>
                </c:pt>
                <c:pt idx="266">
                  <c:v>0.88010141514979523</c:v>
                </c:pt>
                <c:pt idx="267">
                  <c:v>0.56760367663059696</c:v>
                </c:pt>
                <c:pt idx="268">
                  <c:v>0.39844607621705563</c:v>
                </c:pt>
                <c:pt idx="269">
                  <c:v>0.36086494288662152</c:v>
                </c:pt>
                <c:pt idx="270">
                  <c:v>0.85228592188809671</c:v>
                </c:pt>
                <c:pt idx="271">
                  <c:v>0.96873286992337171</c:v>
                </c:pt>
                <c:pt idx="272">
                  <c:v>0.73642225661239991</c:v>
                </c:pt>
                <c:pt idx="273">
                  <c:v>0.57884075484389541</c:v>
                </c:pt>
                <c:pt idx="274">
                  <c:v>0.52161371640210064</c:v>
                </c:pt>
                <c:pt idx="275">
                  <c:v>0.27209081306102689</c:v>
                </c:pt>
                <c:pt idx="276">
                  <c:v>0.21648441747498737</c:v>
                </c:pt>
                <c:pt idx="277">
                  <c:v>0.1557167315662582</c:v>
                </c:pt>
                <c:pt idx="278">
                  <c:v>0.35594140346159975</c:v>
                </c:pt>
                <c:pt idx="279">
                  <c:v>0.46122485429958715</c:v>
                </c:pt>
                <c:pt idx="280">
                  <c:v>0.42992001778026179</c:v>
                </c:pt>
                <c:pt idx="281">
                  <c:v>0.50012007380701107</c:v>
                </c:pt>
                <c:pt idx="282">
                  <c:v>0.60932224216577424</c:v>
                </c:pt>
                <c:pt idx="283">
                  <c:v>0.91376510316888471</c:v>
                </c:pt>
                <c:pt idx="284">
                  <c:v>0.42923567921519634</c:v>
                </c:pt>
                <c:pt idx="285">
                  <c:v>0.42950694134077594</c:v>
                </c:pt>
                <c:pt idx="286">
                  <c:v>0.24006109225632599</c:v>
                </c:pt>
                <c:pt idx="287">
                  <c:v>0.45839095280939546</c:v>
                </c:pt>
                <c:pt idx="288">
                  <c:v>0.2105657465805848</c:v>
                </c:pt>
                <c:pt idx="289">
                  <c:v>5.7579250029164086E-2</c:v>
                </c:pt>
                <c:pt idx="290">
                  <c:v>-3.434331418139891E-2</c:v>
                </c:pt>
                <c:pt idx="291">
                  <c:v>-3.1278673986150807E-2</c:v>
                </c:pt>
                <c:pt idx="292">
                  <c:v>-8.4730746611342056E-2</c:v>
                </c:pt>
                <c:pt idx="293">
                  <c:v>-0.26674950122730934</c:v>
                </c:pt>
                <c:pt idx="294">
                  <c:v>0.12023385648870999</c:v>
                </c:pt>
                <c:pt idx="295">
                  <c:v>-8.7327369540275868E-2</c:v>
                </c:pt>
                <c:pt idx="296">
                  <c:v>0.39592439586328965</c:v>
                </c:pt>
                <c:pt idx="297">
                  <c:v>0.64404842188298517</c:v>
                </c:pt>
                <c:pt idx="298">
                  <c:v>0.80238376215578455</c:v>
                </c:pt>
                <c:pt idx="299">
                  <c:v>0.96856638660301542</c:v>
                </c:pt>
                <c:pt idx="300">
                  <c:v>1.3685223697314655</c:v>
                </c:pt>
                <c:pt idx="301">
                  <c:v>0.53331706253732136</c:v>
                </c:pt>
                <c:pt idx="302">
                  <c:v>0.67924726222088339</c:v>
                </c:pt>
                <c:pt idx="303">
                  <c:v>0.44009309177340583</c:v>
                </c:pt>
                <c:pt idx="304">
                  <c:v>0.99449378304234415</c:v>
                </c:pt>
                <c:pt idx="305">
                  <c:v>0.63025621778371033</c:v>
                </c:pt>
                <c:pt idx="306">
                  <c:v>0.67502076485698126</c:v>
                </c:pt>
                <c:pt idx="307">
                  <c:v>0.66150938242896018</c:v>
                </c:pt>
                <c:pt idx="308">
                  <c:v>1.0725362582565481</c:v>
                </c:pt>
                <c:pt idx="309">
                  <c:v>0.8785071653317118</c:v>
                </c:pt>
                <c:pt idx="310">
                  <c:v>0.84461761602852903</c:v>
                </c:pt>
                <c:pt idx="311">
                  <c:v>0.93864712153123264</c:v>
                </c:pt>
                <c:pt idx="312">
                  <c:v>0.8263782150836505</c:v>
                </c:pt>
                <c:pt idx="313">
                  <c:v>0.28894801831353334</c:v>
                </c:pt>
                <c:pt idx="314">
                  <c:v>0.5927250990525863</c:v>
                </c:pt>
                <c:pt idx="315">
                  <c:v>0.8213460390291516</c:v>
                </c:pt>
                <c:pt idx="316">
                  <c:v>0.77359361135358995</c:v>
                </c:pt>
                <c:pt idx="317">
                  <c:v>0.44713115651893531</c:v>
                </c:pt>
                <c:pt idx="318">
                  <c:v>0.70967081401613541</c:v>
                </c:pt>
                <c:pt idx="319">
                  <c:v>1.3480959232734904</c:v>
                </c:pt>
                <c:pt idx="320">
                  <c:v>0.91690398845838672</c:v>
                </c:pt>
                <c:pt idx="321">
                  <c:v>0.920727659427655</c:v>
                </c:pt>
                <c:pt idx="322">
                  <c:v>0.83461929948168745</c:v>
                </c:pt>
                <c:pt idx="323">
                  <c:v>0.64650156887853427</c:v>
                </c:pt>
                <c:pt idx="324">
                  <c:v>0.75201385178826285</c:v>
                </c:pt>
                <c:pt idx="325">
                  <c:v>0.84236484437536774</c:v>
                </c:pt>
                <c:pt idx="326">
                  <c:v>0.57399468900860029</c:v>
                </c:pt>
                <c:pt idx="327">
                  <c:v>0.61039681834239445</c:v>
                </c:pt>
                <c:pt idx="328">
                  <c:v>0.64049715456098966</c:v>
                </c:pt>
                <c:pt idx="329">
                  <c:v>0.30181588908357071</c:v>
                </c:pt>
                <c:pt idx="330">
                  <c:v>0.19213673593810654</c:v>
                </c:pt>
                <c:pt idx="331">
                  <c:v>0.29855775816332653</c:v>
                </c:pt>
                <c:pt idx="332">
                  <c:v>0.63514701270543128</c:v>
                </c:pt>
                <c:pt idx="333">
                  <c:v>0.72682344756890416</c:v>
                </c:pt>
                <c:pt idx="334">
                  <c:v>0.64849627698021095</c:v>
                </c:pt>
                <c:pt idx="335">
                  <c:v>0.53823131027115778</c:v>
                </c:pt>
                <c:pt idx="336">
                  <c:v>0.4915247825381357</c:v>
                </c:pt>
                <c:pt idx="337">
                  <c:v>1.1096569644825536</c:v>
                </c:pt>
                <c:pt idx="338">
                  <c:v>0.44913957300991569</c:v>
                </c:pt>
                <c:pt idx="339">
                  <c:v>0.53332289170100466</c:v>
                </c:pt>
                <c:pt idx="340">
                  <c:v>0.48127599181361802</c:v>
                </c:pt>
                <c:pt idx="341">
                  <c:v>0.52037591569353481</c:v>
                </c:pt>
                <c:pt idx="342">
                  <c:v>0.21847795190535635</c:v>
                </c:pt>
                <c:pt idx="343">
                  <c:v>0.36289488709843454</c:v>
                </c:pt>
                <c:pt idx="344">
                  <c:v>0.55726533099777953</c:v>
                </c:pt>
                <c:pt idx="345">
                  <c:v>0.84679452975541381</c:v>
                </c:pt>
                <c:pt idx="346">
                  <c:v>0.84624854852393128</c:v>
                </c:pt>
                <c:pt idx="347">
                  <c:v>0.59383634570906452</c:v>
                </c:pt>
                <c:pt idx="348">
                  <c:v>1.1749110073333213</c:v>
                </c:pt>
                <c:pt idx="349">
                  <c:v>1.1908243786349999</c:v>
                </c:pt>
                <c:pt idx="350">
                  <c:v>1.1181597510564529</c:v>
                </c:pt>
                <c:pt idx="351">
                  <c:v>1.1601242591048049</c:v>
                </c:pt>
                <c:pt idx="352">
                  <c:v>1.015930123111616</c:v>
                </c:pt>
                <c:pt idx="353">
                  <c:v>1.4028112363487821</c:v>
                </c:pt>
                <c:pt idx="354">
                  <c:v>1.9386944619178621</c:v>
                </c:pt>
                <c:pt idx="355">
                  <c:v>1.6268747464698663</c:v>
                </c:pt>
                <c:pt idx="356">
                  <c:v>1.6290203007931723</c:v>
                </c:pt>
                <c:pt idx="357">
                  <c:v>1.6763963806063202</c:v>
                </c:pt>
                <c:pt idx="358">
                  <c:v>1.8436255097988692</c:v>
                </c:pt>
                <c:pt idx="359">
                  <c:v>1.9190601880394524</c:v>
                </c:pt>
                <c:pt idx="360">
                  <c:v>1.9579099600877612</c:v>
                </c:pt>
                <c:pt idx="361">
                  <c:v>1.9215984418133871</c:v>
                </c:pt>
                <c:pt idx="362">
                  <c:v>2.0867806952903152</c:v>
                </c:pt>
                <c:pt idx="363">
                  <c:v>1.8665203137626918</c:v>
                </c:pt>
                <c:pt idx="364">
                  <c:v>1.8401730588249734</c:v>
                </c:pt>
                <c:pt idx="365">
                  <c:v>2.1748292824861437</c:v>
                </c:pt>
                <c:pt idx="366">
                  <c:v>1.7184876184792302</c:v>
                </c:pt>
                <c:pt idx="367">
                  <c:v>1.5288908889586423</c:v>
                </c:pt>
                <c:pt idx="368">
                  <c:v>1.8988176326392932</c:v>
                </c:pt>
                <c:pt idx="369">
                  <c:v>1.5640464763465047</c:v>
                </c:pt>
                <c:pt idx="370">
                  <c:v>1.5990567948963417</c:v>
                </c:pt>
                <c:pt idx="371">
                  <c:v>1.8723442370310295</c:v>
                </c:pt>
                <c:pt idx="372">
                  <c:v>1.628975198436649</c:v>
                </c:pt>
                <c:pt idx="373">
                  <c:v>1.4304448695195333</c:v>
                </c:pt>
                <c:pt idx="374">
                  <c:v>1.6234798868906068</c:v>
                </c:pt>
                <c:pt idx="375">
                  <c:v>1.5210006947202714</c:v>
                </c:pt>
                <c:pt idx="376">
                  <c:v>1.4425062036766576</c:v>
                </c:pt>
                <c:pt idx="377">
                  <c:v>1.4949436166951386</c:v>
                </c:pt>
                <c:pt idx="378">
                  <c:v>1.766383142045413</c:v>
                </c:pt>
                <c:pt idx="379">
                  <c:v>1.6447823254926561</c:v>
                </c:pt>
                <c:pt idx="380">
                  <c:v>1.0924902585305745</c:v>
                </c:pt>
                <c:pt idx="381">
                  <c:v>1.4655718661319952</c:v>
                </c:pt>
                <c:pt idx="382">
                  <c:v>1.1183633740390633</c:v>
                </c:pt>
                <c:pt idx="383">
                  <c:v>1.1895035800679352</c:v>
                </c:pt>
                <c:pt idx="384">
                  <c:v>1.2739157308307654</c:v>
                </c:pt>
                <c:pt idx="385">
                  <c:v>0.98316659127090134</c:v>
                </c:pt>
                <c:pt idx="386">
                  <c:v>1.2140543725361681</c:v>
                </c:pt>
                <c:pt idx="387">
                  <c:v>1.4493563697230911</c:v>
                </c:pt>
                <c:pt idx="388">
                  <c:v>1.5287146425736182</c:v>
                </c:pt>
                <c:pt idx="389">
                  <c:v>0.94893324494938724</c:v>
                </c:pt>
                <c:pt idx="390">
                  <c:v>1.2081539596569542</c:v>
                </c:pt>
                <c:pt idx="391">
                  <c:v>1.8145490560720532</c:v>
                </c:pt>
                <c:pt idx="392">
                  <c:v>1.8800381784672595</c:v>
                </c:pt>
                <c:pt idx="393">
                  <c:v>2.030972549962712</c:v>
                </c:pt>
                <c:pt idx="394">
                  <c:v>1.5115452472271045</c:v>
                </c:pt>
                <c:pt idx="395">
                  <c:v>0.93053821715011509</c:v>
                </c:pt>
                <c:pt idx="396">
                  <c:v>0.75273155727018093</c:v>
                </c:pt>
                <c:pt idx="397">
                  <c:v>0.54976360706763217</c:v>
                </c:pt>
                <c:pt idx="398">
                  <c:v>0.61850415222698985</c:v>
                </c:pt>
                <c:pt idx="399">
                  <c:v>0.74158733877118266</c:v>
                </c:pt>
                <c:pt idx="400">
                  <c:v>0.67879837551589617</c:v>
                </c:pt>
                <c:pt idx="401">
                  <c:v>0.58679816724884404</c:v>
                </c:pt>
                <c:pt idx="402">
                  <c:v>0.54380007131373986</c:v>
                </c:pt>
                <c:pt idx="403">
                  <c:v>0.823672022845642</c:v>
                </c:pt>
                <c:pt idx="404">
                  <c:v>0.78693625566484116</c:v>
                </c:pt>
                <c:pt idx="405">
                  <c:v>0.7057175082158551</c:v>
                </c:pt>
                <c:pt idx="406">
                  <c:v>0.874065315904204</c:v>
                </c:pt>
                <c:pt idx="407">
                  <c:v>0.13090516688265552</c:v>
                </c:pt>
                <c:pt idx="408">
                  <c:v>9.0873617426780129E-2</c:v>
                </c:pt>
                <c:pt idx="409">
                  <c:v>-0.24431922235174852</c:v>
                </c:pt>
                <c:pt idx="410">
                  <c:v>6.2268203863084182E-2</c:v>
                </c:pt>
                <c:pt idx="411">
                  <c:v>-0.50687349916870517</c:v>
                </c:pt>
                <c:pt idx="412">
                  <c:v>-0.57181558136858257</c:v>
                </c:pt>
                <c:pt idx="413">
                  <c:v>-0.36604067921160777</c:v>
                </c:pt>
                <c:pt idx="414">
                  <c:v>-0.67126366472263044</c:v>
                </c:pt>
                <c:pt idx="415">
                  <c:v>-0.26888223302131564</c:v>
                </c:pt>
                <c:pt idx="416">
                  <c:v>-0.56783681084482396</c:v>
                </c:pt>
                <c:pt idx="417">
                  <c:v>-0.34120279439974865</c:v>
                </c:pt>
                <c:pt idx="418">
                  <c:v>-0.44507379735404129</c:v>
                </c:pt>
                <c:pt idx="419">
                  <c:v>-0.99038118248142837</c:v>
                </c:pt>
                <c:pt idx="420">
                  <c:v>-1.0626315425801067</c:v>
                </c:pt>
                <c:pt idx="421">
                  <c:v>-1.2400431930013269</c:v>
                </c:pt>
                <c:pt idx="422">
                  <c:v>-0.9356030028923783</c:v>
                </c:pt>
                <c:pt idx="423">
                  <c:v>-1.0069635165669411</c:v>
                </c:pt>
                <c:pt idx="424">
                  <c:v>-0.85405283487256156</c:v>
                </c:pt>
                <c:pt idx="425">
                  <c:v>-0.38049674335837835</c:v>
                </c:pt>
                <c:pt idx="426">
                  <c:v>-0.61793853951218125</c:v>
                </c:pt>
                <c:pt idx="427">
                  <c:v>-0.36756119484289229</c:v>
                </c:pt>
                <c:pt idx="428">
                  <c:v>-0.45873458330919448</c:v>
                </c:pt>
                <c:pt idx="429">
                  <c:v>-0.62424780296998961</c:v>
                </c:pt>
                <c:pt idx="430">
                  <c:v>-0.80033761656704883</c:v>
                </c:pt>
                <c:pt idx="431">
                  <c:v>-0.70779223780027678</c:v>
                </c:pt>
                <c:pt idx="432">
                  <c:v>-0.80226140854165351</c:v>
                </c:pt>
                <c:pt idx="433">
                  <c:v>-0.79189186960564939</c:v>
                </c:pt>
                <c:pt idx="434">
                  <c:v>-0.6295989156025712</c:v>
                </c:pt>
                <c:pt idx="435">
                  <c:v>-0.47317823991983232</c:v>
                </c:pt>
                <c:pt idx="436">
                  <c:v>-0.32241479433133691</c:v>
                </c:pt>
                <c:pt idx="437">
                  <c:v>-0.49107751345985662</c:v>
                </c:pt>
                <c:pt idx="438">
                  <c:v>-0.24073812025642383</c:v>
                </c:pt>
                <c:pt idx="439">
                  <c:v>-0.42236486261936079</c:v>
                </c:pt>
                <c:pt idx="440">
                  <c:v>1.4242938271650019E-2</c:v>
                </c:pt>
                <c:pt idx="441">
                  <c:v>-0.23341751749495643</c:v>
                </c:pt>
                <c:pt idx="442">
                  <c:v>-0.20172614173475267</c:v>
                </c:pt>
                <c:pt idx="443">
                  <c:v>-9.1327999073882893E-2</c:v>
                </c:pt>
                <c:pt idx="444">
                  <c:v>-0.55801598045798073</c:v>
                </c:pt>
                <c:pt idx="445">
                  <c:v>-0.30986525216468408</c:v>
                </c:pt>
                <c:pt idx="446">
                  <c:v>-0.6097195342674695</c:v>
                </c:pt>
                <c:pt idx="447">
                  <c:v>-0.22551766922748584</c:v>
                </c:pt>
                <c:pt idx="448">
                  <c:v>-0.39690145974486768</c:v>
                </c:pt>
                <c:pt idx="449">
                  <c:v>-0.14778298951608804</c:v>
                </c:pt>
                <c:pt idx="450">
                  <c:v>0.26033759304459636</c:v>
                </c:pt>
                <c:pt idx="451">
                  <c:v>0.22190121155642828</c:v>
                </c:pt>
                <c:pt idx="452">
                  <c:v>-0.4737158771285408</c:v>
                </c:pt>
                <c:pt idx="453">
                  <c:v>-0.36352945183966767</c:v>
                </c:pt>
                <c:pt idx="454">
                  <c:v>-0.24406296565541652</c:v>
                </c:pt>
                <c:pt idx="455">
                  <c:v>-8.5817941939069442E-2</c:v>
                </c:pt>
                <c:pt idx="456">
                  <c:v>-0.2847308128991699</c:v>
                </c:pt>
                <c:pt idx="457">
                  <c:v>-0.66880497418190998</c:v>
                </c:pt>
                <c:pt idx="458">
                  <c:v>-0.51081237522913625</c:v>
                </c:pt>
                <c:pt idx="459">
                  <c:v>-0.78883539976516204</c:v>
                </c:pt>
                <c:pt idx="460">
                  <c:v>-0.53237230922712797</c:v>
                </c:pt>
                <c:pt idx="461">
                  <c:v>-0.77547872857434186</c:v>
                </c:pt>
                <c:pt idx="462">
                  <c:v>-0.75958303558957141</c:v>
                </c:pt>
                <c:pt idx="463">
                  <c:v>-1.0052234426661926</c:v>
                </c:pt>
                <c:pt idx="464">
                  <c:v>-0.59305934199392141</c:v>
                </c:pt>
                <c:pt idx="465">
                  <c:v>-0.75502015281091417</c:v>
                </c:pt>
                <c:pt idx="466">
                  <c:v>-1.3577724772694637</c:v>
                </c:pt>
                <c:pt idx="467">
                  <c:v>-1.0416746896589189</c:v>
                </c:pt>
                <c:pt idx="468">
                  <c:v>-1.0428063712617472</c:v>
                </c:pt>
                <c:pt idx="469">
                  <c:v>-1.7090993431872334</c:v>
                </c:pt>
                <c:pt idx="470">
                  <c:v>-1.1232539803403938</c:v>
                </c:pt>
                <c:pt idx="471">
                  <c:v>-0.90349581551907931</c:v>
                </c:pt>
                <c:pt idx="472">
                  <c:v>-0.36917996108695661</c:v>
                </c:pt>
                <c:pt idx="473">
                  <c:v>-0.42450519107683249</c:v>
                </c:pt>
                <c:pt idx="474">
                  <c:v>-0.39082830873485364</c:v>
                </c:pt>
                <c:pt idx="475">
                  <c:v>-4.8472802843605223E-2</c:v>
                </c:pt>
                <c:pt idx="476">
                  <c:v>-0.13852751281405062</c:v>
                </c:pt>
                <c:pt idx="477">
                  <c:v>-5.2635559736927462E-2</c:v>
                </c:pt>
                <c:pt idx="478">
                  <c:v>9.2393305161863282E-2</c:v>
                </c:pt>
                <c:pt idx="479">
                  <c:v>0.32634385666648313</c:v>
                </c:pt>
                <c:pt idx="480">
                  <c:v>0.43299336442089498</c:v>
                </c:pt>
                <c:pt idx="481">
                  <c:v>0.19448158185269904</c:v>
                </c:pt>
                <c:pt idx="482">
                  <c:v>0.51817970859377738</c:v>
                </c:pt>
                <c:pt idx="483">
                  <c:v>0.31571906277224571</c:v>
                </c:pt>
                <c:pt idx="484">
                  <c:v>0.50788768109862303</c:v>
                </c:pt>
                <c:pt idx="485">
                  <c:v>0.58034364046591236</c:v>
                </c:pt>
                <c:pt idx="486">
                  <c:v>0.51180171216520876</c:v>
                </c:pt>
                <c:pt idx="487">
                  <c:v>0.41215313102424034</c:v>
                </c:pt>
                <c:pt idx="488">
                  <c:v>0.56987961041107837</c:v>
                </c:pt>
                <c:pt idx="489">
                  <c:v>-0.17637567261760978</c:v>
                </c:pt>
                <c:pt idx="490">
                  <c:v>-0.26356561836161063</c:v>
                </c:pt>
                <c:pt idx="491">
                  <c:v>0.12823769703715016</c:v>
                </c:pt>
                <c:pt idx="492">
                  <c:v>-0.24733160585111591</c:v>
                </c:pt>
                <c:pt idx="493">
                  <c:v>-0.89806219906205342</c:v>
                </c:pt>
                <c:pt idx="494">
                  <c:v>-0.41651130842694783</c:v>
                </c:pt>
                <c:pt idx="495">
                  <c:v>-0.3011907648910892</c:v>
                </c:pt>
                <c:pt idx="496">
                  <c:v>-0.30116938267065052</c:v>
                </c:pt>
                <c:pt idx="497">
                  <c:v>-0.27093223394604138</c:v>
                </c:pt>
                <c:pt idx="498">
                  <c:v>-0.74169297288955249</c:v>
                </c:pt>
                <c:pt idx="499">
                  <c:v>-0.51843768739769303</c:v>
                </c:pt>
                <c:pt idx="500">
                  <c:v>-0.76293609758681669</c:v>
                </c:pt>
                <c:pt idx="501">
                  <c:v>-1.2013444995601503</c:v>
                </c:pt>
                <c:pt idx="502">
                  <c:v>-0.78075933488008786</c:v>
                </c:pt>
                <c:pt idx="503">
                  <c:v>-0.88110913842587024</c:v>
                </c:pt>
                <c:pt idx="504">
                  <c:v>-0.91890333089014575</c:v>
                </c:pt>
                <c:pt idx="505">
                  <c:v>-0.78185881367704724</c:v>
                </c:pt>
                <c:pt idx="506">
                  <c:v>-0.68246104198641433</c:v>
                </c:pt>
                <c:pt idx="507">
                  <c:v>-0.55936538802660607</c:v>
                </c:pt>
                <c:pt idx="508">
                  <c:v>-0.65149712475067645</c:v>
                </c:pt>
                <c:pt idx="509">
                  <c:v>-1.003484865602104</c:v>
                </c:pt>
                <c:pt idx="510">
                  <c:v>-0.57647049412150864</c:v>
                </c:pt>
                <c:pt idx="511">
                  <c:v>-0.78013273997606802</c:v>
                </c:pt>
                <c:pt idx="512">
                  <c:v>-1.4368499608079901</c:v>
                </c:pt>
                <c:pt idx="513">
                  <c:v>-0.88740559888714188</c:v>
                </c:pt>
                <c:pt idx="514">
                  <c:v>-1.039039244849846</c:v>
                </c:pt>
                <c:pt idx="515">
                  <c:v>-1.2615362845014602</c:v>
                </c:pt>
                <c:pt idx="516">
                  <c:v>-1.3715492876084454</c:v>
                </c:pt>
                <c:pt idx="517">
                  <c:v>-1.3267235810381521</c:v>
                </c:pt>
                <c:pt idx="518">
                  <c:v>-1.2094730454533646</c:v>
                </c:pt>
                <c:pt idx="519">
                  <c:v>-1.0585962021363002</c:v>
                </c:pt>
                <c:pt idx="520">
                  <c:v>-0.82287517496615692</c:v>
                </c:pt>
                <c:pt idx="521">
                  <c:v>-0.73708172646030334</c:v>
                </c:pt>
                <c:pt idx="522">
                  <c:v>-0.89228616562252228</c:v>
                </c:pt>
                <c:pt idx="523">
                  <c:v>-1.2779524985092507</c:v>
                </c:pt>
                <c:pt idx="524">
                  <c:v>-1.3468885299838007</c:v>
                </c:pt>
                <c:pt idx="525">
                  <c:v>-1.2595914041688729</c:v>
                </c:pt>
                <c:pt idx="526">
                  <c:v>-0.85344386077429135</c:v>
                </c:pt>
                <c:pt idx="527">
                  <c:v>-0.76808813653178731</c:v>
                </c:pt>
                <c:pt idx="528">
                  <c:v>-1.3503199502815164</c:v>
                </c:pt>
                <c:pt idx="529">
                  <c:v>-0.49771305435388058</c:v>
                </c:pt>
                <c:pt idx="530">
                  <c:v>-0.9626097548750181</c:v>
                </c:pt>
                <c:pt idx="531">
                  <c:v>-0.57395172220066115</c:v>
                </c:pt>
                <c:pt idx="532">
                  <c:v>-0.2003779311364724</c:v>
                </c:pt>
                <c:pt idx="533">
                  <c:v>-0.41680329327328991</c:v>
                </c:pt>
                <c:pt idx="534">
                  <c:v>-0.27422654307821404</c:v>
                </c:pt>
                <c:pt idx="535">
                  <c:v>-0.6118969629970934</c:v>
                </c:pt>
                <c:pt idx="536">
                  <c:v>-0.47305180511449407</c:v>
                </c:pt>
                <c:pt idx="537">
                  <c:v>-0.38790191540527985</c:v>
                </c:pt>
                <c:pt idx="538">
                  <c:v>-5.3973182653464846E-2</c:v>
                </c:pt>
                <c:pt idx="539">
                  <c:v>-0.12076469451682215</c:v>
                </c:pt>
                <c:pt idx="540">
                  <c:v>-0.28521531890925189</c:v>
                </c:pt>
                <c:pt idx="541">
                  <c:v>-0.15482723362435991</c:v>
                </c:pt>
                <c:pt idx="542">
                  <c:v>-0.15187117025135421</c:v>
                </c:pt>
                <c:pt idx="543">
                  <c:v>-0.24543194821973202</c:v>
                </c:pt>
                <c:pt idx="544">
                  <c:v>-0.23400539326138414</c:v>
                </c:pt>
                <c:pt idx="545">
                  <c:v>-0.25264956604098643</c:v>
                </c:pt>
                <c:pt idx="546">
                  <c:v>-0.47229162648864076</c:v>
                </c:pt>
                <c:pt idx="547">
                  <c:v>-0.2873446740168788</c:v>
                </c:pt>
                <c:pt idx="548">
                  <c:v>0.41927559428978611</c:v>
                </c:pt>
                <c:pt idx="549">
                  <c:v>-7.7727634945574664E-2</c:v>
                </c:pt>
                <c:pt idx="550">
                  <c:v>-0.59602379176976683</c:v>
                </c:pt>
                <c:pt idx="551">
                  <c:v>-0.92496842257764911</c:v>
                </c:pt>
                <c:pt idx="552">
                  <c:v>-0.9016439365461224</c:v>
                </c:pt>
                <c:pt idx="553">
                  <c:v>-1.0534807408371876</c:v>
                </c:pt>
                <c:pt idx="554">
                  <c:v>-0.90267779640868184</c:v>
                </c:pt>
                <c:pt idx="555">
                  <c:v>-0.72846346395306227</c:v>
                </c:pt>
                <c:pt idx="556">
                  <c:v>-0.45919002793925756</c:v>
                </c:pt>
                <c:pt idx="557">
                  <c:v>-0.68005909029483291</c:v>
                </c:pt>
                <c:pt idx="558">
                  <c:v>-0.21192604031847395</c:v>
                </c:pt>
                <c:pt idx="559">
                  <c:v>-0.57361012495101704</c:v>
                </c:pt>
                <c:pt idx="560">
                  <c:v>-9.2086672871118935E-3</c:v>
                </c:pt>
                <c:pt idx="561">
                  <c:v>-0.43835913262836357</c:v>
                </c:pt>
                <c:pt idx="562">
                  <c:v>-4.8874100095247286E-2</c:v>
                </c:pt>
                <c:pt idx="563">
                  <c:v>-9.9659670089522479E-3</c:v>
                </c:pt>
                <c:pt idx="564">
                  <c:v>-4.886029162014438E-2</c:v>
                </c:pt>
                <c:pt idx="565">
                  <c:v>-0.67291590655401023</c:v>
                </c:pt>
                <c:pt idx="566">
                  <c:v>-0.31426019823135221</c:v>
                </c:pt>
                <c:pt idx="567">
                  <c:v>-0.25226467641846284</c:v>
                </c:pt>
                <c:pt idx="568">
                  <c:v>6.4861523489469164E-2</c:v>
                </c:pt>
                <c:pt idx="569">
                  <c:v>0.35177365049116815</c:v>
                </c:pt>
                <c:pt idx="570">
                  <c:v>0.19768788982480601</c:v>
                </c:pt>
                <c:pt idx="571">
                  <c:v>-9.6000281839849322E-2</c:v>
                </c:pt>
                <c:pt idx="572">
                  <c:v>0.29618236518132335</c:v>
                </c:pt>
                <c:pt idx="573">
                  <c:v>0.23488466373419215</c:v>
                </c:pt>
                <c:pt idx="574">
                  <c:v>-0.10784911437548317</c:v>
                </c:pt>
                <c:pt idx="575">
                  <c:v>-0.40108821739505629</c:v>
                </c:pt>
                <c:pt idx="576">
                  <c:v>-0.25220135264896726</c:v>
                </c:pt>
                <c:pt idx="577">
                  <c:v>-0.29847577822550875</c:v>
                </c:pt>
                <c:pt idx="578">
                  <c:v>-7.1967306008730247E-2</c:v>
                </c:pt>
                <c:pt idx="579">
                  <c:v>-0.44219059483856427</c:v>
                </c:pt>
                <c:pt idx="580">
                  <c:v>-0.25721163103645495</c:v>
                </c:pt>
                <c:pt idx="581">
                  <c:v>-0.46251831467753846</c:v>
                </c:pt>
                <c:pt idx="582">
                  <c:v>-0.13882288598665582</c:v>
                </c:pt>
                <c:pt idx="583">
                  <c:v>-0.34451514468349842</c:v>
                </c:pt>
                <c:pt idx="584">
                  <c:v>0.13544869169498952</c:v>
                </c:pt>
                <c:pt idx="585">
                  <c:v>-0.30799624585796437</c:v>
                </c:pt>
                <c:pt idx="586">
                  <c:v>-0.30294883461033351</c:v>
                </c:pt>
                <c:pt idx="587">
                  <c:v>-0.27833517373579753</c:v>
                </c:pt>
                <c:pt idx="588">
                  <c:v>-0.93166711963249327</c:v>
                </c:pt>
                <c:pt idx="589">
                  <c:v>-0.29016035585169675</c:v>
                </c:pt>
                <c:pt idx="590">
                  <c:v>-0.31579911974080233</c:v>
                </c:pt>
                <c:pt idx="591">
                  <c:v>-0.26824121921339383</c:v>
                </c:pt>
                <c:pt idx="592">
                  <c:v>-0.3554094915171504</c:v>
                </c:pt>
                <c:pt idx="593">
                  <c:v>-2.2934985800986851E-2</c:v>
                </c:pt>
                <c:pt idx="594">
                  <c:v>-6.1458367752777576E-2</c:v>
                </c:pt>
                <c:pt idx="595">
                  <c:v>-0.91481974830105628</c:v>
                </c:pt>
                <c:pt idx="596">
                  <c:v>-1.3870808014986551</c:v>
                </c:pt>
                <c:pt idx="597">
                  <c:v>-0.27267885799614078</c:v>
                </c:pt>
                <c:pt idx="598">
                  <c:v>-0.18985633632445342</c:v>
                </c:pt>
                <c:pt idx="599">
                  <c:v>-0.53739579439439922</c:v>
                </c:pt>
                <c:pt idx="600">
                  <c:v>-0.76295262986707257</c:v>
                </c:pt>
                <c:pt idx="601">
                  <c:v>-0.13367075566236508</c:v>
                </c:pt>
                <c:pt idx="602">
                  <c:v>-0.471462638496007</c:v>
                </c:pt>
                <c:pt idx="603">
                  <c:v>-0.69612962754456476</c:v>
                </c:pt>
                <c:pt idx="604">
                  <c:v>-0.93545101879277581</c:v>
                </c:pt>
                <c:pt idx="605">
                  <c:v>-0.52520140265261261</c:v>
                </c:pt>
                <c:pt idx="606">
                  <c:v>-0.86594967418039914</c:v>
                </c:pt>
                <c:pt idx="607">
                  <c:v>-0.30565559759094185</c:v>
                </c:pt>
                <c:pt idx="608">
                  <c:v>-0.67013546143124358</c:v>
                </c:pt>
                <c:pt idx="609">
                  <c:v>-0.69788075403454286</c:v>
                </c:pt>
                <c:pt idx="610">
                  <c:v>-0.70727704300566074</c:v>
                </c:pt>
                <c:pt idx="611">
                  <c:v>-0.80696373718149061</c:v>
                </c:pt>
                <c:pt idx="612">
                  <c:v>-0.85473938329687371</c:v>
                </c:pt>
                <c:pt idx="613">
                  <c:v>-0.66767631973488051</c:v>
                </c:pt>
                <c:pt idx="614">
                  <c:v>-1.0176154386743974</c:v>
                </c:pt>
                <c:pt idx="615">
                  <c:v>-0.75450123836560579</c:v>
                </c:pt>
                <c:pt idx="616">
                  <c:v>-0.65596986571978277</c:v>
                </c:pt>
                <c:pt idx="617">
                  <c:v>-0.72793906022229748</c:v>
                </c:pt>
                <c:pt idx="618">
                  <c:v>-1.0906142392911988E-2</c:v>
                </c:pt>
                <c:pt idx="619">
                  <c:v>7.7383847164469444E-2</c:v>
                </c:pt>
                <c:pt idx="620">
                  <c:v>3.0685172681444328E-2</c:v>
                </c:pt>
                <c:pt idx="621">
                  <c:v>0.24079264397227007</c:v>
                </c:pt>
                <c:pt idx="622">
                  <c:v>-0.2008224556415712</c:v>
                </c:pt>
                <c:pt idx="623">
                  <c:v>-0.66265638592329879</c:v>
                </c:pt>
                <c:pt idx="624">
                  <c:v>-0.53265084268139162</c:v>
                </c:pt>
                <c:pt idx="625">
                  <c:v>-0.59780658976217182</c:v>
                </c:pt>
                <c:pt idx="626">
                  <c:v>-0.30989294480741592</c:v>
                </c:pt>
                <c:pt idx="627">
                  <c:v>-0.25899755514149092</c:v>
                </c:pt>
                <c:pt idx="628">
                  <c:v>-0.46261341860150651</c:v>
                </c:pt>
                <c:pt idx="629">
                  <c:v>-0.10680142374673096</c:v>
                </c:pt>
                <c:pt idx="630">
                  <c:v>-0.30198731656003019</c:v>
                </c:pt>
                <c:pt idx="631">
                  <c:v>-0.61570141403484513</c:v>
                </c:pt>
                <c:pt idx="632">
                  <c:v>-1.1146188991605754</c:v>
                </c:pt>
                <c:pt idx="633">
                  <c:v>-0.83665866397569744</c:v>
                </c:pt>
                <c:pt idx="634">
                  <c:v>-0.89049257423221206</c:v>
                </c:pt>
                <c:pt idx="635">
                  <c:v>-0.54447374061982146</c:v>
                </c:pt>
                <c:pt idx="636">
                  <c:v>-0.98668700802062403</c:v>
                </c:pt>
                <c:pt idx="637">
                  <c:v>-0.58406156574409351</c:v>
                </c:pt>
                <c:pt idx="638">
                  <c:v>-0.68829515689532172</c:v>
                </c:pt>
                <c:pt idx="639">
                  <c:v>-0.83961857787204508</c:v>
                </c:pt>
                <c:pt idx="640">
                  <c:v>-0.62538167743792883</c:v>
                </c:pt>
                <c:pt idx="641">
                  <c:v>-0.49178849322589713</c:v>
                </c:pt>
                <c:pt idx="642">
                  <c:v>-1.0291931966818879</c:v>
                </c:pt>
                <c:pt idx="643">
                  <c:v>-0.87086291025025275</c:v>
                </c:pt>
                <c:pt idx="644">
                  <c:v>-0.22200528495199023</c:v>
                </c:pt>
                <c:pt idx="645">
                  <c:v>-0.41619816871161674</c:v>
                </c:pt>
                <c:pt idx="646">
                  <c:v>-0.87225696854409307</c:v>
                </c:pt>
                <c:pt idx="647">
                  <c:v>-0.78839125387622744</c:v>
                </c:pt>
                <c:pt idx="648">
                  <c:v>-0.83282941085303719</c:v>
                </c:pt>
                <c:pt idx="649">
                  <c:v>-0.63242885815247973</c:v>
                </c:pt>
                <c:pt idx="650">
                  <c:v>-0.78881556824825338</c:v>
                </c:pt>
                <c:pt idx="651">
                  <c:v>-0.31236387880102257</c:v>
                </c:pt>
                <c:pt idx="652">
                  <c:v>-0.28028009731139036</c:v>
                </c:pt>
                <c:pt idx="653">
                  <c:v>-0.13891180267535219</c:v>
                </c:pt>
                <c:pt idx="654">
                  <c:v>0.28145860429265213</c:v>
                </c:pt>
                <c:pt idx="655">
                  <c:v>-0.15626915789584928</c:v>
                </c:pt>
                <c:pt idx="656">
                  <c:v>-0.48963034324032151</c:v>
                </c:pt>
                <c:pt idx="657">
                  <c:v>0.50402953689422247</c:v>
                </c:pt>
                <c:pt idx="658">
                  <c:v>-7.4248073581088647E-2</c:v>
                </c:pt>
                <c:pt idx="659">
                  <c:v>-0.13252959501903661</c:v>
                </c:pt>
                <c:pt idx="660">
                  <c:v>-0.15918656263852426</c:v>
                </c:pt>
                <c:pt idx="661">
                  <c:v>-0.5710048205808107</c:v>
                </c:pt>
                <c:pt idx="662">
                  <c:v>-0.29953876678240476</c:v>
                </c:pt>
                <c:pt idx="663">
                  <c:v>-0.27530588797787914</c:v>
                </c:pt>
                <c:pt idx="664">
                  <c:v>4.6306574058689876E-3</c:v>
                </c:pt>
                <c:pt idx="665">
                  <c:v>-2.6219858600825319E-2</c:v>
                </c:pt>
                <c:pt idx="666">
                  <c:v>-0.67806826227553074</c:v>
                </c:pt>
                <c:pt idx="667">
                  <c:v>-0.15780011149615802</c:v>
                </c:pt>
                <c:pt idx="668">
                  <c:v>0.27661989251657815</c:v>
                </c:pt>
                <c:pt idx="669">
                  <c:v>0.18813253654525397</c:v>
                </c:pt>
                <c:pt idx="670">
                  <c:v>0.14763611542730359</c:v>
                </c:pt>
                <c:pt idx="671">
                  <c:v>-0.65279264211653754</c:v>
                </c:pt>
                <c:pt idx="672">
                  <c:v>-0.58166842037888955</c:v>
                </c:pt>
                <c:pt idx="673">
                  <c:v>-0.78570548896379933</c:v>
                </c:pt>
                <c:pt idx="674">
                  <c:v>-0.57638667127122289</c:v>
                </c:pt>
                <c:pt idx="675">
                  <c:v>-0.46437260310943884</c:v>
                </c:pt>
                <c:pt idx="676">
                  <c:v>-0.25658329383151113</c:v>
                </c:pt>
                <c:pt idx="677">
                  <c:v>-0.33965262048093336</c:v>
                </c:pt>
                <c:pt idx="678">
                  <c:v>-0.70371983479850542</c:v>
                </c:pt>
                <c:pt idx="679">
                  <c:v>-0.35545577105125403</c:v>
                </c:pt>
                <c:pt idx="680">
                  <c:v>0.15674542231886335</c:v>
                </c:pt>
                <c:pt idx="681">
                  <c:v>0.16611083024162099</c:v>
                </c:pt>
                <c:pt idx="682">
                  <c:v>-0.52660440151908006</c:v>
                </c:pt>
                <c:pt idx="683">
                  <c:v>-0.35918039516877798</c:v>
                </c:pt>
                <c:pt idx="684">
                  <c:v>-1.0402749840737897</c:v>
                </c:pt>
                <c:pt idx="685">
                  <c:v>-0.93653086330147062</c:v>
                </c:pt>
                <c:pt idx="686">
                  <c:v>-0.19935928171486239</c:v>
                </c:pt>
                <c:pt idx="687">
                  <c:v>0.2904359758042574</c:v>
                </c:pt>
                <c:pt idx="688">
                  <c:v>0.58607804897621918</c:v>
                </c:pt>
                <c:pt idx="689">
                  <c:v>0.20078991168412585</c:v>
                </c:pt>
                <c:pt idx="690">
                  <c:v>0.8845038867239623</c:v>
                </c:pt>
                <c:pt idx="691">
                  <c:v>0.71452584013559317</c:v>
                </c:pt>
                <c:pt idx="692">
                  <c:v>2.0045021439295851</c:v>
                </c:pt>
                <c:pt idx="693">
                  <c:v>1.451714432907977</c:v>
                </c:pt>
                <c:pt idx="694">
                  <c:v>1.3167743115711801</c:v>
                </c:pt>
                <c:pt idx="695">
                  <c:v>0.25204519897698674</c:v>
                </c:pt>
                <c:pt idx="696">
                  <c:v>-8.1274279503986691E-2</c:v>
                </c:pt>
                <c:pt idx="697">
                  <c:v>0.29024495169232978</c:v>
                </c:pt>
                <c:pt idx="698">
                  <c:v>0.73526341433444031</c:v>
                </c:pt>
                <c:pt idx="699">
                  <c:v>1.4028337822775256</c:v>
                </c:pt>
                <c:pt idx="700">
                  <c:v>0.9563227365050011</c:v>
                </c:pt>
                <c:pt idx="701">
                  <c:v>1.3288097096368574</c:v>
                </c:pt>
                <c:pt idx="702">
                  <c:v>1.0702987951006548</c:v>
                </c:pt>
                <c:pt idx="703">
                  <c:v>0.62454919413420384</c:v>
                </c:pt>
                <c:pt idx="704">
                  <c:v>1.0923066872855429</c:v>
                </c:pt>
                <c:pt idx="705">
                  <c:v>1.4073717401579984</c:v>
                </c:pt>
                <c:pt idx="706">
                  <c:v>1.1402128081784895</c:v>
                </c:pt>
                <c:pt idx="707">
                  <c:v>0.65333645947845298</c:v>
                </c:pt>
                <c:pt idx="708">
                  <c:v>0.61779817035471751</c:v>
                </c:pt>
                <c:pt idx="709">
                  <c:v>0.24709859090825148</c:v>
                </c:pt>
                <c:pt idx="710">
                  <c:v>0.56996981744458708</c:v>
                </c:pt>
                <c:pt idx="711">
                  <c:v>0.6253213747449422</c:v>
                </c:pt>
                <c:pt idx="712">
                  <c:v>0.8466630928665495</c:v>
                </c:pt>
                <c:pt idx="713">
                  <c:v>0.9969312553557188</c:v>
                </c:pt>
                <c:pt idx="714">
                  <c:v>0.45620153017671328</c:v>
                </c:pt>
                <c:pt idx="715">
                  <c:v>0.50844784217815686</c:v>
                </c:pt>
                <c:pt idx="716">
                  <c:v>0.12398652468675664</c:v>
                </c:pt>
                <c:pt idx="717">
                  <c:v>0.47690434145329164</c:v>
                </c:pt>
                <c:pt idx="718">
                  <c:v>0.57752659883112756</c:v>
                </c:pt>
                <c:pt idx="719">
                  <c:v>2.8503014025147877E-2</c:v>
                </c:pt>
                <c:pt idx="720">
                  <c:v>0.15074591425872086</c:v>
                </c:pt>
                <c:pt idx="721">
                  <c:v>0.23782752416957464</c:v>
                </c:pt>
                <c:pt idx="722">
                  <c:v>0.58855151459999888</c:v>
                </c:pt>
                <c:pt idx="723">
                  <c:v>1.2416842612576602</c:v>
                </c:pt>
                <c:pt idx="724">
                  <c:v>0.99087874327341297</c:v>
                </c:pt>
                <c:pt idx="725">
                  <c:v>1.5289280951197952</c:v>
                </c:pt>
                <c:pt idx="726">
                  <c:v>1.4359795592981186</c:v>
                </c:pt>
                <c:pt idx="727">
                  <c:v>0.9162217842673499</c:v>
                </c:pt>
                <c:pt idx="728">
                  <c:v>0.99954165613320356</c:v>
                </c:pt>
                <c:pt idx="729">
                  <c:v>1.6603122367939136</c:v>
                </c:pt>
                <c:pt idx="730">
                  <c:v>1.3087156835290443</c:v>
                </c:pt>
                <c:pt idx="731">
                  <c:v>0.62754486261724196</c:v>
                </c:pt>
                <c:pt idx="732">
                  <c:v>0.77756895220801425</c:v>
                </c:pt>
                <c:pt idx="733">
                  <c:v>0.84243175147622651</c:v>
                </c:pt>
                <c:pt idx="734">
                  <c:v>0.67100850580072802</c:v>
                </c:pt>
                <c:pt idx="735">
                  <c:v>1.0519224418155773</c:v>
                </c:pt>
                <c:pt idx="736">
                  <c:v>1.2489696877254914</c:v>
                </c:pt>
                <c:pt idx="737">
                  <c:v>1.6148002289291412</c:v>
                </c:pt>
                <c:pt idx="738">
                  <c:v>1.4996328824647094</c:v>
                </c:pt>
                <c:pt idx="739">
                  <c:v>1.0513465028562905</c:v>
                </c:pt>
                <c:pt idx="740">
                  <c:v>1.2824414851462507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1-434E-8047-6F219D0D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675760"/>
        <c:axId val="417681584"/>
      </c:lineChart>
      <c:dateAx>
        <c:axId val="417675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81584"/>
        <c:crosses val="autoZero"/>
        <c:auto val="1"/>
        <c:lblOffset val="100"/>
        <c:baseTimeUnit val="months"/>
      </c:dateAx>
      <c:valAx>
        <c:axId val="417681584"/>
        <c:scaling>
          <c:orientation val="minMax"/>
          <c:max val="2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767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'2次多項式モデル (2)'!$B$11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'2次多項式モデル (2)'!$A$12:$A$24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'2次多項式モデル (2)'!$B$12:$B$24</c:f>
              <c:numCache>
                <c:formatCode>0.000000000_ ;[Red]\-0.000000000\ </c:formatCode>
                <c:ptCount val="13"/>
                <c:pt idx="0">
                  <c:v>6.1040869584970889E-2</c:v>
                </c:pt>
                <c:pt idx="1">
                  <c:v>0.69421564520236412</c:v>
                </c:pt>
                <c:pt idx="2">
                  <c:v>1.3733706304072995</c:v>
                </c:pt>
                <c:pt idx="3">
                  <c:v>2.6099183412742755</c:v>
                </c:pt>
                <c:pt idx="4">
                  <c:v>3.065291801195754</c:v>
                </c:pt>
                <c:pt idx="5">
                  <c:v>2.3463851222642056</c:v>
                </c:pt>
                <c:pt idx="6">
                  <c:v>0.72334113060077332</c:v>
                </c:pt>
                <c:pt idx="7">
                  <c:v>-1.3975570061157723</c:v>
                </c:pt>
                <c:pt idx="8">
                  <c:v>-3.1934822994410497</c:v>
                </c:pt>
                <c:pt idx="9">
                  <c:v>-3.3368150874962788</c:v>
                </c:pt>
                <c:pt idx="10">
                  <c:v>-2.0591623324975612</c:v>
                </c:pt>
                <c:pt idx="11">
                  <c:v>-0.89132446529561371</c:v>
                </c:pt>
                <c:pt idx="12" formatCode="0.000000000_ ;\-0.000000000\ ">
                  <c:v>6.1040869584970889E-2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9D-4926-A825-CBFB2565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002512"/>
        <c:axId val="345999600"/>
      </c:scatterChart>
      <c:valAx>
        <c:axId val="34600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5999600"/>
        <c:crosses val="autoZero"/>
        <c:crossBetween val="midCat"/>
      </c:valAx>
      <c:valAx>
        <c:axId val="3459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4600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109E7A-33CA-42FB-B921-9B494A7DCCBD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F88506-C280-4519-B37F-EDD6C26423F5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311AF7-8A55-43D0-935A-8D47E1005961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45654B-1560-4764-982B-94E2C32E0E71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0DFCBD-8E87-4FFF-9954-89D38B7108E7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9E4ED8-1CE1-4561-A6E0-FD39339167D0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FF3D3C-BD31-49D6-84B3-2A4E62C5E896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E92D6A-90EA-45F5-8546-01308C6B8275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08DBB3-6FC9-4A00-BAE7-7155374DC276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228600</xdr:colOff>
      <xdr:row>24</xdr:row>
      <xdr:rowOff>9525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B91BE8-F014-407D-82A7-1E6BDD16C3E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BE929FB-3B7D-48D5-BDEF-4630E3076D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54E16B-7390-4BC5-8F5F-1671E39976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7D7589-6033-4E2E-B9BB-36B9CCB340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104775</xdr:colOff>
      <xdr:row>23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5A9868E-3EA7-4F34-9700-BD8F9B1F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8960CD-D369-42A2-9AA6-E2A0B1407D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28C52F-CBDD-44E4-A750-C133C5DE12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D6120F-DCB0-4C2F-8D7C-4EC25F40DB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104775</xdr:colOff>
      <xdr:row>23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200FA11-4FB6-4C0C-A65C-BC32F6133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91B304-B2DF-47D2-B2CF-A9736483F0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17D0D7F-D763-4C8B-91A4-4D4E1E2231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3380F03-FC00-401B-A734-1ACD540CF7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104775</xdr:colOff>
      <xdr:row>23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E8F311-2BFA-417C-AD29-AA9848ACD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sheetPr codeName="Sheet1"/>
  <dimension ref="A1:B742"/>
  <sheetViews>
    <sheetView tabSelected="1" zoomScaleNormal="100" workbookViewId="0"/>
  </sheetViews>
  <sheetFormatPr defaultRowHeight="18.75"/>
  <cols>
    <col min="1" max="1" width="10.25" bestFit="1" customWidth="1"/>
  </cols>
  <sheetData>
    <row r="1" spans="1:2">
      <c r="A1" t="s">
        <v>0</v>
      </c>
      <c r="B1" t="s">
        <v>1</v>
      </c>
    </row>
    <row r="2" spans="1:2">
      <c r="A2" s="1">
        <v>21245</v>
      </c>
      <c r="B2">
        <v>315.7</v>
      </c>
    </row>
    <row r="3" spans="1:2">
      <c r="A3" s="1">
        <v>21276</v>
      </c>
      <c r="B3">
        <v>317.45999999999998</v>
      </c>
    </row>
    <row r="4" spans="1:2">
      <c r="A4" s="1">
        <v>21306</v>
      </c>
      <c r="B4">
        <v>317.51</v>
      </c>
    </row>
    <row r="5" spans="1:2">
      <c r="A5" s="1">
        <v>21367</v>
      </c>
      <c r="B5">
        <v>315.86</v>
      </c>
    </row>
    <row r="6" spans="1:2">
      <c r="A6" s="1">
        <v>21398</v>
      </c>
      <c r="B6">
        <v>314.93</v>
      </c>
    </row>
    <row r="7" spans="1:2">
      <c r="A7" s="1">
        <v>21429</v>
      </c>
      <c r="B7">
        <v>313.20999999999998</v>
      </c>
    </row>
    <row r="8" spans="1:2">
      <c r="A8" s="1">
        <v>21490</v>
      </c>
      <c r="B8">
        <v>313.33</v>
      </c>
    </row>
    <row r="9" spans="1:2">
      <c r="A9" s="1">
        <v>21520</v>
      </c>
      <c r="B9">
        <v>314.67</v>
      </c>
    </row>
    <row r="10" spans="1:2">
      <c r="A10" s="1">
        <v>21551</v>
      </c>
      <c r="B10">
        <v>315.58</v>
      </c>
    </row>
    <row r="11" spans="1:2">
      <c r="A11" s="1">
        <v>21582</v>
      </c>
      <c r="B11">
        <v>316.49</v>
      </c>
    </row>
    <row r="12" spans="1:2">
      <c r="A12" s="1">
        <v>21610</v>
      </c>
      <c r="B12">
        <v>316.64999999999998</v>
      </c>
    </row>
    <row r="13" spans="1:2">
      <c r="A13" s="1">
        <v>21641</v>
      </c>
      <c r="B13">
        <v>317.72000000000003</v>
      </c>
    </row>
    <row r="14" spans="1:2">
      <c r="A14" s="1">
        <v>21671</v>
      </c>
      <c r="B14">
        <v>318.29000000000002</v>
      </c>
    </row>
    <row r="15" spans="1:2">
      <c r="A15" s="1">
        <v>21702</v>
      </c>
      <c r="B15">
        <v>318.14999999999998</v>
      </c>
    </row>
    <row r="16" spans="1:2">
      <c r="A16" s="1">
        <v>21732</v>
      </c>
      <c r="B16">
        <v>316.54000000000002</v>
      </c>
    </row>
    <row r="17" spans="1:2">
      <c r="A17" s="1">
        <v>21763</v>
      </c>
      <c r="B17">
        <v>314.8</v>
      </c>
    </row>
    <row r="18" spans="1:2">
      <c r="A18" s="1">
        <v>21794</v>
      </c>
      <c r="B18">
        <v>313.83999999999997</v>
      </c>
    </row>
    <row r="19" spans="1:2">
      <c r="A19" s="1">
        <v>21824</v>
      </c>
      <c r="B19">
        <v>313.33</v>
      </c>
    </row>
    <row r="20" spans="1:2">
      <c r="A20" s="1">
        <v>21855</v>
      </c>
      <c r="B20">
        <v>314.81</v>
      </c>
    </row>
    <row r="21" spans="1:2">
      <c r="A21" s="1">
        <v>21885</v>
      </c>
      <c r="B21">
        <v>315.58</v>
      </c>
    </row>
    <row r="22" spans="1:2">
      <c r="A22" s="1">
        <v>21916</v>
      </c>
      <c r="B22">
        <v>316.43</v>
      </c>
    </row>
    <row r="23" spans="1:2">
      <c r="A23" s="1">
        <v>21947</v>
      </c>
      <c r="B23">
        <v>316.98</v>
      </c>
    </row>
    <row r="24" spans="1:2">
      <c r="A24" s="1">
        <v>21976</v>
      </c>
      <c r="B24">
        <v>317.58</v>
      </c>
    </row>
    <row r="25" spans="1:2">
      <c r="A25" s="1">
        <v>22007</v>
      </c>
      <c r="B25">
        <v>319.02999999999997</v>
      </c>
    </row>
    <row r="26" spans="1:2">
      <c r="A26" s="1">
        <v>22037</v>
      </c>
      <c r="B26">
        <v>320.04000000000002</v>
      </c>
    </row>
    <row r="27" spans="1:2">
      <c r="A27" s="1">
        <v>22068</v>
      </c>
      <c r="B27">
        <v>319.58</v>
      </c>
    </row>
    <row r="28" spans="1:2">
      <c r="A28" s="1">
        <v>22098</v>
      </c>
      <c r="B28">
        <v>318.18</v>
      </c>
    </row>
    <row r="29" spans="1:2">
      <c r="A29" s="1">
        <v>22129</v>
      </c>
      <c r="B29">
        <v>315.89999999999998</v>
      </c>
    </row>
    <row r="30" spans="1:2">
      <c r="A30" s="1">
        <v>22160</v>
      </c>
      <c r="B30">
        <v>314.17</v>
      </c>
    </row>
    <row r="31" spans="1:2">
      <c r="A31" s="1">
        <v>22190</v>
      </c>
      <c r="B31">
        <v>313.83</v>
      </c>
    </row>
    <row r="32" spans="1:2">
      <c r="A32" s="1">
        <v>22221</v>
      </c>
      <c r="B32">
        <v>315</v>
      </c>
    </row>
    <row r="33" spans="1:2">
      <c r="A33" s="1">
        <v>22251</v>
      </c>
      <c r="B33">
        <v>316.19</v>
      </c>
    </row>
    <row r="34" spans="1:2">
      <c r="A34" s="1">
        <v>22282</v>
      </c>
      <c r="B34">
        <v>316.89999999999998</v>
      </c>
    </row>
    <row r="35" spans="1:2">
      <c r="A35" s="1">
        <v>22313</v>
      </c>
      <c r="B35">
        <v>317.7</v>
      </c>
    </row>
    <row r="36" spans="1:2">
      <c r="A36" s="1">
        <v>22341</v>
      </c>
      <c r="B36">
        <v>318.54000000000002</v>
      </c>
    </row>
    <row r="37" spans="1:2">
      <c r="A37" s="1">
        <v>22372</v>
      </c>
      <c r="B37">
        <v>319.48</v>
      </c>
    </row>
    <row r="38" spans="1:2">
      <c r="A38" s="1">
        <v>22402</v>
      </c>
      <c r="B38">
        <v>320.58</v>
      </c>
    </row>
    <row r="39" spans="1:2">
      <c r="A39" s="1">
        <v>22433</v>
      </c>
      <c r="B39">
        <v>319.77</v>
      </c>
    </row>
    <row r="40" spans="1:2">
      <c r="A40" s="1">
        <v>22463</v>
      </c>
      <c r="B40">
        <v>318.57</v>
      </c>
    </row>
    <row r="41" spans="1:2">
      <c r="A41" s="1">
        <v>22494</v>
      </c>
      <c r="B41">
        <v>316.79000000000002</v>
      </c>
    </row>
    <row r="42" spans="1:2">
      <c r="A42" s="1">
        <v>22525</v>
      </c>
      <c r="B42">
        <v>314.99</v>
      </c>
    </row>
    <row r="43" spans="1:2">
      <c r="A43" s="1">
        <v>22555</v>
      </c>
      <c r="B43">
        <v>315.31</v>
      </c>
    </row>
    <row r="44" spans="1:2">
      <c r="A44" s="1">
        <v>22586</v>
      </c>
      <c r="B44">
        <v>316.10000000000002</v>
      </c>
    </row>
    <row r="45" spans="1:2">
      <c r="A45" s="1">
        <v>22616</v>
      </c>
      <c r="B45">
        <v>317.01</v>
      </c>
    </row>
    <row r="46" spans="1:2">
      <c r="A46" s="1">
        <v>22647</v>
      </c>
      <c r="B46">
        <v>317.94</v>
      </c>
    </row>
    <row r="47" spans="1:2">
      <c r="A47" s="1">
        <v>22678</v>
      </c>
      <c r="B47">
        <v>318.55</v>
      </c>
    </row>
    <row r="48" spans="1:2">
      <c r="A48" s="1">
        <v>22706</v>
      </c>
      <c r="B48">
        <v>319.68</v>
      </c>
    </row>
    <row r="49" spans="1:2">
      <c r="A49" s="1">
        <v>22737</v>
      </c>
      <c r="B49">
        <v>320.57</v>
      </c>
    </row>
    <row r="50" spans="1:2">
      <c r="A50" s="1">
        <v>22767</v>
      </c>
      <c r="B50">
        <v>321.02</v>
      </c>
    </row>
    <row r="51" spans="1:2">
      <c r="A51" s="1">
        <v>22798</v>
      </c>
      <c r="B51">
        <v>320.62</v>
      </c>
    </row>
    <row r="52" spans="1:2">
      <c r="A52" s="1">
        <v>22828</v>
      </c>
      <c r="B52">
        <v>319.61</v>
      </c>
    </row>
    <row r="53" spans="1:2">
      <c r="A53" s="1">
        <v>22859</v>
      </c>
      <c r="B53">
        <v>317.39999999999998</v>
      </c>
    </row>
    <row r="54" spans="1:2">
      <c r="A54" s="1">
        <v>22890</v>
      </c>
      <c r="B54">
        <v>316.25</v>
      </c>
    </row>
    <row r="55" spans="1:2">
      <c r="A55" s="1">
        <v>22920</v>
      </c>
      <c r="B55">
        <v>315.42</v>
      </c>
    </row>
    <row r="56" spans="1:2">
      <c r="A56" s="1">
        <v>22951</v>
      </c>
      <c r="B56">
        <v>316.69</v>
      </c>
    </row>
    <row r="57" spans="1:2">
      <c r="A57" s="1">
        <v>22981</v>
      </c>
      <c r="B57">
        <v>317.7</v>
      </c>
    </row>
    <row r="58" spans="1:2">
      <c r="A58" s="1">
        <v>23012</v>
      </c>
      <c r="B58">
        <v>318.74</v>
      </c>
    </row>
    <row r="59" spans="1:2">
      <c r="A59" s="1">
        <v>23043</v>
      </c>
      <c r="B59">
        <v>319.07</v>
      </c>
    </row>
    <row r="60" spans="1:2">
      <c r="A60" s="1">
        <v>23071</v>
      </c>
      <c r="B60">
        <v>319.86</v>
      </c>
    </row>
    <row r="61" spans="1:2">
      <c r="A61" s="1">
        <v>23102</v>
      </c>
      <c r="B61">
        <v>321.38</v>
      </c>
    </row>
    <row r="62" spans="1:2">
      <c r="A62" s="1">
        <v>23132</v>
      </c>
      <c r="B62">
        <v>322.25</v>
      </c>
    </row>
    <row r="63" spans="1:2">
      <c r="A63" s="1">
        <v>23163</v>
      </c>
      <c r="B63">
        <v>321.48</v>
      </c>
    </row>
    <row r="64" spans="1:2">
      <c r="A64" s="1">
        <v>23193</v>
      </c>
      <c r="B64">
        <v>319.74</v>
      </c>
    </row>
    <row r="65" spans="1:2">
      <c r="A65" s="1">
        <v>23224</v>
      </c>
      <c r="B65">
        <v>317.77</v>
      </c>
    </row>
    <row r="66" spans="1:2">
      <c r="A66" s="1">
        <v>23255</v>
      </c>
      <c r="B66">
        <v>316.20999999999998</v>
      </c>
    </row>
    <row r="67" spans="1:2">
      <c r="A67" s="1">
        <v>23285</v>
      </c>
      <c r="B67">
        <v>315.99</v>
      </c>
    </row>
    <row r="68" spans="1:2">
      <c r="A68" s="1">
        <v>23316</v>
      </c>
      <c r="B68">
        <v>317.07</v>
      </c>
    </row>
    <row r="69" spans="1:2">
      <c r="A69" s="1">
        <v>23346</v>
      </c>
      <c r="B69">
        <v>318.35000000000002</v>
      </c>
    </row>
    <row r="70" spans="1:2">
      <c r="A70" s="1">
        <v>23377</v>
      </c>
      <c r="B70">
        <v>319.57</v>
      </c>
    </row>
    <row r="71" spans="1:2">
      <c r="A71" s="1">
        <v>23498</v>
      </c>
      <c r="B71">
        <v>322.26</v>
      </c>
    </row>
    <row r="72" spans="1:2">
      <c r="A72" s="1">
        <v>23529</v>
      </c>
      <c r="B72">
        <v>321.89</v>
      </c>
    </row>
    <row r="73" spans="1:2">
      <c r="A73" s="1">
        <v>23559</v>
      </c>
      <c r="B73">
        <v>320.44</v>
      </c>
    </row>
    <row r="74" spans="1:2">
      <c r="A74" s="1">
        <v>23590</v>
      </c>
      <c r="B74">
        <v>318.69</v>
      </c>
    </row>
    <row r="75" spans="1:2">
      <c r="A75" s="1">
        <v>23621</v>
      </c>
      <c r="B75">
        <v>316.7</v>
      </c>
    </row>
    <row r="76" spans="1:2">
      <c r="A76" s="1">
        <v>23651</v>
      </c>
      <c r="B76">
        <v>316.87</v>
      </c>
    </row>
    <row r="77" spans="1:2">
      <c r="A77" s="1">
        <v>23682</v>
      </c>
      <c r="B77">
        <v>317.68</v>
      </c>
    </row>
    <row r="78" spans="1:2">
      <c r="A78" s="1">
        <v>23712</v>
      </c>
      <c r="B78">
        <v>318.70999999999998</v>
      </c>
    </row>
    <row r="79" spans="1:2">
      <c r="A79" s="1">
        <v>23743</v>
      </c>
      <c r="B79">
        <v>319.44</v>
      </c>
    </row>
    <row r="80" spans="1:2">
      <c r="A80" s="1">
        <v>23774</v>
      </c>
      <c r="B80">
        <v>320.44</v>
      </c>
    </row>
    <row r="81" spans="1:2">
      <c r="A81" s="1">
        <v>23802</v>
      </c>
      <c r="B81">
        <v>320.89</v>
      </c>
    </row>
    <row r="82" spans="1:2">
      <c r="A82" s="1">
        <v>23833</v>
      </c>
      <c r="B82">
        <v>322.14</v>
      </c>
    </row>
    <row r="83" spans="1:2">
      <c r="A83" s="1">
        <v>23863</v>
      </c>
      <c r="B83">
        <v>322.17</v>
      </c>
    </row>
    <row r="84" spans="1:2">
      <c r="A84" s="1">
        <v>23894</v>
      </c>
      <c r="B84">
        <v>321.87</v>
      </c>
    </row>
    <row r="85" spans="1:2">
      <c r="A85" s="1">
        <v>23924</v>
      </c>
      <c r="B85">
        <v>321.20999999999998</v>
      </c>
    </row>
    <row r="86" spans="1:2">
      <c r="A86" s="1">
        <v>23955</v>
      </c>
      <c r="B86">
        <v>318.87</v>
      </c>
    </row>
    <row r="87" spans="1:2">
      <c r="A87" s="1">
        <v>23986</v>
      </c>
      <c r="B87">
        <v>317.81</v>
      </c>
    </row>
    <row r="88" spans="1:2">
      <c r="A88" s="1">
        <v>24016</v>
      </c>
      <c r="B88">
        <v>317.3</v>
      </c>
    </row>
    <row r="89" spans="1:2">
      <c r="A89" s="1">
        <v>24047</v>
      </c>
      <c r="B89">
        <v>318.87</v>
      </c>
    </row>
    <row r="90" spans="1:2">
      <c r="A90" s="1">
        <v>24077</v>
      </c>
      <c r="B90">
        <v>319.42</v>
      </c>
    </row>
    <row r="91" spans="1:2">
      <c r="A91" s="1">
        <v>24108</v>
      </c>
      <c r="B91">
        <v>320.62</v>
      </c>
    </row>
    <row r="92" spans="1:2">
      <c r="A92" s="1">
        <v>24139</v>
      </c>
      <c r="B92">
        <v>321.60000000000002</v>
      </c>
    </row>
    <row r="93" spans="1:2">
      <c r="A93" s="1">
        <v>24167</v>
      </c>
      <c r="B93">
        <v>322.39</v>
      </c>
    </row>
    <row r="94" spans="1:2">
      <c r="A94" s="1">
        <v>24198</v>
      </c>
      <c r="B94">
        <v>323.7</v>
      </c>
    </row>
    <row r="95" spans="1:2">
      <c r="A95" s="1">
        <v>24228</v>
      </c>
      <c r="B95">
        <v>324.08</v>
      </c>
    </row>
    <row r="96" spans="1:2">
      <c r="A96" s="1">
        <v>24259</v>
      </c>
      <c r="B96">
        <v>323.75</v>
      </c>
    </row>
    <row r="97" spans="1:2">
      <c r="A97" s="1">
        <v>24289</v>
      </c>
      <c r="B97">
        <v>322.38</v>
      </c>
    </row>
    <row r="98" spans="1:2">
      <c r="A98" s="1">
        <v>24320</v>
      </c>
      <c r="B98">
        <v>320.36</v>
      </c>
    </row>
    <row r="99" spans="1:2">
      <c r="A99" s="1">
        <v>24351</v>
      </c>
      <c r="B99">
        <v>318.64</v>
      </c>
    </row>
    <row r="100" spans="1:2">
      <c r="A100" s="1">
        <v>24381</v>
      </c>
      <c r="B100">
        <v>318.10000000000002</v>
      </c>
    </row>
    <row r="101" spans="1:2">
      <c r="A101" s="1">
        <v>24412</v>
      </c>
      <c r="B101">
        <v>319.77999999999997</v>
      </c>
    </row>
    <row r="102" spans="1:2">
      <c r="A102" s="1">
        <v>24442</v>
      </c>
      <c r="B102">
        <v>321.02999999999997</v>
      </c>
    </row>
    <row r="103" spans="1:2">
      <c r="A103" s="1">
        <v>24473</v>
      </c>
      <c r="B103">
        <v>322.33</v>
      </c>
    </row>
    <row r="104" spans="1:2">
      <c r="A104" s="1">
        <v>24504</v>
      </c>
      <c r="B104">
        <v>322.5</v>
      </c>
    </row>
    <row r="105" spans="1:2">
      <c r="A105" s="1">
        <v>24532</v>
      </c>
      <c r="B105">
        <v>323.04000000000002</v>
      </c>
    </row>
    <row r="106" spans="1:2">
      <c r="A106" s="1">
        <v>24563</v>
      </c>
      <c r="B106">
        <v>324.42</v>
      </c>
    </row>
    <row r="107" spans="1:2">
      <c r="A107" s="1">
        <v>24593</v>
      </c>
      <c r="B107">
        <v>325</v>
      </c>
    </row>
    <row r="108" spans="1:2">
      <c r="A108" s="1">
        <v>24624</v>
      </c>
      <c r="B108">
        <v>324.08999999999997</v>
      </c>
    </row>
    <row r="109" spans="1:2">
      <c r="A109" s="1">
        <v>24654</v>
      </c>
      <c r="B109">
        <v>322.54000000000002</v>
      </c>
    </row>
    <row r="110" spans="1:2">
      <c r="A110" s="1">
        <v>24685</v>
      </c>
      <c r="B110">
        <v>320.92</v>
      </c>
    </row>
    <row r="111" spans="1:2">
      <c r="A111" s="1">
        <v>24716</v>
      </c>
      <c r="B111">
        <v>319.25</v>
      </c>
    </row>
    <row r="112" spans="1:2">
      <c r="A112" s="1">
        <v>24746</v>
      </c>
      <c r="B112">
        <v>319.39</v>
      </c>
    </row>
    <row r="113" spans="1:2">
      <c r="A113" s="1">
        <v>24777</v>
      </c>
      <c r="B113">
        <v>320.73</v>
      </c>
    </row>
    <row r="114" spans="1:2">
      <c r="A114" s="1">
        <v>24807</v>
      </c>
      <c r="B114">
        <v>321.95999999999998</v>
      </c>
    </row>
    <row r="115" spans="1:2">
      <c r="A115" s="1">
        <v>24838</v>
      </c>
      <c r="B115">
        <v>322.57</v>
      </c>
    </row>
    <row r="116" spans="1:2">
      <c r="A116" s="1">
        <v>24869</v>
      </c>
      <c r="B116">
        <v>323.14999999999998</v>
      </c>
    </row>
    <row r="117" spans="1:2">
      <c r="A117" s="1">
        <v>24898</v>
      </c>
      <c r="B117">
        <v>323.89</v>
      </c>
    </row>
    <row r="118" spans="1:2">
      <c r="A118" s="1">
        <v>24929</v>
      </c>
      <c r="B118">
        <v>325.02</v>
      </c>
    </row>
    <row r="119" spans="1:2">
      <c r="A119" s="1">
        <v>24959</v>
      </c>
      <c r="B119">
        <v>325.57</v>
      </c>
    </row>
    <row r="120" spans="1:2">
      <c r="A120" s="1">
        <v>24990</v>
      </c>
      <c r="B120">
        <v>325.36</v>
      </c>
    </row>
    <row r="121" spans="1:2">
      <c r="A121" s="1">
        <v>25020</v>
      </c>
      <c r="B121">
        <v>324.14</v>
      </c>
    </row>
    <row r="122" spans="1:2">
      <c r="A122" s="1">
        <v>25051</v>
      </c>
      <c r="B122">
        <v>322.11</v>
      </c>
    </row>
    <row r="123" spans="1:2">
      <c r="A123" s="1">
        <v>25082</v>
      </c>
      <c r="B123">
        <v>320.33</v>
      </c>
    </row>
    <row r="124" spans="1:2">
      <c r="A124" s="1">
        <v>25112</v>
      </c>
      <c r="B124">
        <v>320.25</v>
      </c>
    </row>
    <row r="125" spans="1:2">
      <c r="A125" s="1">
        <v>25143</v>
      </c>
      <c r="B125">
        <v>321.32</v>
      </c>
    </row>
    <row r="126" spans="1:2">
      <c r="A126" s="1">
        <v>25173</v>
      </c>
      <c r="B126">
        <v>322.89</v>
      </c>
    </row>
    <row r="127" spans="1:2">
      <c r="A127" s="1">
        <v>25204</v>
      </c>
      <c r="B127">
        <v>324</v>
      </c>
    </row>
    <row r="128" spans="1:2">
      <c r="A128" s="1">
        <v>25235</v>
      </c>
      <c r="B128">
        <v>324.41000000000003</v>
      </c>
    </row>
    <row r="129" spans="1:2">
      <c r="A129" s="1">
        <v>25263</v>
      </c>
      <c r="B129">
        <v>325.63</v>
      </c>
    </row>
    <row r="130" spans="1:2">
      <c r="A130" s="1">
        <v>25294</v>
      </c>
      <c r="B130">
        <v>326.66000000000003</v>
      </c>
    </row>
    <row r="131" spans="1:2">
      <c r="A131" s="1">
        <v>25324</v>
      </c>
      <c r="B131">
        <v>327.38</v>
      </c>
    </row>
    <row r="132" spans="1:2">
      <c r="A132" s="1">
        <v>25355</v>
      </c>
      <c r="B132">
        <v>326.70999999999998</v>
      </c>
    </row>
    <row r="133" spans="1:2">
      <c r="A133" s="1">
        <v>25385</v>
      </c>
      <c r="B133">
        <v>325.88</v>
      </c>
    </row>
    <row r="134" spans="1:2">
      <c r="A134" s="1">
        <v>25416</v>
      </c>
      <c r="B134">
        <v>323.66000000000003</v>
      </c>
    </row>
    <row r="135" spans="1:2">
      <c r="A135" s="1">
        <v>25447</v>
      </c>
      <c r="B135">
        <v>322.38</v>
      </c>
    </row>
    <row r="136" spans="1:2">
      <c r="A136" s="1">
        <v>25477</v>
      </c>
      <c r="B136">
        <v>321.77999999999997</v>
      </c>
    </row>
    <row r="137" spans="1:2">
      <c r="A137" s="1">
        <v>25508</v>
      </c>
      <c r="B137">
        <v>322.85000000000002</v>
      </c>
    </row>
    <row r="138" spans="1:2">
      <c r="A138" s="1">
        <v>25538</v>
      </c>
      <c r="B138">
        <v>324.12</v>
      </c>
    </row>
    <row r="139" spans="1:2">
      <c r="A139" s="1">
        <v>25569</v>
      </c>
      <c r="B139">
        <v>325.06</v>
      </c>
    </row>
    <row r="140" spans="1:2">
      <c r="A140" s="1">
        <v>25600</v>
      </c>
      <c r="B140">
        <v>325.98</v>
      </c>
    </row>
    <row r="141" spans="1:2">
      <c r="A141" s="1">
        <v>25628</v>
      </c>
      <c r="B141">
        <v>326.93</v>
      </c>
    </row>
    <row r="142" spans="1:2">
      <c r="A142" s="1">
        <v>25659</v>
      </c>
      <c r="B142">
        <v>328.13</v>
      </c>
    </row>
    <row r="143" spans="1:2">
      <c r="A143" s="1">
        <v>25689</v>
      </c>
      <c r="B143">
        <v>328.08</v>
      </c>
    </row>
    <row r="144" spans="1:2">
      <c r="A144" s="1">
        <v>25720</v>
      </c>
      <c r="B144">
        <v>327.67</v>
      </c>
    </row>
    <row r="145" spans="1:2">
      <c r="A145" s="1">
        <v>25750</v>
      </c>
      <c r="B145">
        <v>326.33999999999997</v>
      </c>
    </row>
    <row r="146" spans="1:2">
      <c r="A146" s="1">
        <v>25781</v>
      </c>
      <c r="B146">
        <v>324.69</v>
      </c>
    </row>
    <row r="147" spans="1:2">
      <c r="A147" s="1">
        <v>25812</v>
      </c>
      <c r="B147">
        <v>323.10000000000002</v>
      </c>
    </row>
    <row r="148" spans="1:2">
      <c r="A148" s="1">
        <v>25842</v>
      </c>
      <c r="B148">
        <v>323.06</v>
      </c>
    </row>
    <row r="149" spans="1:2">
      <c r="A149" s="1">
        <v>25873</v>
      </c>
      <c r="B149">
        <v>324.01</v>
      </c>
    </row>
    <row r="150" spans="1:2">
      <c r="A150" s="1">
        <v>25903</v>
      </c>
      <c r="B150">
        <v>325.13</v>
      </c>
    </row>
    <row r="151" spans="1:2">
      <c r="A151" s="1">
        <v>25934</v>
      </c>
      <c r="B151">
        <v>326.17</v>
      </c>
    </row>
    <row r="152" spans="1:2">
      <c r="A152" s="1">
        <v>25965</v>
      </c>
      <c r="B152">
        <v>326.68</v>
      </c>
    </row>
    <row r="153" spans="1:2">
      <c r="A153" s="1">
        <v>25993</v>
      </c>
      <c r="B153">
        <v>327.17</v>
      </c>
    </row>
    <row r="154" spans="1:2">
      <c r="A154" s="1">
        <v>26024</v>
      </c>
      <c r="B154">
        <v>327.79</v>
      </c>
    </row>
    <row r="155" spans="1:2">
      <c r="A155" s="1">
        <v>26054</v>
      </c>
      <c r="B155">
        <v>328.93</v>
      </c>
    </row>
    <row r="156" spans="1:2">
      <c r="A156" s="1">
        <v>26085</v>
      </c>
      <c r="B156">
        <v>328.57</v>
      </c>
    </row>
    <row r="157" spans="1:2">
      <c r="A157" s="1">
        <v>26115</v>
      </c>
      <c r="B157">
        <v>327.36</v>
      </c>
    </row>
    <row r="158" spans="1:2">
      <c r="A158" s="1">
        <v>26146</v>
      </c>
      <c r="B158">
        <v>325.43</v>
      </c>
    </row>
    <row r="159" spans="1:2">
      <c r="A159" s="1">
        <v>26177</v>
      </c>
      <c r="B159">
        <v>323.36</v>
      </c>
    </row>
    <row r="160" spans="1:2">
      <c r="A160" s="1">
        <v>26207</v>
      </c>
      <c r="B160">
        <v>323.56</v>
      </c>
    </row>
    <row r="161" spans="1:2">
      <c r="A161" s="1">
        <v>26238</v>
      </c>
      <c r="B161">
        <v>324.8</v>
      </c>
    </row>
    <row r="162" spans="1:2">
      <c r="A162" s="1">
        <v>26268</v>
      </c>
      <c r="B162">
        <v>326.01</v>
      </c>
    </row>
    <row r="163" spans="1:2">
      <c r="A163" s="1">
        <v>26299</v>
      </c>
      <c r="B163">
        <v>326.77</v>
      </c>
    </row>
    <row r="164" spans="1:2">
      <c r="A164" s="1">
        <v>26330</v>
      </c>
      <c r="B164">
        <v>327.63</v>
      </c>
    </row>
    <row r="165" spans="1:2">
      <c r="A165" s="1">
        <v>26359</v>
      </c>
      <c r="B165">
        <v>327.75</v>
      </c>
    </row>
    <row r="166" spans="1:2">
      <c r="A166" s="1">
        <v>26390</v>
      </c>
      <c r="B166">
        <v>329.72</v>
      </c>
    </row>
    <row r="167" spans="1:2">
      <c r="A167" s="1">
        <v>26420</v>
      </c>
      <c r="B167">
        <v>330.07</v>
      </c>
    </row>
    <row r="168" spans="1:2">
      <c r="A168" s="1">
        <v>26451</v>
      </c>
      <c r="B168">
        <v>329.09</v>
      </c>
    </row>
    <row r="169" spans="1:2">
      <c r="A169" s="1">
        <v>26481</v>
      </c>
      <c r="B169">
        <v>328.04</v>
      </c>
    </row>
    <row r="170" spans="1:2">
      <c r="A170" s="1">
        <v>26512</v>
      </c>
      <c r="B170">
        <v>326.32</v>
      </c>
    </row>
    <row r="171" spans="1:2">
      <c r="A171" s="1">
        <v>26543</v>
      </c>
      <c r="B171">
        <v>324.83999999999997</v>
      </c>
    </row>
    <row r="172" spans="1:2">
      <c r="A172" s="1">
        <v>26573</v>
      </c>
      <c r="B172">
        <v>325.2</v>
      </c>
    </row>
    <row r="173" spans="1:2">
      <c r="A173" s="1">
        <v>26604</v>
      </c>
      <c r="B173">
        <v>326.5</v>
      </c>
    </row>
    <row r="174" spans="1:2">
      <c r="A174" s="1">
        <v>26634</v>
      </c>
      <c r="B174">
        <v>327.55</v>
      </c>
    </row>
    <row r="175" spans="1:2">
      <c r="A175" s="1">
        <v>26665</v>
      </c>
      <c r="B175">
        <v>328.55</v>
      </c>
    </row>
    <row r="176" spans="1:2">
      <c r="A176" s="1">
        <v>26696</v>
      </c>
      <c r="B176">
        <v>329.56</v>
      </c>
    </row>
    <row r="177" spans="1:2">
      <c r="A177" s="1">
        <v>26724</v>
      </c>
      <c r="B177">
        <v>330.3</v>
      </c>
    </row>
    <row r="178" spans="1:2">
      <c r="A178" s="1">
        <v>26755</v>
      </c>
      <c r="B178">
        <v>331.5</v>
      </c>
    </row>
    <row r="179" spans="1:2">
      <c r="A179" s="1">
        <v>26785</v>
      </c>
      <c r="B179">
        <v>332.48</v>
      </c>
    </row>
    <row r="180" spans="1:2">
      <c r="A180" s="1">
        <v>26816</v>
      </c>
      <c r="B180">
        <v>332.07</v>
      </c>
    </row>
    <row r="181" spans="1:2">
      <c r="A181" s="1">
        <v>26846</v>
      </c>
      <c r="B181">
        <v>330.87</v>
      </c>
    </row>
    <row r="182" spans="1:2">
      <c r="A182" s="1">
        <v>26877</v>
      </c>
      <c r="B182">
        <v>329.31</v>
      </c>
    </row>
    <row r="183" spans="1:2">
      <c r="A183" s="1">
        <v>26908</v>
      </c>
      <c r="B183">
        <v>327.51</v>
      </c>
    </row>
    <row r="184" spans="1:2">
      <c r="A184" s="1">
        <v>26938</v>
      </c>
      <c r="B184">
        <v>327.18</v>
      </c>
    </row>
    <row r="185" spans="1:2">
      <c r="A185" s="1">
        <v>26969</v>
      </c>
      <c r="B185">
        <v>328.16</v>
      </c>
    </row>
    <row r="186" spans="1:2">
      <c r="A186" s="1">
        <v>26999</v>
      </c>
      <c r="B186">
        <v>328.64</v>
      </c>
    </row>
    <row r="187" spans="1:2">
      <c r="A187" s="1">
        <v>27030</v>
      </c>
      <c r="B187">
        <v>329.35</v>
      </c>
    </row>
    <row r="188" spans="1:2">
      <c r="A188" s="1">
        <v>27061</v>
      </c>
      <c r="B188">
        <v>330.71</v>
      </c>
    </row>
    <row r="189" spans="1:2">
      <c r="A189" s="1">
        <v>27089</v>
      </c>
      <c r="B189">
        <v>331.48</v>
      </c>
    </row>
    <row r="190" spans="1:2">
      <c r="A190" s="1">
        <v>27120</v>
      </c>
      <c r="B190">
        <v>332.65</v>
      </c>
    </row>
    <row r="191" spans="1:2">
      <c r="A191" s="1">
        <v>27150</v>
      </c>
      <c r="B191">
        <v>333.09</v>
      </c>
    </row>
    <row r="192" spans="1:2">
      <c r="A192" s="1">
        <v>27181</v>
      </c>
      <c r="B192">
        <v>332.25</v>
      </c>
    </row>
    <row r="193" spans="1:2">
      <c r="A193" s="1">
        <v>27211</v>
      </c>
      <c r="B193">
        <v>331.18</v>
      </c>
    </row>
    <row r="194" spans="1:2">
      <c r="A194" s="1">
        <v>27242</v>
      </c>
      <c r="B194">
        <v>329.39</v>
      </c>
    </row>
    <row r="195" spans="1:2">
      <c r="A195" s="1">
        <v>27273</v>
      </c>
      <c r="B195">
        <v>327.43</v>
      </c>
    </row>
    <row r="196" spans="1:2">
      <c r="A196" s="1">
        <v>27303</v>
      </c>
      <c r="B196">
        <v>327.37</v>
      </c>
    </row>
    <row r="197" spans="1:2">
      <c r="A197" s="1">
        <v>27334</v>
      </c>
      <c r="B197">
        <v>328.46</v>
      </c>
    </row>
    <row r="198" spans="1:2">
      <c r="A198" s="1">
        <v>27364</v>
      </c>
      <c r="B198">
        <v>329.57</v>
      </c>
    </row>
    <row r="199" spans="1:2">
      <c r="A199" s="1">
        <v>27395</v>
      </c>
      <c r="B199">
        <v>330.4</v>
      </c>
    </row>
    <row r="200" spans="1:2">
      <c r="A200" s="1">
        <v>27426</v>
      </c>
      <c r="B200">
        <v>331.4</v>
      </c>
    </row>
    <row r="201" spans="1:2">
      <c r="A201" s="1">
        <v>27454</v>
      </c>
      <c r="B201">
        <v>332.04</v>
      </c>
    </row>
    <row r="202" spans="1:2">
      <c r="A202" s="1">
        <v>27485</v>
      </c>
      <c r="B202">
        <v>333.31</v>
      </c>
    </row>
    <row r="203" spans="1:2">
      <c r="A203" s="1">
        <v>27515</v>
      </c>
      <c r="B203">
        <v>333.97</v>
      </c>
    </row>
    <row r="204" spans="1:2">
      <c r="A204" s="1">
        <v>27546</v>
      </c>
      <c r="B204">
        <v>333.6</v>
      </c>
    </row>
    <row r="205" spans="1:2">
      <c r="A205" s="1">
        <v>27576</v>
      </c>
      <c r="B205">
        <v>331.9</v>
      </c>
    </row>
    <row r="206" spans="1:2">
      <c r="A206" s="1">
        <v>27607</v>
      </c>
      <c r="B206">
        <v>330.06</v>
      </c>
    </row>
    <row r="207" spans="1:2">
      <c r="A207" s="1">
        <v>27638</v>
      </c>
      <c r="B207">
        <v>328.56</v>
      </c>
    </row>
    <row r="208" spans="1:2">
      <c r="A208" s="1">
        <v>27668</v>
      </c>
      <c r="B208">
        <v>328.34</v>
      </c>
    </row>
    <row r="209" spans="1:2">
      <c r="A209" s="1">
        <v>27699</v>
      </c>
      <c r="B209">
        <v>329.49</v>
      </c>
    </row>
    <row r="210" spans="1:2">
      <c r="A210" s="1">
        <v>27729</v>
      </c>
      <c r="B210">
        <v>330.76</v>
      </c>
    </row>
    <row r="211" spans="1:2">
      <c r="A211" s="1">
        <v>27760</v>
      </c>
      <c r="B211">
        <v>331.75</v>
      </c>
    </row>
    <row r="212" spans="1:2">
      <c r="A212" s="1">
        <v>27791</v>
      </c>
      <c r="B212">
        <v>332.57</v>
      </c>
    </row>
    <row r="213" spans="1:2">
      <c r="A213" s="1">
        <v>27820</v>
      </c>
      <c r="B213">
        <v>333.5</v>
      </c>
    </row>
    <row r="214" spans="1:2">
      <c r="A214" s="1">
        <v>27851</v>
      </c>
      <c r="B214">
        <v>334.58</v>
      </c>
    </row>
    <row r="215" spans="1:2">
      <c r="A215" s="1">
        <v>27881</v>
      </c>
      <c r="B215">
        <v>334.88</v>
      </c>
    </row>
    <row r="216" spans="1:2">
      <c r="A216" s="1">
        <v>27912</v>
      </c>
      <c r="B216">
        <v>334.33</v>
      </c>
    </row>
    <row r="217" spans="1:2">
      <c r="A217" s="1">
        <v>27942</v>
      </c>
      <c r="B217">
        <v>333.05</v>
      </c>
    </row>
    <row r="218" spans="1:2">
      <c r="A218" s="1">
        <v>27973</v>
      </c>
      <c r="B218">
        <v>330.94</v>
      </c>
    </row>
    <row r="219" spans="1:2">
      <c r="A219" s="1">
        <v>28004</v>
      </c>
      <c r="B219">
        <v>329.3</v>
      </c>
    </row>
    <row r="220" spans="1:2">
      <c r="A220" s="1">
        <v>28034</v>
      </c>
      <c r="B220">
        <v>328.94</v>
      </c>
    </row>
    <row r="221" spans="1:2">
      <c r="A221" s="1">
        <v>28065</v>
      </c>
      <c r="B221">
        <v>330.31</v>
      </c>
    </row>
    <row r="222" spans="1:2">
      <c r="A222" s="1">
        <v>28095</v>
      </c>
      <c r="B222">
        <v>331.68</v>
      </c>
    </row>
    <row r="223" spans="1:2">
      <c r="A223" s="1">
        <v>28126</v>
      </c>
      <c r="B223">
        <v>332.93</v>
      </c>
    </row>
    <row r="224" spans="1:2">
      <c r="A224" s="1">
        <v>28157</v>
      </c>
      <c r="B224">
        <v>333.42</v>
      </c>
    </row>
    <row r="225" spans="1:2">
      <c r="A225" s="1">
        <v>28185</v>
      </c>
      <c r="B225">
        <v>334.7</v>
      </c>
    </row>
    <row r="226" spans="1:2">
      <c r="A226" s="1">
        <v>28216</v>
      </c>
      <c r="B226">
        <v>336.07</v>
      </c>
    </row>
    <row r="227" spans="1:2">
      <c r="A227" s="1">
        <v>28246</v>
      </c>
      <c r="B227">
        <v>336.75</v>
      </c>
    </row>
    <row r="228" spans="1:2">
      <c r="A228" s="1">
        <v>28277</v>
      </c>
      <c r="B228">
        <v>336.27</v>
      </c>
    </row>
    <row r="229" spans="1:2">
      <c r="A229" s="1">
        <v>28307</v>
      </c>
      <c r="B229">
        <v>334.92</v>
      </c>
    </row>
    <row r="230" spans="1:2">
      <c r="A230" s="1">
        <v>28338</v>
      </c>
      <c r="B230">
        <v>332.75</v>
      </c>
    </row>
    <row r="231" spans="1:2">
      <c r="A231" s="1">
        <v>28369</v>
      </c>
      <c r="B231">
        <v>331.59</v>
      </c>
    </row>
    <row r="232" spans="1:2">
      <c r="A232" s="1">
        <v>28399</v>
      </c>
      <c r="B232">
        <v>331.16</v>
      </c>
    </row>
    <row r="233" spans="1:2">
      <c r="A233" s="1">
        <v>28430</v>
      </c>
      <c r="B233">
        <v>332.4</v>
      </c>
    </row>
    <row r="234" spans="1:2">
      <c r="A234" s="1">
        <v>28460</v>
      </c>
      <c r="B234">
        <v>333.85</v>
      </c>
    </row>
    <row r="235" spans="1:2">
      <c r="A235" s="1">
        <v>28491</v>
      </c>
      <c r="B235">
        <v>334.97</v>
      </c>
    </row>
    <row r="236" spans="1:2">
      <c r="A236" s="1">
        <v>28522</v>
      </c>
      <c r="B236">
        <v>335.39</v>
      </c>
    </row>
    <row r="237" spans="1:2">
      <c r="A237" s="1">
        <v>28550</v>
      </c>
      <c r="B237">
        <v>336.64</v>
      </c>
    </row>
    <row r="238" spans="1:2">
      <c r="A238" s="1">
        <v>28581</v>
      </c>
      <c r="B238">
        <v>337.76</v>
      </c>
    </row>
    <row r="239" spans="1:2">
      <c r="A239" s="1">
        <v>28611</v>
      </c>
      <c r="B239">
        <v>338.01</v>
      </c>
    </row>
    <row r="240" spans="1:2">
      <c r="A240" s="1">
        <v>28642</v>
      </c>
      <c r="B240">
        <v>337.9</v>
      </c>
    </row>
    <row r="241" spans="1:2">
      <c r="A241" s="1">
        <v>28672</v>
      </c>
      <c r="B241">
        <v>336.54</v>
      </c>
    </row>
    <row r="242" spans="1:2">
      <c r="A242" s="1">
        <v>28703</v>
      </c>
      <c r="B242">
        <v>334.68</v>
      </c>
    </row>
    <row r="243" spans="1:2">
      <c r="A243" s="1">
        <v>28734</v>
      </c>
      <c r="B243">
        <v>332.76</v>
      </c>
    </row>
    <row r="244" spans="1:2">
      <c r="A244" s="1">
        <v>28764</v>
      </c>
      <c r="B244">
        <v>332.55</v>
      </c>
    </row>
    <row r="245" spans="1:2">
      <c r="A245" s="1">
        <v>28795</v>
      </c>
      <c r="B245">
        <v>333.92</v>
      </c>
    </row>
    <row r="246" spans="1:2">
      <c r="A246" s="1">
        <v>28825</v>
      </c>
      <c r="B246">
        <v>334.95</v>
      </c>
    </row>
    <row r="247" spans="1:2">
      <c r="A247" s="1">
        <v>28856</v>
      </c>
      <c r="B247">
        <v>336.23</v>
      </c>
    </row>
    <row r="248" spans="1:2">
      <c r="A248" s="1">
        <v>28887</v>
      </c>
      <c r="B248">
        <v>336.76</v>
      </c>
    </row>
    <row r="249" spans="1:2">
      <c r="A249" s="1">
        <v>28915</v>
      </c>
      <c r="B249">
        <v>337.96</v>
      </c>
    </row>
    <row r="250" spans="1:2">
      <c r="A250" s="1">
        <v>28946</v>
      </c>
      <c r="B250">
        <v>338.88</v>
      </c>
    </row>
    <row r="251" spans="1:2">
      <c r="A251" s="1">
        <v>28976</v>
      </c>
      <c r="B251">
        <v>339.47</v>
      </c>
    </row>
    <row r="252" spans="1:2">
      <c r="A252" s="1">
        <v>29007</v>
      </c>
      <c r="B252">
        <v>339.29</v>
      </c>
    </row>
    <row r="253" spans="1:2">
      <c r="A253" s="1">
        <v>29037</v>
      </c>
      <c r="B253">
        <v>337.73</v>
      </c>
    </row>
    <row r="254" spans="1:2">
      <c r="A254" s="1">
        <v>29068</v>
      </c>
      <c r="B254">
        <v>336.09</v>
      </c>
    </row>
    <row r="255" spans="1:2">
      <c r="A255" s="1">
        <v>29099</v>
      </c>
      <c r="B255">
        <v>333.92</v>
      </c>
    </row>
    <row r="256" spans="1:2">
      <c r="A256" s="1">
        <v>29129</v>
      </c>
      <c r="B256">
        <v>333.86</v>
      </c>
    </row>
    <row r="257" spans="1:2">
      <c r="A257" s="1">
        <v>29160</v>
      </c>
      <c r="B257">
        <v>335.29</v>
      </c>
    </row>
    <row r="258" spans="1:2">
      <c r="A258" s="1">
        <v>29190</v>
      </c>
      <c r="B258">
        <v>336.73</v>
      </c>
    </row>
    <row r="259" spans="1:2">
      <c r="A259" s="1">
        <v>29221</v>
      </c>
      <c r="B259">
        <v>338.01</v>
      </c>
    </row>
    <row r="260" spans="1:2">
      <c r="A260" s="1">
        <v>29252</v>
      </c>
      <c r="B260">
        <v>338.36</v>
      </c>
    </row>
    <row r="261" spans="1:2">
      <c r="A261" s="1">
        <v>29281</v>
      </c>
      <c r="B261">
        <v>340.07</v>
      </c>
    </row>
    <row r="262" spans="1:2">
      <c r="A262" s="1">
        <v>29312</v>
      </c>
      <c r="B262">
        <v>340.76</v>
      </c>
    </row>
    <row r="263" spans="1:2">
      <c r="A263" s="1">
        <v>29342</v>
      </c>
      <c r="B263">
        <v>341.47</v>
      </c>
    </row>
    <row r="264" spans="1:2">
      <c r="A264" s="1">
        <v>29373</v>
      </c>
      <c r="B264">
        <v>341.17</v>
      </c>
    </row>
    <row r="265" spans="1:2">
      <c r="A265" s="1">
        <v>29403</v>
      </c>
      <c r="B265">
        <v>339.56</v>
      </c>
    </row>
    <row r="266" spans="1:2">
      <c r="A266" s="1">
        <v>29434</v>
      </c>
      <c r="B266">
        <v>337.6</v>
      </c>
    </row>
    <row r="267" spans="1:2">
      <c r="A267" s="1">
        <v>29465</v>
      </c>
      <c r="B267">
        <v>335.88</v>
      </c>
    </row>
    <row r="268" spans="1:2">
      <c r="A268" s="1">
        <v>29495</v>
      </c>
      <c r="B268">
        <v>336.02</v>
      </c>
    </row>
    <row r="269" spans="1:2">
      <c r="A269" s="1">
        <v>29526</v>
      </c>
      <c r="B269">
        <v>337.1</v>
      </c>
    </row>
    <row r="270" spans="1:2">
      <c r="A270" s="1">
        <v>29556</v>
      </c>
      <c r="B270">
        <v>338.21</v>
      </c>
    </row>
    <row r="271" spans="1:2">
      <c r="A271" s="1">
        <v>29587</v>
      </c>
      <c r="B271">
        <v>339.24</v>
      </c>
    </row>
    <row r="272" spans="1:2">
      <c r="A272" s="1">
        <v>29618</v>
      </c>
      <c r="B272">
        <v>340.48</v>
      </c>
    </row>
    <row r="273" spans="1:2">
      <c r="A273" s="1">
        <v>29646</v>
      </c>
      <c r="B273">
        <v>341.38</v>
      </c>
    </row>
    <row r="274" spans="1:2">
      <c r="A274" s="1">
        <v>29677</v>
      </c>
      <c r="B274">
        <v>342.5</v>
      </c>
    </row>
    <row r="275" spans="1:2">
      <c r="A275" s="1">
        <v>29707</v>
      </c>
      <c r="B275">
        <v>342.91</v>
      </c>
    </row>
    <row r="276" spans="1:2">
      <c r="A276" s="1">
        <v>29738</v>
      </c>
      <c r="B276">
        <v>342.25</v>
      </c>
    </row>
    <row r="277" spans="1:2">
      <c r="A277" s="1">
        <v>29768</v>
      </c>
      <c r="B277">
        <v>340.49</v>
      </c>
    </row>
    <row r="278" spans="1:2">
      <c r="A278" s="1">
        <v>29799</v>
      </c>
      <c r="B278">
        <v>338.43</v>
      </c>
    </row>
    <row r="279" spans="1:2">
      <c r="A279" s="1">
        <v>29830</v>
      </c>
      <c r="B279">
        <v>336.69</v>
      </c>
    </row>
    <row r="280" spans="1:2">
      <c r="A280" s="1">
        <v>29860</v>
      </c>
      <c r="B280">
        <v>336.86</v>
      </c>
    </row>
    <row r="281" spans="1:2">
      <c r="A281" s="1">
        <v>29891</v>
      </c>
      <c r="B281">
        <v>338.36</v>
      </c>
    </row>
    <row r="282" spans="1:2">
      <c r="A282" s="1">
        <v>29921</v>
      </c>
      <c r="B282">
        <v>339.61</v>
      </c>
    </row>
    <row r="283" spans="1:2">
      <c r="A283" s="1">
        <v>29952</v>
      </c>
      <c r="B283">
        <v>340.75</v>
      </c>
    </row>
    <row r="284" spans="1:2">
      <c r="A284" s="1">
        <v>29983</v>
      </c>
      <c r="B284">
        <v>341.61</v>
      </c>
    </row>
    <row r="285" spans="1:2">
      <c r="A285" s="1">
        <v>30011</v>
      </c>
      <c r="B285">
        <v>342.7</v>
      </c>
    </row>
    <row r="286" spans="1:2">
      <c r="A286" s="1">
        <v>30042</v>
      </c>
      <c r="B286">
        <v>343.57</v>
      </c>
    </row>
    <row r="287" spans="1:2">
      <c r="A287" s="1">
        <v>30072</v>
      </c>
      <c r="B287">
        <v>344.14</v>
      </c>
    </row>
    <row r="288" spans="1:2">
      <c r="A288" s="1">
        <v>30103</v>
      </c>
      <c r="B288">
        <v>343.35</v>
      </c>
    </row>
    <row r="289" spans="1:2">
      <c r="A289" s="1">
        <v>30133</v>
      </c>
      <c r="B289">
        <v>342.06</v>
      </c>
    </row>
    <row r="290" spans="1:2">
      <c r="A290" s="1">
        <v>30164</v>
      </c>
      <c r="B290">
        <v>339.81</v>
      </c>
    </row>
    <row r="291" spans="1:2">
      <c r="A291" s="1">
        <v>30195</v>
      </c>
      <c r="B291">
        <v>337.98</v>
      </c>
    </row>
    <row r="292" spans="1:2">
      <c r="A292" s="1">
        <v>30225</v>
      </c>
      <c r="B292">
        <v>337.86</v>
      </c>
    </row>
    <row r="293" spans="1:2">
      <c r="A293" s="1">
        <v>30256</v>
      </c>
      <c r="B293">
        <v>339.26</v>
      </c>
    </row>
    <row r="294" spans="1:2">
      <c r="A294" s="1">
        <v>30286</v>
      </c>
      <c r="B294">
        <v>340.49</v>
      </c>
    </row>
    <row r="295" spans="1:2">
      <c r="A295" s="1">
        <v>30317</v>
      </c>
      <c r="B295">
        <v>341.38</v>
      </c>
    </row>
    <row r="296" spans="1:2">
      <c r="A296" s="1">
        <v>30348</v>
      </c>
      <c r="B296">
        <v>342.52</v>
      </c>
    </row>
    <row r="297" spans="1:2">
      <c r="A297" s="1">
        <v>30376</v>
      </c>
      <c r="B297">
        <v>343.1</v>
      </c>
    </row>
    <row r="298" spans="1:2">
      <c r="A298" s="1">
        <v>30407</v>
      </c>
      <c r="B298">
        <v>344.94</v>
      </c>
    </row>
    <row r="299" spans="1:2">
      <c r="A299" s="1">
        <v>30437</v>
      </c>
      <c r="B299">
        <v>345.76</v>
      </c>
    </row>
    <row r="300" spans="1:2">
      <c r="A300" s="1">
        <v>30468</v>
      </c>
      <c r="B300">
        <v>345.32</v>
      </c>
    </row>
    <row r="301" spans="1:2">
      <c r="A301" s="1">
        <v>30498</v>
      </c>
      <c r="B301">
        <v>343.98</v>
      </c>
    </row>
    <row r="302" spans="1:2">
      <c r="A302" s="1">
        <v>30529</v>
      </c>
      <c r="B302">
        <v>342.38</v>
      </c>
    </row>
    <row r="303" spans="1:2">
      <c r="A303" s="1">
        <v>30560</v>
      </c>
      <c r="B303">
        <v>339.87</v>
      </c>
    </row>
    <row r="304" spans="1:2">
      <c r="A304" s="1">
        <v>30590</v>
      </c>
      <c r="B304">
        <v>339.99</v>
      </c>
    </row>
    <row r="305" spans="1:2">
      <c r="A305" s="1">
        <v>30621</v>
      </c>
      <c r="B305">
        <v>341.15</v>
      </c>
    </row>
    <row r="306" spans="1:2">
      <c r="A306" s="1">
        <v>30651</v>
      </c>
      <c r="B306">
        <v>342.99</v>
      </c>
    </row>
    <row r="307" spans="1:2">
      <c r="A307" s="1">
        <v>30682</v>
      </c>
      <c r="B307">
        <v>343.7</v>
      </c>
    </row>
    <row r="308" spans="1:2">
      <c r="A308" s="1">
        <v>30713</v>
      </c>
      <c r="B308">
        <v>344.5</v>
      </c>
    </row>
    <row r="309" spans="1:2">
      <c r="A309" s="1">
        <v>30742</v>
      </c>
      <c r="B309">
        <v>345.28</v>
      </c>
    </row>
    <row r="310" spans="1:2">
      <c r="A310" s="1">
        <v>30773</v>
      </c>
      <c r="B310">
        <v>347.05</v>
      </c>
    </row>
    <row r="311" spans="1:2">
      <c r="A311" s="1">
        <v>30803</v>
      </c>
      <c r="B311">
        <v>347.43</v>
      </c>
    </row>
    <row r="312" spans="1:2">
      <c r="A312" s="1">
        <v>30834</v>
      </c>
      <c r="B312">
        <v>346.8</v>
      </c>
    </row>
    <row r="313" spans="1:2">
      <c r="A313" s="1">
        <v>30864</v>
      </c>
      <c r="B313">
        <v>345.39</v>
      </c>
    </row>
    <row r="314" spans="1:2">
      <c r="A314" s="1">
        <v>30895</v>
      </c>
      <c r="B314">
        <v>343.28</v>
      </c>
    </row>
    <row r="315" spans="1:2">
      <c r="A315" s="1">
        <v>30926</v>
      </c>
      <c r="B315">
        <v>341.07</v>
      </c>
    </row>
    <row r="316" spans="1:2">
      <c r="A316" s="1">
        <v>30956</v>
      </c>
      <c r="B316">
        <v>341.35</v>
      </c>
    </row>
    <row r="317" spans="1:2">
      <c r="A317" s="1">
        <v>30987</v>
      </c>
      <c r="B317">
        <v>342.98</v>
      </c>
    </row>
    <row r="318" spans="1:2">
      <c r="A318" s="1">
        <v>31017</v>
      </c>
      <c r="B318">
        <v>344.22</v>
      </c>
    </row>
    <row r="319" spans="1:2">
      <c r="A319" s="1">
        <v>31048</v>
      </c>
      <c r="B319">
        <v>344.97</v>
      </c>
    </row>
    <row r="320" spans="1:2">
      <c r="A320" s="1">
        <v>31079</v>
      </c>
      <c r="B320">
        <v>345.99</v>
      </c>
    </row>
    <row r="321" spans="1:2">
      <c r="A321" s="1">
        <v>31107</v>
      </c>
      <c r="B321">
        <v>347.42</v>
      </c>
    </row>
    <row r="322" spans="1:2">
      <c r="A322" s="1">
        <v>31138</v>
      </c>
      <c r="B322">
        <v>348.35</v>
      </c>
    </row>
    <row r="323" spans="1:2">
      <c r="A323" s="1">
        <v>31168</v>
      </c>
      <c r="B323">
        <v>348.93</v>
      </c>
    </row>
    <row r="324" spans="1:2">
      <c r="A324" s="1">
        <v>31199</v>
      </c>
      <c r="B324">
        <v>348.25</v>
      </c>
    </row>
    <row r="325" spans="1:2">
      <c r="A325" s="1">
        <v>31229</v>
      </c>
      <c r="B325">
        <v>346.56</v>
      </c>
    </row>
    <row r="326" spans="1:2">
      <c r="A326" s="1">
        <v>31260</v>
      </c>
      <c r="B326">
        <v>344.67</v>
      </c>
    </row>
    <row r="327" spans="1:2">
      <c r="A327" s="1">
        <v>31291</v>
      </c>
      <c r="B327">
        <v>343.09</v>
      </c>
    </row>
    <row r="328" spans="1:2">
      <c r="A328" s="1">
        <v>31321</v>
      </c>
      <c r="B328">
        <v>342.8</v>
      </c>
    </row>
    <row r="329" spans="1:2">
      <c r="A329" s="1">
        <v>31352</v>
      </c>
      <c r="B329">
        <v>344.24</v>
      </c>
    </row>
    <row r="330" spans="1:2">
      <c r="A330" s="1">
        <v>31382</v>
      </c>
      <c r="B330">
        <v>345.56</v>
      </c>
    </row>
    <row r="331" spans="1:2">
      <c r="A331" s="1">
        <v>31413</v>
      </c>
      <c r="B331">
        <v>346.3</v>
      </c>
    </row>
    <row r="332" spans="1:2">
      <c r="A332" s="1">
        <v>31444</v>
      </c>
      <c r="B332">
        <v>346.95</v>
      </c>
    </row>
    <row r="333" spans="1:2">
      <c r="A333" s="1">
        <v>31472</v>
      </c>
      <c r="B333">
        <v>347.85</v>
      </c>
    </row>
    <row r="334" spans="1:2">
      <c r="A334" s="1">
        <v>31503</v>
      </c>
      <c r="B334">
        <v>349.55</v>
      </c>
    </row>
    <row r="335" spans="1:2">
      <c r="A335" s="1">
        <v>31533</v>
      </c>
      <c r="B335">
        <v>350.22</v>
      </c>
    </row>
    <row r="336" spans="1:2">
      <c r="A336" s="1">
        <v>31564</v>
      </c>
      <c r="B336">
        <v>349.55</v>
      </c>
    </row>
    <row r="337" spans="1:2">
      <c r="A337" s="1">
        <v>31594</v>
      </c>
      <c r="B337">
        <v>347.94</v>
      </c>
    </row>
    <row r="338" spans="1:2">
      <c r="A338" s="1">
        <v>31625</v>
      </c>
      <c r="B338">
        <v>345.9</v>
      </c>
    </row>
    <row r="339" spans="1:2">
      <c r="A339" s="1">
        <v>31656</v>
      </c>
      <c r="B339">
        <v>344.85</v>
      </c>
    </row>
    <row r="340" spans="1:2">
      <c r="A340" s="1">
        <v>31686</v>
      </c>
      <c r="B340">
        <v>344.17</v>
      </c>
    </row>
    <row r="341" spans="1:2">
      <c r="A341" s="1">
        <v>31717</v>
      </c>
      <c r="B341">
        <v>345.66</v>
      </c>
    </row>
    <row r="342" spans="1:2">
      <c r="A342" s="1">
        <v>31747</v>
      </c>
      <c r="B342">
        <v>346.9</v>
      </c>
    </row>
    <row r="343" spans="1:2">
      <c r="A343" s="1">
        <v>31778</v>
      </c>
      <c r="B343">
        <v>348.02</v>
      </c>
    </row>
    <row r="344" spans="1:2">
      <c r="A344" s="1">
        <v>31809</v>
      </c>
      <c r="B344">
        <v>348.48</v>
      </c>
    </row>
    <row r="345" spans="1:2">
      <c r="A345" s="1">
        <v>31837</v>
      </c>
      <c r="B345">
        <v>349.42</v>
      </c>
    </row>
    <row r="346" spans="1:2">
      <c r="A346" s="1">
        <v>31868</v>
      </c>
      <c r="B346">
        <v>350.98</v>
      </c>
    </row>
    <row r="347" spans="1:2">
      <c r="A347" s="1">
        <v>31898</v>
      </c>
      <c r="B347">
        <v>351.85</v>
      </c>
    </row>
    <row r="348" spans="1:2">
      <c r="A348" s="1">
        <v>31929</v>
      </c>
      <c r="B348">
        <v>351.26</v>
      </c>
    </row>
    <row r="349" spans="1:2">
      <c r="A349" s="1">
        <v>31959</v>
      </c>
      <c r="B349">
        <v>349.51</v>
      </c>
    </row>
    <row r="350" spans="1:2">
      <c r="A350" s="1">
        <v>31990</v>
      </c>
      <c r="B350">
        <v>348.1</v>
      </c>
    </row>
    <row r="351" spans="1:2">
      <c r="A351" s="1">
        <v>32021</v>
      </c>
      <c r="B351">
        <v>346.45</v>
      </c>
    </row>
    <row r="352" spans="1:2">
      <c r="A352" s="1">
        <v>32051</v>
      </c>
      <c r="B352">
        <v>346.36</v>
      </c>
    </row>
    <row r="353" spans="1:2">
      <c r="A353" s="1">
        <v>32082</v>
      </c>
      <c r="B353">
        <v>347.81</v>
      </c>
    </row>
    <row r="354" spans="1:2">
      <c r="A354" s="1">
        <v>32112</v>
      </c>
      <c r="B354">
        <v>348.96</v>
      </c>
    </row>
    <row r="355" spans="1:2">
      <c r="A355" s="1">
        <v>32143</v>
      </c>
      <c r="B355">
        <v>350.43</v>
      </c>
    </row>
    <row r="356" spans="1:2">
      <c r="A356" s="1">
        <v>32174</v>
      </c>
      <c r="B356">
        <v>351.73</v>
      </c>
    </row>
    <row r="357" spans="1:2">
      <c r="A357" s="1">
        <v>32203</v>
      </c>
      <c r="B357">
        <v>352.22</v>
      </c>
    </row>
    <row r="358" spans="1:2">
      <c r="A358" s="1">
        <v>32234</v>
      </c>
      <c r="B358">
        <v>353.59</v>
      </c>
    </row>
    <row r="359" spans="1:2">
      <c r="A359" s="1">
        <v>32264</v>
      </c>
      <c r="B359">
        <v>354.22</v>
      </c>
    </row>
    <row r="360" spans="1:2">
      <c r="A360" s="1">
        <v>32295</v>
      </c>
      <c r="B360">
        <v>353.8</v>
      </c>
    </row>
    <row r="361" spans="1:2">
      <c r="A361" s="1">
        <v>32325</v>
      </c>
      <c r="B361">
        <v>352.38</v>
      </c>
    </row>
    <row r="362" spans="1:2">
      <c r="A362" s="1">
        <v>32356</v>
      </c>
      <c r="B362">
        <v>350.43</v>
      </c>
    </row>
    <row r="363" spans="1:2">
      <c r="A363" s="1">
        <v>32387</v>
      </c>
      <c r="B363">
        <v>348.73</v>
      </c>
    </row>
    <row r="364" spans="1:2">
      <c r="A364" s="1">
        <v>32417</v>
      </c>
      <c r="B364">
        <v>348.88</v>
      </c>
    </row>
    <row r="365" spans="1:2">
      <c r="A365" s="1">
        <v>32448</v>
      </c>
      <c r="B365">
        <v>350.07</v>
      </c>
    </row>
    <row r="366" spans="1:2">
      <c r="A366" s="1">
        <v>32478</v>
      </c>
      <c r="B366">
        <v>351.34</v>
      </c>
    </row>
    <row r="367" spans="1:2">
      <c r="A367" s="1">
        <v>32509</v>
      </c>
      <c r="B367">
        <v>352.76</v>
      </c>
    </row>
    <row r="368" spans="1:2">
      <c r="A368" s="1">
        <v>32540</v>
      </c>
      <c r="B368">
        <v>353.07</v>
      </c>
    </row>
    <row r="369" spans="1:2">
      <c r="A369" s="1">
        <v>32568</v>
      </c>
      <c r="B369">
        <v>353.68</v>
      </c>
    </row>
    <row r="370" spans="1:2">
      <c r="A370" s="1">
        <v>32599</v>
      </c>
      <c r="B370">
        <v>355.42</v>
      </c>
    </row>
    <row r="371" spans="1:2">
      <c r="A371" s="1">
        <v>32629</v>
      </c>
      <c r="B371">
        <v>355.67</v>
      </c>
    </row>
    <row r="372" spans="1:2">
      <c r="A372" s="1">
        <v>32660</v>
      </c>
      <c r="B372">
        <v>355.12</v>
      </c>
    </row>
    <row r="373" spans="1:2">
      <c r="A373" s="1">
        <v>32690</v>
      </c>
      <c r="B373">
        <v>353.9</v>
      </c>
    </row>
    <row r="374" spans="1:2">
      <c r="A374" s="1">
        <v>32721</v>
      </c>
      <c r="B374">
        <v>351.67</v>
      </c>
    </row>
    <row r="375" spans="1:2">
      <c r="A375" s="1">
        <v>32752</v>
      </c>
      <c r="B375">
        <v>349.81</v>
      </c>
    </row>
    <row r="376" spans="1:2">
      <c r="A376" s="1">
        <v>32782</v>
      </c>
      <c r="B376">
        <v>349.99</v>
      </c>
    </row>
    <row r="377" spans="1:2">
      <c r="A377" s="1">
        <v>32813</v>
      </c>
      <c r="B377">
        <v>351.3</v>
      </c>
    </row>
    <row r="378" spans="1:2">
      <c r="A378" s="1">
        <v>32843</v>
      </c>
      <c r="B378">
        <v>352.52</v>
      </c>
    </row>
    <row r="379" spans="1:2">
      <c r="A379" s="1">
        <v>32874</v>
      </c>
      <c r="B379">
        <v>353.66</v>
      </c>
    </row>
    <row r="380" spans="1:2">
      <c r="A380" s="1">
        <v>32905</v>
      </c>
      <c r="B380">
        <v>354.7</v>
      </c>
    </row>
    <row r="381" spans="1:2">
      <c r="A381" s="1">
        <v>32933</v>
      </c>
      <c r="B381">
        <v>355.38</v>
      </c>
    </row>
    <row r="382" spans="1:2">
      <c r="A382" s="1">
        <v>32964</v>
      </c>
      <c r="B382">
        <v>356.2</v>
      </c>
    </row>
    <row r="383" spans="1:2">
      <c r="A383" s="1">
        <v>32994</v>
      </c>
      <c r="B383">
        <v>357.16</v>
      </c>
    </row>
    <row r="384" spans="1:2">
      <c r="A384" s="1">
        <v>33025</v>
      </c>
      <c r="B384">
        <v>356.23</v>
      </c>
    </row>
    <row r="385" spans="1:2">
      <c r="A385" s="1">
        <v>33055</v>
      </c>
      <c r="B385">
        <v>354.81</v>
      </c>
    </row>
    <row r="386" spans="1:2">
      <c r="A386" s="1">
        <v>33086</v>
      </c>
      <c r="B386">
        <v>352.91</v>
      </c>
    </row>
    <row r="387" spans="1:2">
      <c r="A387" s="1">
        <v>33117</v>
      </c>
      <c r="B387">
        <v>350.96</v>
      </c>
    </row>
    <row r="388" spans="1:2">
      <c r="A388" s="1">
        <v>33147</v>
      </c>
      <c r="B388">
        <v>351.18</v>
      </c>
    </row>
    <row r="389" spans="1:2">
      <c r="A389" s="1">
        <v>33178</v>
      </c>
      <c r="B389">
        <v>352.83</v>
      </c>
    </row>
    <row r="390" spans="1:2">
      <c r="A390" s="1">
        <v>33208</v>
      </c>
      <c r="B390">
        <v>354.21</v>
      </c>
    </row>
    <row r="391" spans="1:2">
      <c r="A391" s="1">
        <v>33239</v>
      </c>
      <c r="B391">
        <v>354.72</v>
      </c>
    </row>
    <row r="392" spans="1:2">
      <c r="A392" s="1">
        <v>33270</v>
      </c>
      <c r="B392">
        <v>355.75</v>
      </c>
    </row>
    <row r="393" spans="1:2">
      <c r="A393" s="1">
        <v>33298</v>
      </c>
      <c r="B393">
        <v>357.16</v>
      </c>
    </row>
    <row r="394" spans="1:2">
      <c r="A394" s="1">
        <v>33329</v>
      </c>
      <c r="B394">
        <v>358.6</v>
      </c>
    </row>
    <row r="395" spans="1:2">
      <c r="A395" s="1">
        <v>33359</v>
      </c>
      <c r="B395">
        <v>359.34</v>
      </c>
    </row>
    <row r="396" spans="1:2">
      <c r="A396" s="1">
        <v>33390</v>
      </c>
      <c r="B396">
        <v>358.24</v>
      </c>
    </row>
    <row r="397" spans="1:2">
      <c r="A397" s="1">
        <v>33420</v>
      </c>
      <c r="B397">
        <v>356.17</v>
      </c>
    </row>
    <row r="398" spans="1:2">
      <c r="A398" s="1">
        <v>33451</v>
      </c>
      <c r="B398">
        <v>354.01</v>
      </c>
    </row>
    <row r="399" spans="1:2">
      <c r="A399" s="1">
        <v>33482</v>
      </c>
      <c r="B399">
        <v>352.15</v>
      </c>
    </row>
    <row r="400" spans="1:2">
      <c r="A400" s="1">
        <v>33512</v>
      </c>
      <c r="B400">
        <v>352.21</v>
      </c>
    </row>
    <row r="401" spans="1:2">
      <c r="A401" s="1">
        <v>33543</v>
      </c>
      <c r="B401">
        <v>353.75</v>
      </c>
    </row>
    <row r="402" spans="1:2">
      <c r="A402" s="1">
        <v>33573</v>
      </c>
      <c r="B402">
        <v>354.99</v>
      </c>
    </row>
    <row r="403" spans="1:2">
      <c r="A403" s="1">
        <v>33604</v>
      </c>
      <c r="B403">
        <v>355.99</v>
      </c>
    </row>
    <row r="404" spans="1:2">
      <c r="A404" s="1">
        <v>33635</v>
      </c>
      <c r="B404">
        <v>356.72</v>
      </c>
    </row>
    <row r="405" spans="1:2">
      <c r="A405" s="1">
        <v>33664</v>
      </c>
      <c r="B405">
        <v>357.81</v>
      </c>
    </row>
    <row r="406" spans="1:2">
      <c r="A406" s="1">
        <v>33695</v>
      </c>
      <c r="B406">
        <v>359.15</v>
      </c>
    </row>
    <row r="407" spans="1:2">
      <c r="A407" s="1">
        <v>33725</v>
      </c>
      <c r="B407">
        <v>359.66</v>
      </c>
    </row>
    <row r="408" spans="1:2">
      <c r="A408" s="1">
        <v>33756</v>
      </c>
      <c r="B408">
        <v>359.25</v>
      </c>
    </row>
    <row r="409" spans="1:2">
      <c r="A409" s="1">
        <v>33786</v>
      </c>
      <c r="B409">
        <v>357.02</v>
      </c>
    </row>
    <row r="410" spans="1:2">
      <c r="A410" s="1">
        <v>33817</v>
      </c>
      <c r="B410">
        <v>355</v>
      </c>
    </row>
    <row r="411" spans="1:2">
      <c r="A411" s="1">
        <v>33848</v>
      </c>
      <c r="B411">
        <v>353.01</v>
      </c>
    </row>
    <row r="412" spans="1:2">
      <c r="A412" s="1">
        <v>33878</v>
      </c>
      <c r="B412">
        <v>353.31</v>
      </c>
    </row>
    <row r="413" spans="1:2">
      <c r="A413" s="1">
        <v>33909</v>
      </c>
      <c r="B413">
        <v>354.16</v>
      </c>
    </row>
    <row r="414" spans="1:2">
      <c r="A414" s="1">
        <v>33939</v>
      </c>
      <c r="B414">
        <v>355.4</v>
      </c>
    </row>
    <row r="415" spans="1:2">
      <c r="A415" s="1">
        <v>33970</v>
      </c>
      <c r="B415">
        <v>356.7</v>
      </c>
    </row>
    <row r="416" spans="1:2">
      <c r="A416" s="1">
        <v>34001</v>
      </c>
      <c r="B416">
        <v>357.17</v>
      </c>
    </row>
    <row r="417" spans="1:2">
      <c r="A417" s="1">
        <v>34029</v>
      </c>
      <c r="B417">
        <v>358.38</v>
      </c>
    </row>
    <row r="418" spans="1:2">
      <c r="A418" s="1">
        <v>34060</v>
      </c>
      <c r="B418">
        <v>359.46</v>
      </c>
    </row>
    <row r="419" spans="1:2">
      <c r="A419" s="1">
        <v>34090</v>
      </c>
      <c r="B419">
        <v>360.28</v>
      </c>
    </row>
    <row r="420" spans="1:2">
      <c r="A420" s="1">
        <v>34121</v>
      </c>
      <c r="B420">
        <v>359.6</v>
      </c>
    </row>
    <row r="421" spans="1:2">
      <c r="A421" s="1">
        <v>34151</v>
      </c>
      <c r="B421">
        <v>357.57</v>
      </c>
    </row>
    <row r="422" spans="1:2">
      <c r="A422" s="1">
        <v>34182</v>
      </c>
      <c r="B422">
        <v>355.52</v>
      </c>
    </row>
    <row r="423" spans="1:2">
      <c r="A423" s="1">
        <v>34213</v>
      </c>
      <c r="B423">
        <v>353.69</v>
      </c>
    </row>
    <row r="424" spans="1:2">
      <c r="A424" s="1">
        <v>34243</v>
      </c>
      <c r="B424">
        <v>353.99</v>
      </c>
    </row>
    <row r="425" spans="1:2">
      <c r="A425" s="1">
        <v>34274</v>
      </c>
      <c r="B425">
        <v>355.34</v>
      </c>
    </row>
    <row r="426" spans="1:2">
      <c r="A426" s="1">
        <v>34304</v>
      </c>
      <c r="B426">
        <v>356.8</v>
      </c>
    </row>
    <row r="427" spans="1:2">
      <c r="A427" s="1">
        <v>34335</v>
      </c>
      <c r="B427">
        <v>358.37</v>
      </c>
    </row>
    <row r="428" spans="1:2">
      <c r="A428" s="1">
        <v>34366</v>
      </c>
      <c r="B428">
        <v>358.91</v>
      </c>
    </row>
    <row r="429" spans="1:2">
      <c r="A429" s="1">
        <v>34394</v>
      </c>
      <c r="B429">
        <v>359.97</v>
      </c>
    </row>
    <row r="430" spans="1:2">
      <c r="A430" s="1">
        <v>34425</v>
      </c>
      <c r="B430">
        <v>361.26</v>
      </c>
    </row>
    <row r="431" spans="1:2">
      <c r="A431" s="1">
        <v>34455</v>
      </c>
      <c r="B431">
        <v>361.69</v>
      </c>
    </row>
    <row r="432" spans="1:2">
      <c r="A432" s="1">
        <v>34486</v>
      </c>
      <c r="B432">
        <v>360.94</v>
      </c>
    </row>
    <row r="433" spans="1:2">
      <c r="A433" s="1">
        <v>34516</v>
      </c>
      <c r="B433">
        <v>359.55</v>
      </c>
    </row>
    <row r="434" spans="1:2">
      <c r="A434" s="1">
        <v>34547</v>
      </c>
      <c r="B434">
        <v>357.48</v>
      </c>
    </row>
    <row r="435" spans="1:2">
      <c r="A435" s="1">
        <v>34578</v>
      </c>
      <c r="B435">
        <v>355.84</v>
      </c>
    </row>
    <row r="436" spans="1:2">
      <c r="A436" s="1">
        <v>34608</v>
      </c>
      <c r="B436">
        <v>356</v>
      </c>
    </row>
    <row r="437" spans="1:2">
      <c r="A437" s="1">
        <v>34639</v>
      </c>
      <c r="B437">
        <v>357.58</v>
      </c>
    </row>
    <row r="438" spans="1:2">
      <c r="A438" s="1">
        <v>34669</v>
      </c>
      <c r="B438">
        <v>359.04</v>
      </c>
    </row>
    <row r="439" spans="1:2">
      <c r="A439" s="1">
        <v>34700</v>
      </c>
      <c r="B439">
        <v>359.97</v>
      </c>
    </row>
    <row r="440" spans="1:2">
      <c r="A440" s="1">
        <v>34731</v>
      </c>
      <c r="B440">
        <v>361</v>
      </c>
    </row>
    <row r="441" spans="1:2">
      <c r="A441" s="1">
        <v>34759</v>
      </c>
      <c r="B441">
        <v>361.63</v>
      </c>
    </row>
    <row r="442" spans="1:2">
      <c r="A442" s="1">
        <v>34790</v>
      </c>
      <c r="B442">
        <v>363.45</v>
      </c>
    </row>
    <row r="443" spans="1:2">
      <c r="A443" s="1">
        <v>34820</v>
      </c>
      <c r="B443">
        <v>363.8</v>
      </c>
    </row>
    <row r="444" spans="1:2">
      <c r="A444" s="1">
        <v>34851</v>
      </c>
      <c r="B444">
        <v>363.26</v>
      </c>
    </row>
    <row r="445" spans="1:2">
      <c r="A445" s="1">
        <v>34881</v>
      </c>
      <c r="B445">
        <v>361.89</v>
      </c>
    </row>
    <row r="446" spans="1:2">
      <c r="A446" s="1">
        <v>34912</v>
      </c>
      <c r="B446">
        <v>359.45</v>
      </c>
    </row>
    <row r="447" spans="1:2">
      <c r="A447" s="1">
        <v>34943</v>
      </c>
      <c r="B447">
        <v>358.05</v>
      </c>
    </row>
    <row r="448" spans="1:2">
      <c r="A448" s="1">
        <v>34973</v>
      </c>
      <c r="B448">
        <v>357.75</v>
      </c>
    </row>
    <row r="449" spans="1:2">
      <c r="A449" s="1">
        <v>35004</v>
      </c>
      <c r="B449">
        <v>359.56</v>
      </c>
    </row>
    <row r="450" spans="1:2">
      <c r="A450" s="1">
        <v>35034</v>
      </c>
      <c r="B450">
        <v>360.7</v>
      </c>
    </row>
    <row r="451" spans="1:2">
      <c r="A451" s="1">
        <v>35065</v>
      </c>
      <c r="B451">
        <v>362.05</v>
      </c>
    </row>
    <row r="452" spans="1:2">
      <c r="A452" s="1">
        <v>35096</v>
      </c>
      <c r="B452">
        <v>363.24</v>
      </c>
    </row>
    <row r="453" spans="1:2">
      <c r="A453" s="1">
        <v>35125</v>
      </c>
      <c r="B453">
        <v>364.02</v>
      </c>
    </row>
    <row r="454" spans="1:2">
      <c r="A454" s="1">
        <v>35156</v>
      </c>
      <c r="B454">
        <v>364.71</v>
      </c>
    </row>
    <row r="455" spans="1:2">
      <c r="A455" s="1">
        <v>35186</v>
      </c>
      <c r="B455">
        <v>365.42</v>
      </c>
    </row>
    <row r="456" spans="1:2">
      <c r="A456" s="1">
        <v>35217</v>
      </c>
      <c r="B456">
        <v>364.97</v>
      </c>
    </row>
    <row r="457" spans="1:2">
      <c r="A457" s="1">
        <v>35247</v>
      </c>
      <c r="B457">
        <v>363.65</v>
      </c>
    </row>
    <row r="458" spans="1:2">
      <c r="A458" s="1">
        <v>35278</v>
      </c>
      <c r="B458">
        <v>361.48</v>
      </c>
    </row>
    <row r="459" spans="1:2">
      <c r="A459" s="1">
        <v>35309</v>
      </c>
      <c r="B459">
        <v>359.45</v>
      </c>
    </row>
    <row r="460" spans="1:2">
      <c r="A460" s="1">
        <v>35339</v>
      </c>
      <c r="B460">
        <v>359.61</v>
      </c>
    </row>
    <row r="461" spans="1:2">
      <c r="A461" s="1">
        <v>35370</v>
      </c>
      <c r="B461">
        <v>360.76</v>
      </c>
    </row>
    <row r="462" spans="1:2">
      <c r="A462" s="1">
        <v>35400</v>
      </c>
      <c r="B462">
        <v>362.33</v>
      </c>
    </row>
    <row r="463" spans="1:2">
      <c r="A463" s="1">
        <v>35431</v>
      </c>
      <c r="B463">
        <v>363.19</v>
      </c>
    </row>
    <row r="464" spans="1:2">
      <c r="A464" s="1">
        <v>35462</v>
      </c>
      <c r="B464">
        <v>363.99</v>
      </c>
    </row>
    <row r="465" spans="1:2">
      <c r="A465" s="1">
        <v>35490</v>
      </c>
      <c r="B465">
        <v>364.56</v>
      </c>
    </row>
    <row r="466" spans="1:2">
      <c r="A466" s="1">
        <v>35521</v>
      </c>
      <c r="B466">
        <v>366.36</v>
      </c>
    </row>
    <row r="467" spans="1:2">
      <c r="A467" s="1">
        <v>35551</v>
      </c>
      <c r="B467">
        <v>366.8</v>
      </c>
    </row>
    <row r="468" spans="1:2">
      <c r="A468" s="1">
        <v>35582</v>
      </c>
      <c r="B468">
        <v>365.63</v>
      </c>
    </row>
    <row r="469" spans="1:2">
      <c r="A469" s="1">
        <v>35612</v>
      </c>
      <c r="B469">
        <v>364.47</v>
      </c>
    </row>
    <row r="470" spans="1:2">
      <c r="A470" s="1">
        <v>35643</v>
      </c>
      <c r="B470">
        <v>362.5</v>
      </c>
    </row>
    <row r="471" spans="1:2">
      <c r="A471" s="1">
        <v>35674</v>
      </c>
      <c r="B471">
        <v>360.19</v>
      </c>
    </row>
    <row r="472" spans="1:2">
      <c r="A472" s="1">
        <v>35704</v>
      </c>
      <c r="B472">
        <v>360.78</v>
      </c>
    </row>
    <row r="473" spans="1:2">
      <c r="A473" s="1">
        <v>35735</v>
      </c>
      <c r="B473">
        <v>362.43</v>
      </c>
    </row>
    <row r="474" spans="1:2">
      <c r="A474" s="1">
        <v>35765</v>
      </c>
      <c r="B474">
        <v>364.28</v>
      </c>
    </row>
    <row r="475" spans="1:2">
      <c r="A475" s="1">
        <v>35796</v>
      </c>
      <c r="B475">
        <v>365.33</v>
      </c>
    </row>
    <row r="476" spans="1:2">
      <c r="A476" s="1">
        <v>35827</v>
      </c>
      <c r="B476">
        <v>366.15</v>
      </c>
    </row>
    <row r="477" spans="1:2">
      <c r="A477" s="1">
        <v>35855</v>
      </c>
      <c r="B477">
        <v>367.31</v>
      </c>
    </row>
    <row r="478" spans="1:2">
      <c r="A478" s="1">
        <v>35886</v>
      </c>
      <c r="B478">
        <v>368.61</v>
      </c>
    </row>
    <row r="479" spans="1:2">
      <c r="A479" s="1">
        <v>35916</v>
      </c>
      <c r="B479">
        <v>369.3</v>
      </c>
    </row>
    <row r="480" spans="1:2">
      <c r="A480" s="1">
        <v>35947</v>
      </c>
      <c r="B480">
        <v>368.88</v>
      </c>
    </row>
    <row r="481" spans="1:2">
      <c r="A481" s="1">
        <v>35977</v>
      </c>
      <c r="B481">
        <v>367.64</v>
      </c>
    </row>
    <row r="482" spans="1:2">
      <c r="A482" s="1">
        <v>36008</v>
      </c>
      <c r="B482">
        <v>365.78</v>
      </c>
    </row>
    <row r="483" spans="1:2">
      <c r="A483" s="1">
        <v>36039</v>
      </c>
      <c r="B483">
        <v>363.9</v>
      </c>
    </row>
    <row r="484" spans="1:2">
      <c r="A484" s="1">
        <v>36069</v>
      </c>
      <c r="B484">
        <v>364.23</v>
      </c>
    </row>
    <row r="485" spans="1:2">
      <c r="A485" s="1">
        <v>36100</v>
      </c>
      <c r="B485">
        <v>365.46</v>
      </c>
    </row>
    <row r="486" spans="1:2">
      <c r="A486" s="1">
        <v>36130</v>
      </c>
      <c r="B486">
        <v>366.97</v>
      </c>
    </row>
    <row r="487" spans="1:2">
      <c r="A487" s="1">
        <v>36161</v>
      </c>
      <c r="B487">
        <v>368.15</v>
      </c>
    </row>
    <row r="488" spans="1:2">
      <c r="A488" s="1">
        <v>36192</v>
      </c>
      <c r="B488">
        <v>368.87</v>
      </c>
    </row>
    <row r="489" spans="1:2">
      <c r="A489" s="1">
        <v>36220</v>
      </c>
      <c r="B489">
        <v>369.59</v>
      </c>
    </row>
    <row r="490" spans="1:2">
      <c r="A490" s="1">
        <v>36251</v>
      </c>
      <c r="B490">
        <v>371.14</v>
      </c>
    </row>
    <row r="491" spans="1:2">
      <c r="A491" s="1">
        <v>36281</v>
      </c>
      <c r="B491">
        <v>371</v>
      </c>
    </row>
    <row r="492" spans="1:2">
      <c r="A492" s="1">
        <v>36312</v>
      </c>
      <c r="B492">
        <v>370.35</v>
      </c>
    </row>
    <row r="493" spans="1:2">
      <c r="A493" s="1">
        <v>36342</v>
      </c>
      <c r="B493">
        <v>369.27</v>
      </c>
    </row>
    <row r="494" spans="1:2">
      <c r="A494" s="1">
        <v>36373</v>
      </c>
      <c r="B494">
        <v>366.93</v>
      </c>
    </row>
    <row r="495" spans="1:2">
      <c r="A495" s="1">
        <v>36404</v>
      </c>
      <c r="B495">
        <v>364.64</v>
      </c>
    </row>
    <row r="496" spans="1:2">
      <c r="A496" s="1">
        <v>36434</v>
      </c>
      <c r="B496">
        <v>365.13</v>
      </c>
    </row>
    <row r="497" spans="1:2">
      <c r="A497" s="1">
        <v>36465</v>
      </c>
      <c r="B497">
        <v>366.68</v>
      </c>
    </row>
    <row r="498" spans="1:2">
      <c r="A498" s="1">
        <v>36495</v>
      </c>
      <c r="B498">
        <v>368</v>
      </c>
    </row>
    <row r="499" spans="1:2">
      <c r="A499" s="1">
        <v>36526</v>
      </c>
      <c r="B499">
        <v>369.14</v>
      </c>
    </row>
    <row r="500" spans="1:2">
      <c r="A500" s="1">
        <v>36557</v>
      </c>
      <c r="B500">
        <v>369.46</v>
      </c>
    </row>
    <row r="501" spans="1:2">
      <c r="A501" s="1">
        <v>36586</v>
      </c>
      <c r="B501">
        <v>370.51</v>
      </c>
    </row>
    <row r="502" spans="1:2">
      <c r="A502" s="1">
        <v>36617</v>
      </c>
      <c r="B502">
        <v>371.66</v>
      </c>
    </row>
    <row r="503" spans="1:2">
      <c r="A503" s="1">
        <v>36647</v>
      </c>
      <c r="B503">
        <v>371.83</v>
      </c>
    </row>
    <row r="504" spans="1:2">
      <c r="A504" s="1">
        <v>36678</v>
      </c>
      <c r="B504">
        <v>371.69</v>
      </c>
    </row>
    <row r="505" spans="1:2">
      <c r="A505" s="1">
        <v>36708</v>
      </c>
      <c r="B505">
        <v>370.12</v>
      </c>
    </row>
    <row r="506" spans="1:2">
      <c r="A506" s="1">
        <v>36739</v>
      </c>
      <c r="B506">
        <v>368.12</v>
      </c>
    </row>
    <row r="507" spans="1:2">
      <c r="A507" s="1">
        <v>36770</v>
      </c>
      <c r="B507">
        <v>366.62</v>
      </c>
    </row>
    <row r="508" spans="1:2">
      <c r="A508" s="1">
        <v>36800</v>
      </c>
      <c r="B508">
        <v>366.73</v>
      </c>
    </row>
    <row r="509" spans="1:2">
      <c r="A509" s="1">
        <v>36831</v>
      </c>
      <c r="B509">
        <v>368.29</v>
      </c>
    </row>
    <row r="510" spans="1:2">
      <c r="A510" s="1">
        <v>36861</v>
      </c>
      <c r="B510">
        <v>369.52</v>
      </c>
    </row>
    <row r="511" spans="1:2">
      <c r="A511" s="1">
        <v>36892</v>
      </c>
      <c r="B511">
        <v>370.28</v>
      </c>
    </row>
    <row r="512" spans="1:2">
      <c r="A512" s="1">
        <v>36923</v>
      </c>
      <c r="B512">
        <v>371.5</v>
      </c>
    </row>
    <row r="513" spans="1:2">
      <c r="A513" s="1">
        <v>36951</v>
      </c>
      <c r="B513">
        <v>372.12</v>
      </c>
    </row>
    <row r="514" spans="1:2">
      <c r="A514" s="1">
        <v>36982</v>
      </c>
      <c r="B514">
        <v>372.86</v>
      </c>
    </row>
    <row r="515" spans="1:2">
      <c r="A515" s="1">
        <v>37012</v>
      </c>
      <c r="B515">
        <v>374.02</v>
      </c>
    </row>
    <row r="516" spans="1:2">
      <c r="A516" s="1">
        <v>37043</v>
      </c>
      <c r="B516">
        <v>373.31</v>
      </c>
    </row>
    <row r="517" spans="1:2">
      <c r="A517" s="1">
        <v>37073</v>
      </c>
      <c r="B517">
        <v>371.62</v>
      </c>
    </row>
    <row r="518" spans="1:2">
      <c r="A518" s="1">
        <v>37104</v>
      </c>
      <c r="B518">
        <v>369.55</v>
      </c>
    </row>
    <row r="519" spans="1:2">
      <c r="A519" s="1">
        <v>37135</v>
      </c>
      <c r="B519">
        <v>367.96</v>
      </c>
    </row>
    <row r="520" spans="1:2">
      <c r="A520" s="1">
        <v>37165</v>
      </c>
      <c r="B520">
        <v>368.09</v>
      </c>
    </row>
    <row r="521" spans="1:2">
      <c r="A521" s="1">
        <v>37196</v>
      </c>
      <c r="B521">
        <v>369.68</v>
      </c>
    </row>
    <row r="522" spans="1:2">
      <c r="A522" s="1">
        <v>37226</v>
      </c>
      <c r="B522">
        <v>371.24</v>
      </c>
    </row>
    <row r="523" spans="1:2">
      <c r="A523" s="1">
        <v>37257</v>
      </c>
      <c r="B523">
        <v>372.44</v>
      </c>
    </row>
    <row r="524" spans="1:2">
      <c r="A524" s="1">
        <v>37288</v>
      </c>
      <c r="B524">
        <v>373.08</v>
      </c>
    </row>
    <row r="525" spans="1:2">
      <c r="A525" s="1">
        <v>37316</v>
      </c>
      <c r="B525">
        <v>373.52</v>
      </c>
    </row>
    <row r="526" spans="1:2">
      <c r="A526" s="1">
        <v>37347</v>
      </c>
      <c r="B526">
        <v>374.85</v>
      </c>
    </row>
    <row r="527" spans="1:2">
      <c r="A527" s="1">
        <v>37377</v>
      </c>
      <c r="B527">
        <v>375.55</v>
      </c>
    </row>
    <row r="528" spans="1:2">
      <c r="A528" s="1">
        <v>37408</v>
      </c>
      <c r="B528">
        <v>375.4</v>
      </c>
    </row>
    <row r="529" spans="1:2">
      <c r="A529" s="1">
        <v>37438</v>
      </c>
      <c r="B529">
        <v>374.02</v>
      </c>
    </row>
    <row r="530" spans="1:2">
      <c r="A530" s="1">
        <v>37469</v>
      </c>
      <c r="B530">
        <v>371.48</v>
      </c>
    </row>
    <row r="531" spans="1:2">
      <c r="A531" s="1">
        <v>37500</v>
      </c>
      <c r="B531">
        <v>370.7</v>
      </c>
    </row>
    <row r="532" spans="1:2">
      <c r="A532" s="1">
        <v>37530</v>
      </c>
      <c r="B532">
        <v>370.25</v>
      </c>
    </row>
    <row r="533" spans="1:2">
      <c r="A533" s="1">
        <v>37561</v>
      </c>
      <c r="B533">
        <v>372.08</v>
      </c>
    </row>
    <row r="534" spans="1:2">
      <c r="A534" s="1">
        <v>37591</v>
      </c>
      <c r="B534">
        <v>373.78</v>
      </c>
    </row>
    <row r="535" spans="1:2">
      <c r="A535" s="1">
        <v>37622</v>
      </c>
      <c r="B535">
        <v>374.68</v>
      </c>
    </row>
    <row r="536" spans="1:2">
      <c r="A536" s="1">
        <v>37653</v>
      </c>
      <c r="B536">
        <v>375.62</v>
      </c>
    </row>
    <row r="537" spans="1:2">
      <c r="A537" s="1">
        <v>37681</v>
      </c>
      <c r="B537">
        <v>376.11</v>
      </c>
    </row>
    <row r="538" spans="1:2">
      <c r="A538" s="1">
        <v>37712</v>
      </c>
      <c r="B538">
        <v>377.65</v>
      </c>
    </row>
    <row r="539" spans="1:2">
      <c r="A539" s="1">
        <v>37742</v>
      </c>
      <c r="B539">
        <v>378.35</v>
      </c>
    </row>
    <row r="540" spans="1:2">
      <c r="A540" s="1">
        <v>37773</v>
      </c>
      <c r="B540">
        <v>378.13</v>
      </c>
    </row>
    <row r="541" spans="1:2">
      <c r="A541" s="1">
        <v>37803</v>
      </c>
      <c r="B541">
        <v>376.6</v>
      </c>
    </row>
    <row r="542" spans="1:2">
      <c r="A542" s="1">
        <v>37834</v>
      </c>
      <c r="B542">
        <v>374.48</v>
      </c>
    </row>
    <row r="543" spans="1:2">
      <c r="A543" s="1">
        <v>37865</v>
      </c>
      <c r="B543">
        <v>372.98</v>
      </c>
    </row>
    <row r="544" spans="1:2">
      <c r="A544" s="1">
        <v>37895</v>
      </c>
      <c r="B544">
        <v>373</v>
      </c>
    </row>
    <row r="545" spans="1:2">
      <c r="A545" s="1">
        <v>37926</v>
      </c>
      <c r="B545">
        <v>374.35</v>
      </c>
    </row>
    <row r="546" spans="1:2">
      <c r="A546" s="1">
        <v>37956</v>
      </c>
      <c r="B546">
        <v>375.69</v>
      </c>
    </row>
    <row r="547" spans="1:2">
      <c r="A547" s="1">
        <v>37987</v>
      </c>
      <c r="B547">
        <v>376.79</v>
      </c>
    </row>
    <row r="548" spans="1:2">
      <c r="A548" s="1">
        <v>38018</v>
      </c>
      <c r="B548">
        <v>377.37</v>
      </c>
    </row>
    <row r="549" spans="1:2">
      <c r="A549" s="1">
        <v>38047</v>
      </c>
      <c r="B549">
        <v>378.39</v>
      </c>
    </row>
    <row r="550" spans="1:2">
      <c r="A550" s="1">
        <v>38078</v>
      </c>
      <c r="B550">
        <v>380.5</v>
      </c>
    </row>
    <row r="551" spans="1:2">
      <c r="A551" s="1">
        <v>38108</v>
      </c>
      <c r="B551">
        <v>380.62</v>
      </c>
    </row>
    <row r="552" spans="1:2">
      <c r="A552" s="1">
        <v>38139</v>
      </c>
      <c r="B552">
        <v>379.55</v>
      </c>
    </row>
    <row r="553" spans="1:2">
      <c r="A553" s="1">
        <v>38169</v>
      </c>
      <c r="B553">
        <v>377.76</v>
      </c>
    </row>
    <row r="554" spans="1:2">
      <c r="A554" s="1">
        <v>38200</v>
      </c>
      <c r="B554">
        <v>375.83</v>
      </c>
    </row>
    <row r="555" spans="1:2">
      <c r="A555" s="1">
        <v>38231</v>
      </c>
      <c r="B555">
        <v>374.05</v>
      </c>
    </row>
    <row r="556" spans="1:2">
      <c r="A556" s="1">
        <v>38261</v>
      </c>
      <c r="B556">
        <v>374.22</v>
      </c>
    </row>
    <row r="557" spans="1:2">
      <c r="A557" s="1">
        <v>38292</v>
      </c>
      <c r="B557">
        <v>375.84</v>
      </c>
    </row>
    <row r="558" spans="1:2">
      <c r="A558" s="1">
        <v>38322</v>
      </c>
      <c r="B558">
        <v>377.44</v>
      </c>
    </row>
    <row r="559" spans="1:2">
      <c r="A559" s="1">
        <v>38353</v>
      </c>
      <c r="B559">
        <v>378.34</v>
      </c>
    </row>
    <row r="560" spans="1:2">
      <c r="A560" s="1">
        <v>38384</v>
      </c>
      <c r="B560">
        <v>379.61</v>
      </c>
    </row>
    <row r="561" spans="1:2">
      <c r="A561" s="1">
        <v>38412</v>
      </c>
      <c r="B561">
        <v>380.08</v>
      </c>
    </row>
    <row r="562" spans="1:2">
      <c r="A562" s="1">
        <v>38443</v>
      </c>
      <c r="B562">
        <v>382.05</v>
      </c>
    </row>
    <row r="563" spans="1:2">
      <c r="A563" s="1">
        <v>38473</v>
      </c>
      <c r="B563">
        <v>382.24</v>
      </c>
    </row>
    <row r="564" spans="1:2">
      <c r="A564" s="1">
        <v>38504</v>
      </c>
      <c r="B564">
        <v>382.08</v>
      </c>
    </row>
    <row r="565" spans="1:2">
      <c r="A565" s="1">
        <v>38534</v>
      </c>
      <c r="B565">
        <v>380.66</v>
      </c>
    </row>
    <row r="566" spans="1:2">
      <c r="A566" s="1">
        <v>38565</v>
      </c>
      <c r="B566">
        <v>378.67</v>
      </c>
    </row>
    <row r="567" spans="1:2">
      <c r="A567" s="1">
        <v>38596</v>
      </c>
      <c r="B567">
        <v>376.42</v>
      </c>
    </row>
    <row r="568" spans="1:2">
      <c r="A568" s="1">
        <v>38626</v>
      </c>
      <c r="B568">
        <v>376.8</v>
      </c>
    </row>
    <row r="569" spans="1:2">
      <c r="A569" s="1">
        <v>38657</v>
      </c>
      <c r="B569">
        <v>378.31</v>
      </c>
    </row>
    <row r="570" spans="1:2">
      <c r="A570" s="1">
        <v>38687</v>
      </c>
      <c r="B570">
        <v>379.96</v>
      </c>
    </row>
    <row r="571" spans="1:2">
      <c r="A571" s="1">
        <v>38718</v>
      </c>
      <c r="B571">
        <v>381.37</v>
      </c>
    </row>
    <row r="572" spans="1:2">
      <c r="A572" s="1">
        <v>38749</v>
      </c>
      <c r="B572">
        <v>382.02</v>
      </c>
    </row>
    <row r="573" spans="1:2">
      <c r="A573" s="1">
        <v>38777</v>
      </c>
      <c r="B573">
        <v>382.56</v>
      </c>
    </row>
    <row r="574" spans="1:2">
      <c r="A574" s="1">
        <v>38808</v>
      </c>
      <c r="B574">
        <v>384.36</v>
      </c>
    </row>
    <row r="575" spans="1:2">
      <c r="A575" s="1">
        <v>38838</v>
      </c>
      <c r="B575">
        <v>384.92</v>
      </c>
    </row>
    <row r="576" spans="1:2">
      <c r="A576" s="1">
        <v>38869</v>
      </c>
      <c r="B576">
        <v>384.03</v>
      </c>
    </row>
    <row r="577" spans="1:2">
      <c r="A577" s="1">
        <v>38899</v>
      </c>
      <c r="B577">
        <v>382.28</v>
      </c>
    </row>
    <row r="578" spans="1:2">
      <c r="A578" s="1">
        <v>38930</v>
      </c>
      <c r="B578">
        <v>380.48</v>
      </c>
    </row>
    <row r="579" spans="1:2">
      <c r="A579" s="1">
        <v>38961</v>
      </c>
      <c r="B579">
        <v>378.81</v>
      </c>
    </row>
    <row r="580" spans="1:2">
      <c r="A580" s="1">
        <v>38991</v>
      </c>
      <c r="B580">
        <v>379.06</v>
      </c>
    </row>
    <row r="581" spans="1:2">
      <c r="A581" s="1">
        <v>39022</v>
      </c>
      <c r="B581">
        <v>380.14</v>
      </c>
    </row>
    <row r="582" spans="1:2">
      <c r="A582" s="1">
        <v>39052</v>
      </c>
      <c r="B582">
        <v>381.66</v>
      </c>
    </row>
    <row r="583" spans="1:2">
      <c r="A583" s="1">
        <v>39083</v>
      </c>
      <c r="B583">
        <v>382.58</v>
      </c>
    </row>
    <row r="584" spans="1:2">
      <c r="A584" s="1">
        <v>39114</v>
      </c>
      <c r="B584">
        <v>383.71</v>
      </c>
    </row>
    <row r="585" spans="1:2">
      <c r="A585" s="1">
        <v>39142</v>
      </c>
      <c r="B585">
        <v>384.34</v>
      </c>
    </row>
    <row r="586" spans="1:2">
      <c r="A586" s="1">
        <v>39173</v>
      </c>
      <c r="B586">
        <v>386.23</v>
      </c>
    </row>
    <row r="587" spans="1:2">
      <c r="A587" s="1">
        <v>39203</v>
      </c>
      <c r="B587">
        <v>386.41</v>
      </c>
    </row>
    <row r="588" spans="1:2">
      <c r="A588" s="1">
        <v>39234</v>
      </c>
      <c r="B588">
        <v>385.87</v>
      </c>
    </row>
    <row r="589" spans="1:2">
      <c r="A589" s="1">
        <v>39264</v>
      </c>
      <c r="B589">
        <v>384.44</v>
      </c>
    </row>
    <row r="590" spans="1:2">
      <c r="A590" s="1">
        <v>39295</v>
      </c>
      <c r="B590">
        <v>381.84</v>
      </c>
    </row>
    <row r="591" spans="1:2">
      <c r="A591" s="1">
        <v>39326</v>
      </c>
      <c r="B591">
        <v>380.86</v>
      </c>
    </row>
    <row r="592" spans="1:2">
      <c r="A592" s="1">
        <v>39356</v>
      </c>
      <c r="B592">
        <v>380.86</v>
      </c>
    </row>
    <row r="593" spans="1:2">
      <c r="A593" s="1">
        <v>39387</v>
      </c>
      <c r="B593">
        <v>382.36</v>
      </c>
    </row>
    <row r="594" spans="1:2">
      <c r="A594" s="1">
        <v>39417</v>
      </c>
      <c r="B594">
        <v>383.61</v>
      </c>
    </row>
    <row r="595" spans="1:2">
      <c r="A595" s="1">
        <v>39448</v>
      </c>
      <c r="B595">
        <v>385.07</v>
      </c>
    </row>
    <row r="596" spans="1:2">
      <c r="A596" s="1">
        <v>39479</v>
      </c>
      <c r="B596">
        <v>385.84</v>
      </c>
    </row>
    <row r="597" spans="1:2">
      <c r="A597" s="1">
        <v>39508</v>
      </c>
      <c r="B597">
        <v>385.83</v>
      </c>
    </row>
    <row r="598" spans="1:2">
      <c r="A598" s="1">
        <v>39539</v>
      </c>
      <c r="B598">
        <v>386.77</v>
      </c>
    </row>
    <row r="599" spans="1:2">
      <c r="A599" s="1">
        <v>39569</v>
      </c>
      <c r="B599">
        <v>388.51</v>
      </c>
    </row>
    <row r="600" spans="1:2">
      <c r="A600" s="1">
        <v>39600</v>
      </c>
      <c r="B600">
        <v>388.05</v>
      </c>
    </row>
    <row r="601" spans="1:2">
      <c r="A601" s="1">
        <v>39630</v>
      </c>
      <c r="B601">
        <v>386.25</v>
      </c>
    </row>
    <row r="602" spans="1:2">
      <c r="A602" s="1">
        <v>39661</v>
      </c>
      <c r="B602">
        <v>384.08</v>
      </c>
    </row>
    <row r="603" spans="1:2">
      <c r="A603" s="1">
        <v>39692</v>
      </c>
      <c r="B603">
        <v>383.09</v>
      </c>
    </row>
    <row r="604" spans="1:2">
      <c r="A604" s="1">
        <v>39722</v>
      </c>
      <c r="B604">
        <v>382.78</v>
      </c>
    </row>
    <row r="605" spans="1:2">
      <c r="A605" s="1">
        <v>39753</v>
      </c>
      <c r="B605">
        <v>384.01</v>
      </c>
    </row>
    <row r="606" spans="1:2">
      <c r="A606" s="1">
        <v>39783</v>
      </c>
      <c r="B606">
        <v>385.11</v>
      </c>
    </row>
    <row r="607" spans="1:2">
      <c r="A607" s="1">
        <v>39814</v>
      </c>
      <c r="B607">
        <v>386.65</v>
      </c>
    </row>
    <row r="608" spans="1:2">
      <c r="A608" s="1">
        <v>39845</v>
      </c>
      <c r="B608">
        <v>387.12</v>
      </c>
    </row>
    <row r="609" spans="1:2">
      <c r="A609" s="1">
        <v>39873</v>
      </c>
      <c r="B609">
        <v>388.52</v>
      </c>
    </row>
    <row r="610" spans="1:2">
      <c r="A610" s="1">
        <v>39904</v>
      </c>
      <c r="B610">
        <v>389.57</v>
      </c>
    </row>
    <row r="611" spans="1:2">
      <c r="A611" s="1">
        <v>39934</v>
      </c>
      <c r="B611">
        <v>390.17</v>
      </c>
    </row>
    <row r="612" spans="1:2">
      <c r="A612" s="1">
        <v>39965</v>
      </c>
      <c r="B612">
        <v>389.62</v>
      </c>
    </row>
    <row r="613" spans="1:2">
      <c r="A613" s="1">
        <v>39995</v>
      </c>
      <c r="B613">
        <v>388.07</v>
      </c>
    </row>
    <row r="614" spans="1:2">
      <c r="A614" s="1">
        <v>40026</v>
      </c>
      <c r="B614">
        <v>386.08</v>
      </c>
    </row>
    <row r="615" spans="1:2">
      <c r="A615" s="1">
        <v>40057</v>
      </c>
      <c r="B615">
        <v>384.65</v>
      </c>
    </row>
    <row r="616" spans="1:2">
      <c r="A616" s="1">
        <v>40087</v>
      </c>
      <c r="B616">
        <v>384.33</v>
      </c>
    </row>
    <row r="617" spans="1:2">
      <c r="A617" s="1">
        <v>40118</v>
      </c>
      <c r="B617">
        <v>386.05</v>
      </c>
    </row>
    <row r="618" spans="1:2">
      <c r="A618" s="1">
        <v>40148</v>
      </c>
      <c r="B618">
        <v>387.49</v>
      </c>
    </row>
    <row r="619" spans="1:2">
      <c r="A619" s="1">
        <v>40179</v>
      </c>
      <c r="B619">
        <v>388.55</v>
      </c>
    </row>
    <row r="620" spans="1:2">
      <c r="A620" s="1">
        <v>40210</v>
      </c>
      <c r="B620">
        <v>390.08</v>
      </c>
    </row>
    <row r="621" spans="1:2">
      <c r="A621" s="1">
        <v>40238</v>
      </c>
      <c r="B621">
        <v>391.01</v>
      </c>
    </row>
    <row r="622" spans="1:2">
      <c r="A622" s="1">
        <v>40269</v>
      </c>
      <c r="B622">
        <v>392.38</v>
      </c>
    </row>
    <row r="623" spans="1:2">
      <c r="A623" s="1">
        <v>40299</v>
      </c>
      <c r="B623">
        <v>393.22</v>
      </c>
    </row>
    <row r="624" spans="1:2">
      <c r="A624" s="1">
        <v>40330</v>
      </c>
      <c r="B624">
        <v>392.24</v>
      </c>
    </row>
    <row r="625" spans="1:2">
      <c r="A625" s="1">
        <v>40360</v>
      </c>
      <c r="B625">
        <v>390.33</v>
      </c>
    </row>
    <row r="626" spans="1:2">
      <c r="A626" s="1">
        <v>40391</v>
      </c>
      <c r="B626">
        <v>388.52</v>
      </c>
    </row>
    <row r="627" spans="1:2">
      <c r="A627" s="1">
        <v>40422</v>
      </c>
      <c r="B627">
        <v>386.84</v>
      </c>
    </row>
    <row r="628" spans="1:2">
      <c r="A628" s="1">
        <v>40452</v>
      </c>
      <c r="B628">
        <v>387.16</v>
      </c>
    </row>
    <row r="629" spans="1:2">
      <c r="A629" s="1">
        <v>40483</v>
      </c>
      <c r="B629">
        <v>388.67</v>
      </c>
    </row>
    <row r="630" spans="1:2">
      <c r="A630" s="1">
        <v>40513</v>
      </c>
      <c r="B630">
        <v>389.81</v>
      </c>
    </row>
    <row r="631" spans="1:2">
      <c r="A631" s="1">
        <v>40544</v>
      </c>
      <c r="B631">
        <v>391.3</v>
      </c>
    </row>
    <row r="632" spans="1:2">
      <c r="A632" s="1">
        <v>40575</v>
      </c>
      <c r="B632">
        <v>391.92</v>
      </c>
    </row>
    <row r="633" spans="1:2">
      <c r="A633" s="1">
        <v>40603</v>
      </c>
      <c r="B633">
        <v>392.45</v>
      </c>
    </row>
    <row r="634" spans="1:2">
      <c r="A634" s="1">
        <v>40634</v>
      </c>
      <c r="B634">
        <v>393.37</v>
      </c>
    </row>
    <row r="635" spans="1:2">
      <c r="A635" s="1">
        <v>40664</v>
      </c>
      <c r="B635">
        <v>394.28</v>
      </c>
    </row>
    <row r="636" spans="1:2">
      <c r="A636" s="1">
        <v>40695</v>
      </c>
      <c r="B636">
        <v>393.69</v>
      </c>
    </row>
    <row r="637" spans="1:2">
      <c r="A637" s="1">
        <v>40725</v>
      </c>
      <c r="B637">
        <v>392.59</v>
      </c>
    </row>
    <row r="638" spans="1:2">
      <c r="A638" s="1">
        <v>40756</v>
      </c>
      <c r="B638">
        <v>390.21</v>
      </c>
    </row>
    <row r="639" spans="1:2">
      <c r="A639" s="1">
        <v>40787</v>
      </c>
      <c r="B639">
        <v>389</v>
      </c>
    </row>
    <row r="640" spans="1:2">
      <c r="A640" s="1">
        <v>40817</v>
      </c>
      <c r="B640">
        <v>388.93</v>
      </c>
    </row>
    <row r="641" spans="1:2">
      <c r="A641" s="1">
        <v>40848</v>
      </c>
      <c r="B641">
        <v>390.24</v>
      </c>
    </row>
    <row r="642" spans="1:2">
      <c r="A642" s="1">
        <v>40878</v>
      </c>
      <c r="B642">
        <v>391.8</v>
      </c>
    </row>
    <row r="643" spans="1:2">
      <c r="A643" s="1">
        <v>40909</v>
      </c>
      <c r="B643">
        <v>393.07</v>
      </c>
    </row>
    <row r="644" spans="1:2">
      <c r="A644" s="1">
        <v>40940</v>
      </c>
      <c r="B644">
        <v>393.35</v>
      </c>
    </row>
    <row r="645" spans="1:2">
      <c r="A645" s="1">
        <v>40969</v>
      </c>
      <c r="B645">
        <v>394.36</v>
      </c>
    </row>
    <row r="646" spans="1:2">
      <c r="A646" s="1">
        <v>41000</v>
      </c>
      <c r="B646">
        <v>396.43</v>
      </c>
    </row>
    <row r="647" spans="1:2">
      <c r="A647" s="1">
        <v>41030</v>
      </c>
      <c r="B647">
        <v>396.87</v>
      </c>
    </row>
    <row r="648" spans="1:2">
      <c r="A648" s="1">
        <v>41061</v>
      </c>
      <c r="B648">
        <v>395.88</v>
      </c>
    </row>
    <row r="649" spans="1:2">
      <c r="A649" s="1">
        <v>41091</v>
      </c>
      <c r="B649">
        <v>394.52</v>
      </c>
    </row>
    <row r="650" spans="1:2">
      <c r="A650" s="1">
        <v>41122</v>
      </c>
      <c r="B650">
        <v>392.54</v>
      </c>
    </row>
    <row r="651" spans="1:2">
      <c r="A651" s="1">
        <v>41153</v>
      </c>
      <c r="B651">
        <v>391.13</v>
      </c>
    </row>
    <row r="652" spans="1:2">
      <c r="A652" s="1">
        <v>41183</v>
      </c>
      <c r="B652">
        <v>391.01</v>
      </c>
    </row>
    <row r="653" spans="1:2">
      <c r="A653" s="1">
        <v>41214</v>
      </c>
      <c r="B653">
        <v>392.95</v>
      </c>
    </row>
    <row r="654" spans="1:2">
      <c r="A654" s="1">
        <v>41244</v>
      </c>
      <c r="B654">
        <v>394.33</v>
      </c>
    </row>
    <row r="655" spans="1:2">
      <c r="A655" s="1">
        <v>41275</v>
      </c>
      <c r="B655">
        <v>395.61</v>
      </c>
    </row>
    <row r="656" spans="1:2">
      <c r="A656" s="1">
        <v>41306</v>
      </c>
      <c r="B656">
        <v>396.85</v>
      </c>
    </row>
    <row r="657" spans="1:2">
      <c r="A657" s="1">
        <v>41334</v>
      </c>
      <c r="B657">
        <v>397.26</v>
      </c>
    </row>
    <row r="658" spans="1:2">
      <c r="A658" s="1">
        <v>41365</v>
      </c>
      <c r="B658">
        <v>398.35</v>
      </c>
    </row>
    <row r="659" spans="1:2">
      <c r="A659" s="1">
        <v>41395</v>
      </c>
      <c r="B659">
        <v>399.98</v>
      </c>
    </row>
    <row r="660" spans="1:2">
      <c r="A660" s="1">
        <v>41426</v>
      </c>
      <c r="B660">
        <v>398.87</v>
      </c>
    </row>
    <row r="661" spans="1:2">
      <c r="A661" s="1">
        <v>41456</v>
      </c>
      <c r="B661">
        <v>397.37</v>
      </c>
    </row>
    <row r="662" spans="1:2">
      <c r="A662" s="1">
        <v>41487</v>
      </c>
      <c r="B662">
        <v>395.41</v>
      </c>
    </row>
    <row r="663" spans="1:2">
      <c r="A663" s="1">
        <v>41518</v>
      </c>
      <c r="B663">
        <v>393.39</v>
      </c>
    </row>
    <row r="664" spans="1:2">
      <c r="A664" s="1">
        <v>41548</v>
      </c>
      <c r="B664">
        <v>393.7</v>
      </c>
    </row>
    <row r="665" spans="1:2">
      <c r="A665" s="1">
        <v>41579</v>
      </c>
      <c r="B665">
        <v>395.19</v>
      </c>
    </row>
    <row r="666" spans="1:2">
      <c r="A666" s="1">
        <v>41609</v>
      </c>
      <c r="B666">
        <v>396.82</v>
      </c>
    </row>
    <row r="667" spans="1:2">
      <c r="A667" s="1">
        <v>41640</v>
      </c>
      <c r="B667">
        <v>397.93</v>
      </c>
    </row>
    <row r="668" spans="1:2">
      <c r="A668" s="1">
        <v>41671</v>
      </c>
      <c r="B668">
        <v>398.1</v>
      </c>
    </row>
    <row r="669" spans="1:2">
      <c r="A669" s="1">
        <v>41699</v>
      </c>
      <c r="B669">
        <v>399.47</v>
      </c>
    </row>
    <row r="670" spans="1:2">
      <c r="A670" s="1">
        <v>41730</v>
      </c>
      <c r="B670">
        <v>401.33</v>
      </c>
    </row>
    <row r="671" spans="1:2">
      <c r="A671" s="1">
        <v>41760</v>
      </c>
      <c r="B671">
        <v>401.88</v>
      </c>
    </row>
    <row r="672" spans="1:2">
      <c r="A672" s="1">
        <v>41791</v>
      </c>
      <c r="B672">
        <v>401.31</v>
      </c>
    </row>
    <row r="673" spans="1:2">
      <c r="A673" s="1">
        <v>41821</v>
      </c>
      <c r="B673">
        <v>399.07</v>
      </c>
    </row>
    <row r="674" spans="1:2">
      <c r="A674" s="1">
        <v>41852</v>
      </c>
      <c r="B674">
        <v>397.21</v>
      </c>
    </row>
    <row r="675" spans="1:2">
      <c r="A675" s="1">
        <v>41883</v>
      </c>
      <c r="B675">
        <v>395.4</v>
      </c>
    </row>
    <row r="676" spans="1:2">
      <c r="A676" s="1">
        <v>41913</v>
      </c>
      <c r="B676">
        <v>395.65</v>
      </c>
    </row>
    <row r="677" spans="1:2">
      <c r="A677" s="1">
        <v>41944</v>
      </c>
      <c r="B677">
        <v>397.23</v>
      </c>
    </row>
    <row r="678" spans="1:2">
      <c r="A678" s="1">
        <v>41974</v>
      </c>
      <c r="B678">
        <v>398.79</v>
      </c>
    </row>
    <row r="679" spans="1:2">
      <c r="A679" s="1">
        <v>42005</v>
      </c>
      <c r="B679">
        <v>399.85</v>
      </c>
    </row>
    <row r="680" spans="1:2">
      <c r="A680" s="1">
        <v>42036</v>
      </c>
      <c r="B680">
        <v>400.31</v>
      </c>
    </row>
    <row r="681" spans="1:2">
      <c r="A681" s="1">
        <v>42064</v>
      </c>
      <c r="B681">
        <v>401.51</v>
      </c>
    </row>
    <row r="682" spans="1:2">
      <c r="A682" s="1">
        <v>42095</v>
      </c>
      <c r="B682">
        <v>403.45</v>
      </c>
    </row>
    <row r="683" spans="1:2">
      <c r="A683" s="1">
        <v>42125</v>
      </c>
      <c r="B683">
        <v>404.1</v>
      </c>
    </row>
    <row r="684" spans="1:2">
      <c r="A684" s="1">
        <v>42156</v>
      </c>
      <c r="B684">
        <v>402.88</v>
      </c>
    </row>
    <row r="685" spans="1:2">
      <c r="A685" s="1">
        <v>42186</v>
      </c>
      <c r="B685">
        <v>401.61</v>
      </c>
    </row>
    <row r="686" spans="1:2">
      <c r="A686" s="1">
        <v>42217</v>
      </c>
      <c r="B686">
        <v>399</v>
      </c>
    </row>
    <row r="687" spans="1:2">
      <c r="A687" s="1">
        <v>42248</v>
      </c>
      <c r="B687">
        <v>397.5</v>
      </c>
    </row>
    <row r="688" spans="1:2">
      <c r="A688" s="1">
        <v>42278</v>
      </c>
      <c r="B688">
        <v>398.28</v>
      </c>
    </row>
    <row r="689" spans="1:2">
      <c r="A689" s="1">
        <v>42309</v>
      </c>
      <c r="B689">
        <v>400.24</v>
      </c>
    </row>
    <row r="690" spans="1:2">
      <c r="A690" s="1">
        <v>42339</v>
      </c>
      <c r="B690">
        <v>401.89</v>
      </c>
    </row>
    <row r="691" spans="1:2">
      <c r="A691" s="1">
        <v>42370</v>
      </c>
      <c r="B691">
        <v>402.65</v>
      </c>
    </row>
    <row r="692" spans="1:2">
      <c r="A692" s="1">
        <v>42401</v>
      </c>
      <c r="B692">
        <v>404.16</v>
      </c>
    </row>
    <row r="693" spans="1:2">
      <c r="A693" s="1">
        <v>42430</v>
      </c>
      <c r="B693">
        <v>404.85</v>
      </c>
    </row>
    <row r="694" spans="1:2">
      <c r="A694" s="1">
        <v>42461</v>
      </c>
      <c r="B694">
        <v>407.57</v>
      </c>
    </row>
    <row r="695" spans="1:2">
      <c r="A695" s="1">
        <v>42491</v>
      </c>
      <c r="B695">
        <v>407.66</v>
      </c>
    </row>
    <row r="696" spans="1:2">
      <c r="A696" s="1">
        <v>42522</v>
      </c>
      <c r="B696">
        <v>407</v>
      </c>
    </row>
    <row r="697" spans="1:2">
      <c r="A697" s="1">
        <v>42552</v>
      </c>
      <c r="B697">
        <v>404.5</v>
      </c>
    </row>
    <row r="698" spans="1:2">
      <c r="A698" s="1">
        <v>42583</v>
      </c>
      <c r="B698">
        <v>402.24</v>
      </c>
    </row>
    <row r="699" spans="1:2">
      <c r="A699" s="1">
        <v>42614</v>
      </c>
      <c r="B699">
        <v>401.01</v>
      </c>
    </row>
    <row r="700" spans="1:2">
      <c r="A700" s="1">
        <v>42644</v>
      </c>
      <c r="B700">
        <v>401.5</v>
      </c>
    </row>
    <row r="701" spans="1:2">
      <c r="A701" s="1">
        <v>42675</v>
      </c>
      <c r="B701">
        <v>403.64</v>
      </c>
    </row>
    <row r="702" spans="1:2">
      <c r="A702" s="1">
        <v>42705</v>
      </c>
      <c r="B702">
        <v>404.55</v>
      </c>
    </row>
    <row r="703" spans="1:2">
      <c r="A703" s="1">
        <v>42736</v>
      </c>
      <c r="B703">
        <v>406.07</v>
      </c>
    </row>
    <row r="704" spans="1:2">
      <c r="A704" s="1">
        <v>42767</v>
      </c>
      <c r="B704">
        <v>406.64</v>
      </c>
    </row>
    <row r="705" spans="1:2">
      <c r="A705" s="1">
        <v>42795</v>
      </c>
      <c r="B705">
        <v>407.05</v>
      </c>
    </row>
    <row r="706" spans="1:2">
      <c r="A706" s="1">
        <v>42826</v>
      </c>
      <c r="B706">
        <v>408.95</v>
      </c>
    </row>
    <row r="707" spans="1:2">
      <c r="A707" s="1">
        <v>42856</v>
      </c>
      <c r="B707">
        <v>409.91</v>
      </c>
    </row>
    <row r="708" spans="1:2">
      <c r="A708" s="1">
        <v>42887</v>
      </c>
      <c r="B708">
        <v>409.12</v>
      </c>
    </row>
    <row r="709" spans="1:2">
      <c r="A709" s="1">
        <v>42917</v>
      </c>
      <c r="B709">
        <v>407.2</v>
      </c>
    </row>
    <row r="710" spans="1:2">
      <c r="A710" s="1">
        <v>42948</v>
      </c>
      <c r="B710">
        <v>405.24</v>
      </c>
    </row>
    <row r="711" spans="1:2">
      <c r="A711" s="1">
        <v>42979</v>
      </c>
      <c r="B711">
        <v>403.27</v>
      </c>
    </row>
    <row r="712" spans="1:2">
      <c r="A712" s="1">
        <v>43009</v>
      </c>
      <c r="B712">
        <v>403.64</v>
      </c>
    </row>
    <row r="713" spans="1:2">
      <c r="A713" s="1">
        <v>43040</v>
      </c>
      <c r="B713">
        <v>405.17</v>
      </c>
    </row>
    <row r="714" spans="1:2">
      <c r="A714" s="1">
        <v>43070</v>
      </c>
      <c r="B714">
        <v>406.75</v>
      </c>
    </row>
    <row r="715" spans="1:2">
      <c r="A715" s="1">
        <v>43101</v>
      </c>
      <c r="B715">
        <v>408.05</v>
      </c>
    </row>
    <row r="716" spans="1:2">
      <c r="A716" s="1">
        <v>43132</v>
      </c>
      <c r="B716">
        <v>408.34</v>
      </c>
    </row>
    <row r="717" spans="1:2">
      <c r="A717" s="1">
        <v>43160</v>
      </c>
      <c r="B717">
        <v>409.25</v>
      </c>
    </row>
    <row r="718" spans="1:2">
      <c r="A718" s="1">
        <v>43191</v>
      </c>
      <c r="B718">
        <v>410.3</v>
      </c>
    </row>
    <row r="719" spans="1:2">
      <c r="A719" s="1">
        <v>43221</v>
      </c>
      <c r="B719">
        <v>411.3</v>
      </c>
    </row>
    <row r="720" spans="1:2">
      <c r="A720" s="1">
        <v>43252</v>
      </c>
      <c r="B720">
        <v>410.88</v>
      </c>
    </row>
    <row r="721" spans="1:2">
      <c r="A721" s="1">
        <v>43282</v>
      </c>
      <c r="B721">
        <v>408.9</v>
      </c>
    </row>
    <row r="722" spans="1:2">
      <c r="A722" s="1">
        <v>43313</v>
      </c>
      <c r="B722">
        <v>407.1</v>
      </c>
    </row>
    <row r="723" spans="1:2">
      <c r="A723" s="1">
        <v>43344</v>
      </c>
      <c r="B723">
        <v>405.59</v>
      </c>
    </row>
    <row r="724" spans="1:2">
      <c r="A724" s="1">
        <v>43374</v>
      </c>
      <c r="B724">
        <v>405.99</v>
      </c>
    </row>
    <row r="725" spans="1:2">
      <c r="A725" s="1">
        <v>43405</v>
      </c>
      <c r="B725">
        <v>408.12</v>
      </c>
    </row>
    <row r="726" spans="1:2">
      <c r="A726" s="1">
        <v>43435</v>
      </c>
      <c r="B726">
        <v>409.23</v>
      </c>
    </row>
    <row r="727" spans="1:2">
      <c r="A727" s="1">
        <v>43466</v>
      </c>
      <c r="B727">
        <v>410.92</v>
      </c>
    </row>
    <row r="728" spans="1:2">
      <c r="A728" s="1">
        <v>43497</v>
      </c>
      <c r="B728">
        <v>411.66</v>
      </c>
    </row>
    <row r="729" spans="1:2">
      <c r="A729" s="1">
        <v>43525</v>
      </c>
      <c r="B729">
        <v>412</v>
      </c>
    </row>
    <row r="730" spans="1:2">
      <c r="A730" s="1">
        <v>43556</v>
      </c>
      <c r="B730">
        <v>413.52</v>
      </c>
    </row>
    <row r="731" spans="1:2">
      <c r="A731" s="1">
        <v>43586</v>
      </c>
      <c r="B731">
        <v>414.83</v>
      </c>
    </row>
    <row r="732" spans="1:2">
      <c r="A732" s="1">
        <v>43617</v>
      </c>
      <c r="B732">
        <v>413.96</v>
      </c>
    </row>
    <row r="733" spans="1:2">
      <c r="A733" s="1">
        <v>43647</v>
      </c>
      <c r="B733">
        <v>411.85</v>
      </c>
    </row>
    <row r="734" spans="1:2">
      <c r="A734" s="1">
        <v>43678</v>
      </c>
      <c r="B734">
        <v>410.08</v>
      </c>
    </row>
    <row r="735" spans="1:2">
      <c r="A735" s="1">
        <v>43709</v>
      </c>
      <c r="B735">
        <v>408.55</v>
      </c>
    </row>
    <row r="736" spans="1:2">
      <c r="A736" s="1">
        <v>43739</v>
      </c>
      <c r="B736">
        <v>408.43</v>
      </c>
    </row>
    <row r="737" spans="1:2">
      <c r="A737" s="1">
        <v>43770</v>
      </c>
      <c r="B737">
        <v>410.29</v>
      </c>
    </row>
    <row r="738" spans="1:2">
      <c r="A738" s="1">
        <v>43800</v>
      </c>
      <c r="B738">
        <v>411.85</v>
      </c>
    </row>
    <row r="739" spans="1:2">
      <c r="A739" s="1">
        <v>43831</v>
      </c>
      <c r="B739">
        <v>413.37</v>
      </c>
    </row>
    <row r="740" spans="1:2">
      <c r="A740" s="1">
        <v>43862</v>
      </c>
      <c r="B740">
        <v>414.09</v>
      </c>
    </row>
    <row r="741" spans="1:2">
      <c r="A741" s="1">
        <v>43891</v>
      </c>
      <c r="B741">
        <v>414.51</v>
      </c>
    </row>
    <row r="742" spans="1:2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7CB-A724-4FA3-B546-A33AFE5701D5}">
  <dimension ref="A1:P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6" max="16" width="47.5" bestFit="1" customWidth="1"/>
  </cols>
  <sheetData>
    <row r="1" spans="1:16" ht="18.75" customHeight="1">
      <c r="A1" s="2" t="s">
        <v>9</v>
      </c>
      <c r="B1" s="8" t="s">
        <v>38</v>
      </c>
      <c r="D1" t="s">
        <v>39</v>
      </c>
      <c r="F1" s="3" t="s">
        <v>46</v>
      </c>
      <c r="G1" s="3" t="s">
        <v>22</v>
      </c>
      <c r="H1" s="6" t="s">
        <v>47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48</v>
      </c>
      <c r="O1" s="9" t="s">
        <v>12</v>
      </c>
    </row>
    <row r="2" spans="1:16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>_B*F2+_C</f>
        <v>310.56099854233639</v>
      </c>
      <c r="J2" s="7">
        <f>H2-I2</f>
        <v>5.1390014576635963</v>
      </c>
      <c r="K2" s="7" cm="1">
        <f t="array" ref="K2">INDEX(Sm,G2)</f>
        <v>1.4390836132721692</v>
      </c>
      <c r="L2" s="7">
        <f>I2+K2</f>
        <v>312.00008215560854</v>
      </c>
      <c r="M2" s="7">
        <f>H2-L2</f>
        <v>3.6999178443914502</v>
      </c>
      <c r="O2" s="10">
        <v>1</v>
      </c>
      <c r="P2" t="s">
        <v>25</v>
      </c>
    </row>
    <row r="3" spans="1:16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0">MONTH(F3)</f>
        <v>4</v>
      </c>
      <c r="H3" s="7">
        <v>317.45999999999998</v>
      </c>
      <c r="I3" s="7">
        <f>_B*F3+_C</f>
        <v>310.67338142394635</v>
      </c>
      <c r="J3" s="7">
        <f t="shared" ref="J3:J66" si="1">H3-I3</f>
        <v>6.7866185760536268</v>
      </c>
      <c r="K3" s="7" cm="1">
        <f t="array" ref="K3">INDEX(Sm,G3)</f>
        <v>2.6009864459479211</v>
      </c>
      <c r="L3" s="7">
        <f t="shared" ref="L3:L66" si="2">I3+K3</f>
        <v>313.27436786989426</v>
      </c>
      <c r="M3" s="7">
        <f t="shared" ref="M3:M66" si="3">H3-L3</f>
        <v>4.1856321301057164</v>
      </c>
      <c r="P3" t="s">
        <v>24</v>
      </c>
    </row>
    <row r="4" spans="1:16" ht="18.75" customHeight="1">
      <c r="F4" s="1">
        <v>21306</v>
      </c>
      <c r="G4">
        <f t="shared" si="0"/>
        <v>5</v>
      </c>
      <c r="H4" s="7">
        <v>317.51</v>
      </c>
      <c r="I4" s="7">
        <f>_B*F4+_C</f>
        <v>310.78213905131082</v>
      </c>
      <c r="J4" s="7">
        <f t="shared" si="1"/>
        <v>6.7278609486891696</v>
      </c>
      <c r="K4" s="7" cm="1">
        <f t="array" ref="K4">INDEX(Sm,G4)</f>
        <v>2.9998113917703657</v>
      </c>
      <c r="L4" s="7">
        <f t="shared" si="2"/>
        <v>313.7819504430812</v>
      </c>
      <c r="M4" s="7">
        <f t="shared" si="3"/>
        <v>3.7280495569187906</v>
      </c>
      <c r="O4" s="10">
        <v>2</v>
      </c>
      <c r="P4" t="s">
        <v>40</v>
      </c>
    </row>
    <row r="5" spans="1:16" ht="18.75" customHeight="1">
      <c r="A5" t="s">
        <v>49</v>
      </c>
      <c r="F5" s="1">
        <v>21367</v>
      </c>
      <c r="G5">
        <f t="shared" si="0"/>
        <v>7</v>
      </c>
      <c r="H5" s="7">
        <v>315.86</v>
      </c>
      <c r="I5" s="7">
        <f>_B*F5+_C</f>
        <v>311.00327956028525</v>
      </c>
      <c r="J5" s="7">
        <f t="shared" si="1"/>
        <v>4.8567204397147634</v>
      </c>
      <c r="K5" s="7" cm="1">
        <f t="array" ref="K5">INDEX(Sm,G5)</f>
        <v>0.82390897803401641</v>
      </c>
      <c r="L5" s="7">
        <f t="shared" si="2"/>
        <v>311.82718853831926</v>
      </c>
      <c r="M5" s="7">
        <f t="shared" si="3"/>
        <v>4.0328114616807511</v>
      </c>
      <c r="P5" t="s">
        <v>28</v>
      </c>
    </row>
    <row r="6" spans="1:16" ht="18.75" customHeight="1">
      <c r="B6" s="3" t="s">
        <v>4</v>
      </c>
      <c r="C6" s="3" t="s">
        <v>5</v>
      </c>
      <c r="F6" s="1">
        <v>21398</v>
      </c>
      <c r="G6">
        <f t="shared" si="0"/>
        <v>8</v>
      </c>
      <c r="H6" s="7">
        <v>314.93</v>
      </c>
      <c r="I6" s="7">
        <f>_B*F6+_C</f>
        <v>311.11566244189521</v>
      </c>
      <c r="J6" s="7">
        <f t="shared" si="1"/>
        <v>3.8143375581047962</v>
      </c>
      <c r="K6" s="7" cm="1">
        <f t="array" ref="K6">INDEX(Sm,G6)</f>
        <v>-1.2322834273854675</v>
      </c>
      <c r="L6" s="7">
        <f t="shared" si="2"/>
        <v>309.88337901450973</v>
      </c>
      <c r="M6" s="7">
        <f t="shared" si="3"/>
        <v>5.0466209854902786</v>
      </c>
      <c r="O6" s="10">
        <v>3</v>
      </c>
      <c r="P6" t="s">
        <v>27</v>
      </c>
    </row>
    <row r="7" spans="1:16" ht="18.75" customHeight="1">
      <c r="B7" s="21">
        <f t="array" ref="B7:C7">LINEST($H$2:$H$502,$F$2:$F$502)</f>
        <v>3.6252542454825818E-3</v>
      </c>
      <c r="C7" s="21">
        <v>233.54247209705895</v>
      </c>
      <c r="D7" t="s">
        <v>51</v>
      </c>
      <c r="F7" s="1">
        <v>21429</v>
      </c>
      <c r="G7">
        <f t="shared" si="0"/>
        <v>9</v>
      </c>
      <c r="H7" s="7">
        <v>313.20999999999998</v>
      </c>
      <c r="I7" s="7">
        <f>_B*F7+_C</f>
        <v>311.22804532350517</v>
      </c>
      <c r="J7" s="7">
        <f t="shared" si="1"/>
        <v>1.9819546764948086</v>
      </c>
      <c r="K7" s="7" cm="1">
        <f t="array" ref="K7">INDEX(Sm,G7)</f>
        <v>-3.0765710709001954</v>
      </c>
      <c r="L7" s="7">
        <f t="shared" si="2"/>
        <v>308.151474252605</v>
      </c>
      <c r="M7" s="7">
        <f t="shared" si="3"/>
        <v>5.058525747394981</v>
      </c>
      <c r="O7" s="10"/>
      <c r="P7" t="s">
        <v>30</v>
      </c>
    </row>
    <row r="8" spans="1:16" ht="18.75" customHeight="1">
      <c r="B8" t="s">
        <v>44</v>
      </c>
      <c r="F8" s="1">
        <v>21490</v>
      </c>
      <c r="G8">
        <f t="shared" si="0"/>
        <v>11</v>
      </c>
      <c r="H8" s="7">
        <v>313.33</v>
      </c>
      <c r="I8" s="7">
        <f>_B*F8+_C</f>
        <v>311.44918583247966</v>
      </c>
      <c r="J8" s="7">
        <f t="shared" si="1"/>
        <v>1.8808141675203274</v>
      </c>
      <c r="K8" s="7" cm="1">
        <f t="array" ref="K8">INDEX(Sm,G8)</f>
        <v>-2.069140151303194</v>
      </c>
      <c r="L8" s="7">
        <f t="shared" si="2"/>
        <v>309.38004568117645</v>
      </c>
      <c r="M8" s="7">
        <f t="shared" si="3"/>
        <v>3.9499543188235293</v>
      </c>
      <c r="O8" s="10">
        <v>4</v>
      </c>
      <c r="P8" t="s">
        <v>26</v>
      </c>
    </row>
    <row r="9" spans="1:16" ht="18.75" customHeight="1">
      <c r="F9" s="1">
        <v>21520</v>
      </c>
      <c r="G9">
        <f t="shared" si="0"/>
        <v>12</v>
      </c>
      <c r="H9" s="7">
        <v>314.67</v>
      </c>
      <c r="I9" s="7">
        <f>_B*F9+_C</f>
        <v>311.55794345984413</v>
      </c>
      <c r="J9" s="7">
        <f t="shared" si="1"/>
        <v>3.1120565401558906</v>
      </c>
      <c r="K9" s="7" cm="1">
        <f t="array" ref="K9">INDEX(Sm,G9)</f>
        <v>-0.94051682628672428</v>
      </c>
      <c r="L9" s="7">
        <f t="shared" si="2"/>
        <v>310.61742663355739</v>
      </c>
      <c r="M9" s="7">
        <f t="shared" si="3"/>
        <v>4.0525733664426298</v>
      </c>
      <c r="P9" t="s">
        <v>24</v>
      </c>
    </row>
    <row r="10" spans="1:16" ht="18.75" customHeight="1">
      <c r="A10" t="s">
        <v>55</v>
      </c>
      <c r="F10" s="1">
        <v>21551</v>
      </c>
      <c r="G10">
        <f t="shared" si="0"/>
        <v>1</v>
      </c>
      <c r="H10" s="7">
        <v>315.58</v>
      </c>
      <c r="I10" s="7">
        <f>_B*F10+_C</f>
        <v>311.67032634145409</v>
      </c>
      <c r="J10" s="7">
        <f t="shared" si="1"/>
        <v>3.9096736585458984</v>
      </c>
      <c r="K10" s="7" cm="1">
        <f t="array" ref="K10">INDEX(Sm,G10)</f>
        <v>-2.6471136468108808E-2</v>
      </c>
      <c r="L10" s="7">
        <f t="shared" si="2"/>
        <v>311.64385520498598</v>
      </c>
      <c r="M10" s="7">
        <f t="shared" si="3"/>
        <v>3.9361447950140018</v>
      </c>
      <c r="O10" s="10">
        <v>5</v>
      </c>
      <c r="P10" t="s">
        <v>41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0"/>
        <v>2</v>
      </c>
      <c r="H11" s="7">
        <v>316.49</v>
      </c>
      <c r="I11" s="7">
        <f>_B*F11+_C</f>
        <v>311.78270922306405</v>
      </c>
      <c r="J11" s="7">
        <f t="shared" si="1"/>
        <v>4.7072907769359631</v>
      </c>
      <c r="K11" s="7" cm="1">
        <f t="array" ref="K11">INDEX(Sm,G11)</f>
        <v>0.58733060283015548</v>
      </c>
      <c r="L11" s="7">
        <f t="shared" si="2"/>
        <v>312.3700398258942</v>
      </c>
      <c r="M11" s="7">
        <f t="shared" si="3"/>
        <v>4.1199601741058132</v>
      </c>
      <c r="P11" t="s">
        <v>29</v>
      </c>
    </row>
    <row r="12" spans="1:16" ht="18.75" customHeight="1">
      <c r="A12" s="2">
        <v>1</v>
      </c>
      <c r="B12" s="13">
        <f>AVERAGEIF($G$2:$G$502,A12,$J$2:$J$502)</f>
        <v>-2.6471136468108808E-2</v>
      </c>
      <c r="C12" t="s">
        <v>45</v>
      </c>
      <c r="F12" s="1">
        <v>21610</v>
      </c>
      <c r="G12">
        <f t="shared" si="0"/>
        <v>3</v>
      </c>
      <c r="H12" s="7">
        <v>316.64999999999998</v>
      </c>
      <c r="I12" s="7">
        <f>_B*F12+_C</f>
        <v>311.88421634193753</v>
      </c>
      <c r="J12" s="7">
        <f t="shared" si="1"/>
        <v>4.7657836580624462</v>
      </c>
      <c r="K12" s="7" cm="1">
        <f t="array" ref="K12">INDEX(Sm,G12)</f>
        <v>1.4390836132721692</v>
      </c>
      <c r="L12" s="7">
        <f t="shared" si="2"/>
        <v>313.32329995520968</v>
      </c>
      <c r="M12" s="7">
        <f t="shared" si="3"/>
        <v>3.3267000447903001</v>
      </c>
      <c r="O12" s="10">
        <v>6</v>
      </c>
      <c r="P12" t="s">
        <v>43</v>
      </c>
    </row>
    <row r="13" spans="1:16" ht="18.75" customHeight="1">
      <c r="A13" s="2">
        <v>2</v>
      </c>
      <c r="B13" s="14">
        <f t="shared" ref="B13:B23" si="4">AVERAGEIF($G$2:$G$502,A13,$J$2:$J$502)</f>
        <v>0.58733060283015548</v>
      </c>
      <c r="F13" s="1">
        <v>21641</v>
      </c>
      <c r="G13">
        <f t="shared" si="0"/>
        <v>4</v>
      </c>
      <c r="H13" s="7">
        <v>317.72000000000003</v>
      </c>
      <c r="I13" s="7">
        <f>_B*F13+_C</f>
        <v>311.99659922354749</v>
      </c>
      <c r="J13" s="7">
        <f t="shared" si="1"/>
        <v>5.7234007764525359</v>
      </c>
      <c r="K13" s="7" cm="1">
        <f t="array" ref="K13">INDEX(Sm,G13)</f>
        <v>2.6009864459479211</v>
      </c>
      <c r="L13" s="7">
        <f t="shared" si="2"/>
        <v>314.5975856694954</v>
      </c>
      <c r="M13" s="7">
        <f t="shared" si="3"/>
        <v>3.1224143305046255</v>
      </c>
      <c r="P13" t="s">
        <v>31</v>
      </c>
    </row>
    <row r="14" spans="1:16" ht="18.75" customHeight="1">
      <c r="A14" s="2">
        <v>3</v>
      </c>
      <c r="B14" s="14">
        <f t="shared" si="4"/>
        <v>1.4390836132721692</v>
      </c>
      <c r="F14" s="1">
        <v>21671</v>
      </c>
      <c r="G14">
        <f t="shared" si="0"/>
        <v>5</v>
      </c>
      <c r="H14" s="7">
        <v>318.29000000000002</v>
      </c>
      <c r="I14" s="7">
        <f>_B*F14+_C</f>
        <v>312.10535685091196</v>
      </c>
      <c r="J14" s="7">
        <f t="shared" si="1"/>
        <v>6.1846431490880605</v>
      </c>
      <c r="K14" s="7" cm="1">
        <f t="array" ref="K14">INDEX(Sm,G14)</f>
        <v>2.9998113917703657</v>
      </c>
      <c r="L14" s="7">
        <f t="shared" si="2"/>
        <v>315.10516824268234</v>
      </c>
      <c r="M14" s="7">
        <f t="shared" si="3"/>
        <v>3.1848317573176814</v>
      </c>
      <c r="O14" s="10">
        <v>7</v>
      </c>
      <c r="P14" t="s">
        <v>32</v>
      </c>
    </row>
    <row r="15" spans="1:16" ht="18.75" customHeight="1">
      <c r="A15" s="2">
        <v>4</v>
      </c>
      <c r="B15" s="14">
        <f t="shared" si="4"/>
        <v>2.6009864459479211</v>
      </c>
      <c r="F15" s="1">
        <v>21702</v>
      </c>
      <c r="G15">
        <f t="shared" si="0"/>
        <v>6</v>
      </c>
      <c r="H15" s="7">
        <v>318.14999999999998</v>
      </c>
      <c r="I15" s="7">
        <f>_B*F15+_C</f>
        <v>312.21773973252192</v>
      </c>
      <c r="J15" s="7">
        <f t="shared" si="1"/>
        <v>5.9322602674780569</v>
      </c>
      <c r="K15" s="7" cm="1">
        <f t="array" ref="K15">INDEX(Sm,G15)</f>
        <v>2.2382077892599441</v>
      </c>
      <c r="L15" s="7">
        <f t="shared" si="2"/>
        <v>314.45594752178187</v>
      </c>
      <c r="M15" s="7">
        <f t="shared" si="3"/>
        <v>3.6940524782181114</v>
      </c>
      <c r="O15" s="10"/>
      <c r="P15" t="s">
        <v>33</v>
      </c>
    </row>
    <row r="16" spans="1:16" ht="18.75" customHeight="1">
      <c r="A16" s="2">
        <v>5</v>
      </c>
      <c r="B16" s="14">
        <f t="shared" si="4"/>
        <v>2.9998113917703657</v>
      </c>
      <c r="F16" s="1">
        <v>21732</v>
      </c>
      <c r="G16">
        <f t="shared" si="0"/>
        <v>7</v>
      </c>
      <c r="H16" s="7">
        <v>316.54000000000002</v>
      </c>
      <c r="I16" s="7">
        <f>_B*F16+_C</f>
        <v>312.32649735988639</v>
      </c>
      <c r="J16" s="7">
        <f t="shared" si="1"/>
        <v>4.2135026401136315</v>
      </c>
      <c r="K16" s="7" cm="1">
        <f t="array" ref="K16">INDEX(Sm,G16)</f>
        <v>0.82390897803401641</v>
      </c>
      <c r="L16" s="7">
        <f t="shared" si="2"/>
        <v>313.1504063379204</v>
      </c>
      <c r="M16" s="7">
        <f t="shared" si="3"/>
        <v>3.3895936620796192</v>
      </c>
      <c r="O16" s="10">
        <v>8</v>
      </c>
      <c r="P16" t="s">
        <v>13</v>
      </c>
    </row>
    <row r="17" spans="1:16" ht="18.75" customHeight="1">
      <c r="A17" s="2">
        <v>6</v>
      </c>
      <c r="B17" s="14">
        <f t="shared" si="4"/>
        <v>2.2382077892599441</v>
      </c>
      <c r="F17" s="1">
        <v>21763</v>
      </c>
      <c r="G17">
        <f t="shared" si="0"/>
        <v>8</v>
      </c>
      <c r="H17" s="7">
        <v>314.8</v>
      </c>
      <c r="I17" s="7">
        <f>_B*F17+_C</f>
        <v>312.43888024149635</v>
      </c>
      <c r="J17" s="7">
        <f t="shared" si="1"/>
        <v>2.3611197585036621</v>
      </c>
      <c r="K17" s="7" cm="1">
        <f t="array" ref="K17">INDEX(Sm,G17)</f>
        <v>-1.2322834273854675</v>
      </c>
      <c r="L17" s="7">
        <f t="shared" si="2"/>
        <v>311.20659681411087</v>
      </c>
      <c r="M17" s="7">
        <f t="shared" si="3"/>
        <v>3.5934031858891444</v>
      </c>
      <c r="O17" s="10">
        <v>9</v>
      </c>
      <c r="P17" t="s">
        <v>37</v>
      </c>
    </row>
    <row r="18" spans="1:16" ht="18.75" customHeight="1">
      <c r="A18" s="2">
        <v>7</v>
      </c>
      <c r="B18" s="14">
        <f t="shared" si="4"/>
        <v>0.82390897803401641</v>
      </c>
      <c r="F18" s="1">
        <v>21794</v>
      </c>
      <c r="G18">
        <f t="shared" si="0"/>
        <v>9</v>
      </c>
      <c r="H18" s="7">
        <v>313.83999999999997</v>
      </c>
      <c r="I18" s="7">
        <f>_B*F18+_C</f>
        <v>312.55126312310631</v>
      </c>
      <c r="J18" s="7">
        <f t="shared" si="1"/>
        <v>1.2887368768936653</v>
      </c>
      <c r="K18" s="7" cm="1">
        <f t="array" ref="K18">INDEX(Sm,G18)</f>
        <v>-3.0765710709001954</v>
      </c>
      <c r="L18" s="7">
        <f t="shared" si="2"/>
        <v>309.47469205220614</v>
      </c>
      <c r="M18" s="7">
        <f t="shared" si="3"/>
        <v>4.3653079477938377</v>
      </c>
      <c r="O18" s="10"/>
      <c r="P18" t="s">
        <v>34</v>
      </c>
    </row>
    <row r="19" spans="1:16" ht="18.75" customHeight="1">
      <c r="A19" s="2">
        <v>8</v>
      </c>
      <c r="B19" s="14">
        <f t="shared" si="4"/>
        <v>-1.2322834273854675</v>
      </c>
      <c r="F19" s="1">
        <v>21824</v>
      </c>
      <c r="G19">
        <f t="shared" si="0"/>
        <v>10</v>
      </c>
      <c r="H19" s="7">
        <v>313.33</v>
      </c>
      <c r="I19" s="7">
        <f>_B*F19+_C</f>
        <v>312.66002075047084</v>
      </c>
      <c r="J19" s="7">
        <f t="shared" si="1"/>
        <v>0.669979249529149</v>
      </c>
      <c r="K19" s="7" cm="1">
        <f t="array" ref="K19">INDEX(Sm,G19)</f>
        <v>-3.3570000579572215</v>
      </c>
      <c r="L19" s="7">
        <f t="shared" si="2"/>
        <v>309.3030206925136</v>
      </c>
      <c r="M19" s="7">
        <f t="shared" si="3"/>
        <v>4.0269793074863856</v>
      </c>
      <c r="O19" s="10">
        <v>10</v>
      </c>
      <c r="P19" t="s">
        <v>13</v>
      </c>
    </row>
    <row r="20" spans="1:16" ht="18.75" customHeight="1">
      <c r="A20" s="2">
        <v>9</v>
      </c>
      <c r="B20" s="14">
        <f t="shared" si="4"/>
        <v>-3.0765710709001954</v>
      </c>
      <c r="F20" s="1">
        <v>21855</v>
      </c>
      <c r="G20">
        <f t="shared" si="0"/>
        <v>11</v>
      </c>
      <c r="H20" s="7">
        <v>314.81</v>
      </c>
      <c r="I20" s="7">
        <f>_B*F20+_C</f>
        <v>312.7724036320808</v>
      </c>
      <c r="J20" s="7">
        <f t="shared" si="1"/>
        <v>2.0375963679192068</v>
      </c>
      <c r="K20" s="7" cm="1">
        <f t="array" ref="K20">INDEX(Sm,G20)</f>
        <v>-2.069140151303194</v>
      </c>
      <c r="L20" s="7">
        <f t="shared" si="2"/>
        <v>310.70326348077759</v>
      </c>
      <c r="M20" s="7">
        <f t="shared" si="3"/>
        <v>4.1067365192224088</v>
      </c>
    </row>
    <row r="21" spans="1:16" ht="18.75" customHeight="1">
      <c r="A21" s="2">
        <v>10</v>
      </c>
      <c r="B21" s="14">
        <f t="shared" si="4"/>
        <v>-3.3570000579572215</v>
      </c>
      <c r="F21" s="1">
        <v>21885</v>
      </c>
      <c r="G21">
        <f t="shared" si="0"/>
        <v>12</v>
      </c>
      <c r="H21" s="7">
        <v>315.58</v>
      </c>
      <c r="I21" s="7">
        <f>_B*F21+_C</f>
        <v>312.88116125944526</v>
      </c>
      <c r="J21" s="7">
        <f t="shared" si="1"/>
        <v>2.6988387405547201</v>
      </c>
      <c r="K21" s="7" cm="1">
        <f t="array" ref="K21">INDEX(Sm,G21)</f>
        <v>-0.94051682628672428</v>
      </c>
      <c r="L21" s="7">
        <f t="shared" si="2"/>
        <v>311.94064443315852</v>
      </c>
      <c r="M21" s="7">
        <f t="shared" si="3"/>
        <v>3.6393555668414592</v>
      </c>
      <c r="O21" t="s">
        <v>42</v>
      </c>
    </row>
    <row r="22" spans="1:16" ht="18.75" customHeight="1">
      <c r="A22" s="2">
        <v>11</v>
      </c>
      <c r="B22" s="14">
        <f t="shared" si="4"/>
        <v>-2.069140151303194</v>
      </c>
      <c r="F22" s="1">
        <v>21916</v>
      </c>
      <c r="G22">
        <f t="shared" si="0"/>
        <v>1</v>
      </c>
      <c r="H22" s="7">
        <v>316.43</v>
      </c>
      <c r="I22" s="7">
        <f>_B*F22+_C</f>
        <v>312.99354414105522</v>
      </c>
      <c r="J22" s="7">
        <f t="shared" si="1"/>
        <v>3.4364558589447824</v>
      </c>
      <c r="K22" s="7" cm="1">
        <f t="array" ref="K22">INDEX(Sm,G22)</f>
        <v>-2.6471136468108808E-2</v>
      </c>
      <c r="L22" s="7">
        <f t="shared" si="2"/>
        <v>312.96707300458712</v>
      </c>
      <c r="M22" s="7">
        <f t="shared" si="3"/>
        <v>3.4629269954128858</v>
      </c>
    </row>
    <row r="23" spans="1:16" ht="18.75" customHeight="1">
      <c r="A23" s="2">
        <v>12</v>
      </c>
      <c r="B23" s="15">
        <f t="shared" si="4"/>
        <v>-0.94051682628672428</v>
      </c>
      <c r="F23" s="1">
        <v>21947</v>
      </c>
      <c r="G23">
        <f t="shared" si="0"/>
        <v>2</v>
      </c>
      <c r="H23" s="7">
        <v>316.98</v>
      </c>
      <c r="I23" s="7">
        <f>_B*F23+_C</f>
        <v>313.10592702266518</v>
      </c>
      <c r="J23" s="7">
        <f t="shared" si="1"/>
        <v>3.8740729773348335</v>
      </c>
      <c r="K23" s="7" cm="1">
        <f t="array" ref="K23">INDEX(Sm,G23)</f>
        <v>0.58733060283015548</v>
      </c>
      <c r="L23" s="7">
        <f t="shared" si="2"/>
        <v>313.69325762549533</v>
      </c>
      <c r="M23" s="7">
        <f t="shared" si="3"/>
        <v>3.2867423745046835</v>
      </c>
    </row>
    <row r="24" spans="1:16" ht="18.75" customHeight="1">
      <c r="A24" s="4">
        <v>13</v>
      </c>
      <c r="B24" s="20">
        <f>B12</f>
        <v>-2.6471136468108808E-2</v>
      </c>
      <c r="C24" s="19" t="s">
        <v>36</v>
      </c>
      <c r="D24" s="5"/>
      <c r="F24" s="1">
        <v>21976</v>
      </c>
      <c r="G24">
        <f t="shared" si="0"/>
        <v>3</v>
      </c>
      <c r="H24" s="7">
        <v>317.58</v>
      </c>
      <c r="I24" s="7">
        <f>_B*F24+_C</f>
        <v>313.21105939578416</v>
      </c>
      <c r="J24" s="7">
        <f t="shared" si="1"/>
        <v>4.3689406042158225</v>
      </c>
      <c r="K24" s="7" cm="1">
        <f t="array" ref="K24">INDEX(Sm,G24)</f>
        <v>1.4390836132721692</v>
      </c>
      <c r="L24" s="7">
        <f t="shared" si="2"/>
        <v>314.65014300905631</v>
      </c>
      <c r="M24" s="7">
        <f t="shared" si="3"/>
        <v>2.9298569909436765</v>
      </c>
    </row>
    <row r="25" spans="1:16" ht="18.75" customHeight="1">
      <c r="A25" s="2" t="s">
        <v>7</v>
      </c>
      <c r="B25" s="12">
        <f>SUM(B12:B23)</f>
        <v>-1.2653849186340382E-2</v>
      </c>
      <c r="C25" s="11"/>
      <c r="F25" s="1">
        <v>22007</v>
      </c>
      <c r="G25">
        <f t="shared" si="0"/>
        <v>4</v>
      </c>
      <c r="H25" s="7">
        <v>319.02999999999997</v>
      </c>
      <c r="I25" s="7">
        <f>_B*F25+_C</f>
        <v>313.32344227739412</v>
      </c>
      <c r="J25" s="7">
        <f t="shared" si="1"/>
        <v>5.7065577226058508</v>
      </c>
      <c r="K25" s="7" cm="1">
        <f t="array" ref="K25">INDEX(Sm,G25)</f>
        <v>2.6009864459479211</v>
      </c>
      <c r="L25" s="7">
        <f t="shared" si="2"/>
        <v>315.92442872334203</v>
      </c>
      <c r="M25" s="7">
        <f t="shared" si="3"/>
        <v>3.1055712766579404</v>
      </c>
    </row>
    <row r="26" spans="1:16" ht="18.75" customHeight="1">
      <c r="F26" s="1">
        <v>22037</v>
      </c>
      <c r="G26">
        <f t="shared" si="0"/>
        <v>5</v>
      </c>
      <c r="H26" s="7">
        <v>320.04000000000002</v>
      </c>
      <c r="I26" s="7">
        <f>_B*F26+_C</f>
        <v>313.43219990475859</v>
      </c>
      <c r="J26" s="7">
        <f t="shared" si="1"/>
        <v>6.60780009524143</v>
      </c>
      <c r="K26" s="7" cm="1">
        <f t="array" ref="K26">INDEX(Sm,G26)</f>
        <v>2.9998113917703657</v>
      </c>
      <c r="L26" s="7">
        <f t="shared" si="2"/>
        <v>316.43201129652897</v>
      </c>
      <c r="M26" s="7">
        <f t="shared" si="3"/>
        <v>3.6079887034710509</v>
      </c>
    </row>
    <row r="27" spans="1:16" ht="18.75" customHeight="1">
      <c r="A27" s="2" t="s">
        <v>11</v>
      </c>
      <c r="B27" s="12">
        <f>SUMSQ(M2:M742)/COUNT(M2:M742)</f>
        <v>46.480566925019076</v>
      </c>
      <c r="F27" s="1">
        <v>22068</v>
      </c>
      <c r="G27">
        <f t="shared" si="0"/>
        <v>6</v>
      </c>
      <c r="H27" s="7">
        <v>319.58</v>
      </c>
      <c r="I27" s="7">
        <f>_B*F27+_C</f>
        <v>313.54458278636855</v>
      </c>
      <c r="J27" s="7">
        <f t="shared" si="1"/>
        <v>6.0354172136314332</v>
      </c>
      <c r="K27" s="7" cm="1">
        <f t="array" ref="K27">INDEX(Sm,G27)</f>
        <v>2.2382077892599441</v>
      </c>
      <c r="L27" s="7">
        <f t="shared" si="2"/>
        <v>315.7827905756285</v>
      </c>
      <c r="M27" s="7">
        <f t="shared" si="3"/>
        <v>3.7972094243714878</v>
      </c>
    </row>
    <row r="28" spans="1:16" ht="18.75" customHeight="1">
      <c r="F28" s="1">
        <v>22098</v>
      </c>
      <c r="G28">
        <f t="shared" si="0"/>
        <v>7</v>
      </c>
      <c r="H28" s="7">
        <v>318.18</v>
      </c>
      <c r="I28" s="7">
        <f>_B*F28+_C</f>
        <v>313.65334041373302</v>
      </c>
      <c r="J28" s="7">
        <f t="shared" si="1"/>
        <v>4.5266595862669874</v>
      </c>
      <c r="K28" s="7" cm="1">
        <f t="array" ref="K28">INDEX(Sm,G28)</f>
        <v>0.82390897803401641</v>
      </c>
      <c r="L28" s="7">
        <f t="shared" si="2"/>
        <v>314.47724939176703</v>
      </c>
      <c r="M28" s="7">
        <f t="shared" si="3"/>
        <v>3.7027506082329751</v>
      </c>
    </row>
    <row r="29" spans="1:16" ht="18.75" customHeight="1">
      <c r="F29" s="1">
        <v>22129</v>
      </c>
      <c r="G29">
        <f t="shared" si="0"/>
        <v>8</v>
      </c>
      <c r="H29" s="7">
        <v>315.89999999999998</v>
      </c>
      <c r="I29" s="7">
        <f>_B*F29+_C</f>
        <v>313.76572329534298</v>
      </c>
      <c r="J29" s="7">
        <f t="shared" si="1"/>
        <v>2.1342767046569975</v>
      </c>
      <c r="K29" s="7" cm="1">
        <f t="array" ref="K29">INDEX(Sm,G29)</f>
        <v>-1.2322834273854675</v>
      </c>
      <c r="L29" s="7">
        <f t="shared" si="2"/>
        <v>312.5334398679575</v>
      </c>
      <c r="M29" s="7">
        <f t="shared" si="3"/>
        <v>3.3665601320424798</v>
      </c>
    </row>
    <row r="30" spans="1:16" ht="18.75" customHeight="1">
      <c r="F30" s="1">
        <v>22160</v>
      </c>
      <c r="G30">
        <f t="shared" si="0"/>
        <v>9</v>
      </c>
      <c r="H30" s="7">
        <v>314.17</v>
      </c>
      <c r="I30" s="7">
        <f>_B*F30+_C</f>
        <v>313.87810617695294</v>
      </c>
      <c r="J30" s="7">
        <f t="shared" si="1"/>
        <v>0.29189382304707578</v>
      </c>
      <c r="K30" s="7" cm="1">
        <f t="array" ref="K30">INDEX(Sm,G30)</f>
        <v>-3.0765710709001954</v>
      </c>
      <c r="L30" s="7">
        <f t="shared" si="2"/>
        <v>310.80153510605277</v>
      </c>
      <c r="M30" s="7">
        <f t="shared" si="3"/>
        <v>3.3684648939472481</v>
      </c>
    </row>
    <row r="31" spans="1:16" ht="18.75" customHeight="1">
      <c r="F31" s="1">
        <v>22190</v>
      </c>
      <c r="G31">
        <f t="shared" si="0"/>
        <v>10</v>
      </c>
      <c r="H31" s="7">
        <v>313.83</v>
      </c>
      <c r="I31" s="7">
        <f>_B*F31+_C</f>
        <v>313.98686380431741</v>
      </c>
      <c r="J31" s="7">
        <f t="shared" si="1"/>
        <v>-0.15686380431742464</v>
      </c>
      <c r="K31" s="7" cm="1">
        <f t="array" ref="K31">INDEX(Sm,G31)</f>
        <v>-3.3570000579572215</v>
      </c>
      <c r="L31" s="7">
        <f t="shared" si="2"/>
        <v>310.62986374636017</v>
      </c>
      <c r="M31" s="7">
        <f t="shared" si="3"/>
        <v>3.2001362536398119</v>
      </c>
    </row>
    <row r="32" spans="1:16" ht="18.75" customHeight="1">
      <c r="F32" s="1">
        <v>22221</v>
      </c>
      <c r="G32">
        <f t="shared" si="0"/>
        <v>11</v>
      </c>
      <c r="H32" s="7">
        <v>315</v>
      </c>
      <c r="I32" s="7">
        <f>_B*F32+_C</f>
        <v>314.09924668592737</v>
      </c>
      <c r="J32" s="7">
        <f t="shared" si="1"/>
        <v>0.90075331407263093</v>
      </c>
      <c r="K32" s="7" cm="1">
        <f t="array" ref="K32">INDEX(Sm,G32)</f>
        <v>-2.069140151303194</v>
      </c>
      <c r="L32" s="7">
        <f t="shared" si="2"/>
        <v>312.03010653462417</v>
      </c>
      <c r="M32" s="7">
        <f t="shared" si="3"/>
        <v>2.9698934653758329</v>
      </c>
    </row>
    <row r="33" spans="6:13" ht="18.75" customHeight="1">
      <c r="F33" s="1">
        <v>22251</v>
      </c>
      <c r="G33">
        <f t="shared" si="0"/>
        <v>12</v>
      </c>
      <c r="H33" s="7">
        <v>316.19</v>
      </c>
      <c r="I33" s="7">
        <f>_B*F33+_C</f>
        <v>314.20800431329189</v>
      </c>
      <c r="J33" s="7">
        <f t="shared" si="1"/>
        <v>1.9819956867081032</v>
      </c>
      <c r="K33" s="7" cm="1">
        <f t="array" ref="K33">INDEX(Sm,G33)</f>
        <v>-0.94051682628672428</v>
      </c>
      <c r="L33" s="7">
        <f t="shared" si="2"/>
        <v>313.26748748700516</v>
      </c>
      <c r="M33" s="7">
        <f t="shared" si="3"/>
        <v>2.9225125129948424</v>
      </c>
    </row>
    <row r="34" spans="6:13" ht="18.75" customHeight="1">
      <c r="F34" s="1">
        <v>22282</v>
      </c>
      <c r="G34">
        <f t="shared" si="0"/>
        <v>1</v>
      </c>
      <c r="H34" s="7">
        <v>316.89999999999998</v>
      </c>
      <c r="I34" s="7">
        <f>_B*F34+_C</f>
        <v>314.32038719490185</v>
      </c>
      <c r="J34" s="7">
        <f t="shared" si="1"/>
        <v>2.5796128050981224</v>
      </c>
      <c r="K34" s="7" cm="1">
        <f t="array" ref="K34">INDEX(Sm,G34)</f>
        <v>-2.6471136468108808E-2</v>
      </c>
      <c r="L34" s="7">
        <f t="shared" si="2"/>
        <v>314.29391605843375</v>
      </c>
      <c r="M34" s="7">
        <f t="shared" si="3"/>
        <v>2.6060839415662258</v>
      </c>
    </row>
    <row r="35" spans="6:13" ht="18.75" customHeight="1">
      <c r="F35" s="1">
        <v>22313</v>
      </c>
      <c r="G35">
        <f t="shared" si="0"/>
        <v>2</v>
      </c>
      <c r="H35" s="7">
        <v>317.7</v>
      </c>
      <c r="I35" s="7">
        <f>_B*F35+_C</f>
        <v>314.43277007651182</v>
      </c>
      <c r="J35" s="7">
        <f t="shared" si="1"/>
        <v>3.2672299234881734</v>
      </c>
      <c r="K35" s="7" cm="1">
        <f t="array" ref="K35">INDEX(Sm,G35)</f>
        <v>0.58733060283015548</v>
      </c>
      <c r="L35" s="7">
        <f t="shared" si="2"/>
        <v>315.02010067934197</v>
      </c>
      <c r="M35" s="7">
        <f t="shared" si="3"/>
        <v>2.6798993206580235</v>
      </c>
    </row>
    <row r="36" spans="6:13" ht="18.75" customHeight="1">
      <c r="F36" s="1">
        <v>22341</v>
      </c>
      <c r="G36">
        <f t="shared" si="0"/>
        <v>3</v>
      </c>
      <c r="H36" s="7">
        <v>318.54000000000002</v>
      </c>
      <c r="I36" s="7">
        <f>_B*F36+_C</f>
        <v>314.5342771953853</v>
      </c>
      <c r="J36" s="7">
        <f t="shared" si="1"/>
        <v>4.0057228046147202</v>
      </c>
      <c r="K36" s="7" cm="1">
        <f t="array" ref="K36">INDEX(Sm,G36)</f>
        <v>1.4390836132721692</v>
      </c>
      <c r="L36" s="7">
        <f t="shared" si="2"/>
        <v>315.97336080865745</v>
      </c>
      <c r="M36" s="7">
        <f t="shared" si="3"/>
        <v>2.5666391913425741</v>
      </c>
    </row>
    <row r="37" spans="6:13" ht="18.75" customHeight="1">
      <c r="F37" s="1">
        <v>22372</v>
      </c>
      <c r="G37">
        <f t="shared" si="0"/>
        <v>4</v>
      </c>
      <c r="H37" s="7">
        <v>319.48</v>
      </c>
      <c r="I37" s="7">
        <f>_B*F37+_C</f>
        <v>314.64666007699526</v>
      </c>
      <c r="J37" s="7">
        <f t="shared" si="1"/>
        <v>4.8333399230047576</v>
      </c>
      <c r="K37" s="7" cm="1">
        <f t="array" ref="K37">INDEX(Sm,G37)</f>
        <v>2.6009864459479211</v>
      </c>
      <c r="L37" s="7">
        <f t="shared" si="2"/>
        <v>317.24764652294317</v>
      </c>
      <c r="M37" s="7">
        <f t="shared" si="3"/>
        <v>2.2323534770568472</v>
      </c>
    </row>
    <row r="38" spans="6:13" ht="18.75" customHeight="1">
      <c r="F38" s="1">
        <v>22402</v>
      </c>
      <c r="G38">
        <f t="shared" si="0"/>
        <v>5</v>
      </c>
      <c r="H38" s="7">
        <v>320.58</v>
      </c>
      <c r="I38" s="7">
        <f>_B*F38+_C</f>
        <v>314.75541770435973</v>
      </c>
      <c r="J38" s="7">
        <f t="shared" si="1"/>
        <v>5.8245822956402549</v>
      </c>
      <c r="K38" s="7" cm="1">
        <f t="array" ref="K38">INDEX(Sm,G38)</f>
        <v>2.9998113917703657</v>
      </c>
      <c r="L38" s="7">
        <f t="shared" si="2"/>
        <v>317.75522909613011</v>
      </c>
      <c r="M38" s="7">
        <f t="shared" si="3"/>
        <v>2.8247709038698758</v>
      </c>
    </row>
    <row r="39" spans="6:13" ht="18.75" customHeight="1">
      <c r="F39" s="1">
        <v>22433</v>
      </c>
      <c r="G39">
        <f t="shared" si="0"/>
        <v>6</v>
      </c>
      <c r="H39" s="7">
        <v>319.77</v>
      </c>
      <c r="I39" s="7">
        <f>_B*F39+_C</f>
        <v>314.86780058596969</v>
      </c>
      <c r="J39" s="7">
        <f t="shared" si="1"/>
        <v>4.9021994140302922</v>
      </c>
      <c r="K39" s="7" cm="1">
        <f t="array" ref="K39">INDEX(Sm,G39)</f>
        <v>2.2382077892599441</v>
      </c>
      <c r="L39" s="7">
        <f t="shared" si="2"/>
        <v>317.10600837522964</v>
      </c>
      <c r="M39" s="7">
        <f t="shared" si="3"/>
        <v>2.6639916247703468</v>
      </c>
    </row>
    <row r="40" spans="6:13" ht="18.75" customHeight="1">
      <c r="F40" s="1">
        <v>22463</v>
      </c>
      <c r="G40">
        <f t="shared" si="0"/>
        <v>7</v>
      </c>
      <c r="H40" s="7">
        <v>318.57</v>
      </c>
      <c r="I40" s="7">
        <f>_B*F40+_C</f>
        <v>314.97655821333421</v>
      </c>
      <c r="J40" s="7">
        <f t="shared" si="1"/>
        <v>3.5934417866657782</v>
      </c>
      <c r="K40" s="7" cm="1">
        <f t="array" ref="K40">INDEX(Sm,G40)</f>
        <v>0.82390897803401641</v>
      </c>
      <c r="L40" s="7">
        <f t="shared" si="2"/>
        <v>315.80046719136823</v>
      </c>
      <c r="M40" s="7">
        <f t="shared" si="3"/>
        <v>2.7695328086317659</v>
      </c>
    </row>
    <row r="41" spans="6:13" ht="18.75" customHeight="1">
      <c r="F41" s="1">
        <v>22494</v>
      </c>
      <c r="G41">
        <f t="shared" si="0"/>
        <v>8</v>
      </c>
      <c r="H41" s="7">
        <v>316.79000000000002</v>
      </c>
      <c r="I41" s="7">
        <f>_B*F41+_C</f>
        <v>315.08894109494418</v>
      </c>
      <c r="J41" s="7">
        <f t="shared" si="1"/>
        <v>1.7010589050558451</v>
      </c>
      <c r="K41" s="7" cm="1">
        <f t="array" ref="K41">INDEX(Sm,G41)</f>
        <v>-1.2322834273854675</v>
      </c>
      <c r="L41" s="7">
        <f t="shared" si="2"/>
        <v>313.85665766755869</v>
      </c>
      <c r="M41" s="7">
        <f t="shared" si="3"/>
        <v>2.9333423324413275</v>
      </c>
    </row>
    <row r="42" spans="6:13" ht="18.75" customHeight="1">
      <c r="F42" s="1">
        <v>22525</v>
      </c>
      <c r="G42">
        <f t="shared" si="0"/>
        <v>9</v>
      </c>
      <c r="H42" s="7">
        <v>314.99</v>
      </c>
      <c r="I42" s="7">
        <f>_B*F42+_C</f>
        <v>315.20132397655414</v>
      </c>
      <c r="J42" s="7">
        <f t="shared" si="1"/>
        <v>-0.2113239765541266</v>
      </c>
      <c r="K42" s="7" cm="1">
        <f t="array" ref="K42">INDEX(Sm,G42)</f>
        <v>-3.0765710709001954</v>
      </c>
      <c r="L42" s="7">
        <f t="shared" si="2"/>
        <v>312.12475290565396</v>
      </c>
      <c r="M42" s="7">
        <f t="shared" si="3"/>
        <v>2.8652470943460457</v>
      </c>
    </row>
    <row r="43" spans="6:13" ht="18.75" customHeight="1">
      <c r="F43" s="1">
        <v>22555</v>
      </c>
      <c r="G43">
        <f t="shared" si="0"/>
        <v>10</v>
      </c>
      <c r="H43" s="7">
        <v>315.31</v>
      </c>
      <c r="I43" s="7">
        <f>_B*F43+_C</f>
        <v>315.31008160391855</v>
      </c>
      <c r="J43" s="7">
        <f t="shared" si="1"/>
        <v>-8.1603918545170018E-5</v>
      </c>
      <c r="K43" s="7" cm="1">
        <f t="array" ref="K43">INDEX(Sm,G43)</f>
        <v>-3.3570000579572215</v>
      </c>
      <c r="L43" s="7">
        <f t="shared" si="2"/>
        <v>311.95308154596131</v>
      </c>
      <c r="M43" s="7">
        <f t="shared" si="3"/>
        <v>3.3569184540386914</v>
      </c>
    </row>
    <row r="44" spans="6:13" ht="18.75" customHeight="1">
      <c r="F44" s="1">
        <v>22586</v>
      </c>
      <c r="G44">
        <f t="shared" si="0"/>
        <v>11</v>
      </c>
      <c r="H44" s="7">
        <v>316.10000000000002</v>
      </c>
      <c r="I44" s="7">
        <f>_B*F44+_C</f>
        <v>315.42246448552851</v>
      </c>
      <c r="J44" s="7">
        <f t="shared" si="1"/>
        <v>0.67753551447151494</v>
      </c>
      <c r="K44" s="7" cm="1">
        <f t="array" ref="K44">INDEX(Sm,G44)</f>
        <v>-2.069140151303194</v>
      </c>
      <c r="L44" s="7">
        <f t="shared" si="2"/>
        <v>313.35332433422531</v>
      </c>
      <c r="M44" s="7">
        <f t="shared" si="3"/>
        <v>2.7466756657747169</v>
      </c>
    </row>
    <row r="45" spans="6:13" ht="18.75" customHeight="1">
      <c r="F45" s="1">
        <v>22616</v>
      </c>
      <c r="G45">
        <f t="shared" si="0"/>
        <v>12</v>
      </c>
      <c r="H45" s="7">
        <v>317.01</v>
      </c>
      <c r="I45" s="7">
        <f>_B*F45+_C</f>
        <v>315.53122211289303</v>
      </c>
      <c r="J45" s="7">
        <f t="shared" si="1"/>
        <v>1.4787778871069577</v>
      </c>
      <c r="K45" s="7" cm="1">
        <f t="array" ref="K45">INDEX(Sm,G45)</f>
        <v>-0.94051682628672428</v>
      </c>
      <c r="L45" s="7">
        <f t="shared" si="2"/>
        <v>314.59070528660629</v>
      </c>
      <c r="M45" s="7">
        <f t="shared" si="3"/>
        <v>2.4192947133936968</v>
      </c>
    </row>
    <row r="46" spans="6:13" ht="18.75" customHeight="1">
      <c r="F46" s="1">
        <v>22647</v>
      </c>
      <c r="G46">
        <f t="shared" si="0"/>
        <v>1</v>
      </c>
      <c r="H46" s="7">
        <v>317.94</v>
      </c>
      <c r="I46" s="7">
        <f>_B*F46+_C</f>
        <v>315.64360499450299</v>
      </c>
      <c r="J46" s="7">
        <f t="shared" si="1"/>
        <v>2.2963950054970041</v>
      </c>
      <c r="K46" s="7" cm="1">
        <f t="array" ref="K46">INDEX(Sm,G46)</f>
        <v>-2.6471136468108808E-2</v>
      </c>
      <c r="L46" s="7">
        <f t="shared" si="2"/>
        <v>315.61713385803489</v>
      </c>
      <c r="M46" s="7">
        <f t="shared" si="3"/>
        <v>2.3228661419651075</v>
      </c>
    </row>
    <row r="47" spans="6:13" ht="18.75" customHeight="1">
      <c r="F47" s="1">
        <v>22678</v>
      </c>
      <c r="G47">
        <f t="shared" si="0"/>
        <v>2</v>
      </c>
      <c r="H47" s="7">
        <v>318.55</v>
      </c>
      <c r="I47" s="7">
        <f>_B*F47+_C</f>
        <v>315.75598787611295</v>
      </c>
      <c r="J47" s="7">
        <f t="shared" si="1"/>
        <v>2.7940121238870574</v>
      </c>
      <c r="K47" s="7" cm="1">
        <f t="array" ref="K47">INDEX(Sm,G47)</f>
        <v>0.58733060283015548</v>
      </c>
      <c r="L47" s="7">
        <f t="shared" si="2"/>
        <v>316.3433184789431</v>
      </c>
      <c r="M47" s="7">
        <f t="shared" si="3"/>
        <v>2.2066815210569075</v>
      </c>
    </row>
    <row r="48" spans="6:13" ht="18.75" customHeight="1">
      <c r="F48" s="1">
        <v>22706</v>
      </c>
      <c r="G48">
        <f t="shared" si="0"/>
        <v>3</v>
      </c>
      <c r="H48" s="7">
        <v>319.68</v>
      </c>
      <c r="I48" s="7">
        <f>_B*F48+_C</f>
        <v>315.85749499498644</v>
      </c>
      <c r="J48" s="7">
        <f t="shared" si="1"/>
        <v>3.8225050050135678</v>
      </c>
      <c r="K48" s="7" cm="1">
        <f t="array" ref="K48">INDEX(Sm,G48)</f>
        <v>1.4390836132721692</v>
      </c>
      <c r="L48" s="7">
        <f t="shared" si="2"/>
        <v>317.29657860825859</v>
      </c>
      <c r="M48" s="7">
        <f t="shared" si="3"/>
        <v>2.3834213917414218</v>
      </c>
    </row>
    <row r="49" spans="6:13" ht="18.75" customHeight="1">
      <c r="F49" s="1">
        <v>22737</v>
      </c>
      <c r="G49">
        <f t="shared" si="0"/>
        <v>4</v>
      </c>
      <c r="H49" s="7">
        <v>320.57</v>
      </c>
      <c r="I49" s="7">
        <f>_B*F49+_C</f>
        <v>315.9698778765964</v>
      </c>
      <c r="J49" s="7">
        <f t="shared" si="1"/>
        <v>4.6001221234035938</v>
      </c>
      <c r="K49" s="7" cm="1">
        <f t="array" ref="K49">INDEX(Sm,G49)</f>
        <v>2.6009864459479211</v>
      </c>
      <c r="L49" s="7">
        <f t="shared" si="2"/>
        <v>318.57086432254431</v>
      </c>
      <c r="M49" s="7">
        <f t="shared" si="3"/>
        <v>1.9991356774556834</v>
      </c>
    </row>
    <row r="50" spans="6:13" ht="18.75" customHeight="1">
      <c r="F50" s="1">
        <v>22767</v>
      </c>
      <c r="G50">
        <f t="shared" si="0"/>
        <v>5</v>
      </c>
      <c r="H50" s="7">
        <v>321.02</v>
      </c>
      <c r="I50" s="7">
        <f>_B*F50+_C</f>
        <v>316.07863550396087</v>
      </c>
      <c r="J50" s="7">
        <f t="shared" si="1"/>
        <v>4.9413644960391139</v>
      </c>
      <c r="K50" s="7" cm="1">
        <f t="array" ref="K50">INDEX(Sm,G50)</f>
        <v>2.9998113917703657</v>
      </c>
      <c r="L50" s="7">
        <f t="shared" si="2"/>
        <v>319.07844689573125</v>
      </c>
      <c r="M50" s="7">
        <f t="shared" si="3"/>
        <v>1.9415531042687348</v>
      </c>
    </row>
    <row r="51" spans="6:13" ht="18.75" customHeight="1">
      <c r="F51" s="1">
        <v>22798</v>
      </c>
      <c r="G51">
        <f t="shared" si="0"/>
        <v>6</v>
      </c>
      <c r="H51" s="7">
        <v>320.62</v>
      </c>
      <c r="I51" s="7">
        <f>_B*F51+_C</f>
        <v>316.19101838557083</v>
      </c>
      <c r="J51" s="7">
        <f t="shared" si="1"/>
        <v>4.4289816144291763</v>
      </c>
      <c r="K51" s="7" cm="1">
        <f t="array" ref="K51">INDEX(Sm,G51)</f>
        <v>2.2382077892599441</v>
      </c>
      <c r="L51" s="7">
        <f t="shared" si="2"/>
        <v>318.42922617483077</v>
      </c>
      <c r="M51" s="7">
        <f t="shared" si="3"/>
        <v>2.1907738251692308</v>
      </c>
    </row>
    <row r="52" spans="6:13" ht="18.75" customHeight="1">
      <c r="F52" s="1">
        <v>22828</v>
      </c>
      <c r="G52">
        <f t="shared" si="0"/>
        <v>7</v>
      </c>
      <c r="H52" s="7">
        <v>319.61</v>
      </c>
      <c r="I52" s="7">
        <f>_B*F52+_C</f>
        <v>316.29977601293535</v>
      </c>
      <c r="J52" s="7">
        <f t="shared" si="1"/>
        <v>3.3102239870646599</v>
      </c>
      <c r="K52" s="7" cm="1">
        <f t="array" ref="K52">INDEX(Sm,G52)</f>
        <v>0.82390897803401641</v>
      </c>
      <c r="L52" s="7">
        <f t="shared" si="2"/>
        <v>317.12368499096937</v>
      </c>
      <c r="M52" s="7">
        <f t="shared" si="3"/>
        <v>2.4863150090306476</v>
      </c>
    </row>
    <row r="53" spans="6:13" ht="18.75" customHeight="1">
      <c r="F53" s="1">
        <v>22859</v>
      </c>
      <c r="G53">
        <f t="shared" si="0"/>
        <v>8</v>
      </c>
      <c r="H53" s="7">
        <v>317.39999999999998</v>
      </c>
      <c r="I53" s="7">
        <f>_B*F53+_C</f>
        <v>316.41215889454531</v>
      </c>
      <c r="J53" s="7">
        <f t="shared" si="1"/>
        <v>0.98784110545466319</v>
      </c>
      <c r="K53" s="7" cm="1">
        <f t="array" ref="K53">INDEX(Sm,G53)</f>
        <v>-1.2322834273854675</v>
      </c>
      <c r="L53" s="7">
        <f t="shared" si="2"/>
        <v>315.17987546715983</v>
      </c>
      <c r="M53" s="7">
        <f t="shared" si="3"/>
        <v>2.2201245328401455</v>
      </c>
    </row>
    <row r="54" spans="6:13" ht="18.75" customHeight="1">
      <c r="F54" s="1">
        <v>22890</v>
      </c>
      <c r="G54">
        <f t="shared" si="0"/>
        <v>9</v>
      </c>
      <c r="H54" s="7">
        <v>316.25</v>
      </c>
      <c r="I54" s="7">
        <f>_B*F54+_C</f>
        <v>316.52454177615527</v>
      </c>
      <c r="J54" s="7">
        <f t="shared" si="1"/>
        <v>-0.27454177615527442</v>
      </c>
      <c r="K54" s="7" cm="1">
        <f t="array" ref="K54">INDEX(Sm,G54)</f>
        <v>-3.0765710709001954</v>
      </c>
      <c r="L54" s="7">
        <f t="shared" si="2"/>
        <v>313.4479707052551</v>
      </c>
      <c r="M54" s="7">
        <f t="shared" si="3"/>
        <v>2.8020292947448979</v>
      </c>
    </row>
    <row r="55" spans="6:13" ht="18.75" customHeight="1">
      <c r="F55" s="1">
        <v>22920</v>
      </c>
      <c r="G55">
        <f t="shared" si="0"/>
        <v>10</v>
      </c>
      <c r="H55" s="7">
        <v>315.42</v>
      </c>
      <c r="I55" s="7">
        <f>_B*F55+_C</f>
        <v>316.63329940351974</v>
      </c>
      <c r="J55" s="7">
        <f t="shared" si="1"/>
        <v>-1.2132994035197271</v>
      </c>
      <c r="K55" s="7" cm="1">
        <f t="array" ref="K55">INDEX(Sm,G55)</f>
        <v>-3.3570000579572215</v>
      </c>
      <c r="L55" s="7">
        <f t="shared" si="2"/>
        <v>313.27629934556251</v>
      </c>
      <c r="M55" s="7">
        <f t="shared" si="3"/>
        <v>2.1437006544375095</v>
      </c>
    </row>
    <row r="56" spans="6:13" ht="18.75" customHeight="1">
      <c r="F56" s="1">
        <v>22951</v>
      </c>
      <c r="G56">
        <f t="shared" si="0"/>
        <v>11</v>
      </c>
      <c r="H56" s="7">
        <v>316.69</v>
      </c>
      <c r="I56" s="7">
        <f>_B*F56+_C</f>
        <v>316.7456822851297</v>
      </c>
      <c r="J56" s="7">
        <f t="shared" si="1"/>
        <v>-5.5682285129705633E-2</v>
      </c>
      <c r="K56" s="7" cm="1">
        <f t="array" ref="K56">INDEX(Sm,G56)</f>
        <v>-2.069140151303194</v>
      </c>
      <c r="L56" s="7">
        <f t="shared" si="2"/>
        <v>314.6765421338265</v>
      </c>
      <c r="M56" s="7">
        <f t="shared" si="3"/>
        <v>2.0134578661734963</v>
      </c>
    </row>
    <row r="57" spans="6:13" ht="18.75" customHeight="1">
      <c r="F57" s="1">
        <v>22981</v>
      </c>
      <c r="G57">
        <f t="shared" si="0"/>
        <v>12</v>
      </c>
      <c r="H57" s="7">
        <v>317.7</v>
      </c>
      <c r="I57" s="7">
        <f>_B*F57+_C</f>
        <v>316.85443991249417</v>
      </c>
      <c r="J57" s="7">
        <f t="shared" si="1"/>
        <v>0.84556008750581668</v>
      </c>
      <c r="K57" s="7" cm="1">
        <f t="array" ref="K57">INDEX(Sm,G57)</f>
        <v>-0.94051682628672428</v>
      </c>
      <c r="L57" s="7">
        <f t="shared" si="2"/>
        <v>315.91392308620743</v>
      </c>
      <c r="M57" s="7">
        <f t="shared" si="3"/>
        <v>1.7860769137925558</v>
      </c>
    </row>
    <row r="58" spans="6:13" ht="18.75" customHeight="1">
      <c r="F58" s="1">
        <v>23012</v>
      </c>
      <c r="G58">
        <f t="shared" si="0"/>
        <v>1</v>
      </c>
      <c r="H58" s="7">
        <v>318.74</v>
      </c>
      <c r="I58" s="7">
        <f>_B*F58+_C</f>
        <v>316.96682279410413</v>
      </c>
      <c r="J58" s="7">
        <f t="shared" si="1"/>
        <v>1.7731772058958768</v>
      </c>
      <c r="K58" s="7" cm="1">
        <f t="array" ref="K58">INDEX(Sm,G58)</f>
        <v>-2.6471136468108808E-2</v>
      </c>
      <c r="L58" s="7">
        <f t="shared" si="2"/>
        <v>316.94035165763603</v>
      </c>
      <c r="M58" s="7">
        <f t="shared" si="3"/>
        <v>1.7996483423639802</v>
      </c>
    </row>
    <row r="59" spans="6:13" ht="18.75" customHeight="1">
      <c r="F59" s="1">
        <v>23043</v>
      </c>
      <c r="G59">
        <f t="shared" si="0"/>
        <v>2</v>
      </c>
      <c r="H59" s="7">
        <v>319.07</v>
      </c>
      <c r="I59" s="7">
        <f>_B*F59+_C</f>
        <v>317.07920567571409</v>
      </c>
      <c r="J59" s="7">
        <f t="shared" si="1"/>
        <v>1.9907943242859005</v>
      </c>
      <c r="K59" s="7" cm="1">
        <f t="array" ref="K59">INDEX(Sm,G59)</f>
        <v>0.58733060283015548</v>
      </c>
      <c r="L59" s="7">
        <f t="shared" si="2"/>
        <v>317.66653627854424</v>
      </c>
      <c r="M59" s="7">
        <f t="shared" si="3"/>
        <v>1.4034637214557506</v>
      </c>
    </row>
    <row r="60" spans="6:13" ht="18.75" customHeight="1">
      <c r="F60" s="1">
        <v>23071</v>
      </c>
      <c r="G60">
        <f t="shared" si="0"/>
        <v>3</v>
      </c>
      <c r="H60" s="7">
        <v>319.86</v>
      </c>
      <c r="I60" s="7">
        <f>_B*F60+_C</f>
        <v>317.18071279458758</v>
      </c>
      <c r="J60" s="7">
        <f t="shared" si="1"/>
        <v>2.6792872054124359</v>
      </c>
      <c r="K60" s="7" cm="1">
        <f t="array" ref="K60">INDEX(Sm,G60)</f>
        <v>1.4390836132721692</v>
      </c>
      <c r="L60" s="7">
        <f t="shared" si="2"/>
        <v>318.61979640785972</v>
      </c>
      <c r="M60" s="7">
        <f t="shared" si="3"/>
        <v>1.2402035921402899</v>
      </c>
    </row>
    <row r="61" spans="6:13" ht="18.75" customHeight="1">
      <c r="F61" s="1">
        <v>23102</v>
      </c>
      <c r="G61">
        <f t="shared" si="0"/>
        <v>4</v>
      </c>
      <c r="H61" s="7">
        <v>321.38</v>
      </c>
      <c r="I61" s="7">
        <f>_B*F61+_C</f>
        <v>317.29309567619754</v>
      </c>
      <c r="J61" s="7">
        <f t="shared" si="1"/>
        <v>4.0869043238024574</v>
      </c>
      <c r="K61" s="7" cm="1">
        <f t="array" ref="K61">INDEX(Sm,G61)</f>
        <v>2.6009864459479211</v>
      </c>
      <c r="L61" s="7">
        <f t="shared" si="2"/>
        <v>319.89408212214545</v>
      </c>
      <c r="M61" s="7">
        <f t="shared" si="3"/>
        <v>1.485917877854547</v>
      </c>
    </row>
    <row r="62" spans="6:13" ht="18.75" customHeight="1">
      <c r="F62" s="1">
        <v>23132</v>
      </c>
      <c r="G62">
        <f t="shared" si="0"/>
        <v>5</v>
      </c>
      <c r="H62" s="7">
        <v>322.25</v>
      </c>
      <c r="I62" s="7">
        <f>_B*F62+_C</f>
        <v>317.40185330356201</v>
      </c>
      <c r="J62" s="7">
        <f t="shared" si="1"/>
        <v>4.8481466964379933</v>
      </c>
      <c r="K62" s="7" cm="1">
        <f t="array" ref="K62">INDEX(Sm,G62)</f>
        <v>2.9998113917703657</v>
      </c>
      <c r="L62" s="7">
        <f t="shared" si="2"/>
        <v>320.40166469533239</v>
      </c>
      <c r="M62" s="7">
        <f t="shared" si="3"/>
        <v>1.8483353046676143</v>
      </c>
    </row>
    <row r="63" spans="6:13" ht="18.75" customHeight="1">
      <c r="F63" s="1">
        <v>23163</v>
      </c>
      <c r="G63">
        <f t="shared" si="0"/>
        <v>6</v>
      </c>
      <c r="H63" s="7">
        <v>321.48</v>
      </c>
      <c r="I63" s="7">
        <f>_B*F63+_C</f>
        <v>317.51423618517197</v>
      </c>
      <c r="J63" s="7">
        <f t="shared" si="1"/>
        <v>3.9657638148280512</v>
      </c>
      <c r="K63" s="7" cm="1">
        <f t="array" ref="K63">INDEX(Sm,G63)</f>
        <v>2.2382077892599441</v>
      </c>
      <c r="L63" s="7">
        <f t="shared" si="2"/>
        <v>319.75244397443191</v>
      </c>
      <c r="M63" s="7">
        <f t="shared" si="3"/>
        <v>1.7275560255681057</v>
      </c>
    </row>
    <row r="64" spans="6:13" ht="18.75" customHeight="1">
      <c r="F64" s="1">
        <v>23193</v>
      </c>
      <c r="G64">
        <f t="shared" si="0"/>
        <v>7</v>
      </c>
      <c r="H64" s="7">
        <v>319.74</v>
      </c>
      <c r="I64" s="7">
        <f>_B*F64+_C</f>
        <v>317.62299381253649</v>
      </c>
      <c r="J64" s="7">
        <f t="shared" si="1"/>
        <v>2.1170061874635167</v>
      </c>
      <c r="K64" s="7" cm="1">
        <f t="array" ref="K64">INDEX(Sm,G64)</f>
        <v>0.82390897803401641</v>
      </c>
      <c r="L64" s="7">
        <f t="shared" si="2"/>
        <v>318.4469027905705</v>
      </c>
      <c r="M64" s="7">
        <f t="shared" si="3"/>
        <v>1.2930972094295043</v>
      </c>
    </row>
    <row r="65" spans="6:13" ht="18.75" customHeight="1">
      <c r="F65" s="1">
        <v>23224</v>
      </c>
      <c r="G65">
        <f t="shared" si="0"/>
        <v>8</v>
      </c>
      <c r="H65" s="7">
        <v>317.77</v>
      </c>
      <c r="I65" s="7">
        <f>_B*F65+_C</f>
        <v>317.73537669414645</v>
      </c>
      <c r="J65" s="7">
        <f t="shared" si="1"/>
        <v>3.4623305853529018E-2</v>
      </c>
      <c r="K65" s="7" cm="1">
        <f t="array" ref="K65">INDEX(Sm,G65)</f>
        <v>-1.2322834273854675</v>
      </c>
      <c r="L65" s="7">
        <f t="shared" si="2"/>
        <v>316.50309326676097</v>
      </c>
      <c r="M65" s="7">
        <f t="shared" si="3"/>
        <v>1.2669067332390114</v>
      </c>
    </row>
    <row r="66" spans="6:13" ht="18.75" customHeight="1">
      <c r="F66" s="1">
        <v>23255</v>
      </c>
      <c r="G66">
        <f t="shared" si="0"/>
        <v>9</v>
      </c>
      <c r="H66" s="7">
        <v>316.20999999999998</v>
      </c>
      <c r="I66" s="7">
        <f>_B*F66+_C</f>
        <v>317.84775957575641</v>
      </c>
      <c r="J66" s="7">
        <f t="shared" si="1"/>
        <v>-1.6377595757564336</v>
      </c>
      <c r="K66" s="7" cm="1">
        <f t="array" ref="K66">INDEX(Sm,G66)</f>
        <v>-3.0765710709001954</v>
      </c>
      <c r="L66" s="7">
        <f t="shared" si="2"/>
        <v>314.77118850485624</v>
      </c>
      <c r="M66" s="7">
        <f t="shared" si="3"/>
        <v>1.4388114951437387</v>
      </c>
    </row>
    <row r="67" spans="6:13" ht="18.75" customHeight="1">
      <c r="F67" s="1">
        <v>23285</v>
      </c>
      <c r="G67">
        <f t="shared" ref="G67:G130" si="5">MONTH(F67)</f>
        <v>10</v>
      </c>
      <c r="H67" s="7">
        <v>315.99</v>
      </c>
      <c r="I67" s="7">
        <f>_B*F67+_C</f>
        <v>317.95651720312088</v>
      </c>
      <c r="J67" s="7">
        <f t="shared" ref="J67:J130" si="6">H67-I67</f>
        <v>-1.9665172031208726</v>
      </c>
      <c r="K67" s="7" cm="1">
        <f t="array" ref="K67">INDEX(Sm,G67)</f>
        <v>-3.3570000579572215</v>
      </c>
      <c r="L67" s="7">
        <f t="shared" ref="L67:L130" si="7">I67+K67</f>
        <v>314.59951714516365</v>
      </c>
      <c r="M67" s="7">
        <f t="shared" ref="M67:M130" si="8">H67-L67</f>
        <v>1.3904828548363639</v>
      </c>
    </row>
    <row r="68" spans="6:13" ht="18.75" customHeight="1">
      <c r="F68" s="1">
        <v>23316</v>
      </c>
      <c r="G68">
        <f t="shared" si="5"/>
        <v>11</v>
      </c>
      <c r="H68" s="7">
        <v>317.07</v>
      </c>
      <c r="I68" s="7">
        <f>_B*F68+_C</f>
        <v>318.06890008473084</v>
      </c>
      <c r="J68" s="7">
        <f t="shared" si="6"/>
        <v>-0.9989000847308489</v>
      </c>
      <c r="K68" s="7" cm="1">
        <f t="array" ref="K68">INDEX(Sm,G68)</f>
        <v>-2.069140151303194</v>
      </c>
      <c r="L68" s="7">
        <f t="shared" si="7"/>
        <v>315.99975993342764</v>
      </c>
      <c r="M68" s="7">
        <f t="shared" si="8"/>
        <v>1.070240066572353</v>
      </c>
    </row>
    <row r="69" spans="6:13" ht="18.75" customHeight="1">
      <c r="F69" s="1">
        <v>23346</v>
      </c>
      <c r="G69">
        <f t="shared" si="5"/>
        <v>12</v>
      </c>
      <c r="H69" s="7">
        <v>318.35000000000002</v>
      </c>
      <c r="I69" s="7">
        <f>_B*F69+_C</f>
        <v>318.17765771209531</v>
      </c>
      <c r="J69" s="7">
        <f t="shared" si="6"/>
        <v>0.17234228790471207</v>
      </c>
      <c r="K69" s="7" cm="1">
        <f t="array" ref="K69">INDEX(Sm,G69)</f>
        <v>-0.94051682628672428</v>
      </c>
      <c r="L69" s="7">
        <f t="shared" si="7"/>
        <v>317.23714088580857</v>
      </c>
      <c r="M69" s="7">
        <f t="shared" si="8"/>
        <v>1.1128591141914512</v>
      </c>
    </row>
    <row r="70" spans="6:13" ht="18.75" customHeight="1">
      <c r="F70" s="1">
        <v>23377</v>
      </c>
      <c r="G70">
        <f t="shared" si="5"/>
        <v>1</v>
      </c>
      <c r="H70" s="7">
        <v>319.57</v>
      </c>
      <c r="I70" s="7">
        <f>_B*F70+_C</f>
        <v>318.29004059370527</v>
      </c>
      <c r="J70" s="7">
        <f t="shared" si="6"/>
        <v>1.2799594062947222</v>
      </c>
      <c r="K70" s="7" cm="1">
        <f t="array" ref="K70">INDEX(Sm,G70)</f>
        <v>-2.6471136468108808E-2</v>
      </c>
      <c r="L70" s="7">
        <f t="shared" si="7"/>
        <v>318.26356945723717</v>
      </c>
      <c r="M70" s="7">
        <f t="shared" si="8"/>
        <v>1.3064305427628256</v>
      </c>
    </row>
    <row r="71" spans="6:13" ht="18.75" customHeight="1">
      <c r="F71" s="1">
        <v>23498</v>
      </c>
      <c r="G71">
        <f t="shared" si="5"/>
        <v>5</v>
      </c>
      <c r="H71" s="7">
        <v>322.26</v>
      </c>
      <c r="I71" s="7">
        <f>_B*F71+_C</f>
        <v>318.72869635740864</v>
      </c>
      <c r="J71" s="7">
        <f t="shared" si="6"/>
        <v>3.5313036425913538</v>
      </c>
      <c r="K71" s="7" cm="1">
        <f t="array" ref="K71">INDEX(Sm,G71)</f>
        <v>2.9998113917703657</v>
      </c>
      <c r="L71" s="7">
        <f t="shared" si="7"/>
        <v>321.72850774917902</v>
      </c>
      <c r="M71" s="7">
        <f t="shared" si="8"/>
        <v>0.53149225082097473</v>
      </c>
    </row>
    <row r="72" spans="6:13" ht="18.75" customHeight="1">
      <c r="F72" s="1">
        <v>23529</v>
      </c>
      <c r="G72">
        <f t="shared" si="5"/>
        <v>6</v>
      </c>
      <c r="H72" s="7">
        <v>321.89</v>
      </c>
      <c r="I72" s="7">
        <f>_B*F72+_C</f>
        <v>318.8410792390186</v>
      </c>
      <c r="J72" s="7">
        <f t="shared" si="6"/>
        <v>3.0489207609813889</v>
      </c>
      <c r="K72" s="7" cm="1">
        <f t="array" ref="K72">INDEX(Sm,G72)</f>
        <v>2.2382077892599441</v>
      </c>
      <c r="L72" s="7">
        <f t="shared" si="7"/>
        <v>321.07928702827854</v>
      </c>
      <c r="M72" s="7">
        <f t="shared" si="8"/>
        <v>0.81071297172144341</v>
      </c>
    </row>
    <row r="73" spans="6:13" ht="18.75" customHeight="1">
      <c r="F73" s="1">
        <v>23559</v>
      </c>
      <c r="G73">
        <f t="shared" si="5"/>
        <v>7</v>
      </c>
      <c r="H73" s="7">
        <v>320.44</v>
      </c>
      <c r="I73" s="7">
        <f>_B*F73+_C</f>
        <v>318.94983686638307</v>
      </c>
      <c r="J73" s="7">
        <f t="shared" si="6"/>
        <v>1.4901631336169316</v>
      </c>
      <c r="K73" s="7" cm="1">
        <f t="array" ref="K73">INDEX(Sm,G73)</f>
        <v>0.82390897803401641</v>
      </c>
      <c r="L73" s="7">
        <f t="shared" si="7"/>
        <v>319.77374584441708</v>
      </c>
      <c r="M73" s="7">
        <f t="shared" si="8"/>
        <v>0.66625415558291934</v>
      </c>
    </row>
    <row r="74" spans="6:13" ht="18.75" customHeight="1">
      <c r="F74" s="1">
        <v>23590</v>
      </c>
      <c r="G74">
        <f t="shared" si="5"/>
        <v>8</v>
      </c>
      <c r="H74" s="7">
        <v>318.69</v>
      </c>
      <c r="I74" s="7">
        <f>_B*F74+_C</f>
        <v>319.06221974799303</v>
      </c>
      <c r="J74" s="7">
        <f t="shared" si="6"/>
        <v>-0.3722197479930287</v>
      </c>
      <c r="K74" s="7" cm="1">
        <f t="array" ref="K74">INDEX(Sm,G74)</f>
        <v>-1.2322834273854675</v>
      </c>
      <c r="L74" s="7">
        <f t="shared" si="7"/>
        <v>317.82993632060754</v>
      </c>
      <c r="M74" s="7">
        <f t="shared" si="8"/>
        <v>0.86006367939245365</v>
      </c>
    </row>
    <row r="75" spans="6:13" ht="18.75" customHeight="1">
      <c r="F75" s="1">
        <v>23621</v>
      </c>
      <c r="G75">
        <f t="shared" si="5"/>
        <v>9</v>
      </c>
      <c r="H75" s="7">
        <v>316.7</v>
      </c>
      <c r="I75" s="7">
        <f>_B*F75+_C</f>
        <v>319.17460262960299</v>
      </c>
      <c r="J75" s="7">
        <f t="shared" si="6"/>
        <v>-2.4746026296029981</v>
      </c>
      <c r="K75" s="7" cm="1">
        <f t="array" ref="K75">INDEX(Sm,G75)</f>
        <v>-3.0765710709001954</v>
      </c>
      <c r="L75" s="7">
        <f t="shared" si="7"/>
        <v>316.09803155870281</v>
      </c>
      <c r="M75" s="7">
        <f t="shared" si="8"/>
        <v>0.60196844129717419</v>
      </c>
    </row>
    <row r="76" spans="6:13" ht="18.75" customHeight="1">
      <c r="F76" s="1">
        <v>23651</v>
      </c>
      <c r="G76">
        <f t="shared" si="5"/>
        <v>10</v>
      </c>
      <c r="H76" s="7">
        <v>316.87</v>
      </c>
      <c r="I76" s="7">
        <f>_B*F76+_C</f>
        <v>319.28336025696751</v>
      </c>
      <c r="J76" s="7">
        <f t="shared" si="6"/>
        <v>-2.4133602569675077</v>
      </c>
      <c r="K76" s="7" cm="1">
        <f t="array" ref="K76">INDEX(Sm,G76)</f>
        <v>-3.3570000579572215</v>
      </c>
      <c r="L76" s="7">
        <f t="shared" si="7"/>
        <v>315.92636019901028</v>
      </c>
      <c r="M76" s="7">
        <f t="shared" si="8"/>
        <v>0.94363980098972888</v>
      </c>
    </row>
    <row r="77" spans="6:13" ht="18.75" customHeight="1">
      <c r="F77" s="1">
        <v>23682</v>
      </c>
      <c r="G77">
        <f t="shared" si="5"/>
        <v>11</v>
      </c>
      <c r="H77" s="7">
        <v>317.68</v>
      </c>
      <c r="I77" s="7">
        <f>_B*F77+_C</f>
        <v>319.39574313857747</v>
      </c>
      <c r="J77" s="7">
        <f t="shared" si="6"/>
        <v>-1.7157431385774657</v>
      </c>
      <c r="K77" s="7" cm="1">
        <f t="array" ref="K77">INDEX(Sm,G77)</f>
        <v>-2.069140151303194</v>
      </c>
      <c r="L77" s="7">
        <f t="shared" si="7"/>
        <v>317.32660298727427</v>
      </c>
      <c r="M77" s="7">
        <f t="shared" si="8"/>
        <v>0.3533970127257362</v>
      </c>
    </row>
    <row r="78" spans="6:13" ht="18.75" customHeight="1">
      <c r="F78" s="1">
        <v>23712</v>
      </c>
      <c r="G78">
        <f t="shared" si="5"/>
        <v>12</v>
      </c>
      <c r="H78" s="7">
        <v>318.70999999999998</v>
      </c>
      <c r="I78" s="7">
        <f>_B*F78+_C</f>
        <v>319.50450076594194</v>
      </c>
      <c r="J78" s="7">
        <f t="shared" si="6"/>
        <v>-0.79450076594196162</v>
      </c>
      <c r="K78" s="7" cm="1">
        <f t="array" ref="K78">INDEX(Sm,G78)</f>
        <v>-0.94051682628672428</v>
      </c>
      <c r="L78" s="7">
        <f t="shared" si="7"/>
        <v>318.5639839396552</v>
      </c>
      <c r="M78" s="7">
        <f t="shared" si="8"/>
        <v>0.14601606034477754</v>
      </c>
    </row>
    <row r="79" spans="6:13" ht="18.75" customHeight="1">
      <c r="F79" s="1">
        <v>23743</v>
      </c>
      <c r="G79">
        <f t="shared" si="5"/>
        <v>1</v>
      </c>
      <c r="H79" s="7">
        <v>319.44</v>
      </c>
      <c r="I79" s="7">
        <f>_B*F79+_C</f>
        <v>319.6168836475519</v>
      </c>
      <c r="J79" s="7">
        <f t="shared" si="6"/>
        <v>-0.17688364755190378</v>
      </c>
      <c r="K79" s="7" cm="1">
        <f t="array" ref="K79">INDEX(Sm,G79)</f>
        <v>-2.6471136468108808E-2</v>
      </c>
      <c r="L79" s="7">
        <f t="shared" si="7"/>
        <v>319.5904125110838</v>
      </c>
      <c r="M79" s="7">
        <f t="shared" si="8"/>
        <v>-0.15041251108380038</v>
      </c>
    </row>
    <row r="80" spans="6:13" ht="18.75" customHeight="1">
      <c r="F80" s="1">
        <v>23774</v>
      </c>
      <c r="G80">
        <f t="shared" si="5"/>
        <v>2</v>
      </c>
      <c r="H80" s="7">
        <v>320.44</v>
      </c>
      <c r="I80" s="7">
        <f>_B*F80+_C</f>
        <v>319.72926652916186</v>
      </c>
      <c r="J80" s="7">
        <f t="shared" si="6"/>
        <v>0.71073347083813587</v>
      </c>
      <c r="K80" s="7" cm="1">
        <f t="array" ref="K80">INDEX(Sm,G80)</f>
        <v>0.58733060283015548</v>
      </c>
      <c r="L80" s="7">
        <f t="shared" si="7"/>
        <v>320.31659713199201</v>
      </c>
      <c r="M80" s="7">
        <f t="shared" si="8"/>
        <v>0.12340286800798594</v>
      </c>
    </row>
    <row r="81" spans="6:13" ht="18.75" customHeight="1">
      <c r="F81" s="1">
        <v>23802</v>
      </c>
      <c r="G81">
        <f t="shared" si="5"/>
        <v>3</v>
      </c>
      <c r="H81" s="7">
        <v>320.89</v>
      </c>
      <c r="I81" s="7">
        <f>_B*F81+_C</f>
        <v>319.83077364803535</v>
      </c>
      <c r="J81" s="7">
        <f t="shared" si="6"/>
        <v>1.0592263519646394</v>
      </c>
      <c r="K81" s="7" cm="1">
        <f t="array" ref="K81">INDEX(Sm,G81)</f>
        <v>1.4390836132721692</v>
      </c>
      <c r="L81" s="7">
        <f t="shared" si="7"/>
        <v>321.26985726130749</v>
      </c>
      <c r="M81" s="7">
        <f t="shared" si="8"/>
        <v>-0.37985726130750663</v>
      </c>
    </row>
    <row r="82" spans="6:13" ht="18.75" customHeight="1">
      <c r="F82" s="1">
        <v>23833</v>
      </c>
      <c r="G82">
        <f t="shared" si="5"/>
        <v>4</v>
      </c>
      <c r="H82" s="7">
        <v>322.14</v>
      </c>
      <c r="I82" s="7">
        <f>_B*F82+_C</f>
        <v>319.94315652964531</v>
      </c>
      <c r="J82" s="7">
        <f t="shared" si="6"/>
        <v>2.1968434703546791</v>
      </c>
      <c r="K82" s="7" cm="1">
        <f t="array" ref="K82">INDEX(Sm,G82)</f>
        <v>2.6009864459479211</v>
      </c>
      <c r="L82" s="7">
        <f t="shared" si="7"/>
        <v>322.54414297559322</v>
      </c>
      <c r="M82" s="7">
        <f t="shared" si="8"/>
        <v>-0.40414297559323131</v>
      </c>
    </row>
    <row r="83" spans="6:13" ht="18.75" customHeight="1">
      <c r="F83" s="1">
        <v>23863</v>
      </c>
      <c r="G83">
        <f t="shared" si="5"/>
        <v>5</v>
      </c>
      <c r="H83" s="7">
        <v>322.17</v>
      </c>
      <c r="I83" s="7">
        <f>_B*F83+_C</f>
        <v>320.05191415700983</v>
      </c>
      <c r="J83" s="7">
        <f t="shared" si="6"/>
        <v>2.1180858429901832</v>
      </c>
      <c r="K83" s="7" cm="1">
        <f t="array" ref="K83">INDEX(Sm,G83)</f>
        <v>2.9998113917703657</v>
      </c>
      <c r="L83" s="7">
        <f t="shared" si="7"/>
        <v>323.05172554878021</v>
      </c>
      <c r="M83" s="7">
        <f t="shared" si="8"/>
        <v>-0.88172554878019582</v>
      </c>
    </row>
    <row r="84" spans="6:13" ht="18.75" customHeight="1">
      <c r="F84" s="1">
        <v>23894</v>
      </c>
      <c r="G84">
        <f t="shared" si="5"/>
        <v>6</v>
      </c>
      <c r="H84" s="7">
        <v>321.87</v>
      </c>
      <c r="I84" s="7">
        <f>_B*F84+_C</f>
        <v>320.16429703861974</v>
      </c>
      <c r="J84" s="7">
        <f t="shared" si="6"/>
        <v>1.7057029613802683</v>
      </c>
      <c r="K84" s="7" cm="1">
        <f t="array" ref="K84">INDEX(Sm,G84)</f>
        <v>2.2382077892599441</v>
      </c>
      <c r="L84" s="7">
        <f t="shared" si="7"/>
        <v>322.40250482787968</v>
      </c>
      <c r="M84" s="7">
        <f t="shared" si="8"/>
        <v>-0.53250482787967712</v>
      </c>
    </row>
    <row r="85" spans="6:13" ht="18.75" customHeight="1">
      <c r="F85" s="1">
        <v>23924</v>
      </c>
      <c r="G85">
        <f t="shared" si="5"/>
        <v>7</v>
      </c>
      <c r="H85" s="7">
        <v>321.20999999999998</v>
      </c>
      <c r="I85" s="7">
        <f>_B*F85+_C</f>
        <v>320.2730546659842</v>
      </c>
      <c r="J85" s="7">
        <f t="shared" si="6"/>
        <v>0.93694533401577473</v>
      </c>
      <c r="K85" s="7" cm="1">
        <f t="array" ref="K85">INDEX(Sm,G85)</f>
        <v>0.82390897803401641</v>
      </c>
      <c r="L85" s="7">
        <f t="shared" si="7"/>
        <v>321.09696364401822</v>
      </c>
      <c r="M85" s="7">
        <f t="shared" si="8"/>
        <v>0.11303635598176243</v>
      </c>
    </row>
    <row r="86" spans="6:13" ht="18.75" customHeight="1">
      <c r="F86" s="1">
        <v>23955</v>
      </c>
      <c r="G86">
        <f t="shared" si="5"/>
        <v>8</v>
      </c>
      <c r="H86" s="7">
        <v>318.87</v>
      </c>
      <c r="I86" s="7">
        <f>_B*F86+_C</f>
        <v>320.38543754759417</v>
      </c>
      <c r="J86" s="7">
        <f t="shared" si="6"/>
        <v>-1.5154375475941606</v>
      </c>
      <c r="K86" s="7" cm="1">
        <f t="array" ref="K86">INDEX(Sm,G86)</f>
        <v>-1.2322834273854675</v>
      </c>
      <c r="L86" s="7">
        <f t="shared" si="7"/>
        <v>319.15315412020868</v>
      </c>
      <c r="M86" s="7">
        <f t="shared" si="8"/>
        <v>-0.28315412020867825</v>
      </c>
    </row>
    <row r="87" spans="6:13" ht="18.75" customHeight="1">
      <c r="F87" s="1">
        <v>23986</v>
      </c>
      <c r="G87">
        <f t="shared" si="5"/>
        <v>9</v>
      </c>
      <c r="H87" s="7">
        <v>317.81</v>
      </c>
      <c r="I87" s="7">
        <f>_B*F87+_C</f>
        <v>320.49782042920413</v>
      </c>
      <c r="J87" s="7">
        <f t="shared" si="6"/>
        <v>-2.6878204292041232</v>
      </c>
      <c r="K87" s="7" cm="1">
        <f t="array" ref="K87">INDEX(Sm,G87)</f>
        <v>-3.0765710709001954</v>
      </c>
      <c r="L87" s="7">
        <f t="shared" si="7"/>
        <v>317.42124935830395</v>
      </c>
      <c r="M87" s="7">
        <f t="shared" si="8"/>
        <v>0.38875064169604912</v>
      </c>
    </row>
    <row r="88" spans="6:13" ht="18.75" customHeight="1">
      <c r="F88" s="1">
        <v>24016</v>
      </c>
      <c r="G88">
        <f t="shared" si="5"/>
        <v>10</v>
      </c>
      <c r="H88" s="7">
        <v>317.3</v>
      </c>
      <c r="I88" s="7">
        <f>_B*F88+_C</f>
        <v>320.60657805656865</v>
      </c>
      <c r="J88" s="7">
        <f t="shared" si="6"/>
        <v>-3.3065780565686396</v>
      </c>
      <c r="K88" s="7" cm="1">
        <f t="array" ref="K88">INDEX(Sm,G88)</f>
        <v>-3.3570000579572215</v>
      </c>
      <c r="L88" s="7">
        <f t="shared" si="7"/>
        <v>317.24957799861141</v>
      </c>
      <c r="M88" s="7">
        <f t="shared" si="8"/>
        <v>5.0422001388596982E-2</v>
      </c>
    </row>
    <row r="89" spans="6:13" ht="18.75" customHeight="1">
      <c r="F89" s="1">
        <v>24047</v>
      </c>
      <c r="G89">
        <f t="shared" si="5"/>
        <v>11</v>
      </c>
      <c r="H89" s="7">
        <v>318.87</v>
      </c>
      <c r="I89" s="7">
        <f>_B*F89+_C</f>
        <v>320.71896093817861</v>
      </c>
      <c r="J89" s="7">
        <f t="shared" si="6"/>
        <v>-1.8489609381786067</v>
      </c>
      <c r="K89" s="7" cm="1">
        <f t="array" ref="K89">INDEX(Sm,G89)</f>
        <v>-2.069140151303194</v>
      </c>
      <c r="L89" s="7">
        <f t="shared" si="7"/>
        <v>318.64982078687541</v>
      </c>
      <c r="M89" s="7">
        <f t="shared" si="8"/>
        <v>0.22017921312459521</v>
      </c>
    </row>
    <row r="90" spans="6:13" ht="18.75" customHeight="1">
      <c r="F90" s="1">
        <v>24077</v>
      </c>
      <c r="G90">
        <f t="shared" si="5"/>
        <v>12</v>
      </c>
      <c r="H90" s="7">
        <v>319.42</v>
      </c>
      <c r="I90" s="7">
        <f>_B*F90+_C</f>
        <v>320.82771856554308</v>
      </c>
      <c r="J90" s="7">
        <f t="shared" si="6"/>
        <v>-1.407718565543064</v>
      </c>
      <c r="K90" s="7" cm="1">
        <f t="array" ref="K90">INDEX(Sm,G90)</f>
        <v>-0.94051682628672428</v>
      </c>
      <c r="L90" s="7">
        <f t="shared" si="7"/>
        <v>319.88720173925634</v>
      </c>
      <c r="M90" s="7">
        <f t="shared" si="8"/>
        <v>-0.4672017392563248</v>
      </c>
    </row>
    <row r="91" spans="6:13" ht="18.75" customHeight="1">
      <c r="F91" s="1">
        <v>24108</v>
      </c>
      <c r="G91">
        <f t="shared" si="5"/>
        <v>1</v>
      </c>
      <c r="H91" s="7">
        <v>320.62</v>
      </c>
      <c r="I91" s="7">
        <f>_B*F91+_C</f>
        <v>320.94010144715304</v>
      </c>
      <c r="J91" s="7">
        <f t="shared" si="6"/>
        <v>-0.32010144715303568</v>
      </c>
      <c r="K91" s="7" cm="1">
        <f t="array" ref="K91">INDEX(Sm,G91)</f>
        <v>-2.6471136468108808E-2</v>
      </c>
      <c r="L91" s="7">
        <f t="shared" si="7"/>
        <v>320.91363031068494</v>
      </c>
      <c r="M91" s="7">
        <f t="shared" si="8"/>
        <v>-0.29363031068493228</v>
      </c>
    </row>
    <row r="92" spans="6:13" ht="18.75" customHeight="1">
      <c r="F92" s="1">
        <v>24139</v>
      </c>
      <c r="G92">
        <f t="shared" si="5"/>
        <v>2</v>
      </c>
      <c r="H92" s="7">
        <v>321.60000000000002</v>
      </c>
      <c r="I92" s="7">
        <f>_B*F92+_C</f>
        <v>321.052484328763</v>
      </c>
      <c r="J92" s="7">
        <f t="shared" si="6"/>
        <v>0.54751567123702216</v>
      </c>
      <c r="K92" s="7" cm="1">
        <f t="array" ref="K92">INDEX(Sm,G92)</f>
        <v>0.58733060283015548</v>
      </c>
      <c r="L92" s="7">
        <f t="shared" si="7"/>
        <v>321.63981493159315</v>
      </c>
      <c r="M92" s="7">
        <f t="shared" si="8"/>
        <v>-3.9814931593127767E-2</v>
      </c>
    </row>
    <row r="93" spans="6:13" ht="18.75" customHeight="1">
      <c r="F93" s="1">
        <v>24167</v>
      </c>
      <c r="G93">
        <f t="shared" si="5"/>
        <v>3</v>
      </c>
      <c r="H93" s="7">
        <v>322.39</v>
      </c>
      <c r="I93" s="7">
        <f>_B*F93+_C</f>
        <v>321.15399144763649</v>
      </c>
      <c r="J93" s="7">
        <f t="shared" si="6"/>
        <v>1.2360085523635007</v>
      </c>
      <c r="K93" s="7" cm="1">
        <f t="array" ref="K93">INDEX(Sm,G93)</f>
        <v>1.4390836132721692</v>
      </c>
      <c r="L93" s="7">
        <f t="shared" si="7"/>
        <v>322.59307506090863</v>
      </c>
      <c r="M93" s="7">
        <f t="shared" si="8"/>
        <v>-0.20307506090864536</v>
      </c>
    </row>
    <row r="94" spans="6:13" ht="18.75" customHeight="1">
      <c r="F94" s="1">
        <v>24198</v>
      </c>
      <c r="G94">
        <f t="shared" si="5"/>
        <v>4</v>
      </c>
      <c r="H94" s="7">
        <v>323.7</v>
      </c>
      <c r="I94" s="7">
        <f>_B*F94+_C</f>
        <v>321.26637432924645</v>
      </c>
      <c r="J94" s="7">
        <f t="shared" si="6"/>
        <v>2.4336256707535426</v>
      </c>
      <c r="K94" s="7" cm="1">
        <f t="array" ref="K94">INDEX(Sm,G94)</f>
        <v>2.6009864459479211</v>
      </c>
      <c r="L94" s="7">
        <f t="shared" si="7"/>
        <v>323.86736077519436</v>
      </c>
      <c r="M94" s="7">
        <f t="shared" si="8"/>
        <v>-0.16736077519436776</v>
      </c>
    </row>
    <row r="95" spans="6:13" ht="18.75" customHeight="1">
      <c r="F95" s="1">
        <v>24228</v>
      </c>
      <c r="G95">
        <f t="shared" si="5"/>
        <v>5</v>
      </c>
      <c r="H95" s="7">
        <v>324.08</v>
      </c>
      <c r="I95" s="7">
        <f>_B*F95+_C</f>
        <v>321.37513195661097</v>
      </c>
      <c r="J95" s="7">
        <f t="shared" si="6"/>
        <v>2.7048680433890127</v>
      </c>
      <c r="K95" s="7" cm="1">
        <f t="array" ref="K95">INDEX(Sm,G95)</f>
        <v>2.9998113917703657</v>
      </c>
      <c r="L95" s="7">
        <f t="shared" si="7"/>
        <v>324.37494334838135</v>
      </c>
      <c r="M95" s="7">
        <f t="shared" si="8"/>
        <v>-0.29494334838136638</v>
      </c>
    </row>
    <row r="96" spans="6:13" ht="18.75" customHeight="1">
      <c r="F96" s="1">
        <v>24259</v>
      </c>
      <c r="G96">
        <f t="shared" si="5"/>
        <v>6</v>
      </c>
      <c r="H96" s="7">
        <v>323.75</v>
      </c>
      <c r="I96" s="7">
        <f>_B*F96+_C</f>
        <v>321.48751483822093</v>
      </c>
      <c r="J96" s="7">
        <f t="shared" si="6"/>
        <v>2.2624851617790682</v>
      </c>
      <c r="K96" s="7" cm="1">
        <f t="array" ref="K96">INDEX(Sm,G96)</f>
        <v>2.2382077892599441</v>
      </c>
      <c r="L96" s="7">
        <f t="shared" si="7"/>
        <v>323.72572262748088</v>
      </c>
      <c r="M96" s="7">
        <f t="shared" si="8"/>
        <v>2.4277372519122764E-2</v>
      </c>
    </row>
    <row r="97" spans="6:13" ht="18.75" customHeight="1">
      <c r="F97" s="1">
        <v>24289</v>
      </c>
      <c r="G97">
        <f t="shared" si="5"/>
        <v>7</v>
      </c>
      <c r="H97" s="7">
        <v>322.38</v>
      </c>
      <c r="I97" s="7">
        <f>_B*F97+_C</f>
        <v>321.59627246558534</v>
      </c>
      <c r="J97" s="7">
        <f t="shared" si="6"/>
        <v>0.78372753441465193</v>
      </c>
      <c r="K97" s="7" cm="1">
        <f t="array" ref="K97">INDEX(Sm,G97)</f>
        <v>0.82390897803401641</v>
      </c>
      <c r="L97" s="7">
        <f t="shared" si="7"/>
        <v>322.42018144361936</v>
      </c>
      <c r="M97" s="7">
        <f t="shared" si="8"/>
        <v>-4.018144361936038E-2</v>
      </c>
    </row>
    <row r="98" spans="6:13" ht="18.75" customHeight="1">
      <c r="F98" s="1">
        <v>24320</v>
      </c>
      <c r="G98">
        <f t="shared" si="5"/>
        <v>8</v>
      </c>
      <c r="H98" s="7">
        <v>320.36</v>
      </c>
      <c r="I98" s="7">
        <f>_B*F98+_C</f>
        <v>321.7086553471953</v>
      </c>
      <c r="J98" s="7">
        <f t="shared" si="6"/>
        <v>-1.3486553471952902</v>
      </c>
      <c r="K98" s="7" cm="1">
        <f t="array" ref="K98">INDEX(Sm,G98)</f>
        <v>-1.2322834273854675</v>
      </c>
      <c r="L98" s="7">
        <f t="shared" si="7"/>
        <v>320.47637191980982</v>
      </c>
      <c r="M98" s="7">
        <f t="shared" si="8"/>
        <v>-0.11637191980980788</v>
      </c>
    </row>
    <row r="99" spans="6:13" ht="18.75" customHeight="1">
      <c r="F99" s="1">
        <v>24351</v>
      </c>
      <c r="G99">
        <f t="shared" si="5"/>
        <v>9</v>
      </c>
      <c r="H99" s="7">
        <v>318.64</v>
      </c>
      <c r="I99" s="7">
        <f>_B*F99+_C</f>
        <v>321.82103822880526</v>
      </c>
      <c r="J99" s="7">
        <f t="shared" si="6"/>
        <v>-3.1810382288052779</v>
      </c>
      <c r="K99" s="7" cm="1">
        <f t="array" ref="K99">INDEX(Sm,G99)</f>
        <v>-3.0765710709001954</v>
      </c>
      <c r="L99" s="7">
        <f t="shared" si="7"/>
        <v>318.74446715790509</v>
      </c>
      <c r="M99" s="7">
        <f t="shared" si="8"/>
        <v>-0.10446715790510552</v>
      </c>
    </row>
    <row r="100" spans="6:13" ht="18.75" customHeight="1">
      <c r="F100" s="1">
        <v>24381</v>
      </c>
      <c r="G100">
        <f t="shared" si="5"/>
        <v>10</v>
      </c>
      <c r="H100" s="7">
        <v>318.10000000000002</v>
      </c>
      <c r="I100" s="7">
        <f>_B*F100+_C</f>
        <v>321.92979585616979</v>
      </c>
      <c r="J100" s="7">
        <f t="shared" si="6"/>
        <v>-3.8297958561697669</v>
      </c>
      <c r="K100" s="7" cm="1">
        <f t="array" ref="K100">INDEX(Sm,G100)</f>
        <v>-3.3570000579572215</v>
      </c>
      <c r="L100" s="7">
        <f t="shared" si="7"/>
        <v>318.57279579821255</v>
      </c>
      <c r="M100" s="7">
        <f t="shared" si="8"/>
        <v>-0.47279579821253037</v>
      </c>
    </row>
    <row r="101" spans="6:13" ht="18.75" customHeight="1">
      <c r="F101" s="1">
        <v>24412</v>
      </c>
      <c r="G101">
        <f t="shared" si="5"/>
        <v>11</v>
      </c>
      <c r="H101" s="7">
        <v>319.77999999999997</v>
      </c>
      <c r="I101" s="7">
        <f>_B*F101+_C</f>
        <v>322.04217873777975</v>
      </c>
      <c r="J101" s="7">
        <f t="shared" si="6"/>
        <v>-2.2621787377797773</v>
      </c>
      <c r="K101" s="7" cm="1">
        <f t="array" ref="K101">INDEX(Sm,G101)</f>
        <v>-2.069140151303194</v>
      </c>
      <c r="L101" s="7">
        <f t="shared" si="7"/>
        <v>319.97303858647655</v>
      </c>
      <c r="M101" s="7">
        <f t="shared" si="8"/>
        <v>-0.19303858647657535</v>
      </c>
    </row>
    <row r="102" spans="6:13" ht="18.75" customHeight="1">
      <c r="F102" s="1">
        <v>24442</v>
      </c>
      <c r="G102">
        <f t="shared" si="5"/>
        <v>12</v>
      </c>
      <c r="H102" s="7">
        <v>321.02999999999997</v>
      </c>
      <c r="I102" s="7">
        <f>_B*F102+_C</f>
        <v>322.15093636514422</v>
      </c>
      <c r="J102" s="7">
        <f t="shared" si="6"/>
        <v>-1.1209363651442459</v>
      </c>
      <c r="K102" s="7" cm="1">
        <f t="array" ref="K102">INDEX(Sm,G102)</f>
        <v>-0.94051682628672428</v>
      </c>
      <c r="L102" s="7">
        <f t="shared" si="7"/>
        <v>321.21041953885748</v>
      </c>
      <c r="M102" s="7">
        <f t="shared" si="8"/>
        <v>-0.18041953885750672</v>
      </c>
    </row>
    <row r="103" spans="6:13" ht="18.75" customHeight="1">
      <c r="F103" s="1">
        <v>24473</v>
      </c>
      <c r="G103">
        <f t="shared" si="5"/>
        <v>1</v>
      </c>
      <c r="H103" s="7">
        <v>322.33</v>
      </c>
      <c r="I103" s="7">
        <f>_B*F103+_C</f>
        <v>322.26331924675418</v>
      </c>
      <c r="J103" s="7">
        <f t="shared" si="6"/>
        <v>6.6680753245805136E-2</v>
      </c>
      <c r="K103" s="7" cm="1">
        <f t="array" ref="K103">INDEX(Sm,G103)</f>
        <v>-2.6471136468108808E-2</v>
      </c>
      <c r="L103" s="7">
        <f t="shared" si="7"/>
        <v>322.23684811028608</v>
      </c>
      <c r="M103" s="7">
        <f t="shared" si="8"/>
        <v>9.3151889713908531E-2</v>
      </c>
    </row>
    <row r="104" spans="6:13" ht="18.75" customHeight="1">
      <c r="F104" s="1">
        <v>24504</v>
      </c>
      <c r="G104">
        <f t="shared" si="5"/>
        <v>2</v>
      </c>
      <c r="H104" s="7">
        <v>322.5</v>
      </c>
      <c r="I104" s="7">
        <f>_B*F104+_C</f>
        <v>322.37570212836414</v>
      </c>
      <c r="J104" s="7">
        <f t="shared" si="6"/>
        <v>0.1242978716358607</v>
      </c>
      <c r="K104" s="7" cm="1">
        <f t="array" ref="K104">INDEX(Sm,G104)</f>
        <v>0.58733060283015548</v>
      </c>
      <c r="L104" s="7">
        <f t="shared" si="7"/>
        <v>322.96303273119429</v>
      </c>
      <c r="M104" s="7">
        <f t="shared" si="8"/>
        <v>-0.46303273119428923</v>
      </c>
    </row>
    <row r="105" spans="6:13" ht="18.75" customHeight="1">
      <c r="F105" s="1">
        <v>24532</v>
      </c>
      <c r="G105">
        <f t="shared" si="5"/>
        <v>3</v>
      </c>
      <c r="H105" s="7">
        <v>323.04000000000002</v>
      </c>
      <c r="I105" s="7">
        <f>_B*F105+_C</f>
        <v>322.47720924723762</v>
      </c>
      <c r="J105" s="7">
        <f t="shared" si="6"/>
        <v>0.5627907527623961</v>
      </c>
      <c r="K105" s="7" cm="1">
        <f t="array" ref="K105">INDEX(Sm,G105)</f>
        <v>1.4390836132721692</v>
      </c>
      <c r="L105" s="7">
        <f t="shared" si="7"/>
        <v>323.91629286050977</v>
      </c>
      <c r="M105" s="7">
        <f t="shared" si="8"/>
        <v>-0.87629286050974997</v>
      </c>
    </row>
    <row r="106" spans="6:13" ht="18.75" customHeight="1">
      <c r="F106" s="1">
        <v>24563</v>
      </c>
      <c r="G106">
        <f t="shared" si="5"/>
        <v>4</v>
      </c>
      <c r="H106" s="7">
        <v>324.42</v>
      </c>
      <c r="I106" s="7">
        <f>_B*F106+_C</f>
        <v>322.58959212884758</v>
      </c>
      <c r="J106" s="7">
        <f t="shared" si="6"/>
        <v>1.8304078711524312</v>
      </c>
      <c r="K106" s="7" cm="1">
        <f t="array" ref="K106">INDEX(Sm,G106)</f>
        <v>2.6009864459479211</v>
      </c>
      <c r="L106" s="7">
        <f t="shared" si="7"/>
        <v>325.1905785747955</v>
      </c>
      <c r="M106" s="7">
        <f t="shared" si="8"/>
        <v>-0.7705785747954792</v>
      </c>
    </row>
    <row r="107" spans="6:13" ht="18.75" customHeight="1">
      <c r="F107" s="1">
        <v>24593</v>
      </c>
      <c r="G107">
        <f t="shared" si="5"/>
        <v>5</v>
      </c>
      <c r="H107" s="7">
        <v>325</v>
      </c>
      <c r="I107" s="7">
        <f>_B*F107+_C</f>
        <v>322.69834975621211</v>
      </c>
      <c r="J107" s="7">
        <f t="shared" si="6"/>
        <v>2.3016502437878898</v>
      </c>
      <c r="K107" s="7" cm="1">
        <f t="array" ref="K107">INDEX(Sm,G107)</f>
        <v>2.9998113917703657</v>
      </c>
      <c r="L107" s="7">
        <f t="shared" si="7"/>
        <v>325.69816114798249</v>
      </c>
      <c r="M107" s="7">
        <f t="shared" si="8"/>
        <v>-0.69816114798248918</v>
      </c>
    </row>
    <row r="108" spans="6:13" ht="18.75" customHeight="1">
      <c r="F108" s="1">
        <v>24624</v>
      </c>
      <c r="G108">
        <f t="shared" si="5"/>
        <v>6</v>
      </c>
      <c r="H108" s="7">
        <v>324.08999999999997</v>
      </c>
      <c r="I108" s="7">
        <f>_B*F108+_C</f>
        <v>322.81073263782207</v>
      </c>
      <c r="J108" s="7">
        <f t="shared" si="6"/>
        <v>1.2792673621779045</v>
      </c>
      <c r="K108" s="7" cm="1">
        <f t="array" ref="K108">INDEX(Sm,G108)</f>
        <v>2.2382077892599441</v>
      </c>
      <c r="L108" s="7">
        <f t="shared" si="7"/>
        <v>325.04894042708202</v>
      </c>
      <c r="M108" s="7">
        <f t="shared" si="8"/>
        <v>-0.95894042708204097</v>
      </c>
    </row>
    <row r="109" spans="6:13" ht="18.75" customHeight="1">
      <c r="F109" s="1">
        <v>24654</v>
      </c>
      <c r="G109">
        <f t="shared" si="5"/>
        <v>7</v>
      </c>
      <c r="H109" s="7">
        <v>322.54000000000002</v>
      </c>
      <c r="I109" s="7">
        <f>_B*F109+_C</f>
        <v>322.91949026518654</v>
      </c>
      <c r="J109" s="7">
        <f t="shared" si="6"/>
        <v>-0.37949026518651863</v>
      </c>
      <c r="K109" s="7" cm="1">
        <f t="array" ref="K109">INDEX(Sm,G109)</f>
        <v>0.82390897803401641</v>
      </c>
      <c r="L109" s="7">
        <f t="shared" si="7"/>
        <v>323.74339924322055</v>
      </c>
      <c r="M109" s="7">
        <f t="shared" si="8"/>
        <v>-1.2033992432205309</v>
      </c>
    </row>
    <row r="110" spans="6:13" ht="18.75" customHeight="1">
      <c r="F110" s="1">
        <v>24685</v>
      </c>
      <c r="G110">
        <f t="shared" si="5"/>
        <v>8</v>
      </c>
      <c r="H110" s="7">
        <v>320.92</v>
      </c>
      <c r="I110" s="7">
        <f>_B*F110+_C</f>
        <v>323.0318731467965</v>
      </c>
      <c r="J110" s="7">
        <f t="shared" si="6"/>
        <v>-2.1118731467964835</v>
      </c>
      <c r="K110" s="7" cm="1">
        <f t="array" ref="K110">INDEX(Sm,G110)</f>
        <v>-1.2322834273854675</v>
      </c>
      <c r="L110" s="7">
        <f t="shared" si="7"/>
        <v>321.79958971941102</v>
      </c>
      <c r="M110" s="7">
        <f t="shared" si="8"/>
        <v>-0.87958971941100117</v>
      </c>
    </row>
    <row r="111" spans="6:13" ht="18.75" customHeight="1">
      <c r="F111" s="1">
        <v>24716</v>
      </c>
      <c r="G111">
        <f t="shared" si="5"/>
        <v>9</v>
      </c>
      <c r="H111" s="7">
        <v>319.25</v>
      </c>
      <c r="I111" s="7">
        <f>_B*F111+_C</f>
        <v>323.14425602840646</v>
      </c>
      <c r="J111" s="7">
        <f t="shared" si="6"/>
        <v>-3.8942560284064598</v>
      </c>
      <c r="K111" s="7" cm="1">
        <f t="array" ref="K111">INDEX(Sm,G111)</f>
        <v>-3.0765710709001954</v>
      </c>
      <c r="L111" s="7">
        <f t="shared" si="7"/>
        <v>320.06768495750629</v>
      </c>
      <c r="M111" s="7">
        <f t="shared" si="8"/>
        <v>-0.81768495750628745</v>
      </c>
    </row>
    <row r="112" spans="6:13" ht="18.75" customHeight="1">
      <c r="F112" s="1">
        <v>24746</v>
      </c>
      <c r="G112">
        <f t="shared" si="5"/>
        <v>10</v>
      </c>
      <c r="H112" s="7">
        <v>319.39</v>
      </c>
      <c r="I112" s="7">
        <f>_B*F112+_C</f>
        <v>323.25301365577093</v>
      </c>
      <c r="J112" s="7">
        <f t="shared" si="6"/>
        <v>-3.863013655770942</v>
      </c>
      <c r="K112" s="7" cm="1">
        <f t="array" ref="K112">INDEX(Sm,G112)</f>
        <v>-3.3570000579572215</v>
      </c>
      <c r="L112" s="7">
        <f t="shared" si="7"/>
        <v>319.89601359781369</v>
      </c>
      <c r="M112" s="7">
        <f t="shared" si="8"/>
        <v>-0.50601359781370547</v>
      </c>
    </row>
    <row r="113" spans="6:13" ht="18.75" customHeight="1">
      <c r="F113" s="1">
        <v>24777</v>
      </c>
      <c r="G113">
        <f t="shared" si="5"/>
        <v>11</v>
      </c>
      <c r="H113" s="7">
        <v>320.73</v>
      </c>
      <c r="I113" s="7">
        <f>_B*F113+_C</f>
        <v>323.36539653738089</v>
      </c>
      <c r="J113" s="7">
        <f t="shared" si="6"/>
        <v>-2.6353965373808705</v>
      </c>
      <c r="K113" s="7" cm="1">
        <f t="array" ref="K113">INDEX(Sm,G113)</f>
        <v>-2.069140151303194</v>
      </c>
      <c r="L113" s="7">
        <f t="shared" si="7"/>
        <v>321.29625638607769</v>
      </c>
      <c r="M113" s="7">
        <f t="shared" si="8"/>
        <v>-0.56625638607766859</v>
      </c>
    </row>
    <row r="114" spans="6:13" ht="18.75" customHeight="1">
      <c r="F114" s="1">
        <v>24807</v>
      </c>
      <c r="G114">
        <f t="shared" si="5"/>
        <v>12</v>
      </c>
      <c r="H114" s="7">
        <v>321.95999999999998</v>
      </c>
      <c r="I114" s="7">
        <f>_B*F114+_C</f>
        <v>323.47415416474536</v>
      </c>
      <c r="J114" s="7">
        <f t="shared" si="6"/>
        <v>-1.5141541647453778</v>
      </c>
      <c r="K114" s="7" cm="1">
        <f t="array" ref="K114">INDEX(Sm,G114)</f>
        <v>-0.94051682628672428</v>
      </c>
      <c r="L114" s="7">
        <f t="shared" si="7"/>
        <v>322.53363733845862</v>
      </c>
      <c r="M114" s="7">
        <f t="shared" si="8"/>
        <v>-0.57363733845863862</v>
      </c>
    </row>
    <row r="115" spans="6:13" ht="18.75" customHeight="1">
      <c r="F115" s="1">
        <v>24838</v>
      </c>
      <c r="G115">
        <f t="shared" si="5"/>
        <v>1</v>
      </c>
      <c r="H115" s="7">
        <v>322.57</v>
      </c>
      <c r="I115" s="7">
        <f>_B*F115+_C</f>
        <v>323.58653704635532</v>
      </c>
      <c r="J115" s="7">
        <f t="shared" si="6"/>
        <v>-1.0165370463553245</v>
      </c>
      <c r="K115" s="7" cm="1">
        <f t="array" ref="K115">INDEX(Sm,G115)</f>
        <v>-2.6471136468108808E-2</v>
      </c>
      <c r="L115" s="7">
        <f t="shared" si="7"/>
        <v>323.56006590988721</v>
      </c>
      <c r="M115" s="7">
        <f t="shared" si="8"/>
        <v>-0.9900659098872211</v>
      </c>
    </row>
    <row r="116" spans="6:13" ht="18.75" customHeight="1">
      <c r="F116" s="1">
        <v>24869</v>
      </c>
      <c r="G116">
        <f t="shared" si="5"/>
        <v>2</v>
      </c>
      <c r="H116" s="7">
        <v>323.14999999999998</v>
      </c>
      <c r="I116" s="7">
        <f>_B*F116+_C</f>
        <v>323.69891992796528</v>
      </c>
      <c r="J116" s="7">
        <f t="shared" si="6"/>
        <v>-0.54891992796530076</v>
      </c>
      <c r="K116" s="7" cm="1">
        <f t="array" ref="K116">INDEX(Sm,G116)</f>
        <v>0.58733060283015548</v>
      </c>
      <c r="L116" s="7">
        <f t="shared" si="7"/>
        <v>324.28625053079543</v>
      </c>
      <c r="M116" s="7">
        <f t="shared" si="8"/>
        <v>-1.1362505307954507</v>
      </c>
    </row>
    <row r="117" spans="6:13" ht="18.75" customHeight="1">
      <c r="F117" s="1">
        <v>24898</v>
      </c>
      <c r="G117">
        <f t="shared" si="5"/>
        <v>3</v>
      </c>
      <c r="H117" s="7">
        <v>323.89</v>
      </c>
      <c r="I117" s="7">
        <f>_B*F117+_C</f>
        <v>323.80405230108425</v>
      </c>
      <c r="J117" s="7">
        <f t="shared" si="6"/>
        <v>8.5947698915731507E-2</v>
      </c>
      <c r="K117" s="7" cm="1">
        <f t="array" ref="K117">INDEX(Sm,G117)</f>
        <v>1.4390836132721692</v>
      </c>
      <c r="L117" s="7">
        <f t="shared" si="7"/>
        <v>325.2431359143564</v>
      </c>
      <c r="M117" s="7">
        <f t="shared" si="8"/>
        <v>-1.3531359143564146</v>
      </c>
    </row>
    <row r="118" spans="6:13" ht="18.75" customHeight="1">
      <c r="F118" s="1">
        <v>24929</v>
      </c>
      <c r="G118">
        <f t="shared" si="5"/>
        <v>4</v>
      </c>
      <c r="H118" s="7">
        <v>325.02</v>
      </c>
      <c r="I118" s="7">
        <f>_B*F118+_C</f>
        <v>323.91643518269422</v>
      </c>
      <c r="J118" s="7">
        <f t="shared" si="6"/>
        <v>1.1035648173057666</v>
      </c>
      <c r="K118" s="7" cm="1">
        <f t="array" ref="K118">INDEX(Sm,G118)</f>
        <v>2.6009864459479211</v>
      </c>
      <c r="L118" s="7">
        <f t="shared" si="7"/>
        <v>326.51742162864213</v>
      </c>
      <c r="M118" s="7">
        <f t="shared" si="8"/>
        <v>-1.4974216286421438</v>
      </c>
    </row>
    <row r="119" spans="6:13" ht="18.75" customHeight="1">
      <c r="F119" s="1">
        <v>24959</v>
      </c>
      <c r="G119">
        <f t="shared" si="5"/>
        <v>5</v>
      </c>
      <c r="H119" s="7">
        <v>325.57</v>
      </c>
      <c r="I119" s="7">
        <f>_B*F119+_C</f>
        <v>324.02519281005868</v>
      </c>
      <c r="J119" s="7">
        <f t="shared" si="6"/>
        <v>1.5448071899413094</v>
      </c>
      <c r="K119" s="7" cm="1">
        <f t="array" ref="K119">INDEX(Sm,G119)</f>
        <v>2.9998113917703657</v>
      </c>
      <c r="L119" s="7">
        <f t="shared" si="7"/>
        <v>327.02500420182906</v>
      </c>
      <c r="M119" s="7">
        <f t="shared" si="8"/>
        <v>-1.4550042018290696</v>
      </c>
    </row>
    <row r="120" spans="6:13" ht="18.75" customHeight="1">
      <c r="F120" s="1">
        <v>24990</v>
      </c>
      <c r="G120">
        <f t="shared" si="5"/>
        <v>6</v>
      </c>
      <c r="H120" s="7">
        <v>325.36</v>
      </c>
      <c r="I120" s="7">
        <f>_B*F120+_C</f>
        <v>324.13757569166864</v>
      </c>
      <c r="J120" s="7">
        <f t="shared" si="6"/>
        <v>1.2224243083313695</v>
      </c>
      <c r="K120" s="7" cm="1">
        <f t="array" ref="K120">INDEX(Sm,G120)</f>
        <v>2.2382077892599441</v>
      </c>
      <c r="L120" s="7">
        <f t="shared" si="7"/>
        <v>326.37578348092859</v>
      </c>
      <c r="M120" s="7">
        <f t="shared" si="8"/>
        <v>-1.015783480928576</v>
      </c>
    </row>
    <row r="121" spans="6:13" ht="18.75" customHeight="1">
      <c r="F121" s="1">
        <v>25020</v>
      </c>
      <c r="G121">
        <f t="shared" si="5"/>
        <v>7</v>
      </c>
      <c r="H121" s="7">
        <v>324.14</v>
      </c>
      <c r="I121" s="7">
        <f>_B*F121+_C</f>
        <v>324.24633331903317</v>
      </c>
      <c r="J121" s="7">
        <f t="shared" si="6"/>
        <v>-0.10633331903318322</v>
      </c>
      <c r="K121" s="7" cm="1">
        <f t="array" ref="K121">INDEX(Sm,G121)</f>
        <v>0.82390897803401641</v>
      </c>
      <c r="L121" s="7">
        <f t="shared" si="7"/>
        <v>325.07024229706718</v>
      </c>
      <c r="M121" s="7">
        <f t="shared" si="8"/>
        <v>-0.93024229706719552</v>
      </c>
    </row>
    <row r="122" spans="6:13" ht="18.75" customHeight="1">
      <c r="F122" s="1">
        <v>25051</v>
      </c>
      <c r="G122">
        <f t="shared" si="5"/>
        <v>8</v>
      </c>
      <c r="H122" s="7">
        <v>322.11</v>
      </c>
      <c r="I122" s="7">
        <f>_B*F122+_C</f>
        <v>324.35871620064313</v>
      </c>
      <c r="J122" s="7">
        <f t="shared" si="6"/>
        <v>-2.2487162006431163</v>
      </c>
      <c r="K122" s="7" cm="1">
        <f t="array" ref="K122">INDEX(Sm,G122)</f>
        <v>-1.2322834273854675</v>
      </c>
      <c r="L122" s="7">
        <f t="shared" si="7"/>
        <v>323.12643277325765</v>
      </c>
      <c r="M122" s="7">
        <f t="shared" si="8"/>
        <v>-1.0164327732576339</v>
      </c>
    </row>
    <row r="123" spans="6:13" ht="18.75" customHeight="1">
      <c r="F123" s="1">
        <v>25082</v>
      </c>
      <c r="G123">
        <f t="shared" si="5"/>
        <v>9</v>
      </c>
      <c r="H123" s="7">
        <v>320.33</v>
      </c>
      <c r="I123" s="7">
        <f>_B*F123+_C</f>
        <v>324.47109908225309</v>
      </c>
      <c r="J123" s="7">
        <f t="shared" si="6"/>
        <v>-4.1410990822531062</v>
      </c>
      <c r="K123" s="7" cm="1">
        <f t="array" ref="K123">INDEX(Sm,G123)</f>
        <v>-3.0765710709001954</v>
      </c>
      <c r="L123" s="7">
        <f t="shared" si="7"/>
        <v>321.39452801135292</v>
      </c>
      <c r="M123" s="7">
        <f t="shared" si="8"/>
        <v>-1.0645280113529338</v>
      </c>
    </row>
    <row r="124" spans="6:13" ht="18.75" customHeight="1">
      <c r="F124" s="1">
        <v>25112</v>
      </c>
      <c r="G124">
        <f t="shared" si="5"/>
        <v>10</v>
      </c>
      <c r="H124" s="7">
        <v>320.25</v>
      </c>
      <c r="I124" s="7">
        <f>_B*F124+_C</f>
        <v>324.57985670961756</v>
      </c>
      <c r="J124" s="7">
        <f t="shared" si="6"/>
        <v>-4.3298567096175589</v>
      </c>
      <c r="K124" s="7" cm="1">
        <f t="array" ref="K124">INDEX(Sm,G124)</f>
        <v>-3.3570000579572215</v>
      </c>
      <c r="L124" s="7">
        <f t="shared" si="7"/>
        <v>321.22285665166032</v>
      </c>
      <c r="M124" s="7">
        <f t="shared" si="8"/>
        <v>-0.97285665166032231</v>
      </c>
    </row>
    <row r="125" spans="6:13" ht="18.75" customHeight="1">
      <c r="F125" s="1">
        <v>25143</v>
      </c>
      <c r="G125">
        <f t="shared" si="5"/>
        <v>11</v>
      </c>
      <c r="H125" s="7">
        <v>321.32</v>
      </c>
      <c r="I125" s="7">
        <f>_B*F125+_C</f>
        <v>324.69223959122752</v>
      </c>
      <c r="J125" s="7">
        <f t="shared" si="6"/>
        <v>-3.372239591227526</v>
      </c>
      <c r="K125" s="7" cm="1">
        <f t="array" ref="K125">INDEX(Sm,G125)</f>
        <v>-2.069140151303194</v>
      </c>
      <c r="L125" s="7">
        <f t="shared" si="7"/>
        <v>322.62309943992432</v>
      </c>
      <c r="M125" s="7">
        <f t="shared" si="8"/>
        <v>-1.3030994399243241</v>
      </c>
    </row>
    <row r="126" spans="6:13" ht="18.75" customHeight="1">
      <c r="F126" s="1">
        <v>25173</v>
      </c>
      <c r="G126">
        <f t="shared" si="5"/>
        <v>12</v>
      </c>
      <c r="H126" s="7">
        <v>322.89</v>
      </c>
      <c r="I126" s="7">
        <f>_B*F126+_C</f>
        <v>324.80099721859199</v>
      </c>
      <c r="J126" s="7">
        <f t="shared" si="6"/>
        <v>-1.9109972185920014</v>
      </c>
      <c r="K126" s="7" cm="1">
        <f t="array" ref="K126">INDEX(Sm,G126)</f>
        <v>-0.94051682628672428</v>
      </c>
      <c r="L126" s="7">
        <f t="shared" si="7"/>
        <v>323.86048039230525</v>
      </c>
      <c r="M126" s="7">
        <f t="shared" si="8"/>
        <v>-0.97048039230526228</v>
      </c>
    </row>
    <row r="127" spans="6:13" ht="18.75" customHeight="1">
      <c r="F127" s="1">
        <v>25204</v>
      </c>
      <c r="G127">
        <f t="shared" si="5"/>
        <v>1</v>
      </c>
      <c r="H127" s="7">
        <v>324</v>
      </c>
      <c r="I127" s="7">
        <f>_B*F127+_C</f>
        <v>324.91338010020195</v>
      </c>
      <c r="J127" s="7">
        <f t="shared" si="6"/>
        <v>-0.91338010020194815</v>
      </c>
      <c r="K127" s="7" cm="1">
        <f t="array" ref="K127">INDEX(Sm,G127)</f>
        <v>-2.6471136468108808E-2</v>
      </c>
      <c r="L127" s="7">
        <f t="shared" si="7"/>
        <v>324.88690896373384</v>
      </c>
      <c r="M127" s="7">
        <f t="shared" si="8"/>
        <v>-0.88690896373384476</v>
      </c>
    </row>
    <row r="128" spans="6:13" ht="18.75" customHeight="1">
      <c r="F128" s="1">
        <v>25235</v>
      </c>
      <c r="G128">
        <f t="shared" si="5"/>
        <v>2</v>
      </c>
      <c r="H128" s="7">
        <v>324.41000000000003</v>
      </c>
      <c r="I128" s="7">
        <f>_B*F128+_C</f>
        <v>325.02576298181191</v>
      </c>
      <c r="J128" s="7">
        <f t="shared" si="6"/>
        <v>-0.61576298181188349</v>
      </c>
      <c r="K128" s="7" cm="1">
        <f t="array" ref="K128">INDEX(Sm,G128)</f>
        <v>0.58733060283015548</v>
      </c>
      <c r="L128" s="7">
        <f t="shared" si="7"/>
        <v>325.61309358464206</v>
      </c>
      <c r="M128" s="7">
        <f t="shared" si="8"/>
        <v>-1.2030935846420334</v>
      </c>
    </row>
    <row r="129" spans="6:13" ht="18.75" customHeight="1">
      <c r="F129" s="1">
        <v>25263</v>
      </c>
      <c r="G129">
        <f t="shared" si="5"/>
        <v>3</v>
      </c>
      <c r="H129" s="7">
        <v>325.63</v>
      </c>
      <c r="I129" s="7">
        <f>_B*F129+_C</f>
        <v>325.12727010068539</v>
      </c>
      <c r="J129" s="7">
        <f t="shared" si="6"/>
        <v>0.50272989931460188</v>
      </c>
      <c r="K129" s="7" cm="1">
        <f t="array" ref="K129">INDEX(Sm,G129)</f>
        <v>1.4390836132721692</v>
      </c>
      <c r="L129" s="7">
        <f t="shared" si="7"/>
        <v>326.56635371395754</v>
      </c>
      <c r="M129" s="7">
        <f t="shared" si="8"/>
        <v>-0.93635371395754419</v>
      </c>
    </row>
    <row r="130" spans="6:13" ht="18.75" customHeight="1">
      <c r="F130" s="1">
        <v>25294</v>
      </c>
      <c r="G130">
        <f t="shared" si="5"/>
        <v>4</v>
      </c>
      <c r="H130" s="7">
        <v>326.66000000000003</v>
      </c>
      <c r="I130" s="7">
        <f>_B*F130+_C</f>
        <v>325.23965298229535</v>
      </c>
      <c r="J130" s="7">
        <f t="shared" si="6"/>
        <v>1.4203470177046711</v>
      </c>
      <c r="K130" s="7" cm="1">
        <f t="array" ref="K130">INDEX(Sm,G130)</f>
        <v>2.6009864459479211</v>
      </c>
      <c r="L130" s="7">
        <f t="shared" si="7"/>
        <v>327.84063942824326</v>
      </c>
      <c r="M130" s="7">
        <f t="shared" si="8"/>
        <v>-1.1806394282432393</v>
      </c>
    </row>
    <row r="131" spans="6:13" ht="18.75" customHeight="1">
      <c r="F131" s="1">
        <v>25324</v>
      </c>
      <c r="G131">
        <f t="shared" ref="G131:G194" si="9">MONTH(F131)</f>
        <v>5</v>
      </c>
      <c r="H131" s="7">
        <v>327.38</v>
      </c>
      <c r="I131" s="7">
        <f>_B*F131+_C</f>
        <v>325.34841060965982</v>
      </c>
      <c r="J131" s="7">
        <f t="shared" ref="J131:J194" si="10">H131-I131</f>
        <v>2.0315893903401729</v>
      </c>
      <c r="K131" s="7" cm="1">
        <f t="array" ref="K131">INDEX(Sm,G131)</f>
        <v>2.9998113917703657</v>
      </c>
      <c r="L131" s="7">
        <f t="shared" ref="L131:L194" si="11">I131+K131</f>
        <v>328.3482220014302</v>
      </c>
      <c r="M131" s="7">
        <f t="shared" ref="M131:M194" si="12">H131-L131</f>
        <v>-0.96822200143020609</v>
      </c>
    </row>
    <row r="132" spans="6:13" ht="18.75" customHeight="1">
      <c r="F132" s="1">
        <v>25355</v>
      </c>
      <c r="G132">
        <f t="shared" si="9"/>
        <v>6</v>
      </c>
      <c r="H132" s="7">
        <v>326.70999999999998</v>
      </c>
      <c r="I132" s="7">
        <f>_B*F132+_C</f>
        <v>325.46079349126978</v>
      </c>
      <c r="J132" s="7">
        <f t="shared" si="10"/>
        <v>1.2492065087301967</v>
      </c>
      <c r="K132" s="7" cm="1">
        <f t="array" ref="K132">INDEX(Sm,G132)</f>
        <v>2.2382077892599441</v>
      </c>
      <c r="L132" s="7">
        <f t="shared" si="11"/>
        <v>327.69900128052973</v>
      </c>
      <c r="M132" s="7">
        <f t="shared" si="12"/>
        <v>-0.98900128052974878</v>
      </c>
    </row>
    <row r="133" spans="6:13" ht="18.75" customHeight="1">
      <c r="F133" s="1">
        <v>25385</v>
      </c>
      <c r="G133">
        <f t="shared" si="9"/>
        <v>7</v>
      </c>
      <c r="H133" s="7">
        <v>325.88</v>
      </c>
      <c r="I133" s="7">
        <f>_B*F133+_C</f>
        <v>325.56955111863431</v>
      </c>
      <c r="J133" s="7">
        <f t="shared" si="10"/>
        <v>0.31044888136568716</v>
      </c>
      <c r="K133" s="7" cm="1">
        <f t="array" ref="K133">INDEX(Sm,G133)</f>
        <v>0.82390897803401641</v>
      </c>
      <c r="L133" s="7">
        <f t="shared" si="11"/>
        <v>326.39346009666832</v>
      </c>
      <c r="M133" s="7">
        <f t="shared" si="12"/>
        <v>-0.51346009666832515</v>
      </c>
    </row>
    <row r="134" spans="6:13" ht="18.75" customHeight="1">
      <c r="F134" s="1">
        <v>25416</v>
      </c>
      <c r="G134">
        <f t="shared" si="9"/>
        <v>8</v>
      </c>
      <c r="H134" s="7">
        <v>323.66000000000003</v>
      </c>
      <c r="I134" s="7">
        <f>_B*F134+_C</f>
        <v>325.68193400024427</v>
      </c>
      <c r="J134" s="7">
        <f t="shared" si="10"/>
        <v>-2.0219340002442436</v>
      </c>
      <c r="K134" s="7" cm="1">
        <f t="array" ref="K134">INDEX(Sm,G134)</f>
        <v>-1.2322834273854675</v>
      </c>
      <c r="L134" s="7">
        <f t="shared" si="11"/>
        <v>324.44965057285879</v>
      </c>
      <c r="M134" s="7">
        <f t="shared" si="12"/>
        <v>-0.78965057285876128</v>
      </c>
    </row>
    <row r="135" spans="6:13" ht="18.75" customHeight="1">
      <c r="F135" s="1">
        <v>25447</v>
      </c>
      <c r="G135">
        <f t="shared" si="9"/>
        <v>9</v>
      </c>
      <c r="H135" s="7">
        <v>322.38</v>
      </c>
      <c r="I135" s="7">
        <f>_B*F135+_C</f>
        <v>325.79431688185423</v>
      </c>
      <c r="J135" s="7">
        <f t="shared" si="10"/>
        <v>-3.4143168818542335</v>
      </c>
      <c r="K135" s="7" cm="1">
        <f t="array" ref="K135">INDEX(Sm,G135)</f>
        <v>-3.0765710709001954</v>
      </c>
      <c r="L135" s="7">
        <f t="shared" si="11"/>
        <v>322.71774581095406</v>
      </c>
      <c r="M135" s="7">
        <f t="shared" si="12"/>
        <v>-0.3377458109540612</v>
      </c>
    </row>
    <row r="136" spans="6:13" ht="18.75" customHeight="1">
      <c r="F136" s="1">
        <v>25477</v>
      </c>
      <c r="G136">
        <f t="shared" si="9"/>
        <v>10</v>
      </c>
      <c r="H136" s="7">
        <v>321.77999999999997</v>
      </c>
      <c r="I136" s="7">
        <f>_B*F136+_C</f>
        <v>325.9030745092187</v>
      </c>
      <c r="J136" s="7">
        <f t="shared" si="10"/>
        <v>-4.1230745092187249</v>
      </c>
      <c r="K136" s="7" cm="1">
        <f t="array" ref="K136">INDEX(Sm,G136)</f>
        <v>-3.3570000579572215</v>
      </c>
      <c r="L136" s="7">
        <f t="shared" si="11"/>
        <v>322.54607445126146</v>
      </c>
      <c r="M136" s="7">
        <f t="shared" si="12"/>
        <v>-0.76607445126148832</v>
      </c>
    </row>
    <row r="137" spans="6:13" ht="18.75" customHeight="1">
      <c r="F137" s="1">
        <v>25508</v>
      </c>
      <c r="G137">
        <f t="shared" si="9"/>
        <v>11</v>
      </c>
      <c r="H137" s="7">
        <v>322.85000000000002</v>
      </c>
      <c r="I137" s="7">
        <f>_B*F137+_C</f>
        <v>326.01545739082866</v>
      </c>
      <c r="J137" s="7">
        <f t="shared" si="10"/>
        <v>-3.1654573908286352</v>
      </c>
      <c r="K137" s="7" cm="1">
        <f t="array" ref="K137">INDEX(Sm,G137)</f>
        <v>-2.069140151303194</v>
      </c>
      <c r="L137" s="7">
        <f t="shared" si="11"/>
        <v>323.94631723952546</v>
      </c>
      <c r="M137" s="7">
        <f t="shared" si="12"/>
        <v>-1.0963172395254333</v>
      </c>
    </row>
    <row r="138" spans="6:13" ht="18.75" customHeight="1">
      <c r="F138" s="1">
        <v>25538</v>
      </c>
      <c r="G138">
        <f t="shared" si="9"/>
        <v>12</v>
      </c>
      <c r="H138" s="7">
        <v>324.12</v>
      </c>
      <c r="I138" s="7">
        <f>_B*F138+_C</f>
        <v>326.12421501819313</v>
      </c>
      <c r="J138" s="7">
        <f t="shared" si="10"/>
        <v>-2.004215018193122</v>
      </c>
      <c r="K138" s="7" cm="1">
        <f t="array" ref="K138">INDEX(Sm,G138)</f>
        <v>-0.94051682628672428</v>
      </c>
      <c r="L138" s="7">
        <f t="shared" si="11"/>
        <v>325.18369819190639</v>
      </c>
      <c r="M138" s="7">
        <f t="shared" si="12"/>
        <v>-1.0636981919063828</v>
      </c>
    </row>
    <row r="139" spans="6:13" ht="18.75" customHeight="1">
      <c r="F139" s="1">
        <v>25569</v>
      </c>
      <c r="G139">
        <f t="shared" si="9"/>
        <v>1</v>
      </c>
      <c r="H139" s="7">
        <v>325.06</v>
      </c>
      <c r="I139" s="7">
        <f>_B*F139+_C</f>
        <v>326.23659789980309</v>
      </c>
      <c r="J139" s="7">
        <f t="shared" si="10"/>
        <v>-1.1765978998030846</v>
      </c>
      <c r="K139" s="7" cm="1">
        <f t="array" ref="K139">INDEX(Sm,G139)</f>
        <v>-2.6471136468108808E-2</v>
      </c>
      <c r="L139" s="7">
        <f t="shared" si="11"/>
        <v>326.21012676333498</v>
      </c>
      <c r="M139" s="7">
        <f t="shared" si="12"/>
        <v>-1.1501267633349812</v>
      </c>
    </row>
    <row r="140" spans="6:13" ht="18.75" customHeight="1">
      <c r="F140" s="1">
        <v>25600</v>
      </c>
      <c r="G140">
        <f t="shared" si="9"/>
        <v>2</v>
      </c>
      <c r="H140" s="7">
        <v>325.98</v>
      </c>
      <c r="I140" s="7">
        <f>_B*F140+_C</f>
        <v>326.34898078141305</v>
      </c>
      <c r="J140" s="7">
        <f t="shared" si="10"/>
        <v>-0.36898078141302904</v>
      </c>
      <c r="K140" s="7" cm="1">
        <f t="array" ref="K140">INDEX(Sm,G140)</f>
        <v>0.58733060283015548</v>
      </c>
      <c r="L140" s="7">
        <f t="shared" si="11"/>
        <v>326.9363113842432</v>
      </c>
      <c r="M140" s="7">
        <f t="shared" si="12"/>
        <v>-0.95631138424317896</v>
      </c>
    </row>
    <row r="141" spans="6:13" ht="18.75" customHeight="1">
      <c r="F141" s="1">
        <v>25628</v>
      </c>
      <c r="G141">
        <f t="shared" si="9"/>
        <v>3</v>
      </c>
      <c r="H141" s="7">
        <v>326.93</v>
      </c>
      <c r="I141" s="7">
        <f>_B*F141+_C</f>
        <v>326.45048790028659</v>
      </c>
      <c r="J141" s="7">
        <f t="shared" si="10"/>
        <v>0.47951209971341768</v>
      </c>
      <c r="K141" s="7" cm="1">
        <f t="array" ref="K141">INDEX(Sm,G141)</f>
        <v>1.4390836132721692</v>
      </c>
      <c r="L141" s="7">
        <f t="shared" si="11"/>
        <v>327.88957151355874</v>
      </c>
      <c r="M141" s="7">
        <f t="shared" si="12"/>
        <v>-0.95957151355872838</v>
      </c>
    </row>
    <row r="142" spans="6:13" ht="18.75" customHeight="1">
      <c r="F142" s="1">
        <v>25659</v>
      </c>
      <c r="G142">
        <f t="shared" si="9"/>
        <v>4</v>
      </c>
      <c r="H142" s="7">
        <v>328.13</v>
      </c>
      <c r="I142" s="7">
        <f>_B*F142+_C</f>
        <v>326.56287078189655</v>
      </c>
      <c r="J142" s="7">
        <f t="shared" si="10"/>
        <v>1.567129218103446</v>
      </c>
      <c r="K142" s="7" cm="1">
        <f t="array" ref="K142">INDEX(Sm,G142)</f>
        <v>2.6009864459479211</v>
      </c>
      <c r="L142" s="7">
        <f t="shared" si="11"/>
        <v>329.16385722784446</v>
      </c>
      <c r="M142" s="7">
        <f t="shared" si="12"/>
        <v>-1.0338572278444644</v>
      </c>
    </row>
    <row r="143" spans="6:13" ht="18.75" customHeight="1">
      <c r="F143" s="1">
        <v>25689</v>
      </c>
      <c r="G143">
        <f t="shared" si="9"/>
        <v>5</v>
      </c>
      <c r="H143" s="7">
        <v>328.08</v>
      </c>
      <c r="I143" s="7">
        <f>_B*F143+_C</f>
        <v>326.67162840926096</v>
      </c>
      <c r="J143" s="7">
        <f t="shared" si="10"/>
        <v>1.4083715907390228</v>
      </c>
      <c r="K143" s="7" cm="1">
        <f t="array" ref="K143">INDEX(Sm,G143)</f>
        <v>2.9998113917703657</v>
      </c>
      <c r="L143" s="7">
        <f t="shared" si="11"/>
        <v>329.67143980103134</v>
      </c>
      <c r="M143" s="7">
        <f t="shared" si="12"/>
        <v>-1.5914398010313562</v>
      </c>
    </row>
    <row r="144" spans="6:13" ht="18.75" customHeight="1">
      <c r="F144" s="1">
        <v>25720</v>
      </c>
      <c r="G144">
        <f t="shared" si="9"/>
        <v>6</v>
      </c>
      <c r="H144" s="7">
        <v>327.67</v>
      </c>
      <c r="I144" s="7">
        <f>_B*F144+_C</f>
        <v>326.78401129087092</v>
      </c>
      <c r="J144" s="7">
        <f t="shared" si="10"/>
        <v>0.88598870912909433</v>
      </c>
      <c r="K144" s="7" cm="1">
        <f t="array" ref="K144">INDEX(Sm,G144)</f>
        <v>2.2382077892599441</v>
      </c>
      <c r="L144" s="7">
        <f t="shared" si="11"/>
        <v>329.02221908013087</v>
      </c>
      <c r="M144" s="7">
        <f t="shared" si="12"/>
        <v>-1.3522190801308511</v>
      </c>
    </row>
    <row r="145" spans="6:13" ht="18.75" customHeight="1">
      <c r="F145" s="1">
        <v>25750</v>
      </c>
      <c r="G145">
        <f t="shared" si="9"/>
        <v>7</v>
      </c>
      <c r="H145" s="7">
        <v>326.33999999999997</v>
      </c>
      <c r="I145" s="7">
        <f>_B*F145+_C</f>
        <v>326.89276891823545</v>
      </c>
      <c r="J145" s="7">
        <f t="shared" si="10"/>
        <v>-0.55276891823547203</v>
      </c>
      <c r="K145" s="7" cm="1">
        <f t="array" ref="K145">INDEX(Sm,G145)</f>
        <v>0.82390897803401641</v>
      </c>
      <c r="L145" s="7">
        <f t="shared" si="11"/>
        <v>327.71667789626946</v>
      </c>
      <c r="M145" s="7">
        <f t="shared" si="12"/>
        <v>-1.3766778962694843</v>
      </c>
    </row>
    <row r="146" spans="6:13" ht="18.75" customHeight="1">
      <c r="F146" s="1">
        <v>25781</v>
      </c>
      <c r="G146">
        <f t="shared" si="9"/>
        <v>8</v>
      </c>
      <c r="H146" s="7">
        <v>324.69</v>
      </c>
      <c r="I146" s="7">
        <f>_B*F146+_C</f>
        <v>327.00515179984541</v>
      </c>
      <c r="J146" s="7">
        <f t="shared" si="10"/>
        <v>-2.3151517998454096</v>
      </c>
      <c r="K146" s="7" cm="1">
        <f t="array" ref="K146">INDEX(Sm,G146)</f>
        <v>-1.2322834273854675</v>
      </c>
      <c r="L146" s="7">
        <f t="shared" si="11"/>
        <v>325.77286837245993</v>
      </c>
      <c r="M146" s="7">
        <f t="shared" si="12"/>
        <v>-1.0828683724599273</v>
      </c>
    </row>
    <row r="147" spans="6:13" ht="18.75" customHeight="1">
      <c r="F147" s="1">
        <v>25812</v>
      </c>
      <c r="G147">
        <f t="shared" si="9"/>
        <v>9</v>
      </c>
      <c r="H147" s="7">
        <v>323.10000000000002</v>
      </c>
      <c r="I147" s="7">
        <f>_B*F147+_C</f>
        <v>327.11753468145537</v>
      </c>
      <c r="J147" s="7">
        <f t="shared" si="10"/>
        <v>-4.017534681455345</v>
      </c>
      <c r="K147" s="7" cm="1">
        <f t="array" ref="K147">INDEX(Sm,G147)</f>
        <v>-3.0765710709001954</v>
      </c>
      <c r="L147" s="7">
        <f t="shared" si="11"/>
        <v>324.0409636105552</v>
      </c>
      <c r="M147" s="7">
        <f t="shared" si="12"/>
        <v>-0.94096361055517264</v>
      </c>
    </row>
    <row r="148" spans="6:13" ht="18.75" customHeight="1">
      <c r="F148" s="1">
        <v>25842</v>
      </c>
      <c r="G148">
        <f t="shared" si="9"/>
        <v>10</v>
      </c>
      <c r="H148" s="7">
        <v>323.06</v>
      </c>
      <c r="I148" s="7">
        <f>_B*F148+_C</f>
        <v>327.22629230881984</v>
      </c>
      <c r="J148" s="7">
        <f t="shared" si="10"/>
        <v>-4.166292308819834</v>
      </c>
      <c r="K148" s="7" cm="1">
        <f t="array" ref="K148">INDEX(Sm,G148)</f>
        <v>-3.3570000579572215</v>
      </c>
      <c r="L148" s="7">
        <f t="shared" si="11"/>
        <v>323.8692922508626</v>
      </c>
      <c r="M148" s="7">
        <f t="shared" si="12"/>
        <v>-0.80929225086259748</v>
      </c>
    </row>
    <row r="149" spans="6:13" ht="18.75" customHeight="1">
      <c r="F149" s="1">
        <v>25873</v>
      </c>
      <c r="G149">
        <f t="shared" si="9"/>
        <v>11</v>
      </c>
      <c r="H149" s="7">
        <v>324.01</v>
      </c>
      <c r="I149" s="7">
        <f>_B*F149+_C</f>
        <v>327.3386751904298</v>
      </c>
      <c r="J149" s="7">
        <f t="shared" si="10"/>
        <v>-3.3286751904298058</v>
      </c>
      <c r="K149" s="7" cm="1">
        <f t="array" ref="K149">INDEX(Sm,G149)</f>
        <v>-2.069140151303194</v>
      </c>
      <c r="L149" s="7">
        <f t="shared" si="11"/>
        <v>325.26953503912659</v>
      </c>
      <c r="M149" s="7">
        <f t="shared" si="12"/>
        <v>-1.2595350391266038</v>
      </c>
    </row>
    <row r="150" spans="6:13" ht="18.75" customHeight="1">
      <c r="F150" s="1">
        <v>25903</v>
      </c>
      <c r="G150">
        <f t="shared" si="9"/>
        <v>12</v>
      </c>
      <c r="H150" s="7">
        <v>325.13</v>
      </c>
      <c r="I150" s="7">
        <f>_B*F150+_C</f>
        <v>327.44743281779427</v>
      </c>
      <c r="J150" s="7">
        <f t="shared" si="10"/>
        <v>-2.3174328177942698</v>
      </c>
      <c r="K150" s="7" cm="1">
        <f t="array" ref="K150">INDEX(Sm,G150)</f>
        <v>-0.94051682628672428</v>
      </c>
      <c r="L150" s="7">
        <f t="shared" si="11"/>
        <v>326.50691599150753</v>
      </c>
      <c r="M150" s="7">
        <f t="shared" si="12"/>
        <v>-1.3769159915075306</v>
      </c>
    </row>
    <row r="151" spans="6:13" ht="18.75" customHeight="1">
      <c r="F151" s="1">
        <v>25934</v>
      </c>
      <c r="G151">
        <f t="shared" si="9"/>
        <v>1</v>
      </c>
      <c r="H151" s="7">
        <v>326.17</v>
      </c>
      <c r="I151" s="7">
        <f>_B*F151+_C</f>
        <v>327.55981569940423</v>
      </c>
      <c r="J151" s="7">
        <f t="shared" si="10"/>
        <v>-1.3898156994042097</v>
      </c>
      <c r="K151" s="7" cm="1">
        <f t="array" ref="K151">INDEX(Sm,G151)</f>
        <v>-2.6471136468108808E-2</v>
      </c>
      <c r="L151" s="7">
        <f t="shared" si="11"/>
        <v>327.53334456293612</v>
      </c>
      <c r="M151" s="7">
        <f t="shared" si="12"/>
        <v>-1.3633445629361063</v>
      </c>
    </row>
    <row r="152" spans="6:13" ht="18.75" customHeight="1">
      <c r="F152" s="1">
        <v>25965</v>
      </c>
      <c r="G152">
        <f t="shared" si="9"/>
        <v>2</v>
      </c>
      <c r="H152" s="7">
        <v>326.68</v>
      </c>
      <c r="I152" s="7">
        <f>_B*F152+_C</f>
        <v>327.67219858101419</v>
      </c>
      <c r="J152" s="7">
        <f t="shared" si="10"/>
        <v>-0.99219858101417913</v>
      </c>
      <c r="K152" s="7" cm="1">
        <f t="array" ref="K152">INDEX(Sm,G152)</f>
        <v>0.58733060283015548</v>
      </c>
      <c r="L152" s="7">
        <f t="shared" si="11"/>
        <v>328.25952918384434</v>
      </c>
      <c r="M152" s="7">
        <f t="shared" si="12"/>
        <v>-1.5795291838443291</v>
      </c>
    </row>
    <row r="153" spans="6:13" ht="18.75" customHeight="1">
      <c r="F153" s="1">
        <v>25993</v>
      </c>
      <c r="G153">
        <f t="shared" si="9"/>
        <v>3</v>
      </c>
      <c r="H153" s="7">
        <v>327.17</v>
      </c>
      <c r="I153" s="7">
        <f>_B*F153+_C</f>
        <v>327.77370569988773</v>
      </c>
      <c r="J153" s="7">
        <f t="shared" si="10"/>
        <v>-0.60370569988771194</v>
      </c>
      <c r="K153" s="7" cm="1">
        <f t="array" ref="K153">INDEX(Sm,G153)</f>
        <v>1.4390836132721692</v>
      </c>
      <c r="L153" s="7">
        <f t="shared" si="11"/>
        <v>329.21278931315987</v>
      </c>
      <c r="M153" s="7">
        <f t="shared" si="12"/>
        <v>-2.042789313159858</v>
      </c>
    </row>
    <row r="154" spans="6:13" ht="18.75" customHeight="1">
      <c r="F154" s="1">
        <v>26024</v>
      </c>
      <c r="G154">
        <f t="shared" si="9"/>
        <v>4</v>
      </c>
      <c r="H154" s="7">
        <v>327.79</v>
      </c>
      <c r="I154" s="7">
        <f>_B*F154+_C</f>
        <v>327.88608858149769</v>
      </c>
      <c r="J154" s="7">
        <f t="shared" si="10"/>
        <v>-9.6088581497667747E-2</v>
      </c>
      <c r="K154" s="7" cm="1">
        <f t="array" ref="K154">INDEX(Sm,G154)</f>
        <v>2.6009864459479211</v>
      </c>
      <c r="L154" s="7">
        <f t="shared" si="11"/>
        <v>330.4870750274456</v>
      </c>
      <c r="M154" s="7">
        <f t="shared" si="12"/>
        <v>-2.6970750274455781</v>
      </c>
    </row>
    <row r="155" spans="6:13" ht="18.75" customHeight="1">
      <c r="F155" s="1">
        <v>26054</v>
      </c>
      <c r="G155">
        <f t="shared" si="9"/>
        <v>5</v>
      </c>
      <c r="H155" s="7">
        <v>328.93</v>
      </c>
      <c r="I155" s="7">
        <f>_B*F155+_C</f>
        <v>327.9948462088621</v>
      </c>
      <c r="J155" s="7">
        <f t="shared" si="10"/>
        <v>0.93515379113790686</v>
      </c>
      <c r="K155" s="7" cm="1">
        <f t="array" ref="K155">INDEX(Sm,G155)</f>
        <v>2.9998113917703657</v>
      </c>
      <c r="L155" s="7">
        <f t="shared" si="11"/>
        <v>330.99465760063248</v>
      </c>
      <c r="M155" s="7">
        <f t="shared" si="12"/>
        <v>-2.0646576006324722</v>
      </c>
    </row>
    <row r="156" spans="6:13" ht="18.75" customHeight="1">
      <c r="F156" s="1">
        <v>26085</v>
      </c>
      <c r="G156">
        <f t="shared" si="9"/>
        <v>6</v>
      </c>
      <c r="H156" s="7">
        <v>328.57</v>
      </c>
      <c r="I156" s="7">
        <f>_B*F156+_C</f>
        <v>328.10722909047206</v>
      </c>
      <c r="J156" s="7">
        <f t="shared" si="10"/>
        <v>0.46277090952793287</v>
      </c>
      <c r="K156" s="7" cm="1">
        <f t="array" ref="K156">INDEX(Sm,G156)</f>
        <v>2.2382077892599441</v>
      </c>
      <c r="L156" s="7">
        <f t="shared" si="11"/>
        <v>330.34543687973201</v>
      </c>
      <c r="M156" s="7">
        <f t="shared" si="12"/>
        <v>-1.7754368797320126</v>
      </c>
    </row>
    <row r="157" spans="6:13" ht="18.75" customHeight="1">
      <c r="F157" s="1">
        <v>26115</v>
      </c>
      <c r="G157">
        <f t="shared" si="9"/>
        <v>7</v>
      </c>
      <c r="H157" s="7">
        <v>327.36</v>
      </c>
      <c r="I157" s="7">
        <f>_B*F157+_C</f>
        <v>328.21598671783659</v>
      </c>
      <c r="J157" s="7">
        <f t="shared" si="10"/>
        <v>-0.8559867178365721</v>
      </c>
      <c r="K157" s="7" cm="1">
        <f t="array" ref="K157">INDEX(Sm,G157)</f>
        <v>0.82390897803401641</v>
      </c>
      <c r="L157" s="7">
        <f t="shared" si="11"/>
        <v>329.0398956958706</v>
      </c>
      <c r="M157" s="7">
        <f t="shared" si="12"/>
        <v>-1.6798956958705844</v>
      </c>
    </row>
    <row r="158" spans="6:13" ht="18.75" customHeight="1">
      <c r="F158" s="1">
        <v>26146</v>
      </c>
      <c r="G158">
        <f t="shared" si="9"/>
        <v>8</v>
      </c>
      <c r="H158" s="7">
        <v>325.43</v>
      </c>
      <c r="I158" s="7">
        <f>_B*F158+_C</f>
        <v>328.32836959944655</v>
      </c>
      <c r="J158" s="7">
        <f t="shared" si="10"/>
        <v>-2.8983695994465393</v>
      </c>
      <c r="K158" s="7" cm="1">
        <f t="array" ref="K158">INDEX(Sm,G158)</f>
        <v>-1.2322834273854675</v>
      </c>
      <c r="L158" s="7">
        <f t="shared" si="11"/>
        <v>327.09608617206106</v>
      </c>
      <c r="M158" s="7">
        <f t="shared" si="12"/>
        <v>-1.6660861720610569</v>
      </c>
    </row>
    <row r="159" spans="6:13" ht="18.75" customHeight="1">
      <c r="F159" s="1">
        <v>26177</v>
      </c>
      <c r="G159">
        <f t="shared" si="9"/>
        <v>9</v>
      </c>
      <c r="H159" s="7">
        <v>323.36</v>
      </c>
      <c r="I159" s="7">
        <f>_B*F159+_C</f>
        <v>328.44075248105651</v>
      </c>
      <c r="J159" s="7">
        <f t="shared" si="10"/>
        <v>-5.0807524810564928</v>
      </c>
      <c r="K159" s="7" cm="1">
        <f t="array" ref="K159">INDEX(Sm,G159)</f>
        <v>-3.0765710709001954</v>
      </c>
      <c r="L159" s="7">
        <f t="shared" si="11"/>
        <v>325.36418141015633</v>
      </c>
      <c r="M159" s="7">
        <f t="shared" si="12"/>
        <v>-2.0041814101563205</v>
      </c>
    </row>
    <row r="160" spans="6:13" ht="18.75" customHeight="1">
      <c r="F160" s="1">
        <v>26207</v>
      </c>
      <c r="G160">
        <f t="shared" si="9"/>
        <v>10</v>
      </c>
      <c r="H160" s="7">
        <v>323.56</v>
      </c>
      <c r="I160" s="7">
        <f>_B*F160+_C</f>
        <v>328.54951010842098</v>
      </c>
      <c r="J160" s="7">
        <f t="shared" si="10"/>
        <v>-4.9895101084209728</v>
      </c>
      <c r="K160" s="7" cm="1">
        <f t="array" ref="K160">INDEX(Sm,G160)</f>
        <v>-3.3570000579572215</v>
      </c>
      <c r="L160" s="7">
        <f t="shared" si="11"/>
        <v>325.19251005046374</v>
      </c>
      <c r="M160" s="7">
        <f t="shared" si="12"/>
        <v>-1.6325100504637362</v>
      </c>
    </row>
    <row r="161" spans="6:13" ht="18.75" customHeight="1">
      <c r="F161" s="1">
        <v>26238</v>
      </c>
      <c r="G161">
        <f t="shared" si="9"/>
        <v>11</v>
      </c>
      <c r="H161" s="7">
        <v>324.8</v>
      </c>
      <c r="I161" s="7">
        <f>_B*F161+_C</f>
        <v>328.66189299003094</v>
      </c>
      <c r="J161" s="7">
        <f t="shared" si="10"/>
        <v>-3.861892990030924</v>
      </c>
      <c r="K161" s="7" cm="1">
        <f t="array" ref="K161">INDEX(Sm,G161)</f>
        <v>-2.069140151303194</v>
      </c>
      <c r="L161" s="7">
        <f t="shared" si="11"/>
        <v>326.59275283872773</v>
      </c>
      <c r="M161" s="7">
        <f t="shared" si="12"/>
        <v>-1.7927528387277221</v>
      </c>
    </row>
    <row r="162" spans="6:13" ht="18.75" customHeight="1">
      <c r="F162" s="1">
        <v>26268</v>
      </c>
      <c r="G162">
        <f t="shared" si="9"/>
        <v>12</v>
      </c>
      <c r="H162" s="7">
        <v>326.01</v>
      </c>
      <c r="I162" s="7">
        <f>_B*F162+_C</f>
        <v>328.7706506173954</v>
      </c>
      <c r="J162" s="7">
        <f t="shared" si="10"/>
        <v>-2.7606506173954131</v>
      </c>
      <c r="K162" s="7" cm="1">
        <f t="array" ref="K162">INDEX(Sm,G162)</f>
        <v>-0.94051682628672428</v>
      </c>
      <c r="L162" s="7">
        <f t="shared" si="11"/>
        <v>327.83013379110866</v>
      </c>
      <c r="M162" s="7">
        <f t="shared" si="12"/>
        <v>-1.8201337911086739</v>
      </c>
    </row>
    <row r="163" spans="6:13" ht="18.75" customHeight="1">
      <c r="F163" s="1">
        <v>26299</v>
      </c>
      <c r="G163">
        <f t="shared" si="9"/>
        <v>1</v>
      </c>
      <c r="H163" s="7">
        <v>326.77</v>
      </c>
      <c r="I163" s="7">
        <f>_B*F163+_C</f>
        <v>328.88303349900536</v>
      </c>
      <c r="J163" s="7">
        <f t="shared" si="10"/>
        <v>-2.1130334990053825</v>
      </c>
      <c r="K163" s="7" cm="1">
        <f t="array" ref="K163">INDEX(Sm,G163)</f>
        <v>-2.6471136468108808E-2</v>
      </c>
      <c r="L163" s="7">
        <f t="shared" si="11"/>
        <v>328.85656236253726</v>
      </c>
      <c r="M163" s="7">
        <f t="shared" si="12"/>
        <v>-2.0865623625372791</v>
      </c>
    </row>
    <row r="164" spans="6:13" ht="18.75" customHeight="1">
      <c r="F164" s="1">
        <v>26330</v>
      </c>
      <c r="G164">
        <f t="shared" si="9"/>
        <v>2</v>
      </c>
      <c r="H164" s="7">
        <v>327.63</v>
      </c>
      <c r="I164" s="7">
        <f>_B*F164+_C</f>
        <v>328.99541638061532</v>
      </c>
      <c r="J164" s="7">
        <f t="shared" si="10"/>
        <v>-1.3654163806153292</v>
      </c>
      <c r="K164" s="7" cm="1">
        <f t="array" ref="K164">INDEX(Sm,G164)</f>
        <v>0.58733060283015548</v>
      </c>
      <c r="L164" s="7">
        <f t="shared" si="11"/>
        <v>329.58274698344547</v>
      </c>
      <c r="M164" s="7">
        <f t="shared" si="12"/>
        <v>-1.9527469834454791</v>
      </c>
    </row>
    <row r="165" spans="6:13" ht="18.75" customHeight="1">
      <c r="F165" s="1">
        <v>26359</v>
      </c>
      <c r="G165">
        <f t="shared" si="9"/>
        <v>3</v>
      </c>
      <c r="H165" s="7">
        <v>327.75</v>
      </c>
      <c r="I165" s="7">
        <f>_B*F165+_C</f>
        <v>329.1005487537343</v>
      </c>
      <c r="J165" s="7">
        <f t="shared" si="10"/>
        <v>-1.3505487537343015</v>
      </c>
      <c r="K165" s="7" cm="1">
        <f t="array" ref="K165">INDEX(Sm,G165)</f>
        <v>1.4390836132721692</v>
      </c>
      <c r="L165" s="7">
        <f t="shared" si="11"/>
        <v>330.53963236700645</v>
      </c>
      <c r="M165" s="7">
        <f t="shared" si="12"/>
        <v>-2.7896323670064476</v>
      </c>
    </row>
    <row r="166" spans="6:13" ht="18.75" customHeight="1">
      <c r="F166" s="1">
        <v>26390</v>
      </c>
      <c r="G166">
        <f t="shared" si="9"/>
        <v>4</v>
      </c>
      <c r="H166" s="7">
        <v>329.72</v>
      </c>
      <c r="I166" s="7">
        <f>_B*F166+_C</f>
        <v>329.21293163534426</v>
      </c>
      <c r="J166" s="7">
        <f t="shared" si="10"/>
        <v>0.50706836465576544</v>
      </c>
      <c r="K166" s="7" cm="1">
        <f t="array" ref="K166">INDEX(Sm,G166)</f>
        <v>2.6009864459479211</v>
      </c>
      <c r="L166" s="7">
        <f t="shared" si="11"/>
        <v>331.81391808129217</v>
      </c>
      <c r="M166" s="7">
        <f t="shared" si="12"/>
        <v>-2.093918081292145</v>
      </c>
    </row>
    <row r="167" spans="6:13" ht="18.75" customHeight="1">
      <c r="F167" s="1">
        <v>26420</v>
      </c>
      <c r="G167">
        <f t="shared" si="9"/>
        <v>5</v>
      </c>
      <c r="H167" s="7">
        <v>330.07</v>
      </c>
      <c r="I167" s="7">
        <f>_B*F167+_C</f>
        <v>329.32168926270879</v>
      </c>
      <c r="J167" s="7">
        <f t="shared" si="10"/>
        <v>0.7483107372912059</v>
      </c>
      <c r="K167" s="7" cm="1">
        <f t="array" ref="K167">INDEX(Sm,G167)</f>
        <v>2.9998113917703657</v>
      </c>
      <c r="L167" s="7">
        <f t="shared" si="11"/>
        <v>332.32150065447917</v>
      </c>
      <c r="M167" s="7">
        <f t="shared" si="12"/>
        <v>-2.2515006544791731</v>
      </c>
    </row>
    <row r="168" spans="6:13" ht="18.75" customHeight="1">
      <c r="F168" s="1">
        <v>26451</v>
      </c>
      <c r="G168">
        <f t="shared" si="9"/>
        <v>6</v>
      </c>
      <c r="H168" s="7">
        <v>329.09</v>
      </c>
      <c r="I168" s="7">
        <f>_B*F168+_C</f>
        <v>329.43407214431875</v>
      </c>
      <c r="J168" s="7">
        <f t="shared" si="10"/>
        <v>-0.34407214431877264</v>
      </c>
      <c r="K168" s="7" cm="1">
        <f t="array" ref="K168">INDEX(Sm,G168)</f>
        <v>2.2382077892599441</v>
      </c>
      <c r="L168" s="7">
        <f t="shared" si="11"/>
        <v>331.67227993357869</v>
      </c>
      <c r="M168" s="7">
        <f t="shared" si="12"/>
        <v>-2.5822799335787181</v>
      </c>
    </row>
    <row r="169" spans="6:13" ht="18.75" customHeight="1">
      <c r="F169" s="1">
        <v>26481</v>
      </c>
      <c r="G169">
        <f t="shared" si="9"/>
        <v>7</v>
      </c>
      <c r="H169" s="7">
        <v>328.04</v>
      </c>
      <c r="I169" s="7">
        <f>_B*F169+_C</f>
        <v>329.54282977168322</v>
      </c>
      <c r="J169" s="7">
        <f t="shared" si="10"/>
        <v>-1.5028297716831958</v>
      </c>
      <c r="K169" s="7" cm="1">
        <f t="array" ref="K169">INDEX(Sm,G169)</f>
        <v>0.82390897803401641</v>
      </c>
      <c r="L169" s="7">
        <f t="shared" si="11"/>
        <v>330.36673874971723</v>
      </c>
      <c r="M169" s="7">
        <f t="shared" si="12"/>
        <v>-2.3267387497172081</v>
      </c>
    </row>
    <row r="170" spans="6:13" ht="18.75" customHeight="1">
      <c r="F170" s="1">
        <v>26512</v>
      </c>
      <c r="G170">
        <f t="shared" si="9"/>
        <v>8</v>
      </c>
      <c r="H170" s="7">
        <v>326.32</v>
      </c>
      <c r="I170" s="7">
        <f>_B*F170+_C</f>
        <v>329.65521265329318</v>
      </c>
      <c r="J170" s="7">
        <f t="shared" si="10"/>
        <v>-3.3352126532931834</v>
      </c>
      <c r="K170" s="7" cm="1">
        <f t="array" ref="K170">INDEX(Sm,G170)</f>
        <v>-1.2322834273854675</v>
      </c>
      <c r="L170" s="7">
        <f t="shared" si="11"/>
        <v>328.42292922590769</v>
      </c>
      <c r="M170" s="7">
        <f t="shared" si="12"/>
        <v>-2.102929225907701</v>
      </c>
    </row>
    <row r="171" spans="6:13" ht="18.75" customHeight="1">
      <c r="F171" s="1">
        <v>26543</v>
      </c>
      <c r="G171">
        <f t="shared" si="9"/>
        <v>9</v>
      </c>
      <c r="H171" s="7">
        <v>324.83999999999997</v>
      </c>
      <c r="I171" s="7">
        <f>_B*F171+_C</f>
        <v>329.76759553490314</v>
      </c>
      <c r="J171" s="7">
        <f t="shared" si="10"/>
        <v>-4.9275955349031619</v>
      </c>
      <c r="K171" s="7" cm="1">
        <f t="array" ref="K171">INDEX(Sm,G171)</f>
        <v>-3.0765710709001954</v>
      </c>
      <c r="L171" s="7">
        <f t="shared" si="11"/>
        <v>326.69102446400296</v>
      </c>
      <c r="M171" s="7">
        <f t="shared" si="12"/>
        <v>-1.8510244640029896</v>
      </c>
    </row>
    <row r="172" spans="6:13" ht="18.75" customHeight="1">
      <c r="F172" s="1">
        <v>26573</v>
      </c>
      <c r="G172">
        <f t="shared" si="9"/>
        <v>10</v>
      </c>
      <c r="H172" s="7">
        <v>325.2</v>
      </c>
      <c r="I172" s="7">
        <f>_B*F172+_C</f>
        <v>329.87635316226761</v>
      </c>
      <c r="J172" s="7">
        <f t="shared" si="10"/>
        <v>-4.6763531622676169</v>
      </c>
      <c r="K172" s="7" cm="1">
        <f t="array" ref="K172">INDEX(Sm,G172)</f>
        <v>-3.3570000579572215</v>
      </c>
      <c r="L172" s="7">
        <f t="shared" si="11"/>
        <v>326.51935310431037</v>
      </c>
      <c r="M172" s="7">
        <f t="shared" si="12"/>
        <v>-1.3193531043103803</v>
      </c>
    </row>
    <row r="173" spans="6:13" ht="18.75" customHeight="1">
      <c r="F173" s="1">
        <v>26604</v>
      </c>
      <c r="G173">
        <f t="shared" si="9"/>
        <v>11</v>
      </c>
      <c r="H173" s="7">
        <v>326.5</v>
      </c>
      <c r="I173" s="7">
        <f>_B*F173+_C</f>
        <v>329.98873604387757</v>
      </c>
      <c r="J173" s="7">
        <f t="shared" si="10"/>
        <v>-3.4887360438775659</v>
      </c>
      <c r="K173" s="7" cm="1">
        <f t="array" ref="K173">INDEX(Sm,G173)</f>
        <v>-2.069140151303194</v>
      </c>
      <c r="L173" s="7">
        <f t="shared" si="11"/>
        <v>327.91959589257436</v>
      </c>
      <c r="M173" s="7">
        <f t="shared" si="12"/>
        <v>-1.4195958925743639</v>
      </c>
    </row>
    <row r="174" spans="6:13" ht="18.75" customHeight="1">
      <c r="F174" s="1">
        <v>26634</v>
      </c>
      <c r="G174">
        <f t="shared" si="9"/>
        <v>12</v>
      </c>
      <c r="H174" s="7">
        <v>327.55</v>
      </c>
      <c r="I174" s="7">
        <f>_B*F174+_C</f>
        <v>330.09749367124203</v>
      </c>
      <c r="J174" s="7">
        <f t="shared" si="10"/>
        <v>-2.5474936712420231</v>
      </c>
      <c r="K174" s="7" cm="1">
        <f t="array" ref="K174">INDEX(Sm,G174)</f>
        <v>-0.94051682628672428</v>
      </c>
      <c r="L174" s="7">
        <f t="shared" si="11"/>
        <v>329.1569768449553</v>
      </c>
      <c r="M174" s="7">
        <f t="shared" si="12"/>
        <v>-1.6069768449552839</v>
      </c>
    </row>
    <row r="175" spans="6:13" ht="18.75" customHeight="1">
      <c r="F175" s="1">
        <v>26665</v>
      </c>
      <c r="G175">
        <f t="shared" si="9"/>
        <v>1</v>
      </c>
      <c r="H175" s="7">
        <v>328.55</v>
      </c>
      <c r="I175" s="7">
        <f>_B*F175+_C</f>
        <v>330.20987655285199</v>
      </c>
      <c r="J175" s="7">
        <f t="shared" si="10"/>
        <v>-1.6598765528519834</v>
      </c>
      <c r="K175" s="7" cm="1">
        <f t="array" ref="K175">INDEX(Sm,G175)</f>
        <v>-2.6471136468108808E-2</v>
      </c>
      <c r="L175" s="7">
        <f t="shared" si="11"/>
        <v>330.18340541638389</v>
      </c>
      <c r="M175" s="7">
        <f t="shared" si="12"/>
        <v>-1.63340541638388</v>
      </c>
    </row>
    <row r="176" spans="6:13" ht="18.75" customHeight="1">
      <c r="F176" s="1">
        <v>26696</v>
      </c>
      <c r="G176">
        <f t="shared" si="9"/>
        <v>2</v>
      </c>
      <c r="H176" s="7">
        <v>329.56</v>
      </c>
      <c r="I176" s="7">
        <f>_B*F176+_C</f>
        <v>330.32225943446196</v>
      </c>
      <c r="J176" s="7">
        <f t="shared" si="10"/>
        <v>-0.76225943446195288</v>
      </c>
      <c r="K176" s="7" cm="1">
        <f t="array" ref="K176">INDEX(Sm,G176)</f>
        <v>0.58733060283015548</v>
      </c>
      <c r="L176" s="7">
        <f t="shared" si="11"/>
        <v>330.90959003729211</v>
      </c>
      <c r="M176" s="7">
        <f t="shared" si="12"/>
        <v>-1.3495900372921028</v>
      </c>
    </row>
    <row r="177" spans="6:13" ht="18.75" customHeight="1">
      <c r="F177" s="1">
        <v>26724</v>
      </c>
      <c r="G177">
        <f t="shared" si="9"/>
        <v>3</v>
      </c>
      <c r="H177" s="7">
        <v>330.3</v>
      </c>
      <c r="I177" s="7">
        <f>_B*F177+_C</f>
        <v>330.42376655333544</v>
      </c>
      <c r="J177" s="7">
        <f t="shared" si="10"/>
        <v>-0.12376655333542885</v>
      </c>
      <c r="K177" s="7" cm="1">
        <f t="array" ref="K177">INDEX(Sm,G177)</f>
        <v>1.4390836132721692</v>
      </c>
      <c r="L177" s="7">
        <f t="shared" si="11"/>
        <v>331.86285016660759</v>
      </c>
      <c r="M177" s="7">
        <f t="shared" si="12"/>
        <v>-1.5628501666075749</v>
      </c>
    </row>
    <row r="178" spans="6:13" ht="18.75" customHeight="1">
      <c r="F178" s="1">
        <v>26755</v>
      </c>
      <c r="G178">
        <f t="shared" si="9"/>
        <v>4</v>
      </c>
      <c r="H178" s="7">
        <v>331.5</v>
      </c>
      <c r="I178" s="7">
        <f>_B*F178+_C</f>
        <v>330.5361494349454</v>
      </c>
      <c r="J178" s="7">
        <f t="shared" si="10"/>
        <v>0.96385056505459943</v>
      </c>
      <c r="K178" s="7" cm="1">
        <f t="array" ref="K178">INDEX(Sm,G178)</f>
        <v>2.6009864459479211</v>
      </c>
      <c r="L178" s="7">
        <f t="shared" si="11"/>
        <v>333.13713588089331</v>
      </c>
      <c r="M178" s="7">
        <f t="shared" si="12"/>
        <v>-1.637135880893311</v>
      </c>
    </row>
    <row r="179" spans="6:13" ht="18.75" customHeight="1">
      <c r="F179" s="1">
        <v>26785</v>
      </c>
      <c r="G179">
        <f t="shared" si="9"/>
        <v>5</v>
      </c>
      <c r="H179" s="7">
        <v>332.48</v>
      </c>
      <c r="I179" s="7">
        <f>_B*F179+_C</f>
        <v>330.64490706230993</v>
      </c>
      <c r="J179" s="7">
        <f t="shared" si="10"/>
        <v>1.8350929376900922</v>
      </c>
      <c r="K179" s="7" cm="1">
        <f t="array" ref="K179">INDEX(Sm,G179)</f>
        <v>2.9998113917703657</v>
      </c>
      <c r="L179" s="7">
        <f t="shared" si="11"/>
        <v>333.64471845408031</v>
      </c>
      <c r="M179" s="7">
        <f t="shared" si="12"/>
        <v>-1.1647184540802868</v>
      </c>
    </row>
    <row r="180" spans="6:13" ht="18.75" customHeight="1">
      <c r="F180" s="1">
        <v>26816</v>
      </c>
      <c r="G180">
        <f t="shared" si="9"/>
        <v>6</v>
      </c>
      <c r="H180" s="7">
        <v>332.07</v>
      </c>
      <c r="I180" s="7">
        <f>_B*F180+_C</f>
        <v>330.75728994391989</v>
      </c>
      <c r="J180" s="7">
        <f t="shared" si="10"/>
        <v>1.3127100560801068</v>
      </c>
      <c r="K180" s="7" cm="1">
        <f t="array" ref="K180">INDEX(Sm,G180)</f>
        <v>2.2382077892599441</v>
      </c>
      <c r="L180" s="7">
        <f t="shared" si="11"/>
        <v>332.99549773317983</v>
      </c>
      <c r="M180" s="7">
        <f t="shared" si="12"/>
        <v>-0.92549773317983863</v>
      </c>
    </row>
    <row r="181" spans="6:13" ht="18.75" customHeight="1">
      <c r="F181" s="1">
        <v>26846</v>
      </c>
      <c r="G181">
        <f t="shared" si="9"/>
        <v>7</v>
      </c>
      <c r="H181" s="7">
        <v>330.87</v>
      </c>
      <c r="I181" s="7">
        <f>_B*F181+_C</f>
        <v>330.86604757128435</v>
      </c>
      <c r="J181" s="7">
        <f t="shared" si="10"/>
        <v>3.952428715649603E-3</v>
      </c>
      <c r="K181" s="7" cm="1">
        <f t="array" ref="K181">INDEX(Sm,G181)</f>
        <v>0.82390897803401641</v>
      </c>
      <c r="L181" s="7">
        <f t="shared" si="11"/>
        <v>331.68995654931837</v>
      </c>
      <c r="M181" s="7">
        <f t="shared" si="12"/>
        <v>-0.8199565493183627</v>
      </c>
    </row>
    <row r="182" spans="6:13" ht="18.75" customHeight="1">
      <c r="F182" s="1">
        <v>26877</v>
      </c>
      <c r="G182">
        <f t="shared" si="9"/>
        <v>8</v>
      </c>
      <c r="H182" s="7">
        <v>329.31</v>
      </c>
      <c r="I182" s="7">
        <f>_B*F182+_C</f>
        <v>330.97843045289432</v>
      </c>
      <c r="J182" s="7">
        <f t="shared" si="10"/>
        <v>-1.668430452894313</v>
      </c>
      <c r="K182" s="7" cm="1">
        <f t="array" ref="K182">INDEX(Sm,G182)</f>
        <v>-1.2322834273854675</v>
      </c>
      <c r="L182" s="7">
        <f t="shared" si="11"/>
        <v>329.74614702550883</v>
      </c>
      <c r="M182" s="7">
        <f t="shared" si="12"/>
        <v>-0.43614702550883067</v>
      </c>
    </row>
    <row r="183" spans="6:13" ht="18.75" customHeight="1">
      <c r="F183" s="1">
        <v>26908</v>
      </c>
      <c r="G183">
        <f t="shared" si="9"/>
        <v>9</v>
      </c>
      <c r="H183" s="7">
        <v>327.51</v>
      </c>
      <c r="I183" s="7">
        <f>_B*F183+_C</f>
        <v>331.09081333450428</v>
      </c>
      <c r="J183" s="7">
        <f t="shared" si="10"/>
        <v>-3.5808133345042847</v>
      </c>
      <c r="K183" s="7" cm="1">
        <f t="array" ref="K183">INDEX(Sm,G183)</f>
        <v>-3.0765710709001954</v>
      </c>
      <c r="L183" s="7">
        <f t="shared" si="11"/>
        <v>328.0142422636041</v>
      </c>
      <c r="M183" s="7">
        <f t="shared" si="12"/>
        <v>-0.5042422636041124</v>
      </c>
    </row>
    <row r="184" spans="6:13" ht="18.75" customHeight="1">
      <c r="F184" s="1">
        <v>26938</v>
      </c>
      <c r="G184">
        <f t="shared" si="9"/>
        <v>10</v>
      </c>
      <c r="H184" s="7">
        <v>327.18</v>
      </c>
      <c r="I184" s="7">
        <f>_B*F184+_C</f>
        <v>331.19957096186874</v>
      </c>
      <c r="J184" s="7">
        <f t="shared" si="10"/>
        <v>-4.0195709618687374</v>
      </c>
      <c r="K184" s="7" cm="1">
        <f t="array" ref="K184">INDEX(Sm,G184)</f>
        <v>-3.3570000579572215</v>
      </c>
      <c r="L184" s="7">
        <f t="shared" si="11"/>
        <v>327.84257090391151</v>
      </c>
      <c r="M184" s="7">
        <f t="shared" si="12"/>
        <v>-0.66257090391150086</v>
      </c>
    </row>
    <row r="185" spans="6:13" ht="18.75" customHeight="1">
      <c r="F185" s="1">
        <v>26969</v>
      </c>
      <c r="G185">
        <f t="shared" si="9"/>
        <v>11</v>
      </c>
      <c r="H185" s="7">
        <v>328.16</v>
      </c>
      <c r="I185" s="7">
        <f>_B*F185+_C</f>
        <v>331.3119538434787</v>
      </c>
      <c r="J185" s="7">
        <f t="shared" si="10"/>
        <v>-3.1519538434786796</v>
      </c>
      <c r="K185" s="7" cm="1">
        <f t="array" ref="K185">INDEX(Sm,G185)</f>
        <v>-2.069140151303194</v>
      </c>
      <c r="L185" s="7">
        <f t="shared" si="11"/>
        <v>329.2428136921755</v>
      </c>
      <c r="M185" s="7">
        <f t="shared" si="12"/>
        <v>-1.0828136921754776</v>
      </c>
    </row>
    <row r="186" spans="6:13" ht="18.75" customHeight="1">
      <c r="F186" s="1">
        <v>26999</v>
      </c>
      <c r="G186">
        <f t="shared" si="9"/>
        <v>12</v>
      </c>
      <c r="H186" s="7">
        <v>328.64</v>
      </c>
      <c r="I186" s="7">
        <f>_B*F186+_C</f>
        <v>331.42071147084317</v>
      </c>
      <c r="J186" s="7">
        <f t="shared" si="10"/>
        <v>-2.7807114708431868</v>
      </c>
      <c r="K186" s="7" cm="1">
        <f t="array" ref="K186">INDEX(Sm,G186)</f>
        <v>-0.94051682628672428</v>
      </c>
      <c r="L186" s="7">
        <f t="shared" si="11"/>
        <v>330.48019464455643</v>
      </c>
      <c r="M186" s="7">
        <f t="shared" si="12"/>
        <v>-1.8401946445564477</v>
      </c>
    </row>
    <row r="187" spans="6:13" ht="18.75" customHeight="1">
      <c r="F187" s="1">
        <v>27030</v>
      </c>
      <c r="G187">
        <f t="shared" si="9"/>
        <v>1</v>
      </c>
      <c r="H187" s="7">
        <v>329.35</v>
      </c>
      <c r="I187" s="7">
        <f>_B*F187+_C</f>
        <v>331.53309435245313</v>
      </c>
      <c r="J187" s="7">
        <f t="shared" si="10"/>
        <v>-2.1830943524531108</v>
      </c>
      <c r="K187" s="7" cm="1">
        <f t="array" ref="K187">INDEX(Sm,G187)</f>
        <v>-2.6471136468108808E-2</v>
      </c>
      <c r="L187" s="7">
        <f t="shared" si="11"/>
        <v>331.50662321598503</v>
      </c>
      <c r="M187" s="7">
        <f t="shared" si="12"/>
        <v>-2.1566232159850074</v>
      </c>
    </row>
    <row r="188" spans="6:13" ht="18.75" customHeight="1">
      <c r="F188" s="1">
        <v>27061</v>
      </c>
      <c r="G188">
        <f t="shared" si="9"/>
        <v>2</v>
      </c>
      <c r="H188" s="7">
        <v>330.71</v>
      </c>
      <c r="I188" s="7">
        <f>_B*F188+_C</f>
        <v>331.64547723406309</v>
      </c>
      <c r="J188" s="7">
        <f t="shared" si="10"/>
        <v>-0.93547723406311434</v>
      </c>
      <c r="K188" s="7" cm="1">
        <f t="array" ref="K188">INDEX(Sm,G188)</f>
        <v>0.58733060283015548</v>
      </c>
      <c r="L188" s="7">
        <f t="shared" si="11"/>
        <v>332.23280783689324</v>
      </c>
      <c r="M188" s="7">
        <f t="shared" si="12"/>
        <v>-1.5228078368932643</v>
      </c>
    </row>
    <row r="189" spans="6:13" ht="18.75" customHeight="1">
      <c r="F189" s="1">
        <v>27089</v>
      </c>
      <c r="G189">
        <f t="shared" si="9"/>
        <v>3</v>
      </c>
      <c r="H189" s="7">
        <v>331.48</v>
      </c>
      <c r="I189" s="7">
        <f>_B*F189+_C</f>
        <v>331.74698435293658</v>
      </c>
      <c r="J189" s="7">
        <f t="shared" si="10"/>
        <v>-0.26698435293656075</v>
      </c>
      <c r="K189" s="7" cm="1">
        <f t="array" ref="K189">INDEX(Sm,G189)</f>
        <v>1.4390836132721692</v>
      </c>
      <c r="L189" s="7">
        <f t="shared" si="11"/>
        <v>333.18606796620873</v>
      </c>
      <c r="M189" s="7">
        <f t="shared" si="12"/>
        <v>-1.7060679662087068</v>
      </c>
    </row>
    <row r="190" spans="6:13" ht="18.75" customHeight="1">
      <c r="F190" s="1">
        <v>27120</v>
      </c>
      <c r="G190">
        <f t="shared" si="9"/>
        <v>4</v>
      </c>
      <c r="H190" s="7">
        <v>332.65</v>
      </c>
      <c r="I190" s="7">
        <f>_B*F190+_C</f>
        <v>331.85936723454654</v>
      </c>
      <c r="J190" s="7">
        <f t="shared" si="10"/>
        <v>0.79063276545343797</v>
      </c>
      <c r="K190" s="7" cm="1">
        <f t="array" ref="K190">INDEX(Sm,G190)</f>
        <v>2.6009864459479211</v>
      </c>
      <c r="L190" s="7">
        <f t="shared" si="11"/>
        <v>334.46035368049445</v>
      </c>
      <c r="M190" s="7">
        <f t="shared" si="12"/>
        <v>-1.8103536804944724</v>
      </c>
    </row>
    <row r="191" spans="6:13" ht="18.75" customHeight="1">
      <c r="F191" s="1">
        <v>27150</v>
      </c>
      <c r="G191">
        <f t="shared" si="9"/>
        <v>5</v>
      </c>
      <c r="H191" s="7">
        <v>333.09</v>
      </c>
      <c r="I191" s="7">
        <f>_B*F191+_C</f>
        <v>331.96812486191106</v>
      </c>
      <c r="J191" s="7">
        <f t="shared" si="10"/>
        <v>1.1218751380889103</v>
      </c>
      <c r="K191" s="7" cm="1">
        <f t="array" ref="K191">INDEX(Sm,G191)</f>
        <v>2.9998113917703657</v>
      </c>
      <c r="L191" s="7">
        <f t="shared" si="11"/>
        <v>334.96793625368144</v>
      </c>
      <c r="M191" s="7">
        <f t="shared" si="12"/>
        <v>-1.8779362536814688</v>
      </c>
    </row>
    <row r="192" spans="6:13" ht="18.75" customHeight="1">
      <c r="F192" s="1">
        <v>27181</v>
      </c>
      <c r="G192">
        <f t="shared" si="9"/>
        <v>6</v>
      </c>
      <c r="H192" s="7">
        <v>332.25</v>
      </c>
      <c r="I192" s="7">
        <f>_B*F192+_C</f>
        <v>332.08050774352103</v>
      </c>
      <c r="J192" s="7">
        <f t="shared" si="10"/>
        <v>0.16949225647897492</v>
      </c>
      <c r="K192" s="7" cm="1">
        <f t="array" ref="K192">INDEX(Sm,G192)</f>
        <v>2.2382077892599441</v>
      </c>
      <c r="L192" s="7">
        <f t="shared" si="11"/>
        <v>334.31871553278097</v>
      </c>
      <c r="M192" s="7">
        <f t="shared" si="12"/>
        <v>-2.0687155327809705</v>
      </c>
    </row>
    <row r="193" spans="6:13" ht="18.75" customHeight="1">
      <c r="F193" s="1">
        <v>27211</v>
      </c>
      <c r="G193">
        <f t="shared" si="9"/>
        <v>7</v>
      </c>
      <c r="H193" s="7">
        <v>331.18</v>
      </c>
      <c r="I193" s="7">
        <f>_B*F193+_C</f>
        <v>332.18926537088549</v>
      </c>
      <c r="J193" s="7">
        <f t="shared" si="10"/>
        <v>-1.0092653708854868</v>
      </c>
      <c r="K193" s="7" cm="1">
        <f t="array" ref="K193">INDEX(Sm,G193)</f>
        <v>0.82390897803401641</v>
      </c>
      <c r="L193" s="7">
        <f t="shared" si="11"/>
        <v>333.01317434891951</v>
      </c>
      <c r="M193" s="7">
        <f t="shared" si="12"/>
        <v>-1.8331743489194992</v>
      </c>
    </row>
    <row r="194" spans="6:13" ht="18.75" customHeight="1">
      <c r="F194" s="1">
        <v>27242</v>
      </c>
      <c r="G194">
        <f t="shared" si="9"/>
        <v>8</v>
      </c>
      <c r="H194" s="7">
        <v>329.39</v>
      </c>
      <c r="I194" s="7">
        <f>_B*F194+_C</f>
        <v>332.30164825249545</v>
      </c>
      <c r="J194" s="7">
        <f t="shared" si="10"/>
        <v>-2.9116482524954677</v>
      </c>
      <c r="K194" s="7" cm="1">
        <f t="array" ref="K194">INDEX(Sm,G194)</f>
        <v>-1.2322834273854675</v>
      </c>
      <c r="L194" s="7">
        <f t="shared" si="11"/>
        <v>331.06936482510997</v>
      </c>
      <c r="M194" s="7">
        <f t="shared" si="12"/>
        <v>-1.6793648251099853</v>
      </c>
    </row>
    <row r="195" spans="6:13" ht="18.75" customHeight="1">
      <c r="F195" s="1">
        <v>27273</v>
      </c>
      <c r="G195">
        <f t="shared" ref="G195:G258" si="13">MONTH(F195)</f>
        <v>9</v>
      </c>
      <c r="H195" s="7">
        <v>327.43</v>
      </c>
      <c r="I195" s="7">
        <f>_B*F195+_C</f>
        <v>332.41403113410541</v>
      </c>
      <c r="J195" s="7">
        <f t="shared" ref="J195:J258" si="14">H195-I195</f>
        <v>-4.9840311341054075</v>
      </c>
      <c r="K195" s="7" cm="1">
        <f t="array" ref="K195">INDEX(Sm,G195)</f>
        <v>-3.0765710709001954</v>
      </c>
      <c r="L195" s="7">
        <f t="shared" ref="L195:L258" si="15">I195+K195</f>
        <v>329.33746006320524</v>
      </c>
      <c r="M195" s="7">
        <f t="shared" ref="M195:M258" si="16">H195-L195</f>
        <v>-1.9074600632052352</v>
      </c>
    </row>
    <row r="196" spans="6:13" ht="18.75" customHeight="1">
      <c r="F196" s="1">
        <v>27303</v>
      </c>
      <c r="G196">
        <f t="shared" si="13"/>
        <v>10</v>
      </c>
      <c r="H196" s="7">
        <v>327.37</v>
      </c>
      <c r="I196" s="7">
        <f>_B*F196+_C</f>
        <v>332.52278876146988</v>
      </c>
      <c r="J196" s="7">
        <f t="shared" si="14"/>
        <v>-5.1527887614698784</v>
      </c>
      <c r="K196" s="7" cm="1">
        <f t="array" ref="K196">INDEX(Sm,G196)</f>
        <v>-3.3570000579572215</v>
      </c>
      <c r="L196" s="7">
        <f t="shared" si="15"/>
        <v>329.16578870351265</v>
      </c>
      <c r="M196" s="7">
        <f t="shared" si="16"/>
        <v>-1.7957887035126419</v>
      </c>
    </row>
    <row r="197" spans="6:13" ht="18.75" customHeight="1">
      <c r="F197" s="1">
        <v>27334</v>
      </c>
      <c r="G197">
        <f t="shared" si="13"/>
        <v>11</v>
      </c>
      <c r="H197" s="7">
        <v>328.46</v>
      </c>
      <c r="I197" s="7">
        <f>_B*F197+_C</f>
        <v>332.63517164307984</v>
      </c>
      <c r="J197" s="7">
        <f t="shared" si="14"/>
        <v>-4.1751716430798638</v>
      </c>
      <c r="K197" s="7" cm="1">
        <f t="array" ref="K197">INDEX(Sm,G197)</f>
        <v>-2.069140151303194</v>
      </c>
      <c r="L197" s="7">
        <f t="shared" si="15"/>
        <v>330.56603149177664</v>
      </c>
      <c r="M197" s="7">
        <f t="shared" si="16"/>
        <v>-2.1060314917766618</v>
      </c>
    </row>
    <row r="198" spans="6:13" ht="18.75" customHeight="1">
      <c r="F198" s="1">
        <v>27364</v>
      </c>
      <c r="G198">
        <f t="shared" si="13"/>
        <v>12</v>
      </c>
      <c r="H198" s="7">
        <v>329.57</v>
      </c>
      <c r="I198" s="7">
        <f>_B*F198+_C</f>
        <v>332.74392927044431</v>
      </c>
      <c r="J198" s="7">
        <f t="shared" si="14"/>
        <v>-3.1739292704443187</v>
      </c>
      <c r="K198" s="7" cm="1">
        <f t="array" ref="K198">INDEX(Sm,G198)</f>
        <v>-0.94051682628672428</v>
      </c>
      <c r="L198" s="7">
        <f t="shared" si="15"/>
        <v>331.80341244415757</v>
      </c>
      <c r="M198" s="7">
        <f t="shared" si="16"/>
        <v>-2.2334124441575796</v>
      </c>
    </row>
    <row r="199" spans="6:13" ht="18.75" customHeight="1">
      <c r="F199" s="1">
        <v>27395</v>
      </c>
      <c r="G199">
        <f t="shared" si="13"/>
        <v>1</v>
      </c>
      <c r="H199" s="7">
        <v>330.4</v>
      </c>
      <c r="I199" s="7">
        <f>_B*F199+_C</f>
        <v>332.85631215205427</v>
      </c>
      <c r="J199" s="7">
        <f t="shared" si="14"/>
        <v>-2.456312152054295</v>
      </c>
      <c r="K199" s="7" cm="1">
        <f t="array" ref="K199">INDEX(Sm,G199)</f>
        <v>-2.6471136468108808E-2</v>
      </c>
      <c r="L199" s="7">
        <f t="shared" si="15"/>
        <v>332.82984101558617</v>
      </c>
      <c r="M199" s="7">
        <f t="shared" si="16"/>
        <v>-2.4298410155861916</v>
      </c>
    </row>
    <row r="200" spans="6:13" ht="18.75" customHeight="1">
      <c r="F200" s="1">
        <v>27426</v>
      </c>
      <c r="G200">
        <f t="shared" si="13"/>
        <v>2</v>
      </c>
      <c r="H200" s="7">
        <v>331.4</v>
      </c>
      <c r="I200" s="7">
        <f>_B*F200+_C</f>
        <v>332.96869503366423</v>
      </c>
      <c r="J200" s="7">
        <f t="shared" si="14"/>
        <v>-1.5686950336642553</v>
      </c>
      <c r="K200" s="7" cm="1">
        <f t="array" ref="K200">INDEX(Sm,G200)</f>
        <v>0.58733060283015548</v>
      </c>
      <c r="L200" s="7">
        <f t="shared" si="15"/>
        <v>333.55602563649438</v>
      </c>
      <c r="M200" s="7">
        <f t="shared" si="16"/>
        <v>-2.1560256364944053</v>
      </c>
    </row>
    <row r="201" spans="6:13" ht="18.75" customHeight="1">
      <c r="F201" s="1">
        <v>27454</v>
      </c>
      <c r="G201">
        <f t="shared" si="13"/>
        <v>3</v>
      </c>
      <c r="H201" s="7">
        <v>332.04</v>
      </c>
      <c r="I201" s="7">
        <f>_B*F201+_C</f>
        <v>333.07020215253772</v>
      </c>
      <c r="J201" s="7">
        <f t="shared" si="14"/>
        <v>-1.0302021525376972</v>
      </c>
      <c r="K201" s="7" cm="1">
        <f t="array" ref="K201">INDEX(Sm,G201)</f>
        <v>1.4390836132721692</v>
      </c>
      <c r="L201" s="7">
        <f t="shared" si="15"/>
        <v>334.50928576580986</v>
      </c>
      <c r="M201" s="7">
        <f t="shared" si="16"/>
        <v>-2.4692857658098433</v>
      </c>
    </row>
    <row r="202" spans="6:13" ht="18.75" customHeight="1">
      <c r="F202" s="1">
        <v>27485</v>
      </c>
      <c r="G202">
        <f t="shared" si="13"/>
        <v>4</v>
      </c>
      <c r="H202" s="7">
        <v>333.31</v>
      </c>
      <c r="I202" s="7">
        <f>_B*F202+_C</f>
        <v>333.18258503414768</v>
      </c>
      <c r="J202" s="7">
        <f t="shared" si="14"/>
        <v>0.12741496585232426</v>
      </c>
      <c r="K202" s="7" cm="1">
        <f t="array" ref="K202">INDEX(Sm,G202)</f>
        <v>2.6009864459479211</v>
      </c>
      <c r="L202" s="7">
        <f t="shared" si="15"/>
        <v>335.78357148009559</v>
      </c>
      <c r="M202" s="7">
        <f t="shared" si="16"/>
        <v>-2.4735714800955861</v>
      </c>
    </row>
    <row r="203" spans="6:13" ht="18.75" customHeight="1">
      <c r="F203" s="1">
        <v>27515</v>
      </c>
      <c r="G203">
        <f t="shared" si="13"/>
        <v>5</v>
      </c>
      <c r="H203" s="7">
        <v>333.97</v>
      </c>
      <c r="I203" s="7">
        <f>_B*F203+_C</f>
        <v>333.2913426615122</v>
      </c>
      <c r="J203" s="7">
        <f t="shared" si="14"/>
        <v>0.67865733848782384</v>
      </c>
      <c r="K203" s="7" cm="1">
        <f t="array" ref="K203">INDEX(Sm,G203)</f>
        <v>2.9998113917703657</v>
      </c>
      <c r="L203" s="7">
        <f t="shared" si="15"/>
        <v>336.29115405328258</v>
      </c>
      <c r="M203" s="7">
        <f t="shared" si="16"/>
        <v>-2.3211540532825552</v>
      </c>
    </row>
    <row r="204" spans="6:13" ht="18.75" customHeight="1">
      <c r="F204" s="1">
        <v>27546</v>
      </c>
      <c r="G204">
        <f t="shared" si="13"/>
        <v>6</v>
      </c>
      <c r="H204" s="7">
        <v>333.6</v>
      </c>
      <c r="I204" s="7">
        <f>_B*F204+_C</f>
        <v>333.40372554312216</v>
      </c>
      <c r="J204" s="7">
        <f t="shared" si="14"/>
        <v>0.19627445687785894</v>
      </c>
      <c r="K204" s="7" cm="1">
        <f t="array" ref="K204">INDEX(Sm,G204)</f>
        <v>2.2382077892599441</v>
      </c>
      <c r="L204" s="7">
        <f t="shared" si="15"/>
        <v>335.64193333238211</v>
      </c>
      <c r="M204" s="7">
        <f t="shared" si="16"/>
        <v>-2.0419333323820865</v>
      </c>
    </row>
    <row r="205" spans="6:13" ht="18.75" customHeight="1">
      <c r="F205" s="1">
        <v>27576</v>
      </c>
      <c r="G205">
        <f t="shared" si="13"/>
        <v>7</v>
      </c>
      <c r="H205" s="7">
        <v>331.9</v>
      </c>
      <c r="I205" s="7">
        <f>_B*F205+_C</f>
        <v>333.51248317048663</v>
      </c>
      <c r="J205" s="7">
        <f t="shared" si="14"/>
        <v>-1.6124831704866551</v>
      </c>
      <c r="K205" s="7" cm="1">
        <f t="array" ref="K205">INDEX(Sm,G205)</f>
        <v>0.82390897803401641</v>
      </c>
      <c r="L205" s="7">
        <f t="shared" si="15"/>
        <v>334.33639214852064</v>
      </c>
      <c r="M205" s="7">
        <f t="shared" si="16"/>
        <v>-2.4363921485206674</v>
      </c>
    </row>
    <row r="206" spans="6:13" ht="18.75" customHeight="1">
      <c r="F206" s="1">
        <v>27607</v>
      </c>
      <c r="G206">
        <f t="shared" si="13"/>
        <v>8</v>
      </c>
      <c r="H206" s="7">
        <v>330.06</v>
      </c>
      <c r="I206" s="7">
        <f>_B*F206+_C</f>
        <v>333.62486605209659</v>
      </c>
      <c r="J206" s="7">
        <f t="shared" si="14"/>
        <v>-3.5648660520965905</v>
      </c>
      <c r="K206" s="7" cm="1">
        <f t="array" ref="K206">INDEX(Sm,G206)</f>
        <v>-1.2322834273854675</v>
      </c>
      <c r="L206" s="7">
        <f t="shared" si="15"/>
        <v>332.39258262471111</v>
      </c>
      <c r="M206" s="7">
        <f t="shared" si="16"/>
        <v>-2.3325826247111081</v>
      </c>
    </row>
    <row r="207" spans="6:13" ht="18.75" customHeight="1">
      <c r="F207" s="1">
        <v>27638</v>
      </c>
      <c r="G207">
        <f t="shared" si="13"/>
        <v>9</v>
      </c>
      <c r="H207" s="7">
        <v>328.56</v>
      </c>
      <c r="I207" s="7">
        <f>_B*F207+_C</f>
        <v>333.73724893370655</v>
      </c>
      <c r="J207" s="7">
        <f t="shared" si="14"/>
        <v>-5.1772489337065508</v>
      </c>
      <c r="K207" s="7" cm="1">
        <f t="array" ref="K207">INDEX(Sm,G207)</f>
        <v>-3.0765710709001954</v>
      </c>
      <c r="L207" s="7">
        <f t="shared" si="15"/>
        <v>330.66067786280638</v>
      </c>
      <c r="M207" s="7">
        <f t="shared" si="16"/>
        <v>-2.1006778628063785</v>
      </c>
    </row>
    <row r="208" spans="6:13" ht="18.75" customHeight="1">
      <c r="F208" s="1">
        <v>27668</v>
      </c>
      <c r="G208">
        <f t="shared" si="13"/>
        <v>10</v>
      </c>
      <c r="H208" s="7">
        <v>328.34</v>
      </c>
      <c r="I208" s="7">
        <f>_B*F208+_C</f>
        <v>333.84600656107102</v>
      </c>
      <c r="J208" s="7">
        <f t="shared" si="14"/>
        <v>-5.5060065610710467</v>
      </c>
      <c r="K208" s="7" cm="1">
        <f t="array" ref="K208">INDEX(Sm,G208)</f>
        <v>-3.3570000579572215</v>
      </c>
      <c r="L208" s="7">
        <f t="shared" si="15"/>
        <v>330.48900650311379</v>
      </c>
      <c r="M208" s="7">
        <f t="shared" si="16"/>
        <v>-2.1490065031138101</v>
      </c>
    </row>
    <row r="209" spans="6:13" ht="18.75" customHeight="1">
      <c r="F209" s="1">
        <v>27699</v>
      </c>
      <c r="G209">
        <f t="shared" si="13"/>
        <v>11</v>
      </c>
      <c r="H209" s="7">
        <v>329.49</v>
      </c>
      <c r="I209" s="7">
        <f>_B*F209+_C</f>
        <v>333.95838944268098</v>
      </c>
      <c r="J209" s="7">
        <f t="shared" si="14"/>
        <v>-4.4683894426809729</v>
      </c>
      <c r="K209" s="7" cm="1">
        <f t="array" ref="K209">INDEX(Sm,G209)</f>
        <v>-2.069140151303194</v>
      </c>
      <c r="L209" s="7">
        <f t="shared" si="15"/>
        <v>331.88924929137778</v>
      </c>
      <c r="M209" s="7">
        <f t="shared" si="16"/>
        <v>-2.399249291377771</v>
      </c>
    </row>
    <row r="210" spans="6:13" ht="18.75" customHeight="1">
      <c r="F210" s="1">
        <v>27729</v>
      </c>
      <c r="G210">
        <f t="shared" si="13"/>
        <v>12</v>
      </c>
      <c r="H210" s="7">
        <v>330.76</v>
      </c>
      <c r="I210" s="7">
        <f>_B*F210+_C</f>
        <v>334.06714707004545</v>
      </c>
      <c r="J210" s="7">
        <f t="shared" si="14"/>
        <v>-3.3071470700454597</v>
      </c>
      <c r="K210" s="7" cm="1">
        <f t="array" ref="K210">INDEX(Sm,G210)</f>
        <v>-0.94051682628672428</v>
      </c>
      <c r="L210" s="7">
        <f t="shared" si="15"/>
        <v>333.12663024375871</v>
      </c>
      <c r="M210" s="7">
        <f t="shared" si="16"/>
        <v>-2.3666302437587206</v>
      </c>
    </row>
    <row r="211" spans="6:13" ht="18.75" customHeight="1">
      <c r="F211" s="1">
        <v>27760</v>
      </c>
      <c r="G211">
        <f t="shared" si="13"/>
        <v>1</v>
      </c>
      <c r="H211" s="7">
        <v>331.75</v>
      </c>
      <c r="I211" s="7">
        <f>_B*F211+_C</f>
        <v>334.17952995165541</v>
      </c>
      <c r="J211" s="7">
        <f t="shared" si="14"/>
        <v>-2.429529951655411</v>
      </c>
      <c r="K211" s="7" cm="1">
        <f t="array" ref="K211">INDEX(Sm,G211)</f>
        <v>-2.6471136468108808E-2</v>
      </c>
      <c r="L211" s="7">
        <f t="shared" si="15"/>
        <v>334.15305881518731</v>
      </c>
      <c r="M211" s="7">
        <f t="shared" si="16"/>
        <v>-2.4030588151873076</v>
      </c>
    </row>
    <row r="212" spans="6:13" ht="18.75" customHeight="1">
      <c r="F212" s="1">
        <v>27791</v>
      </c>
      <c r="G212">
        <f t="shared" si="13"/>
        <v>2</v>
      </c>
      <c r="H212" s="7">
        <v>332.57</v>
      </c>
      <c r="I212" s="7">
        <f>_B*F212+_C</f>
        <v>334.29191283326537</v>
      </c>
      <c r="J212" s="7">
        <f t="shared" si="14"/>
        <v>-1.7219128332653781</v>
      </c>
      <c r="K212" s="7" cm="1">
        <f t="array" ref="K212">INDEX(Sm,G212)</f>
        <v>0.58733060283015548</v>
      </c>
      <c r="L212" s="7">
        <f t="shared" si="15"/>
        <v>334.87924343609552</v>
      </c>
      <c r="M212" s="7">
        <f t="shared" si="16"/>
        <v>-2.3092434360955281</v>
      </c>
    </row>
    <row r="213" spans="6:13" ht="18.75" customHeight="1">
      <c r="F213" s="1">
        <v>27820</v>
      </c>
      <c r="G213">
        <f t="shared" si="13"/>
        <v>3</v>
      </c>
      <c r="H213" s="7">
        <v>333.5</v>
      </c>
      <c r="I213" s="7">
        <f>_B*F213+_C</f>
        <v>334.3970452063844</v>
      </c>
      <c r="J213" s="7">
        <f t="shared" si="14"/>
        <v>-0.89704520638440499</v>
      </c>
      <c r="K213" s="7" cm="1">
        <f t="array" ref="K213">INDEX(Sm,G213)</f>
        <v>1.4390836132721692</v>
      </c>
      <c r="L213" s="7">
        <f t="shared" si="15"/>
        <v>335.83612881965655</v>
      </c>
      <c r="M213" s="7">
        <f t="shared" si="16"/>
        <v>-2.3361288196565511</v>
      </c>
    </row>
    <row r="214" spans="6:13" ht="18.75" customHeight="1">
      <c r="F214" s="1">
        <v>27851</v>
      </c>
      <c r="G214">
        <f t="shared" si="13"/>
        <v>4</v>
      </c>
      <c r="H214" s="7">
        <v>334.58</v>
      </c>
      <c r="I214" s="7">
        <f>_B*F214+_C</f>
        <v>334.50942808799437</v>
      </c>
      <c r="J214" s="7">
        <f t="shared" si="14"/>
        <v>7.0571912005618742E-2</v>
      </c>
      <c r="K214" s="7" cm="1">
        <f t="array" ref="K214">INDEX(Sm,G214)</f>
        <v>2.6009864459479211</v>
      </c>
      <c r="L214" s="7">
        <f t="shared" si="15"/>
        <v>337.11041453394228</v>
      </c>
      <c r="M214" s="7">
        <f t="shared" si="16"/>
        <v>-2.5304145339422917</v>
      </c>
    </row>
    <row r="215" spans="6:13" ht="18.75" customHeight="1">
      <c r="F215" s="1">
        <v>27881</v>
      </c>
      <c r="G215">
        <f t="shared" si="13"/>
        <v>5</v>
      </c>
      <c r="H215" s="7">
        <v>334.88</v>
      </c>
      <c r="I215" s="7">
        <f>_B*F215+_C</f>
        <v>334.61818571535878</v>
      </c>
      <c r="J215" s="7">
        <f t="shared" si="14"/>
        <v>0.26181428464121836</v>
      </c>
      <c r="K215" s="7" cm="1">
        <f t="array" ref="K215">INDEX(Sm,G215)</f>
        <v>2.9998113917703657</v>
      </c>
      <c r="L215" s="7">
        <f t="shared" si="15"/>
        <v>337.61799710712916</v>
      </c>
      <c r="M215" s="7">
        <f t="shared" si="16"/>
        <v>-2.7379971071291607</v>
      </c>
    </row>
    <row r="216" spans="6:13" ht="18.75" customHeight="1">
      <c r="F216" s="1">
        <v>27912</v>
      </c>
      <c r="G216">
        <f t="shared" si="13"/>
        <v>6</v>
      </c>
      <c r="H216" s="7">
        <v>334.33</v>
      </c>
      <c r="I216" s="7">
        <f>_B*F216+_C</f>
        <v>334.73056859696874</v>
      </c>
      <c r="J216" s="7">
        <f t="shared" si="14"/>
        <v>-0.40056859696875335</v>
      </c>
      <c r="K216" s="7" cm="1">
        <f t="array" ref="K216">INDEX(Sm,G216)</f>
        <v>2.2382077892599441</v>
      </c>
      <c r="L216" s="7">
        <f t="shared" si="15"/>
        <v>336.96877638622868</v>
      </c>
      <c r="M216" s="7">
        <f t="shared" si="16"/>
        <v>-2.6387763862286988</v>
      </c>
    </row>
    <row r="217" spans="6:13" ht="18.75" customHeight="1">
      <c r="F217" s="1">
        <v>27942</v>
      </c>
      <c r="G217">
        <f t="shared" si="13"/>
        <v>7</v>
      </c>
      <c r="H217" s="7">
        <v>333.05</v>
      </c>
      <c r="I217" s="7">
        <f>_B*F217+_C</f>
        <v>334.83932622433326</v>
      </c>
      <c r="J217" s="7">
        <f t="shared" si="14"/>
        <v>-1.7893262243332515</v>
      </c>
      <c r="K217" s="7" cm="1">
        <f t="array" ref="K217">INDEX(Sm,G217)</f>
        <v>0.82390897803401641</v>
      </c>
      <c r="L217" s="7">
        <f t="shared" si="15"/>
        <v>335.66323520236728</v>
      </c>
      <c r="M217" s="7">
        <f t="shared" si="16"/>
        <v>-2.6132352023672638</v>
      </c>
    </row>
    <row r="218" spans="6:13" ht="18.75" customHeight="1">
      <c r="F218" s="1">
        <v>27973</v>
      </c>
      <c r="G218">
        <f t="shared" si="13"/>
        <v>8</v>
      </c>
      <c r="H218" s="7">
        <v>330.94</v>
      </c>
      <c r="I218" s="7">
        <f>_B*F218+_C</f>
        <v>334.95170910594322</v>
      </c>
      <c r="J218" s="7">
        <f t="shared" si="14"/>
        <v>-4.0117091059432255</v>
      </c>
      <c r="K218" s="7" cm="1">
        <f t="array" ref="K218">INDEX(Sm,G218)</f>
        <v>-1.2322834273854675</v>
      </c>
      <c r="L218" s="7">
        <f t="shared" si="15"/>
        <v>333.71942567855774</v>
      </c>
      <c r="M218" s="7">
        <f t="shared" si="16"/>
        <v>-2.7794256785577431</v>
      </c>
    </row>
    <row r="219" spans="6:13" ht="18.75" customHeight="1">
      <c r="F219" s="1">
        <v>28004</v>
      </c>
      <c r="G219">
        <f t="shared" si="13"/>
        <v>9</v>
      </c>
      <c r="H219" s="7">
        <v>329.3</v>
      </c>
      <c r="I219" s="7">
        <f>_B*F219+_C</f>
        <v>335.06409198755318</v>
      </c>
      <c r="J219" s="7">
        <f t="shared" si="14"/>
        <v>-5.7640919875531722</v>
      </c>
      <c r="K219" s="7" cm="1">
        <f t="array" ref="K219">INDEX(Sm,G219)</f>
        <v>-3.0765710709001954</v>
      </c>
      <c r="L219" s="7">
        <f t="shared" si="15"/>
        <v>331.98752091665301</v>
      </c>
      <c r="M219" s="7">
        <f t="shared" si="16"/>
        <v>-2.6875209166529999</v>
      </c>
    </row>
    <row r="220" spans="6:13" ht="18.75" customHeight="1">
      <c r="F220" s="1">
        <v>28034</v>
      </c>
      <c r="G220">
        <f t="shared" si="13"/>
        <v>10</v>
      </c>
      <c r="H220" s="7">
        <v>328.94</v>
      </c>
      <c r="I220" s="7">
        <f>_B*F220+_C</f>
        <v>335.17284961491765</v>
      </c>
      <c r="J220" s="7">
        <f t="shared" si="14"/>
        <v>-6.2328496149176544</v>
      </c>
      <c r="K220" s="7" cm="1">
        <f t="array" ref="K220">INDEX(Sm,G220)</f>
        <v>-3.3570000579572215</v>
      </c>
      <c r="L220" s="7">
        <f t="shared" si="15"/>
        <v>331.81584955696042</v>
      </c>
      <c r="M220" s="7">
        <f t="shared" si="16"/>
        <v>-2.8758495569604179</v>
      </c>
    </row>
    <row r="221" spans="6:13" ht="18.75" customHeight="1">
      <c r="F221" s="1">
        <v>28065</v>
      </c>
      <c r="G221">
        <f t="shared" si="13"/>
        <v>11</v>
      </c>
      <c r="H221" s="7">
        <v>330.31</v>
      </c>
      <c r="I221" s="7">
        <f>_B*F221+_C</f>
        <v>335.28523249652761</v>
      </c>
      <c r="J221" s="7">
        <f t="shared" si="14"/>
        <v>-4.9752324965276102</v>
      </c>
      <c r="K221" s="7" cm="1">
        <f t="array" ref="K221">INDEX(Sm,G221)</f>
        <v>-2.069140151303194</v>
      </c>
      <c r="L221" s="7">
        <f t="shared" si="15"/>
        <v>333.21609234522441</v>
      </c>
      <c r="M221" s="7">
        <f t="shared" si="16"/>
        <v>-2.9060923452244083</v>
      </c>
    </row>
    <row r="222" spans="6:13" ht="18.75" customHeight="1">
      <c r="F222" s="1">
        <v>28095</v>
      </c>
      <c r="G222">
        <f t="shared" si="13"/>
        <v>12</v>
      </c>
      <c r="H222" s="7">
        <v>331.68</v>
      </c>
      <c r="I222" s="7">
        <f>_B*F222+_C</f>
        <v>335.39399012389208</v>
      </c>
      <c r="J222" s="7">
        <f t="shared" si="14"/>
        <v>-3.7139901238920743</v>
      </c>
      <c r="K222" s="7" cm="1">
        <f t="array" ref="K222">INDEX(Sm,G222)</f>
        <v>-0.94051682628672428</v>
      </c>
      <c r="L222" s="7">
        <f t="shared" si="15"/>
        <v>334.45347329760534</v>
      </c>
      <c r="M222" s="7">
        <f t="shared" si="16"/>
        <v>-2.7734732976053351</v>
      </c>
    </row>
    <row r="223" spans="6:13" ht="18.75" customHeight="1">
      <c r="F223" s="1">
        <v>28126</v>
      </c>
      <c r="G223">
        <f t="shared" si="13"/>
        <v>1</v>
      </c>
      <c r="H223" s="7">
        <v>332.93</v>
      </c>
      <c r="I223" s="7">
        <f>_B*F223+_C</f>
        <v>335.50637300550204</v>
      </c>
      <c r="J223" s="7">
        <f t="shared" si="14"/>
        <v>-2.5763730055020346</v>
      </c>
      <c r="K223" s="7" cm="1">
        <f t="array" ref="K223">INDEX(Sm,G223)</f>
        <v>-2.6471136468108808E-2</v>
      </c>
      <c r="L223" s="7">
        <f t="shared" si="15"/>
        <v>335.47990186903394</v>
      </c>
      <c r="M223" s="7">
        <f t="shared" si="16"/>
        <v>-2.5499018690339312</v>
      </c>
    </row>
    <row r="224" spans="6:13" ht="18.75" customHeight="1">
      <c r="F224" s="1">
        <v>28157</v>
      </c>
      <c r="G224">
        <f t="shared" si="13"/>
        <v>2</v>
      </c>
      <c r="H224" s="7">
        <v>333.42</v>
      </c>
      <c r="I224" s="7">
        <f>_B*F224+_C</f>
        <v>335.618755887112</v>
      </c>
      <c r="J224" s="7">
        <f t="shared" si="14"/>
        <v>-2.1987558871119859</v>
      </c>
      <c r="K224" s="7" cm="1">
        <f t="array" ref="K224">INDEX(Sm,G224)</f>
        <v>0.58733060283015548</v>
      </c>
      <c r="L224" s="7">
        <f t="shared" si="15"/>
        <v>336.20608648994215</v>
      </c>
      <c r="M224" s="7">
        <f t="shared" si="16"/>
        <v>-2.7860864899421358</v>
      </c>
    </row>
    <row r="225" spans="6:13" ht="18.75" customHeight="1">
      <c r="F225" s="1">
        <v>28185</v>
      </c>
      <c r="G225">
        <f t="shared" si="13"/>
        <v>3</v>
      </c>
      <c r="H225" s="7">
        <v>334.7</v>
      </c>
      <c r="I225" s="7">
        <f>_B*F225+_C</f>
        <v>335.72026300598554</v>
      </c>
      <c r="J225" s="7">
        <f t="shared" si="14"/>
        <v>-1.0202630059855551</v>
      </c>
      <c r="K225" s="7" cm="1">
        <f t="array" ref="K225">INDEX(Sm,G225)</f>
        <v>1.4390836132721692</v>
      </c>
      <c r="L225" s="7">
        <f t="shared" si="15"/>
        <v>337.15934661925769</v>
      </c>
      <c r="M225" s="7">
        <f t="shared" si="16"/>
        <v>-2.4593466192577011</v>
      </c>
    </row>
    <row r="226" spans="6:13" ht="18.75" customHeight="1">
      <c r="F226" s="1">
        <v>28216</v>
      </c>
      <c r="G226">
        <f t="shared" si="13"/>
        <v>4</v>
      </c>
      <c r="H226" s="7">
        <v>336.07</v>
      </c>
      <c r="I226" s="7">
        <f>_B*F226+_C</f>
        <v>335.8326458875955</v>
      </c>
      <c r="J226" s="7">
        <f t="shared" si="14"/>
        <v>0.23735411240448911</v>
      </c>
      <c r="K226" s="7" cm="1">
        <f t="array" ref="K226">INDEX(Sm,G226)</f>
        <v>2.6009864459479211</v>
      </c>
      <c r="L226" s="7">
        <f t="shared" si="15"/>
        <v>338.43363233354341</v>
      </c>
      <c r="M226" s="7">
        <f t="shared" si="16"/>
        <v>-2.3636323335434213</v>
      </c>
    </row>
    <row r="227" spans="6:13" ht="18.75" customHeight="1">
      <c r="F227" s="1">
        <v>28246</v>
      </c>
      <c r="G227">
        <f t="shared" si="13"/>
        <v>5</v>
      </c>
      <c r="H227" s="7">
        <v>336.75</v>
      </c>
      <c r="I227" s="7">
        <f>_B*F227+_C</f>
        <v>335.94140351495997</v>
      </c>
      <c r="J227" s="7">
        <f t="shared" si="14"/>
        <v>0.80859648504002735</v>
      </c>
      <c r="K227" s="7" cm="1">
        <f t="array" ref="K227">INDEX(Sm,G227)</f>
        <v>2.9998113917703657</v>
      </c>
      <c r="L227" s="7">
        <f t="shared" si="15"/>
        <v>338.94121490673035</v>
      </c>
      <c r="M227" s="7">
        <f t="shared" si="16"/>
        <v>-2.1912149067303517</v>
      </c>
    </row>
    <row r="228" spans="6:13" ht="18.75" customHeight="1">
      <c r="F228" s="1">
        <v>28277</v>
      </c>
      <c r="G228">
        <f t="shared" si="13"/>
        <v>6</v>
      </c>
      <c r="H228" s="7">
        <v>336.27</v>
      </c>
      <c r="I228" s="7">
        <f>_B*F228+_C</f>
        <v>336.05378639656993</v>
      </c>
      <c r="J228" s="7">
        <f t="shared" si="14"/>
        <v>0.21621360343004881</v>
      </c>
      <c r="K228" s="7" cm="1">
        <f t="array" ref="K228">INDEX(Sm,G228)</f>
        <v>2.2382077892599441</v>
      </c>
      <c r="L228" s="7">
        <f t="shared" si="15"/>
        <v>338.29199418582988</v>
      </c>
      <c r="M228" s="7">
        <f t="shared" si="16"/>
        <v>-2.0219941858298967</v>
      </c>
    </row>
    <row r="229" spans="6:13" ht="18.75" customHeight="1">
      <c r="F229" s="1">
        <v>28307</v>
      </c>
      <c r="G229">
        <f t="shared" si="13"/>
        <v>7</v>
      </c>
      <c r="H229" s="7">
        <v>334.92</v>
      </c>
      <c r="I229" s="7">
        <f>_B*F229+_C</f>
        <v>336.1625440239344</v>
      </c>
      <c r="J229" s="7">
        <f t="shared" si="14"/>
        <v>-1.2425440239343857</v>
      </c>
      <c r="K229" s="7" cm="1">
        <f t="array" ref="K229">INDEX(Sm,G229)</f>
        <v>0.82390897803401641</v>
      </c>
      <c r="L229" s="7">
        <f t="shared" si="15"/>
        <v>336.98645300196841</v>
      </c>
      <c r="M229" s="7">
        <f t="shared" si="16"/>
        <v>-2.066453001968398</v>
      </c>
    </row>
    <row r="230" spans="6:13" ht="18.75" customHeight="1">
      <c r="F230" s="1">
        <v>28338</v>
      </c>
      <c r="G230">
        <f t="shared" si="13"/>
        <v>8</v>
      </c>
      <c r="H230" s="7">
        <v>332.75</v>
      </c>
      <c r="I230" s="7">
        <f>_B*F230+_C</f>
        <v>336.27492690554436</v>
      </c>
      <c r="J230" s="7">
        <f t="shared" si="14"/>
        <v>-3.5249269055443619</v>
      </c>
      <c r="K230" s="7" cm="1">
        <f t="array" ref="K230">INDEX(Sm,G230)</f>
        <v>-1.2322834273854675</v>
      </c>
      <c r="L230" s="7">
        <f t="shared" si="15"/>
        <v>335.04264347815888</v>
      </c>
      <c r="M230" s="7">
        <f t="shared" si="16"/>
        <v>-2.2926434781588796</v>
      </c>
    </row>
    <row r="231" spans="6:13" ht="18.75" customHeight="1">
      <c r="F231" s="1">
        <v>28369</v>
      </c>
      <c r="G231">
        <f t="shared" si="13"/>
        <v>9</v>
      </c>
      <c r="H231" s="7">
        <v>331.59</v>
      </c>
      <c r="I231" s="7">
        <f>_B*F231+_C</f>
        <v>336.38730978715432</v>
      </c>
      <c r="J231" s="7">
        <f t="shared" si="14"/>
        <v>-4.7973097871543473</v>
      </c>
      <c r="K231" s="7" cm="1">
        <f t="array" ref="K231">INDEX(Sm,G231)</f>
        <v>-3.0765710709001954</v>
      </c>
      <c r="L231" s="7">
        <f t="shared" si="15"/>
        <v>333.31073871625415</v>
      </c>
      <c r="M231" s="7">
        <f t="shared" si="16"/>
        <v>-1.720738716254175</v>
      </c>
    </row>
    <row r="232" spans="6:13" ht="18.75" customHeight="1">
      <c r="F232" s="1">
        <v>28399</v>
      </c>
      <c r="G232">
        <f t="shared" si="13"/>
        <v>10</v>
      </c>
      <c r="H232" s="7">
        <v>331.16</v>
      </c>
      <c r="I232" s="7">
        <f>_B*F232+_C</f>
        <v>336.49606741451879</v>
      </c>
      <c r="J232" s="7">
        <f t="shared" si="14"/>
        <v>-5.3360674145187659</v>
      </c>
      <c r="K232" s="7" cm="1">
        <f t="array" ref="K232">INDEX(Sm,G232)</f>
        <v>-3.3570000579572215</v>
      </c>
      <c r="L232" s="7">
        <f t="shared" si="15"/>
        <v>333.13906735656155</v>
      </c>
      <c r="M232" s="7">
        <f t="shared" si="16"/>
        <v>-1.9790673565615293</v>
      </c>
    </row>
    <row r="233" spans="6:13" ht="18.75" customHeight="1">
      <c r="F233" s="1">
        <v>28430</v>
      </c>
      <c r="G233">
        <f t="shared" si="13"/>
        <v>11</v>
      </c>
      <c r="H233" s="7">
        <v>332.4</v>
      </c>
      <c r="I233" s="7">
        <f>_B*F233+_C</f>
        <v>336.60845029612875</v>
      </c>
      <c r="J233" s="7">
        <f t="shared" si="14"/>
        <v>-4.208450296128774</v>
      </c>
      <c r="K233" s="7" cm="1">
        <f t="array" ref="K233">INDEX(Sm,G233)</f>
        <v>-2.069140151303194</v>
      </c>
      <c r="L233" s="7">
        <f t="shared" si="15"/>
        <v>334.53931014482555</v>
      </c>
      <c r="M233" s="7">
        <f t="shared" si="16"/>
        <v>-2.139310144825572</v>
      </c>
    </row>
    <row r="234" spans="6:13" ht="18.75" customHeight="1">
      <c r="F234" s="1">
        <v>28460</v>
      </c>
      <c r="G234">
        <f t="shared" si="13"/>
        <v>12</v>
      </c>
      <c r="H234" s="7">
        <v>333.85</v>
      </c>
      <c r="I234" s="7">
        <f>_B*F234+_C</f>
        <v>336.71720792349322</v>
      </c>
      <c r="J234" s="7">
        <f t="shared" si="14"/>
        <v>-2.8672079234931971</v>
      </c>
      <c r="K234" s="7" cm="1">
        <f t="array" ref="K234">INDEX(Sm,G234)</f>
        <v>-0.94051682628672428</v>
      </c>
      <c r="L234" s="7">
        <f t="shared" si="15"/>
        <v>335.77669109720648</v>
      </c>
      <c r="M234" s="7">
        <f t="shared" si="16"/>
        <v>-1.9266910972064579</v>
      </c>
    </row>
    <row r="235" spans="6:13" ht="18.75" customHeight="1">
      <c r="F235" s="1">
        <v>28491</v>
      </c>
      <c r="G235">
        <f t="shared" si="13"/>
        <v>1</v>
      </c>
      <c r="H235" s="7">
        <v>334.97</v>
      </c>
      <c r="I235" s="7">
        <f>_B*F235+_C</f>
        <v>336.82959080510318</v>
      </c>
      <c r="J235" s="7">
        <f t="shared" si="14"/>
        <v>-1.8595908051031529</v>
      </c>
      <c r="K235" s="7" cm="1">
        <f t="array" ref="K235">INDEX(Sm,G235)</f>
        <v>-2.6471136468108808E-2</v>
      </c>
      <c r="L235" s="7">
        <f t="shared" si="15"/>
        <v>336.80311966863508</v>
      </c>
      <c r="M235" s="7">
        <f t="shared" si="16"/>
        <v>-1.8331196686350495</v>
      </c>
    </row>
    <row r="236" spans="6:13" ht="18.75" customHeight="1">
      <c r="F236" s="1">
        <v>28522</v>
      </c>
      <c r="G236">
        <f t="shared" si="13"/>
        <v>2</v>
      </c>
      <c r="H236" s="7">
        <v>335.39</v>
      </c>
      <c r="I236" s="7">
        <f>_B*F236+_C</f>
        <v>336.94197368671314</v>
      </c>
      <c r="J236" s="7">
        <f t="shared" si="14"/>
        <v>-1.5519736867131542</v>
      </c>
      <c r="K236" s="7" cm="1">
        <f t="array" ref="K236">INDEX(Sm,G236)</f>
        <v>0.58733060283015548</v>
      </c>
      <c r="L236" s="7">
        <f t="shared" si="15"/>
        <v>337.52930428954329</v>
      </c>
      <c r="M236" s="7">
        <f t="shared" si="16"/>
        <v>-2.1393042895433041</v>
      </c>
    </row>
    <row r="237" spans="6:13" ht="18.75" customHeight="1">
      <c r="F237" s="1">
        <v>28550</v>
      </c>
      <c r="G237">
        <f t="shared" si="13"/>
        <v>3</v>
      </c>
      <c r="H237" s="7">
        <v>336.64</v>
      </c>
      <c r="I237" s="7">
        <f>_B*F237+_C</f>
        <v>337.04348080558668</v>
      </c>
      <c r="J237" s="7">
        <f t="shared" si="14"/>
        <v>-0.40348080558669608</v>
      </c>
      <c r="K237" s="7" cm="1">
        <f t="array" ref="K237">INDEX(Sm,G237)</f>
        <v>1.4390836132721692</v>
      </c>
      <c r="L237" s="7">
        <f t="shared" si="15"/>
        <v>338.48256441885883</v>
      </c>
      <c r="M237" s="7">
        <f t="shared" si="16"/>
        <v>-1.8425644188588421</v>
      </c>
    </row>
    <row r="238" spans="6:13" ht="18.75" customHeight="1">
      <c r="F238" s="1">
        <v>28581</v>
      </c>
      <c r="G238">
        <f t="shared" si="13"/>
        <v>4</v>
      </c>
      <c r="H238" s="7">
        <v>337.76</v>
      </c>
      <c r="I238" s="7">
        <f>_B*F238+_C</f>
        <v>337.15586368719664</v>
      </c>
      <c r="J238" s="7">
        <f t="shared" si="14"/>
        <v>0.60413631280334812</v>
      </c>
      <c r="K238" s="7" cm="1">
        <f t="array" ref="K238">INDEX(Sm,G238)</f>
        <v>2.6009864459479211</v>
      </c>
      <c r="L238" s="7">
        <f t="shared" si="15"/>
        <v>339.75685013314455</v>
      </c>
      <c r="M238" s="7">
        <f t="shared" si="16"/>
        <v>-1.9968501331445623</v>
      </c>
    </row>
    <row r="239" spans="6:13" ht="18.75" customHeight="1">
      <c r="F239" s="1">
        <v>28611</v>
      </c>
      <c r="G239">
        <f t="shared" si="13"/>
        <v>5</v>
      </c>
      <c r="H239" s="7">
        <v>338.01</v>
      </c>
      <c r="I239" s="7">
        <f>_B*F239+_C</f>
        <v>337.26462131456111</v>
      </c>
      <c r="J239" s="7">
        <f t="shared" si="14"/>
        <v>0.74537868543887953</v>
      </c>
      <c r="K239" s="7" cm="1">
        <f t="array" ref="K239">INDEX(Sm,G239)</f>
        <v>2.9998113917703657</v>
      </c>
      <c r="L239" s="7">
        <f t="shared" si="15"/>
        <v>340.26443270633149</v>
      </c>
      <c r="M239" s="7">
        <f t="shared" si="16"/>
        <v>-2.2544327063314995</v>
      </c>
    </row>
    <row r="240" spans="6:13" ht="18.75" customHeight="1">
      <c r="F240" s="1">
        <v>28642</v>
      </c>
      <c r="G240">
        <f t="shared" si="13"/>
        <v>6</v>
      </c>
      <c r="H240" s="7">
        <v>337.9</v>
      </c>
      <c r="I240" s="7">
        <f>_B*F240+_C</f>
        <v>337.37700419617107</v>
      </c>
      <c r="J240" s="7">
        <f t="shared" si="14"/>
        <v>0.52299580382890554</v>
      </c>
      <c r="K240" s="7" cm="1">
        <f t="array" ref="K240">INDEX(Sm,G240)</f>
        <v>2.2382077892599441</v>
      </c>
      <c r="L240" s="7">
        <f t="shared" si="15"/>
        <v>339.61521198543102</v>
      </c>
      <c r="M240" s="7">
        <f t="shared" si="16"/>
        <v>-1.7152119854310399</v>
      </c>
    </row>
    <row r="241" spans="6:13" ht="18.75" customHeight="1">
      <c r="F241" s="1">
        <v>28672</v>
      </c>
      <c r="G241">
        <f t="shared" si="13"/>
        <v>7</v>
      </c>
      <c r="H241" s="7">
        <v>336.54</v>
      </c>
      <c r="I241" s="7">
        <f>_B*F241+_C</f>
        <v>337.48576182353554</v>
      </c>
      <c r="J241" s="7">
        <f t="shared" si="14"/>
        <v>-0.94576182353551985</v>
      </c>
      <c r="K241" s="7" cm="1">
        <f t="array" ref="K241">INDEX(Sm,G241)</f>
        <v>0.82390897803401641</v>
      </c>
      <c r="L241" s="7">
        <f t="shared" si="15"/>
        <v>338.30967080156955</v>
      </c>
      <c r="M241" s="7">
        <f t="shared" si="16"/>
        <v>-1.7696708015695322</v>
      </c>
    </row>
    <row r="242" spans="6:13" ht="18.75" customHeight="1">
      <c r="F242" s="1">
        <v>28703</v>
      </c>
      <c r="G242">
        <f t="shared" si="13"/>
        <v>8</v>
      </c>
      <c r="H242" s="7">
        <v>334.68</v>
      </c>
      <c r="I242" s="7">
        <f>_B*F242+_C</f>
        <v>337.5981447051455</v>
      </c>
      <c r="J242" s="7">
        <f t="shared" si="14"/>
        <v>-2.9181447051454938</v>
      </c>
      <c r="K242" s="7" cm="1">
        <f t="array" ref="K242">INDEX(Sm,G242)</f>
        <v>-1.2322834273854675</v>
      </c>
      <c r="L242" s="7">
        <f t="shared" si="15"/>
        <v>336.36586127776002</v>
      </c>
      <c r="M242" s="7">
        <f t="shared" si="16"/>
        <v>-1.6858612777600115</v>
      </c>
    </row>
    <row r="243" spans="6:13" ht="18.75" customHeight="1">
      <c r="F243" s="1">
        <v>28734</v>
      </c>
      <c r="G243">
        <f t="shared" si="13"/>
        <v>9</v>
      </c>
      <c r="H243" s="7">
        <v>332.76</v>
      </c>
      <c r="I243" s="7">
        <f>_B*F243+_C</f>
        <v>337.71052758675546</v>
      </c>
      <c r="J243" s="7">
        <f t="shared" si="14"/>
        <v>-4.9505275867554701</v>
      </c>
      <c r="K243" s="7" cm="1">
        <f t="array" ref="K243">INDEX(Sm,G243)</f>
        <v>-3.0765710709001954</v>
      </c>
      <c r="L243" s="7">
        <f t="shared" si="15"/>
        <v>334.63395651585529</v>
      </c>
      <c r="M243" s="7">
        <f t="shared" si="16"/>
        <v>-1.8739565158552978</v>
      </c>
    </row>
    <row r="244" spans="6:13" ht="18.75" customHeight="1">
      <c r="F244" s="1">
        <v>28764</v>
      </c>
      <c r="G244">
        <f t="shared" si="13"/>
        <v>10</v>
      </c>
      <c r="H244" s="7">
        <v>332.55</v>
      </c>
      <c r="I244" s="7">
        <f>_B*F244+_C</f>
        <v>337.81928521411993</v>
      </c>
      <c r="J244" s="7">
        <f t="shared" si="14"/>
        <v>-5.2692852141199182</v>
      </c>
      <c r="K244" s="7" cm="1">
        <f t="array" ref="K244">INDEX(Sm,G244)</f>
        <v>-3.3570000579572215</v>
      </c>
      <c r="L244" s="7">
        <f t="shared" si="15"/>
        <v>334.46228515616269</v>
      </c>
      <c r="M244" s="7">
        <f t="shared" si="16"/>
        <v>-1.9122851561626817</v>
      </c>
    </row>
    <row r="245" spans="6:13" ht="18.75" customHeight="1">
      <c r="F245" s="1">
        <v>28795</v>
      </c>
      <c r="G245">
        <f t="shared" si="13"/>
        <v>11</v>
      </c>
      <c r="H245" s="7">
        <v>333.92</v>
      </c>
      <c r="I245" s="7">
        <f>_B*F245+_C</f>
        <v>337.93166809572989</v>
      </c>
      <c r="J245" s="7">
        <f t="shared" si="14"/>
        <v>-4.011668095729874</v>
      </c>
      <c r="K245" s="7" cm="1">
        <f t="array" ref="K245">INDEX(Sm,G245)</f>
        <v>-2.069140151303194</v>
      </c>
      <c r="L245" s="7">
        <f t="shared" si="15"/>
        <v>335.86252794442669</v>
      </c>
      <c r="M245" s="7">
        <f t="shared" si="16"/>
        <v>-1.9425279444266721</v>
      </c>
    </row>
    <row r="246" spans="6:13" ht="18.75" customHeight="1">
      <c r="F246" s="1">
        <v>28825</v>
      </c>
      <c r="G246">
        <f t="shared" si="13"/>
        <v>12</v>
      </c>
      <c r="H246" s="7">
        <v>334.95</v>
      </c>
      <c r="I246" s="7">
        <f>_B*F246+_C</f>
        <v>338.04042572309436</v>
      </c>
      <c r="J246" s="7">
        <f t="shared" si="14"/>
        <v>-3.0904257230943699</v>
      </c>
      <c r="K246" s="7" cm="1">
        <f t="array" ref="K246">INDEX(Sm,G246)</f>
        <v>-0.94051682628672428</v>
      </c>
      <c r="L246" s="7">
        <f t="shared" si="15"/>
        <v>337.09990889680762</v>
      </c>
      <c r="M246" s="7">
        <f t="shared" si="16"/>
        <v>-2.1499088968076308</v>
      </c>
    </row>
    <row r="247" spans="6:13" ht="18.75" customHeight="1">
      <c r="F247" s="1">
        <v>28856</v>
      </c>
      <c r="G247">
        <f t="shared" si="13"/>
        <v>1</v>
      </c>
      <c r="H247" s="7">
        <v>336.23</v>
      </c>
      <c r="I247" s="7">
        <f>_B*F247+_C</f>
        <v>338.15280860470432</v>
      </c>
      <c r="J247" s="7">
        <f t="shared" si="14"/>
        <v>-1.9228086047043007</v>
      </c>
      <c r="K247" s="7" cm="1">
        <f t="array" ref="K247">INDEX(Sm,G247)</f>
        <v>-2.6471136468108808E-2</v>
      </c>
      <c r="L247" s="7">
        <f t="shared" si="15"/>
        <v>338.12633746823622</v>
      </c>
      <c r="M247" s="7">
        <f t="shared" si="16"/>
        <v>-1.8963374682361973</v>
      </c>
    </row>
    <row r="248" spans="6:13" ht="18.75" customHeight="1">
      <c r="F248" s="1">
        <v>28887</v>
      </c>
      <c r="G248">
        <f t="shared" si="13"/>
        <v>2</v>
      </c>
      <c r="H248" s="7">
        <v>336.76</v>
      </c>
      <c r="I248" s="7">
        <f>_B*F248+_C</f>
        <v>338.26519148631428</v>
      </c>
      <c r="J248" s="7">
        <f t="shared" si="14"/>
        <v>-1.5051914863142883</v>
      </c>
      <c r="K248" s="7" cm="1">
        <f t="array" ref="K248">INDEX(Sm,G248)</f>
        <v>0.58733060283015548</v>
      </c>
      <c r="L248" s="7">
        <f t="shared" si="15"/>
        <v>338.85252208914443</v>
      </c>
      <c r="M248" s="7">
        <f t="shared" si="16"/>
        <v>-2.0925220891444383</v>
      </c>
    </row>
    <row r="249" spans="6:13" ht="18.75" customHeight="1">
      <c r="F249" s="1">
        <v>28915</v>
      </c>
      <c r="G249">
        <f t="shared" si="13"/>
        <v>3</v>
      </c>
      <c r="H249" s="7">
        <v>337.96</v>
      </c>
      <c r="I249" s="7">
        <f>_B*F249+_C</f>
        <v>338.36669860518782</v>
      </c>
      <c r="J249" s="7">
        <f t="shared" si="14"/>
        <v>-0.40669860518784162</v>
      </c>
      <c r="K249" s="7" cm="1">
        <f t="array" ref="K249">INDEX(Sm,G249)</f>
        <v>1.4390836132721692</v>
      </c>
      <c r="L249" s="7">
        <f t="shared" si="15"/>
        <v>339.80578221845997</v>
      </c>
      <c r="M249" s="7">
        <f t="shared" si="16"/>
        <v>-1.8457822184599877</v>
      </c>
    </row>
    <row r="250" spans="6:13" ht="18.75" customHeight="1">
      <c r="F250" s="1">
        <v>28946</v>
      </c>
      <c r="G250">
        <f t="shared" si="13"/>
        <v>4</v>
      </c>
      <c r="H250" s="7">
        <v>338.88</v>
      </c>
      <c r="I250" s="7">
        <f>_B*F250+_C</f>
        <v>338.47908148679778</v>
      </c>
      <c r="J250" s="7">
        <f t="shared" si="14"/>
        <v>0.40091851320221394</v>
      </c>
      <c r="K250" s="7" cm="1">
        <f t="array" ref="K250">INDEX(Sm,G250)</f>
        <v>2.6009864459479211</v>
      </c>
      <c r="L250" s="7">
        <f t="shared" si="15"/>
        <v>341.08006793274569</v>
      </c>
      <c r="M250" s="7">
        <f t="shared" si="16"/>
        <v>-2.2000679327456965</v>
      </c>
    </row>
    <row r="251" spans="6:13" ht="18.75" customHeight="1">
      <c r="F251" s="1">
        <v>28976</v>
      </c>
      <c r="G251">
        <f t="shared" si="13"/>
        <v>5</v>
      </c>
      <c r="H251" s="7">
        <v>339.47</v>
      </c>
      <c r="I251" s="7">
        <f>_B*F251+_C</f>
        <v>338.58783911416225</v>
      </c>
      <c r="J251" s="7">
        <f t="shared" si="14"/>
        <v>0.88216088583777719</v>
      </c>
      <c r="K251" s="7" cm="1">
        <f t="array" ref="K251">INDEX(Sm,G251)</f>
        <v>2.9998113917703657</v>
      </c>
      <c r="L251" s="7">
        <f t="shared" si="15"/>
        <v>341.58765050593263</v>
      </c>
      <c r="M251" s="7">
        <f t="shared" si="16"/>
        <v>-2.1176505059326018</v>
      </c>
    </row>
    <row r="252" spans="6:13" ht="18.75" customHeight="1">
      <c r="F252" s="1">
        <v>29007</v>
      </c>
      <c r="G252">
        <f t="shared" si="13"/>
        <v>6</v>
      </c>
      <c r="H252" s="7">
        <v>339.29</v>
      </c>
      <c r="I252" s="7">
        <f>_B*F252+_C</f>
        <v>338.70022199577221</v>
      </c>
      <c r="J252" s="7">
        <f t="shared" si="14"/>
        <v>0.58977800422781002</v>
      </c>
      <c r="K252" s="7" cm="1">
        <f t="array" ref="K252">INDEX(Sm,G252)</f>
        <v>2.2382077892599441</v>
      </c>
      <c r="L252" s="7">
        <f t="shared" si="15"/>
        <v>340.93842978503216</v>
      </c>
      <c r="M252" s="7">
        <f t="shared" si="16"/>
        <v>-1.6484297850321354</v>
      </c>
    </row>
    <row r="253" spans="6:13" ht="18.75" customHeight="1">
      <c r="F253" s="1">
        <v>29037</v>
      </c>
      <c r="G253">
        <f t="shared" si="13"/>
        <v>7</v>
      </c>
      <c r="H253" s="7">
        <v>337.73</v>
      </c>
      <c r="I253" s="7">
        <f>_B*F253+_C</f>
        <v>338.80897962313668</v>
      </c>
      <c r="J253" s="7">
        <f t="shared" si="14"/>
        <v>-1.0789796231366608</v>
      </c>
      <c r="K253" s="7" cm="1">
        <f t="array" ref="K253">INDEX(Sm,G253)</f>
        <v>0.82390897803401641</v>
      </c>
      <c r="L253" s="7">
        <f t="shared" si="15"/>
        <v>339.63288860117069</v>
      </c>
      <c r="M253" s="7">
        <f t="shared" si="16"/>
        <v>-1.9028886011706732</v>
      </c>
    </row>
    <row r="254" spans="6:13" ht="18.75" customHeight="1">
      <c r="F254" s="1">
        <v>29068</v>
      </c>
      <c r="G254">
        <f t="shared" si="13"/>
        <v>8</v>
      </c>
      <c r="H254" s="7">
        <v>336.09</v>
      </c>
      <c r="I254" s="7">
        <f>_B*F254+_C</f>
        <v>338.92136250474664</v>
      </c>
      <c r="J254" s="7">
        <f t="shared" si="14"/>
        <v>-2.8313625047466644</v>
      </c>
      <c r="K254" s="7" cm="1">
        <f t="array" ref="K254">INDEX(Sm,G254)</f>
        <v>-1.2322834273854675</v>
      </c>
      <c r="L254" s="7">
        <f t="shared" si="15"/>
        <v>337.68907907736116</v>
      </c>
      <c r="M254" s="7">
        <f t="shared" si="16"/>
        <v>-1.599079077361182</v>
      </c>
    </row>
    <row r="255" spans="6:13" ht="18.75" customHeight="1">
      <c r="F255" s="1">
        <v>29099</v>
      </c>
      <c r="G255">
        <f t="shared" si="13"/>
        <v>9</v>
      </c>
      <c r="H255" s="7">
        <v>333.92</v>
      </c>
      <c r="I255" s="7">
        <f>_B*F255+_C</f>
        <v>339.0337453863566</v>
      </c>
      <c r="J255" s="7">
        <f t="shared" si="14"/>
        <v>-5.1137453863565838</v>
      </c>
      <c r="K255" s="7" cm="1">
        <f t="array" ref="K255">INDEX(Sm,G255)</f>
        <v>-3.0765710709001954</v>
      </c>
      <c r="L255" s="7">
        <f t="shared" si="15"/>
        <v>335.95717431545643</v>
      </c>
      <c r="M255" s="7">
        <f t="shared" si="16"/>
        <v>-2.0371743154564115</v>
      </c>
    </row>
    <row r="256" spans="6:13" ht="18.75" customHeight="1">
      <c r="F256" s="1">
        <v>29129</v>
      </c>
      <c r="G256">
        <f t="shared" si="13"/>
        <v>10</v>
      </c>
      <c r="H256" s="7">
        <v>333.86</v>
      </c>
      <c r="I256" s="7">
        <f>_B*F256+_C</f>
        <v>339.14250301372107</v>
      </c>
      <c r="J256" s="7">
        <f t="shared" si="14"/>
        <v>-5.2825030137210547</v>
      </c>
      <c r="K256" s="7" cm="1">
        <f t="array" ref="K256">INDEX(Sm,G256)</f>
        <v>-3.3570000579572215</v>
      </c>
      <c r="L256" s="7">
        <f t="shared" si="15"/>
        <v>335.78550295576383</v>
      </c>
      <c r="M256" s="7">
        <f t="shared" si="16"/>
        <v>-1.9255029557638181</v>
      </c>
    </row>
    <row r="257" spans="6:13" ht="18.75" customHeight="1">
      <c r="F257" s="1">
        <v>29160</v>
      </c>
      <c r="G257">
        <f t="shared" si="13"/>
        <v>11</v>
      </c>
      <c r="H257" s="7">
        <v>335.29</v>
      </c>
      <c r="I257" s="7">
        <f>_B*F257+_C</f>
        <v>339.25488589533103</v>
      </c>
      <c r="J257" s="7">
        <f t="shared" si="14"/>
        <v>-3.9648858953310082</v>
      </c>
      <c r="K257" s="7" cm="1">
        <f t="array" ref="K257">INDEX(Sm,G257)</f>
        <v>-2.069140151303194</v>
      </c>
      <c r="L257" s="7">
        <f t="shared" si="15"/>
        <v>337.18574574402783</v>
      </c>
      <c r="M257" s="7">
        <f t="shared" si="16"/>
        <v>-1.8957457440278063</v>
      </c>
    </row>
    <row r="258" spans="6:13" ht="18.75" customHeight="1">
      <c r="F258" s="1">
        <v>29190</v>
      </c>
      <c r="G258">
        <f t="shared" si="13"/>
        <v>12</v>
      </c>
      <c r="H258" s="7">
        <v>336.73</v>
      </c>
      <c r="I258" s="7">
        <f>_B*F258+_C</f>
        <v>339.3636435226955</v>
      </c>
      <c r="J258" s="7">
        <f t="shared" si="14"/>
        <v>-2.6336435226954791</v>
      </c>
      <c r="K258" s="7" cm="1">
        <f t="array" ref="K258">INDEX(Sm,G258)</f>
        <v>-0.94051682628672428</v>
      </c>
      <c r="L258" s="7">
        <f t="shared" si="15"/>
        <v>338.42312669640876</v>
      </c>
      <c r="M258" s="7">
        <f t="shared" si="16"/>
        <v>-1.6931266964087399</v>
      </c>
    </row>
    <row r="259" spans="6:13" ht="18.75" customHeight="1">
      <c r="F259" s="1">
        <v>29221</v>
      </c>
      <c r="G259">
        <f t="shared" ref="G259:G322" si="17">MONTH(F259)</f>
        <v>1</v>
      </c>
      <c r="H259" s="7">
        <v>338.01</v>
      </c>
      <c r="I259" s="7">
        <f>_B*F259+_C</f>
        <v>339.47602640430546</v>
      </c>
      <c r="J259" s="7">
        <f t="shared" ref="J259:J322" si="18">H259-I259</f>
        <v>-1.4660264043054667</v>
      </c>
      <c r="K259" s="7" cm="1">
        <f t="array" ref="K259">INDEX(Sm,G259)</f>
        <v>-2.6471136468108808E-2</v>
      </c>
      <c r="L259" s="7">
        <f t="shared" ref="L259:L322" si="19">I259+K259</f>
        <v>339.44955526783735</v>
      </c>
      <c r="M259" s="7">
        <f t="shared" ref="M259:M322" si="20">H259-L259</f>
        <v>-1.4395552678373633</v>
      </c>
    </row>
    <row r="260" spans="6:13" ht="18.75" customHeight="1">
      <c r="F260" s="1">
        <v>29252</v>
      </c>
      <c r="G260">
        <f t="shared" si="17"/>
        <v>2</v>
      </c>
      <c r="H260" s="7">
        <v>338.36</v>
      </c>
      <c r="I260" s="7">
        <f>_B*F260+_C</f>
        <v>339.58840928591542</v>
      </c>
      <c r="J260" s="7">
        <f t="shared" si="18"/>
        <v>-1.2284092859154043</v>
      </c>
      <c r="K260" s="7" cm="1">
        <f t="array" ref="K260">INDEX(Sm,G260)</f>
        <v>0.58733060283015548</v>
      </c>
      <c r="L260" s="7">
        <f t="shared" si="19"/>
        <v>340.17573988874557</v>
      </c>
      <c r="M260" s="7">
        <f t="shared" si="20"/>
        <v>-1.8157398887455543</v>
      </c>
    </row>
    <row r="261" spans="6:13" ht="18.75" customHeight="1">
      <c r="F261" s="1">
        <v>29281</v>
      </c>
      <c r="G261">
        <f t="shared" si="17"/>
        <v>3</v>
      </c>
      <c r="H261" s="7">
        <v>340.07</v>
      </c>
      <c r="I261" s="7">
        <f>_B*F261+_C</f>
        <v>339.69354165903439</v>
      </c>
      <c r="J261" s="7">
        <f t="shared" si="18"/>
        <v>0.37645834096559838</v>
      </c>
      <c r="K261" s="7" cm="1">
        <f t="array" ref="K261">INDEX(Sm,G261)</f>
        <v>1.4390836132721692</v>
      </c>
      <c r="L261" s="7">
        <f t="shared" si="19"/>
        <v>341.13262527230654</v>
      </c>
      <c r="M261" s="7">
        <f t="shared" si="20"/>
        <v>-1.0626252723065477</v>
      </c>
    </row>
    <row r="262" spans="6:13" ht="18.75" customHeight="1">
      <c r="F262" s="1">
        <v>29312</v>
      </c>
      <c r="G262">
        <f t="shared" si="17"/>
        <v>4</v>
      </c>
      <c r="H262" s="7">
        <v>340.76</v>
      </c>
      <c r="I262" s="7">
        <f>_B*F262+_C</f>
        <v>339.80592454064436</v>
      </c>
      <c r="J262" s="7">
        <f t="shared" si="18"/>
        <v>0.95407545935563576</v>
      </c>
      <c r="K262" s="7" cm="1">
        <f t="array" ref="K262">INDEX(Sm,G262)</f>
        <v>2.6009864459479211</v>
      </c>
      <c r="L262" s="7">
        <f t="shared" si="19"/>
        <v>342.40691098659227</v>
      </c>
      <c r="M262" s="7">
        <f t="shared" si="20"/>
        <v>-1.6469109865922746</v>
      </c>
    </row>
    <row r="263" spans="6:13" ht="18.75" customHeight="1">
      <c r="F263" s="1">
        <v>29342</v>
      </c>
      <c r="G263">
        <f t="shared" si="17"/>
        <v>5</v>
      </c>
      <c r="H263" s="7">
        <v>341.47</v>
      </c>
      <c r="I263" s="7">
        <f>_B*F263+_C</f>
        <v>339.91468216800888</v>
      </c>
      <c r="J263" s="7">
        <f t="shared" si="18"/>
        <v>1.5553178319911467</v>
      </c>
      <c r="K263" s="7" cm="1">
        <f t="array" ref="K263">INDEX(Sm,G263)</f>
        <v>2.9998113917703657</v>
      </c>
      <c r="L263" s="7">
        <f t="shared" si="19"/>
        <v>342.91449355977926</v>
      </c>
      <c r="M263" s="7">
        <f t="shared" si="20"/>
        <v>-1.4444935597792323</v>
      </c>
    </row>
    <row r="264" spans="6:13" ht="18.75" customHeight="1">
      <c r="F264" s="1">
        <v>29373</v>
      </c>
      <c r="G264">
        <f t="shared" si="17"/>
        <v>6</v>
      </c>
      <c r="H264" s="7">
        <v>341.17</v>
      </c>
      <c r="I264" s="7">
        <f>_B*F264+_C</f>
        <v>340.02706504961884</v>
      </c>
      <c r="J264" s="7">
        <f t="shared" si="18"/>
        <v>1.142934950381175</v>
      </c>
      <c r="K264" s="7" cm="1">
        <f t="array" ref="K264">INDEX(Sm,G264)</f>
        <v>2.2382077892599441</v>
      </c>
      <c r="L264" s="7">
        <f t="shared" si="19"/>
        <v>342.26527283887879</v>
      </c>
      <c r="M264" s="7">
        <f t="shared" si="20"/>
        <v>-1.0952728388787705</v>
      </c>
    </row>
    <row r="265" spans="6:13" ht="18.75" customHeight="1">
      <c r="F265" s="1">
        <v>29403</v>
      </c>
      <c r="G265">
        <f t="shared" si="17"/>
        <v>7</v>
      </c>
      <c r="H265" s="7">
        <v>339.56</v>
      </c>
      <c r="I265" s="7">
        <f>_B*F265+_C</f>
        <v>340.13582267698331</v>
      </c>
      <c r="J265" s="7">
        <f t="shared" si="18"/>
        <v>-0.57582267698330725</v>
      </c>
      <c r="K265" s="7" cm="1">
        <f t="array" ref="K265">INDEX(Sm,G265)</f>
        <v>0.82390897803401641</v>
      </c>
      <c r="L265" s="7">
        <f t="shared" si="19"/>
        <v>340.95973165501732</v>
      </c>
      <c r="M265" s="7">
        <f t="shared" si="20"/>
        <v>-1.3997316550173196</v>
      </c>
    </row>
    <row r="266" spans="6:13" ht="18.75" customHeight="1">
      <c r="F266" s="1">
        <v>29434</v>
      </c>
      <c r="G266">
        <f t="shared" si="17"/>
        <v>8</v>
      </c>
      <c r="H266" s="7">
        <v>337.6</v>
      </c>
      <c r="I266" s="7">
        <f>_B*F266+_C</f>
        <v>340.24820555859327</v>
      </c>
      <c r="J266" s="7">
        <f t="shared" si="18"/>
        <v>-2.6482055585932471</v>
      </c>
      <c r="K266" s="7" cm="1">
        <f t="array" ref="K266">INDEX(Sm,G266)</f>
        <v>-1.2322834273854675</v>
      </c>
      <c r="L266" s="7">
        <f t="shared" si="19"/>
        <v>339.01592213120779</v>
      </c>
      <c r="M266" s="7">
        <f t="shared" si="20"/>
        <v>-1.4159221312077648</v>
      </c>
    </row>
    <row r="267" spans="6:13" ht="18.75" customHeight="1">
      <c r="F267" s="1">
        <v>29465</v>
      </c>
      <c r="G267">
        <f t="shared" si="17"/>
        <v>9</v>
      </c>
      <c r="H267" s="7">
        <v>335.88</v>
      </c>
      <c r="I267" s="7">
        <f>_B*F267+_C</f>
        <v>340.36058844020323</v>
      </c>
      <c r="J267" s="7">
        <f t="shared" si="18"/>
        <v>-4.4805884402032348</v>
      </c>
      <c r="K267" s="7" cm="1">
        <f t="array" ref="K267">INDEX(Sm,G267)</f>
        <v>-3.0765710709001954</v>
      </c>
      <c r="L267" s="7">
        <f t="shared" si="19"/>
        <v>337.28401736930306</v>
      </c>
      <c r="M267" s="7">
        <f t="shared" si="20"/>
        <v>-1.4040173693030624</v>
      </c>
    </row>
    <row r="268" spans="6:13" ht="18.75" customHeight="1">
      <c r="F268" s="1">
        <v>29495</v>
      </c>
      <c r="G268">
        <f t="shared" si="17"/>
        <v>10</v>
      </c>
      <c r="H268" s="7">
        <v>336.02</v>
      </c>
      <c r="I268" s="7">
        <f>_B*F268+_C</f>
        <v>340.4693460675677</v>
      </c>
      <c r="J268" s="7">
        <f t="shared" si="18"/>
        <v>-4.449346067567717</v>
      </c>
      <c r="K268" s="7" cm="1">
        <f t="array" ref="K268">INDEX(Sm,G268)</f>
        <v>-3.3570000579572215</v>
      </c>
      <c r="L268" s="7">
        <f t="shared" si="19"/>
        <v>337.11234600961046</v>
      </c>
      <c r="M268" s="7">
        <f t="shared" si="20"/>
        <v>-1.0923460096104805</v>
      </c>
    </row>
    <row r="269" spans="6:13" ht="18.75" customHeight="1">
      <c r="F269" s="1">
        <v>29526</v>
      </c>
      <c r="G269">
        <f t="shared" si="17"/>
        <v>11</v>
      </c>
      <c r="H269" s="7">
        <v>337.1</v>
      </c>
      <c r="I269" s="7">
        <f>_B*F269+_C</f>
        <v>340.58172894917766</v>
      </c>
      <c r="J269" s="7">
        <f t="shared" si="18"/>
        <v>-3.4817289491776364</v>
      </c>
      <c r="K269" s="7" cm="1">
        <f t="array" ref="K269">INDEX(Sm,G269)</f>
        <v>-2.069140151303194</v>
      </c>
      <c r="L269" s="7">
        <f t="shared" si="19"/>
        <v>338.51258879787446</v>
      </c>
      <c r="M269" s="7">
        <f t="shared" si="20"/>
        <v>-1.4125887978744345</v>
      </c>
    </row>
    <row r="270" spans="6:13" ht="18.75" customHeight="1">
      <c r="F270" s="1">
        <v>29556</v>
      </c>
      <c r="G270">
        <f t="shared" si="17"/>
        <v>12</v>
      </c>
      <c r="H270" s="7">
        <v>338.21</v>
      </c>
      <c r="I270" s="7">
        <f>_B*F270+_C</f>
        <v>340.69048657654213</v>
      </c>
      <c r="J270" s="7">
        <f t="shared" si="18"/>
        <v>-2.4804865765421482</v>
      </c>
      <c r="K270" s="7" cm="1">
        <f t="array" ref="K270">INDEX(Sm,G270)</f>
        <v>-0.94051682628672428</v>
      </c>
      <c r="L270" s="7">
        <f t="shared" si="19"/>
        <v>339.74996975025539</v>
      </c>
      <c r="M270" s="7">
        <f t="shared" si="20"/>
        <v>-1.5399697502554091</v>
      </c>
    </row>
    <row r="271" spans="6:13" ht="18.75" customHeight="1">
      <c r="F271" s="1">
        <v>29587</v>
      </c>
      <c r="G271">
        <f t="shared" si="17"/>
        <v>1</v>
      </c>
      <c r="H271" s="7">
        <v>339.24</v>
      </c>
      <c r="I271" s="7">
        <f>_B*F271+_C</f>
        <v>340.80286945815209</v>
      </c>
      <c r="J271" s="7">
        <f t="shared" si="18"/>
        <v>-1.562869458152079</v>
      </c>
      <c r="K271" s="7" cm="1">
        <f t="array" ref="K271">INDEX(Sm,G271)</f>
        <v>-2.6471136468108808E-2</v>
      </c>
      <c r="L271" s="7">
        <f t="shared" si="19"/>
        <v>340.77639832168398</v>
      </c>
      <c r="M271" s="7">
        <f t="shared" si="20"/>
        <v>-1.5363983216839756</v>
      </c>
    </row>
    <row r="272" spans="6:13" ht="18.75" customHeight="1">
      <c r="F272" s="1">
        <v>29618</v>
      </c>
      <c r="G272">
        <f t="shared" si="17"/>
        <v>2</v>
      </c>
      <c r="H272" s="7">
        <v>340.48</v>
      </c>
      <c r="I272" s="7">
        <f>_B*F272+_C</f>
        <v>340.91525233976205</v>
      </c>
      <c r="J272" s="7">
        <f t="shared" si="18"/>
        <v>-0.43525233976203026</v>
      </c>
      <c r="K272" s="7" cm="1">
        <f t="array" ref="K272">INDEX(Sm,G272)</f>
        <v>0.58733060283015548</v>
      </c>
      <c r="L272" s="7">
        <f t="shared" si="19"/>
        <v>341.5025829425922</v>
      </c>
      <c r="M272" s="7">
        <f t="shared" si="20"/>
        <v>-1.0225829425921802</v>
      </c>
    </row>
    <row r="273" spans="6:13" ht="18.75" customHeight="1">
      <c r="F273" s="1">
        <v>29646</v>
      </c>
      <c r="G273">
        <f t="shared" si="17"/>
        <v>3</v>
      </c>
      <c r="H273" s="7">
        <v>341.38</v>
      </c>
      <c r="I273" s="7">
        <f>_B*F273+_C</f>
        <v>341.01675945863553</v>
      </c>
      <c r="J273" s="7">
        <f t="shared" si="18"/>
        <v>0.36324054136446193</v>
      </c>
      <c r="K273" s="7" cm="1">
        <f t="array" ref="K273">INDEX(Sm,G273)</f>
        <v>1.4390836132721692</v>
      </c>
      <c r="L273" s="7">
        <f t="shared" si="19"/>
        <v>342.45584307190768</v>
      </c>
      <c r="M273" s="7">
        <f t="shared" si="20"/>
        <v>-1.0758430719076841</v>
      </c>
    </row>
    <row r="274" spans="6:13" ht="18.75" customHeight="1">
      <c r="F274" s="1">
        <v>29677</v>
      </c>
      <c r="G274">
        <f t="shared" si="17"/>
        <v>4</v>
      </c>
      <c r="H274" s="7">
        <v>342.5</v>
      </c>
      <c r="I274" s="7">
        <f>_B*F274+_C</f>
        <v>341.12914234024549</v>
      </c>
      <c r="J274" s="7">
        <f t="shared" si="18"/>
        <v>1.3708576597545061</v>
      </c>
      <c r="K274" s="7" cm="1">
        <f t="array" ref="K274">INDEX(Sm,G274)</f>
        <v>2.6009864459479211</v>
      </c>
      <c r="L274" s="7">
        <f t="shared" si="19"/>
        <v>343.7301287861934</v>
      </c>
      <c r="M274" s="7">
        <f t="shared" si="20"/>
        <v>-1.2301287861934043</v>
      </c>
    </row>
    <row r="275" spans="6:13" ht="18.75" customHeight="1">
      <c r="F275" s="1">
        <v>29707</v>
      </c>
      <c r="G275">
        <f t="shared" si="17"/>
        <v>5</v>
      </c>
      <c r="H275" s="7">
        <v>342.91</v>
      </c>
      <c r="I275" s="7">
        <f>_B*F275+_C</f>
        <v>341.23789996761002</v>
      </c>
      <c r="J275" s="7">
        <f t="shared" si="18"/>
        <v>1.6721000323900057</v>
      </c>
      <c r="K275" s="7" cm="1">
        <f t="array" ref="K275">INDEX(Sm,G275)</f>
        <v>2.9998113917703657</v>
      </c>
      <c r="L275" s="7">
        <f t="shared" si="19"/>
        <v>344.2377113593804</v>
      </c>
      <c r="M275" s="7">
        <f t="shared" si="20"/>
        <v>-1.3277113593803733</v>
      </c>
    </row>
    <row r="276" spans="6:13" ht="18.75" customHeight="1">
      <c r="F276" s="1">
        <v>29738</v>
      </c>
      <c r="G276">
        <f t="shared" si="17"/>
        <v>6</v>
      </c>
      <c r="H276" s="7">
        <v>342.25</v>
      </c>
      <c r="I276" s="7">
        <f>_B*F276+_C</f>
        <v>341.35028284921998</v>
      </c>
      <c r="J276" s="7">
        <f t="shared" si="18"/>
        <v>0.89971715078002035</v>
      </c>
      <c r="K276" s="7" cm="1">
        <f t="array" ref="K276">INDEX(Sm,G276)</f>
        <v>2.2382077892599441</v>
      </c>
      <c r="L276" s="7">
        <f t="shared" si="19"/>
        <v>343.58849063847993</v>
      </c>
      <c r="M276" s="7">
        <f t="shared" si="20"/>
        <v>-1.3384906384799251</v>
      </c>
    </row>
    <row r="277" spans="6:13" ht="18.75" customHeight="1">
      <c r="F277" s="1">
        <v>29768</v>
      </c>
      <c r="G277">
        <f t="shared" si="17"/>
        <v>7</v>
      </c>
      <c r="H277" s="7">
        <v>340.49</v>
      </c>
      <c r="I277" s="7">
        <f>_B*F277+_C</f>
        <v>341.45904047658445</v>
      </c>
      <c r="J277" s="7">
        <f t="shared" si="18"/>
        <v>-0.96904047658443915</v>
      </c>
      <c r="K277" s="7" cm="1">
        <f t="array" ref="K277">INDEX(Sm,G277)</f>
        <v>0.82390897803401641</v>
      </c>
      <c r="L277" s="7">
        <f t="shared" si="19"/>
        <v>342.28294945461846</v>
      </c>
      <c r="M277" s="7">
        <f t="shared" si="20"/>
        <v>-1.7929494546184515</v>
      </c>
    </row>
    <row r="278" spans="6:13" ht="18.75" customHeight="1">
      <c r="F278" s="1">
        <v>29799</v>
      </c>
      <c r="G278">
        <f t="shared" si="17"/>
        <v>8</v>
      </c>
      <c r="H278" s="7">
        <v>338.43</v>
      </c>
      <c r="I278" s="7">
        <f>_B*F278+_C</f>
        <v>341.57142335819441</v>
      </c>
      <c r="J278" s="7">
        <f t="shared" si="18"/>
        <v>-3.1414233581944018</v>
      </c>
      <c r="K278" s="7" cm="1">
        <f t="array" ref="K278">INDEX(Sm,G278)</f>
        <v>-1.2322834273854675</v>
      </c>
      <c r="L278" s="7">
        <f t="shared" si="19"/>
        <v>340.33913993080893</v>
      </c>
      <c r="M278" s="7">
        <f t="shared" si="20"/>
        <v>-1.9091399308089194</v>
      </c>
    </row>
    <row r="279" spans="6:13" ht="18.75" customHeight="1">
      <c r="F279" s="1">
        <v>29830</v>
      </c>
      <c r="G279">
        <f t="shared" si="17"/>
        <v>9</v>
      </c>
      <c r="H279" s="7">
        <v>336.69</v>
      </c>
      <c r="I279" s="7">
        <f>_B*F279+_C</f>
        <v>341.68380623980437</v>
      </c>
      <c r="J279" s="7">
        <f t="shared" si="18"/>
        <v>-4.9938062398043712</v>
      </c>
      <c r="K279" s="7" cm="1">
        <f t="array" ref="K279">INDEX(Sm,G279)</f>
        <v>-3.0765710709001954</v>
      </c>
      <c r="L279" s="7">
        <f t="shared" si="19"/>
        <v>338.6072351689042</v>
      </c>
      <c r="M279" s="7">
        <f t="shared" si="20"/>
        <v>-1.9172351689041989</v>
      </c>
    </row>
    <row r="280" spans="6:13" ht="18.75" customHeight="1">
      <c r="F280" s="1">
        <v>29860</v>
      </c>
      <c r="G280">
        <f t="shared" si="17"/>
        <v>10</v>
      </c>
      <c r="H280" s="7">
        <v>336.86</v>
      </c>
      <c r="I280" s="7">
        <f>_B*F280+_C</f>
        <v>341.79256386716884</v>
      </c>
      <c r="J280" s="7">
        <f t="shared" si="18"/>
        <v>-4.9325638671688239</v>
      </c>
      <c r="K280" s="7" cm="1">
        <f t="array" ref="K280">INDEX(Sm,G280)</f>
        <v>-3.3570000579572215</v>
      </c>
      <c r="L280" s="7">
        <f t="shared" si="19"/>
        <v>338.4355638092116</v>
      </c>
      <c r="M280" s="7">
        <f t="shared" si="20"/>
        <v>-1.5755638092115873</v>
      </c>
    </row>
    <row r="281" spans="6:13" ht="18.75" customHeight="1">
      <c r="F281" s="1">
        <v>29891</v>
      </c>
      <c r="G281">
        <f t="shared" si="17"/>
        <v>11</v>
      </c>
      <c r="H281" s="7">
        <v>338.36</v>
      </c>
      <c r="I281" s="7">
        <f>_B*F281+_C</f>
        <v>341.9049467487788</v>
      </c>
      <c r="J281" s="7">
        <f t="shared" si="18"/>
        <v>-3.5449467487787842</v>
      </c>
      <c r="K281" s="7" cm="1">
        <f t="array" ref="K281">INDEX(Sm,G281)</f>
        <v>-2.069140151303194</v>
      </c>
      <c r="L281" s="7">
        <f t="shared" si="19"/>
        <v>339.8358065974756</v>
      </c>
      <c r="M281" s="7">
        <f t="shared" si="20"/>
        <v>-1.4758065974755823</v>
      </c>
    </row>
    <row r="282" spans="6:13" ht="18.75" customHeight="1">
      <c r="F282" s="1">
        <v>29921</v>
      </c>
      <c r="G282">
        <f t="shared" si="17"/>
        <v>12</v>
      </c>
      <c r="H282" s="7">
        <v>339.61</v>
      </c>
      <c r="I282" s="7">
        <f>_B*F282+_C</f>
        <v>342.01370437614327</v>
      </c>
      <c r="J282" s="7">
        <f t="shared" si="18"/>
        <v>-2.4037043761432528</v>
      </c>
      <c r="K282" s="7" cm="1">
        <f t="array" ref="K282">INDEX(Sm,G282)</f>
        <v>-0.94051682628672428</v>
      </c>
      <c r="L282" s="7">
        <f t="shared" si="19"/>
        <v>341.07318754985653</v>
      </c>
      <c r="M282" s="7">
        <f t="shared" si="20"/>
        <v>-1.4631875498565137</v>
      </c>
    </row>
    <row r="283" spans="6:13" ht="18.75" customHeight="1">
      <c r="F283" s="1">
        <v>29952</v>
      </c>
      <c r="G283">
        <f t="shared" si="17"/>
        <v>1</v>
      </c>
      <c r="H283" s="7">
        <v>340.75</v>
      </c>
      <c r="I283" s="7">
        <f>_B*F283+_C</f>
        <v>342.12608725775323</v>
      </c>
      <c r="J283" s="7">
        <f t="shared" si="18"/>
        <v>-1.3760872577532268</v>
      </c>
      <c r="K283" s="7" cm="1">
        <f t="array" ref="K283">INDEX(Sm,G283)</f>
        <v>-2.6471136468108808E-2</v>
      </c>
      <c r="L283" s="7">
        <f t="shared" si="19"/>
        <v>342.09961612128512</v>
      </c>
      <c r="M283" s="7">
        <f t="shared" si="20"/>
        <v>-1.3496161212851234</v>
      </c>
    </row>
    <row r="284" spans="6:13" ht="18.75" customHeight="1">
      <c r="F284" s="1">
        <v>29983</v>
      </c>
      <c r="G284">
        <f t="shared" si="17"/>
        <v>2</v>
      </c>
      <c r="H284" s="7">
        <v>341.61</v>
      </c>
      <c r="I284" s="7">
        <f>_B*F284+_C</f>
        <v>342.23847013936319</v>
      </c>
      <c r="J284" s="7">
        <f t="shared" si="18"/>
        <v>-0.62847013936317353</v>
      </c>
      <c r="K284" s="7" cm="1">
        <f t="array" ref="K284">INDEX(Sm,G284)</f>
        <v>0.58733060283015548</v>
      </c>
      <c r="L284" s="7">
        <f t="shared" si="19"/>
        <v>342.82580074219334</v>
      </c>
      <c r="M284" s="7">
        <f t="shared" si="20"/>
        <v>-1.2158007421933235</v>
      </c>
    </row>
    <row r="285" spans="6:13" ht="18.75" customHeight="1">
      <c r="F285" s="1">
        <v>30011</v>
      </c>
      <c r="G285">
        <f t="shared" si="17"/>
        <v>3</v>
      </c>
      <c r="H285" s="7">
        <v>342.7</v>
      </c>
      <c r="I285" s="7">
        <f>_B*F285+_C</f>
        <v>342.33997725823673</v>
      </c>
      <c r="J285" s="7">
        <f t="shared" si="18"/>
        <v>0.36002274176325955</v>
      </c>
      <c r="K285" s="7" cm="1">
        <f t="array" ref="K285">INDEX(Sm,G285)</f>
        <v>1.4390836132721692</v>
      </c>
      <c r="L285" s="7">
        <f t="shared" si="19"/>
        <v>343.77906087150888</v>
      </c>
      <c r="M285" s="7">
        <f t="shared" si="20"/>
        <v>-1.0790608715088865</v>
      </c>
    </row>
    <row r="286" spans="6:13" ht="18.75" customHeight="1">
      <c r="F286" s="1">
        <v>30042</v>
      </c>
      <c r="G286">
        <f t="shared" si="17"/>
        <v>4</v>
      </c>
      <c r="H286" s="7">
        <v>343.57</v>
      </c>
      <c r="I286" s="7">
        <f>_B*F286+_C</f>
        <v>342.45236013984669</v>
      </c>
      <c r="J286" s="7">
        <f t="shared" si="18"/>
        <v>1.1176398601533037</v>
      </c>
      <c r="K286" s="7" cm="1">
        <f t="array" ref="K286">INDEX(Sm,G286)</f>
        <v>2.6009864459479211</v>
      </c>
      <c r="L286" s="7">
        <f t="shared" si="19"/>
        <v>345.0533465857946</v>
      </c>
      <c r="M286" s="7">
        <f t="shared" si="20"/>
        <v>-1.4833465857946067</v>
      </c>
    </row>
    <row r="287" spans="6:13" ht="18.75" customHeight="1">
      <c r="F287" s="1">
        <v>30072</v>
      </c>
      <c r="G287">
        <f t="shared" si="17"/>
        <v>5</v>
      </c>
      <c r="H287" s="7">
        <v>344.14</v>
      </c>
      <c r="I287" s="7">
        <f>_B*F287+_C</f>
        <v>342.56111776721116</v>
      </c>
      <c r="J287" s="7">
        <f t="shared" si="18"/>
        <v>1.5788822327888283</v>
      </c>
      <c r="K287" s="7" cm="1">
        <f t="array" ref="K287">INDEX(Sm,G287)</f>
        <v>2.9998113917703657</v>
      </c>
      <c r="L287" s="7">
        <f t="shared" si="19"/>
        <v>345.56092915898154</v>
      </c>
      <c r="M287" s="7">
        <f t="shared" si="20"/>
        <v>-1.4209291589815507</v>
      </c>
    </row>
    <row r="288" spans="6:13" ht="18.75" customHeight="1">
      <c r="F288" s="1">
        <v>30103</v>
      </c>
      <c r="G288">
        <f t="shared" si="17"/>
        <v>6</v>
      </c>
      <c r="H288" s="7">
        <v>343.35</v>
      </c>
      <c r="I288" s="7">
        <f>_B*F288+_C</f>
        <v>342.67350064882112</v>
      </c>
      <c r="J288" s="7">
        <f t="shared" si="18"/>
        <v>0.67649935117890436</v>
      </c>
      <c r="K288" s="7" cm="1">
        <f t="array" ref="K288">INDEX(Sm,G288)</f>
        <v>2.2382077892599441</v>
      </c>
      <c r="L288" s="7">
        <f t="shared" si="19"/>
        <v>344.91170843808106</v>
      </c>
      <c r="M288" s="7">
        <f t="shared" si="20"/>
        <v>-1.5617084380810411</v>
      </c>
    </row>
    <row r="289" spans="6:13" ht="18.75" customHeight="1">
      <c r="F289" s="1">
        <v>30133</v>
      </c>
      <c r="G289">
        <f t="shared" si="17"/>
        <v>7</v>
      </c>
      <c r="H289" s="7">
        <v>342.06</v>
      </c>
      <c r="I289" s="7">
        <f>_B*F289+_C</f>
        <v>342.78225827618559</v>
      </c>
      <c r="J289" s="7">
        <f t="shared" si="18"/>
        <v>-0.72225827618558469</v>
      </c>
      <c r="K289" s="7" cm="1">
        <f t="array" ref="K289">INDEX(Sm,G289)</f>
        <v>0.82390897803401641</v>
      </c>
      <c r="L289" s="7">
        <f t="shared" si="19"/>
        <v>343.6061672542196</v>
      </c>
      <c r="M289" s="7">
        <f t="shared" si="20"/>
        <v>-1.546167254219597</v>
      </c>
    </row>
    <row r="290" spans="6:13" ht="18.75" customHeight="1">
      <c r="F290" s="1">
        <v>30164</v>
      </c>
      <c r="G290">
        <f t="shared" si="17"/>
        <v>8</v>
      </c>
      <c r="H290" s="7">
        <v>339.81</v>
      </c>
      <c r="I290" s="7">
        <f>_B*F290+_C</f>
        <v>342.89464115779555</v>
      </c>
      <c r="J290" s="7">
        <f t="shared" si="18"/>
        <v>-3.084641157795545</v>
      </c>
      <c r="K290" s="7" cm="1">
        <f t="array" ref="K290">INDEX(Sm,G290)</f>
        <v>-1.2322834273854675</v>
      </c>
      <c r="L290" s="7">
        <f t="shared" si="19"/>
        <v>341.66235773041006</v>
      </c>
      <c r="M290" s="7">
        <f t="shared" si="20"/>
        <v>-1.8523577304100627</v>
      </c>
    </row>
    <row r="291" spans="6:13" ht="18.75" customHeight="1">
      <c r="F291" s="1">
        <v>30195</v>
      </c>
      <c r="G291">
        <f t="shared" si="17"/>
        <v>9</v>
      </c>
      <c r="H291" s="7">
        <v>337.98</v>
      </c>
      <c r="I291" s="7">
        <f>_B*F291+_C</f>
        <v>343.00702403940551</v>
      </c>
      <c r="J291" s="7">
        <f t="shared" si="18"/>
        <v>-5.0270240394054895</v>
      </c>
      <c r="K291" s="7" cm="1">
        <f t="array" ref="K291">INDEX(Sm,G291)</f>
        <v>-3.0765710709001954</v>
      </c>
      <c r="L291" s="7">
        <f t="shared" si="19"/>
        <v>339.93045296850534</v>
      </c>
      <c r="M291" s="7">
        <f t="shared" si="20"/>
        <v>-1.9504529685053171</v>
      </c>
    </row>
    <row r="292" spans="6:13" ht="18.75" customHeight="1">
      <c r="F292" s="1">
        <v>30225</v>
      </c>
      <c r="G292">
        <f t="shared" si="17"/>
        <v>10</v>
      </c>
      <c r="H292" s="7">
        <v>337.86</v>
      </c>
      <c r="I292" s="7">
        <f>_B*F292+_C</f>
        <v>343.11578166676998</v>
      </c>
      <c r="J292" s="7">
        <f t="shared" si="18"/>
        <v>-5.2557816667699626</v>
      </c>
      <c r="K292" s="7" cm="1">
        <f t="array" ref="K292">INDEX(Sm,G292)</f>
        <v>-3.3570000579572215</v>
      </c>
      <c r="L292" s="7">
        <f t="shared" si="19"/>
        <v>339.75878160881274</v>
      </c>
      <c r="M292" s="7">
        <f t="shared" si="20"/>
        <v>-1.8987816088127261</v>
      </c>
    </row>
    <row r="293" spans="6:13" ht="18.75" customHeight="1">
      <c r="F293" s="1">
        <v>30256</v>
      </c>
      <c r="G293">
        <f t="shared" si="17"/>
        <v>11</v>
      </c>
      <c r="H293" s="7">
        <v>339.26</v>
      </c>
      <c r="I293" s="7">
        <f>_B*F293+_C</f>
        <v>343.22816454837994</v>
      </c>
      <c r="J293" s="7">
        <f t="shared" si="18"/>
        <v>-3.9681645483799457</v>
      </c>
      <c r="K293" s="7" cm="1">
        <f t="array" ref="K293">INDEX(Sm,G293)</f>
        <v>-2.069140151303194</v>
      </c>
      <c r="L293" s="7">
        <f t="shared" si="19"/>
        <v>341.15902439707673</v>
      </c>
      <c r="M293" s="7">
        <f t="shared" si="20"/>
        <v>-1.8990243970767438</v>
      </c>
    </row>
    <row r="294" spans="6:13" ht="18.75" customHeight="1">
      <c r="F294" s="1">
        <v>30286</v>
      </c>
      <c r="G294">
        <f t="shared" si="17"/>
        <v>12</v>
      </c>
      <c r="H294" s="7">
        <v>340.49</v>
      </c>
      <c r="I294" s="7">
        <f>_B*F294+_C</f>
        <v>343.33692217574441</v>
      </c>
      <c r="J294" s="7">
        <f t="shared" si="18"/>
        <v>-2.8469221757443961</v>
      </c>
      <c r="K294" s="7" cm="1">
        <f t="array" ref="K294">INDEX(Sm,G294)</f>
        <v>-0.94051682628672428</v>
      </c>
      <c r="L294" s="7">
        <f t="shared" si="19"/>
        <v>342.39640534945767</v>
      </c>
      <c r="M294" s="7">
        <f t="shared" si="20"/>
        <v>-1.9064053494576569</v>
      </c>
    </row>
    <row r="295" spans="6:13" ht="18.75" customHeight="1">
      <c r="F295" s="1">
        <v>30317</v>
      </c>
      <c r="G295">
        <f t="shared" si="17"/>
        <v>1</v>
      </c>
      <c r="H295" s="7">
        <v>341.38</v>
      </c>
      <c r="I295" s="7">
        <f>_B*F295+_C</f>
        <v>343.44930505735437</v>
      </c>
      <c r="J295" s="7">
        <f t="shared" si="18"/>
        <v>-2.0693050573543701</v>
      </c>
      <c r="K295" s="7" cm="1">
        <f t="array" ref="K295">INDEX(Sm,G295)</f>
        <v>-2.6471136468108808E-2</v>
      </c>
      <c r="L295" s="7">
        <f t="shared" si="19"/>
        <v>343.42283392088626</v>
      </c>
      <c r="M295" s="7">
        <f t="shared" si="20"/>
        <v>-2.0428339208862667</v>
      </c>
    </row>
    <row r="296" spans="6:13" ht="18.75" customHeight="1">
      <c r="F296" s="1">
        <v>30348</v>
      </c>
      <c r="G296">
        <f t="shared" si="17"/>
        <v>2</v>
      </c>
      <c r="H296" s="7">
        <v>342.52</v>
      </c>
      <c r="I296" s="7">
        <f>_B*F296+_C</f>
        <v>343.56168793896433</v>
      </c>
      <c r="J296" s="7">
        <f t="shared" si="18"/>
        <v>-1.0416879389643441</v>
      </c>
      <c r="K296" s="7" cm="1">
        <f t="array" ref="K296">INDEX(Sm,G296)</f>
        <v>0.58733060283015548</v>
      </c>
      <c r="L296" s="7">
        <f t="shared" si="19"/>
        <v>344.14901854179448</v>
      </c>
      <c r="M296" s="7">
        <f t="shared" si="20"/>
        <v>-1.629018541794494</v>
      </c>
    </row>
    <row r="297" spans="6:13" ht="18.75" customHeight="1">
      <c r="F297" s="1">
        <v>30376</v>
      </c>
      <c r="G297">
        <f t="shared" si="17"/>
        <v>3</v>
      </c>
      <c r="H297" s="7">
        <v>343.1</v>
      </c>
      <c r="I297" s="7">
        <f>_B*F297+_C</f>
        <v>343.66319505783787</v>
      </c>
      <c r="J297" s="7">
        <f t="shared" si="18"/>
        <v>-0.56319505783784507</v>
      </c>
      <c r="K297" s="7" cm="1">
        <f t="array" ref="K297">INDEX(Sm,G297)</f>
        <v>1.4390836132721692</v>
      </c>
      <c r="L297" s="7">
        <f t="shared" si="19"/>
        <v>345.10227867111001</v>
      </c>
      <c r="M297" s="7">
        <f t="shared" si="20"/>
        <v>-2.0022786711099911</v>
      </c>
    </row>
    <row r="298" spans="6:13" ht="18.75" customHeight="1">
      <c r="F298" s="1">
        <v>30407</v>
      </c>
      <c r="G298">
        <f t="shared" si="17"/>
        <v>4</v>
      </c>
      <c r="H298" s="7">
        <v>344.94</v>
      </c>
      <c r="I298" s="7">
        <f>_B*F298+_C</f>
        <v>343.77557793944783</v>
      </c>
      <c r="J298" s="7">
        <f t="shared" si="18"/>
        <v>1.1644220605521696</v>
      </c>
      <c r="K298" s="7" cm="1">
        <f t="array" ref="K298">INDEX(Sm,G298)</f>
        <v>2.6009864459479211</v>
      </c>
      <c r="L298" s="7">
        <f t="shared" si="19"/>
        <v>346.37656438539574</v>
      </c>
      <c r="M298" s="7">
        <f t="shared" si="20"/>
        <v>-1.4365643853957408</v>
      </c>
    </row>
    <row r="299" spans="6:13" ht="18.75" customHeight="1">
      <c r="F299" s="1">
        <v>30437</v>
      </c>
      <c r="G299">
        <f t="shared" si="17"/>
        <v>5</v>
      </c>
      <c r="H299" s="7">
        <v>345.76</v>
      </c>
      <c r="I299" s="7">
        <f>_B*F299+_C</f>
        <v>343.8843355668123</v>
      </c>
      <c r="J299" s="7">
        <f t="shared" si="18"/>
        <v>1.8756644331876942</v>
      </c>
      <c r="K299" s="7" cm="1">
        <f t="array" ref="K299">INDEX(Sm,G299)</f>
        <v>2.9998113917703657</v>
      </c>
      <c r="L299" s="7">
        <f t="shared" si="19"/>
        <v>346.88414695858268</v>
      </c>
      <c r="M299" s="7">
        <f t="shared" si="20"/>
        <v>-1.1241469585826849</v>
      </c>
    </row>
    <row r="300" spans="6:13" ht="18.75" customHeight="1">
      <c r="F300" s="1">
        <v>30468</v>
      </c>
      <c r="G300">
        <f t="shared" si="17"/>
        <v>6</v>
      </c>
      <c r="H300" s="7">
        <v>345.32</v>
      </c>
      <c r="I300" s="7">
        <f>_B*F300+_C</f>
        <v>343.99671844842226</v>
      </c>
      <c r="J300" s="7">
        <f t="shared" si="18"/>
        <v>1.3232815515777361</v>
      </c>
      <c r="K300" s="7" cm="1">
        <f t="array" ref="K300">INDEX(Sm,G300)</f>
        <v>2.2382077892599441</v>
      </c>
      <c r="L300" s="7">
        <f t="shared" si="19"/>
        <v>346.2349262376822</v>
      </c>
      <c r="M300" s="7">
        <f t="shared" si="20"/>
        <v>-0.91492623768220938</v>
      </c>
    </row>
    <row r="301" spans="6:13" ht="18.75" customHeight="1">
      <c r="F301" s="1">
        <v>30498</v>
      </c>
      <c r="G301">
        <f t="shared" si="17"/>
        <v>7</v>
      </c>
      <c r="H301" s="7">
        <v>343.98</v>
      </c>
      <c r="I301" s="7">
        <f>_B*F301+_C</f>
        <v>344.10547607578673</v>
      </c>
      <c r="J301" s="7">
        <f t="shared" si="18"/>
        <v>-0.1254760757867075</v>
      </c>
      <c r="K301" s="7" cm="1">
        <f t="array" ref="K301">INDEX(Sm,G301)</f>
        <v>0.82390897803401641</v>
      </c>
      <c r="L301" s="7">
        <f t="shared" si="19"/>
        <v>344.92938505382074</v>
      </c>
      <c r="M301" s="7">
        <f t="shared" si="20"/>
        <v>-0.9493850538207198</v>
      </c>
    </row>
    <row r="302" spans="6:13" ht="18.75" customHeight="1">
      <c r="F302" s="1">
        <v>30529</v>
      </c>
      <c r="G302">
        <f t="shared" si="17"/>
        <v>8</v>
      </c>
      <c r="H302" s="7">
        <v>342.38</v>
      </c>
      <c r="I302" s="7">
        <f>_B*F302+_C</f>
        <v>344.21785895739669</v>
      </c>
      <c r="J302" s="7">
        <f t="shared" si="18"/>
        <v>-1.8378589573966906</v>
      </c>
      <c r="K302" s="7" cm="1">
        <f t="array" ref="K302">INDEX(Sm,G302)</f>
        <v>-1.2322834273854675</v>
      </c>
      <c r="L302" s="7">
        <f t="shared" si="19"/>
        <v>342.9855755300112</v>
      </c>
      <c r="M302" s="7">
        <f t="shared" si="20"/>
        <v>-0.60557553001120823</v>
      </c>
    </row>
    <row r="303" spans="6:13" ht="18.75" customHeight="1">
      <c r="F303" s="1">
        <v>30560</v>
      </c>
      <c r="G303">
        <f t="shared" si="17"/>
        <v>9</v>
      </c>
      <c r="H303" s="7">
        <v>339.87</v>
      </c>
      <c r="I303" s="7">
        <f>_B*F303+_C</f>
        <v>344.33024183900665</v>
      </c>
      <c r="J303" s="7">
        <f t="shared" si="18"/>
        <v>-4.4602418390066418</v>
      </c>
      <c r="K303" s="7" cm="1">
        <f t="array" ref="K303">INDEX(Sm,G303)</f>
        <v>-3.0765710709001954</v>
      </c>
      <c r="L303" s="7">
        <f t="shared" si="19"/>
        <v>341.25367076810647</v>
      </c>
      <c r="M303" s="7">
        <f t="shared" si="20"/>
        <v>-1.3836707681064695</v>
      </c>
    </row>
    <row r="304" spans="6:13" ht="18.75" customHeight="1">
      <c r="F304" s="1">
        <v>30590</v>
      </c>
      <c r="G304">
        <f t="shared" si="17"/>
        <v>10</v>
      </c>
      <c r="H304" s="7">
        <v>339.99</v>
      </c>
      <c r="I304" s="7">
        <f>_B*F304+_C</f>
        <v>344.43899946637111</v>
      </c>
      <c r="J304" s="7">
        <f t="shared" si="18"/>
        <v>-4.4489994663711059</v>
      </c>
      <c r="K304" s="7" cm="1">
        <f t="array" ref="K304">INDEX(Sm,G304)</f>
        <v>-3.3570000579572215</v>
      </c>
      <c r="L304" s="7">
        <f t="shared" si="19"/>
        <v>341.08199940841388</v>
      </c>
      <c r="M304" s="7">
        <f t="shared" si="20"/>
        <v>-1.0919994084138693</v>
      </c>
    </row>
    <row r="305" spans="6:13" ht="18.75" customHeight="1">
      <c r="F305" s="1">
        <v>30621</v>
      </c>
      <c r="G305">
        <f t="shared" si="17"/>
        <v>11</v>
      </c>
      <c r="H305" s="7">
        <v>341.15</v>
      </c>
      <c r="I305" s="7">
        <f>_B*F305+_C</f>
        <v>344.55138234798108</v>
      </c>
      <c r="J305" s="7">
        <f t="shared" si="18"/>
        <v>-3.4013823479810981</v>
      </c>
      <c r="K305" s="7" cm="1">
        <f t="array" ref="K305">INDEX(Sm,G305)</f>
        <v>-2.069140151303194</v>
      </c>
      <c r="L305" s="7">
        <f t="shared" si="19"/>
        <v>342.48224219667787</v>
      </c>
      <c r="M305" s="7">
        <f t="shared" si="20"/>
        <v>-1.3322421966778961</v>
      </c>
    </row>
    <row r="306" spans="6:13" ht="18.75" customHeight="1">
      <c r="F306" s="1">
        <v>30651</v>
      </c>
      <c r="G306">
        <f t="shared" si="17"/>
        <v>12</v>
      </c>
      <c r="H306" s="7">
        <v>342.99</v>
      </c>
      <c r="I306" s="7">
        <f>_B*F306+_C</f>
        <v>344.66013997534554</v>
      </c>
      <c r="J306" s="7">
        <f t="shared" si="18"/>
        <v>-1.6701399753455348</v>
      </c>
      <c r="K306" s="7" cm="1">
        <f t="array" ref="K306">INDEX(Sm,G306)</f>
        <v>-0.94051682628672428</v>
      </c>
      <c r="L306" s="7">
        <f t="shared" si="19"/>
        <v>343.7196231490588</v>
      </c>
      <c r="M306" s="7">
        <f t="shared" si="20"/>
        <v>-0.72962314905879566</v>
      </c>
    </row>
    <row r="307" spans="6:13" ht="18.75" customHeight="1">
      <c r="F307" s="1">
        <v>30682</v>
      </c>
      <c r="G307">
        <f t="shared" si="17"/>
        <v>1</v>
      </c>
      <c r="H307" s="7">
        <v>343.7</v>
      </c>
      <c r="I307" s="7">
        <f>_B*F307+_C</f>
        <v>344.7725228569555</v>
      </c>
      <c r="J307" s="7">
        <f t="shared" si="18"/>
        <v>-1.0725228569555156</v>
      </c>
      <c r="K307" s="7" cm="1">
        <f t="array" ref="K307">INDEX(Sm,G307)</f>
        <v>-2.6471136468108808E-2</v>
      </c>
      <c r="L307" s="7">
        <f t="shared" si="19"/>
        <v>344.7460517204874</v>
      </c>
      <c r="M307" s="7">
        <f t="shared" si="20"/>
        <v>-1.0460517204874122</v>
      </c>
    </row>
    <row r="308" spans="6:13" ht="18.75" customHeight="1">
      <c r="F308" s="1">
        <v>30713</v>
      </c>
      <c r="G308">
        <f t="shared" si="17"/>
        <v>2</v>
      </c>
      <c r="H308" s="7">
        <v>344.5</v>
      </c>
      <c r="I308" s="7">
        <f>_B*F308+_C</f>
        <v>344.88490573856546</v>
      </c>
      <c r="J308" s="7">
        <f t="shared" si="18"/>
        <v>-0.38490573856546462</v>
      </c>
      <c r="K308" s="7" cm="1">
        <f t="array" ref="K308">INDEX(Sm,G308)</f>
        <v>0.58733060283015548</v>
      </c>
      <c r="L308" s="7">
        <f t="shared" si="19"/>
        <v>345.47223634139561</v>
      </c>
      <c r="M308" s="7">
        <f t="shared" si="20"/>
        <v>-0.97223634139561455</v>
      </c>
    </row>
    <row r="309" spans="6:13" ht="18.75" customHeight="1">
      <c r="F309" s="1">
        <v>30742</v>
      </c>
      <c r="G309">
        <f t="shared" si="17"/>
        <v>3</v>
      </c>
      <c r="H309" s="7">
        <v>345.28</v>
      </c>
      <c r="I309" s="7">
        <f>_B*F309+_C</f>
        <v>344.9900381116845</v>
      </c>
      <c r="J309" s="7">
        <f t="shared" si="18"/>
        <v>0.28996188831547443</v>
      </c>
      <c r="K309" s="7" cm="1">
        <f t="array" ref="K309">INDEX(Sm,G309)</f>
        <v>1.4390836132721692</v>
      </c>
      <c r="L309" s="7">
        <f t="shared" si="19"/>
        <v>346.42912172495664</v>
      </c>
      <c r="M309" s="7">
        <f t="shared" si="20"/>
        <v>-1.1491217249566716</v>
      </c>
    </row>
    <row r="310" spans="6:13" ht="18.75" customHeight="1">
      <c r="F310" s="1">
        <v>30773</v>
      </c>
      <c r="G310">
        <f t="shared" si="17"/>
        <v>4</v>
      </c>
      <c r="H310" s="7">
        <v>347.05</v>
      </c>
      <c r="I310" s="7">
        <f>_B*F310+_C</f>
        <v>345.10242099329446</v>
      </c>
      <c r="J310" s="7">
        <f t="shared" si="18"/>
        <v>1.9475790067055527</v>
      </c>
      <c r="K310" s="7" cm="1">
        <f t="array" ref="K310">INDEX(Sm,G310)</f>
        <v>2.6009864459479211</v>
      </c>
      <c r="L310" s="7">
        <f t="shared" si="19"/>
        <v>347.70340743924237</v>
      </c>
      <c r="M310" s="7">
        <f t="shared" si="20"/>
        <v>-0.65340743924235767</v>
      </c>
    </row>
    <row r="311" spans="6:13" ht="18.75" customHeight="1">
      <c r="F311" s="1">
        <v>30803</v>
      </c>
      <c r="G311">
        <f t="shared" si="17"/>
        <v>5</v>
      </c>
      <c r="H311" s="7">
        <v>347.43</v>
      </c>
      <c r="I311" s="7">
        <f>_B*F311+_C</f>
        <v>345.21117862065893</v>
      </c>
      <c r="J311" s="7">
        <f t="shared" si="18"/>
        <v>2.2188213793410796</v>
      </c>
      <c r="K311" s="7" cm="1">
        <f t="array" ref="K311">INDEX(Sm,G311)</f>
        <v>2.9998113917703657</v>
      </c>
      <c r="L311" s="7">
        <f t="shared" si="19"/>
        <v>348.21099001242931</v>
      </c>
      <c r="M311" s="7">
        <f t="shared" si="20"/>
        <v>-0.78099001242929944</v>
      </c>
    </row>
    <row r="312" spans="6:13" ht="18.75" customHeight="1">
      <c r="F312" s="1">
        <v>30834</v>
      </c>
      <c r="G312">
        <f t="shared" si="17"/>
        <v>6</v>
      </c>
      <c r="H312" s="7">
        <v>346.8</v>
      </c>
      <c r="I312" s="7">
        <f>_B*F312+_C</f>
        <v>345.32356150226889</v>
      </c>
      <c r="J312" s="7">
        <f t="shared" si="18"/>
        <v>1.4764384977311238</v>
      </c>
      <c r="K312" s="7" cm="1">
        <f t="array" ref="K312">INDEX(Sm,G312)</f>
        <v>2.2382077892599441</v>
      </c>
      <c r="L312" s="7">
        <f t="shared" si="19"/>
        <v>347.56176929152883</v>
      </c>
      <c r="M312" s="7">
        <f t="shared" si="20"/>
        <v>-0.76176929152882167</v>
      </c>
    </row>
    <row r="313" spans="6:13" ht="18.75" customHeight="1">
      <c r="F313" s="1">
        <v>30864</v>
      </c>
      <c r="G313">
        <f t="shared" si="17"/>
        <v>7</v>
      </c>
      <c r="H313" s="7">
        <v>345.39</v>
      </c>
      <c r="I313" s="7">
        <f>_B*F313+_C</f>
        <v>345.43231912963336</v>
      </c>
      <c r="J313" s="7">
        <f t="shared" si="18"/>
        <v>-4.2319129633369812E-2</v>
      </c>
      <c r="K313" s="7" cm="1">
        <f t="array" ref="K313">INDEX(Sm,G313)</f>
        <v>0.82390897803401641</v>
      </c>
      <c r="L313" s="7">
        <f t="shared" si="19"/>
        <v>346.25622810766737</v>
      </c>
      <c r="M313" s="7">
        <f t="shared" si="20"/>
        <v>-0.86622810766738212</v>
      </c>
    </row>
    <row r="314" spans="6:13" ht="18.75" customHeight="1">
      <c r="F314" s="1">
        <v>30895</v>
      </c>
      <c r="G314">
        <f t="shared" si="17"/>
        <v>8</v>
      </c>
      <c r="H314" s="7">
        <v>343.28</v>
      </c>
      <c r="I314" s="7">
        <f>_B*F314+_C</f>
        <v>345.54470201124332</v>
      </c>
      <c r="J314" s="7">
        <f t="shared" si="18"/>
        <v>-2.2647020112433438</v>
      </c>
      <c r="K314" s="7" cm="1">
        <f t="array" ref="K314">INDEX(Sm,G314)</f>
        <v>-1.2322834273854675</v>
      </c>
      <c r="L314" s="7">
        <f t="shared" si="19"/>
        <v>344.31241858385783</v>
      </c>
      <c r="M314" s="7">
        <f t="shared" si="20"/>
        <v>-1.0324185838578614</v>
      </c>
    </row>
    <row r="315" spans="6:13" ht="18.75" customHeight="1">
      <c r="F315" s="1">
        <v>30926</v>
      </c>
      <c r="G315">
        <f t="shared" si="17"/>
        <v>9</v>
      </c>
      <c r="H315" s="7">
        <v>341.07</v>
      </c>
      <c r="I315" s="7">
        <f>_B*F315+_C</f>
        <v>345.65708489285328</v>
      </c>
      <c r="J315" s="7">
        <f t="shared" si="18"/>
        <v>-4.5870848928532837</v>
      </c>
      <c r="K315" s="7" cm="1">
        <f t="array" ref="K315">INDEX(Sm,G315)</f>
        <v>-3.0765710709001954</v>
      </c>
      <c r="L315" s="7">
        <f t="shared" si="19"/>
        <v>342.5805138219531</v>
      </c>
      <c r="M315" s="7">
        <f t="shared" si="20"/>
        <v>-1.5105138219531113</v>
      </c>
    </row>
    <row r="316" spans="6:13" ht="18.75" customHeight="1">
      <c r="F316" s="1">
        <v>30956</v>
      </c>
      <c r="G316">
        <f t="shared" si="17"/>
        <v>10</v>
      </c>
      <c r="H316" s="7">
        <v>341.35</v>
      </c>
      <c r="I316" s="7">
        <f>_B*F316+_C</f>
        <v>345.76584252021775</v>
      </c>
      <c r="J316" s="7">
        <f t="shared" si="18"/>
        <v>-4.4158425202177227</v>
      </c>
      <c r="K316" s="7" cm="1">
        <f t="array" ref="K316">INDEX(Sm,G316)</f>
        <v>-3.3570000579572215</v>
      </c>
      <c r="L316" s="7">
        <f t="shared" si="19"/>
        <v>342.40884246226051</v>
      </c>
      <c r="M316" s="7">
        <f t="shared" si="20"/>
        <v>-1.0588424622604862</v>
      </c>
    </row>
    <row r="317" spans="6:13" ht="18.75" customHeight="1">
      <c r="F317" s="1">
        <v>30987</v>
      </c>
      <c r="G317">
        <f t="shared" si="17"/>
        <v>11</v>
      </c>
      <c r="H317" s="7">
        <v>342.98</v>
      </c>
      <c r="I317" s="7">
        <f>_B*F317+_C</f>
        <v>345.87822540182771</v>
      </c>
      <c r="J317" s="7">
        <f t="shared" si="18"/>
        <v>-2.8982254018276876</v>
      </c>
      <c r="K317" s="7" cm="1">
        <f t="array" ref="K317">INDEX(Sm,G317)</f>
        <v>-2.069140151303194</v>
      </c>
      <c r="L317" s="7">
        <f t="shared" si="19"/>
        <v>343.8090852505245</v>
      </c>
      <c r="M317" s="7">
        <f t="shared" si="20"/>
        <v>-0.82908525052448567</v>
      </c>
    </row>
    <row r="318" spans="6:13" ht="18.75" customHeight="1">
      <c r="F318" s="1">
        <v>31017</v>
      </c>
      <c r="G318">
        <f t="shared" si="17"/>
        <v>12</v>
      </c>
      <c r="H318" s="7">
        <v>344.22</v>
      </c>
      <c r="I318" s="7">
        <f>_B*F318+_C</f>
        <v>345.98698302919217</v>
      </c>
      <c r="J318" s="7">
        <f t="shared" si="18"/>
        <v>-1.7669830291921471</v>
      </c>
      <c r="K318" s="7" cm="1">
        <f t="array" ref="K318">INDEX(Sm,G318)</f>
        <v>-0.94051682628672428</v>
      </c>
      <c r="L318" s="7">
        <f t="shared" si="19"/>
        <v>345.04646620290544</v>
      </c>
      <c r="M318" s="7">
        <f t="shared" si="20"/>
        <v>-0.82646620290540795</v>
      </c>
    </row>
    <row r="319" spans="6:13" ht="18.75" customHeight="1">
      <c r="F319" s="1">
        <v>31048</v>
      </c>
      <c r="G319">
        <f t="shared" si="17"/>
        <v>1</v>
      </c>
      <c r="H319" s="7">
        <v>344.97</v>
      </c>
      <c r="I319" s="7">
        <f>_B*F319+_C</f>
        <v>346.09936591080213</v>
      </c>
      <c r="J319" s="7">
        <f t="shared" si="18"/>
        <v>-1.1293659108021075</v>
      </c>
      <c r="K319" s="7" cm="1">
        <f t="array" ref="K319">INDEX(Sm,G319)</f>
        <v>-2.6471136468108808E-2</v>
      </c>
      <c r="L319" s="7">
        <f t="shared" si="19"/>
        <v>346.07289477433403</v>
      </c>
      <c r="M319" s="7">
        <f t="shared" si="20"/>
        <v>-1.1028947743340041</v>
      </c>
    </row>
    <row r="320" spans="6:13" ht="18.75" customHeight="1">
      <c r="F320" s="1">
        <v>31079</v>
      </c>
      <c r="G320">
        <f t="shared" si="17"/>
        <v>2</v>
      </c>
      <c r="H320" s="7">
        <v>345.99</v>
      </c>
      <c r="I320" s="7">
        <f>_B*F320+_C</f>
        <v>346.2117487924121</v>
      </c>
      <c r="J320" s="7">
        <f t="shared" si="18"/>
        <v>-0.221748792412086</v>
      </c>
      <c r="K320" s="7" cm="1">
        <f t="array" ref="K320">INDEX(Sm,G320)</f>
        <v>0.58733060283015548</v>
      </c>
      <c r="L320" s="7">
        <f t="shared" si="19"/>
        <v>346.79907939524225</v>
      </c>
      <c r="M320" s="7">
        <f t="shared" si="20"/>
        <v>-0.80907939524223593</v>
      </c>
    </row>
    <row r="321" spans="6:13" ht="18.75" customHeight="1">
      <c r="F321" s="1">
        <v>31107</v>
      </c>
      <c r="G321">
        <f t="shared" si="17"/>
        <v>3</v>
      </c>
      <c r="H321" s="7">
        <v>347.42</v>
      </c>
      <c r="I321" s="7">
        <f>_B*F321+_C</f>
        <v>346.31325591128564</v>
      </c>
      <c r="J321" s="7">
        <f t="shared" si="18"/>
        <v>1.1067440887143789</v>
      </c>
      <c r="K321" s="7" cm="1">
        <f t="array" ref="K321">INDEX(Sm,G321)</f>
        <v>1.4390836132721692</v>
      </c>
      <c r="L321" s="7">
        <f t="shared" si="19"/>
        <v>347.75233952455778</v>
      </c>
      <c r="M321" s="7">
        <f t="shared" si="20"/>
        <v>-0.33233952455776716</v>
      </c>
    </row>
    <row r="322" spans="6:13" ht="18.75" customHeight="1">
      <c r="F322" s="1">
        <v>31138</v>
      </c>
      <c r="G322">
        <f t="shared" si="17"/>
        <v>4</v>
      </c>
      <c r="H322" s="7">
        <v>348.35</v>
      </c>
      <c r="I322" s="7">
        <f>_B*F322+_C</f>
        <v>346.4256387928956</v>
      </c>
      <c r="J322" s="7">
        <f t="shared" si="18"/>
        <v>1.9243612071044254</v>
      </c>
      <c r="K322" s="7" cm="1">
        <f t="array" ref="K322">INDEX(Sm,G322)</f>
        <v>2.6009864459479211</v>
      </c>
      <c r="L322" s="7">
        <f t="shared" si="19"/>
        <v>349.02662523884351</v>
      </c>
      <c r="M322" s="7">
        <f t="shared" si="20"/>
        <v>-0.67662523884348502</v>
      </c>
    </row>
    <row r="323" spans="6:13" ht="18.75" customHeight="1">
      <c r="F323" s="1">
        <v>31168</v>
      </c>
      <c r="G323">
        <f t="shared" ref="G323:G386" si="21">MONTH(F323)</f>
        <v>5</v>
      </c>
      <c r="H323" s="7">
        <v>348.93</v>
      </c>
      <c r="I323" s="7">
        <f>_B*F323+_C</f>
        <v>346.53439642026007</v>
      </c>
      <c r="J323" s="7">
        <f t="shared" ref="J323:J386" si="22">H323-I323</f>
        <v>2.3956035797399409</v>
      </c>
      <c r="K323" s="7" cm="1">
        <f t="array" ref="K323">INDEX(Sm,G323)</f>
        <v>2.9998113917703657</v>
      </c>
      <c r="L323" s="7">
        <f t="shared" ref="L323:L386" si="23">I323+K323</f>
        <v>349.53420781203044</v>
      </c>
      <c r="M323" s="7">
        <f t="shared" ref="M323:M386" si="24">H323-L323</f>
        <v>-0.60420781203043816</v>
      </c>
    </row>
    <row r="324" spans="6:13" ht="18.75" customHeight="1">
      <c r="F324" s="1">
        <v>31199</v>
      </c>
      <c r="G324">
        <f t="shared" si="21"/>
        <v>6</v>
      </c>
      <c r="H324" s="7">
        <v>348.25</v>
      </c>
      <c r="I324" s="7">
        <f>_B*F324+_C</f>
        <v>346.64677930187003</v>
      </c>
      <c r="J324" s="7">
        <f t="shared" si="22"/>
        <v>1.6032206981299737</v>
      </c>
      <c r="K324" s="7" cm="1">
        <f t="array" ref="K324">INDEX(Sm,G324)</f>
        <v>2.2382077892599441</v>
      </c>
      <c r="L324" s="7">
        <f t="shared" si="23"/>
        <v>348.88498709112997</v>
      </c>
      <c r="M324" s="7">
        <f t="shared" si="24"/>
        <v>-0.63498709112997176</v>
      </c>
    </row>
    <row r="325" spans="6:13" ht="18.75" customHeight="1">
      <c r="F325" s="1">
        <v>31229</v>
      </c>
      <c r="G325">
        <f t="shared" si="21"/>
        <v>7</v>
      </c>
      <c r="H325" s="7">
        <v>346.56</v>
      </c>
      <c r="I325" s="7">
        <f>_B*F325+_C</f>
        <v>346.75553692923449</v>
      </c>
      <c r="J325" s="7">
        <f t="shared" si="22"/>
        <v>-0.19553692923449262</v>
      </c>
      <c r="K325" s="7" cm="1">
        <f t="array" ref="K325">INDEX(Sm,G325)</f>
        <v>0.82390897803401641</v>
      </c>
      <c r="L325" s="7">
        <f t="shared" si="23"/>
        <v>347.57944590726851</v>
      </c>
      <c r="M325" s="7">
        <f t="shared" si="24"/>
        <v>-1.0194459072685049</v>
      </c>
    </row>
    <row r="326" spans="6:13" ht="18.75" customHeight="1">
      <c r="F326" s="1">
        <v>31260</v>
      </c>
      <c r="G326">
        <f t="shared" si="21"/>
        <v>8</v>
      </c>
      <c r="H326" s="7">
        <v>344.67</v>
      </c>
      <c r="I326" s="7">
        <f>_B*F326+_C</f>
        <v>346.86791981084446</v>
      </c>
      <c r="J326" s="7">
        <f t="shared" si="22"/>
        <v>-2.1979198108444393</v>
      </c>
      <c r="K326" s="7" cm="1">
        <f t="array" ref="K326">INDEX(Sm,G326)</f>
        <v>-1.2322834273854675</v>
      </c>
      <c r="L326" s="7">
        <f t="shared" si="23"/>
        <v>345.63563638345897</v>
      </c>
      <c r="M326" s="7">
        <f t="shared" si="24"/>
        <v>-0.96563638345895697</v>
      </c>
    </row>
    <row r="327" spans="6:13" ht="18.75" customHeight="1">
      <c r="F327" s="1">
        <v>31291</v>
      </c>
      <c r="G327">
        <f t="shared" si="21"/>
        <v>9</v>
      </c>
      <c r="H327" s="7">
        <v>343.09</v>
      </c>
      <c r="I327" s="7">
        <f>_B*F327+_C</f>
        <v>346.98030269245442</v>
      </c>
      <c r="J327" s="7">
        <f t="shared" si="22"/>
        <v>-3.8903026924544406</v>
      </c>
      <c r="K327" s="7" cm="1">
        <f t="array" ref="K327">INDEX(Sm,G327)</f>
        <v>-3.0765710709001954</v>
      </c>
      <c r="L327" s="7">
        <f t="shared" si="23"/>
        <v>343.90373162155424</v>
      </c>
      <c r="M327" s="7">
        <f t="shared" si="24"/>
        <v>-0.81373162155426826</v>
      </c>
    </row>
    <row r="328" spans="6:13" ht="18.75" customHeight="1">
      <c r="F328" s="1">
        <v>31321</v>
      </c>
      <c r="G328">
        <f t="shared" si="21"/>
        <v>10</v>
      </c>
      <c r="H328" s="7">
        <v>342.8</v>
      </c>
      <c r="I328" s="7">
        <f>_B*F328+_C</f>
        <v>347.08906031981888</v>
      </c>
      <c r="J328" s="7">
        <f t="shared" si="22"/>
        <v>-4.2890603198188728</v>
      </c>
      <c r="K328" s="7" cm="1">
        <f t="array" ref="K328">INDEX(Sm,G328)</f>
        <v>-3.3570000579572215</v>
      </c>
      <c r="L328" s="7">
        <f t="shared" si="23"/>
        <v>343.73206026186165</v>
      </c>
      <c r="M328" s="7">
        <f t="shared" si="24"/>
        <v>-0.93206026186163626</v>
      </c>
    </row>
    <row r="329" spans="6:13" ht="18.75" customHeight="1">
      <c r="F329" s="1">
        <v>31352</v>
      </c>
      <c r="G329">
        <f t="shared" si="21"/>
        <v>11</v>
      </c>
      <c r="H329" s="7">
        <v>344.24</v>
      </c>
      <c r="I329" s="7">
        <f>_B*F329+_C</f>
        <v>347.20144320142884</v>
      </c>
      <c r="J329" s="7">
        <f t="shared" si="22"/>
        <v>-2.9614432014288354</v>
      </c>
      <c r="K329" s="7" cm="1">
        <f t="array" ref="K329">INDEX(Sm,G329)</f>
        <v>-2.069140151303194</v>
      </c>
      <c r="L329" s="7">
        <f t="shared" si="23"/>
        <v>345.13230305012564</v>
      </c>
      <c r="M329" s="7">
        <f t="shared" si="24"/>
        <v>-0.89230305012563349</v>
      </c>
    </row>
    <row r="330" spans="6:13" ht="18.75" customHeight="1">
      <c r="F330" s="1">
        <v>31382</v>
      </c>
      <c r="G330">
        <f t="shared" si="21"/>
        <v>12</v>
      </c>
      <c r="H330" s="7">
        <v>345.56</v>
      </c>
      <c r="I330" s="7">
        <f>_B*F330+_C</f>
        <v>347.31020082879331</v>
      </c>
      <c r="J330" s="7">
        <f t="shared" si="22"/>
        <v>-1.7502008287933108</v>
      </c>
      <c r="K330" s="7" cm="1">
        <f t="array" ref="K330">INDEX(Sm,G330)</f>
        <v>-0.94051682628672428</v>
      </c>
      <c r="L330" s="7">
        <f t="shared" si="23"/>
        <v>346.36968400250657</v>
      </c>
      <c r="M330" s="7">
        <f t="shared" si="24"/>
        <v>-0.80968400250657169</v>
      </c>
    </row>
    <row r="331" spans="6:13" ht="18.75" customHeight="1">
      <c r="F331" s="1">
        <v>31413</v>
      </c>
      <c r="G331">
        <f t="shared" si="21"/>
        <v>1</v>
      </c>
      <c r="H331" s="7">
        <v>346.3</v>
      </c>
      <c r="I331" s="7">
        <f>_B*F331+_C</f>
        <v>347.42258371040327</v>
      </c>
      <c r="J331" s="7">
        <f t="shared" si="22"/>
        <v>-1.1225837104032621</v>
      </c>
      <c r="K331" s="7" cm="1">
        <f t="array" ref="K331">INDEX(Sm,G331)</f>
        <v>-2.6471136468108808E-2</v>
      </c>
      <c r="L331" s="7">
        <f t="shared" si="23"/>
        <v>347.39611257393517</v>
      </c>
      <c r="M331" s="7">
        <f t="shared" si="24"/>
        <v>-1.0961125739351587</v>
      </c>
    </row>
    <row r="332" spans="6:13" ht="18.75" customHeight="1">
      <c r="F332" s="1">
        <v>31444</v>
      </c>
      <c r="G332">
        <f t="shared" si="21"/>
        <v>2</v>
      </c>
      <c r="H332" s="7">
        <v>346.95</v>
      </c>
      <c r="I332" s="7">
        <f>_B*F332+_C</f>
        <v>347.53496659201323</v>
      </c>
      <c r="J332" s="7">
        <f t="shared" si="22"/>
        <v>-0.58496659201324519</v>
      </c>
      <c r="K332" s="7" cm="1">
        <f t="array" ref="K332">INDEX(Sm,G332)</f>
        <v>0.58733060283015548</v>
      </c>
      <c r="L332" s="7">
        <f t="shared" si="23"/>
        <v>348.12229719484338</v>
      </c>
      <c r="M332" s="7">
        <f t="shared" si="24"/>
        <v>-1.1722971948433951</v>
      </c>
    </row>
    <row r="333" spans="6:13" ht="18.75" customHeight="1">
      <c r="F333" s="1">
        <v>31472</v>
      </c>
      <c r="G333">
        <f t="shared" si="21"/>
        <v>3</v>
      </c>
      <c r="H333" s="7">
        <v>347.85</v>
      </c>
      <c r="I333" s="7">
        <f>_B*F333+_C</f>
        <v>347.63647371088678</v>
      </c>
      <c r="J333" s="7">
        <f t="shared" si="22"/>
        <v>0.213526289113247</v>
      </c>
      <c r="K333" s="7" cm="1">
        <f t="array" ref="K333">INDEX(Sm,G333)</f>
        <v>1.4390836132721692</v>
      </c>
      <c r="L333" s="7">
        <f t="shared" si="23"/>
        <v>349.07555732415892</v>
      </c>
      <c r="M333" s="7">
        <f t="shared" si="24"/>
        <v>-1.2255573241588991</v>
      </c>
    </row>
    <row r="334" spans="6:13" ht="18.75" customHeight="1">
      <c r="F334" s="1">
        <v>31503</v>
      </c>
      <c r="G334">
        <f t="shared" si="21"/>
        <v>4</v>
      </c>
      <c r="H334" s="7">
        <v>349.55</v>
      </c>
      <c r="I334" s="7">
        <f>_B*F334+_C</f>
        <v>347.74885659249674</v>
      </c>
      <c r="J334" s="7">
        <f t="shared" si="22"/>
        <v>1.8011434075032753</v>
      </c>
      <c r="K334" s="7" cm="1">
        <f t="array" ref="K334">INDEX(Sm,G334)</f>
        <v>2.6009864459479211</v>
      </c>
      <c r="L334" s="7">
        <f t="shared" si="23"/>
        <v>350.34984303844465</v>
      </c>
      <c r="M334" s="7">
        <f t="shared" si="24"/>
        <v>-0.79984303844463511</v>
      </c>
    </row>
    <row r="335" spans="6:13" ht="18.75" customHeight="1">
      <c r="F335" s="1">
        <v>31533</v>
      </c>
      <c r="G335">
        <f t="shared" si="21"/>
        <v>5</v>
      </c>
      <c r="H335" s="7">
        <v>350.22</v>
      </c>
      <c r="I335" s="7">
        <f>_B*F335+_C</f>
        <v>347.8576142198612</v>
      </c>
      <c r="J335" s="7">
        <f t="shared" si="22"/>
        <v>2.3623857801388226</v>
      </c>
      <c r="K335" s="7" cm="1">
        <f t="array" ref="K335">INDEX(Sm,G335)</f>
        <v>2.9998113917703657</v>
      </c>
      <c r="L335" s="7">
        <f t="shared" si="23"/>
        <v>350.85742561163158</v>
      </c>
      <c r="M335" s="7">
        <f t="shared" si="24"/>
        <v>-0.63742561163155642</v>
      </c>
    </row>
    <row r="336" spans="6:13" ht="18.75" customHeight="1">
      <c r="F336" s="1">
        <v>31564</v>
      </c>
      <c r="G336">
        <f t="shared" si="21"/>
        <v>6</v>
      </c>
      <c r="H336" s="7">
        <v>349.55</v>
      </c>
      <c r="I336" s="7">
        <f>_B*F336+_C</f>
        <v>347.96999710147117</v>
      </c>
      <c r="J336" s="7">
        <f t="shared" si="22"/>
        <v>1.5800028985288463</v>
      </c>
      <c r="K336" s="7" cm="1">
        <f t="array" ref="K336">INDEX(Sm,G336)</f>
        <v>2.2382077892599441</v>
      </c>
      <c r="L336" s="7">
        <f t="shared" si="23"/>
        <v>350.20820489073111</v>
      </c>
      <c r="M336" s="7">
        <f t="shared" si="24"/>
        <v>-0.65820489073109911</v>
      </c>
    </row>
    <row r="337" spans="6:13" ht="18.75" customHeight="1">
      <c r="F337" s="1">
        <v>31594</v>
      </c>
      <c r="G337">
        <f t="shared" si="21"/>
        <v>7</v>
      </c>
      <c r="H337" s="7">
        <v>347.94</v>
      </c>
      <c r="I337" s="7">
        <f>_B*F337+_C</f>
        <v>348.07875472883563</v>
      </c>
      <c r="J337" s="7">
        <f t="shared" si="22"/>
        <v>-0.13875472883563589</v>
      </c>
      <c r="K337" s="7" cm="1">
        <f t="array" ref="K337">INDEX(Sm,G337)</f>
        <v>0.82390897803401641</v>
      </c>
      <c r="L337" s="7">
        <f t="shared" si="23"/>
        <v>348.90266370686965</v>
      </c>
      <c r="M337" s="7">
        <f t="shared" si="24"/>
        <v>-0.96266370686964819</v>
      </c>
    </row>
    <row r="338" spans="6:13" ht="18.75" customHeight="1">
      <c r="F338" s="1">
        <v>31625</v>
      </c>
      <c r="G338">
        <f t="shared" si="21"/>
        <v>8</v>
      </c>
      <c r="H338" s="7">
        <v>345.9</v>
      </c>
      <c r="I338" s="7">
        <f>_B*F338+_C</f>
        <v>348.19113761044559</v>
      </c>
      <c r="J338" s="7">
        <f t="shared" si="22"/>
        <v>-2.2911376104456167</v>
      </c>
      <c r="K338" s="7" cm="1">
        <f t="array" ref="K338">INDEX(Sm,G338)</f>
        <v>-1.2322834273854675</v>
      </c>
      <c r="L338" s="7">
        <f t="shared" si="23"/>
        <v>346.95885418306011</v>
      </c>
      <c r="M338" s="7">
        <f t="shared" si="24"/>
        <v>-1.0588541830601343</v>
      </c>
    </row>
    <row r="339" spans="6:13" ht="18.75" customHeight="1">
      <c r="F339" s="1">
        <v>31656</v>
      </c>
      <c r="G339">
        <f t="shared" si="21"/>
        <v>9</v>
      </c>
      <c r="H339" s="7">
        <v>344.85</v>
      </c>
      <c r="I339" s="7">
        <f>_B*F339+_C</f>
        <v>348.30352049205555</v>
      </c>
      <c r="J339" s="7">
        <f t="shared" si="22"/>
        <v>-3.4535204920555316</v>
      </c>
      <c r="K339" s="7" cm="1">
        <f t="array" ref="K339">INDEX(Sm,G339)</f>
        <v>-3.0765710709001954</v>
      </c>
      <c r="L339" s="7">
        <f t="shared" si="23"/>
        <v>345.22694942115538</v>
      </c>
      <c r="M339" s="7">
        <f t="shared" si="24"/>
        <v>-0.37694942115535923</v>
      </c>
    </row>
    <row r="340" spans="6:13" ht="18.75" customHeight="1">
      <c r="F340" s="1">
        <v>31686</v>
      </c>
      <c r="G340">
        <f t="shared" si="21"/>
        <v>10</v>
      </c>
      <c r="H340" s="7">
        <v>344.17</v>
      </c>
      <c r="I340" s="7">
        <f>_B*F340+_C</f>
        <v>348.41227811942002</v>
      </c>
      <c r="J340" s="7">
        <f t="shared" si="22"/>
        <v>-4.242278119420007</v>
      </c>
      <c r="K340" s="7" cm="1">
        <f t="array" ref="K340">INDEX(Sm,G340)</f>
        <v>-3.3570000579572215</v>
      </c>
      <c r="L340" s="7">
        <f t="shared" si="23"/>
        <v>345.05527806146279</v>
      </c>
      <c r="M340" s="7">
        <f t="shared" si="24"/>
        <v>-0.88527806146277044</v>
      </c>
    </row>
    <row r="341" spans="6:13" ht="18.75" customHeight="1">
      <c r="F341" s="1">
        <v>31717</v>
      </c>
      <c r="G341">
        <f t="shared" si="21"/>
        <v>11</v>
      </c>
      <c r="H341" s="7">
        <v>345.66</v>
      </c>
      <c r="I341" s="7">
        <f>_B*F341+_C</f>
        <v>348.52466100102998</v>
      </c>
      <c r="J341" s="7">
        <f t="shared" si="22"/>
        <v>-2.8646610010299582</v>
      </c>
      <c r="K341" s="7" cm="1">
        <f t="array" ref="K341">INDEX(Sm,G341)</f>
        <v>-2.069140151303194</v>
      </c>
      <c r="L341" s="7">
        <f t="shared" si="23"/>
        <v>346.45552084972678</v>
      </c>
      <c r="M341" s="7">
        <f t="shared" si="24"/>
        <v>-0.7955208497267563</v>
      </c>
    </row>
    <row r="342" spans="6:13" ht="18.75" customHeight="1">
      <c r="F342" s="1">
        <v>31747</v>
      </c>
      <c r="G342">
        <f t="shared" si="21"/>
        <v>12</v>
      </c>
      <c r="H342" s="7">
        <v>346.9</v>
      </c>
      <c r="I342" s="7">
        <f>_B*F342+_C</f>
        <v>348.63341862839445</v>
      </c>
      <c r="J342" s="7">
        <f t="shared" si="22"/>
        <v>-1.7334186283944746</v>
      </c>
      <c r="K342" s="7" cm="1">
        <f t="array" ref="K342">INDEX(Sm,G342)</f>
        <v>-0.94051682628672428</v>
      </c>
      <c r="L342" s="7">
        <f t="shared" si="23"/>
        <v>347.69290180210771</v>
      </c>
      <c r="M342" s="7">
        <f t="shared" si="24"/>
        <v>-0.79290180210773542</v>
      </c>
    </row>
    <row r="343" spans="6:13" ht="18.75" customHeight="1">
      <c r="F343" s="1">
        <v>31778</v>
      </c>
      <c r="G343">
        <f t="shared" si="21"/>
        <v>1</v>
      </c>
      <c r="H343" s="7">
        <v>348.02</v>
      </c>
      <c r="I343" s="7">
        <f>_B*F343+_C</f>
        <v>348.74580151000441</v>
      </c>
      <c r="J343" s="7">
        <f t="shared" si="22"/>
        <v>-0.72580151000443038</v>
      </c>
      <c r="K343" s="7" cm="1">
        <f t="array" ref="K343">INDEX(Sm,G343)</f>
        <v>-2.6471136468108808E-2</v>
      </c>
      <c r="L343" s="7">
        <f t="shared" si="23"/>
        <v>348.71933037353631</v>
      </c>
      <c r="M343" s="7">
        <f t="shared" si="24"/>
        <v>-0.69933037353632699</v>
      </c>
    </row>
    <row r="344" spans="6:13" ht="18.75" customHeight="1">
      <c r="F344" s="1">
        <v>31809</v>
      </c>
      <c r="G344">
        <f t="shared" si="21"/>
        <v>2</v>
      </c>
      <c r="H344" s="7">
        <v>348.48</v>
      </c>
      <c r="I344" s="7">
        <f>_B*F344+_C</f>
        <v>348.85818439161437</v>
      </c>
      <c r="J344" s="7">
        <f t="shared" si="22"/>
        <v>-0.37818439161435435</v>
      </c>
      <c r="K344" s="7" cm="1">
        <f t="array" ref="K344">INDEX(Sm,G344)</f>
        <v>0.58733060283015548</v>
      </c>
      <c r="L344" s="7">
        <f t="shared" si="23"/>
        <v>349.44551499444452</v>
      </c>
      <c r="M344" s="7">
        <f t="shared" si="24"/>
        <v>-0.96551499444450428</v>
      </c>
    </row>
    <row r="345" spans="6:13" ht="18.75" customHeight="1">
      <c r="F345" s="1">
        <v>31837</v>
      </c>
      <c r="G345">
        <f t="shared" si="21"/>
        <v>3</v>
      </c>
      <c r="H345" s="7">
        <v>349.42</v>
      </c>
      <c r="I345" s="7">
        <f>_B*F345+_C</f>
        <v>348.95969151048791</v>
      </c>
      <c r="J345" s="7">
        <f t="shared" si="22"/>
        <v>0.46030848951210146</v>
      </c>
      <c r="K345" s="7" cm="1">
        <f t="array" ref="K345">INDEX(Sm,G345)</f>
        <v>1.4390836132721692</v>
      </c>
      <c r="L345" s="7">
        <f t="shared" si="23"/>
        <v>350.39877512376006</v>
      </c>
      <c r="M345" s="7">
        <f t="shared" si="24"/>
        <v>-0.97877512376004461</v>
      </c>
    </row>
    <row r="346" spans="6:13" ht="18.75" customHeight="1">
      <c r="F346" s="1">
        <v>31868</v>
      </c>
      <c r="G346">
        <f t="shared" si="21"/>
        <v>4</v>
      </c>
      <c r="H346" s="7">
        <v>350.98</v>
      </c>
      <c r="I346" s="7">
        <f>_B*F346+_C</f>
        <v>349.07207439209787</v>
      </c>
      <c r="J346" s="7">
        <f t="shared" si="22"/>
        <v>1.9079256079021434</v>
      </c>
      <c r="K346" s="7" cm="1">
        <f t="array" ref="K346">INDEX(Sm,G346)</f>
        <v>2.6009864459479211</v>
      </c>
      <c r="L346" s="7">
        <f t="shared" si="23"/>
        <v>351.67306083804579</v>
      </c>
      <c r="M346" s="7">
        <f t="shared" si="24"/>
        <v>-0.69306083804576701</v>
      </c>
    </row>
    <row r="347" spans="6:13" ht="18.75" customHeight="1">
      <c r="F347" s="1">
        <v>31898</v>
      </c>
      <c r="G347">
        <f t="shared" si="21"/>
        <v>5</v>
      </c>
      <c r="H347" s="7">
        <v>351.85</v>
      </c>
      <c r="I347" s="7">
        <f>_B*F347+_C</f>
        <v>349.18083201946234</v>
      </c>
      <c r="J347" s="7">
        <f t="shared" si="22"/>
        <v>2.6691679805376793</v>
      </c>
      <c r="K347" s="7" cm="1">
        <f t="array" ref="K347">INDEX(Sm,G347)</f>
        <v>2.9998113917703657</v>
      </c>
      <c r="L347" s="7">
        <f t="shared" si="23"/>
        <v>352.18064341123272</v>
      </c>
      <c r="M347" s="7">
        <f t="shared" si="24"/>
        <v>-0.33064341123269969</v>
      </c>
    </row>
    <row r="348" spans="6:13" ht="18.75" customHeight="1">
      <c r="F348" s="1">
        <v>31929</v>
      </c>
      <c r="G348">
        <f t="shared" si="21"/>
        <v>6</v>
      </c>
      <c r="H348" s="7">
        <v>351.26</v>
      </c>
      <c r="I348" s="7">
        <f>_B*F348+_C</f>
        <v>349.2932149010723</v>
      </c>
      <c r="J348" s="7">
        <f t="shared" si="22"/>
        <v>1.9667850989276872</v>
      </c>
      <c r="K348" s="7" cm="1">
        <f t="array" ref="K348">INDEX(Sm,G348)</f>
        <v>2.2382077892599441</v>
      </c>
      <c r="L348" s="7">
        <f t="shared" si="23"/>
        <v>351.53142269033225</v>
      </c>
      <c r="M348" s="7">
        <f t="shared" si="24"/>
        <v>-0.2714226903322583</v>
      </c>
    </row>
    <row r="349" spans="6:13" ht="18.75" customHeight="1">
      <c r="F349" s="1">
        <v>31959</v>
      </c>
      <c r="G349">
        <f t="shared" si="21"/>
        <v>7</v>
      </c>
      <c r="H349" s="7">
        <v>349.51</v>
      </c>
      <c r="I349" s="7">
        <f>_B*F349+_C</f>
        <v>349.40197252843677</v>
      </c>
      <c r="J349" s="7">
        <f t="shared" si="22"/>
        <v>0.10802747156321857</v>
      </c>
      <c r="K349" s="7" cm="1">
        <f t="array" ref="K349">INDEX(Sm,G349)</f>
        <v>0.82390897803401641</v>
      </c>
      <c r="L349" s="7">
        <f t="shared" si="23"/>
        <v>350.22588150647078</v>
      </c>
      <c r="M349" s="7">
        <f t="shared" si="24"/>
        <v>-0.71588150647079374</v>
      </c>
    </row>
    <row r="350" spans="6:13" ht="18.75" customHeight="1">
      <c r="F350" s="1">
        <v>31990</v>
      </c>
      <c r="G350">
        <f t="shared" si="21"/>
        <v>8</v>
      </c>
      <c r="H350" s="7">
        <v>348.1</v>
      </c>
      <c r="I350" s="7">
        <f>_B*F350+_C</f>
        <v>349.51435541004673</v>
      </c>
      <c r="J350" s="7">
        <f t="shared" si="22"/>
        <v>-1.4143554100467099</v>
      </c>
      <c r="K350" s="7" cm="1">
        <f t="array" ref="K350">INDEX(Sm,G350)</f>
        <v>-1.2322834273854675</v>
      </c>
      <c r="L350" s="7">
        <f t="shared" si="23"/>
        <v>348.28207198266125</v>
      </c>
      <c r="M350" s="7">
        <f t="shared" si="24"/>
        <v>-0.18207198266122759</v>
      </c>
    </row>
    <row r="351" spans="6:13" ht="18.75" customHeight="1">
      <c r="F351" s="1">
        <v>32021</v>
      </c>
      <c r="G351">
        <f t="shared" si="21"/>
        <v>9</v>
      </c>
      <c r="H351" s="7">
        <v>346.45</v>
      </c>
      <c r="I351" s="7">
        <f>_B*F351+_C</f>
        <v>349.62673829165669</v>
      </c>
      <c r="J351" s="7">
        <f t="shared" si="22"/>
        <v>-3.1767382916567044</v>
      </c>
      <c r="K351" s="7" cm="1">
        <f t="array" ref="K351">INDEX(Sm,G351)</f>
        <v>-3.0765710709001954</v>
      </c>
      <c r="L351" s="7">
        <f t="shared" si="23"/>
        <v>346.55016722075652</v>
      </c>
      <c r="M351" s="7">
        <f t="shared" si="24"/>
        <v>-0.10016722075653206</v>
      </c>
    </row>
    <row r="352" spans="6:13" ht="18.75" customHeight="1">
      <c r="F352" s="1">
        <v>32051</v>
      </c>
      <c r="G352">
        <f t="shared" si="21"/>
        <v>10</v>
      </c>
      <c r="H352" s="7">
        <v>346.36</v>
      </c>
      <c r="I352" s="7">
        <f>_B*F352+_C</f>
        <v>349.73549591902116</v>
      </c>
      <c r="J352" s="7">
        <f t="shared" si="22"/>
        <v>-3.375495919021148</v>
      </c>
      <c r="K352" s="7" cm="1">
        <f t="array" ref="K352">INDEX(Sm,G352)</f>
        <v>-3.3570000579572215</v>
      </c>
      <c r="L352" s="7">
        <f t="shared" si="23"/>
        <v>346.37849586106393</v>
      </c>
      <c r="M352" s="7">
        <f t="shared" si="24"/>
        <v>-1.8495861063911434E-2</v>
      </c>
    </row>
    <row r="353" spans="6:13" ht="18.75" customHeight="1">
      <c r="F353" s="1">
        <v>32082</v>
      </c>
      <c r="G353">
        <f t="shared" si="21"/>
        <v>11</v>
      </c>
      <c r="H353" s="7">
        <v>347.81</v>
      </c>
      <c r="I353" s="7">
        <f>_B*F353+_C</f>
        <v>349.84787880063112</v>
      </c>
      <c r="J353" s="7">
        <f t="shared" si="22"/>
        <v>-2.0378788006311197</v>
      </c>
      <c r="K353" s="7" cm="1">
        <f t="array" ref="K353">INDEX(Sm,G353)</f>
        <v>-2.069140151303194</v>
      </c>
      <c r="L353" s="7">
        <f t="shared" si="23"/>
        <v>347.77873864932792</v>
      </c>
      <c r="M353" s="7">
        <f t="shared" si="24"/>
        <v>3.1261350672082244E-2</v>
      </c>
    </row>
    <row r="354" spans="6:13" ht="18.75" customHeight="1">
      <c r="F354" s="1">
        <v>32112</v>
      </c>
      <c r="G354">
        <f t="shared" si="21"/>
        <v>12</v>
      </c>
      <c r="H354" s="7">
        <v>348.96</v>
      </c>
      <c r="I354" s="7">
        <f>_B*F354+_C</f>
        <v>349.95663642799559</v>
      </c>
      <c r="J354" s="7">
        <f t="shared" si="22"/>
        <v>-0.99663642799561103</v>
      </c>
      <c r="K354" s="7" cm="1">
        <f t="array" ref="K354">INDEX(Sm,G354)</f>
        <v>-0.94051682628672428</v>
      </c>
      <c r="L354" s="7">
        <f t="shared" si="23"/>
        <v>349.01611960170885</v>
      </c>
      <c r="M354" s="7">
        <f t="shared" si="24"/>
        <v>-5.6119601708871869E-2</v>
      </c>
    </row>
    <row r="355" spans="6:13" ht="18.75" customHeight="1">
      <c r="F355" s="1">
        <v>32143</v>
      </c>
      <c r="G355">
        <f t="shared" si="21"/>
        <v>1</v>
      </c>
      <c r="H355" s="7">
        <v>350.43</v>
      </c>
      <c r="I355" s="7">
        <f>_B*F355+_C</f>
        <v>350.06901930960555</v>
      </c>
      <c r="J355" s="7">
        <f t="shared" si="22"/>
        <v>0.36098069039445591</v>
      </c>
      <c r="K355" s="7" cm="1">
        <f t="array" ref="K355">INDEX(Sm,G355)</f>
        <v>-2.6471136468108808E-2</v>
      </c>
      <c r="L355" s="7">
        <f t="shared" si="23"/>
        <v>350.04254817313745</v>
      </c>
      <c r="M355" s="7">
        <f t="shared" si="24"/>
        <v>0.3874518268625593</v>
      </c>
    </row>
    <row r="356" spans="6:13" ht="18.75" customHeight="1">
      <c r="F356" s="1">
        <v>32174</v>
      </c>
      <c r="G356">
        <f t="shared" si="21"/>
        <v>2</v>
      </c>
      <c r="H356" s="7">
        <v>351.73</v>
      </c>
      <c r="I356" s="7">
        <f>_B*F356+_C</f>
        <v>350.18140219121551</v>
      </c>
      <c r="J356" s="7">
        <f t="shared" si="22"/>
        <v>1.5485978087845069</v>
      </c>
      <c r="K356" s="7" cm="1">
        <f t="array" ref="K356">INDEX(Sm,G356)</f>
        <v>0.58733060283015548</v>
      </c>
      <c r="L356" s="7">
        <f t="shared" si="23"/>
        <v>350.76873279404566</v>
      </c>
      <c r="M356" s="7">
        <f t="shared" si="24"/>
        <v>0.961267205954357</v>
      </c>
    </row>
    <row r="357" spans="6:13" ht="18.75" customHeight="1">
      <c r="F357" s="1">
        <v>32203</v>
      </c>
      <c r="G357">
        <f t="shared" si="21"/>
        <v>3</v>
      </c>
      <c r="H357" s="7">
        <v>352.22</v>
      </c>
      <c r="I357" s="7">
        <f>_B*F357+_C</f>
        <v>350.28653456433454</v>
      </c>
      <c r="J357" s="7">
        <f t="shared" si="22"/>
        <v>1.9334654356654823</v>
      </c>
      <c r="K357" s="7" cm="1">
        <f t="array" ref="K357">INDEX(Sm,G357)</f>
        <v>1.4390836132721692</v>
      </c>
      <c r="L357" s="7">
        <f t="shared" si="23"/>
        <v>351.72561817760669</v>
      </c>
      <c r="M357" s="7">
        <f t="shared" si="24"/>
        <v>0.49438182239333628</v>
      </c>
    </row>
    <row r="358" spans="6:13" ht="18.75" customHeight="1">
      <c r="F358" s="1">
        <v>32234</v>
      </c>
      <c r="G358">
        <f t="shared" si="21"/>
        <v>4</v>
      </c>
      <c r="H358" s="7">
        <v>353.59</v>
      </c>
      <c r="I358" s="7">
        <f>_B*F358+_C</f>
        <v>350.39891744594451</v>
      </c>
      <c r="J358" s="7">
        <f t="shared" si="22"/>
        <v>3.1910825540554697</v>
      </c>
      <c r="K358" s="7" cm="1">
        <f t="array" ref="K358">INDEX(Sm,G358)</f>
        <v>2.6009864459479211</v>
      </c>
      <c r="L358" s="7">
        <f t="shared" si="23"/>
        <v>352.99990389189242</v>
      </c>
      <c r="M358" s="7">
        <f t="shared" si="24"/>
        <v>0.5900961081075593</v>
      </c>
    </row>
    <row r="359" spans="6:13" ht="18.75" customHeight="1">
      <c r="F359" s="1">
        <v>32264</v>
      </c>
      <c r="G359">
        <f t="shared" si="21"/>
        <v>5</v>
      </c>
      <c r="H359" s="7">
        <v>354.22</v>
      </c>
      <c r="I359" s="7">
        <f>_B*F359+_C</f>
        <v>350.50767507330897</v>
      </c>
      <c r="J359" s="7">
        <f t="shared" si="22"/>
        <v>3.7123249266910534</v>
      </c>
      <c r="K359" s="7" cm="1">
        <f t="array" ref="K359">INDEX(Sm,G359)</f>
        <v>2.9998113917703657</v>
      </c>
      <c r="L359" s="7">
        <f t="shared" si="23"/>
        <v>353.50748646507935</v>
      </c>
      <c r="M359" s="7">
        <f t="shared" si="24"/>
        <v>0.71251353492067437</v>
      </c>
    </row>
    <row r="360" spans="6:13" ht="18.75" customHeight="1">
      <c r="F360" s="1">
        <v>32295</v>
      </c>
      <c r="G360">
        <f t="shared" si="21"/>
        <v>6</v>
      </c>
      <c r="H360" s="7">
        <v>353.8</v>
      </c>
      <c r="I360" s="7">
        <f>_B*F360+_C</f>
        <v>350.62005795491893</v>
      </c>
      <c r="J360" s="7">
        <f t="shared" si="22"/>
        <v>3.1799420450810771</v>
      </c>
      <c r="K360" s="7" cm="1">
        <f t="array" ref="K360">INDEX(Sm,G360)</f>
        <v>2.2382077892599441</v>
      </c>
      <c r="L360" s="7">
        <f t="shared" si="23"/>
        <v>352.85826574417888</v>
      </c>
      <c r="M360" s="7">
        <f t="shared" si="24"/>
        <v>0.94173425582113168</v>
      </c>
    </row>
    <row r="361" spans="6:13" ht="18.75" customHeight="1">
      <c r="F361" s="1">
        <v>32325</v>
      </c>
      <c r="G361">
        <f t="shared" si="21"/>
        <v>7</v>
      </c>
      <c r="H361" s="7">
        <v>352.38</v>
      </c>
      <c r="I361" s="7">
        <f>_B*F361+_C</f>
        <v>350.7288155822834</v>
      </c>
      <c r="J361" s="7">
        <f t="shared" si="22"/>
        <v>1.6511844177165926</v>
      </c>
      <c r="K361" s="7" cm="1">
        <f t="array" ref="K361">INDEX(Sm,G361)</f>
        <v>0.82390897803401641</v>
      </c>
      <c r="L361" s="7">
        <f t="shared" si="23"/>
        <v>351.55272456031742</v>
      </c>
      <c r="M361" s="7">
        <f t="shared" si="24"/>
        <v>0.82727543968258033</v>
      </c>
    </row>
    <row r="362" spans="6:13" ht="18.75" customHeight="1">
      <c r="F362" s="1">
        <v>32356</v>
      </c>
      <c r="G362">
        <f t="shared" si="21"/>
        <v>8</v>
      </c>
      <c r="H362" s="7">
        <v>350.43</v>
      </c>
      <c r="I362" s="7">
        <f>_B*F362+_C</f>
        <v>350.84119846389336</v>
      </c>
      <c r="J362" s="7">
        <f t="shared" si="22"/>
        <v>-0.41119846389335635</v>
      </c>
      <c r="K362" s="7" cm="1">
        <f t="array" ref="K362">INDEX(Sm,G362)</f>
        <v>-1.2322834273854675</v>
      </c>
      <c r="L362" s="7">
        <f t="shared" si="23"/>
        <v>349.60891503650788</v>
      </c>
      <c r="M362" s="7">
        <f t="shared" si="24"/>
        <v>0.82108496349212601</v>
      </c>
    </row>
    <row r="363" spans="6:13" ht="18.75" customHeight="1">
      <c r="F363" s="1">
        <v>32387</v>
      </c>
      <c r="G363">
        <f t="shared" si="21"/>
        <v>9</v>
      </c>
      <c r="H363" s="7">
        <v>348.73</v>
      </c>
      <c r="I363" s="7">
        <f>_B*F363+_C</f>
        <v>350.95358134550332</v>
      </c>
      <c r="J363" s="7">
        <f t="shared" si="22"/>
        <v>-2.2235813455033053</v>
      </c>
      <c r="K363" s="7" cm="1">
        <f t="array" ref="K363">INDEX(Sm,G363)</f>
        <v>-3.0765710709001954</v>
      </c>
      <c r="L363" s="7">
        <f t="shared" si="23"/>
        <v>347.87701027460315</v>
      </c>
      <c r="M363" s="7">
        <f t="shared" si="24"/>
        <v>0.85298972539686702</v>
      </c>
    </row>
    <row r="364" spans="6:13" ht="18.75" customHeight="1">
      <c r="F364" s="1">
        <v>32417</v>
      </c>
      <c r="G364">
        <f t="shared" si="21"/>
        <v>10</v>
      </c>
      <c r="H364" s="7">
        <v>348.88</v>
      </c>
      <c r="I364" s="7">
        <f>_B*F364+_C</f>
        <v>351.06233897286779</v>
      </c>
      <c r="J364" s="7">
        <f t="shared" si="22"/>
        <v>-2.1823389728677967</v>
      </c>
      <c r="K364" s="7" cm="1">
        <f t="array" ref="K364">INDEX(Sm,G364)</f>
        <v>-3.3570000579572215</v>
      </c>
      <c r="L364" s="7">
        <f t="shared" si="23"/>
        <v>347.70533891491056</v>
      </c>
      <c r="M364" s="7">
        <f t="shared" si="24"/>
        <v>1.1746610850894399</v>
      </c>
    </row>
    <row r="365" spans="6:13" ht="18.75" customHeight="1">
      <c r="F365" s="1">
        <v>32448</v>
      </c>
      <c r="G365">
        <f t="shared" si="21"/>
        <v>11</v>
      </c>
      <c r="H365" s="7">
        <v>350.07</v>
      </c>
      <c r="I365" s="7">
        <f>_B*F365+_C</f>
        <v>351.17472185447775</v>
      </c>
      <c r="J365" s="7">
        <f t="shared" si="22"/>
        <v>-1.1047218544777593</v>
      </c>
      <c r="K365" s="7" cm="1">
        <f t="array" ref="K365">INDEX(Sm,G365)</f>
        <v>-2.069140151303194</v>
      </c>
      <c r="L365" s="7">
        <f t="shared" si="23"/>
        <v>349.10558170317455</v>
      </c>
      <c r="M365" s="7">
        <f t="shared" si="24"/>
        <v>0.96441829682544267</v>
      </c>
    </row>
    <row r="366" spans="6:13" ht="18.75" customHeight="1">
      <c r="F366" s="1">
        <v>32478</v>
      </c>
      <c r="G366">
        <f t="shared" si="21"/>
        <v>12</v>
      </c>
      <c r="H366" s="7">
        <v>351.34</v>
      </c>
      <c r="I366" s="7">
        <f>_B*F366+_C</f>
        <v>351.28347948184222</v>
      </c>
      <c r="J366" s="7">
        <f t="shared" si="22"/>
        <v>5.6520518157753941E-2</v>
      </c>
      <c r="K366" s="7" cm="1">
        <f t="array" ref="K366">INDEX(Sm,G366)</f>
        <v>-0.94051682628672428</v>
      </c>
      <c r="L366" s="7">
        <f t="shared" si="23"/>
        <v>350.34296265555548</v>
      </c>
      <c r="M366" s="7">
        <f t="shared" si="24"/>
        <v>0.9970373444444931</v>
      </c>
    </row>
    <row r="367" spans="6:13" ht="18.75" customHeight="1">
      <c r="F367" s="1">
        <v>32509</v>
      </c>
      <c r="G367">
        <f t="shared" si="21"/>
        <v>1</v>
      </c>
      <c r="H367" s="7">
        <v>352.76</v>
      </c>
      <c r="I367" s="7">
        <f>_B*F367+_C</f>
        <v>351.39586236345218</v>
      </c>
      <c r="J367" s="7">
        <f t="shared" si="22"/>
        <v>1.3641376365478095</v>
      </c>
      <c r="K367" s="7" cm="1">
        <f t="array" ref="K367">INDEX(Sm,G367)</f>
        <v>-2.6471136468108808E-2</v>
      </c>
      <c r="L367" s="7">
        <f t="shared" si="23"/>
        <v>351.36939122698408</v>
      </c>
      <c r="M367" s="7">
        <f t="shared" si="24"/>
        <v>1.3906087730159129</v>
      </c>
    </row>
    <row r="368" spans="6:13" ht="18.75" customHeight="1">
      <c r="F368" s="1">
        <v>32540</v>
      </c>
      <c r="G368">
        <f t="shared" si="21"/>
        <v>2</v>
      </c>
      <c r="H368" s="7">
        <v>353.07</v>
      </c>
      <c r="I368" s="7">
        <f>_B*F368+_C</f>
        <v>351.50824524506214</v>
      </c>
      <c r="J368" s="7">
        <f t="shared" si="22"/>
        <v>1.5617547549378514</v>
      </c>
      <c r="K368" s="7" cm="1">
        <f t="array" ref="K368">INDEX(Sm,G368)</f>
        <v>0.58733060283015548</v>
      </c>
      <c r="L368" s="7">
        <f t="shared" si="23"/>
        <v>352.09557584789229</v>
      </c>
      <c r="M368" s="7">
        <f t="shared" si="24"/>
        <v>0.9744241521077015</v>
      </c>
    </row>
    <row r="369" spans="6:13" ht="18.75" customHeight="1">
      <c r="F369" s="1">
        <v>32568</v>
      </c>
      <c r="G369">
        <f t="shared" si="21"/>
        <v>3</v>
      </c>
      <c r="H369" s="7">
        <v>353.68</v>
      </c>
      <c r="I369" s="7">
        <f>_B*F369+_C</f>
        <v>351.60975236393568</v>
      </c>
      <c r="J369" s="7">
        <f t="shared" si="22"/>
        <v>2.0702476360643232</v>
      </c>
      <c r="K369" s="7" cm="1">
        <f t="array" ref="K369">INDEX(Sm,G369)</f>
        <v>1.4390836132721692</v>
      </c>
      <c r="L369" s="7">
        <f t="shared" si="23"/>
        <v>353.04883597720783</v>
      </c>
      <c r="M369" s="7">
        <f t="shared" si="24"/>
        <v>0.63116402279217709</v>
      </c>
    </row>
    <row r="370" spans="6:13" ht="18.75" customHeight="1">
      <c r="F370" s="1">
        <v>32599</v>
      </c>
      <c r="G370">
        <f t="shared" si="21"/>
        <v>4</v>
      </c>
      <c r="H370" s="7">
        <v>355.42</v>
      </c>
      <c r="I370" s="7">
        <f>_B*F370+_C</f>
        <v>351.72213524554564</v>
      </c>
      <c r="J370" s="7">
        <f t="shared" si="22"/>
        <v>3.6978647544543719</v>
      </c>
      <c r="K370" s="7" cm="1">
        <f t="array" ref="K370">INDEX(Sm,G370)</f>
        <v>2.6009864459479211</v>
      </c>
      <c r="L370" s="7">
        <f t="shared" si="23"/>
        <v>354.32312169149355</v>
      </c>
      <c r="M370" s="7">
        <f t="shared" si="24"/>
        <v>1.0968783085064615</v>
      </c>
    </row>
    <row r="371" spans="6:13" ht="18.75" customHeight="1">
      <c r="F371" s="1">
        <v>32629</v>
      </c>
      <c r="G371">
        <f t="shared" si="21"/>
        <v>5</v>
      </c>
      <c r="H371" s="7">
        <v>355.67</v>
      </c>
      <c r="I371" s="7">
        <f>_B*F371+_C</f>
        <v>351.83089287291011</v>
      </c>
      <c r="J371" s="7">
        <f t="shared" si="22"/>
        <v>3.8391071270899033</v>
      </c>
      <c r="K371" s="7" cm="1">
        <f t="array" ref="K371">INDEX(Sm,G371)</f>
        <v>2.9998113917703657</v>
      </c>
      <c r="L371" s="7">
        <f t="shared" si="23"/>
        <v>354.83070426468049</v>
      </c>
      <c r="M371" s="7">
        <f t="shared" si="24"/>
        <v>0.83929573531952428</v>
      </c>
    </row>
    <row r="372" spans="6:13" ht="18.75" customHeight="1">
      <c r="F372" s="1">
        <v>32660</v>
      </c>
      <c r="G372">
        <f t="shared" si="21"/>
        <v>6</v>
      </c>
      <c r="H372" s="7">
        <v>355.12</v>
      </c>
      <c r="I372" s="7">
        <f>_B*F372+_C</f>
        <v>351.94327575452007</v>
      </c>
      <c r="J372" s="7">
        <f t="shared" si="22"/>
        <v>3.1767242454799316</v>
      </c>
      <c r="K372" s="7" cm="1">
        <f t="array" ref="K372">INDEX(Sm,G372)</f>
        <v>2.2382077892599441</v>
      </c>
      <c r="L372" s="7">
        <f t="shared" si="23"/>
        <v>354.18148354378002</v>
      </c>
      <c r="M372" s="7">
        <f t="shared" si="24"/>
        <v>0.93851645621998614</v>
      </c>
    </row>
    <row r="373" spans="6:13" ht="18.75" customHeight="1">
      <c r="F373" s="1">
        <v>32690</v>
      </c>
      <c r="G373">
        <f t="shared" si="21"/>
        <v>7</v>
      </c>
      <c r="H373" s="7">
        <v>353.9</v>
      </c>
      <c r="I373" s="7">
        <f>_B*F373+_C</f>
        <v>352.05203338188454</v>
      </c>
      <c r="J373" s="7">
        <f t="shared" si="22"/>
        <v>1.8479666181154357</v>
      </c>
      <c r="K373" s="7" cm="1">
        <f t="array" ref="K373">INDEX(Sm,G373)</f>
        <v>0.82390897803401641</v>
      </c>
      <c r="L373" s="7">
        <f t="shared" si="23"/>
        <v>352.87594235991855</v>
      </c>
      <c r="M373" s="7">
        <f t="shared" si="24"/>
        <v>1.0240576400814234</v>
      </c>
    </row>
    <row r="374" spans="6:13" ht="18.75" customHeight="1">
      <c r="F374" s="1">
        <v>32721</v>
      </c>
      <c r="G374">
        <f t="shared" si="21"/>
        <v>8</v>
      </c>
      <c r="H374" s="7">
        <v>351.67</v>
      </c>
      <c r="I374" s="7">
        <f>_B*F374+_C</f>
        <v>352.1644162634945</v>
      </c>
      <c r="J374" s="7">
        <f t="shared" si="22"/>
        <v>-0.49441626349448597</v>
      </c>
      <c r="K374" s="7" cm="1">
        <f t="array" ref="K374">INDEX(Sm,G374)</f>
        <v>-1.2322834273854675</v>
      </c>
      <c r="L374" s="7">
        <f t="shared" si="23"/>
        <v>350.93213283610902</v>
      </c>
      <c r="M374" s="7">
        <f t="shared" si="24"/>
        <v>0.73786716389099638</v>
      </c>
    </row>
    <row r="375" spans="6:13" ht="18.75" customHeight="1">
      <c r="F375" s="1">
        <v>32752</v>
      </c>
      <c r="G375">
        <f t="shared" si="21"/>
        <v>9</v>
      </c>
      <c r="H375" s="7">
        <v>349.81</v>
      </c>
      <c r="I375" s="7">
        <f>_B*F375+_C</f>
        <v>352.27679914510446</v>
      </c>
      <c r="J375" s="7">
        <f t="shared" si="22"/>
        <v>-2.46679914510446</v>
      </c>
      <c r="K375" s="7" cm="1">
        <f t="array" ref="K375">INDEX(Sm,G375)</f>
        <v>-3.0765710709001954</v>
      </c>
      <c r="L375" s="7">
        <f t="shared" si="23"/>
        <v>349.20022807420429</v>
      </c>
      <c r="M375" s="7">
        <f t="shared" si="24"/>
        <v>0.60977192579571238</v>
      </c>
    </row>
    <row r="376" spans="6:13" ht="18.75" customHeight="1">
      <c r="F376" s="1">
        <v>32782</v>
      </c>
      <c r="G376">
        <f t="shared" si="21"/>
        <v>10</v>
      </c>
      <c r="H376" s="7">
        <v>349.99</v>
      </c>
      <c r="I376" s="7">
        <f>_B*F376+_C</f>
        <v>352.38555677246893</v>
      </c>
      <c r="J376" s="7">
        <f t="shared" si="22"/>
        <v>-2.3955567724689217</v>
      </c>
      <c r="K376" s="7" cm="1">
        <f t="array" ref="K376">INDEX(Sm,G376)</f>
        <v>-3.3570000579572215</v>
      </c>
      <c r="L376" s="7">
        <f t="shared" si="23"/>
        <v>349.02855671451169</v>
      </c>
      <c r="M376" s="7">
        <f t="shared" si="24"/>
        <v>0.96144328548831481</v>
      </c>
    </row>
    <row r="377" spans="6:13" ht="18.75" customHeight="1">
      <c r="F377" s="1">
        <v>32813</v>
      </c>
      <c r="G377">
        <f t="shared" si="21"/>
        <v>11</v>
      </c>
      <c r="H377" s="7">
        <v>351.3</v>
      </c>
      <c r="I377" s="7">
        <f>_B*F377+_C</f>
        <v>352.49793965407889</v>
      </c>
      <c r="J377" s="7">
        <f t="shared" si="22"/>
        <v>-1.1979396540788798</v>
      </c>
      <c r="K377" s="7" cm="1">
        <f t="array" ref="K377">INDEX(Sm,G377)</f>
        <v>-2.069140151303194</v>
      </c>
      <c r="L377" s="7">
        <f t="shared" si="23"/>
        <v>350.42879950277569</v>
      </c>
      <c r="M377" s="7">
        <f t="shared" si="24"/>
        <v>0.87120049722432213</v>
      </c>
    </row>
    <row r="378" spans="6:13" ht="18.75" customHeight="1">
      <c r="F378" s="1">
        <v>32843</v>
      </c>
      <c r="G378">
        <f t="shared" si="21"/>
        <v>12</v>
      </c>
      <c r="H378" s="7">
        <v>352.52</v>
      </c>
      <c r="I378" s="7">
        <f>_B*F378+_C</f>
        <v>352.60669728144342</v>
      </c>
      <c r="J378" s="7">
        <f t="shared" si="22"/>
        <v>-8.6697281443434804E-2</v>
      </c>
      <c r="K378" s="7" cm="1">
        <f t="array" ref="K378">INDEX(Sm,G378)</f>
        <v>-0.94051682628672428</v>
      </c>
      <c r="L378" s="7">
        <f t="shared" si="23"/>
        <v>351.66618045515668</v>
      </c>
      <c r="M378" s="7">
        <f t="shared" si="24"/>
        <v>0.85381954484330436</v>
      </c>
    </row>
    <row r="379" spans="6:13" ht="18.75" customHeight="1">
      <c r="F379" s="1">
        <v>32874</v>
      </c>
      <c r="G379">
        <f t="shared" si="21"/>
        <v>1</v>
      </c>
      <c r="H379" s="7">
        <v>353.66</v>
      </c>
      <c r="I379" s="7">
        <f>_B*F379+_C</f>
        <v>352.71908016305338</v>
      </c>
      <c r="J379" s="7">
        <f t="shared" si="22"/>
        <v>0.94091983694664805</v>
      </c>
      <c r="K379" s="7" cm="1">
        <f t="array" ref="K379">INDEX(Sm,G379)</f>
        <v>-2.6471136468108808E-2</v>
      </c>
      <c r="L379" s="7">
        <f t="shared" si="23"/>
        <v>352.69260902658527</v>
      </c>
      <c r="M379" s="7">
        <f t="shared" si="24"/>
        <v>0.96739097341475144</v>
      </c>
    </row>
    <row r="380" spans="6:13" ht="18.75" customHeight="1">
      <c r="F380" s="1">
        <v>32905</v>
      </c>
      <c r="G380">
        <f t="shared" si="21"/>
        <v>2</v>
      </c>
      <c r="H380" s="7">
        <v>354.7</v>
      </c>
      <c r="I380" s="7">
        <f>_B*F380+_C</f>
        <v>352.83146304466334</v>
      </c>
      <c r="J380" s="7">
        <f t="shared" si="22"/>
        <v>1.8685369553366513</v>
      </c>
      <c r="K380" s="7" cm="1">
        <f t="array" ref="K380">INDEX(Sm,G380)</f>
        <v>0.58733060283015548</v>
      </c>
      <c r="L380" s="7">
        <f t="shared" si="23"/>
        <v>353.41879364749349</v>
      </c>
      <c r="M380" s="7">
        <f t="shared" si="24"/>
        <v>1.2812063525065014</v>
      </c>
    </row>
    <row r="381" spans="6:13" ht="18.75" customHeight="1">
      <c r="F381" s="1">
        <v>32933</v>
      </c>
      <c r="G381">
        <f t="shared" si="21"/>
        <v>3</v>
      </c>
      <c r="H381" s="7">
        <v>355.38</v>
      </c>
      <c r="I381" s="7">
        <f>_B*F381+_C</f>
        <v>352.93297016353682</v>
      </c>
      <c r="J381" s="7">
        <f t="shared" si="22"/>
        <v>2.4470298364631731</v>
      </c>
      <c r="K381" s="7" cm="1">
        <f t="array" ref="K381">INDEX(Sm,G381)</f>
        <v>1.4390836132721692</v>
      </c>
      <c r="L381" s="7">
        <f t="shared" si="23"/>
        <v>354.37205377680897</v>
      </c>
      <c r="M381" s="7">
        <f t="shared" si="24"/>
        <v>1.007946223191027</v>
      </c>
    </row>
    <row r="382" spans="6:13" ht="18.75" customHeight="1">
      <c r="F382" s="1">
        <v>32964</v>
      </c>
      <c r="G382">
        <f t="shared" si="21"/>
        <v>4</v>
      </c>
      <c r="H382" s="7">
        <v>356.2</v>
      </c>
      <c r="I382" s="7">
        <f>_B*F382+_C</f>
        <v>353.04535304514678</v>
      </c>
      <c r="J382" s="7">
        <f t="shared" si="22"/>
        <v>3.1546469548532059</v>
      </c>
      <c r="K382" s="7" cm="1">
        <f t="array" ref="K382">INDEX(Sm,G382)</f>
        <v>2.6009864459479211</v>
      </c>
      <c r="L382" s="7">
        <f t="shared" si="23"/>
        <v>355.64633949109469</v>
      </c>
      <c r="M382" s="7">
        <f t="shared" si="24"/>
        <v>0.5536605089052955</v>
      </c>
    </row>
    <row r="383" spans="6:13" ht="18.75" customHeight="1">
      <c r="F383" s="1">
        <v>32994</v>
      </c>
      <c r="G383">
        <f t="shared" si="21"/>
        <v>5</v>
      </c>
      <c r="H383" s="7">
        <v>357.16</v>
      </c>
      <c r="I383" s="7">
        <f>_B*F383+_C</f>
        <v>353.15411067251125</v>
      </c>
      <c r="J383" s="7">
        <f t="shared" si="22"/>
        <v>4.0058893274887737</v>
      </c>
      <c r="K383" s="7" cm="1">
        <f t="array" ref="K383">INDEX(Sm,G383)</f>
        <v>2.9998113917703657</v>
      </c>
      <c r="L383" s="7">
        <f t="shared" si="23"/>
        <v>356.15392206428163</v>
      </c>
      <c r="M383" s="7">
        <f t="shared" si="24"/>
        <v>1.0060779357183947</v>
      </c>
    </row>
    <row r="384" spans="6:13" ht="18.75" customHeight="1">
      <c r="F384" s="1">
        <v>33025</v>
      </c>
      <c r="G384">
        <f t="shared" si="21"/>
        <v>6</v>
      </c>
      <c r="H384" s="7">
        <v>356.23</v>
      </c>
      <c r="I384" s="7">
        <f>_B*F384+_C</f>
        <v>353.26649355412121</v>
      </c>
      <c r="J384" s="7">
        <f t="shared" si="22"/>
        <v>2.9635064458788065</v>
      </c>
      <c r="K384" s="7" cm="1">
        <f t="array" ref="K384">INDEX(Sm,G384)</f>
        <v>2.2382077892599441</v>
      </c>
      <c r="L384" s="7">
        <f t="shared" si="23"/>
        <v>355.50470134338116</v>
      </c>
      <c r="M384" s="7">
        <f t="shared" si="24"/>
        <v>0.72529865661886106</v>
      </c>
    </row>
    <row r="385" spans="6:13" ht="18.75" customHeight="1">
      <c r="F385" s="1">
        <v>33055</v>
      </c>
      <c r="G385">
        <f t="shared" si="21"/>
        <v>7</v>
      </c>
      <c r="H385" s="7">
        <v>354.81</v>
      </c>
      <c r="I385" s="7">
        <f>_B*F385+_C</f>
        <v>353.37525118148568</v>
      </c>
      <c r="J385" s="7">
        <f t="shared" si="22"/>
        <v>1.434748818514322</v>
      </c>
      <c r="K385" s="7" cm="1">
        <f t="array" ref="K385">INDEX(Sm,G385)</f>
        <v>0.82390897803401641</v>
      </c>
      <c r="L385" s="7">
        <f t="shared" si="23"/>
        <v>354.19916015951969</v>
      </c>
      <c r="M385" s="7">
        <f t="shared" si="24"/>
        <v>0.6108398404803097</v>
      </c>
    </row>
    <row r="386" spans="6:13" ht="18.75" customHeight="1">
      <c r="F386" s="1">
        <v>33086</v>
      </c>
      <c r="G386">
        <f t="shared" si="21"/>
        <v>8</v>
      </c>
      <c r="H386" s="7">
        <v>352.91</v>
      </c>
      <c r="I386" s="7">
        <f>_B*F386+_C</f>
        <v>353.48763406309564</v>
      </c>
      <c r="J386" s="7">
        <f t="shared" si="22"/>
        <v>-0.5776340630956156</v>
      </c>
      <c r="K386" s="7" cm="1">
        <f t="array" ref="K386">INDEX(Sm,G386)</f>
        <v>-1.2322834273854675</v>
      </c>
      <c r="L386" s="7">
        <f t="shared" si="23"/>
        <v>352.25535063571016</v>
      </c>
      <c r="M386" s="7">
        <f t="shared" si="24"/>
        <v>0.65464936428986675</v>
      </c>
    </row>
    <row r="387" spans="6:13" ht="18.75" customHeight="1">
      <c r="F387" s="1">
        <v>33117</v>
      </c>
      <c r="G387">
        <f t="shared" ref="G387:G450" si="25">MONTH(F387)</f>
        <v>9</v>
      </c>
      <c r="H387" s="7">
        <v>350.96</v>
      </c>
      <c r="I387" s="7">
        <f>_B*F387+_C</f>
        <v>353.6000169447056</v>
      </c>
      <c r="J387" s="7">
        <f t="shared" ref="J387:J450" si="26">H387-I387</f>
        <v>-2.6400169447056214</v>
      </c>
      <c r="K387" s="7" cm="1">
        <f t="array" ref="K387">INDEX(Sm,G387)</f>
        <v>-3.0765710709001954</v>
      </c>
      <c r="L387" s="7">
        <f t="shared" ref="L387:L450" si="27">I387+K387</f>
        <v>350.52344587380543</v>
      </c>
      <c r="M387" s="7">
        <f t="shared" ref="M387:M450" si="28">H387-L387</f>
        <v>0.43655412619455092</v>
      </c>
    </row>
    <row r="388" spans="6:13" ht="18.75" customHeight="1">
      <c r="F388" s="1">
        <v>33147</v>
      </c>
      <c r="G388">
        <f t="shared" si="25"/>
        <v>10</v>
      </c>
      <c r="H388" s="7">
        <v>351.18</v>
      </c>
      <c r="I388" s="7">
        <f>_B*F388+_C</f>
        <v>353.70877457207007</v>
      </c>
      <c r="J388" s="7">
        <f t="shared" si="26"/>
        <v>-2.5287745720700627</v>
      </c>
      <c r="K388" s="7" cm="1">
        <f t="array" ref="K388">INDEX(Sm,G388)</f>
        <v>-3.3570000579572215</v>
      </c>
      <c r="L388" s="7">
        <f t="shared" si="27"/>
        <v>350.35177451411283</v>
      </c>
      <c r="M388" s="7">
        <f t="shared" si="28"/>
        <v>0.82822548588717382</v>
      </c>
    </row>
    <row r="389" spans="6:13" ht="18.75" customHeight="1">
      <c r="F389" s="1">
        <v>33178</v>
      </c>
      <c r="G389">
        <f t="shared" si="25"/>
        <v>11</v>
      </c>
      <c r="H389" s="7">
        <v>352.83</v>
      </c>
      <c r="I389" s="7">
        <f>_B*F389+_C</f>
        <v>353.82115745368003</v>
      </c>
      <c r="J389" s="7">
        <f t="shared" si="26"/>
        <v>-0.99115745368004582</v>
      </c>
      <c r="K389" s="7" cm="1">
        <f t="array" ref="K389">INDEX(Sm,G389)</f>
        <v>-2.069140151303194</v>
      </c>
      <c r="L389" s="7">
        <f t="shared" si="27"/>
        <v>351.75201730237683</v>
      </c>
      <c r="M389" s="7">
        <f t="shared" si="28"/>
        <v>1.0779826976231561</v>
      </c>
    </row>
    <row r="390" spans="6:13" ht="18.75" customHeight="1">
      <c r="F390" s="1">
        <v>33208</v>
      </c>
      <c r="G390">
        <f t="shared" si="25"/>
        <v>12</v>
      </c>
      <c r="H390" s="7">
        <v>354.21</v>
      </c>
      <c r="I390" s="7">
        <f>_B*F390+_C</f>
        <v>353.92991508104456</v>
      </c>
      <c r="J390" s="7">
        <f t="shared" si="26"/>
        <v>0.2800849189554242</v>
      </c>
      <c r="K390" s="7" cm="1">
        <f t="array" ref="K390">INDEX(Sm,G390)</f>
        <v>-0.94051682628672428</v>
      </c>
      <c r="L390" s="7">
        <f t="shared" si="27"/>
        <v>352.98939825475782</v>
      </c>
      <c r="M390" s="7">
        <f t="shared" si="28"/>
        <v>1.2206017452421634</v>
      </c>
    </row>
    <row r="391" spans="6:13" ht="18.75" customHeight="1">
      <c r="F391" s="1">
        <v>33239</v>
      </c>
      <c r="G391">
        <f t="shared" si="25"/>
        <v>1</v>
      </c>
      <c r="H391" s="7">
        <v>354.72</v>
      </c>
      <c r="I391" s="7">
        <f>_B*F391+_C</f>
        <v>354.04229796265452</v>
      </c>
      <c r="J391" s="7">
        <f t="shared" si="26"/>
        <v>0.6777020373455116</v>
      </c>
      <c r="K391" s="7" cm="1">
        <f t="array" ref="K391">INDEX(Sm,G391)</f>
        <v>-2.6471136468108808E-2</v>
      </c>
      <c r="L391" s="7">
        <f t="shared" si="27"/>
        <v>354.01582682618641</v>
      </c>
      <c r="M391" s="7">
        <f t="shared" si="28"/>
        <v>0.70417317381361499</v>
      </c>
    </row>
    <row r="392" spans="6:13" ht="18.75" customHeight="1">
      <c r="F392" s="1">
        <v>33270</v>
      </c>
      <c r="G392">
        <f t="shared" si="25"/>
        <v>2</v>
      </c>
      <c r="H392" s="7">
        <v>355.75</v>
      </c>
      <c r="I392" s="7">
        <f>_B*F392+_C</f>
        <v>354.15468084426448</v>
      </c>
      <c r="J392" s="7">
        <f t="shared" si="26"/>
        <v>1.595319155735524</v>
      </c>
      <c r="K392" s="7" cm="1">
        <f t="array" ref="K392">INDEX(Sm,G392)</f>
        <v>0.58733060283015548</v>
      </c>
      <c r="L392" s="7">
        <f t="shared" si="27"/>
        <v>354.74201144709463</v>
      </c>
      <c r="M392" s="7">
        <f t="shared" si="28"/>
        <v>1.007988552905374</v>
      </c>
    </row>
    <row r="393" spans="6:13" ht="18.75" customHeight="1">
      <c r="F393" s="1">
        <v>33298</v>
      </c>
      <c r="G393">
        <f t="shared" si="25"/>
        <v>3</v>
      </c>
      <c r="H393" s="7">
        <v>357.16</v>
      </c>
      <c r="I393" s="7">
        <f>_B*F393+_C</f>
        <v>354.25618796313796</v>
      </c>
      <c r="J393" s="7">
        <f t="shared" si="26"/>
        <v>2.9038120368620639</v>
      </c>
      <c r="K393" s="7" cm="1">
        <f t="array" ref="K393">INDEX(Sm,G393)</f>
        <v>1.4390836132721692</v>
      </c>
      <c r="L393" s="7">
        <f t="shared" si="27"/>
        <v>355.69527157641011</v>
      </c>
      <c r="M393" s="7">
        <f t="shared" si="28"/>
        <v>1.4647284235899178</v>
      </c>
    </row>
    <row r="394" spans="6:13" ht="18.75" customHeight="1">
      <c r="F394" s="1">
        <v>33329</v>
      </c>
      <c r="G394">
        <f t="shared" si="25"/>
        <v>4</v>
      </c>
      <c r="H394" s="7">
        <v>358.6</v>
      </c>
      <c r="I394" s="7">
        <f>_B*F394+_C</f>
        <v>354.36857084474792</v>
      </c>
      <c r="J394" s="7">
        <f t="shared" si="26"/>
        <v>4.2314291552521013</v>
      </c>
      <c r="K394" s="7" cm="1">
        <f t="array" ref="K394">INDEX(Sm,G394)</f>
        <v>2.6009864459479211</v>
      </c>
      <c r="L394" s="7">
        <f t="shared" si="27"/>
        <v>356.96955729069583</v>
      </c>
      <c r="M394" s="7">
        <f t="shared" si="28"/>
        <v>1.6304427093041909</v>
      </c>
    </row>
    <row r="395" spans="6:13" ht="18.75" customHeight="1">
      <c r="F395" s="1">
        <v>33359</v>
      </c>
      <c r="G395">
        <f t="shared" si="25"/>
        <v>5</v>
      </c>
      <c r="H395" s="7">
        <v>359.34</v>
      </c>
      <c r="I395" s="7">
        <f>_B*F395+_C</f>
        <v>354.47732847211239</v>
      </c>
      <c r="J395" s="7">
        <f t="shared" si="26"/>
        <v>4.8626715278875849</v>
      </c>
      <c r="K395" s="7" cm="1">
        <f t="array" ref="K395">INDEX(Sm,G395)</f>
        <v>2.9998113917703657</v>
      </c>
      <c r="L395" s="7">
        <f t="shared" si="27"/>
        <v>357.47713986388277</v>
      </c>
      <c r="M395" s="7">
        <f t="shared" si="28"/>
        <v>1.8628601361172059</v>
      </c>
    </row>
    <row r="396" spans="6:13" ht="18.75" customHeight="1">
      <c r="F396" s="1">
        <v>33390</v>
      </c>
      <c r="G396">
        <f t="shared" si="25"/>
        <v>6</v>
      </c>
      <c r="H396" s="7">
        <v>358.24</v>
      </c>
      <c r="I396" s="7">
        <f>_B*F396+_C</f>
        <v>354.58971135372235</v>
      </c>
      <c r="J396" s="7">
        <f t="shared" si="26"/>
        <v>3.6502886462776587</v>
      </c>
      <c r="K396" s="7" cm="1">
        <f t="array" ref="K396">INDEX(Sm,G396)</f>
        <v>2.2382077892599441</v>
      </c>
      <c r="L396" s="7">
        <f t="shared" si="27"/>
        <v>356.8279191429823</v>
      </c>
      <c r="M396" s="7">
        <f t="shared" si="28"/>
        <v>1.4120808570177132</v>
      </c>
    </row>
    <row r="397" spans="6:13" ht="18.75" customHeight="1">
      <c r="F397" s="1">
        <v>33420</v>
      </c>
      <c r="G397">
        <f t="shared" si="25"/>
        <v>7</v>
      </c>
      <c r="H397" s="7">
        <v>356.17</v>
      </c>
      <c r="I397" s="7">
        <f>_B*F397+_C</f>
        <v>354.69846898108682</v>
      </c>
      <c r="J397" s="7">
        <f t="shared" si="26"/>
        <v>1.4715310189131969</v>
      </c>
      <c r="K397" s="7" cm="1">
        <f t="array" ref="K397">INDEX(Sm,G397)</f>
        <v>0.82390897803401641</v>
      </c>
      <c r="L397" s="7">
        <f t="shared" si="27"/>
        <v>355.52237795912083</v>
      </c>
      <c r="M397" s="7">
        <f t="shared" si="28"/>
        <v>0.64762204087918462</v>
      </c>
    </row>
    <row r="398" spans="6:13" ht="18.75" customHeight="1">
      <c r="F398" s="1">
        <v>33451</v>
      </c>
      <c r="G398">
        <f t="shared" si="25"/>
        <v>8</v>
      </c>
      <c r="H398" s="7">
        <v>354.01</v>
      </c>
      <c r="I398" s="7">
        <f>_B*F398+_C</f>
        <v>354.81085186269678</v>
      </c>
      <c r="J398" s="7">
        <f t="shared" si="26"/>
        <v>-0.80085186269678843</v>
      </c>
      <c r="K398" s="7" cm="1">
        <f t="array" ref="K398">INDEX(Sm,G398)</f>
        <v>-1.2322834273854675</v>
      </c>
      <c r="L398" s="7">
        <f t="shared" si="27"/>
        <v>353.5785684353113</v>
      </c>
      <c r="M398" s="7">
        <f t="shared" si="28"/>
        <v>0.43143156468869392</v>
      </c>
    </row>
    <row r="399" spans="6:13" ht="18.75" customHeight="1">
      <c r="F399" s="1">
        <v>33482</v>
      </c>
      <c r="G399">
        <f t="shared" si="25"/>
        <v>9</v>
      </c>
      <c r="H399" s="7">
        <v>352.15</v>
      </c>
      <c r="I399" s="7">
        <f>_B*F399+_C</f>
        <v>354.92323474430674</v>
      </c>
      <c r="J399" s="7">
        <f t="shared" si="26"/>
        <v>-2.7732347443067624</v>
      </c>
      <c r="K399" s="7" cm="1">
        <f t="array" ref="K399">INDEX(Sm,G399)</f>
        <v>-3.0765710709001954</v>
      </c>
      <c r="L399" s="7">
        <f t="shared" si="27"/>
        <v>351.84666367340657</v>
      </c>
      <c r="M399" s="7">
        <f t="shared" si="28"/>
        <v>0.30333632659340992</v>
      </c>
    </row>
    <row r="400" spans="6:13" ht="18.75" customHeight="1">
      <c r="F400" s="1">
        <v>33512</v>
      </c>
      <c r="G400">
        <f t="shared" si="25"/>
        <v>10</v>
      </c>
      <c r="H400" s="7">
        <v>352.21</v>
      </c>
      <c r="I400" s="7">
        <f>_B*F400+_C</f>
        <v>355.03199237167121</v>
      </c>
      <c r="J400" s="7">
        <f t="shared" si="26"/>
        <v>-2.8219923716712287</v>
      </c>
      <c r="K400" s="7" cm="1">
        <f t="array" ref="K400">INDEX(Sm,G400)</f>
        <v>-3.3570000579572215</v>
      </c>
      <c r="L400" s="7">
        <f t="shared" si="27"/>
        <v>351.67499231371397</v>
      </c>
      <c r="M400" s="7">
        <f t="shared" si="28"/>
        <v>0.53500768628600781</v>
      </c>
    </row>
    <row r="401" spans="6:13" ht="18.75" customHeight="1">
      <c r="F401" s="1">
        <v>33543</v>
      </c>
      <c r="G401">
        <f t="shared" si="25"/>
        <v>11</v>
      </c>
      <c r="H401" s="7">
        <v>353.75</v>
      </c>
      <c r="I401" s="7">
        <f>_B*F401+_C</f>
        <v>355.14437525328117</v>
      </c>
      <c r="J401" s="7">
        <f t="shared" si="26"/>
        <v>-1.3943752532811686</v>
      </c>
      <c r="K401" s="7" cm="1">
        <f t="array" ref="K401">INDEX(Sm,G401)</f>
        <v>-2.069140151303194</v>
      </c>
      <c r="L401" s="7">
        <f t="shared" si="27"/>
        <v>353.07523510197797</v>
      </c>
      <c r="M401" s="7">
        <f t="shared" si="28"/>
        <v>0.67476489802203332</v>
      </c>
    </row>
    <row r="402" spans="6:13" ht="18.75" customHeight="1">
      <c r="F402" s="1">
        <v>33573</v>
      </c>
      <c r="G402">
        <f t="shared" si="25"/>
        <v>12</v>
      </c>
      <c r="H402" s="7">
        <v>354.99</v>
      </c>
      <c r="I402" s="7">
        <f>_B*F402+_C</f>
        <v>355.25313288064569</v>
      </c>
      <c r="J402" s="7">
        <f t="shared" si="26"/>
        <v>-0.26313288064568496</v>
      </c>
      <c r="K402" s="7" cm="1">
        <f t="array" ref="K402">INDEX(Sm,G402)</f>
        <v>-0.94051682628672428</v>
      </c>
      <c r="L402" s="7">
        <f t="shared" si="27"/>
        <v>354.31261605435895</v>
      </c>
      <c r="M402" s="7">
        <f t="shared" si="28"/>
        <v>0.6773839456410542</v>
      </c>
    </row>
    <row r="403" spans="6:13" ht="18.75" customHeight="1">
      <c r="F403" s="1">
        <v>33604</v>
      </c>
      <c r="G403">
        <f t="shared" si="25"/>
        <v>1</v>
      </c>
      <c r="H403" s="7">
        <v>355.99</v>
      </c>
      <c r="I403" s="7">
        <f>_B*F403+_C</f>
        <v>355.36551576225565</v>
      </c>
      <c r="J403" s="7">
        <f t="shared" si="26"/>
        <v>0.62448423774435469</v>
      </c>
      <c r="K403" s="7" cm="1">
        <f t="array" ref="K403">INDEX(Sm,G403)</f>
        <v>-2.6471136468108808E-2</v>
      </c>
      <c r="L403" s="7">
        <f t="shared" si="27"/>
        <v>355.33904462578755</v>
      </c>
      <c r="M403" s="7">
        <f t="shared" si="28"/>
        <v>0.65095537421245808</v>
      </c>
    </row>
    <row r="404" spans="6:13" ht="18.75" customHeight="1">
      <c r="F404" s="1">
        <v>33635</v>
      </c>
      <c r="G404">
        <f t="shared" si="25"/>
        <v>2</v>
      </c>
      <c r="H404" s="7">
        <v>356.72</v>
      </c>
      <c r="I404" s="7">
        <f>_B*F404+_C</f>
        <v>355.47789864386561</v>
      </c>
      <c r="J404" s="7">
        <f t="shared" si="26"/>
        <v>1.2421013561344125</v>
      </c>
      <c r="K404" s="7" cm="1">
        <f t="array" ref="K404">INDEX(Sm,G404)</f>
        <v>0.58733060283015548</v>
      </c>
      <c r="L404" s="7">
        <f t="shared" si="27"/>
        <v>356.06522924669576</v>
      </c>
      <c r="M404" s="7">
        <f t="shared" si="28"/>
        <v>0.6547707533042626</v>
      </c>
    </row>
    <row r="405" spans="6:13" ht="18.75" customHeight="1">
      <c r="F405" s="1">
        <v>33664</v>
      </c>
      <c r="G405">
        <f t="shared" si="25"/>
        <v>3</v>
      </c>
      <c r="H405" s="7">
        <v>357.81</v>
      </c>
      <c r="I405" s="7">
        <f>_B*F405+_C</f>
        <v>355.58303101698459</v>
      </c>
      <c r="J405" s="7">
        <f t="shared" si="26"/>
        <v>2.2269689830154107</v>
      </c>
      <c r="K405" s="7" cm="1">
        <f t="array" ref="K405">INDEX(Sm,G405)</f>
        <v>1.4390836132721692</v>
      </c>
      <c r="L405" s="7">
        <f t="shared" si="27"/>
        <v>357.02211463025674</v>
      </c>
      <c r="M405" s="7">
        <f t="shared" si="28"/>
        <v>0.78788536974326462</v>
      </c>
    </row>
    <row r="406" spans="6:13" ht="18.75" customHeight="1">
      <c r="F406" s="1">
        <v>33695</v>
      </c>
      <c r="G406">
        <f t="shared" si="25"/>
        <v>4</v>
      </c>
      <c r="H406" s="7">
        <v>359.15</v>
      </c>
      <c r="I406" s="7">
        <f>_B*F406+_C</f>
        <v>355.69541389859455</v>
      </c>
      <c r="J406" s="7">
        <f t="shared" si="26"/>
        <v>3.4545861014054253</v>
      </c>
      <c r="K406" s="7" cm="1">
        <f t="array" ref="K406">INDEX(Sm,G406)</f>
        <v>2.6009864459479211</v>
      </c>
      <c r="L406" s="7">
        <f t="shared" si="27"/>
        <v>358.29640034454246</v>
      </c>
      <c r="M406" s="7">
        <f t="shared" si="28"/>
        <v>0.85359965545751493</v>
      </c>
    </row>
    <row r="407" spans="6:13" ht="18.75" customHeight="1">
      <c r="F407" s="1">
        <v>33725</v>
      </c>
      <c r="G407">
        <f t="shared" si="25"/>
        <v>5</v>
      </c>
      <c r="H407" s="7">
        <v>359.66</v>
      </c>
      <c r="I407" s="7">
        <f>_B*F407+_C</f>
        <v>355.80417152595902</v>
      </c>
      <c r="J407" s="7">
        <f t="shared" si="26"/>
        <v>3.8558284740410045</v>
      </c>
      <c r="K407" s="7" cm="1">
        <f t="array" ref="K407">INDEX(Sm,G407)</f>
        <v>2.9998113917703657</v>
      </c>
      <c r="L407" s="7">
        <f t="shared" si="27"/>
        <v>358.8039829177294</v>
      </c>
      <c r="M407" s="7">
        <f t="shared" si="28"/>
        <v>0.85601708227062545</v>
      </c>
    </row>
    <row r="408" spans="6:13" ht="18.75" customHeight="1">
      <c r="F408" s="1">
        <v>33756</v>
      </c>
      <c r="G408">
        <f t="shared" si="25"/>
        <v>6</v>
      </c>
      <c r="H408" s="7">
        <v>359.25</v>
      </c>
      <c r="I408" s="7">
        <f>_B*F408+_C</f>
        <v>355.91655440756898</v>
      </c>
      <c r="J408" s="7">
        <f t="shared" si="26"/>
        <v>3.3334455924310191</v>
      </c>
      <c r="K408" s="7" cm="1">
        <f t="array" ref="K408">INDEX(Sm,G408)</f>
        <v>2.2382077892599441</v>
      </c>
      <c r="L408" s="7">
        <f t="shared" si="27"/>
        <v>358.15476219682893</v>
      </c>
      <c r="M408" s="7">
        <f t="shared" si="28"/>
        <v>1.0952378031710737</v>
      </c>
    </row>
    <row r="409" spans="6:13" ht="18.75" customHeight="1">
      <c r="F409" s="1">
        <v>33786</v>
      </c>
      <c r="G409">
        <f t="shared" si="25"/>
        <v>7</v>
      </c>
      <c r="H409" s="7">
        <v>357.02</v>
      </c>
      <c r="I409" s="7">
        <f>_B*F409+_C</f>
        <v>356.02531203493345</v>
      </c>
      <c r="J409" s="7">
        <f t="shared" si="26"/>
        <v>0.99468796506653234</v>
      </c>
      <c r="K409" s="7" cm="1">
        <f t="array" ref="K409">INDEX(Sm,G409)</f>
        <v>0.82390897803401641</v>
      </c>
      <c r="L409" s="7">
        <f t="shared" si="27"/>
        <v>356.84922101296746</v>
      </c>
      <c r="M409" s="7">
        <f t="shared" si="28"/>
        <v>0.17077898703252004</v>
      </c>
    </row>
    <row r="410" spans="6:13" ht="18.75" customHeight="1">
      <c r="F410" s="1">
        <v>33817</v>
      </c>
      <c r="G410">
        <f t="shared" si="25"/>
        <v>8</v>
      </c>
      <c r="H410" s="7">
        <v>355</v>
      </c>
      <c r="I410" s="7">
        <f>_B*F410+_C</f>
        <v>356.13769491654341</v>
      </c>
      <c r="J410" s="7">
        <f t="shared" si="26"/>
        <v>-1.1376949165434098</v>
      </c>
      <c r="K410" s="7" cm="1">
        <f t="array" ref="K410">INDEX(Sm,G410)</f>
        <v>-1.2322834273854675</v>
      </c>
      <c r="L410" s="7">
        <f t="shared" si="27"/>
        <v>354.90541148915793</v>
      </c>
      <c r="M410" s="7">
        <f t="shared" si="28"/>
        <v>9.4588510842072537E-2</v>
      </c>
    </row>
    <row r="411" spans="6:13" ht="18.75" customHeight="1">
      <c r="F411" s="1">
        <v>33848</v>
      </c>
      <c r="G411">
        <f t="shared" si="25"/>
        <v>9</v>
      </c>
      <c r="H411" s="7">
        <v>353.01</v>
      </c>
      <c r="I411" s="7">
        <f>_B*F411+_C</f>
        <v>356.25007779815337</v>
      </c>
      <c r="J411" s="7">
        <f t="shared" si="26"/>
        <v>-3.2400777981533793</v>
      </c>
      <c r="K411" s="7" cm="1">
        <f t="array" ref="K411">INDEX(Sm,G411)</f>
        <v>-3.0765710709001954</v>
      </c>
      <c r="L411" s="7">
        <f t="shared" si="27"/>
        <v>353.1735067272532</v>
      </c>
      <c r="M411" s="7">
        <f t="shared" si="28"/>
        <v>-0.16350672725320692</v>
      </c>
    </row>
    <row r="412" spans="6:13" ht="18.75" customHeight="1">
      <c r="F412" s="1">
        <v>33878</v>
      </c>
      <c r="G412">
        <f t="shared" si="25"/>
        <v>10</v>
      </c>
      <c r="H412" s="7">
        <v>353.31</v>
      </c>
      <c r="I412" s="7">
        <f>_B*F412+_C</f>
        <v>356.35883542551784</v>
      </c>
      <c r="J412" s="7">
        <f t="shared" si="26"/>
        <v>-3.0488354255178365</v>
      </c>
      <c r="K412" s="7" cm="1">
        <f t="array" ref="K412">INDEX(Sm,G412)</f>
        <v>-3.3570000579572215</v>
      </c>
      <c r="L412" s="7">
        <f t="shared" si="27"/>
        <v>353.0018353675606</v>
      </c>
      <c r="M412" s="7">
        <f t="shared" si="28"/>
        <v>0.30816463243940007</v>
      </c>
    </row>
    <row r="413" spans="6:13" ht="18.75" customHeight="1">
      <c r="F413" s="1">
        <v>33909</v>
      </c>
      <c r="G413">
        <f t="shared" si="25"/>
        <v>11</v>
      </c>
      <c r="H413" s="7">
        <v>354.16</v>
      </c>
      <c r="I413" s="7">
        <f>_B*F413+_C</f>
        <v>356.4712183071278</v>
      </c>
      <c r="J413" s="7">
        <f t="shared" si="26"/>
        <v>-2.3112183071277741</v>
      </c>
      <c r="K413" s="7" cm="1">
        <f t="array" ref="K413">INDEX(Sm,G413)</f>
        <v>-2.069140151303194</v>
      </c>
      <c r="L413" s="7">
        <f t="shared" si="27"/>
        <v>354.4020781558246</v>
      </c>
      <c r="M413" s="7">
        <f t="shared" si="28"/>
        <v>-0.24207815582457215</v>
      </c>
    </row>
    <row r="414" spans="6:13" ht="18.75" customHeight="1">
      <c r="F414" s="1">
        <v>33939</v>
      </c>
      <c r="G414">
        <f t="shared" si="25"/>
        <v>12</v>
      </c>
      <c r="H414" s="7">
        <v>355.4</v>
      </c>
      <c r="I414" s="7">
        <f>_B*F414+_C</f>
        <v>356.57997593449227</v>
      </c>
      <c r="J414" s="7">
        <f t="shared" si="26"/>
        <v>-1.1799759344922904</v>
      </c>
      <c r="K414" s="7" cm="1">
        <f t="array" ref="K414">INDEX(Sm,G414)</f>
        <v>-0.94051682628672428</v>
      </c>
      <c r="L414" s="7">
        <f t="shared" si="27"/>
        <v>355.63945910820553</v>
      </c>
      <c r="M414" s="7">
        <f t="shared" si="28"/>
        <v>-0.23945910820555127</v>
      </c>
    </row>
    <row r="415" spans="6:13" ht="18.75" customHeight="1">
      <c r="F415" s="1">
        <v>33970</v>
      </c>
      <c r="G415">
        <f t="shared" si="25"/>
        <v>1</v>
      </c>
      <c r="H415" s="7">
        <v>356.7</v>
      </c>
      <c r="I415" s="7">
        <f>_B*F415+_C</f>
        <v>356.69235881610223</v>
      </c>
      <c r="J415" s="7">
        <f t="shared" si="26"/>
        <v>7.6411838977605839E-3</v>
      </c>
      <c r="K415" s="7" cm="1">
        <f t="array" ref="K415">INDEX(Sm,G415)</f>
        <v>-2.6471136468108808E-2</v>
      </c>
      <c r="L415" s="7">
        <f t="shared" si="27"/>
        <v>356.66588767963412</v>
      </c>
      <c r="M415" s="7">
        <f t="shared" si="28"/>
        <v>3.411232036586398E-2</v>
      </c>
    </row>
    <row r="416" spans="6:13" ht="18.75" customHeight="1">
      <c r="F416" s="1">
        <v>34001</v>
      </c>
      <c r="G416">
        <f t="shared" si="25"/>
        <v>2</v>
      </c>
      <c r="H416" s="7">
        <v>357.17</v>
      </c>
      <c r="I416" s="7">
        <f>_B*F416+_C</f>
        <v>356.80474169771219</v>
      </c>
      <c r="J416" s="7">
        <f t="shared" si="26"/>
        <v>0.36525830228782752</v>
      </c>
      <c r="K416" s="7" cm="1">
        <f t="array" ref="K416">INDEX(Sm,G416)</f>
        <v>0.58733060283015548</v>
      </c>
      <c r="L416" s="7">
        <f t="shared" si="27"/>
        <v>357.39207230054234</v>
      </c>
      <c r="M416" s="7">
        <f t="shared" si="28"/>
        <v>-0.22207230054232241</v>
      </c>
    </row>
    <row r="417" spans="6:13" ht="18.75" customHeight="1">
      <c r="F417" s="1">
        <v>34029</v>
      </c>
      <c r="G417">
        <f t="shared" si="25"/>
        <v>3</v>
      </c>
      <c r="H417" s="7">
        <v>358.38</v>
      </c>
      <c r="I417" s="7">
        <f>_B*F417+_C</f>
        <v>356.90624881658573</v>
      </c>
      <c r="J417" s="7">
        <f t="shared" si="26"/>
        <v>1.4737511834142651</v>
      </c>
      <c r="K417" s="7" cm="1">
        <f t="array" ref="K417">INDEX(Sm,G417)</f>
        <v>1.4390836132721692</v>
      </c>
      <c r="L417" s="7">
        <f t="shared" si="27"/>
        <v>358.34533242985788</v>
      </c>
      <c r="M417" s="7">
        <f t="shared" si="28"/>
        <v>3.4667570142119075E-2</v>
      </c>
    </row>
    <row r="418" spans="6:13" ht="18.75" customHeight="1">
      <c r="F418" s="1">
        <v>34060</v>
      </c>
      <c r="G418">
        <f t="shared" si="25"/>
        <v>4</v>
      </c>
      <c r="H418" s="7">
        <v>359.46</v>
      </c>
      <c r="I418" s="7">
        <f>_B*F418+_C</f>
        <v>357.01863169819569</v>
      </c>
      <c r="J418" s="7">
        <f t="shared" si="26"/>
        <v>2.4413683018042889</v>
      </c>
      <c r="K418" s="7" cm="1">
        <f t="array" ref="K418">INDEX(Sm,G418)</f>
        <v>2.6009864459479211</v>
      </c>
      <c r="L418" s="7">
        <f t="shared" si="27"/>
        <v>359.6196181441436</v>
      </c>
      <c r="M418" s="7">
        <f t="shared" si="28"/>
        <v>-0.15961814414362152</v>
      </c>
    </row>
    <row r="419" spans="6:13" ht="18.75" customHeight="1">
      <c r="F419" s="1">
        <v>34090</v>
      </c>
      <c r="G419">
        <f t="shared" si="25"/>
        <v>5</v>
      </c>
      <c r="H419" s="7">
        <v>360.28</v>
      </c>
      <c r="I419" s="7">
        <f>_B*F419+_C</f>
        <v>357.12738932556016</v>
      </c>
      <c r="J419" s="7">
        <f t="shared" si="26"/>
        <v>3.1526106744398135</v>
      </c>
      <c r="K419" s="7" cm="1">
        <f t="array" ref="K419">INDEX(Sm,G419)</f>
        <v>2.9998113917703657</v>
      </c>
      <c r="L419" s="7">
        <f t="shared" si="27"/>
        <v>360.12720071733054</v>
      </c>
      <c r="M419" s="7">
        <f t="shared" si="28"/>
        <v>0.15279928266943443</v>
      </c>
    </row>
    <row r="420" spans="6:13" ht="18.75" customHeight="1">
      <c r="F420" s="1">
        <v>34121</v>
      </c>
      <c r="G420">
        <f t="shared" si="25"/>
        <v>6</v>
      </c>
      <c r="H420" s="7">
        <v>359.6</v>
      </c>
      <c r="I420" s="7">
        <f>_B*F420+_C</f>
        <v>357.23977220717012</v>
      </c>
      <c r="J420" s="7">
        <f t="shared" si="26"/>
        <v>2.3602277928299031</v>
      </c>
      <c r="K420" s="7" cm="1">
        <f t="array" ref="K420">INDEX(Sm,G420)</f>
        <v>2.2382077892599441</v>
      </c>
      <c r="L420" s="7">
        <f t="shared" si="27"/>
        <v>359.47797999643007</v>
      </c>
      <c r="M420" s="7">
        <f t="shared" si="28"/>
        <v>0.12202000356995768</v>
      </c>
    </row>
    <row r="421" spans="6:13" ht="18.75" customHeight="1">
      <c r="F421" s="1">
        <v>34151</v>
      </c>
      <c r="G421">
        <f t="shared" si="25"/>
        <v>7</v>
      </c>
      <c r="H421" s="7">
        <v>357.57</v>
      </c>
      <c r="I421" s="7">
        <f>_B*F421+_C</f>
        <v>357.34852983453459</v>
      </c>
      <c r="J421" s="7">
        <f t="shared" si="26"/>
        <v>0.22147016546540499</v>
      </c>
      <c r="K421" s="7" cm="1">
        <f t="array" ref="K421">INDEX(Sm,G421)</f>
        <v>0.82390897803401641</v>
      </c>
      <c r="L421" s="7">
        <f t="shared" si="27"/>
        <v>358.1724388125686</v>
      </c>
      <c r="M421" s="7">
        <f t="shared" si="28"/>
        <v>-0.60243881256860732</v>
      </c>
    </row>
    <row r="422" spans="6:13" ht="18.75" customHeight="1">
      <c r="F422" s="1">
        <v>34182</v>
      </c>
      <c r="G422">
        <f t="shared" si="25"/>
        <v>8</v>
      </c>
      <c r="H422" s="7">
        <v>355.52</v>
      </c>
      <c r="I422" s="7">
        <f>_B*F422+_C</f>
        <v>357.46091271614455</v>
      </c>
      <c r="J422" s="7">
        <f t="shared" si="26"/>
        <v>-1.9409127161445667</v>
      </c>
      <c r="K422" s="7" cm="1">
        <f t="array" ref="K422">INDEX(Sm,G422)</f>
        <v>-1.2322834273854675</v>
      </c>
      <c r="L422" s="7">
        <f t="shared" si="27"/>
        <v>356.22862928875907</v>
      </c>
      <c r="M422" s="7">
        <f t="shared" si="28"/>
        <v>-0.70862928875908437</v>
      </c>
    </row>
    <row r="423" spans="6:13" ht="18.75" customHeight="1">
      <c r="F423" s="1">
        <v>34213</v>
      </c>
      <c r="G423">
        <f t="shared" si="25"/>
        <v>9</v>
      </c>
      <c r="H423" s="7">
        <v>353.69</v>
      </c>
      <c r="I423" s="7">
        <f>_B*F423+_C</f>
        <v>357.57329559775451</v>
      </c>
      <c r="J423" s="7">
        <f t="shared" si="26"/>
        <v>-3.8832955977545112</v>
      </c>
      <c r="K423" s="7" cm="1">
        <f t="array" ref="K423">INDEX(Sm,G423)</f>
        <v>-3.0765710709001954</v>
      </c>
      <c r="L423" s="7">
        <f t="shared" si="27"/>
        <v>354.49672452685434</v>
      </c>
      <c r="M423" s="7">
        <f t="shared" si="28"/>
        <v>-0.80672452685433882</v>
      </c>
    </row>
    <row r="424" spans="6:13" ht="18.75" customHeight="1">
      <c r="F424" s="1">
        <v>34243</v>
      </c>
      <c r="G424">
        <f t="shared" si="25"/>
        <v>10</v>
      </c>
      <c r="H424" s="7">
        <v>353.99</v>
      </c>
      <c r="I424" s="7">
        <f>_B*F424+_C</f>
        <v>357.68205322511898</v>
      </c>
      <c r="J424" s="7">
        <f t="shared" si="26"/>
        <v>-3.6920532251189684</v>
      </c>
      <c r="K424" s="7" cm="1">
        <f t="array" ref="K424">INDEX(Sm,G424)</f>
        <v>-3.3570000579572215</v>
      </c>
      <c r="L424" s="7">
        <f t="shared" si="27"/>
        <v>354.32505316716174</v>
      </c>
      <c r="M424" s="7">
        <f t="shared" si="28"/>
        <v>-0.33505316716173184</v>
      </c>
    </row>
    <row r="425" spans="6:13" ht="18.75" customHeight="1">
      <c r="F425" s="1">
        <v>34274</v>
      </c>
      <c r="G425">
        <f t="shared" si="25"/>
        <v>11</v>
      </c>
      <c r="H425" s="7">
        <v>355.34</v>
      </c>
      <c r="I425" s="7">
        <f>_B*F425+_C</f>
        <v>357.79443610672894</v>
      </c>
      <c r="J425" s="7">
        <f t="shared" si="26"/>
        <v>-2.4544361067289628</v>
      </c>
      <c r="K425" s="7" cm="1">
        <f t="array" ref="K425">INDEX(Sm,G425)</f>
        <v>-2.069140151303194</v>
      </c>
      <c r="L425" s="7">
        <f t="shared" si="27"/>
        <v>355.72529595542574</v>
      </c>
      <c r="M425" s="7">
        <f t="shared" si="28"/>
        <v>-0.38529595542576089</v>
      </c>
    </row>
    <row r="426" spans="6:13" ht="18.75" customHeight="1">
      <c r="F426" s="1">
        <v>34304</v>
      </c>
      <c r="G426">
        <f t="shared" si="25"/>
        <v>12</v>
      </c>
      <c r="H426" s="7">
        <v>356.8</v>
      </c>
      <c r="I426" s="7">
        <f>_B*F426+_C</f>
        <v>357.90319373409341</v>
      </c>
      <c r="J426" s="7">
        <f t="shared" si="26"/>
        <v>-1.1031937340933951</v>
      </c>
      <c r="K426" s="7" cm="1">
        <f t="array" ref="K426">INDEX(Sm,G426)</f>
        <v>-0.94051682628672428</v>
      </c>
      <c r="L426" s="7">
        <f t="shared" si="27"/>
        <v>356.96267690780667</v>
      </c>
      <c r="M426" s="7">
        <f t="shared" si="28"/>
        <v>-0.16267690780665589</v>
      </c>
    </row>
    <row r="427" spans="6:13" ht="18.75" customHeight="1">
      <c r="F427" s="1">
        <v>34335</v>
      </c>
      <c r="G427">
        <f t="shared" si="25"/>
        <v>1</v>
      </c>
      <c r="H427" s="7">
        <v>358.37</v>
      </c>
      <c r="I427" s="7">
        <f>_B*F427+_C</f>
        <v>358.01557661570337</v>
      </c>
      <c r="J427" s="7">
        <f t="shared" si="26"/>
        <v>0.35442338429663778</v>
      </c>
      <c r="K427" s="7" cm="1">
        <f t="array" ref="K427">INDEX(Sm,G427)</f>
        <v>-2.6471136468108808E-2</v>
      </c>
      <c r="L427" s="7">
        <f t="shared" si="27"/>
        <v>357.98910547923526</v>
      </c>
      <c r="M427" s="7">
        <f t="shared" si="28"/>
        <v>0.38089452076474117</v>
      </c>
    </row>
    <row r="428" spans="6:13" ht="18.75" customHeight="1">
      <c r="F428" s="1">
        <v>34366</v>
      </c>
      <c r="G428">
        <f t="shared" si="25"/>
        <v>2</v>
      </c>
      <c r="H428" s="7">
        <v>358.91</v>
      </c>
      <c r="I428" s="7">
        <f>_B*F428+_C</f>
        <v>358.12795949731333</v>
      </c>
      <c r="J428" s="7">
        <f t="shared" si="26"/>
        <v>0.78204050268669789</v>
      </c>
      <c r="K428" s="7" cm="1">
        <f t="array" ref="K428">INDEX(Sm,G428)</f>
        <v>0.58733060283015548</v>
      </c>
      <c r="L428" s="7">
        <f t="shared" si="27"/>
        <v>358.71529010014348</v>
      </c>
      <c r="M428" s="7">
        <f t="shared" si="28"/>
        <v>0.19470989985654796</v>
      </c>
    </row>
    <row r="429" spans="6:13" ht="18.75" customHeight="1">
      <c r="F429" s="1">
        <v>34394</v>
      </c>
      <c r="G429">
        <f t="shared" si="25"/>
        <v>3</v>
      </c>
      <c r="H429" s="7">
        <v>359.97</v>
      </c>
      <c r="I429" s="7">
        <f>_B*F429+_C</f>
        <v>358.22946661618687</v>
      </c>
      <c r="J429" s="7">
        <f t="shared" si="26"/>
        <v>1.7405333838131583</v>
      </c>
      <c r="K429" s="7" cm="1">
        <f t="array" ref="K429">INDEX(Sm,G429)</f>
        <v>1.4390836132721692</v>
      </c>
      <c r="L429" s="7">
        <f t="shared" si="27"/>
        <v>359.66855022945902</v>
      </c>
      <c r="M429" s="7">
        <f t="shared" si="28"/>
        <v>0.30144977054101219</v>
      </c>
    </row>
    <row r="430" spans="6:13" ht="18.75" customHeight="1">
      <c r="F430" s="1">
        <v>34425</v>
      </c>
      <c r="G430">
        <f t="shared" si="25"/>
        <v>4</v>
      </c>
      <c r="H430" s="7">
        <v>361.26</v>
      </c>
      <c r="I430" s="7">
        <f>_B*F430+_C</f>
        <v>358.34184949779683</v>
      </c>
      <c r="J430" s="7">
        <f t="shared" si="26"/>
        <v>2.9181505022031615</v>
      </c>
      <c r="K430" s="7" cm="1">
        <f t="array" ref="K430">INDEX(Sm,G430)</f>
        <v>2.6009864459479211</v>
      </c>
      <c r="L430" s="7">
        <f t="shared" si="27"/>
        <v>360.94283594374474</v>
      </c>
      <c r="M430" s="7">
        <f t="shared" si="28"/>
        <v>0.31716405625525113</v>
      </c>
    </row>
    <row r="431" spans="6:13" ht="18.75" customHeight="1">
      <c r="F431" s="1">
        <v>34455</v>
      </c>
      <c r="G431">
        <f t="shared" si="25"/>
        <v>5</v>
      </c>
      <c r="H431" s="7">
        <v>361.69</v>
      </c>
      <c r="I431" s="7">
        <f>_B*F431+_C</f>
        <v>358.4506071251613</v>
      </c>
      <c r="J431" s="7">
        <f t="shared" si="26"/>
        <v>3.2393928748386998</v>
      </c>
      <c r="K431" s="7" cm="1">
        <f t="array" ref="K431">INDEX(Sm,G431)</f>
        <v>2.9998113917703657</v>
      </c>
      <c r="L431" s="7">
        <f t="shared" si="27"/>
        <v>361.45041851693168</v>
      </c>
      <c r="M431" s="7">
        <f t="shared" si="28"/>
        <v>0.23958148306832072</v>
      </c>
    </row>
    <row r="432" spans="6:13" ht="18.75" customHeight="1">
      <c r="F432" s="1">
        <v>34486</v>
      </c>
      <c r="G432">
        <f t="shared" si="25"/>
        <v>6</v>
      </c>
      <c r="H432" s="7">
        <v>360.94</v>
      </c>
      <c r="I432" s="7">
        <f>_B*F432+_C</f>
        <v>358.56299000677126</v>
      </c>
      <c r="J432" s="7">
        <f t="shared" si="26"/>
        <v>2.3770099932287394</v>
      </c>
      <c r="K432" s="7" cm="1">
        <f t="array" ref="K432">INDEX(Sm,G432)</f>
        <v>2.2382077892599441</v>
      </c>
      <c r="L432" s="7">
        <f t="shared" si="27"/>
        <v>360.8011977960312</v>
      </c>
      <c r="M432" s="7">
        <f t="shared" si="28"/>
        <v>0.13880220396879395</v>
      </c>
    </row>
    <row r="433" spans="6:13" ht="18.75" customHeight="1">
      <c r="F433" s="1">
        <v>34516</v>
      </c>
      <c r="G433">
        <f t="shared" si="25"/>
        <v>7</v>
      </c>
      <c r="H433" s="7">
        <v>359.55</v>
      </c>
      <c r="I433" s="7">
        <f>_B*F433+_C</f>
        <v>358.67174763413573</v>
      </c>
      <c r="J433" s="7">
        <f t="shared" si="26"/>
        <v>0.87825236586428446</v>
      </c>
      <c r="K433" s="7" cm="1">
        <f t="array" ref="K433">INDEX(Sm,G433)</f>
        <v>0.82390897803401641</v>
      </c>
      <c r="L433" s="7">
        <f t="shared" si="27"/>
        <v>359.49565661216974</v>
      </c>
      <c r="M433" s="7">
        <f t="shared" si="28"/>
        <v>5.434338783027215E-2</v>
      </c>
    </row>
    <row r="434" spans="6:13" ht="18.75" customHeight="1">
      <c r="F434" s="1">
        <v>34547</v>
      </c>
      <c r="G434">
        <f t="shared" si="25"/>
        <v>8</v>
      </c>
      <c r="H434" s="7">
        <v>357.48</v>
      </c>
      <c r="I434" s="7">
        <f>_B*F434+_C</f>
        <v>358.78413051574569</v>
      </c>
      <c r="J434" s="7">
        <f t="shared" si="26"/>
        <v>-1.3041305157456691</v>
      </c>
      <c r="K434" s="7" cm="1">
        <f t="array" ref="K434">INDEX(Sm,G434)</f>
        <v>-1.2322834273854675</v>
      </c>
      <c r="L434" s="7">
        <f t="shared" si="27"/>
        <v>357.5518470883602</v>
      </c>
      <c r="M434" s="7">
        <f t="shared" si="28"/>
        <v>-7.1847088360186717E-2</v>
      </c>
    </row>
    <row r="435" spans="6:13" ht="18.75" customHeight="1">
      <c r="F435" s="1">
        <v>34578</v>
      </c>
      <c r="G435">
        <f t="shared" si="25"/>
        <v>9</v>
      </c>
      <c r="H435" s="7">
        <v>355.84</v>
      </c>
      <c r="I435" s="7">
        <f>_B*F435+_C</f>
        <v>358.89651339735565</v>
      </c>
      <c r="J435" s="7">
        <f t="shared" si="26"/>
        <v>-3.0565133973556726</v>
      </c>
      <c r="K435" s="7" cm="1">
        <f t="array" ref="K435">INDEX(Sm,G435)</f>
        <v>-3.0765710709001954</v>
      </c>
      <c r="L435" s="7">
        <f t="shared" si="27"/>
        <v>355.81994232645548</v>
      </c>
      <c r="M435" s="7">
        <f t="shared" si="28"/>
        <v>2.0057673544499721E-2</v>
      </c>
    </row>
    <row r="436" spans="6:13" ht="18.75" customHeight="1">
      <c r="F436" s="1">
        <v>34608</v>
      </c>
      <c r="G436">
        <f t="shared" si="25"/>
        <v>10</v>
      </c>
      <c r="H436" s="7">
        <v>356</v>
      </c>
      <c r="I436" s="7">
        <f>_B*F436+_C</f>
        <v>359.00527102472017</v>
      </c>
      <c r="J436" s="7">
        <f t="shared" si="26"/>
        <v>-3.005271024720173</v>
      </c>
      <c r="K436" s="7" cm="1">
        <f t="array" ref="K436">INDEX(Sm,G436)</f>
        <v>-3.3570000579572215</v>
      </c>
      <c r="L436" s="7">
        <f t="shared" si="27"/>
        <v>355.64827096676294</v>
      </c>
      <c r="M436" s="7">
        <f t="shared" si="28"/>
        <v>0.3517290332370635</v>
      </c>
    </row>
    <row r="437" spans="6:13" ht="18.75" customHeight="1">
      <c r="F437" s="1">
        <v>34639</v>
      </c>
      <c r="G437">
        <f t="shared" si="25"/>
        <v>11</v>
      </c>
      <c r="H437" s="7">
        <v>357.58</v>
      </c>
      <c r="I437" s="7">
        <f>_B*F437+_C</f>
        <v>359.11765390633013</v>
      </c>
      <c r="J437" s="7">
        <f t="shared" si="26"/>
        <v>-1.5376539063301493</v>
      </c>
      <c r="K437" s="7" cm="1">
        <f t="array" ref="K437">INDEX(Sm,G437)</f>
        <v>-2.069140151303194</v>
      </c>
      <c r="L437" s="7">
        <f t="shared" si="27"/>
        <v>357.04851375502693</v>
      </c>
      <c r="M437" s="7">
        <f t="shared" si="28"/>
        <v>0.53148624497305264</v>
      </c>
    </row>
    <row r="438" spans="6:13" ht="18.75" customHeight="1">
      <c r="F438" s="1">
        <v>34669</v>
      </c>
      <c r="G438">
        <f t="shared" si="25"/>
        <v>12</v>
      </c>
      <c r="H438" s="7">
        <v>359.04</v>
      </c>
      <c r="I438" s="7">
        <f>_B*F438+_C</f>
        <v>359.22641153369455</v>
      </c>
      <c r="J438" s="7">
        <f t="shared" si="26"/>
        <v>-0.18641153369452468</v>
      </c>
      <c r="K438" s="7" cm="1">
        <f t="array" ref="K438">INDEX(Sm,G438)</f>
        <v>-0.94051682628672428</v>
      </c>
      <c r="L438" s="7">
        <f t="shared" si="27"/>
        <v>358.28589470740781</v>
      </c>
      <c r="M438" s="7">
        <f t="shared" si="28"/>
        <v>0.75410529259221448</v>
      </c>
    </row>
    <row r="439" spans="6:13" ht="18.75" customHeight="1">
      <c r="F439" s="1">
        <v>34700</v>
      </c>
      <c r="G439">
        <f t="shared" si="25"/>
        <v>1</v>
      </c>
      <c r="H439" s="7">
        <v>359.97</v>
      </c>
      <c r="I439" s="7">
        <f>_B*F439+_C</f>
        <v>359.33879441530451</v>
      </c>
      <c r="J439" s="7">
        <f t="shared" si="26"/>
        <v>0.63120558469552179</v>
      </c>
      <c r="K439" s="7" cm="1">
        <f t="array" ref="K439">INDEX(Sm,G439)</f>
        <v>-2.6471136468108808E-2</v>
      </c>
      <c r="L439" s="7">
        <f t="shared" si="27"/>
        <v>359.3123232788364</v>
      </c>
      <c r="M439" s="7">
        <f t="shared" si="28"/>
        <v>0.65767672116362519</v>
      </c>
    </row>
    <row r="440" spans="6:13" ht="18.75" customHeight="1">
      <c r="F440" s="1">
        <v>34731</v>
      </c>
      <c r="G440">
        <f t="shared" si="25"/>
        <v>2</v>
      </c>
      <c r="H440" s="7">
        <v>361</v>
      </c>
      <c r="I440" s="7">
        <f>_B*F440+_C</f>
        <v>359.45117729691447</v>
      </c>
      <c r="J440" s="7">
        <f t="shared" si="26"/>
        <v>1.5488227030855342</v>
      </c>
      <c r="K440" s="7" cm="1">
        <f t="array" ref="K440">INDEX(Sm,G440)</f>
        <v>0.58733060283015548</v>
      </c>
      <c r="L440" s="7">
        <f t="shared" si="27"/>
        <v>360.03850789974462</v>
      </c>
      <c r="M440" s="7">
        <f t="shared" si="28"/>
        <v>0.96149210025538423</v>
      </c>
    </row>
    <row r="441" spans="6:13" ht="18.75" customHeight="1">
      <c r="F441" s="1">
        <v>34759</v>
      </c>
      <c r="G441">
        <f t="shared" si="25"/>
        <v>3</v>
      </c>
      <c r="H441" s="7">
        <v>361.63</v>
      </c>
      <c r="I441" s="7">
        <f>_B*F441+_C</f>
        <v>359.55268441578801</v>
      </c>
      <c r="J441" s="7">
        <f t="shared" si="26"/>
        <v>2.0773155842119877</v>
      </c>
      <c r="K441" s="7" cm="1">
        <f t="array" ref="K441">INDEX(Sm,G441)</f>
        <v>1.4390836132721692</v>
      </c>
      <c r="L441" s="7">
        <f t="shared" si="27"/>
        <v>360.99176802906015</v>
      </c>
      <c r="M441" s="7">
        <f t="shared" si="28"/>
        <v>0.63823197093984163</v>
      </c>
    </row>
    <row r="442" spans="6:13" ht="18.75" customHeight="1">
      <c r="F442" s="1">
        <v>34790</v>
      </c>
      <c r="G442">
        <f t="shared" si="25"/>
        <v>4</v>
      </c>
      <c r="H442" s="7">
        <v>363.45</v>
      </c>
      <c r="I442" s="7">
        <f>_B*F442+_C</f>
        <v>359.66506729739797</v>
      </c>
      <c r="J442" s="7">
        <f t="shared" si="26"/>
        <v>3.7849327026020205</v>
      </c>
      <c r="K442" s="7" cm="1">
        <f t="array" ref="K442">INDEX(Sm,G442)</f>
        <v>2.6009864459479211</v>
      </c>
      <c r="L442" s="7">
        <f t="shared" si="27"/>
        <v>362.26605374334588</v>
      </c>
      <c r="M442" s="7">
        <f t="shared" si="28"/>
        <v>1.1839462566541101</v>
      </c>
    </row>
    <row r="443" spans="6:13" ht="18.75" customHeight="1">
      <c r="F443" s="1">
        <v>34820</v>
      </c>
      <c r="G443">
        <f t="shared" si="25"/>
        <v>5</v>
      </c>
      <c r="H443" s="7">
        <v>363.8</v>
      </c>
      <c r="I443" s="7">
        <f>_B*F443+_C</f>
        <v>359.77382492476244</v>
      </c>
      <c r="J443" s="7">
        <f t="shared" si="26"/>
        <v>4.0261750752375747</v>
      </c>
      <c r="K443" s="7" cm="1">
        <f t="array" ref="K443">INDEX(Sm,G443)</f>
        <v>2.9998113917703657</v>
      </c>
      <c r="L443" s="7">
        <f t="shared" si="27"/>
        <v>362.77363631653282</v>
      </c>
      <c r="M443" s="7">
        <f t="shared" si="28"/>
        <v>1.0263636834671956</v>
      </c>
    </row>
    <row r="444" spans="6:13" ht="18.75" customHeight="1">
      <c r="F444" s="1">
        <v>34851</v>
      </c>
      <c r="G444">
        <f t="shared" si="25"/>
        <v>6</v>
      </c>
      <c r="H444" s="7">
        <v>363.26</v>
      </c>
      <c r="I444" s="7">
        <f>_B*F444+_C</f>
        <v>359.8862078063724</v>
      </c>
      <c r="J444" s="7">
        <f t="shared" si="26"/>
        <v>3.3737921936275939</v>
      </c>
      <c r="K444" s="7" cm="1">
        <f t="array" ref="K444">INDEX(Sm,G444)</f>
        <v>2.2382077892599441</v>
      </c>
      <c r="L444" s="7">
        <f t="shared" si="27"/>
        <v>362.12441559563234</v>
      </c>
      <c r="M444" s="7">
        <f t="shared" si="28"/>
        <v>1.1355844043676484</v>
      </c>
    </row>
    <row r="445" spans="6:13" ht="18.75" customHeight="1">
      <c r="F445" s="1">
        <v>34881</v>
      </c>
      <c r="G445">
        <f t="shared" si="25"/>
        <v>7</v>
      </c>
      <c r="H445" s="7">
        <v>361.89</v>
      </c>
      <c r="I445" s="7">
        <f>_B*F445+_C</f>
        <v>359.99496543373687</v>
      </c>
      <c r="J445" s="7">
        <f t="shared" si="26"/>
        <v>1.8950345662631207</v>
      </c>
      <c r="K445" s="7" cm="1">
        <f t="array" ref="K445">INDEX(Sm,G445)</f>
        <v>0.82390897803401641</v>
      </c>
      <c r="L445" s="7">
        <f t="shared" si="27"/>
        <v>360.81887441177088</v>
      </c>
      <c r="M445" s="7">
        <f t="shared" si="28"/>
        <v>1.0711255882291084</v>
      </c>
    </row>
    <row r="446" spans="6:13" ht="18.75" customHeight="1">
      <c r="F446" s="1">
        <v>34912</v>
      </c>
      <c r="G446">
        <f t="shared" si="25"/>
        <v>8</v>
      </c>
      <c r="H446" s="7">
        <v>359.45</v>
      </c>
      <c r="I446" s="7">
        <f>_B*F446+_C</f>
        <v>360.10734831534683</v>
      </c>
      <c r="J446" s="7">
        <f t="shared" si="26"/>
        <v>-0.65734831534683735</v>
      </c>
      <c r="K446" s="7" cm="1">
        <f t="array" ref="K446">INDEX(Sm,G446)</f>
        <v>-1.2322834273854675</v>
      </c>
      <c r="L446" s="7">
        <f t="shared" si="27"/>
        <v>358.87506488796134</v>
      </c>
      <c r="M446" s="7">
        <f t="shared" si="28"/>
        <v>0.574935112038645</v>
      </c>
    </row>
    <row r="447" spans="6:13" ht="18.75" customHeight="1">
      <c r="F447" s="1">
        <v>34943</v>
      </c>
      <c r="G447">
        <f t="shared" si="25"/>
        <v>9</v>
      </c>
      <c r="H447" s="7">
        <v>358.05</v>
      </c>
      <c r="I447" s="7">
        <f>_B*F447+_C</f>
        <v>360.21973119695679</v>
      </c>
      <c r="J447" s="7">
        <f t="shared" si="26"/>
        <v>-2.169731196956775</v>
      </c>
      <c r="K447" s="7" cm="1">
        <f t="array" ref="K447">INDEX(Sm,G447)</f>
        <v>-3.0765710709001954</v>
      </c>
      <c r="L447" s="7">
        <f t="shared" si="27"/>
        <v>357.14316012605661</v>
      </c>
      <c r="M447" s="7">
        <f t="shared" si="28"/>
        <v>0.90683987394339738</v>
      </c>
    </row>
    <row r="448" spans="6:13" ht="18.75" customHeight="1">
      <c r="F448" s="1">
        <v>34973</v>
      </c>
      <c r="G448">
        <f t="shared" si="25"/>
        <v>10</v>
      </c>
      <c r="H448" s="7">
        <v>357.75</v>
      </c>
      <c r="I448" s="7">
        <f>_B*F448+_C</f>
        <v>360.32848882432131</v>
      </c>
      <c r="J448" s="7">
        <f t="shared" si="26"/>
        <v>-2.5784888243213118</v>
      </c>
      <c r="K448" s="7" cm="1">
        <f t="array" ref="K448">INDEX(Sm,G448)</f>
        <v>-3.3570000579572215</v>
      </c>
      <c r="L448" s="7">
        <f t="shared" si="27"/>
        <v>356.97148876636408</v>
      </c>
      <c r="M448" s="7">
        <f t="shared" si="28"/>
        <v>0.77851123363592478</v>
      </c>
    </row>
    <row r="449" spans="6:13" ht="18.75" customHeight="1">
      <c r="F449" s="1">
        <v>35004</v>
      </c>
      <c r="G449">
        <f t="shared" si="25"/>
        <v>11</v>
      </c>
      <c r="H449" s="7">
        <v>359.56</v>
      </c>
      <c r="I449" s="7">
        <f>_B*F449+_C</f>
        <v>360.44087170593127</v>
      </c>
      <c r="J449" s="7">
        <f t="shared" si="26"/>
        <v>-0.88087170593126984</v>
      </c>
      <c r="K449" s="7" cm="1">
        <f t="array" ref="K449">INDEX(Sm,G449)</f>
        <v>-2.069140151303194</v>
      </c>
      <c r="L449" s="7">
        <f t="shared" si="27"/>
        <v>358.37173155462807</v>
      </c>
      <c r="M449" s="7">
        <f t="shared" si="28"/>
        <v>1.1882684453719321</v>
      </c>
    </row>
    <row r="450" spans="6:13" ht="18.75" customHeight="1">
      <c r="F450" s="1">
        <v>35034</v>
      </c>
      <c r="G450">
        <f t="shared" si="25"/>
        <v>12</v>
      </c>
      <c r="H450" s="7">
        <v>360.7</v>
      </c>
      <c r="I450" s="7">
        <f>_B*F450+_C</f>
        <v>360.54962933329568</v>
      </c>
      <c r="J450" s="7">
        <f t="shared" si="26"/>
        <v>0.15037066670430477</v>
      </c>
      <c r="K450" s="7" cm="1">
        <f t="array" ref="K450">INDEX(Sm,G450)</f>
        <v>-0.94051682628672428</v>
      </c>
      <c r="L450" s="7">
        <f t="shared" si="27"/>
        <v>359.60911250700894</v>
      </c>
      <c r="M450" s="7">
        <f t="shared" si="28"/>
        <v>1.0908874929910439</v>
      </c>
    </row>
    <row r="451" spans="6:13" ht="18.75" customHeight="1">
      <c r="F451" s="1">
        <v>35065</v>
      </c>
      <c r="G451">
        <f t="shared" ref="G451:G514" si="29">MONTH(F451)</f>
        <v>1</v>
      </c>
      <c r="H451" s="7">
        <v>362.05</v>
      </c>
      <c r="I451" s="7">
        <f>_B*F451+_C</f>
        <v>360.66201221490564</v>
      </c>
      <c r="J451" s="7">
        <f t="shared" ref="J451:J514" si="30">H451-I451</f>
        <v>1.3879877850943672</v>
      </c>
      <c r="K451" s="7" cm="1">
        <f t="array" ref="K451">INDEX(Sm,G451)</f>
        <v>-2.6471136468108808E-2</v>
      </c>
      <c r="L451" s="7">
        <f t="shared" ref="L451:L514" si="31">I451+K451</f>
        <v>360.63554107843754</v>
      </c>
      <c r="M451" s="7">
        <f t="shared" ref="M451:M514" si="32">H451-L451</f>
        <v>1.4144589215624706</v>
      </c>
    </row>
    <row r="452" spans="6:13" ht="18.75" customHeight="1">
      <c r="F452" s="1">
        <v>35096</v>
      </c>
      <c r="G452">
        <f t="shared" si="29"/>
        <v>2</v>
      </c>
      <c r="H452" s="7">
        <v>363.24</v>
      </c>
      <c r="I452" s="7">
        <f>_B*F452+_C</f>
        <v>360.7743950965156</v>
      </c>
      <c r="J452" s="7">
        <f t="shared" si="30"/>
        <v>2.4656049034844045</v>
      </c>
      <c r="K452" s="7" cm="1">
        <f t="array" ref="K452">INDEX(Sm,G452)</f>
        <v>0.58733060283015548</v>
      </c>
      <c r="L452" s="7">
        <f t="shared" si="31"/>
        <v>361.36172569934575</v>
      </c>
      <c r="M452" s="7">
        <f t="shared" si="32"/>
        <v>1.8782743006542546</v>
      </c>
    </row>
    <row r="453" spans="6:13" ht="18.75" customHeight="1">
      <c r="F453" s="1">
        <v>35125</v>
      </c>
      <c r="G453">
        <f t="shared" si="29"/>
        <v>3</v>
      </c>
      <c r="H453" s="7">
        <v>364.02</v>
      </c>
      <c r="I453" s="7">
        <f>_B*F453+_C</f>
        <v>360.87952746963464</v>
      </c>
      <c r="J453" s="7">
        <f t="shared" si="30"/>
        <v>3.1404725303653436</v>
      </c>
      <c r="K453" s="7" cm="1">
        <f t="array" ref="K453">INDEX(Sm,G453)</f>
        <v>1.4390836132721692</v>
      </c>
      <c r="L453" s="7">
        <f t="shared" si="31"/>
        <v>362.31861108290678</v>
      </c>
      <c r="M453" s="7">
        <f t="shared" si="32"/>
        <v>1.7013889170931975</v>
      </c>
    </row>
    <row r="454" spans="6:13" ht="18.75" customHeight="1">
      <c r="F454" s="1">
        <v>35156</v>
      </c>
      <c r="G454">
        <f t="shared" si="29"/>
        <v>4</v>
      </c>
      <c r="H454" s="7">
        <v>364.71</v>
      </c>
      <c r="I454" s="7">
        <f>_B*F454+_C</f>
        <v>360.9919103512446</v>
      </c>
      <c r="J454" s="7">
        <f t="shared" si="30"/>
        <v>3.7180896487553809</v>
      </c>
      <c r="K454" s="7" cm="1">
        <f t="array" ref="K454">INDEX(Sm,G454)</f>
        <v>2.6009864459479211</v>
      </c>
      <c r="L454" s="7">
        <f t="shared" si="31"/>
        <v>363.59289679719251</v>
      </c>
      <c r="M454" s="7">
        <f t="shared" si="32"/>
        <v>1.1171032028074706</v>
      </c>
    </row>
    <row r="455" spans="6:13" ht="18.75" customHeight="1">
      <c r="F455" s="1">
        <v>35186</v>
      </c>
      <c r="G455">
        <f t="shared" si="29"/>
        <v>5</v>
      </c>
      <c r="H455" s="7">
        <v>365.42</v>
      </c>
      <c r="I455" s="7">
        <f>_B*F455+_C</f>
        <v>361.10066797860907</v>
      </c>
      <c r="J455" s="7">
        <f t="shared" si="30"/>
        <v>4.3193320213909487</v>
      </c>
      <c r="K455" s="7" cm="1">
        <f t="array" ref="K455">INDEX(Sm,G455)</f>
        <v>2.9998113917703657</v>
      </c>
      <c r="L455" s="7">
        <f t="shared" si="31"/>
        <v>364.10047937037945</v>
      </c>
      <c r="M455" s="7">
        <f t="shared" si="32"/>
        <v>1.3195206296205697</v>
      </c>
    </row>
    <row r="456" spans="6:13" ht="18.75" customHeight="1">
      <c r="F456" s="1">
        <v>35217</v>
      </c>
      <c r="G456">
        <f t="shared" si="29"/>
        <v>6</v>
      </c>
      <c r="H456" s="7">
        <v>364.97</v>
      </c>
      <c r="I456" s="7">
        <f>_B*F456+_C</f>
        <v>361.21305086021903</v>
      </c>
      <c r="J456" s="7">
        <f t="shared" si="30"/>
        <v>3.7569491397809998</v>
      </c>
      <c r="K456" s="7" cm="1">
        <f t="array" ref="K456">INDEX(Sm,G456)</f>
        <v>2.2382077892599441</v>
      </c>
      <c r="L456" s="7">
        <f t="shared" si="31"/>
        <v>363.45125864947897</v>
      </c>
      <c r="M456" s="7">
        <f t="shared" si="32"/>
        <v>1.5187413505210543</v>
      </c>
    </row>
    <row r="457" spans="6:13" ht="18.75" customHeight="1">
      <c r="F457" s="1">
        <v>35247</v>
      </c>
      <c r="G457">
        <f t="shared" si="29"/>
        <v>7</v>
      </c>
      <c r="H457" s="7">
        <v>363.65</v>
      </c>
      <c r="I457" s="7">
        <f>_B*F457+_C</f>
        <v>361.3218084875835</v>
      </c>
      <c r="J457" s="7">
        <f t="shared" si="30"/>
        <v>2.3281915124164811</v>
      </c>
      <c r="K457" s="7" cm="1">
        <f t="array" ref="K457">INDEX(Sm,G457)</f>
        <v>0.82390897803401641</v>
      </c>
      <c r="L457" s="7">
        <f t="shared" si="31"/>
        <v>362.14571746561751</v>
      </c>
      <c r="M457" s="7">
        <f t="shared" si="32"/>
        <v>1.5042825343824688</v>
      </c>
    </row>
    <row r="458" spans="6:13" ht="18.75" customHeight="1">
      <c r="F458" s="1">
        <v>35278</v>
      </c>
      <c r="G458">
        <f t="shared" si="29"/>
        <v>8</v>
      </c>
      <c r="H458" s="7">
        <v>361.48</v>
      </c>
      <c r="I458" s="7">
        <f>_B*F458+_C</f>
        <v>361.43419136919346</v>
      </c>
      <c r="J458" s="7">
        <f t="shared" si="30"/>
        <v>4.5808630806561723E-2</v>
      </c>
      <c r="K458" s="7" cm="1">
        <f t="array" ref="K458">INDEX(Sm,G458)</f>
        <v>-1.2322834273854675</v>
      </c>
      <c r="L458" s="7">
        <f t="shared" si="31"/>
        <v>360.20190794180797</v>
      </c>
      <c r="M458" s="7">
        <f t="shared" si="32"/>
        <v>1.2780920581920441</v>
      </c>
    </row>
    <row r="459" spans="6:13" ht="18.75" customHeight="1">
      <c r="F459" s="1">
        <v>35309</v>
      </c>
      <c r="G459">
        <f t="shared" si="29"/>
        <v>9</v>
      </c>
      <c r="H459" s="7">
        <v>359.45</v>
      </c>
      <c r="I459" s="7">
        <f>_B*F459+_C</f>
        <v>361.54657425080342</v>
      </c>
      <c r="J459" s="7">
        <f t="shared" si="30"/>
        <v>-2.0965742508034282</v>
      </c>
      <c r="K459" s="7" cm="1">
        <f t="array" ref="K459">INDEX(Sm,G459)</f>
        <v>-3.0765710709001954</v>
      </c>
      <c r="L459" s="7">
        <f t="shared" si="31"/>
        <v>358.47000317990324</v>
      </c>
      <c r="M459" s="7">
        <f t="shared" si="32"/>
        <v>0.97999682009674416</v>
      </c>
    </row>
    <row r="460" spans="6:13" ht="18.75" customHeight="1">
      <c r="F460" s="1">
        <v>35339</v>
      </c>
      <c r="G460">
        <f t="shared" si="29"/>
        <v>10</v>
      </c>
      <c r="H460" s="7">
        <v>359.61</v>
      </c>
      <c r="I460" s="7">
        <f>_B*F460+_C</f>
        <v>361.65533187816789</v>
      </c>
      <c r="J460" s="7">
        <f t="shared" si="30"/>
        <v>-2.0453318781678718</v>
      </c>
      <c r="K460" s="7" cm="1">
        <f t="array" ref="K460">INDEX(Sm,G460)</f>
        <v>-3.3570000579572215</v>
      </c>
      <c r="L460" s="7">
        <f t="shared" si="31"/>
        <v>358.29833182021065</v>
      </c>
      <c r="M460" s="7">
        <f t="shared" si="32"/>
        <v>1.3116681797893648</v>
      </c>
    </row>
    <row r="461" spans="6:13" ht="18.75" customHeight="1">
      <c r="F461" s="1">
        <v>35370</v>
      </c>
      <c r="G461">
        <f t="shared" si="29"/>
        <v>11</v>
      </c>
      <c r="H461" s="7">
        <v>360.76</v>
      </c>
      <c r="I461" s="7">
        <f>_B*F461+_C</f>
        <v>361.76771475977785</v>
      </c>
      <c r="J461" s="7">
        <f t="shared" si="30"/>
        <v>-1.0077147597778549</v>
      </c>
      <c r="K461" s="7" cm="1">
        <f t="array" ref="K461">INDEX(Sm,G461)</f>
        <v>-2.069140151303194</v>
      </c>
      <c r="L461" s="7">
        <f t="shared" si="31"/>
        <v>359.69857460847464</v>
      </c>
      <c r="M461" s="7">
        <f t="shared" si="32"/>
        <v>1.0614253915253471</v>
      </c>
    </row>
    <row r="462" spans="6:13" ht="18.75" customHeight="1">
      <c r="F462" s="1">
        <v>35400</v>
      </c>
      <c r="G462">
        <f t="shared" si="29"/>
        <v>12</v>
      </c>
      <c r="H462" s="7">
        <v>362.33</v>
      </c>
      <c r="I462" s="7">
        <f>_B*F462+_C</f>
        <v>361.87647238714237</v>
      </c>
      <c r="J462" s="7">
        <f t="shared" si="30"/>
        <v>0.45352761285761289</v>
      </c>
      <c r="K462" s="7" cm="1">
        <f t="array" ref="K462">INDEX(Sm,G462)</f>
        <v>-0.94051682628672428</v>
      </c>
      <c r="L462" s="7">
        <f t="shared" si="31"/>
        <v>360.93595556085563</v>
      </c>
      <c r="M462" s="7">
        <f t="shared" si="32"/>
        <v>1.3940444391443521</v>
      </c>
    </row>
    <row r="463" spans="6:13" ht="18.75" customHeight="1">
      <c r="F463" s="1">
        <v>35431</v>
      </c>
      <c r="G463">
        <f t="shared" si="29"/>
        <v>1</v>
      </c>
      <c r="H463" s="7">
        <v>363.19</v>
      </c>
      <c r="I463" s="7">
        <f>_B*F463+_C</f>
        <v>361.98885526875233</v>
      </c>
      <c r="J463" s="7">
        <f t="shared" si="30"/>
        <v>1.2011447312476662</v>
      </c>
      <c r="K463" s="7" cm="1">
        <f t="array" ref="K463">INDEX(Sm,G463)</f>
        <v>-2.6471136468108808E-2</v>
      </c>
      <c r="L463" s="7">
        <f t="shared" si="31"/>
        <v>361.96238413228423</v>
      </c>
      <c r="M463" s="7">
        <f t="shared" si="32"/>
        <v>1.2276158677157696</v>
      </c>
    </row>
    <row r="464" spans="6:13" ht="18.75" customHeight="1">
      <c r="F464" s="1">
        <v>35462</v>
      </c>
      <c r="G464">
        <f t="shared" si="29"/>
        <v>2</v>
      </c>
      <c r="H464" s="7">
        <v>363.99</v>
      </c>
      <c r="I464" s="7">
        <f>_B*F464+_C</f>
        <v>362.10123815036229</v>
      </c>
      <c r="J464" s="7">
        <f t="shared" si="30"/>
        <v>1.8887618496377172</v>
      </c>
      <c r="K464" s="7" cm="1">
        <f t="array" ref="K464">INDEX(Sm,G464)</f>
        <v>0.58733060283015548</v>
      </c>
      <c r="L464" s="7">
        <f t="shared" si="31"/>
        <v>362.68856875319244</v>
      </c>
      <c r="M464" s="7">
        <f t="shared" si="32"/>
        <v>1.3014312468075673</v>
      </c>
    </row>
    <row r="465" spans="6:13" ht="18.75" customHeight="1">
      <c r="F465" s="1">
        <v>35490</v>
      </c>
      <c r="G465">
        <f t="shared" si="29"/>
        <v>3</v>
      </c>
      <c r="H465" s="7">
        <v>364.56</v>
      </c>
      <c r="I465" s="7">
        <f>_B*F465+_C</f>
        <v>362.20274526923578</v>
      </c>
      <c r="J465" s="7">
        <f t="shared" si="30"/>
        <v>2.3572547307642253</v>
      </c>
      <c r="K465" s="7" cm="1">
        <f t="array" ref="K465">INDEX(Sm,G465)</f>
        <v>1.4390836132721692</v>
      </c>
      <c r="L465" s="7">
        <f t="shared" si="31"/>
        <v>363.64182888250792</v>
      </c>
      <c r="M465" s="7">
        <f t="shared" si="32"/>
        <v>0.91817111749207925</v>
      </c>
    </row>
    <row r="466" spans="6:13" ht="18.75" customHeight="1">
      <c r="F466" s="1">
        <v>35521</v>
      </c>
      <c r="G466">
        <f t="shared" si="29"/>
        <v>4</v>
      </c>
      <c r="H466" s="7">
        <v>366.36</v>
      </c>
      <c r="I466" s="7">
        <f>_B*F466+_C</f>
        <v>362.31512815084574</v>
      </c>
      <c r="J466" s="7">
        <f t="shared" si="30"/>
        <v>4.0448718491542763</v>
      </c>
      <c r="K466" s="7" cm="1">
        <f t="array" ref="K466">INDEX(Sm,G466)</f>
        <v>2.6009864459479211</v>
      </c>
      <c r="L466" s="7">
        <f t="shared" si="31"/>
        <v>364.91611459679365</v>
      </c>
      <c r="M466" s="7">
        <f t="shared" si="32"/>
        <v>1.4438854032063659</v>
      </c>
    </row>
    <row r="467" spans="6:13" ht="18.75" customHeight="1">
      <c r="F467" s="1">
        <v>35551</v>
      </c>
      <c r="G467">
        <f t="shared" si="29"/>
        <v>5</v>
      </c>
      <c r="H467" s="7">
        <v>366.8</v>
      </c>
      <c r="I467" s="7">
        <f>_B*F467+_C</f>
        <v>362.42388577821021</v>
      </c>
      <c r="J467" s="7">
        <f t="shared" si="30"/>
        <v>4.3761142217898055</v>
      </c>
      <c r="K467" s="7" cm="1">
        <f t="array" ref="K467">INDEX(Sm,G467)</f>
        <v>2.9998113917703657</v>
      </c>
      <c r="L467" s="7">
        <f t="shared" si="31"/>
        <v>365.42369716998058</v>
      </c>
      <c r="M467" s="7">
        <f t="shared" si="32"/>
        <v>1.3763028300194264</v>
      </c>
    </row>
    <row r="468" spans="6:13" ht="18.75" customHeight="1">
      <c r="F468" s="1">
        <v>35582</v>
      </c>
      <c r="G468">
        <f t="shared" si="29"/>
        <v>6</v>
      </c>
      <c r="H468" s="7">
        <v>365.63</v>
      </c>
      <c r="I468" s="7">
        <f>_B*F468+_C</f>
        <v>362.53626865982017</v>
      </c>
      <c r="J468" s="7">
        <f t="shared" si="30"/>
        <v>3.0937313401798292</v>
      </c>
      <c r="K468" s="7" cm="1">
        <f t="array" ref="K468">INDEX(Sm,G468)</f>
        <v>2.2382077892599441</v>
      </c>
      <c r="L468" s="7">
        <f t="shared" si="31"/>
        <v>364.77447644908011</v>
      </c>
      <c r="M468" s="7">
        <f t="shared" si="32"/>
        <v>0.85552355091988375</v>
      </c>
    </row>
    <row r="469" spans="6:13" ht="18.75" customHeight="1">
      <c r="F469" s="1">
        <v>35612</v>
      </c>
      <c r="G469">
        <f t="shared" si="29"/>
        <v>7</v>
      </c>
      <c r="H469" s="7">
        <v>364.47</v>
      </c>
      <c r="I469" s="7">
        <f>_B*F469+_C</f>
        <v>362.64502628718469</v>
      </c>
      <c r="J469" s="7">
        <f t="shared" si="30"/>
        <v>1.8249737128153356</v>
      </c>
      <c r="K469" s="7" cm="1">
        <f t="array" ref="K469">INDEX(Sm,G469)</f>
        <v>0.82390897803401641</v>
      </c>
      <c r="L469" s="7">
        <f t="shared" si="31"/>
        <v>363.4689352652187</v>
      </c>
      <c r="M469" s="7">
        <f t="shared" si="32"/>
        <v>1.0010647347813233</v>
      </c>
    </row>
    <row r="470" spans="6:13" ht="18.75" customHeight="1">
      <c r="F470" s="1">
        <v>35643</v>
      </c>
      <c r="G470">
        <f t="shared" si="29"/>
        <v>8</v>
      </c>
      <c r="H470" s="7">
        <v>362.5</v>
      </c>
      <c r="I470" s="7">
        <f>_B*F470+_C</f>
        <v>362.75740916879465</v>
      </c>
      <c r="J470" s="7">
        <f t="shared" si="30"/>
        <v>-0.25740916879465203</v>
      </c>
      <c r="K470" s="7" cm="1">
        <f t="array" ref="K470">INDEX(Sm,G470)</f>
        <v>-1.2322834273854675</v>
      </c>
      <c r="L470" s="7">
        <f t="shared" si="31"/>
        <v>361.52512574140917</v>
      </c>
      <c r="M470" s="7">
        <f t="shared" si="32"/>
        <v>0.97487425859083032</v>
      </c>
    </row>
    <row r="471" spans="6:13" ht="18.75" customHeight="1">
      <c r="F471" s="1">
        <v>35674</v>
      </c>
      <c r="G471">
        <f t="shared" si="29"/>
        <v>9</v>
      </c>
      <c r="H471" s="7">
        <v>360.19</v>
      </c>
      <c r="I471" s="7">
        <f>_B*F471+_C</f>
        <v>362.86979205040461</v>
      </c>
      <c r="J471" s="7">
        <f t="shared" si="30"/>
        <v>-2.6797920504046147</v>
      </c>
      <c r="K471" s="7" cm="1">
        <f t="array" ref="K471">INDEX(Sm,G471)</f>
        <v>-3.0765710709001954</v>
      </c>
      <c r="L471" s="7">
        <f t="shared" si="31"/>
        <v>359.79322097950444</v>
      </c>
      <c r="M471" s="7">
        <f t="shared" si="32"/>
        <v>0.39677902049555769</v>
      </c>
    </row>
    <row r="472" spans="6:13" ht="18.75" customHeight="1">
      <c r="F472" s="1">
        <v>35704</v>
      </c>
      <c r="G472">
        <f t="shared" si="29"/>
        <v>10</v>
      </c>
      <c r="H472" s="7">
        <v>360.78</v>
      </c>
      <c r="I472" s="7">
        <f>_B*F472+_C</f>
        <v>362.97854967776902</v>
      </c>
      <c r="J472" s="7">
        <f t="shared" si="30"/>
        <v>-2.1985496777690514</v>
      </c>
      <c r="K472" s="7" cm="1">
        <f t="array" ref="K472">INDEX(Sm,G472)</f>
        <v>-3.3570000579572215</v>
      </c>
      <c r="L472" s="7">
        <f t="shared" si="31"/>
        <v>359.62154961981179</v>
      </c>
      <c r="M472" s="7">
        <f t="shared" si="32"/>
        <v>1.1584503801881851</v>
      </c>
    </row>
    <row r="473" spans="6:13" ht="18.75" customHeight="1">
      <c r="F473" s="1">
        <v>35735</v>
      </c>
      <c r="G473">
        <f t="shared" si="29"/>
        <v>11</v>
      </c>
      <c r="H473" s="7">
        <v>362.43</v>
      </c>
      <c r="I473" s="7">
        <f>_B*F473+_C</f>
        <v>363.09093255937898</v>
      </c>
      <c r="J473" s="7">
        <f t="shared" si="30"/>
        <v>-0.66093255937897766</v>
      </c>
      <c r="K473" s="7" cm="1">
        <f t="array" ref="K473">INDEX(Sm,G473)</f>
        <v>-2.069140151303194</v>
      </c>
      <c r="L473" s="7">
        <f t="shared" si="31"/>
        <v>361.02179240807578</v>
      </c>
      <c r="M473" s="7">
        <f t="shared" si="32"/>
        <v>1.4082075919242243</v>
      </c>
    </row>
    <row r="474" spans="6:13" ht="18.75" customHeight="1">
      <c r="F474" s="1">
        <v>35765</v>
      </c>
      <c r="G474">
        <f t="shared" si="29"/>
        <v>12</v>
      </c>
      <c r="H474" s="7">
        <v>364.28</v>
      </c>
      <c r="I474" s="7">
        <f>_B*F474+_C</f>
        <v>363.19969018674351</v>
      </c>
      <c r="J474" s="7">
        <f t="shared" si="30"/>
        <v>1.0803098132564628</v>
      </c>
      <c r="K474" s="7" cm="1">
        <f t="array" ref="K474">INDEX(Sm,G474)</f>
        <v>-0.94051682628672428</v>
      </c>
      <c r="L474" s="7">
        <f t="shared" si="31"/>
        <v>362.25917336045677</v>
      </c>
      <c r="M474" s="7">
        <f t="shared" si="32"/>
        <v>2.020826639543202</v>
      </c>
    </row>
    <row r="475" spans="6:13" ht="18.75" customHeight="1">
      <c r="F475" s="1">
        <v>35796</v>
      </c>
      <c r="G475">
        <f t="shared" si="29"/>
        <v>1</v>
      </c>
      <c r="H475" s="7">
        <v>365.33</v>
      </c>
      <c r="I475" s="7">
        <f>_B*F475+_C</f>
        <v>363.31207306835347</v>
      </c>
      <c r="J475" s="7">
        <f t="shared" si="30"/>
        <v>2.0179269316465138</v>
      </c>
      <c r="K475" s="7" cm="1">
        <f t="array" ref="K475">INDEX(Sm,G475)</f>
        <v>-2.6471136468108808E-2</v>
      </c>
      <c r="L475" s="7">
        <f t="shared" si="31"/>
        <v>363.28560193188537</v>
      </c>
      <c r="M475" s="7">
        <f t="shared" si="32"/>
        <v>2.0443980681146172</v>
      </c>
    </row>
    <row r="476" spans="6:13" ht="18.75" customHeight="1">
      <c r="F476" s="1">
        <v>35827</v>
      </c>
      <c r="G476">
        <f t="shared" si="29"/>
        <v>2</v>
      </c>
      <c r="H476" s="7">
        <v>366.15</v>
      </c>
      <c r="I476" s="7">
        <f>_B*F476+_C</f>
        <v>363.42445594996343</v>
      </c>
      <c r="J476" s="7">
        <f t="shared" si="30"/>
        <v>2.7255440500365467</v>
      </c>
      <c r="K476" s="7" cm="1">
        <f t="array" ref="K476">INDEX(Sm,G476)</f>
        <v>0.58733060283015548</v>
      </c>
      <c r="L476" s="7">
        <f t="shared" si="31"/>
        <v>364.01178655279358</v>
      </c>
      <c r="M476" s="7">
        <f t="shared" si="32"/>
        <v>2.1382134472063967</v>
      </c>
    </row>
    <row r="477" spans="6:13" ht="18.75" customHeight="1">
      <c r="F477" s="1">
        <v>35855</v>
      </c>
      <c r="G477">
        <f t="shared" si="29"/>
        <v>3</v>
      </c>
      <c r="H477" s="7">
        <v>367.31</v>
      </c>
      <c r="I477" s="7">
        <f>_B*F477+_C</f>
        <v>363.52596306883692</v>
      </c>
      <c r="J477" s="7">
        <f t="shared" si="30"/>
        <v>3.7840369311630866</v>
      </c>
      <c r="K477" s="7" cm="1">
        <f t="array" ref="K477">INDEX(Sm,G477)</f>
        <v>1.4390836132721692</v>
      </c>
      <c r="L477" s="7">
        <f t="shared" si="31"/>
        <v>364.96504668210906</v>
      </c>
      <c r="M477" s="7">
        <f t="shared" si="32"/>
        <v>2.3449533178909405</v>
      </c>
    </row>
    <row r="478" spans="6:13" ht="18.75" customHeight="1">
      <c r="F478" s="1">
        <v>35886</v>
      </c>
      <c r="G478">
        <f t="shared" si="29"/>
        <v>4</v>
      </c>
      <c r="H478" s="7">
        <v>368.61</v>
      </c>
      <c r="I478" s="7">
        <f>_B*F478+_C</f>
        <v>363.63834595044688</v>
      </c>
      <c r="J478" s="7">
        <f t="shared" si="30"/>
        <v>4.9716540495531376</v>
      </c>
      <c r="K478" s="7" cm="1">
        <f t="array" ref="K478">INDEX(Sm,G478)</f>
        <v>2.6009864459479211</v>
      </c>
      <c r="L478" s="7">
        <f t="shared" si="31"/>
        <v>366.23933239639479</v>
      </c>
      <c r="M478" s="7">
        <f t="shared" si="32"/>
        <v>2.3706676036052272</v>
      </c>
    </row>
    <row r="479" spans="6:13" ht="18.75" customHeight="1">
      <c r="F479" s="1">
        <v>35916</v>
      </c>
      <c r="G479">
        <f t="shared" si="29"/>
        <v>5</v>
      </c>
      <c r="H479" s="7">
        <v>369.3</v>
      </c>
      <c r="I479" s="7">
        <f>_B*F479+_C</f>
        <v>363.74710357781134</v>
      </c>
      <c r="J479" s="7">
        <f t="shared" si="30"/>
        <v>5.5528964221886667</v>
      </c>
      <c r="K479" s="7" cm="1">
        <f t="array" ref="K479">INDEX(Sm,G479)</f>
        <v>2.9998113917703657</v>
      </c>
      <c r="L479" s="7">
        <f t="shared" si="31"/>
        <v>366.74691496958172</v>
      </c>
      <c r="M479" s="7">
        <f t="shared" si="32"/>
        <v>2.5530850304182877</v>
      </c>
    </row>
    <row r="480" spans="6:13" ht="18.75" customHeight="1">
      <c r="F480" s="1">
        <v>35947</v>
      </c>
      <c r="G480">
        <f t="shared" si="29"/>
        <v>6</v>
      </c>
      <c r="H480" s="7">
        <v>368.88</v>
      </c>
      <c r="I480" s="7">
        <f>_B*F480+_C</f>
        <v>363.8594864594213</v>
      </c>
      <c r="J480" s="7">
        <f t="shared" si="30"/>
        <v>5.0205135405786905</v>
      </c>
      <c r="K480" s="7" cm="1">
        <f t="array" ref="K480">INDEX(Sm,G480)</f>
        <v>2.2382077892599441</v>
      </c>
      <c r="L480" s="7">
        <f t="shared" si="31"/>
        <v>366.09769424868125</v>
      </c>
      <c r="M480" s="7">
        <f t="shared" si="32"/>
        <v>2.782305751318745</v>
      </c>
    </row>
    <row r="481" spans="6:13" ht="18.75" customHeight="1">
      <c r="F481" s="1">
        <v>35977</v>
      </c>
      <c r="G481">
        <f t="shared" si="29"/>
        <v>7</v>
      </c>
      <c r="H481" s="7">
        <v>367.64</v>
      </c>
      <c r="I481" s="7">
        <f>_B*F481+_C</f>
        <v>363.96824408678583</v>
      </c>
      <c r="J481" s="7">
        <f t="shared" si="30"/>
        <v>3.671755913214156</v>
      </c>
      <c r="K481" s="7" cm="1">
        <f t="array" ref="K481">INDEX(Sm,G481)</f>
        <v>0.82390897803401641</v>
      </c>
      <c r="L481" s="7">
        <f t="shared" si="31"/>
        <v>364.79215306481984</v>
      </c>
      <c r="M481" s="7">
        <f t="shared" si="32"/>
        <v>2.8478469351801436</v>
      </c>
    </row>
    <row r="482" spans="6:13" ht="18.75" customHeight="1">
      <c r="F482" s="1">
        <v>36008</v>
      </c>
      <c r="G482">
        <f t="shared" si="29"/>
        <v>8</v>
      </c>
      <c r="H482" s="7">
        <v>365.78</v>
      </c>
      <c r="I482" s="7">
        <f>_B*F482+_C</f>
        <v>364.08062696839579</v>
      </c>
      <c r="J482" s="7">
        <f t="shared" si="30"/>
        <v>1.699373031604182</v>
      </c>
      <c r="K482" s="7" cm="1">
        <f t="array" ref="K482">INDEX(Sm,G482)</f>
        <v>-1.2322834273854675</v>
      </c>
      <c r="L482" s="7">
        <f t="shared" si="31"/>
        <v>362.84834354101031</v>
      </c>
      <c r="M482" s="7">
        <f t="shared" si="32"/>
        <v>2.9316564589896643</v>
      </c>
    </row>
    <row r="483" spans="6:13" ht="18.75" customHeight="1">
      <c r="F483" s="1">
        <v>36039</v>
      </c>
      <c r="G483">
        <f t="shared" si="29"/>
        <v>9</v>
      </c>
      <c r="H483" s="7">
        <v>363.9</v>
      </c>
      <c r="I483" s="7">
        <f>_B*F483+_C</f>
        <v>364.19300985000575</v>
      </c>
      <c r="J483" s="7">
        <f t="shared" si="30"/>
        <v>-0.29300985000577384</v>
      </c>
      <c r="K483" s="7" cm="1">
        <f t="array" ref="K483">INDEX(Sm,G483)</f>
        <v>-3.0765710709001954</v>
      </c>
      <c r="L483" s="7">
        <f t="shared" si="31"/>
        <v>361.11643877910558</v>
      </c>
      <c r="M483" s="7">
        <f t="shared" si="32"/>
        <v>2.7835612208943985</v>
      </c>
    </row>
    <row r="484" spans="6:13" ht="18.75" customHeight="1">
      <c r="F484" s="1">
        <v>36069</v>
      </c>
      <c r="G484">
        <f t="shared" si="29"/>
        <v>10</v>
      </c>
      <c r="H484" s="7">
        <v>364.23</v>
      </c>
      <c r="I484" s="7">
        <f>_B*F484+_C</f>
        <v>364.30176747737016</v>
      </c>
      <c r="J484" s="7">
        <f t="shared" si="30"/>
        <v>-7.1767477370144661E-2</v>
      </c>
      <c r="K484" s="7" cm="1">
        <f t="array" ref="K484">INDEX(Sm,G484)</f>
        <v>-3.3570000579572215</v>
      </c>
      <c r="L484" s="7">
        <f t="shared" si="31"/>
        <v>360.94476741941293</v>
      </c>
      <c r="M484" s="7">
        <f t="shared" si="32"/>
        <v>3.2852325805870919</v>
      </c>
    </row>
    <row r="485" spans="6:13" ht="18.75" customHeight="1">
      <c r="F485" s="1">
        <v>36100</v>
      </c>
      <c r="G485">
        <f t="shared" si="29"/>
        <v>11</v>
      </c>
      <c r="H485" s="7">
        <v>365.46</v>
      </c>
      <c r="I485" s="7">
        <f>_B*F485+_C</f>
        <v>364.41415035898012</v>
      </c>
      <c r="J485" s="7">
        <f t="shared" si="30"/>
        <v>1.0458496410198563</v>
      </c>
      <c r="K485" s="7" cm="1">
        <f t="array" ref="K485">INDEX(Sm,G485)</f>
        <v>-2.069140151303194</v>
      </c>
      <c r="L485" s="7">
        <f t="shared" si="31"/>
        <v>362.34501020767692</v>
      </c>
      <c r="M485" s="7">
        <f t="shared" si="32"/>
        <v>3.1149897923230583</v>
      </c>
    </row>
    <row r="486" spans="6:13" ht="18.75" customHeight="1">
      <c r="F486" s="1">
        <v>36130</v>
      </c>
      <c r="G486">
        <f t="shared" si="29"/>
        <v>12</v>
      </c>
      <c r="H486" s="7">
        <v>366.97</v>
      </c>
      <c r="I486" s="7">
        <f>_B*F486+_C</f>
        <v>364.52290798634465</v>
      </c>
      <c r="J486" s="7">
        <f t="shared" si="30"/>
        <v>2.4470920136553787</v>
      </c>
      <c r="K486" s="7" cm="1">
        <f t="array" ref="K486">INDEX(Sm,G486)</f>
        <v>-0.94051682628672428</v>
      </c>
      <c r="L486" s="7">
        <f t="shared" si="31"/>
        <v>363.58239116005791</v>
      </c>
      <c r="M486" s="7">
        <f t="shared" si="32"/>
        <v>3.3876088399421178</v>
      </c>
    </row>
    <row r="487" spans="6:13" ht="18.75" customHeight="1">
      <c r="F487" s="1">
        <v>36161</v>
      </c>
      <c r="G487">
        <f t="shared" si="29"/>
        <v>1</v>
      </c>
      <c r="H487" s="7">
        <v>368.15</v>
      </c>
      <c r="I487" s="7">
        <f>_B*F487+_C</f>
        <v>364.63529086795461</v>
      </c>
      <c r="J487" s="7">
        <f t="shared" si="30"/>
        <v>3.5147091320453683</v>
      </c>
      <c r="K487" s="7" cm="1">
        <f t="array" ref="K487">INDEX(Sm,G487)</f>
        <v>-2.6471136468108808E-2</v>
      </c>
      <c r="L487" s="7">
        <f t="shared" si="31"/>
        <v>364.60881973148651</v>
      </c>
      <c r="M487" s="7">
        <f t="shared" si="32"/>
        <v>3.5411802685134717</v>
      </c>
    </row>
    <row r="488" spans="6:13" ht="18.75" customHeight="1">
      <c r="F488" s="1">
        <v>36192</v>
      </c>
      <c r="G488">
        <f t="shared" si="29"/>
        <v>2</v>
      </c>
      <c r="H488" s="7">
        <v>368.87</v>
      </c>
      <c r="I488" s="7">
        <f>_B*F488+_C</f>
        <v>364.74767374956457</v>
      </c>
      <c r="J488" s="7">
        <f t="shared" si="30"/>
        <v>4.1223262504354352</v>
      </c>
      <c r="K488" s="7" cm="1">
        <f t="array" ref="K488">INDEX(Sm,G488)</f>
        <v>0.58733060283015548</v>
      </c>
      <c r="L488" s="7">
        <f t="shared" si="31"/>
        <v>365.33500435239472</v>
      </c>
      <c r="M488" s="7">
        <f t="shared" si="32"/>
        <v>3.5349956476052853</v>
      </c>
    </row>
    <row r="489" spans="6:13" ht="18.75" customHeight="1">
      <c r="F489" s="1">
        <v>36220</v>
      </c>
      <c r="G489">
        <f t="shared" si="29"/>
        <v>3</v>
      </c>
      <c r="H489" s="7">
        <v>369.59</v>
      </c>
      <c r="I489" s="7">
        <f>_B*F489+_C</f>
        <v>364.84918086843805</v>
      </c>
      <c r="J489" s="7">
        <f t="shared" si="30"/>
        <v>4.7408191315619206</v>
      </c>
      <c r="K489" s="7" cm="1">
        <f t="array" ref="K489">INDEX(Sm,G489)</f>
        <v>1.4390836132721692</v>
      </c>
      <c r="L489" s="7">
        <f t="shared" si="31"/>
        <v>366.2882644817102</v>
      </c>
      <c r="M489" s="7">
        <f t="shared" si="32"/>
        <v>3.3017355182897745</v>
      </c>
    </row>
    <row r="490" spans="6:13" ht="18.75" customHeight="1">
      <c r="F490" s="1">
        <v>36251</v>
      </c>
      <c r="G490">
        <f t="shared" si="29"/>
        <v>4</v>
      </c>
      <c r="H490" s="7">
        <v>371.14</v>
      </c>
      <c r="I490" s="7">
        <f>_B*F490+_C</f>
        <v>364.96156375004801</v>
      </c>
      <c r="J490" s="7">
        <f t="shared" si="30"/>
        <v>6.1784362499519716</v>
      </c>
      <c r="K490" s="7" cm="1">
        <f t="array" ref="K490">INDEX(Sm,G490)</f>
        <v>2.6009864459479211</v>
      </c>
      <c r="L490" s="7">
        <f t="shared" si="31"/>
        <v>367.56255019599593</v>
      </c>
      <c r="M490" s="7">
        <f t="shared" si="32"/>
        <v>3.5774498040040612</v>
      </c>
    </row>
    <row r="491" spans="6:13" ht="18.75" customHeight="1">
      <c r="F491" s="1">
        <v>36281</v>
      </c>
      <c r="G491">
        <f t="shared" si="29"/>
        <v>5</v>
      </c>
      <c r="H491" s="7">
        <v>371</v>
      </c>
      <c r="I491" s="7">
        <f>_B*F491+_C</f>
        <v>365.07032137741248</v>
      </c>
      <c r="J491" s="7">
        <f t="shared" si="30"/>
        <v>5.9296786225875167</v>
      </c>
      <c r="K491" s="7" cm="1">
        <f t="array" ref="K491">INDEX(Sm,G491)</f>
        <v>2.9998113917703657</v>
      </c>
      <c r="L491" s="7">
        <f t="shared" si="31"/>
        <v>368.07013276918286</v>
      </c>
      <c r="M491" s="7">
        <f t="shared" si="32"/>
        <v>2.9298672308171376</v>
      </c>
    </row>
    <row r="492" spans="6:13" ht="18.75" customHeight="1">
      <c r="F492" s="1">
        <v>36312</v>
      </c>
      <c r="G492">
        <f t="shared" si="29"/>
        <v>6</v>
      </c>
      <c r="H492" s="7">
        <v>370.35</v>
      </c>
      <c r="I492" s="7">
        <f>_B*F492+_C</f>
        <v>365.18270425902244</v>
      </c>
      <c r="J492" s="7">
        <f t="shared" si="30"/>
        <v>5.167295740977579</v>
      </c>
      <c r="K492" s="7" cm="1">
        <f t="array" ref="K492">INDEX(Sm,G492)</f>
        <v>2.2382077892599441</v>
      </c>
      <c r="L492" s="7">
        <f t="shared" si="31"/>
        <v>367.42091204828239</v>
      </c>
      <c r="M492" s="7">
        <f t="shared" si="32"/>
        <v>2.9290879517176336</v>
      </c>
    </row>
    <row r="493" spans="6:13" ht="18.75" customHeight="1">
      <c r="F493" s="1">
        <v>36342</v>
      </c>
      <c r="G493">
        <f t="shared" si="29"/>
        <v>7</v>
      </c>
      <c r="H493" s="7">
        <v>369.27</v>
      </c>
      <c r="I493" s="7">
        <f>_B*F493+_C</f>
        <v>365.29146188638697</v>
      </c>
      <c r="J493" s="7">
        <f t="shared" si="30"/>
        <v>3.9785381136130127</v>
      </c>
      <c r="K493" s="7" cm="1">
        <f t="array" ref="K493">INDEX(Sm,G493)</f>
        <v>0.82390897803401641</v>
      </c>
      <c r="L493" s="7">
        <f t="shared" si="31"/>
        <v>366.11537086442098</v>
      </c>
      <c r="M493" s="7">
        <f t="shared" si="32"/>
        <v>3.1546291355790004</v>
      </c>
    </row>
    <row r="494" spans="6:13" ht="18.75" customHeight="1">
      <c r="F494" s="1">
        <v>36373</v>
      </c>
      <c r="G494">
        <f t="shared" si="29"/>
        <v>8</v>
      </c>
      <c r="H494" s="7">
        <v>366.93</v>
      </c>
      <c r="I494" s="7">
        <f>_B*F494+_C</f>
        <v>365.40384476799693</v>
      </c>
      <c r="J494" s="7">
        <f t="shared" si="30"/>
        <v>1.5261552320030773</v>
      </c>
      <c r="K494" s="7" cm="1">
        <f t="array" ref="K494">INDEX(Sm,G494)</f>
        <v>-1.2322834273854675</v>
      </c>
      <c r="L494" s="7">
        <f t="shared" si="31"/>
        <v>364.17156134061145</v>
      </c>
      <c r="M494" s="7">
        <f t="shared" si="32"/>
        <v>2.7584386593885597</v>
      </c>
    </row>
    <row r="495" spans="6:13" ht="18.75" customHeight="1">
      <c r="F495" s="1">
        <v>36404</v>
      </c>
      <c r="G495">
        <f t="shared" si="29"/>
        <v>9</v>
      </c>
      <c r="H495" s="7">
        <v>364.64</v>
      </c>
      <c r="I495" s="7">
        <f>_B*F495+_C</f>
        <v>365.51622764960689</v>
      </c>
      <c r="J495" s="7">
        <f t="shared" si="30"/>
        <v>-0.87622764960690347</v>
      </c>
      <c r="K495" s="7" cm="1">
        <f t="array" ref="K495">INDEX(Sm,G495)</f>
        <v>-3.0765710709001954</v>
      </c>
      <c r="L495" s="7">
        <f t="shared" si="31"/>
        <v>362.43965657870672</v>
      </c>
      <c r="M495" s="7">
        <f t="shared" si="32"/>
        <v>2.2003434212932689</v>
      </c>
    </row>
    <row r="496" spans="6:13" ht="18.75" customHeight="1">
      <c r="F496" s="1">
        <v>36434</v>
      </c>
      <c r="G496">
        <f t="shared" si="29"/>
        <v>10</v>
      </c>
      <c r="H496" s="7">
        <v>365.13</v>
      </c>
      <c r="I496" s="7">
        <f>_B*F496+_C</f>
        <v>365.6249852769713</v>
      </c>
      <c r="J496" s="7">
        <f t="shared" si="30"/>
        <v>-0.49498527697130612</v>
      </c>
      <c r="K496" s="7" cm="1">
        <f t="array" ref="K496">INDEX(Sm,G496)</f>
        <v>-3.3570000579572215</v>
      </c>
      <c r="L496" s="7">
        <f t="shared" si="31"/>
        <v>362.26798521901407</v>
      </c>
      <c r="M496" s="7">
        <f t="shared" si="32"/>
        <v>2.8620147809859304</v>
      </c>
    </row>
    <row r="497" spans="6:13" ht="18.75" customHeight="1">
      <c r="F497" s="1">
        <v>36465</v>
      </c>
      <c r="G497">
        <f t="shared" si="29"/>
        <v>11</v>
      </c>
      <c r="H497" s="7">
        <v>366.68</v>
      </c>
      <c r="I497" s="7">
        <f>_B*F497+_C</f>
        <v>365.73736815858126</v>
      </c>
      <c r="J497" s="7">
        <f t="shared" si="30"/>
        <v>0.9426318414187449</v>
      </c>
      <c r="K497" s="7" cm="1">
        <f t="array" ref="K497">INDEX(Sm,G497)</f>
        <v>-2.069140151303194</v>
      </c>
      <c r="L497" s="7">
        <f t="shared" si="31"/>
        <v>363.66822800727806</v>
      </c>
      <c r="M497" s="7">
        <f t="shared" si="32"/>
        <v>3.0117719927219468</v>
      </c>
    </row>
    <row r="498" spans="6:13" ht="18.75" customHeight="1">
      <c r="F498" s="1">
        <v>36495</v>
      </c>
      <c r="G498">
        <f t="shared" si="29"/>
        <v>12</v>
      </c>
      <c r="H498" s="7">
        <v>368</v>
      </c>
      <c r="I498" s="7">
        <f>_B*F498+_C</f>
        <v>365.84612578594579</v>
      </c>
      <c r="J498" s="7">
        <f t="shared" si="30"/>
        <v>2.1538742140542126</v>
      </c>
      <c r="K498" s="7" cm="1">
        <f t="array" ref="K498">INDEX(Sm,G498)</f>
        <v>-0.94051682628672428</v>
      </c>
      <c r="L498" s="7">
        <f t="shared" si="31"/>
        <v>364.90560895965905</v>
      </c>
      <c r="M498" s="7">
        <f t="shared" si="32"/>
        <v>3.0943910403409518</v>
      </c>
    </row>
    <row r="499" spans="6:13" ht="18.75" customHeight="1">
      <c r="F499" s="1">
        <v>36526</v>
      </c>
      <c r="G499">
        <f t="shared" si="29"/>
        <v>1</v>
      </c>
      <c r="H499" s="7">
        <v>369.14</v>
      </c>
      <c r="I499" s="7">
        <f>_B*F499+_C</f>
        <v>365.95850866755575</v>
      </c>
      <c r="J499" s="7">
        <f t="shared" si="30"/>
        <v>3.1814913324442387</v>
      </c>
      <c r="K499" s="7" cm="1">
        <f t="array" ref="K499">INDEX(Sm,G499)</f>
        <v>-2.6471136468108808E-2</v>
      </c>
      <c r="L499" s="7">
        <f t="shared" si="31"/>
        <v>365.93203753108764</v>
      </c>
      <c r="M499" s="7">
        <f t="shared" si="32"/>
        <v>3.207962468912342</v>
      </c>
    </row>
    <row r="500" spans="6:13" ht="18.75" customHeight="1">
      <c r="F500" s="1">
        <v>36557</v>
      </c>
      <c r="G500">
        <f t="shared" si="29"/>
        <v>2</v>
      </c>
      <c r="H500" s="7">
        <v>369.46</v>
      </c>
      <c r="I500" s="7">
        <f>_B*F500+_C</f>
        <v>366.07089154916571</v>
      </c>
      <c r="J500" s="7">
        <f t="shared" si="30"/>
        <v>3.3891084508342715</v>
      </c>
      <c r="K500" s="7" cm="1">
        <f t="array" ref="K500">INDEX(Sm,G500)</f>
        <v>0.58733060283015548</v>
      </c>
      <c r="L500" s="7">
        <f t="shared" si="31"/>
        <v>366.65822215199586</v>
      </c>
      <c r="M500" s="7">
        <f t="shared" si="32"/>
        <v>2.8017778480041216</v>
      </c>
    </row>
    <row r="501" spans="6:13" ht="18.75" customHeight="1">
      <c r="F501" s="1">
        <v>36586</v>
      </c>
      <c r="G501">
        <f t="shared" si="29"/>
        <v>3</v>
      </c>
      <c r="H501" s="7">
        <v>370.51</v>
      </c>
      <c r="I501" s="7">
        <f>_B*F501+_C</f>
        <v>366.17602392228468</v>
      </c>
      <c r="J501" s="7">
        <f t="shared" si="30"/>
        <v>4.333976077715306</v>
      </c>
      <c r="K501" s="7" cm="1">
        <f t="array" ref="K501">INDEX(Sm,G501)</f>
        <v>1.4390836132721692</v>
      </c>
      <c r="L501" s="7">
        <f t="shared" si="31"/>
        <v>367.61510753555683</v>
      </c>
      <c r="M501" s="7">
        <f t="shared" si="32"/>
        <v>2.89489246444316</v>
      </c>
    </row>
    <row r="502" spans="6:13" ht="18.75" customHeight="1">
      <c r="F502" s="16">
        <v>36617</v>
      </c>
      <c r="G502" s="17">
        <f t="shared" si="29"/>
        <v>4</v>
      </c>
      <c r="H502" s="18">
        <v>371.66</v>
      </c>
      <c r="I502" s="7">
        <f>_B*F502+_C</f>
        <v>366.28840680389465</v>
      </c>
      <c r="J502" s="7">
        <f t="shared" si="30"/>
        <v>5.3715931961053798</v>
      </c>
      <c r="K502" s="7" cm="1">
        <f t="array" ref="K502">INDEX(Sm,G502)</f>
        <v>2.6009864459479211</v>
      </c>
      <c r="L502" s="7">
        <f t="shared" si="31"/>
        <v>368.88939324984256</v>
      </c>
      <c r="M502" s="7">
        <f t="shared" si="32"/>
        <v>2.7706067501574694</v>
      </c>
    </row>
    <row r="503" spans="6:13" ht="18.75" customHeight="1">
      <c r="F503" s="1">
        <v>36647</v>
      </c>
      <c r="G503">
        <f t="shared" si="29"/>
        <v>5</v>
      </c>
      <c r="H503" s="7">
        <v>371.83</v>
      </c>
      <c r="I503" s="7">
        <f>_B*F503+_C</f>
        <v>366.39716443125911</v>
      </c>
      <c r="J503" s="7">
        <f t="shared" si="30"/>
        <v>5.4328355687408703</v>
      </c>
      <c r="K503" s="7" cm="1">
        <f t="array" ref="K503">INDEX(Sm,G503)</f>
        <v>2.9998113917703657</v>
      </c>
      <c r="L503" s="7">
        <f t="shared" si="31"/>
        <v>369.39697582302949</v>
      </c>
      <c r="M503" s="7">
        <f t="shared" si="32"/>
        <v>2.4330241769704912</v>
      </c>
    </row>
    <row r="504" spans="6:13" ht="18.75" customHeight="1">
      <c r="F504" s="1">
        <v>36678</v>
      </c>
      <c r="G504">
        <f t="shared" si="29"/>
        <v>6</v>
      </c>
      <c r="H504" s="7">
        <v>371.69</v>
      </c>
      <c r="I504" s="7">
        <f>_B*F504+_C</f>
        <v>366.50954731286907</v>
      </c>
      <c r="J504" s="7">
        <f t="shared" si="30"/>
        <v>5.1804526871309236</v>
      </c>
      <c r="K504" s="7" cm="1">
        <f t="array" ref="K504">INDEX(Sm,G504)</f>
        <v>2.2382077892599441</v>
      </c>
      <c r="L504" s="7">
        <f t="shared" si="31"/>
        <v>368.74775510212902</v>
      </c>
      <c r="M504" s="7">
        <f t="shared" si="32"/>
        <v>2.9422448978709781</v>
      </c>
    </row>
    <row r="505" spans="6:13" ht="18.75" customHeight="1">
      <c r="F505" s="1">
        <v>36708</v>
      </c>
      <c r="G505">
        <f t="shared" si="29"/>
        <v>7</v>
      </c>
      <c r="H505" s="7">
        <v>370.12</v>
      </c>
      <c r="I505" s="7">
        <f>_B*F505+_C</f>
        <v>366.61830494023354</v>
      </c>
      <c r="J505" s="7">
        <f t="shared" si="30"/>
        <v>3.5016950597664618</v>
      </c>
      <c r="K505" s="7" cm="1">
        <f t="array" ref="K505">INDEX(Sm,G505)</f>
        <v>0.82390897803401641</v>
      </c>
      <c r="L505" s="7">
        <f t="shared" si="31"/>
        <v>367.44221391826756</v>
      </c>
      <c r="M505" s="7">
        <f t="shared" si="32"/>
        <v>2.6777860817324495</v>
      </c>
    </row>
    <row r="506" spans="6:13" ht="18.75" customHeight="1">
      <c r="F506" s="1">
        <v>36739</v>
      </c>
      <c r="G506">
        <f t="shared" si="29"/>
        <v>8</v>
      </c>
      <c r="H506" s="7">
        <v>368.12</v>
      </c>
      <c r="I506" s="7">
        <f>_B*F506+_C</f>
        <v>366.7306878218435</v>
      </c>
      <c r="J506" s="7">
        <f t="shared" si="30"/>
        <v>1.3893121781565014</v>
      </c>
      <c r="K506" s="7" cm="1">
        <f t="array" ref="K506">INDEX(Sm,G506)</f>
        <v>-1.2322834273854675</v>
      </c>
      <c r="L506" s="7">
        <f t="shared" si="31"/>
        <v>365.49840439445802</v>
      </c>
      <c r="M506" s="7">
        <f t="shared" si="32"/>
        <v>2.6215956055419838</v>
      </c>
    </row>
    <row r="507" spans="6:13" ht="18.75" customHeight="1">
      <c r="F507" s="1">
        <v>36770</v>
      </c>
      <c r="G507">
        <f t="shared" si="29"/>
        <v>9</v>
      </c>
      <c r="H507" s="7">
        <v>366.62</v>
      </c>
      <c r="I507" s="7">
        <f>_B*F507+_C</f>
        <v>366.84307070345346</v>
      </c>
      <c r="J507" s="7">
        <f t="shared" si="30"/>
        <v>-0.22307070345345892</v>
      </c>
      <c r="K507" s="7" cm="1">
        <f t="array" ref="K507">INDEX(Sm,G507)</f>
        <v>-3.0765710709001954</v>
      </c>
      <c r="L507" s="7">
        <f t="shared" si="31"/>
        <v>363.76649963255329</v>
      </c>
      <c r="M507" s="7">
        <f t="shared" si="32"/>
        <v>2.8535003674467134</v>
      </c>
    </row>
    <row r="508" spans="6:13" ht="18.75" customHeight="1">
      <c r="F508" s="1">
        <v>36800</v>
      </c>
      <c r="G508">
        <f t="shared" si="29"/>
        <v>10</v>
      </c>
      <c r="H508" s="7">
        <v>366.73</v>
      </c>
      <c r="I508" s="7">
        <f>_B*F508+_C</f>
        <v>366.95182833081799</v>
      </c>
      <c r="J508" s="7">
        <f t="shared" si="30"/>
        <v>-0.22182833081797071</v>
      </c>
      <c r="K508" s="7" cm="1">
        <f t="array" ref="K508">INDEX(Sm,G508)</f>
        <v>-3.3570000579572215</v>
      </c>
      <c r="L508" s="7">
        <f t="shared" si="31"/>
        <v>363.59482827286075</v>
      </c>
      <c r="M508" s="7">
        <f t="shared" si="32"/>
        <v>3.1351717271392658</v>
      </c>
    </row>
    <row r="509" spans="6:13" ht="18.75" customHeight="1">
      <c r="F509" s="1">
        <v>36831</v>
      </c>
      <c r="G509">
        <f t="shared" si="29"/>
        <v>11</v>
      </c>
      <c r="H509" s="7">
        <v>368.29</v>
      </c>
      <c r="I509" s="7">
        <f>_B*F509+_C</f>
        <v>367.06421121242795</v>
      </c>
      <c r="J509" s="7">
        <f t="shared" si="30"/>
        <v>1.2257887875720712</v>
      </c>
      <c r="K509" s="7" cm="1">
        <f t="array" ref="K509">INDEX(Sm,G509)</f>
        <v>-2.069140151303194</v>
      </c>
      <c r="L509" s="7">
        <f t="shared" si="31"/>
        <v>364.99507106112475</v>
      </c>
      <c r="M509" s="7">
        <f t="shared" si="32"/>
        <v>3.2949289388752732</v>
      </c>
    </row>
    <row r="510" spans="6:13" ht="18.75" customHeight="1">
      <c r="F510" s="1">
        <v>36861</v>
      </c>
      <c r="G510">
        <f t="shared" si="29"/>
        <v>12</v>
      </c>
      <c r="H510" s="7">
        <v>369.52</v>
      </c>
      <c r="I510" s="7">
        <f>_B*F510+_C</f>
        <v>367.17296883979236</v>
      </c>
      <c r="J510" s="7">
        <f t="shared" si="30"/>
        <v>2.3470311602076208</v>
      </c>
      <c r="K510" s="7" cm="1">
        <f t="array" ref="K510">INDEX(Sm,G510)</f>
        <v>-0.94051682628672428</v>
      </c>
      <c r="L510" s="7">
        <f t="shared" si="31"/>
        <v>366.23245201350562</v>
      </c>
      <c r="M510" s="7">
        <f t="shared" si="32"/>
        <v>3.28754798649436</v>
      </c>
    </row>
    <row r="511" spans="6:13" ht="18.75" customHeight="1">
      <c r="F511" s="1">
        <v>36892</v>
      </c>
      <c r="G511">
        <f t="shared" si="29"/>
        <v>1</v>
      </c>
      <c r="H511" s="7">
        <v>370.28</v>
      </c>
      <c r="I511" s="7">
        <f>_B*F511+_C</f>
        <v>367.28535172140232</v>
      </c>
      <c r="J511" s="7">
        <f t="shared" si="30"/>
        <v>2.9946482785976514</v>
      </c>
      <c r="K511" s="7" cm="1">
        <f t="array" ref="K511">INDEX(Sm,G511)</f>
        <v>-2.6471136468108808E-2</v>
      </c>
      <c r="L511" s="7">
        <f t="shared" si="31"/>
        <v>367.25888058493422</v>
      </c>
      <c r="M511" s="7">
        <f t="shared" si="32"/>
        <v>3.0211194150657548</v>
      </c>
    </row>
    <row r="512" spans="6:13" ht="18.75" customHeight="1">
      <c r="F512" s="1">
        <v>36923</v>
      </c>
      <c r="G512">
        <f t="shared" si="29"/>
        <v>2</v>
      </c>
      <c r="H512" s="7">
        <v>371.5</v>
      </c>
      <c r="I512" s="7">
        <f>_B*F512+_C</f>
        <v>367.39773460301228</v>
      </c>
      <c r="J512" s="7">
        <f t="shared" si="30"/>
        <v>4.1022653969877183</v>
      </c>
      <c r="K512" s="7" cm="1">
        <f t="array" ref="K512">INDEX(Sm,G512)</f>
        <v>0.58733060283015548</v>
      </c>
      <c r="L512" s="7">
        <f t="shared" si="31"/>
        <v>367.98506520584243</v>
      </c>
      <c r="M512" s="7">
        <f t="shared" si="32"/>
        <v>3.5149347941575684</v>
      </c>
    </row>
    <row r="513" spans="6:13" ht="18.75" customHeight="1">
      <c r="F513" s="1">
        <v>36951</v>
      </c>
      <c r="G513">
        <f t="shared" si="29"/>
        <v>3</v>
      </c>
      <c r="H513" s="7">
        <v>372.12</v>
      </c>
      <c r="I513" s="7">
        <f>_B*F513+_C</f>
        <v>367.49924172188582</v>
      </c>
      <c r="J513" s="7">
        <f t="shared" si="30"/>
        <v>4.6207582781141809</v>
      </c>
      <c r="K513" s="7" cm="1">
        <f t="array" ref="K513">INDEX(Sm,G513)</f>
        <v>1.4390836132721692</v>
      </c>
      <c r="L513" s="7">
        <f t="shared" si="31"/>
        <v>368.93832533515797</v>
      </c>
      <c r="M513" s="7">
        <f t="shared" si="32"/>
        <v>3.1816746648420349</v>
      </c>
    </row>
    <row r="514" spans="6:13" ht="18.75" customHeight="1">
      <c r="F514" s="1">
        <v>36982</v>
      </c>
      <c r="G514">
        <f t="shared" si="29"/>
        <v>4</v>
      </c>
      <c r="H514" s="7">
        <v>372.86</v>
      </c>
      <c r="I514" s="7">
        <f>_B*F514+_C</f>
        <v>367.61162460349578</v>
      </c>
      <c r="J514" s="7">
        <f t="shared" si="30"/>
        <v>5.2483753965042297</v>
      </c>
      <c r="K514" s="7" cm="1">
        <f t="array" ref="K514">INDEX(Sm,G514)</f>
        <v>2.6009864459479211</v>
      </c>
      <c r="L514" s="7">
        <f t="shared" si="31"/>
        <v>370.21261104944369</v>
      </c>
      <c r="M514" s="7">
        <f t="shared" si="32"/>
        <v>2.6473889505563193</v>
      </c>
    </row>
    <row r="515" spans="6:13" ht="18.75" customHeight="1">
      <c r="F515" s="1">
        <v>37012</v>
      </c>
      <c r="G515">
        <f t="shared" ref="G515:G578" si="33">MONTH(F515)</f>
        <v>5</v>
      </c>
      <c r="H515" s="7">
        <v>374.02</v>
      </c>
      <c r="I515" s="7">
        <f>_B*F515+_C</f>
        <v>367.72038223086025</v>
      </c>
      <c r="J515" s="7">
        <f t="shared" ref="J515:J578" si="34">H515-I515</f>
        <v>6.2996177691397293</v>
      </c>
      <c r="K515" s="7" cm="1">
        <f t="array" ref="K515">INDEX(Sm,G515)</f>
        <v>2.9998113917703657</v>
      </c>
      <c r="L515" s="7">
        <f t="shared" ref="L515:L578" si="35">I515+K515</f>
        <v>370.72019362263063</v>
      </c>
      <c r="M515" s="7">
        <f t="shared" ref="M515:M578" si="36">H515-L515</f>
        <v>3.2998063773693502</v>
      </c>
    </row>
    <row r="516" spans="6:13" ht="18.75" customHeight="1">
      <c r="F516" s="1">
        <v>37043</v>
      </c>
      <c r="G516">
        <f t="shared" si="33"/>
        <v>6</v>
      </c>
      <c r="H516" s="7">
        <v>373.31</v>
      </c>
      <c r="I516" s="7">
        <f>_B*F516+_C</f>
        <v>367.83276511247021</v>
      </c>
      <c r="J516" s="7">
        <f t="shared" si="34"/>
        <v>5.4772348875297894</v>
      </c>
      <c r="K516" s="7" cm="1">
        <f t="array" ref="K516">INDEX(Sm,G516)</f>
        <v>2.2382077892599441</v>
      </c>
      <c r="L516" s="7">
        <f t="shared" si="35"/>
        <v>370.07097290173016</v>
      </c>
      <c r="M516" s="7">
        <f t="shared" si="36"/>
        <v>3.2390270982698439</v>
      </c>
    </row>
    <row r="517" spans="6:13" ht="18.75" customHeight="1">
      <c r="F517" s="1">
        <v>37073</v>
      </c>
      <c r="G517">
        <f t="shared" si="33"/>
        <v>7</v>
      </c>
      <c r="H517" s="7">
        <v>371.62</v>
      </c>
      <c r="I517" s="7">
        <f>_B*F517+_C</f>
        <v>367.94152273983468</v>
      </c>
      <c r="J517" s="7">
        <f t="shared" si="34"/>
        <v>3.6784772601653231</v>
      </c>
      <c r="K517" s="7" cm="1">
        <f t="array" ref="K517">INDEX(Sm,G517)</f>
        <v>0.82390897803401641</v>
      </c>
      <c r="L517" s="7">
        <f t="shared" si="35"/>
        <v>368.76543171786869</v>
      </c>
      <c r="M517" s="7">
        <f t="shared" si="36"/>
        <v>2.8545682821313108</v>
      </c>
    </row>
    <row r="518" spans="6:13" ht="18.75" customHeight="1">
      <c r="F518" s="1">
        <v>37104</v>
      </c>
      <c r="G518">
        <f t="shared" si="33"/>
        <v>8</v>
      </c>
      <c r="H518" s="7">
        <v>369.55</v>
      </c>
      <c r="I518" s="7">
        <f>_B*F518+_C</f>
        <v>368.05390562144464</v>
      </c>
      <c r="J518" s="7">
        <f t="shared" si="34"/>
        <v>1.4960943785553695</v>
      </c>
      <c r="K518" s="7" cm="1">
        <f t="array" ref="K518">INDEX(Sm,G518)</f>
        <v>-1.2322834273854675</v>
      </c>
      <c r="L518" s="7">
        <f t="shared" si="35"/>
        <v>366.82162219405916</v>
      </c>
      <c r="M518" s="7">
        <f t="shared" si="36"/>
        <v>2.7283778059408519</v>
      </c>
    </row>
    <row r="519" spans="6:13" ht="18.75" customHeight="1">
      <c r="F519" s="1">
        <v>37135</v>
      </c>
      <c r="G519">
        <f t="shared" si="33"/>
        <v>9</v>
      </c>
      <c r="H519" s="7">
        <v>367.96</v>
      </c>
      <c r="I519" s="7">
        <f>_B*F519+_C</f>
        <v>368.1662885030546</v>
      </c>
      <c r="J519" s="7">
        <f t="shared" si="34"/>
        <v>-0.20628850305462265</v>
      </c>
      <c r="K519" s="7" cm="1">
        <f t="array" ref="K519">INDEX(Sm,G519)</f>
        <v>-3.0765710709001954</v>
      </c>
      <c r="L519" s="7">
        <f t="shared" si="35"/>
        <v>365.08971743215443</v>
      </c>
      <c r="M519" s="7">
        <f t="shared" si="36"/>
        <v>2.8702825678455497</v>
      </c>
    </row>
    <row r="520" spans="6:13" ht="18.75" customHeight="1">
      <c r="F520" s="1">
        <v>37165</v>
      </c>
      <c r="G520">
        <f t="shared" si="33"/>
        <v>10</v>
      </c>
      <c r="H520" s="7">
        <v>368.09</v>
      </c>
      <c r="I520" s="7">
        <f>_B*F520+_C</f>
        <v>368.27504613041913</v>
      </c>
      <c r="J520" s="7">
        <f t="shared" si="34"/>
        <v>-0.18504613041915263</v>
      </c>
      <c r="K520" s="7" cm="1">
        <f t="array" ref="K520">INDEX(Sm,G520)</f>
        <v>-3.3570000579572215</v>
      </c>
      <c r="L520" s="7">
        <f t="shared" si="35"/>
        <v>364.91804607246189</v>
      </c>
      <c r="M520" s="7">
        <f t="shared" si="36"/>
        <v>3.1719539275380839</v>
      </c>
    </row>
    <row r="521" spans="6:13" ht="18.75" customHeight="1">
      <c r="F521" s="1">
        <v>37196</v>
      </c>
      <c r="G521">
        <f t="shared" si="33"/>
        <v>11</v>
      </c>
      <c r="H521" s="7">
        <v>369.68</v>
      </c>
      <c r="I521" s="7">
        <f>_B*F521+_C</f>
        <v>368.38742901202909</v>
      </c>
      <c r="J521" s="7">
        <f t="shared" si="34"/>
        <v>1.2925709879709188</v>
      </c>
      <c r="K521" s="7" cm="1">
        <f t="array" ref="K521">INDEX(Sm,G521)</f>
        <v>-2.069140151303194</v>
      </c>
      <c r="L521" s="7">
        <f t="shared" si="35"/>
        <v>366.31828886072589</v>
      </c>
      <c r="M521" s="7">
        <f t="shared" si="36"/>
        <v>3.3617111392741208</v>
      </c>
    </row>
    <row r="522" spans="6:13" ht="18.75" customHeight="1">
      <c r="F522" s="1">
        <v>37226</v>
      </c>
      <c r="G522">
        <f t="shared" si="33"/>
        <v>12</v>
      </c>
      <c r="H522" s="7">
        <v>371.24</v>
      </c>
      <c r="I522" s="7">
        <f>_B*F522+_C</f>
        <v>368.4961866393935</v>
      </c>
      <c r="J522" s="7">
        <f t="shared" si="34"/>
        <v>2.7438133606065094</v>
      </c>
      <c r="K522" s="7" cm="1">
        <f t="array" ref="K522">INDEX(Sm,G522)</f>
        <v>-0.94051682628672428</v>
      </c>
      <c r="L522" s="7">
        <f t="shared" si="35"/>
        <v>367.55566981310676</v>
      </c>
      <c r="M522" s="7">
        <f t="shared" si="36"/>
        <v>3.6843301868932485</v>
      </c>
    </row>
    <row r="523" spans="6:13" ht="18.75" customHeight="1">
      <c r="F523" s="1">
        <v>37257</v>
      </c>
      <c r="G523">
        <f t="shared" si="33"/>
        <v>1</v>
      </c>
      <c r="H523" s="7">
        <v>372.44</v>
      </c>
      <c r="I523" s="7">
        <f>_B*F523+_C</f>
        <v>368.60856952100346</v>
      </c>
      <c r="J523" s="7">
        <f t="shared" si="34"/>
        <v>3.8314304789965377</v>
      </c>
      <c r="K523" s="7" cm="1">
        <f t="array" ref="K523">INDEX(Sm,G523)</f>
        <v>-2.6471136468108808E-2</v>
      </c>
      <c r="L523" s="7">
        <f t="shared" si="35"/>
        <v>368.58209838453536</v>
      </c>
      <c r="M523" s="7">
        <f t="shared" si="36"/>
        <v>3.8579016154646411</v>
      </c>
    </row>
    <row r="524" spans="6:13" ht="18.75" customHeight="1">
      <c r="F524" s="1">
        <v>37288</v>
      </c>
      <c r="G524">
        <f t="shared" si="33"/>
        <v>2</v>
      </c>
      <c r="H524" s="7">
        <v>373.08</v>
      </c>
      <c r="I524" s="7">
        <f>_B*F524+_C</f>
        <v>368.72095240261342</v>
      </c>
      <c r="J524" s="7">
        <f t="shared" si="34"/>
        <v>4.3590475973865637</v>
      </c>
      <c r="K524" s="7" cm="1">
        <f t="array" ref="K524">INDEX(Sm,G524)</f>
        <v>0.58733060283015548</v>
      </c>
      <c r="L524" s="7">
        <f t="shared" si="35"/>
        <v>369.30828300544357</v>
      </c>
      <c r="M524" s="7">
        <f t="shared" si="36"/>
        <v>3.7717169945564137</v>
      </c>
    </row>
    <row r="525" spans="6:13" ht="18.75" customHeight="1">
      <c r="F525" s="1">
        <v>37316</v>
      </c>
      <c r="G525">
        <f t="shared" si="33"/>
        <v>3</v>
      </c>
      <c r="H525" s="7">
        <v>373.52</v>
      </c>
      <c r="I525" s="7">
        <f>_B*F525+_C</f>
        <v>368.82245952148696</v>
      </c>
      <c r="J525" s="7">
        <f t="shared" si="34"/>
        <v>4.6975404785130195</v>
      </c>
      <c r="K525" s="7" cm="1">
        <f t="array" ref="K525">INDEX(Sm,G525)</f>
        <v>1.4390836132721692</v>
      </c>
      <c r="L525" s="7">
        <f t="shared" si="35"/>
        <v>370.26154313475911</v>
      </c>
      <c r="M525" s="7">
        <f t="shared" si="36"/>
        <v>3.2584568652408734</v>
      </c>
    </row>
    <row r="526" spans="6:13" ht="18.75" customHeight="1">
      <c r="F526" s="1">
        <v>37347</v>
      </c>
      <c r="G526">
        <f t="shared" si="33"/>
        <v>4</v>
      </c>
      <c r="H526" s="7">
        <v>374.85</v>
      </c>
      <c r="I526" s="7">
        <f>_B*F526+_C</f>
        <v>368.93484240309692</v>
      </c>
      <c r="J526" s="7">
        <f t="shared" si="34"/>
        <v>5.9151575969031001</v>
      </c>
      <c r="K526" s="7" cm="1">
        <f t="array" ref="K526">INDEX(Sm,G526)</f>
        <v>2.6009864459479211</v>
      </c>
      <c r="L526" s="7">
        <f t="shared" si="35"/>
        <v>371.53582884904483</v>
      </c>
      <c r="M526" s="7">
        <f t="shared" si="36"/>
        <v>3.3141711509551897</v>
      </c>
    </row>
    <row r="527" spans="6:13" ht="18.75" customHeight="1">
      <c r="F527" s="1">
        <v>37377</v>
      </c>
      <c r="G527">
        <f t="shared" si="33"/>
        <v>5</v>
      </c>
      <c r="H527" s="7">
        <v>375.55</v>
      </c>
      <c r="I527" s="7">
        <f>_B*F527+_C</f>
        <v>369.04360003046145</v>
      </c>
      <c r="J527" s="7">
        <f t="shared" si="34"/>
        <v>6.5063999695385633</v>
      </c>
      <c r="K527" s="7" cm="1">
        <f t="array" ref="K527">INDEX(Sm,G527)</f>
        <v>2.9998113917703657</v>
      </c>
      <c r="L527" s="7">
        <f t="shared" si="35"/>
        <v>372.04341142223183</v>
      </c>
      <c r="M527" s="7">
        <f t="shared" si="36"/>
        <v>3.5065885777681842</v>
      </c>
    </row>
    <row r="528" spans="6:13" ht="18.75" customHeight="1">
      <c r="F528" s="1">
        <v>37408</v>
      </c>
      <c r="G528">
        <f t="shared" si="33"/>
        <v>6</v>
      </c>
      <c r="H528" s="7">
        <v>375.4</v>
      </c>
      <c r="I528" s="7">
        <f>_B*F528+_C</f>
        <v>369.15598291207141</v>
      </c>
      <c r="J528" s="7">
        <f t="shared" si="34"/>
        <v>6.2440170879285688</v>
      </c>
      <c r="K528" s="7" cm="1">
        <f t="array" ref="K528">INDEX(Sm,G528)</f>
        <v>2.2382077892599441</v>
      </c>
      <c r="L528" s="7">
        <f t="shared" si="35"/>
        <v>371.39419070133135</v>
      </c>
      <c r="M528" s="7">
        <f t="shared" si="36"/>
        <v>4.0058092986686233</v>
      </c>
    </row>
    <row r="529" spans="6:13" ht="18.75" customHeight="1">
      <c r="F529" s="1">
        <v>37438</v>
      </c>
      <c r="G529">
        <f t="shared" si="33"/>
        <v>7</v>
      </c>
      <c r="H529" s="7">
        <v>374.02</v>
      </c>
      <c r="I529" s="7">
        <f>_B*F529+_C</f>
        <v>369.26474053943582</v>
      </c>
      <c r="J529" s="7">
        <f t="shared" si="34"/>
        <v>4.7552594605641616</v>
      </c>
      <c r="K529" s="7" cm="1">
        <f t="array" ref="K529">INDEX(Sm,G529)</f>
        <v>0.82390897803401641</v>
      </c>
      <c r="L529" s="7">
        <f t="shared" si="35"/>
        <v>370.08864951746983</v>
      </c>
      <c r="M529" s="7">
        <f t="shared" si="36"/>
        <v>3.9313504825301493</v>
      </c>
    </row>
    <row r="530" spans="6:13" ht="18.75" customHeight="1">
      <c r="F530" s="1">
        <v>37469</v>
      </c>
      <c r="G530">
        <f t="shared" si="33"/>
        <v>8</v>
      </c>
      <c r="H530" s="7">
        <v>371.48</v>
      </c>
      <c r="I530" s="7">
        <f>_B*F530+_C</f>
        <v>369.37712342104578</v>
      </c>
      <c r="J530" s="7">
        <f t="shared" si="34"/>
        <v>2.1028765789542376</v>
      </c>
      <c r="K530" s="7" cm="1">
        <f t="array" ref="K530">INDEX(Sm,G530)</f>
        <v>-1.2322834273854675</v>
      </c>
      <c r="L530" s="7">
        <f t="shared" si="35"/>
        <v>368.1448399936603</v>
      </c>
      <c r="M530" s="7">
        <f t="shared" si="36"/>
        <v>3.33516000633972</v>
      </c>
    </row>
    <row r="531" spans="6:13" ht="18.75" customHeight="1">
      <c r="F531" s="1">
        <v>37500</v>
      </c>
      <c r="G531">
        <f t="shared" si="33"/>
        <v>9</v>
      </c>
      <c r="H531" s="7">
        <v>370.7</v>
      </c>
      <c r="I531" s="7">
        <f>_B*F531+_C</f>
        <v>369.48950630265574</v>
      </c>
      <c r="J531" s="7">
        <f t="shared" si="34"/>
        <v>1.2104936973442477</v>
      </c>
      <c r="K531" s="7" cm="1">
        <f t="array" ref="K531">INDEX(Sm,G531)</f>
        <v>-3.0765710709001954</v>
      </c>
      <c r="L531" s="7">
        <f t="shared" si="35"/>
        <v>366.41293523175557</v>
      </c>
      <c r="M531" s="7">
        <f t="shared" si="36"/>
        <v>4.2870647682444201</v>
      </c>
    </row>
    <row r="532" spans="6:13" ht="18.75" customHeight="1">
      <c r="F532" s="1">
        <v>37530</v>
      </c>
      <c r="G532">
        <f t="shared" si="33"/>
        <v>10</v>
      </c>
      <c r="H532" s="7">
        <v>370.25</v>
      </c>
      <c r="I532" s="7">
        <f>_B*F532+_C</f>
        <v>369.59826393002027</v>
      </c>
      <c r="J532" s="7">
        <f t="shared" si="34"/>
        <v>0.65173606997973366</v>
      </c>
      <c r="K532" s="7" cm="1">
        <f t="array" ref="K532">INDEX(Sm,G532)</f>
        <v>-3.3570000579572215</v>
      </c>
      <c r="L532" s="7">
        <f t="shared" si="35"/>
        <v>366.24126387206303</v>
      </c>
      <c r="M532" s="7">
        <f t="shared" si="36"/>
        <v>4.0087361279369702</v>
      </c>
    </row>
    <row r="533" spans="6:13" ht="18.75" customHeight="1">
      <c r="F533" s="1">
        <v>37561</v>
      </c>
      <c r="G533">
        <f t="shared" si="33"/>
        <v>11</v>
      </c>
      <c r="H533" s="7">
        <v>372.08</v>
      </c>
      <c r="I533" s="7">
        <f>_B*F533+_C</f>
        <v>369.71064681163023</v>
      </c>
      <c r="J533" s="7">
        <f t="shared" si="34"/>
        <v>2.3693531883697574</v>
      </c>
      <c r="K533" s="7" cm="1">
        <f t="array" ref="K533">INDEX(Sm,G533)</f>
        <v>-2.069140151303194</v>
      </c>
      <c r="L533" s="7">
        <f t="shared" si="35"/>
        <v>367.64150666032702</v>
      </c>
      <c r="M533" s="7">
        <f t="shared" si="36"/>
        <v>4.4384933396729593</v>
      </c>
    </row>
    <row r="534" spans="6:13" ht="18.75" customHeight="1">
      <c r="F534" s="1">
        <v>37591</v>
      </c>
      <c r="G534">
        <f t="shared" si="33"/>
        <v>12</v>
      </c>
      <c r="H534" s="7">
        <v>373.78</v>
      </c>
      <c r="I534" s="7">
        <f>_B*F534+_C</f>
        <v>369.81940443899464</v>
      </c>
      <c r="J534" s="7">
        <f t="shared" si="34"/>
        <v>3.9605955610053343</v>
      </c>
      <c r="K534" s="7" cm="1">
        <f t="array" ref="K534">INDEX(Sm,G534)</f>
        <v>-0.94051682628672428</v>
      </c>
      <c r="L534" s="7">
        <f t="shared" si="35"/>
        <v>368.8788876127079</v>
      </c>
      <c r="M534" s="7">
        <f t="shared" si="36"/>
        <v>4.9011123872920734</v>
      </c>
    </row>
    <row r="535" spans="6:13" ht="18.75" customHeight="1">
      <c r="F535" s="1">
        <v>37622</v>
      </c>
      <c r="G535">
        <f t="shared" si="33"/>
        <v>1</v>
      </c>
      <c r="H535" s="7">
        <v>374.68</v>
      </c>
      <c r="I535" s="7">
        <f>_B*F535+_C</f>
        <v>369.9317873206046</v>
      </c>
      <c r="J535" s="7">
        <f t="shared" si="34"/>
        <v>4.748212679395408</v>
      </c>
      <c r="K535" s="7" cm="1">
        <f t="array" ref="K535">INDEX(Sm,G535)</f>
        <v>-2.6471136468108808E-2</v>
      </c>
      <c r="L535" s="7">
        <f t="shared" si="35"/>
        <v>369.9053161841365</v>
      </c>
      <c r="M535" s="7">
        <f t="shared" si="36"/>
        <v>4.7746838158635114</v>
      </c>
    </row>
    <row r="536" spans="6:13" ht="18.75" customHeight="1">
      <c r="F536" s="1">
        <v>37653</v>
      </c>
      <c r="G536">
        <f t="shared" si="33"/>
        <v>2</v>
      </c>
      <c r="H536" s="7">
        <v>375.62</v>
      </c>
      <c r="I536" s="7">
        <f>_B*F536+_C</f>
        <v>370.04417020221456</v>
      </c>
      <c r="J536" s="7">
        <f t="shared" si="34"/>
        <v>5.5758297977854454</v>
      </c>
      <c r="K536" s="7" cm="1">
        <f t="array" ref="K536">INDEX(Sm,G536)</f>
        <v>0.58733060283015548</v>
      </c>
      <c r="L536" s="7">
        <f t="shared" si="35"/>
        <v>370.63150080504471</v>
      </c>
      <c r="M536" s="7">
        <f t="shared" si="36"/>
        <v>4.9884991949552955</v>
      </c>
    </row>
    <row r="537" spans="6:13" ht="18.75" customHeight="1">
      <c r="F537" s="1">
        <v>37681</v>
      </c>
      <c r="G537">
        <f t="shared" si="33"/>
        <v>3</v>
      </c>
      <c r="H537" s="7">
        <v>376.11</v>
      </c>
      <c r="I537" s="7">
        <f>_B*F537+_C</f>
        <v>370.1456773210881</v>
      </c>
      <c r="J537" s="7">
        <f t="shared" si="34"/>
        <v>5.9643226789119126</v>
      </c>
      <c r="K537" s="7" cm="1">
        <f t="array" ref="K537">INDEX(Sm,G537)</f>
        <v>1.4390836132721692</v>
      </c>
      <c r="L537" s="7">
        <f t="shared" si="35"/>
        <v>371.58476093436025</v>
      </c>
      <c r="M537" s="7">
        <f t="shared" si="36"/>
        <v>4.5252390656397665</v>
      </c>
    </row>
    <row r="538" spans="6:13" ht="18.75" customHeight="1">
      <c r="F538" s="1">
        <v>37712</v>
      </c>
      <c r="G538">
        <f t="shared" si="33"/>
        <v>4</v>
      </c>
      <c r="H538" s="7">
        <v>377.65</v>
      </c>
      <c r="I538" s="7">
        <f>_B*F538+_C</f>
        <v>370.25806020269806</v>
      </c>
      <c r="J538" s="7">
        <f t="shared" si="34"/>
        <v>7.3919397973019159</v>
      </c>
      <c r="K538" s="7" cm="1">
        <f t="array" ref="K538">INDEX(Sm,G538)</f>
        <v>2.6009864459479211</v>
      </c>
      <c r="L538" s="7">
        <f t="shared" si="35"/>
        <v>372.85904664864597</v>
      </c>
      <c r="M538" s="7">
        <f t="shared" si="36"/>
        <v>4.7909533513540055</v>
      </c>
    </row>
    <row r="539" spans="6:13" ht="18.75" customHeight="1">
      <c r="F539" s="1">
        <v>37742</v>
      </c>
      <c r="G539">
        <f t="shared" si="33"/>
        <v>5</v>
      </c>
      <c r="H539" s="7">
        <v>378.35</v>
      </c>
      <c r="I539" s="7">
        <f>_B*F539+_C</f>
        <v>370.36681783006259</v>
      </c>
      <c r="J539" s="7">
        <f t="shared" si="34"/>
        <v>7.9831821699374359</v>
      </c>
      <c r="K539" s="7" cm="1">
        <f t="array" ref="K539">INDEX(Sm,G539)</f>
        <v>2.9998113917703657</v>
      </c>
      <c r="L539" s="7">
        <f t="shared" si="35"/>
        <v>373.36662922183297</v>
      </c>
      <c r="M539" s="7">
        <f t="shared" si="36"/>
        <v>4.9833707781670569</v>
      </c>
    </row>
    <row r="540" spans="6:13" ht="18.75" customHeight="1">
      <c r="F540" s="1">
        <v>37773</v>
      </c>
      <c r="G540">
        <f t="shared" si="33"/>
        <v>6</v>
      </c>
      <c r="H540" s="7">
        <v>378.13</v>
      </c>
      <c r="I540" s="7">
        <f>_B*F540+_C</f>
        <v>370.47920071167255</v>
      </c>
      <c r="J540" s="7">
        <f t="shared" si="34"/>
        <v>7.6507992883274483</v>
      </c>
      <c r="K540" s="7" cm="1">
        <f t="array" ref="K540">INDEX(Sm,G540)</f>
        <v>2.2382077892599441</v>
      </c>
      <c r="L540" s="7">
        <f t="shared" si="35"/>
        <v>372.71740850093249</v>
      </c>
      <c r="M540" s="7">
        <f t="shared" si="36"/>
        <v>5.4125914990675028</v>
      </c>
    </row>
    <row r="541" spans="6:13" ht="18.75" customHeight="1">
      <c r="F541" s="1">
        <v>37803</v>
      </c>
      <c r="G541">
        <f t="shared" si="33"/>
        <v>7</v>
      </c>
      <c r="H541" s="7">
        <v>376.6</v>
      </c>
      <c r="I541" s="7">
        <f>_B*F541+_C</f>
        <v>370.58795833903696</v>
      </c>
      <c r="J541" s="7">
        <f t="shared" si="34"/>
        <v>6.0120416609630638</v>
      </c>
      <c r="K541" s="7" cm="1">
        <f t="array" ref="K541">INDEX(Sm,G541)</f>
        <v>0.82390897803401641</v>
      </c>
      <c r="L541" s="7">
        <f t="shared" si="35"/>
        <v>371.41186731707097</v>
      </c>
      <c r="M541" s="7">
        <f t="shared" si="36"/>
        <v>5.1881326829290515</v>
      </c>
    </row>
    <row r="542" spans="6:13" ht="18.75" customHeight="1">
      <c r="F542" s="1">
        <v>37834</v>
      </c>
      <c r="G542">
        <f t="shared" si="33"/>
        <v>8</v>
      </c>
      <c r="H542" s="7">
        <v>374.48</v>
      </c>
      <c r="I542" s="7">
        <f>_B*F542+_C</f>
        <v>370.70034122064692</v>
      </c>
      <c r="J542" s="7">
        <f t="shared" si="34"/>
        <v>3.7796587793530989</v>
      </c>
      <c r="K542" s="7" cm="1">
        <f t="array" ref="K542">INDEX(Sm,G542)</f>
        <v>-1.2322834273854675</v>
      </c>
      <c r="L542" s="7">
        <f t="shared" si="35"/>
        <v>369.46805779326144</v>
      </c>
      <c r="M542" s="7">
        <f t="shared" si="36"/>
        <v>5.0119422067385813</v>
      </c>
    </row>
    <row r="543" spans="6:13" ht="18.75" customHeight="1">
      <c r="F543" s="1">
        <v>37865</v>
      </c>
      <c r="G543">
        <f t="shared" si="33"/>
        <v>9</v>
      </c>
      <c r="H543" s="7">
        <v>372.98</v>
      </c>
      <c r="I543" s="7">
        <f>_B*F543+_C</f>
        <v>370.81272410225688</v>
      </c>
      <c r="J543" s="7">
        <f t="shared" si="34"/>
        <v>2.1672758977431386</v>
      </c>
      <c r="K543" s="7" cm="1">
        <f t="array" ref="K543">INDEX(Sm,G543)</f>
        <v>-3.0765710709001954</v>
      </c>
      <c r="L543" s="7">
        <f t="shared" si="35"/>
        <v>367.73615303135671</v>
      </c>
      <c r="M543" s="7">
        <f t="shared" si="36"/>
        <v>5.2438469686433109</v>
      </c>
    </row>
    <row r="544" spans="6:13" ht="18.75" customHeight="1">
      <c r="F544" s="1">
        <v>37895</v>
      </c>
      <c r="G544">
        <f t="shared" si="33"/>
        <v>10</v>
      </c>
      <c r="H544" s="7">
        <v>373</v>
      </c>
      <c r="I544" s="7">
        <f>_B*F544+_C</f>
        <v>370.92148172962141</v>
      </c>
      <c r="J544" s="7">
        <f t="shared" si="34"/>
        <v>2.0785182703785949</v>
      </c>
      <c r="K544" s="7" cm="1">
        <f t="array" ref="K544">INDEX(Sm,G544)</f>
        <v>-3.3570000579572215</v>
      </c>
      <c r="L544" s="7">
        <f t="shared" si="35"/>
        <v>367.56448167166417</v>
      </c>
      <c r="M544" s="7">
        <f t="shared" si="36"/>
        <v>5.4355183283358315</v>
      </c>
    </row>
    <row r="545" spans="6:13" ht="18.75" customHeight="1">
      <c r="F545" s="1">
        <v>37926</v>
      </c>
      <c r="G545">
        <f t="shared" si="33"/>
        <v>11</v>
      </c>
      <c r="H545" s="7">
        <v>374.35</v>
      </c>
      <c r="I545" s="7">
        <f>_B*F545+_C</f>
        <v>371.03386461123137</v>
      </c>
      <c r="J545" s="7">
        <f t="shared" si="34"/>
        <v>3.3161353887686573</v>
      </c>
      <c r="K545" s="7" cm="1">
        <f t="array" ref="K545">INDEX(Sm,G545)</f>
        <v>-2.069140151303194</v>
      </c>
      <c r="L545" s="7">
        <f t="shared" si="35"/>
        <v>368.96472445992816</v>
      </c>
      <c r="M545" s="7">
        <f t="shared" si="36"/>
        <v>5.3852755400718593</v>
      </c>
    </row>
    <row r="546" spans="6:13" ht="18.75" customHeight="1">
      <c r="F546" s="1">
        <v>37956</v>
      </c>
      <c r="G546">
        <f t="shared" si="33"/>
        <v>12</v>
      </c>
      <c r="H546" s="7">
        <v>375.69</v>
      </c>
      <c r="I546" s="7">
        <f>_B*F546+_C</f>
        <v>371.14262223859583</v>
      </c>
      <c r="J546" s="7">
        <f t="shared" si="34"/>
        <v>4.5473777614041637</v>
      </c>
      <c r="K546" s="7" cm="1">
        <f t="array" ref="K546">INDEX(Sm,G546)</f>
        <v>-0.94051682628672428</v>
      </c>
      <c r="L546" s="7">
        <f t="shared" si="35"/>
        <v>370.20210541230909</v>
      </c>
      <c r="M546" s="7">
        <f t="shared" si="36"/>
        <v>5.4878945876909029</v>
      </c>
    </row>
    <row r="547" spans="6:13" ht="18.75" customHeight="1">
      <c r="F547" s="1">
        <v>37987</v>
      </c>
      <c r="G547">
        <f t="shared" si="33"/>
        <v>1</v>
      </c>
      <c r="H547" s="7">
        <v>376.79</v>
      </c>
      <c r="I547" s="7">
        <f>_B*F547+_C</f>
        <v>371.25500512020579</v>
      </c>
      <c r="J547" s="7">
        <f t="shared" si="34"/>
        <v>5.5349948797942261</v>
      </c>
      <c r="K547" s="7" cm="1">
        <f t="array" ref="K547">INDEX(Sm,G547)</f>
        <v>-2.6471136468108808E-2</v>
      </c>
      <c r="L547" s="7">
        <f t="shared" si="35"/>
        <v>371.22853398373769</v>
      </c>
      <c r="M547" s="7">
        <f t="shared" si="36"/>
        <v>5.5614660162623295</v>
      </c>
    </row>
    <row r="548" spans="6:13" ht="18.75" customHeight="1">
      <c r="F548" s="1">
        <v>38018</v>
      </c>
      <c r="G548">
        <f t="shared" si="33"/>
        <v>2</v>
      </c>
      <c r="H548" s="7">
        <v>377.37</v>
      </c>
      <c r="I548" s="7">
        <f>_B*F548+_C</f>
        <v>371.36738800181575</v>
      </c>
      <c r="J548" s="7">
        <f t="shared" si="34"/>
        <v>6.0026119981842498</v>
      </c>
      <c r="K548" s="7" cm="1">
        <f t="array" ref="K548">INDEX(Sm,G548)</f>
        <v>0.58733060283015548</v>
      </c>
      <c r="L548" s="7">
        <f t="shared" si="35"/>
        <v>371.9547186046459</v>
      </c>
      <c r="M548" s="7">
        <f t="shared" si="36"/>
        <v>5.4152813953540999</v>
      </c>
    </row>
    <row r="549" spans="6:13" ht="18.75" customHeight="1">
      <c r="F549" s="1">
        <v>38047</v>
      </c>
      <c r="G549">
        <f t="shared" si="33"/>
        <v>3</v>
      </c>
      <c r="H549" s="7">
        <v>378.39</v>
      </c>
      <c r="I549" s="7">
        <f>_B*F549+_C</f>
        <v>371.47252037493473</v>
      </c>
      <c r="J549" s="7">
        <f t="shared" si="34"/>
        <v>6.9174796250652548</v>
      </c>
      <c r="K549" s="7" cm="1">
        <f t="array" ref="K549">INDEX(Sm,G549)</f>
        <v>1.4390836132721692</v>
      </c>
      <c r="L549" s="7">
        <f t="shared" si="35"/>
        <v>372.91160398820688</v>
      </c>
      <c r="M549" s="7">
        <f t="shared" si="36"/>
        <v>5.4783960117931088</v>
      </c>
    </row>
    <row r="550" spans="6:13" ht="18.75" customHeight="1">
      <c r="F550" s="1">
        <v>38078</v>
      </c>
      <c r="G550">
        <f t="shared" si="33"/>
        <v>4</v>
      </c>
      <c r="H550" s="7">
        <v>380.5</v>
      </c>
      <c r="I550" s="7">
        <f>_B*F550+_C</f>
        <v>371.58490325654469</v>
      </c>
      <c r="J550" s="7">
        <f t="shared" si="34"/>
        <v>8.9150967434553081</v>
      </c>
      <c r="K550" s="7" cm="1">
        <f t="array" ref="K550">INDEX(Sm,G550)</f>
        <v>2.6009864459479211</v>
      </c>
      <c r="L550" s="7">
        <f t="shared" si="35"/>
        <v>374.1858897024926</v>
      </c>
      <c r="M550" s="7">
        <f t="shared" si="36"/>
        <v>6.3141102975073977</v>
      </c>
    </row>
    <row r="551" spans="6:13" ht="18.75" customHeight="1">
      <c r="F551" s="1">
        <v>38108</v>
      </c>
      <c r="G551">
        <f t="shared" si="33"/>
        <v>5</v>
      </c>
      <c r="H551" s="7">
        <v>380.62</v>
      </c>
      <c r="I551" s="7">
        <f>_B*F551+_C</f>
        <v>371.69366088390916</v>
      </c>
      <c r="J551" s="7">
        <f t="shared" si="34"/>
        <v>8.9263391160908441</v>
      </c>
      <c r="K551" s="7" cm="1">
        <f t="array" ref="K551">INDEX(Sm,G551)</f>
        <v>2.9998113917703657</v>
      </c>
      <c r="L551" s="7">
        <f t="shared" si="35"/>
        <v>374.69347227567954</v>
      </c>
      <c r="M551" s="7">
        <f t="shared" si="36"/>
        <v>5.926527724320465</v>
      </c>
    </row>
    <row r="552" spans="6:13" ht="18.75" customHeight="1">
      <c r="F552" s="1">
        <v>38139</v>
      </c>
      <c r="G552">
        <f t="shared" si="33"/>
        <v>6</v>
      </c>
      <c r="H552" s="7">
        <v>379.55</v>
      </c>
      <c r="I552" s="7">
        <f>_B*F552+_C</f>
        <v>371.80604376551912</v>
      </c>
      <c r="J552" s="7">
        <f t="shared" si="34"/>
        <v>7.7439562344808905</v>
      </c>
      <c r="K552" s="7" cm="1">
        <f t="array" ref="K552">INDEX(Sm,G552)</f>
        <v>2.2382077892599441</v>
      </c>
      <c r="L552" s="7">
        <f t="shared" si="35"/>
        <v>374.04425155477907</v>
      </c>
      <c r="M552" s="7">
        <f t="shared" si="36"/>
        <v>5.5057484452209451</v>
      </c>
    </row>
    <row r="553" spans="6:13" ht="18.75" customHeight="1">
      <c r="F553" s="1">
        <v>38169</v>
      </c>
      <c r="G553">
        <f t="shared" si="33"/>
        <v>7</v>
      </c>
      <c r="H553" s="7">
        <v>377.76</v>
      </c>
      <c r="I553" s="7">
        <f>_B*F553+_C</f>
        <v>371.91480139288365</v>
      </c>
      <c r="J553" s="7">
        <f t="shared" si="34"/>
        <v>5.8451986071163446</v>
      </c>
      <c r="K553" s="7" cm="1">
        <f t="array" ref="K553">INDEX(Sm,G553)</f>
        <v>0.82390897803401641</v>
      </c>
      <c r="L553" s="7">
        <f t="shared" si="35"/>
        <v>372.73871037091766</v>
      </c>
      <c r="M553" s="7">
        <f t="shared" si="36"/>
        <v>5.0212896290823323</v>
      </c>
    </row>
    <row r="554" spans="6:13" ht="18.75" customHeight="1">
      <c r="F554" s="1">
        <v>38200</v>
      </c>
      <c r="G554">
        <f t="shared" si="33"/>
        <v>8</v>
      </c>
      <c r="H554" s="7">
        <v>375.83</v>
      </c>
      <c r="I554" s="7">
        <f>_B*F554+_C</f>
        <v>372.02718427449361</v>
      </c>
      <c r="J554" s="7">
        <f t="shared" si="34"/>
        <v>3.8028157255063775</v>
      </c>
      <c r="K554" s="7" cm="1">
        <f t="array" ref="K554">INDEX(Sm,G554)</f>
        <v>-1.2322834273854675</v>
      </c>
      <c r="L554" s="7">
        <f t="shared" si="35"/>
        <v>370.79490084710812</v>
      </c>
      <c r="M554" s="7">
        <f t="shared" si="36"/>
        <v>5.0350991528918598</v>
      </c>
    </row>
    <row r="555" spans="6:13" ht="18.75" customHeight="1">
      <c r="F555" s="1">
        <v>38231</v>
      </c>
      <c r="G555">
        <f t="shared" si="33"/>
        <v>9</v>
      </c>
      <c r="H555" s="7">
        <v>374.05</v>
      </c>
      <c r="I555" s="7">
        <f>_B*F555+_C</f>
        <v>372.13956715610357</v>
      </c>
      <c r="J555" s="7">
        <f t="shared" si="34"/>
        <v>1.9104328438964444</v>
      </c>
      <c r="K555" s="7" cm="1">
        <f t="array" ref="K555">INDEX(Sm,G555)</f>
        <v>-3.0765710709001954</v>
      </c>
      <c r="L555" s="7">
        <f t="shared" si="35"/>
        <v>369.06299608520339</v>
      </c>
      <c r="M555" s="7">
        <f t="shared" si="36"/>
        <v>4.9870039147966168</v>
      </c>
    </row>
    <row r="556" spans="6:13" ht="18.75" customHeight="1">
      <c r="F556" s="1">
        <v>38261</v>
      </c>
      <c r="G556">
        <f t="shared" si="33"/>
        <v>10</v>
      </c>
      <c r="H556" s="7">
        <v>374.22</v>
      </c>
      <c r="I556" s="7">
        <f>_B*F556+_C</f>
        <v>372.24832478346798</v>
      </c>
      <c r="J556" s="7">
        <f t="shared" si="34"/>
        <v>1.9716752165320486</v>
      </c>
      <c r="K556" s="7" cm="1">
        <f t="array" ref="K556">INDEX(Sm,G556)</f>
        <v>-3.3570000579572215</v>
      </c>
      <c r="L556" s="7">
        <f t="shared" si="35"/>
        <v>368.89132472551074</v>
      </c>
      <c r="M556" s="7">
        <f t="shared" si="36"/>
        <v>5.3286752744892851</v>
      </c>
    </row>
    <row r="557" spans="6:13" ht="18.75" customHeight="1">
      <c r="F557" s="1">
        <v>38292</v>
      </c>
      <c r="G557">
        <f t="shared" si="33"/>
        <v>11</v>
      </c>
      <c r="H557" s="7">
        <v>375.84</v>
      </c>
      <c r="I557" s="7">
        <f>_B*F557+_C</f>
        <v>372.36070766507794</v>
      </c>
      <c r="J557" s="7">
        <f t="shared" si="34"/>
        <v>3.4792923349220359</v>
      </c>
      <c r="K557" s="7" cm="1">
        <f t="array" ref="K557">INDEX(Sm,G557)</f>
        <v>-2.069140151303194</v>
      </c>
      <c r="L557" s="7">
        <f t="shared" si="35"/>
        <v>370.29156751377474</v>
      </c>
      <c r="M557" s="7">
        <f t="shared" si="36"/>
        <v>5.5484324862252379</v>
      </c>
    </row>
    <row r="558" spans="6:13" ht="18.75" customHeight="1">
      <c r="F558" s="1">
        <v>38322</v>
      </c>
      <c r="G558">
        <f t="shared" si="33"/>
        <v>12</v>
      </c>
      <c r="H558" s="7">
        <v>377.44</v>
      </c>
      <c r="I558" s="7">
        <f>_B*F558+_C</f>
        <v>372.46946529244246</v>
      </c>
      <c r="J558" s="7">
        <f t="shared" si="34"/>
        <v>4.9705347075575332</v>
      </c>
      <c r="K558" s="7" cm="1">
        <f t="array" ref="K558">INDEX(Sm,G558)</f>
        <v>-0.94051682628672428</v>
      </c>
      <c r="L558" s="7">
        <f t="shared" si="35"/>
        <v>371.52894846615573</v>
      </c>
      <c r="M558" s="7">
        <f t="shared" si="36"/>
        <v>5.9110515338442724</v>
      </c>
    </row>
    <row r="559" spans="6:13" ht="18.75" customHeight="1">
      <c r="F559" s="1">
        <v>38353</v>
      </c>
      <c r="G559">
        <f t="shared" si="33"/>
        <v>1</v>
      </c>
      <c r="H559" s="7">
        <v>378.34</v>
      </c>
      <c r="I559" s="7">
        <f>_B*F559+_C</f>
        <v>372.58184817405242</v>
      </c>
      <c r="J559" s="7">
        <f t="shared" si="34"/>
        <v>5.7581518259475502</v>
      </c>
      <c r="K559" s="7" cm="1">
        <f t="array" ref="K559">INDEX(Sm,G559)</f>
        <v>-2.6471136468108808E-2</v>
      </c>
      <c r="L559" s="7">
        <f t="shared" si="35"/>
        <v>372.55537703758432</v>
      </c>
      <c r="M559" s="7">
        <f t="shared" si="36"/>
        <v>5.7846229624156535</v>
      </c>
    </row>
    <row r="560" spans="6:13" ht="18.75" customHeight="1">
      <c r="F560" s="1">
        <v>38384</v>
      </c>
      <c r="G560">
        <f t="shared" si="33"/>
        <v>2</v>
      </c>
      <c r="H560" s="7">
        <v>379.61</v>
      </c>
      <c r="I560" s="7">
        <f>_B*F560+_C</f>
        <v>372.69423105566239</v>
      </c>
      <c r="J560" s="7">
        <f t="shared" si="34"/>
        <v>6.9157689443376285</v>
      </c>
      <c r="K560" s="7" cm="1">
        <f t="array" ref="K560">INDEX(Sm,G560)</f>
        <v>0.58733060283015548</v>
      </c>
      <c r="L560" s="7">
        <f t="shared" si="35"/>
        <v>373.28156165849254</v>
      </c>
      <c r="M560" s="7">
        <f t="shared" si="36"/>
        <v>6.3284383415074785</v>
      </c>
    </row>
    <row r="561" spans="6:13" ht="18.75" customHeight="1">
      <c r="F561" s="1">
        <v>38412</v>
      </c>
      <c r="G561">
        <f t="shared" si="33"/>
        <v>3</v>
      </c>
      <c r="H561" s="7">
        <v>380.08</v>
      </c>
      <c r="I561" s="7">
        <f>_B*F561+_C</f>
        <v>372.79573817453587</v>
      </c>
      <c r="J561" s="7">
        <f t="shared" si="34"/>
        <v>7.2842618254641138</v>
      </c>
      <c r="K561" s="7" cm="1">
        <f t="array" ref="K561">INDEX(Sm,G561)</f>
        <v>1.4390836132721692</v>
      </c>
      <c r="L561" s="7">
        <f t="shared" si="35"/>
        <v>374.23482178780802</v>
      </c>
      <c r="M561" s="7">
        <f t="shared" si="36"/>
        <v>5.8451782121919678</v>
      </c>
    </row>
    <row r="562" spans="6:13" ht="18.75" customHeight="1">
      <c r="F562" s="1">
        <v>38443</v>
      </c>
      <c r="G562">
        <f t="shared" si="33"/>
        <v>4</v>
      </c>
      <c r="H562" s="7">
        <v>382.05</v>
      </c>
      <c r="I562" s="7">
        <f>_B*F562+_C</f>
        <v>372.90812105614583</v>
      </c>
      <c r="J562" s="7">
        <f t="shared" si="34"/>
        <v>9.1418789438541808</v>
      </c>
      <c r="K562" s="7" cm="1">
        <f t="array" ref="K562">INDEX(Sm,G562)</f>
        <v>2.6009864459479211</v>
      </c>
      <c r="L562" s="7">
        <f t="shared" si="35"/>
        <v>375.50910750209374</v>
      </c>
      <c r="M562" s="7">
        <f t="shared" si="36"/>
        <v>6.5408924979062704</v>
      </c>
    </row>
    <row r="563" spans="6:13" ht="18.75" customHeight="1">
      <c r="F563" s="1">
        <v>38473</v>
      </c>
      <c r="G563">
        <f t="shared" si="33"/>
        <v>5</v>
      </c>
      <c r="H563" s="7">
        <v>382.24</v>
      </c>
      <c r="I563" s="7">
        <f>_B*F563+_C</f>
        <v>373.0168786835103</v>
      </c>
      <c r="J563" s="7">
        <f t="shared" si="34"/>
        <v>9.2231213164897099</v>
      </c>
      <c r="K563" s="7" cm="1">
        <f t="array" ref="K563">INDEX(Sm,G563)</f>
        <v>2.9998113917703657</v>
      </c>
      <c r="L563" s="7">
        <f t="shared" si="35"/>
        <v>376.01669007528068</v>
      </c>
      <c r="M563" s="7">
        <f t="shared" si="36"/>
        <v>6.2233099247193309</v>
      </c>
    </row>
    <row r="564" spans="6:13" ht="18.75" customHeight="1">
      <c r="F564" s="1">
        <v>38504</v>
      </c>
      <c r="G564">
        <f t="shared" si="33"/>
        <v>6</v>
      </c>
      <c r="H564" s="7">
        <v>382.08</v>
      </c>
      <c r="I564" s="7">
        <f>_B*F564+_C</f>
        <v>373.12926156512026</v>
      </c>
      <c r="J564" s="7">
        <f t="shared" si="34"/>
        <v>8.9507384348797245</v>
      </c>
      <c r="K564" s="7" cm="1">
        <f t="array" ref="K564">INDEX(Sm,G564)</f>
        <v>2.2382077892599441</v>
      </c>
      <c r="L564" s="7">
        <f t="shared" si="35"/>
        <v>375.36746935438021</v>
      </c>
      <c r="M564" s="7">
        <f t="shared" si="36"/>
        <v>6.7125306456197791</v>
      </c>
    </row>
    <row r="565" spans="6:13" ht="18.75" customHeight="1">
      <c r="F565" s="1">
        <v>38534</v>
      </c>
      <c r="G565">
        <f t="shared" si="33"/>
        <v>7</v>
      </c>
      <c r="H565" s="7">
        <v>380.66</v>
      </c>
      <c r="I565" s="7">
        <f>_B*F565+_C</f>
        <v>373.23801919248478</v>
      </c>
      <c r="J565" s="7">
        <f t="shared" si="34"/>
        <v>7.42198080751524</v>
      </c>
      <c r="K565" s="7" cm="1">
        <f t="array" ref="K565">INDEX(Sm,G565)</f>
        <v>0.82390897803401641</v>
      </c>
      <c r="L565" s="7">
        <f t="shared" si="35"/>
        <v>374.0619281705188</v>
      </c>
      <c r="M565" s="7">
        <f t="shared" si="36"/>
        <v>6.5980718294812277</v>
      </c>
    </row>
    <row r="566" spans="6:13" ht="18.75" customHeight="1">
      <c r="F566" s="1">
        <v>38565</v>
      </c>
      <c r="G566">
        <f t="shared" si="33"/>
        <v>8</v>
      </c>
      <c r="H566" s="7">
        <v>378.67</v>
      </c>
      <c r="I566" s="7">
        <f>_B*F566+_C</f>
        <v>373.35040207409475</v>
      </c>
      <c r="J566" s="7">
        <f t="shared" si="34"/>
        <v>5.3195979259052706</v>
      </c>
      <c r="K566" s="7" cm="1">
        <f t="array" ref="K566">INDEX(Sm,G566)</f>
        <v>-1.2322834273854675</v>
      </c>
      <c r="L566" s="7">
        <f t="shared" si="35"/>
        <v>372.11811864670926</v>
      </c>
      <c r="M566" s="7">
        <f t="shared" si="36"/>
        <v>6.5518813532907529</v>
      </c>
    </row>
    <row r="567" spans="6:13" ht="18.75" customHeight="1">
      <c r="F567" s="1">
        <v>38596</v>
      </c>
      <c r="G567">
        <f t="shared" si="33"/>
        <v>9</v>
      </c>
      <c r="H567" s="7">
        <v>376.42</v>
      </c>
      <c r="I567" s="7">
        <f>_B*F567+_C</f>
        <v>373.46278495570471</v>
      </c>
      <c r="J567" s="7">
        <f t="shared" si="34"/>
        <v>2.9572150442953102</v>
      </c>
      <c r="K567" s="7" cm="1">
        <f t="array" ref="K567">INDEX(Sm,G567)</f>
        <v>-3.0765710709001954</v>
      </c>
      <c r="L567" s="7">
        <f t="shared" si="35"/>
        <v>370.38621388480453</v>
      </c>
      <c r="M567" s="7">
        <f t="shared" si="36"/>
        <v>6.0337861151954826</v>
      </c>
    </row>
    <row r="568" spans="6:13" ht="18.75" customHeight="1">
      <c r="F568" s="1">
        <v>38626</v>
      </c>
      <c r="G568">
        <f t="shared" si="33"/>
        <v>10</v>
      </c>
      <c r="H568" s="7">
        <v>376.8</v>
      </c>
      <c r="I568" s="7">
        <f>_B*F568+_C</f>
        <v>373.57154258306912</v>
      </c>
      <c r="J568" s="7">
        <f t="shared" si="34"/>
        <v>3.2284574169308939</v>
      </c>
      <c r="K568" s="7" cm="1">
        <f t="array" ref="K568">INDEX(Sm,G568)</f>
        <v>-3.3570000579572215</v>
      </c>
      <c r="L568" s="7">
        <f t="shared" si="35"/>
        <v>370.21454252511188</v>
      </c>
      <c r="M568" s="7">
        <f t="shared" si="36"/>
        <v>6.5854574748881305</v>
      </c>
    </row>
    <row r="569" spans="6:13" ht="18.75" customHeight="1">
      <c r="F569" s="1">
        <v>38657</v>
      </c>
      <c r="G569">
        <f t="shared" si="33"/>
        <v>11</v>
      </c>
      <c r="H569" s="7">
        <v>378.31</v>
      </c>
      <c r="I569" s="7">
        <f>_B*F569+_C</f>
        <v>373.68392546467908</v>
      </c>
      <c r="J569" s="7">
        <f t="shared" si="34"/>
        <v>4.6260745353209245</v>
      </c>
      <c r="K569" s="7" cm="1">
        <f t="array" ref="K569">INDEX(Sm,G569)</f>
        <v>-2.069140151303194</v>
      </c>
      <c r="L569" s="7">
        <f t="shared" si="35"/>
        <v>371.61478531337588</v>
      </c>
      <c r="M569" s="7">
        <f t="shared" si="36"/>
        <v>6.6952146866241264</v>
      </c>
    </row>
    <row r="570" spans="6:13" ht="18.75" customHeight="1">
      <c r="F570" s="1">
        <v>38687</v>
      </c>
      <c r="G570">
        <f t="shared" si="33"/>
        <v>12</v>
      </c>
      <c r="H570" s="7">
        <v>379.96</v>
      </c>
      <c r="I570" s="7">
        <f>_B*F570+_C</f>
        <v>373.7926830920436</v>
      </c>
      <c r="J570" s="7">
        <f t="shared" si="34"/>
        <v>6.1673169079563763</v>
      </c>
      <c r="K570" s="7" cm="1">
        <f t="array" ref="K570">INDEX(Sm,G570)</f>
        <v>-0.94051682628672428</v>
      </c>
      <c r="L570" s="7">
        <f t="shared" si="35"/>
        <v>372.85216626575686</v>
      </c>
      <c r="M570" s="7">
        <f t="shared" si="36"/>
        <v>7.1078337342431155</v>
      </c>
    </row>
    <row r="571" spans="6:13" ht="18.75" customHeight="1">
      <c r="F571" s="1">
        <v>38718</v>
      </c>
      <c r="G571">
        <f t="shared" si="33"/>
        <v>1</v>
      </c>
      <c r="H571" s="7">
        <v>381.37</v>
      </c>
      <c r="I571" s="7">
        <f>_B*F571+_C</f>
        <v>373.90506597365356</v>
      </c>
      <c r="J571" s="7">
        <f t="shared" si="34"/>
        <v>7.464934026346441</v>
      </c>
      <c r="K571" s="7" cm="1">
        <f t="array" ref="K571">INDEX(Sm,G571)</f>
        <v>-2.6471136468108808E-2</v>
      </c>
      <c r="L571" s="7">
        <f t="shared" si="35"/>
        <v>373.87859483718546</v>
      </c>
      <c r="M571" s="7">
        <f t="shared" si="36"/>
        <v>7.4914051628145444</v>
      </c>
    </row>
    <row r="572" spans="6:13" ht="18.75" customHeight="1">
      <c r="F572" s="1">
        <v>38749</v>
      </c>
      <c r="G572">
        <f t="shared" si="33"/>
        <v>2</v>
      </c>
      <c r="H572" s="7">
        <v>382.02</v>
      </c>
      <c r="I572" s="7">
        <f>_B*F572+_C</f>
        <v>374.01744885526352</v>
      </c>
      <c r="J572" s="7">
        <f t="shared" si="34"/>
        <v>8.0025511447364579</v>
      </c>
      <c r="K572" s="7" cm="1">
        <f t="array" ref="K572">INDEX(Sm,G572)</f>
        <v>0.58733060283015548</v>
      </c>
      <c r="L572" s="7">
        <f t="shared" si="35"/>
        <v>374.60477945809367</v>
      </c>
      <c r="M572" s="7">
        <f t="shared" si="36"/>
        <v>7.415220541906308</v>
      </c>
    </row>
    <row r="573" spans="6:13" ht="18.75" customHeight="1">
      <c r="F573" s="1">
        <v>38777</v>
      </c>
      <c r="G573">
        <f t="shared" si="33"/>
        <v>3</v>
      </c>
      <c r="H573" s="7">
        <v>382.56</v>
      </c>
      <c r="I573" s="7">
        <f>_B*F573+_C</f>
        <v>374.11895597413701</v>
      </c>
      <c r="J573" s="7">
        <f t="shared" si="34"/>
        <v>8.4410440258629933</v>
      </c>
      <c r="K573" s="7" cm="1">
        <f t="array" ref="K573">INDEX(Sm,G573)</f>
        <v>1.4390836132721692</v>
      </c>
      <c r="L573" s="7">
        <f t="shared" si="35"/>
        <v>375.55803958740916</v>
      </c>
      <c r="M573" s="7">
        <f t="shared" si="36"/>
        <v>7.0019604125908472</v>
      </c>
    </row>
    <row r="574" spans="6:13" ht="18.75" customHeight="1">
      <c r="F574" s="1">
        <v>38808</v>
      </c>
      <c r="G574">
        <f t="shared" si="33"/>
        <v>4</v>
      </c>
      <c r="H574" s="7">
        <v>384.36</v>
      </c>
      <c r="I574" s="7">
        <f>_B*F574+_C</f>
        <v>374.23133885574697</v>
      </c>
      <c r="J574" s="7">
        <f t="shared" si="34"/>
        <v>10.128661144253044</v>
      </c>
      <c r="K574" s="7" cm="1">
        <f t="array" ref="K574">INDEX(Sm,G574)</f>
        <v>2.6009864459479211</v>
      </c>
      <c r="L574" s="7">
        <f t="shared" si="35"/>
        <v>376.83232530169488</v>
      </c>
      <c r="M574" s="7">
        <f t="shared" si="36"/>
        <v>7.5276746983051339</v>
      </c>
    </row>
    <row r="575" spans="6:13" ht="18.75" customHeight="1">
      <c r="F575" s="1">
        <v>38838</v>
      </c>
      <c r="G575">
        <f t="shared" si="33"/>
        <v>5</v>
      </c>
      <c r="H575" s="7">
        <v>384.92</v>
      </c>
      <c r="I575" s="7">
        <f>_B*F575+_C</f>
        <v>374.34009648311144</v>
      </c>
      <c r="J575" s="7">
        <f t="shared" si="34"/>
        <v>10.579903516888578</v>
      </c>
      <c r="K575" s="7" cm="1">
        <f t="array" ref="K575">INDEX(Sm,G575)</f>
        <v>2.9998113917703657</v>
      </c>
      <c r="L575" s="7">
        <f t="shared" si="35"/>
        <v>377.33990787488182</v>
      </c>
      <c r="M575" s="7">
        <f t="shared" si="36"/>
        <v>7.580092125118199</v>
      </c>
    </row>
    <row r="576" spans="6:13" ht="18.75" customHeight="1">
      <c r="F576" s="1">
        <v>38869</v>
      </c>
      <c r="G576">
        <f t="shared" si="33"/>
        <v>6</v>
      </c>
      <c r="H576" s="7">
        <v>384.03</v>
      </c>
      <c r="I576" s="7">
        <f>_B*F576+_C</f>
        <v>374.4524793647214</v>
      </c>
      <c r="J576" s="7">
        <f t="shared" si="34"/>
        <v>9.5775206352785744</v>
      </c>
      <c r="K576" s="7" cm="1">
        <f t="array" ref="K576">INDEX(Sm,G576)</f>
        <v>2.2382077892599441</v>
      </c>
      <c r="L576" s="7">
        <f t="shared" si="35"/>
        <v>376.69068715398134</v>
      </c>
      <c r="M576" s="7">
        <f t="shared" si="36"/>
        <v>7.339312846018629</v>
      </c>
    </row>
    <row r="577" spans="6:13" ht="18.75" customHeight="1">
      <c r="F577" s="1">
        <v>38899</v>
      </c>
      <c r="G577">
        <f t="shared" si="33"/>
        <v>7</v>
      </c>
      <c r="H577" s="7">
        <v>382.28</v>
      </c>
      <c r="I577" s="7">
        <f>_B*F577+_C</f>
        <v>374.56123699208592</v>
      </c>
      <c r="J577" s="7">
        <f t="shared" si="34"/>
        <v>7.718763007914049</v>
      </c>
      <c r="K577" s="7" cm="1">
        <f t="array" ref="K577">INDEX(Sm,G577)</f>
        <v>0.82390897803401641</v>
      </c>
      <c r="L577" s="7">
        <f t="shared" si="35"/>
        <v>375.38514597011994</v>
      </c>
      <c r="M577" s="7">
        <f t="shared" si="36"/>
        <v>6.8948540298800367</v>
      </c>
    </row>
    <row r="578" spans="6:13" ht="18.75" customHeight="1">
      <c r="F578" s="1">
        <v>38930</v>
      </c>
      <c r="G578">
        <f t="shared" si="33"/>
        <v>8</v>
      </c>
      <c r="H578" s="7">
        <v>380.48</v>
      </c>
      <c r="I578" s="7">
        <f>_B*F578+_C</f>
        <v>374.67361987369588</v>
      </c>
      <c r="J578" s="7">
        <f t="shared" si="34"/>
        <v>5.8063801263041341</v>
      </c>
      <c r="K578" s="7" cm="1">
        <f t="array" ref="K578">INDEX(Sm,G578)</f>
        <v>-1.2322834273854675</v>
      </c>
      <c r="L578" s="7">
        <f t="shared" si="35"/>
        <v>373.4413364463104</v>
      </c>
      <c r="M578" s="7">
        <f t="shared" si="36"/>
        <v>7.0386635536896165</v>
      </c>
    </row>
    <row r="579" spans="6:13" ht="18.75" customHeight="1">
      <c r="F579" s="1">
        <v>38961</v>
      </c>
      <c r="G579">
        <f t="shared" ref="G579:G642" si="37">MONTH(F579)</f>
        <v>9</v>
      </c>
      <c r="H579" s="7">
        <v>378.81</v>
      </c>
      <c r="I579" s="7">
        <f>_B*F579+_C</f>
        <v>374.78600275530584</v>
      </c>
      <c r="J579" s="7">
        <f t="shared" ref="J579:J642" si="38">H579-I579</f>
        <v>4.0239972446941579</v>
      </c>
      <c r="K579" s="7" cm="1">
        <f t="array" ref="K579">INDEX(Sm,G579)</f>
        <v>-3.0765710709001954</v>
      </c>
      <c r="L579" s="7">
        <f t="shared" ref="L579:L642" si="39">I579+K579</f>
        <v>371.70943168440567</v>
      </c>
      <c r="M579" s="7">
        <f t="shared" ref="M579:M642" si="40">H579-L579</f>
        <v>7.1005683155943302</v>
      </c>
    </row>
    <row r="580" spans="6:13" ht="18.75" customHeight="1">
      <c r="F580" s="1">
        <v>38991</v>
      </c>
      <c r="G580">
        <f t="shared" si="37"/>
        <v>10</v>
      </c>
      <c r="H580" s="7">
        <v>379.06</v>
      </c>
      <c r="I580" s="7">
        <f>_B*F580+_C</f>
        <v>374.89476038267026</v>
      </c>
      <c r="J580" s="7">
        <f t="shared" si="38"/>
        <v>4.1652396173297461</v>
      </c>
      <c r="K580" s="7" cm="1">
        <f t="array" ref="K580">INDEX(Sm,G580)</f>
        <v>-3.3570000579572215</v>
      </c>
      <c r="L580" s="7">
        <f t="shared" si="39"/>
        <v>371.53776032471302</v>
      </c>
      <c r="M580" s="7">
        <f t="shared" si="40"/>
        <v>7.5222396752869827</v>
      </c>
    </row>
    <row r="581" spans="6:13" ht="18.75" customHeight="1">
      <c r="F581" s="1">
        <v>39022</v>
      </c>
      <c r="G581">
        <f t="shared" si="37"/>
        <v>11</v>
      </c>
      <c r="H581" s="7">
        <v>380.14</v>
      </c>
      <c r="I581" s="7">
        <f>_B*F581+_C</f>
        <v>375.00714326428022</v>
      </c>
      <c r="J581" s="7">
        <f t="shared" si="38"/>
        <v>5.1328567357197699</v>
      </c>
      <c r="K581" s="7" cm="1">
        <f t="array" ref="K581">INDEX(Sm,G581)</f>
        <v>-2.069140151303194</v>
      </c>
      <c r="L581" s="7">
        <f t="shared" si="39"/>
        <v>372.93800311297701</v>
      </c>
      <c r="M581" s="7">
        <f t="shared" si="40"/>
        <v>7.2019968870229718</v>
      </c>
    </row>
    <row r="582" spans="6:13" ht="18.75" customHeight="1">
      <c r="F582" s="1">
        <v>39052</v>
      </c>
      <c r="G582">
        <f t="shared" si="37"/>
        <v>12</v>
      </c>
      <c r="H582" s="7">
        <v>381.66</v>
      </c>
      <c r="I582" s="7">
        <f>_B*F582+_C</f>
        <v>375.11590089164474</v>
      </c>
      <c r="J582" s="7">
        <f t="shared" si="38"/>
        <v>6.5440991083552831</v>
      </c>
      <c r="K582" s="7" cm="1">
        <f t="array" ref="K582">INDEX(Sm,G582)</f>
        <v>-0.94051682628672428</v>
      </c>
      <c r="L582" s="7">
        <f t="shared" si="39"/>
        <v>374.175384065358</v>
      </c>
      <c r="M582" s="7">
        <f t="shared" si="40"/>
        <v>7.4846159346420222</v>
      </c>
    </row>
    <row r="583" spans="6:13" ht="18.75" customHeight="1">
      <c r="F583" s="1">
        <v>39083</v>
      </c>
      <c r="G583">
        <f t="shared" si="37"/>
        <v>1</v>
      </c>
      <c r="H583" s="7">
        <v>382.58</v>
      </c>
      <c r="I583" s="7">
        <f>_B*F583+_C</f>
        <v>375.2282837732547</v>
      </c>
      <c r="J583" s="7">
        <f t="shared" si="38"/>
        <v>7.3517162267452818</v>
      </c>
      <c r="K583" s="7" cm="1">
        <f t="array" ref="K583">INDEX(Sm,G583)</f>
        <v>-2.6471136468108808E-2</v>
      </c>
      <c r="L583" s="7">
        <f t="shared" si="39"/>
        <v>375.2018126367866</v>
      </c>
      <c r="M583" s="7">
        <f t="shared" si="40"/>
        <v>7.3781873632133852</v>
      </c>
    </row>
    <row r="584" spans="6:13" ht="18.75" customHeight="1">
      <c r="F584" s="1">
        <v>39114</v>
      </c>
      <c r="G584">
        <f t="shared" si="37"/>
        <v>2</v>
      </c>
      <c r="H584" s="7">
        <v>383.71</v>
      </c>
      <c r="I584" s="7">
        <f>_B*F584+_C</f>
        <v>375.34066665486466</v>
      </c>
      <c r="J584" s="7">
        <f t="shared" si="38"/>
        <v>8.3693333451353169</v>
      </c>
      <c r="K584" s="7" cm="1">
        <f t="array" ref="K584">INDEX(Sm,G584)</f>
        <v>0.58733060283015548</v>
      </c>
      <c r="L584" s="7">
        <f t="shared" si="39"/>
        <v>375.92799725769481</v>
      </c>
      <c r="M584" s="7">
        <f t="shared" si="40"/>
        <v>7.782002742305167</v>
      </c>
    </row>
    <row r="585" spans="6:13" ht="18.75" customHeight="1">
      <c r="F585" s="1">
        <v>39142</v>
      </c>
      <c r="G585">
        <f t="shared" si="37"/>
        <v>3</v>
      </c>
      <c r="H585" s="7">
        <v>384.34</v>
      </c>
      <c r="I585" s="7">
        <f>_B*F585+_C</f>
        <v>375.4421737737382</v>
      </c>
      <c r="J585" s="7">
        <f t="shared" si="38"/>
        <v>8.8978262262617704</v>
      </c>
      <c r="K585" s="7" cm="1">
        <f t="array" ref="K585">INDEX(Sm,G585)</f>
        <v>1.4390836132721692</v>
      </c>
      <c r="L585" s="7">
        <f t="shared" si="39"/>
        <v>376.88125738701035</v>
      </c>
      <c r="M585" s="7">
        <f t="shared" si="40"/>
        <v>7.4587426129896244</v>
      </c>
    </row>
    <row r="586" spans="6:13" ht="18.75" customHeight="1">
      <c r="F586" s="1">
        <v>39173</v>
      </c>
      <c r="G586">
        <f t="shared" si="37"/>
        <v>4</v>
      </c>
      <c r="H586" s="7">
        <v>386.23</v>
      </c>
      <c r="I586" s="7">
        <f>_B*F586+_C</f>
        <v>375.55455665534816</v>
      </c>
      <c r="J586" s="7">
        <f t="shared" si="38"/>
        <v>10.675443344651853</v>
      </c>
      <c r="K586" s="7" cm="1">
        <f t="array" ref="K586">INDEX(Sm,G586)</f>
        <v>2.6009864459479211</v>
      </c>
      <c r="L586" s="7">
        <f t="shared" si="39"/>
        <v>378.15554310129608</v>
      </c>
      <c r="M586" s="7">
        <f t="shared" si="40"/>
        <v>8.0744568987039429</v>
      </c>
    </row>
    <row r="587" spans="6:13" ht="18.75" customHeight="1">
      <c r="F587" s="1">
        <v>39203</v>
      </c>
      <c r="G587">
        <f t="shared" si="37"/>
        <v>5</v>
      </c>
      <c r="H587" s="7">
        <v>386.41</v>
      </c>
      <c r="I587" s="7">
        <f>_B*F587+_C</f>
        <v>375.66331428271258</v>
      </c>
      <c r="J587" s="7">
        <f t="shared" si="38"/>
        <v>10.746685717287448</v>
      </c>
      <c r="K587" s="7" cm="1">
        <f t="array" ref="K587">INDEX(Sm,G587)</f>
        <v>2.9998113917703657</v>
      </c>
      <c r="L587" s="7">
        <f t="shared" si="39"/>
        <v>378.66312567448296</v>
      </c>
      <c r="M587" s="7">
        <f t="shared" si="40"/>
        <v>7.7468743255170693</v>
      </c>
    </row>
    <row r="588" spans="6:13" ht="18.75" customHeight="1">
      <c r="F588" s="1">
        <v>39234</v>
      </c>
      <c r="G588">
        <f t="shared" si="37"/>
        <v>6</v>
      </c>
      <c r="H588" s="7">
        <v>385.87</v>
      </c>
      <c r="I588" s="7">
        <f>_B*F588+_C</f>
        <v>375.77569716432254</v>
      </c>
      <c r="J588" s="7">
        <f t="shared" si="38"/>
        <v>10.094302835677468</v>
      </c>
      <c r="K588" s="7" cm="1">
        <f t="array" ref="K588">INDEX(Sm,G588)</f>
        <v>2.2382077892599441</v>
      </c>
      <c r="L588" s="7">
        <f t="shared" si="39"/>
        <v>378.01390495358248</v>
      </c>
      <c r="M588" s="7">
        <f t="shared" si="40"/>
        <v>7.8560950464175221</v>
      </c>
    </row>
    <row r="589" spans="6:13" ht="18.75" customHeight="1">
      <c r="F589" s="1">
        <v>39264</v>
      </c>
      <c r="G589">
        <f t="shared" si="37"/>
        <v>7</v>
      </c>
      <c r="H589" s="7">
        <v>384.44</v>
      </c>
      <c r="I589" s="7">
        <f>_B*F589+_C</f>
        <v>375.88445479168706</v>
      </c>
      <c r="J589" s="7">
        <f t="shared" si="38"/>
        <v>8.5555452083129353</v>
      </c>
      <c r="K589" s="7" cm="1">
        <f t="array" ref="K589">INDEX(Sm,G589)</f>
        <v>0.82390897803401641</v>
      </c>
      <c r="L589" s="7">
        <f t="shared" si="39"/>
        <v>376.70836376972107</v>
      </c>
      <c r="M589" s="7">
        <f t="shared" si="40"/>
        <v>7.731636230278923</v>
      </c>
    </row>
    <row r="590" spans="6:13" ht="18.75" customHeight="1">
      <c r="F590" s="1">
        <v>39295</v>
      </c>
      <c r="G590">
        <f t="shared" si="37"/>
        <v>8</v>
      </c>
      <c r="H590" s="7">
        <v>381.84</v>
      </c>
      <c r="I590" s="7">
        <f>_B*F590+_C</f>
        <v>375.99683767329702</v>
      </c>
      <c r="J590" s="7">
        <f t="shared" si="38"/>
        <v>5.8431623267029522</v>
      </c>
      <c r="K590" s="7" cm="1">
        <f t="array" ref="K590">INDEX(Sm,G590)</f>
        <v>-1.2322834273854675</v>
      </c>
      <c r="L590" s="7">
        <f t="shared" si="39"/>
        <v>374.76455424591154</v>
      </c>
      <c r="M590" s="7">
        <f t="shared" si="40"/>
        <v>7.0754457540884346</v>
      </c>
    </row>
    <row r="591" spans="6:13" ht="18.75" customHeight="1">
      <c r="F591" s="1">
        <v>39326</v>
      </c>
      <c r="G591">
        <f t="shared" si="37"/>
        <v>9</v>
      </c>
      <c r="H591" s="7">
        <v>380.86</v>
      </c>
      <c r="I591" s="7">
        <f>_B*F591+_C</f>
        <v>376.10922055490698</v>
      </c>
      <c r="J591" s="7">
        <f t="shared" si="38"/>
        <v>4.7507794450930305</v>
      </c>
      <c r="K591" s="7" cm="1">
        <f t="array" ref="K591">INDEX(Sm,G591)</f>
        <v>-3.0765710709001954</v>
      </c>
      <c r="L591" s="7">
        <f t="shared" si="39"/>
        <v>373.03264948400681</v>
      </c>
      <c r="M591" s="7">
        <f t="shared" si="40"/>
        <v>7.8273505159932029</v>
      </c>
    </row>
    <row r="592" spans="6:13" ht="18.75" customHeight="1">
      <c r="F592" s="1">
        <v>39356</v>
      </c>
      <c r="G592">
        <f t="shared" si="37"/>
        <v>10</v>
      </c>
      <c r="H592" s="7">
        <v>380.86</v>
      </c>
      <c r="I592" s="7">
        <f>_B*F592+_C</f>
        <v>376.21797818227139</v>
      </c>
      <c r="J592" s="7">
        <f t="shared" si="38"/>
        <v>4.6420218177286188</v>
      </c>
      <c r="K592" s="7" cm="1">
        <f t="array" ref="K592">INDEX(Sm,G592)</f>
        <v>-3.3570000579572215</v>
      </c>
      <c r="L592" s="7">
        <f t="shared" si="39"/>
        <v>372.86097812431416</v>
      </c>
      <c r="M592" s="7">
        <f t="shared" si="40"/>
        <v>7.9990218756858553</v>
      </c>
    </row>
    <row r="593" spans="6:13" ht="18.75" customHeight="1">
      <c r="F593" s="1">
        <v>39387</v>
      </c>
      <c r="G593">
        <f t="shared" si="37"/>
        <v>11</v>
      </c>
      <c r="H593" s="7">
        <v>382.36</v>
      </c>
      <c r="I593" s="7">
        <f>_B*F593+_C</f>
        <v>376.33036106388136</v>
      </c>
      <c r="J593" s="7">
        <f t="shared" si="38"/>
        <v>6.0296389361186584</v>
      </c>
      <c r="K593" s="7" cm="1">
        <f t="array" ref="K593">INDEX(Sm,G593)</f>
        <v>-2.069140151303194</v>
      </c>
      <c r="L593" s="7">
        <f t="shared" si="39"/>
        <v>374.26122091257815</v>
      </c>
      <c r="M593" s="7">
        <f t="shared" si="40"/>
        <v>8.0987790874218604</v>
      </c>
    </row>
    <row r="594" spans="6:13" ht="18.75" customHeight="1">
      <c r="F594" s="1">
        <v>39417</v>
      </c>
      <c r="G594">
        <f t="shared" si="37"/>
        <v>12</v>
      </c>
      <c r="H594" s="7">
        <v>383.61</v>
      </c>
      <c r="I594" s="7">
        <f>_B*F594+_C</f>
        <v>376.43911869124588</v>
      </c>
      <c r="J594" s="7">
        <f t="shared" si="38"/>
        <v>7.170881308754133</v>
      </c>
      <c r="K594" s="7" cm="1">
        <f t="array" ref="K594">INDEX(Sm,G594)</f>
        <v>-0.94051682628672428</v>
      </c>
      <c r="L594" s="7">
        <f t="shared" si="39"/>
        <v>375.49860186495914</v>
      </c>
      <c r="M594" s="7">
        <f t="shared" si="40"/>
        <v>8.1113981350408721</v>
      </c>
    </row>
    <row r="595" spans="6:13" ht="18.75" customHeight="1">
      <c r="F595" s="1">
        <v>39448</v>
      </c>
      <c r="G595">
        <f t="shared" si="37"/>
        <v>1</v>
      </c>
      <c r="H595" s="7">
        <v>385.07</v>
      </c>
      <c r="I595" s="7">
        <f>_B*F595+_C</f>
        <v>376.55150157285584</v>
      </c>
      <c r="J595" s="7">
        <f t="shared" si="38"/>
        <v>8.5184984271441522</v>
      </c>
      <c r="K595" s="7" cm="1">
        <f t="array" ref="K595">INDEX(Sm,G595)</f>
        <v>-2.6471136468108808E-2</v>
      </c>
      <c r="L595" s="7">
        <f t="shared" si="39"/>
        <v>376.52503043638774</v>
      </c>
      <c r="M595" s="7">
        <f t="shared" si="40"/>
        <v>8.5449695636122556</v>
      </c>
    </row>
    <row r="596" spans="6:13" ht="18.75" customHeight="1">
      <c r="F596" s="1">
        <v>39479</v>
      </c>
      <c r="G596">
        <f t="shared" si="37"/>
        <v>2</v>
      </c>
      <c r="H596" s="7">
        <v>385.84</v>
      </c>
      <c r="I596" s="7">
        <f>_B*F596+_C</f>
        <v>376.6638844544658</v>
      </c>
      <c r="J596" s="7">
        <f t="shared" si="38"/>
        <v>9.1761155455341736</v>
      </c>
      <c r="K596" s="7" cm="1">
        <f t="array" ref="K596">INDEX(Sm,G596)</f>
        <v>0.58733060283015548</v>
      </c>
      <c r="L596" s="7">
        <f t="shared" si="39"/>
        <v>377.25121505729595</v>
      </c>
      <c r="M596" s="7">
        <f t="shared" si="40"/>
        <v>8.5887849427040237</v>
      </c>
    </row>
    <row r="597" spans="6:13" ht="18.75" customHeight="1">
      <c r="F597" s="1">
        <v>39508</v>
      </c>
      <c r="G597">
        <f t="shared" si="37"/>
        <v>3</v>
      </c>
      <c r="H597" s="7">
        <v>385.83</v>
      </c>
      <c r="I597" s="7">
        <f>_B*F597+_C</f>
        <v>376.76901682758478</v>
      </c>
      <c r="J597" s="7">
        <f t="shared" si="38"/>
        <v>9.0609831724152059</v>
      </c>
      <c r="K597" s="7" cm="1">
        <f t="array" ref="K597">INDEX(Sm,G597)</f>
        <v>1.4390836132721692</v>
      </c>
      <c r="L597" s="7">
        <f t="shared" si="39"/>
        <v>378.20810044085692</v>
      </c>
      <c r="M597" s="7">
        <f t="shared" si="40"/>
        <v>7.6218995591430598</v>
      </c>
    </row>
    <row r="598" spans="6:13" ht="18.75" customHeight="1">
      <c r="F598" s="1">
        <v>39539</v>
      </c>
      <c r="G598">
        <f t="shared" si="37"/>
        <v>4</v>
      </c>
      <c r="H598" s="7">
        <v>386.77</v>
      </c>
      <c r="I598" s="7">
        <f>_B*F598+_C</f>
        <v>376.88139970919474</v>
      </c>
      <c r="J598" s="7">
        <f t="shared" si="38"/>
        <v>9.8886002908052433</v>
      </c>
      <c r="K598" s="7" cm="1">
        <f t="array" ref="K598">INDEX(Sm,G598)</f>
        <v>2.6009864459479211</v>
      </c>
      <c r="L598" s="7">
        <f t="shared" si="39"/>
        <v>379.48238615514265</v>
      </c>
      <c r="M598" s="7">
        <f t="shared" si="40"/>
        <v>7.2876138448573329</v>
      </c>
    </row>
    <row r="599" spans="6:13" ht="18.75" customHeight="1">
      <c r="F599" s="1">
        <v>39569</v>
      </c>
      <c r="G599">
        <f t="shared" si="37"/>
        <v>5</v>
      </c>
      <c r="H599" s="7">
        <v>388.51</v>
      </c>
      <c r="I599" s="7">
        <f>_B*F599+_C</f>
        <v>376.99015733655926</v>
      </c>
      <c r="J599" s="7">
        <f t="shared" si="38"/>
        <v>11.519842663440727</v>
      </c>
      <c r="K599" s="7" cm="1">
        <f t="array" ref="K599">INDEX(Sm,G599)</f>
        <v>2.9998113917703657</v>
      </c>
      <c r="L599" s="7">
        <f t="shared" si="39"/>
        <v>379.98996872832964</v>
      </c>
      <c r="M599" s="7">
        <f t="shared" si="40"/>
        <v>8.5200312716703479</v>
      </c>
    </row>
    <row r="600" spans="6:13" ht="18.75" customHeight="1">
      <c r="F600" s="1">
        <v>39600</v>
      </c>
      <c r="G600">
        <f t="shared" si="37"/>
        <v>6</v>
      </c>
      <c r="H600" s="7">
        <v>388.05</v>
      </c>
      <c r="I600" s="7">
        <f>_B*F600+_C</f>
        <v>377.10254021816922</v>
      </c>
      <c r="J600" s="7">
        <f t="shared" si="38"/>
        <v>10.947459781830787</v>
      </c>
      <c r="K600" s="7" cm="1">
        <f t="array" ref="K600">INDEX(Sm,G600)</f>
        <v>2.2382077892599441</v>
      </c>
      <c r="L600" s="7">
        <f t="shared" si="39"/>
        <v>379.34074800742917</v>
      </c>
      <c r="M600" s="7">
        <f t="shared" si="40"/>
        <v>8.7092519925708416</v>
      </c>
    </row>
    <row r="601" spans="6:13" ht="18.75" customHeight="1">
      <c r="F601" s="1">
        <v>39630</v>
      </c>
      <c r="G601">
        <f t="shared" si="37"/>
        <v>7</v>
      </c>
      <c r="H601" s="7">
        <v>386.25</v>
      </c>
      <c r="I601" s="7">
        <f>_B*F601+_C</f>
        <v>377.21129784553364</v>
      </c>
      <c r="J601" s="7">
        <f t="shared" si="38"/>
        <v>9.0387021544663639</v>
      </c>
      <c r="K601" s="7" cm="1">
        <f t="array" ref="K601">INDEX(Sm,G601)</f>
        <v>0.82390897803401641</v>
      </c>
      <c r="L601" s="7">
        <f t="shared" si="39"/>
        <v>378.03520682356765</v>
      </c>
      <c r="M601" s="7">
        <f t="shared" si="40"/>
        <v>8.2147931764323516</v>
      </c>
    </row>
    <row r="602" spans="6:13" ht="18.75" customHeight="1">
      <c r="F602" s="1">
        <v>39661</v>
      </c>
      <c r="G602">
        <f t="shared" si="37"/>
        <v>8</v>
      </c>
      <c r="H602" s="7">
        <v>384.08</v>
      </c>
      <c r="I602" s="7">
        <f>_B*F602+_C</f>
        <v>377.3236807271436</v>
      </c>
      <c r="J602" s="7">
        <f t="shared" si="38"/>
        <v>6.7563192728563877</v>
      </c>
      <c r="K602" s="7" cm="1">
        <f t="array" ref="K602">INDEX(Sm,G602)</f>
        <v>-1.2322834273854675</v>
      </c>
      <c r="L602" s="7">
        <f t="shared" si="39"/>
        <v>376.09139729975811</v>
      </c>
      <c r="M602" s="7">
        <f t="shared" si="40"/>
        <v>7.98860270024187</v>
      </c>
    </row>
    <row r="603" spans="6:13" ht="18.75" customHeight="1">
      <c r="F603" s="1">
        <v>39692</v>
      </c>
      <c r="G603">
        <f t="shared" si="37"/>
        <v>9</v>
      </c>
      <c r="H603" s="7">
        <v>383.09</v>
      </c>
      <c r="I603" s="7">
        <f>_B*F603+_C</f>
        <v>377.43606360875356</v>
      </c>
      <c r="J603" s="7">
        <f t="shared" si="38"/>
        <v>5.6539363912464182</v>
      </c>
      <c r="K603" s="7" cm="1">
        <f t="array" ref="K603">INDEX(Sm,G603)</f>
        <v>-3.0765710709001954</v>
      </c>
      <c r="L603" s="7">
        <f t="shared" si="39"/>
        <v>374.35949253785338</v>
      </c>
      <c r="M603" s="7">
        <f t="shared" si="40"/>
        <v>8.7305074621465906</v>
      </c>
    </row>
    <row r="604" spans="6:13" ht="18.75" customHeight="1">
      <c r="F604" s="1">
        <v>39722</v>
      </c>
      <c r="G604">
        <f t="shared" si="37"/>
        <v>10</v>
      </c>
      <c r="H604" s="7">
        <v>382.78</v>
      </c>
      <c r="I604" s="7">
        <f>_B*F604+_C</f>
        <v>377.54482123611808</v>
      </c>
      <c r="J604" s="7">
        <f t="shared" si="38"/>
        <v>5.2351787638818905</v>
      </c>
      <c r="K604" s="7" cm="1">
        <f t="array" ref="K604">INDEX(Sm,G604)</f>
        <v>-3.3570000579572215</v>
      </c>
      <c r="L604" s="7">
        <f t="shared" si="39"/>
        <v>374.18782117816085</v>
      </c>
      <c r="M604" s="7">
        <f t="shared" si="40"/>
        <v>8.5921788218391271</v>
      </c>
    </row>
    <row r="605" spans="6:13" ht="18.75" customHeight="1">
      <c r="F605" s="1">
        <v>39753</v>
      </c>
      <c r="G605">
        <f t="shared" si="37"/>
        <v>11</v>
      </c>
      <c r="H605" s="7">
        <v>384.01</v>
      </c>
      <c r="I605" s="7">
        <f>_B*F605+_C</f>
        <v>377.65720411772804</v>
      </c>
      <c r="J605" s="7">
        <f t="shared" si="38"/>
        <v>6.3527958822719484</v>
      </c>
      <c r="K605" s="7" cm="1">
        <f t="array" ref="K605">INDEX(Sm,G605)</f>
        <v>-2.069140151303194</v>
      </c>
      <c r="L605" s="7">
        <f t="shared" si="39"/>
        <v>375.58806396642484</v>
      </c>
      <c r="M605" s="7">
        <f t="shared" si="40"/>
        <v>8.4219360335751503</v>
      </c>
    </row>
    <row r="606" spans="6:13" ht="18.75" customHeight="1">
      <c r="F606" s="1">
        <v>39783</v>
      </c>
      <c r="G606">
        <f t="shared" si="37"/>
        <v>12</v>
      </c>
      <c r="H606" s="7">
        <v>385.11</v>
      </c>
      <c r="I606" s="7">
        <f>_B*F606+_C</f>
        <v>377.76596174509251</v>
      </c>
      <c r="J606" s="7">
        <f t="shared" si="38"/>
        <v>7.3440382549075025</v>
      </c>
      <c r="K606" s="7" cm="1">
        <f t="array" ref="K606">INDEX(Sm,G606)</f>
        <v>-0.94051682628672428</v>
      </c>
      <c r="L606" s="7">
        <f t="shared" si="39"/>
        <v>376.82544491880577</v>
      </c>
      <c r="M606" s="7">
        <f t="shared" si="40"/>
        <v>8.2845550811942417</v>
      </c>
    </row>
    <row r="607" spans="6:13" ht="18.75" customHeight="1">
      <c r="F607" s="1">
        <v>39814</v>
      </c>
      <c r="G607">
        <f t="shared" si="37"/>
        <v>1</v>
      </c>
      <c r="H607" s="7">
        <v>386.65</v>
      </c>
      <c r="I607" s="7">
        <f>_B*F607+_C</f>
        <v>377.87834462670247</v>
      </c>
      <c r="J607" s="7">
        <f t="shared" si="38"/>
        <v>8.7716553732975058</v>
      </c>
      <c r="K607" s="7" cm="1">
        <f t="array" ref="K607">INDEX(Sm,G607)</f>
        <v>-2.6471136468108808E-2</v>
      </c>
      <c r="L607" s="7">
        <f t="shared" si="39"/>
        <v>377.85187349023437</v>
      </c>
      <c r="M607" s="7">
        <f t="shared" si="40"/>
        <v>8.7981265097656092</v>
      </c>
    </row>
    <row r="608" spans="6:13" ht="18.75" customHeight="1">
      <c r="F608" s="1">
        <v>39845</v>
      </c>
      <c r="G608">
        <f t="shared" si="37"/>
        <v>2</v>
      </c>
      <c r="H608" s="7">
        <v>387.12</v>
      </c>
      <c r="I608" s="7">
        <f>_B*F608+_C</f>
        <v>377.99072750831243</v>
      </c>
      <c r="J608" s="7">
        <f t="shared" si="38"/>
        <v>9.1292724916875727</v>
      </c>
      <c r="K608" s="7" cm="1">
        <f t="array" ref="K608">INDEX(Sm,G608)</f>
        <v>0.58733060283015548</v>
      </c>
      <c r="L608" s="7">
        <f t="shared" si="39"/>
        <v>378.57805811114258</v>
      </c>
      <c r="M608" s="7">
        <f t="shared" si="40"/>
        <v>8.5419418888574228</v>
      </c>
    </row>
    <row r="609" spans="6:13" ht="18.75" customHeight="1">
      <c r="F609" s="1">
        <v>39873</v>
      </c>
      <c r="G609">
        <f t="shared" si="37"/>
        <v>3</v>
      </c>
      <c r="H609" s="7">
        <v>388.52</v>
      </c>
      <c r="I609" s="7">
        <f>_B*F609+_C</f>
        <v>378.09223462718592</v>
      </c>
      <c r="J609" s="7">
        <f t="shared" si="38"/>
        <v>10.427765372814065</v>
      </c>
      <c r="K609" s="7" cm="1">
        <f t="array" ref="K609">INDEX(Sm,G609)</f>
        <v>1.4390836132721692</v>
      </c>
      <c r="L609" s="7">
        <f t="shared" si="39"/>
        <v>379.53131824045806</v>
      </c>
      <c r="M609" s="7">
        <f t="shared" si="40"/>
        <v>8.9886817595419188</v>
      </c>
    </row>
    <row r="610" spans="6:13" ht="18.75" customHeight="1">
      <c r="F610" s="1">
        <v>39904</v>
      </c>
      <c r="G610">
        <f t="shared" si="37"/>
        <v>4</v>
      </c>
      <c r="H610" s="7">
        <v>389.57</v>
      </c>
      <c r="I610" s="7">
        <f>_B*F610+_C</f>
        <v>378.20461750879588</v>
      </c>
      <c r="J610" s="7">
        <f t="shared" si="38"/>
        <v>11.365382491204116</v>
      </c>
      <c r="K610" s="7" cm="1">
        <f t="array" ref="K610">INDEX(Sm,G610)</f>
        <v>2.6009864459479211</v>
      </c>
      <c r="L610" s="7">
        <f t="shared" si="39"/>
        <v>380.80560395474379</v>
      </c>
      <c r="M610" s="7">
        <f t="shared" si="40"/>
        <v>8.7643960452562055</v>
      </c>
    </row>
    <row r="611" spans="6:13" ht="18.75" customHeight="1">
      <c r="F611" s="1">
        <v>39934</v>
      </c>
      <c r="G611">
        <f t="shared" si="37"/>
        <v>5</v>
      </c>
      <c r="H611" s="7">
        <v>390.17</v>
      </c>
      <c r="I611" s="7">
        <f>_B*F611+_C</f>
        <v>378.3133751361604</v>
      </c>
      <c r="J611" s="7">
        <f t="shared" si="38"/>
        <v>11.856624863839613</v>
      </c>
      <c r="K611" s="7" cm="1">
        <f t="array" ref="K611">INDEX(Sm,G611)</f>
        <v>2.9998113917703657</v>
      </c>
      <c r="L611" s="7">
        <f t="shared" si="39"/>
        <v>381.31318652793078</v>
      </c>
      <c r="M611" s="7">
        <f t="shared" si="40"/>
        <v>8.8568134720692342</v>
      </c>
    </row>
    <row r="612" spans="6:13" ht="18.75" customHeight="1">
      <c r="F612" s="1">
        <v>39965</v>
      </c>
      <c r="G612">
        <f t="shared" si="37"/>
        <v>6</v>
      </c>
      <c r="H612" s="7">
        <v>389.62</v>
      </c>
      <c r="I612" s="7">
        <f>_B*F612+_C</f>
        <v>378.42575801777036</v>
      </c>
      <c r="J612" s="7">
        <f t="shared" si="38"/>
        <v>11.194241982229642</v>
      </c>
      <c r="K612" s="7" cm="1">
        <f t="array" ref="K612">INDEX(Sm,G612)</f>
        <v>2.2382077892599441</v>
      </c>
      <c r="L612" s="7">
        <f t="shared" si="39"/>
        <v>380.66396580703031</v>
      </c>
      <c r="M612" s="7">
        <f t="shared" si="40"/>
        <v>8.9560341929696961</v>
      </c>
    </row>
    <row r="613" spans="6:13" ht="18.75" customHeight="1">
      <c r="F613" s="1">
        <v>39995</v>
      </c>
      <c r="G613">
        <f t="shared" si="37"/>
        <v>7</v>
      </c>
      <c r="H613" s="7">
        <v>388.07</v>
      </c>
      <c r="I613" s="7">
        <f>_B*F613+_C</f>
        <v>378.53451564513477</v>
      </c>
      <c r="J613" s="7">
        <f t="shared" si="38"/>
        <v>9.5354843548652184</v>
      </c>
      <c r="K613" s="7" cm="1">
        <f t="array" ref="K613">INDEX(Sm,G613)</f>
        <v>0.82390897803401641</v>
      </c>
      <c r="L613" s="7">
        <f t="shared" si="39"/>
        <v>379.35842462316879</v>
      </c>
      <c r="M613" s="7">
        <f t="shared" si="40"/>
        <v>8.7115753768312061</v>
      </c>
    </row>
    <row r="614" spans="6:13" ht="18.75" customHeight="1">
      <c r="F614" s="1">
        <v>40026</v>
      </c>
      <c r="G614">
        <f t="shared" si="37"/>
        <v>8</v>
      </c>
      <c r="H614" s="7">
        <v>386.08</v>
      </c>
      <c r="I614" s="7">
        <f>_B*F614+_C</f>
        <v>378.64689852674474</v>
      </c>
      <c r="J614" s="7">
        <f t="shared" si="38"/>
        <v>7.4331014732552489</v>
      </c>
      <c r="K614" s="7" cm="1">
        <f t="array" ref="K614">INDEX(Sm,G614)</f>
        <v>-1.2322834273854675</v>
      </c>
      <c r="L614" s="7">
        <f t="shared" si="39"/>
        <v>377.41461509935925</v>
      </c>
      <c r="M614" s="7">
        <f t="shared" si="40"/>
        <v>8.6653849006407313</v>
      </c>
    </row>
    <row r="615" spans="6:13" ht="18.75" customHeight="1">
      <c r="F615" s="1">
        <v>40057</v>
      </c>
      <c r="G615">
        <f t="shared" si="37"/>
        <v>9</v>
      </c>
      <c r="H615" s="7">
        <v>384.65</v>
      </c>
      <c r="I615" s="7">
        <f>_B*F615+_C</f>
        <v>378.7592814083547</v>
      </c>
      <c r="J615" s="7">
        <f t="shared" si="38"/>
        <v>5.8907185916452818</v>
      </c>
      <c r="K615" s="7" cm="1">
        <f t="array" ref="K615">INDEX(Sm,G615)</f>
        <v>-3.0765710709001954</v>
      </c>
      <c r="L615" s="7">
        <f t="shared" si="39"/>
        <v>375.68271033745452</v>
      </c>
      <c r="M615" s="7">
        <f t="shared" si="40"/>
        <v>8.9672896625454541</v>
      </c>
    </row>
    <row r="616" spans="6:13" ht="18.75" customHeight="1">
      <c r="F616" s="1">
        <v>40087</v>
      </c>
      <c r="G616">
        <f t="shared" si="37"/>
        <v>10</v>
      </c>
      <c r="H616" s="7">
        <v>384.33</v>
      </c>
      <c r="I616" s="7">
        <f>_B*F616+_C</f>
        <v>378.86803903571922</v>
      </c>
      <c r="J616" s="7">
        <f t="shared" si="38"/>
        <v>5.4619609642807632</v>
      </c>
      <c r="K616" s="7" cm="1">
        <f t="array" ref="K616">INDEX(Sm,G616)</f>
        <v>-3.3570000579572215</v>
      </c>
      <c r="L616" s="7">
        <f t="shared" si="39"/>
        <v>375.51103897776198</v>
      </c>
      <c r="M616" s="7">
        <f t="shared" si="40"/>
        <v>8.8189610222379997</v>
      </c>
    </row>
    <row r="617" spans="6:13" ht="18.75" customHeight="1">
      <c r="F617" s="1">
        <v>40118</v>
      </c>
      <c r="G617">
        <f t="shared" si="37"/>
        <v>11</v>
      </c>
      <c r="H617" s="7">
        <v>386.05</v>
      </c>
      <c r="I617" s="7">
        <f>_B*F617+_C</f>
        <v>378.98042191732918</v>
      </c>
      <c r="J617" s="7">
        <f t="shared" si="38"/>
        <v>7.0695780826708301</v>
      </c>
      <c r="K617" s="7" cm="1">
        <f t="array" ref="K617">INDEX(Sm,G617)</f>
        <v>-2.069140151303194</v>
      </c>
      <c r="L617" s="7">
        <f t="shared" si="39"/>
        <v>376.91128176602598</v>
      </c>
      <c r="M617" s="7">
        <f t="shared" si="40"/>
        <v>9.138718233974032</v>
      </c>
    </row>
    <row r="618" spans="6:13" ht="18.75" customHeight="1">
      <c r="F618" s="1">
        <v>40148</v>
      </c>
      <c r="G618">
        <f t="shared" si="37"/>
        <v>12</v>
      </c>
      <c r="H618" s="7">
        <v>387.49</v>
      </c>
      <c r="I618" s="7">
        <f>_B*F618+_C</f>
        <v>379.08917954469365</v>
      </c>
      <c r="J618" s="7">
        <f t="shared" si="38"/>
        <v>8.4008204553063592</v>
      </c>
      <c r="K618" s="7" cm="1">
        <f t="array" ref="K618">INDEX(Sm,G618)</f>
        <v>-0.94051682628672428</v>
      </c>
      <c r="L618" s="7">
        <f t="shared" si="39"/>
        <v>378.14866271840691</v>
      </c>
      <c r="M618" s="7">
        <f t="shared" si="40"/>
        <v>9.3413372815930984</v>
      </c>
    </row>
    <row r="619" spans="6:13" ht="18.75" customHeight="1">
      <c r="F619" s="1">
        <v>40179</v>
      </c>
      <c r="G619">
        <f t="shared" si="37"/>
        <v>1</v>
      </c>
      <c r="H619" s="7">
        <v>388.55</v>
      </c>
      <c r="I619" s="7">
        <f>_B*F619+_C</f>
        <v>379.20156242630361</v>
      </c>
      <c r="J619" s="7">
        <f t="shared" si="38"/>
        <v>9.3484375736964012</v>
      </c>
      <c r="K619" s="7" cm="1">
        <f t="array" ref="K619">INDEX(Sm,G619)</f>
        <v>-2.6471136468108808E-2</v>
      </c>
      <c r="L619" s="7">
        <f t="shared" si="39"/>
        <v>379.17509128983551</v>
      </c>
      <c r="M619" s="7">
        <f t="shared" si="40"/>
        <v>9.3749087101645046</v>
      </c>
    </row>
    <row r="620" spans="6:13" ht="18.75" customHeight="1">
      <c r="F620" s="1">
        <v>40210</v>
      </c>
      <c r="G620">
        <f t="shared" si="37"/>
        <v>2</v>
      </c>
      <c r="H620" s="7">
        <v>390.08</v>
      </c>
      <c r="I620" s="7">
        <f>_B*F620+_C</f>
        <v>379.31394530791357</v>
      </c>
      <c r="J620" s="7">
        <f t="shared" si="38"/>
        <v>10.766054692086414</v>
      </c>
      <c r="K620" s="7" cm="1">
        <f t="array" ref="K620">INDEX(Sm,G620)</f>
        <v>0.58733060283015548</v>
      </c>
      <c r="L620" s="7">
        <f t="shared" si="39"/>
        <v>379.90127591074372</v>
      </c>
      <c r="M620" s="7">
        <f t="shared" si="40"/>
        <v>10.178724089256264</v>
      </c>
    </row>
    <row r="621" spans="6:13" ht="18.75" customHeight="1">
      <c r="F621" s="1">
        <v>40238</v>
      </c>
      <c r="G621">
        <f t="shared" si="37"/>
        <v>3</v>
      </c>
      <c r="H621" s="7">
        <v>391.01</v>
      </c>
      <c r="I621" s="7">
        <f>_B*F621+_C</f>
        <v>379.41545242678706</v>
      </c>
      <c r="J621" s="7">
        <f t="shared" si="38"/>
        <v>11.594547573212935</v>
      </c>
      <c r="K621" s="7" cm="1">
        <f t="array" ref="K621">INDEX(Sm,G621)</f>
        <v>1.4390836132721692</v>
      </c>
      <c r="L621" s="7">
        <f t="shared" si="39"/>
        <v>380.8545360400592</v>
      </c>
      <c r="M621" s="7">
        <f t="shared" si="40"/>
        <v>10.155463959940789</v>
      </c>
    </row>
    <row r="622" spans="6:13" ht="18.75" customHeight="1">
      <c r="F622" s="1">
        <v>40269</v>
      </c>
      <c r="G622">
        <f t="shared" si="37"/>
        <v>4</v>
      </c>
      <c r="H622" s="7">
        <v>392.38</v>
      </c>
      <c r="I622" s="7">
        <f>_B*F622+_C</f>
        <v>379.52783530839702</v>
      </c>
      <c r="J622" s="7">
        <f t="shared" si="38"/>
        <v>12.852164691602979</v>
      </c>
      <c r="K622" s="7" cm="1">
        <f t="array" ref="K622">INDEX(Sm,G622)</f>
        <v>2.6009864459479211</v>
      </c>
      <c r="L622" s="7">
        <f t="shared" si="39"/>
        <v>382.12882175434493</v>
      </c>
      <c r="M622" s="7">
        <f t="shared" si="40"/>
        <v>10.251178245655069</v>
      </c>
    </row>
    <row r="623" spans="6:13" ht="18.75" customHeight="1">
      <c r="F623" s="1">
        <v>40299</v>
      </c>
      <c r="G623">
        <f t="shared" si="37"/>
        <v>5</v>
      </c>
      <c r="H623" s="7">
        <v>393.22</v>
      </c>
      <c r="I623" s="7">
        <f>_B*F623+_C</f>
        <v>379.63659293576154</v>
      </c>
      <c r="J623" s="7">
        <f t="shared" si="38"/>
        <v>13.583407064238486</v>
      </c>
      <c r="K623" s="7" cm="1">
        <f t="array" ref="K623">INDEX(Sm,G623)</f>
        <v>2.9998113917703657</v>
      </c>
      <c r="L623" s="7">
        <f t="shared" si="39"/>
        <v>382.63640432753192</v>
      </c>
      <c r="M623" s="7">
        <f t="shared" si="40"/>
        <v>10.583595672468107</v>
      </c>
    </row>
    <row r="624" spans="6:13" ht="18.75" customHeight="1">
      <c r="F624" s="1">
        <v>40330</v>
      </c>
      <c r="G624">
        <f t="shared" si="37"/>
        <v>6</v>
      </c>
      <c r="H624" s="7">
        <v>392.24</v>
      </c>
      <c r="I624" s="7">
        <f>_B*F624+_C</f>
        <v>379.7489758173715</v>
      </c>
      <c r="J624" s="7">
        <f t="shared" si="38"/>
        <v>12.491024182628507</v>
      </c>
      <c r="K624" s="7" cm="1">
        <f t="array" ref="K624">INDEX(Sm,G624)</f>
        <v>2.2382077892599441</v>
      </c>
      <c r="L624" s="7">
        <f t="shared" si="39"/>
        <v>381.98718360663145</v>
      </c>
      <c r="M624" s="7">
        <f t="shared" si="40"/>
        <v>10.252816393368562</v>
      </c>
    </row>
    <row r="625" spans="6:13" ht="18.75" customHeight="1">
      <c r="F625" s="1">
        <v>40360</v>
      </c>
      <c r="G625">
        <f t="shared" si="37"/>
        <v>7</v>
      </c>
      <c r="H625" s="7">
        <v>390.33</v>
      </c>
      <c r="I625" s="7">
        <f>_B*F625+_C</f>
        <v>379.85773344473591</v>
      </c>
      <c r="J625" s="7">
        <f t="shared" si="38"/>
        <v>10.472266555264071</v>
      </c>
      <c r="K625" s="7" cm="1">
        <f t="array" ref="K625">INDEX(Sm,G625)</f>
        <v>0.82390897803401641</v>
      </c>
      <c r="L625" s="7">
        <f t="shared" si="39"/>
        <v>380.68164242276993</v>
      </c>
      <c r="M625" s="7">
        <f t="shared" si="40"/>
        <v>9.6483575772300583</v>
      </c>
    </row>
    <row r="626" spans="6:13" ht="18.75" customHeight="1">
      <c r="F626" s="1">
        <v>40391</v>
      </c>
      <c r="G626">
        <f t="shared" si="37"/>
        <v>8</v>
      </c>
      <c r="H626" s="7">
        <v>388.52</v>
      </c>
      <c r="I626" s="7">
        <f>_B*F626+_C</f>
        <v>379.97011632634587</v>
      </c>
      <c r="J626" s="7">
        <f t="shared" si="38"/>
        <v>8.549883673654108</v>
      </c>
      <c r="K626" s="7" cm="1">
        <f t="array" ref="K626">INDEX(Sm,G626)</f>
        <v>-1.2322834273854675</v>
      </c>
      <c r="L626" s="7">
        <f t="shared" si="39"/>
        <v>378.73783289896039</v>
      </c>
      <c r="M626" s="7">
        <f t="shared" si="40"/>
        <v>9.7821671010395903</v>
      </c>
    </row>
    <row r="627" spans="6:13" ht="18.75" customHeight="1">
      <c r="F627" s="1">
        <v>40422</v>
      </c>
      <c r="G627">
        <f t="shared" si="37"/>
        <v>9</v>
      </c>
      <c r="H627" s="7">
        <v>386.84</v>
      </c>
      <c r="I627" s="7">
        <f>_B*F627+_C</f>
        <v>380.08249920795583</v>
      </c>
      <c r="J627" s="7">
        <f t="shared" si="38"/>
        <v>6.7575007920441408</v>
      </c>
      <c r="K627" s="7" cm="1">
        <f t="array" ref="K627">INDEX(Sm,G627)</f>
        <v>-3.0765710709001954</v>
      </c>
      <c r="L627" s="7">
        <f t="shared" si="39"/>
        <v>377.00592813705566</v>
      </c>
      <c r="M627" s="7">
        <f t="shared" si="40"/>
        <v>9.8340718629443131</v>
      </c>
    </row>
    <row r="628" spans="6:13" ht="18.75" customHeight="1">
      <c r="F628" s="1">
        <v>40452</v>
      </c>
      <c r="G628">
        <f t="shared" si="37"/>
        <v>10</v>
      </c>
      <c r="H628" s="7">
        <v>387.16</v>
      </c>
      <c r="I628" s="7">
        <f>_B*F628+_C</f>
        <v>380.19125683532036</v>
      </c>
      <c r="J628" s="7">
        <f t="shared" si="38"/>
        <v>6.9687431646796654</v>
      </c>
      <c r="K628" s="7" cm="1">
        <f t="array" ref="K628">INDEX(Sm,G628)</f>
        <v>-3.3570000579572215</v>
      </c>
      <c r="L628" s="7">
        <f t="shared" si="39"/>
        <v>376.83425677736312</v>
      </c>
      <c r="M628" s="7">
        <f t="shared" si="40"/>
        <v>10.325743222636902</v>
      </c>
    </row>
    <row r="629" spans="6:13" ht="18.75" customHeight="1">
      <c r="F629" s="1">
        <v>40483</v>
      </c>
      <c r="G629">
        <f t="shared" si="37"/>
        <v>11</v>
      </c>
      <c r="H629" s="7">
        <v>388.67</v>
      </c>
      <c r="I629" s="7">
        <f>_B*F629+_C</f>
        <v>380.30363971693032</v>
      </c>
      <c r="J629" s="7">
        <f t="shared" si="38"/>
        <v>8.3663602830696959</v>
      </c>
      <c r="K629" s="7" cm="1">
        <f t="array" ref="K629">INDEX(Sm,G629)</f>
        <v>-2.069140151303194</v>
      </c>
      <c r="L629" s="7">
        <f t="shared" si="39"/>
        <v>378.23449956562712</v>
      </c>
      <c r="M629" s="7">
        <f t="shared" si="40"/>
        <v>10.435500434372898</v>
      </c>
    </row>
    <row r="630" spans="6:13" ht="18.75" customHeight="1">
      <c r="F630" s="1">
        <v>40513</v>
      </c>
      <c r="G630">
        <f t="shared" si="37"/>
        <v>12</v>
      </c>
      <c r="H630" s="7">
        <v>389.81</v>
      </c>
      <c r="I630" s="7">
        <f>_B*F630+_C</f>
        <v>380.41239734429479</v>
      </c>
      <c r="J630" s="7">
        <f t="shared" si="38"/>
        <v>9.3976026557052137</v>
      </c>
      <c r="K630" s="7" cm="1">
        <f t="array" ref="K630">INDEX(Sm,G630)</f>
        <v>-0.94051682628672428</v>
      </c>
      <c r="L630" s="7">
        <f t="shared" si="39"/>
        <v>379.47188051800805</v>
      </c>
      <c r="M630" s="7">
        <f t="shared" si="40"/>
        <v>10.338119481991953</v>
      </c>
    </row>
    <row r="631" spans="6:13" ht="18.75" customHeight="1">
      <c r="F631" s="1">
        <v>40544</v>
      </c>
      <c r="G631">
        <f t="shared" si="37"/>
        <v>1</v>
      </c>
      <c r="H631" s="7">
        <v>391.3</v>
      </c>
      <c r="I631" s="7">
        <f>_B*F631+_C</f>
        <v>380.52478022590475</v>
      </c>
      <c r="J631" s="7">
        <f t="shared" si="38"/>
        <v>10.775219774095262</v>
      </c>
      <c r="K631" s="7" cm="1">
        <f t="array" ref="K631">INDEX(Sm,G631)</f>
        <v>-2.6471136468108808E-2</v>
      </c>
      <c r="L631" s="7">
        <f t="shared" si="39"/>
        <v>380.49830908943665</v>
      </c>
      <c r="M631" s="7">
        <f t="shared" si="40"/>
        <v>10.801690910563366</v>
      </c>
    </row>
    <row r="632" spans="6:13" ht="18.75" customHeight="1">
      <c r="F632" s="1">
        <v>40575</v>
      </c>
      <c r="G632">
        <f t="shared" si="37"/>
        <v>2</v>
      </c>
      <c r="H632" s="7">
        <v>391.92</v>
      </c>
      <c r="I632" s="7">
        <f>_B*F632+_C</f>
        <v>380.63716310751471</v>
      </c>
      <c r="J632" s="7">
        <f t="shared" si="38"/>
        <v>11.282836892485307</v>
      </c>
      <c r="K632" s="7" cm="1">
        <f t="array" ref="K632">INDEX(Sm,G632)</f>
        <v>0.58733060283015548</v>
      </c>
      <c r="L632" s="7">
        <f t="shared" si="39"/>
        <v>381.22449371034486</v>
      </c>
      <c r="M632" s="7">
        <f t="shared" si="40"/>
        <v>10.695506289655157</v>
      </c>
    </row>
    <row r="633" spans="6:13" ht="18.75" customHeight="1">
      <c r="F633" s="1">
        <v>40603</v>
      </c>
      <c r="G633">
        <f t="shared" si="37"/>
        <v>3</v>
      </c>
      <c r="H633" s="7">
        <v>392.45</v>
      </c>
      <c r="I633" s="7">
        <f>_B*F633+_C</f>
        <v>380.73867022638819</v>
      </c>
      <c r="J633" s="7">
        <f t="shared" si="38"/>
        <v>11.711329773611794</v>
      </c>
      <c r="K633" s="7" cm="1">
        <f t="array" ref="K633">INDEX(Sm,G633)</f>
        <v>1.4390836132721692</v>
      </c>
      <c r="L633" s="7">
        <f t="shared" si="39"/>
        <v>382.17775383966034</v>
      </c>
      <c r="M633" s="7">
        <f t="shared" si="40"/>
        <v>10.272246160339648</v>
      </c>
    </row>
    <row r="634" spans="6:13" ht="18.75" customHeight="1">
      <c r="F634" s="1">
        <v>40634</v>
      </c>
      <c r="G634">
        <f t="shared" si="37"/>
        <v>4</v>
      </c>
      <c r="H634" s="7">
        <v>393.37</v>
      </c>
      <c r="I634" s="7">
        <f>_B*F634+_C</f>
        <v>380.85105310799815</v>
      </c>
      <c r="J634" s="7">
        <f t="shared" si="38"/>
        <v>12.51894689200185</v>
      </c>
      <c r="K634" s="7" cm="1">
        <f t="array" ref="K634">INDEX(Sm,G634)</f>
        <v>2.6009864459479211</v>
      </c>
      <c r="L634" s="7">
        <f t="shared" si="39"/>
        <v>383.45203955394607</v>
      </c>
      <c r="M634" s="7">
        <f t="shared" si="40"/>
        <v>9.9179604460539394</v>
      </c>
    </row>
    <row r="635" spans="6:13" ht="18.75" customHeight="1">
      <c r="F635" s="1">
        <v>40664</v>
      </c>
      <c r="G635">
        <f t="shared" si="37"/>
        <v>5</v>
      </c>
      <c r="H635" s="7">
        <v>394.28</v>
      </c>
      <c r="I635" s="7">
        <f>_B*F635+_C</f>
        <v>380.95981073536268</v>
      </c>
      <c r="J635" s="7">
        <f t="shared" si="38"/>
        <v>13.320189264637293</v>
      </c>
      <c r="K635" s="7" cm="1">
        <f t="array" ref="K635">INDEX(Sm,G635)</f>
        <v>2.9998113917703657</v>
      </c>
      <c r="L635" s="7">
        <f t="shared" si="39"/>
        <v>383.95962212713306</v>
      </c>
      <c r="M635" s="7">
        <f t="shared" si="40"/>
        <v>10.320377872866914</v>
      </c>
    </row>
    <row r="636" spans="6:13" ht="18.75" customHeight="1">
      <c r="F636" s="1">
        <v>40695</v>
      </c>
      <c r="G636">
        <f t="shared" si="37"/>
        <v>6</v>
      </c>
      <c r="H636" s="7">
        <v>393.69</v>
      </c>
      <c r="I636" s="7">
        <f>_B*F636+_C</f>
        <v>381.07219361697264</v>
      </c>
      <c r="J636" s="7">
        <f t="shared" si="38"/>
        <v>12.617806383027357</v>
      </c>
      <c r="K636" s="7" cm="1">
        <f t="array" ref="K636">INDEX(Sm,G636)</f>
        <v>2.2382077892599441</v>
      </c>
      <c r="L636" s="7">
        <f t="shared" si="39"/>
        <v>383.31040140623259</v>
      </c>
      <c r="M636" s="7">
        <f t="shared" si="40"/>
        <v>10.379598593767412</v>
      </c>
    </row>
    <row r="637" spans="6:13" ht="18.75" customHeight="1">
      <c r="F637" s="1">
        <v>40725</v>
      </c>
      <c r="G637">
        <f t="shared" si="37"/>
        <v>7</v>
      </c>
      <c r="H637" s="7">
        <v>392.59</v>
      </c>
      <c r="I637" s="7">
        <f>_B*F637+_C</f>
        <v>381.18095124433705</v>
      </c>
      <c r="J637" s="7">
        <f t="shared" si="38"/>
        <v>11.409048755662923</v>
      </c>
      <c r="K637" s="7" cm="1">
        <f t="array" ref="K637">INDEX(Sm,G637)</f>
        <v>0.82390897803401641</v>
      </c>
      <c r="L637" s="7">
        <f t="shared" si="39"/>
        <v>382.00486022237106</v>
      </c>
      <c r="M637" s="7">
        <f t="shared" si="40"/>
        <v>10.58513977762891</v>
      </c>
    </row>
    <row r="638" spans="6:13" ht="18.75" customHeight="1">
      <c r="F638" s="1">
        <v>40756</v>
      </c>
      <c r="G638">
        <f t="shared" si="37"/>
        <v>8</v>
      </c>
      <c r="H638" s="7">
        <v>390.21</v>
      </c>
      <c r="I638" s="7">
        <f>_B*F638+_C</f>
        <v>381.29333412594701</v>
      </c>
      <c r="J638" s="7">
        <f t="shared" si="38"/>
        <v>8.916665874052967</v>
      </c>
      <c r="K638" s="7" cm="1">
        <f t="array" ref="K638">INDEX(Sm,G638)</f>
        <v>-1.2322834273854675</v>
      </c>
      <c r="L638" s="7">
        <f t="shared" si="39"/>
        <v>380.06105069856153</v>
      </c>
      <c r="M638" s="7">
        <f t="shared" si="40"/>
        <v>10.148949301438449</v>
      </c>
    </row>
    <row r="639" spans="6:13" ht="18.75" customHeight="1">
      <c r="F639" s="1">
        <v>40787</v>
      </c>
      <c r="G639">
        <f t="shared" si="37"/>
        <v>9</v>
      </c>
      <c r="H639" s="7">
        <v>389</v>
      </c>
      <c r="I639" s="7">
        <f>_B*F639+_C</f>
        <v>381.40571700755697</v>
      </c>
      <c r="J639" s="7">
        <f t="shared" si="38"/>
        <v>7.5942829924430271</v>
      </c>
      <c r="K639" s="7" cm="1">
        <f t="array" ref="K639">INDEX(Sm,G639)</f>
        <v>-3.0765710709001954</v>
      </c>
      <c r="L639" s="7">
        <f t="shared" si="39"/>
        <v>378.3291459366568</v>
      </c>
      <c r="M639" s="7">
        <f t="shared" si="40"/>
        <v>10.670854063343199</v>
      </c>
    </row>
    <row r="640" spans="6:13" ht="18.75" customHeight="1">
      <c r="F640" s="1">
        <v>40817</v>
      </c>
      <c r="G640">
        <f t="shared" si="37"/>
        <v>10</v>
      </c>
      <c r="H640" s="7">
        <v>388.93</v>
      </c>
      <c r="I640" s="7">
        <f>_B*F640+_C</f>
        <v>381.5144746349215</v>
      </c>
      <c r="J640" s="7">
        <f t="shared" si="38"/>
        <v>7.4155253650785085</v>
      </c>
      <c r="K640" s="7" cm="1">
        <f t="array" ref="K640">INDEX(Sm,G640)</f>
        <v>-3.3570000579572215</v>
      </c>
      <c r="L640" s="7">
        <f t="shared" si="39"/>
        <v>378.15747457696426</v>
      </c>
      <c r="M640" s="7">
        <f t="shared" si="40"/>
        <v>10.772525423035745</v>
      </c>
    </row>
    <row r="641" spans="6:13" ht="18.75" customHeight="1">
      <c r="F641" s="1">
        <v>40848</v>
      </c>
      <c r="G641">
        <f t="shared" si="37"/>
        <v>11</v>
      </c>
      <c r="H641" s="7">
        <v>390.24</v>
      </c>
      <c r="I641" s="7">
        <f>_B*F641+_C</f>
        <v>381.62685751653146</v>
      </c>
      <c r="J641" s="7">
        <f t="shared" si="38"/>
        <v>8.6131424834685504</v>
      </c>
      <c r="K641" s="7" cm="1">
        <f t="array" ref="K641">INDEX(Sm,G641)</f>
        <v>-2.069140151303194</v>
      </c>
      <c r="L641" s="7">
        <f t="shared" si="39"/>
        <v>379.55771736522826</v>
      </c>
      <c r="M641" s="7">
        <f t="shared" si="40"/>
        <v>10.682282634771752</v>
      </c>
    </row>
    <row r="642" spans="6:13" ht="18.75" customHeight="1">
      <c r="F642" s="1">
        <v>40878</v>
      </c>
      <c r="G642">
        <f t="shared" si="37"/>
        <v>12</v>
      </c>
      <c r="H642" s="7">
        <v>391.8</v>
      </c>
      <c r="I642" s="7">
        <f>_B*F642+_C</f>
        <v>381.73561514389593</v>
      </c>
      <c r="J642" s="7">
        <f t="shared" si="38"/>
        <v>10.064384856104084</v>
      </c>
      <c r="K642" s="7" cm="1">
        <f t="array" ref="K642">INDEX(Sm,G642)</f>
        <v>-0.94051682628672428</v>
      </c>
      <c r="L642" s="7">
        <f t="shared" si="39"/>
        <v>380.79509831760919</v>
      </c>
      <c r="M642" s="7">
        <f t="shared" si="40"/>
        <v>11.004901682390823</v>
      </c>
    </row>
    <row r="643" spans="6:13" ht="18.75" customHeight="1">
      <c r="F643" s="1">
        <v>40909</v>
      </c>
      <c r="G643">
        <f t="shared" ref="G643:G706" si="41">MONTH(F643)</f>
        <v>1</v>
      </c>
      <c r="H643" s="7">
        <v>393.07</v>
      </c>
      <c r="I643" s="7">
        <f>_B*F643+_C</f>
        <v>381.84799802550589</v>
      </c>
      <c r="J643" s="7">
        <f t="shared" ref="J643:J706" si="42">H643-I643</f>
        <v>11.222001974494106</v>
      </c>
      <c r="K643" s="7" cm="1">
        <f t="array" ref="K643">INDEX(Sm,G643)</f>
        <v>-2.6471136468108808E-2</v>
      </c>
      <c r="L643" s="7">
        <f t="shared" ref="L643:L706" si="43">I643+K643</f>
        <v>381.82152688903778</v>
      </c>
      <c r="M643" s="7">
        <f t="shared" ref="M643:M706" si="44">H643-L643</f>
        <v>11.248473110962209</v>
      </c>
    </row>
    <row r="644" spans="6:13" ht="18.75" customHeight="1">
      <c r="F644" s="1">
        <v>40940</v>
      </c>
      <c r="G644">
        <f t="shared" si="41"/>
        <v>2</v>
      </c>
      <c r="H644" s="7">
        <v>393.35</v>
      </c>
      <c r="I644" s="7">
        <f>_B*F644+_C</f>
        <v>381.96038090711585</v>
      </c>
      <c r="J644" s="7">
        <f t="shared" si="42"/>
        <v>11.389619092884175</v>
      </c>
      <c r="K644" s="7" cm="1">
        <f t="array" ref="K644">INDEX(Sm,G644)</f>
        <v>0.58733060283015548</v>
      </c>
      <c r="L644" s="7">
        <f t="shared" si="43"/>
        <v>382.547711509946</v>
      </c>
      <c r="M644" s="7">
        <f t="shared" si="44"/>
        <v>10.802288490054025</v>
      </c>
    </row>
    <row r="645" spans="6:13" ht="18.75" customHeight="1">
      <c r="F645" s="1">
        <v>40969</v>
      </c>
      <c r="G645">
        <f t="shared" si="41"/>
        <v>3</v>
      </c>
      <c r="H645" s="7">
        <v>394.36</v>
      </c>
      <c r="I645" s="7">
        <f>_B*F645+_C</f>
        <v>382.06551328023488</v>
      </c>
      <c r="J645" s="7">
        <f t="shared" si="42"/>
        <v>12.294486719765132</v>
      </c>
      <c r="K645" s="7" cm="1">
        <f t="array" ref="K645">INDEX(Sm,G645)</f>
        <v>1.4390836132721692</v>
      </c>
      <c r="L645" s="7">
        <f t="shared" si="43"/>
        <v>383.50459689350703</v>
      </c>
      <c r="M645" s="7">
        <f t="shared" si="44"/>
        <v>10.855403106492986</v>
      </c>
    </row>
    <row r="646" spans="6:13" ht="18.75" customHeight="1">
      <c r="F646" s="1">
        <v>41000</v>
      </c>
      <c r="G646">
        <f t="shared" si="41"/>
        <v>4</v>
      </c>
      <c r="H646" s="7">
        <v>396.43</v>
      </c>
      <c r="I646" s="7">
        <f>_B*F646+_C</f>
        <v>382.17789616184484</v>
      </c>
      <c r="J646" s="7">
        <f t="shared" si="42"/>
        <v>14.252103838155165</v>
      </c>
      <c r="K646" s="7" cm="1">
        <f t="array" ref="K646">INDEX(Sm,G646)</f>
        <v>2.6009864459479211</v>
      </c>
      <c r="L646" s="7">
        <f t="shared" si="43"/>
        <v>384.77888260779275</v>
      </c>
      <c r="M646" s="7">
        <f t="shared" si="44"/>
        <v>11.651117392207254</v>
      </c>
    </row>
    <row r="647" spans="6:13" ht="18.75" customHeight="1">
      <c r="F647" s="1">
        <v>41030</v>
      </c>
      <c r="G647">
        <f t="shared" si="41"/>
        <v>5</v>
      </c>
      <c r="H647" s="7">
        <v>396.87</v>
      </c>
      <c r="I647" s="7">
        <f>_B*F647+_C</f>
        <v>382.28665378920925</v>
      </c>
      <c r="J647" s="7">
        <f t="shared" si="42"/>
        <v>14.583346210790751</v>
      </c>
      <c r="K647" s="7" cm="1">
        <f t="array" ref="K647">INDEX(Sm,G647)</f>
        <v>2.9998113917703657</v>
      </c>
      <c r="L647" s="7">
        <f t="shared" si="43"/>
        <v>385.28646518097963</v>
      </c>
      <c r="M647" s="7">
        <f t="shared" si="44"/>
        <v>11.583534819020372</v>
      </c>
    </row>
    <row r="648" spans="6:13" ht="18.75" customHeight="1">
      <c r="F648" s="1">
        <v>41061</v>
      </c>
      <c r="G648">
        <f t="shared" si="41"/>
        <v>6</v>
      </c>
      <c r="H648" s="7">
        <v>395.88</v>
      </c>
      <c r="I648" s="7">
        <f>_B*F648+_C</f>
        <v>382.39903667081921</v>
      </c>
      <c r="J648" s="7">
        <f t="shared" si="42"/>
        <v>13.480963329180781</v>
      </c>
      <c r="K648" s="7" cm="1">
        <f t="array" ref="K648">INDEX(Sm,G648)</f>
        <v>2.2382077892599441</v>
      </c>
      <c r="L648" s="7">
        <f t="shared" si="43"/>
        <v>384.63724446007916</v>
      </c>
      <c r="M648" s="7">
        <f t="shared" si="44"/>
        <v>11.242755539920836</v>
      </c>
    </row>
    <row r="649" spans="6:13" ht="18.75" customHeight="1">
      <c r="F649" s="1">
        <v>41091</v>
      </c>
      <c r="G649">
        <f t="shared" si="41"/>
        <v>7</v>
      </c>
      <c r="H649" s="7">
        <v>394.52</v>
      </c>
      <c r="I649" s="7">
        <f>_B*F649+_C</f>
        <v>382.50779429818374</v>
      </c>
      <c r="J649" s="7">
        <f t="shared" si="42"/>
        <v>12.012205701816242</v>
      </c>
      <c r="K649" s="7" cm="1">
        <f t="array" ref="K649">INDEX(Sm,G649)</f>
        <v>0.82390897803401641</v>
      </c>
      <c r="L649" s="7">
        <f t="shared" si="43"/>
        <v>383.33170327621775</v>
      </c>
      <c r="M649" s="7">
        <f t="shared" si="44"/>
        <v>11.18829672378223</v>
      </c>
    </row>
    <row r="650" spans="6:13" ht="18.75" customHeight="1">
      <c r="F650" s="1">
        <v>41122</v>
      </c>
      <c r="G650">
        <f t="shared" si="41"/>
        <v>8</v>
      </c>
      <c r="H650" s="7">
        <v>392.54</v>
      </c>
      <c r="I650" s="7">
        <f>_B*F650+_C</f>
        <v>382.6201771797937</v>
      </c>
      <c r="J650" s="7">
        <f t="shared" si="42"/>
        <v>9.9198228202063206</v>
      </c>
      <c r="K650" s="7" cm="1">
        <f t="array" ref="K650">INDEX(Sm,G650)</f>
        <v>-1.2322834273854675</v>
      </c>
      <c r="L650" s="7">
        <f t="shared" si="43"/>
        <v>381.38789375240822</v>
      </c>
      <c r="M650" s="7">
        <f t="shared" si="44"/>
        <v>11.152106247591803</v>
      </c>
    </row>
    <row r="651" spans="6:13" ht="18.75" customHeight="1">
      <c r="F651" s="1">
        <v>41153</v>
      </c>
      <c r="G651">
        <f t="shared" si="41"/>
        <v>9</v>
      </c>
      <c r="H651" s="7">
        <v>391.13</v>
      </c>
      <c r="I651" s="7">
        <f>_B*F651+_C</f>
        <v>382.73256006140366</v>
      </c>
      <c r="J651" s="7">
        <f t="shared" si="42"/>
        <v>8.3974399385963352</v>
      </c>
      <c r="K651" s="7" cm="1">
        <f t="array" ref="K651">INDEX(Sm,G651)</f>
        <v>-3.0765710709001954</v>
      </c>
      <c r="L651" s="7">
        <f t="shared" si="43"/>
        <v>379.65598899050349</v>
      </c>
      <c r="M651" s="7">
        <f t="shared" si="44"/>
        <v>11.474011009496508</v>
      </c>
    </row>
    <row r="652" spans="6:13" ht="18.75" customHeight="1">
      <c r="F652" s="1">
        <v>41183</v>
      </c>
      <c r="G652">
        <f t="shared" si="41"/>
        <v>10</v>
      </c>
      <c r="H652" s="7">
        <v>391.01</v>
      </c>
      <c r="I652" s="7">
        <f>_B*F652+_C</f>
        <v>382.84131768876807</v>
      </c>
      <c r="J652" s="7">
        <f t="shared" si="42"/>
        <v>8.1686823112319189</v>
      </c>
      <c r="K652" s="7" cm="1">
        <f t="array" ref="K652">INDEX(Sm,G652)</f>
        <v>-3.3570000579572215</v>
      </c>
      <c r="L652" s="7">
        <f t="shared" si="43"/>
        <v>379.48431763081084</v>
      </c>
      <c r="M652" s="7">
        <f t="shared" si="44"/>
        <v>11.525682369189155</v>
      </c>
    </row>
    <row r="653" spans="6:13" ht="18.75" customHeight="1">
      <c r="F653" s="1">
        <v>41214</v>
      </c>
      <c r="G653">
        <f t="shared" si="41"/>
        <v>11</v>
      </c>
      <c r="H653" s="7">
        <v>392.95</v>
      </c>
      <c r="I653" s="7">
        <f>_B*F653+_C</f>
        <v>382.95370057037803</v>
      </c>
      <c r="J653" s="7">
        <f t="shared" si="42"/>
        <v>9.9962994296219563</v>
      </c>
      <c r="K653" s="7" cm="1">
        <f t="array" ref="K653">INDEX(Sm,G653)</f>
        <v>-2.069140151303194</v>
      </c>
      <c r="L653" s="7">
        <f t="shared" si="43"/>
        <v>380.88456041907483</v>
      </c>
      <c r="M653" s="7">
        <f t="shared" si="44"/>
        <v>12.065439580925158</v>
      </c>
    </row>
    <row r="654" spans="6:13" ht="18.75" customHeight="1">
      <c r="F654" s="1">
        <v>41244</v>
      </c>
      <c r="G654">
        <f t="shared" si="41"/>
        <v>12</v>
      </c>
      <c r="H654" s="7">
        <v>394.33</v>
      </c>
      <c r="I654" s="7">
        <f>_B*F654+_C</f>
        <v>383.06245819774256</v>
      </c>
      <c r="J654" s="7">
        <f t="shared" si="42"/>
        <v>11.267541802257426</v>
      </c>
      <c r="K654" s="7" cm="1">
        <f t="array" ref="K654">INDEX(Sm,G654)</f>
        <v>-0.94051682628672428</v>
      </c>
      <c r="L654" s="7">
        <f t="shared" si="43"/>
        <v>382.12194137145582</v>
      </c>
      <c r="M654" s="7">
        <f t="shared" si="44"/>
        <v>12.208058628544165</v>
      </c>
    </row>
    <row r="655" spans="6:13" ht="18.75" customHeight="1">
      <c r="F655" s="1">
        <v>41275</v>
      </c>
      <c r="G655">
        <f t="shared" si="41"/>
        <v>1</v>
      </c>
      <c r="H655" s="7">
        <v>395.61</v>
      </c>
      <c r="I655" s="7">
        <f>_B*F655+_C</f>
        <v>383.17484107935252</v>
      </c>
      <c r="J655" s="7">
        <f t="shared" si="42"/>
        <v>12.435158920647496</v>
      </c>
      <c r="K655" s="7" cm="1">
        <f t="array" ref="K655">INDEX(Sm,G655)</f>
        <v>-2.6471136468108808E-2</v>
      </c>
      <c r="L655" s="7">
        <f t="shared" si="43"/>
        <v>383.14836994288441</v>
      </c>
      <c r="M655" s="7">
        <f t="shared" si="44"/>
        <v>12.461630057115599</v>
      </c>
    </row>
    <row r="656" spans="6:13" ht="18.75" customHeight="1">
      <c r="F656" s="1">
        <v>41306</v>
      </c>
      <c r="G656">
        <f t="shared" si="41"/>
        <v>2</v>
      </c>
      <c r="H656" s="7">
        <v>396.85</v>
      </c>
      <c r="I656" s="7">
        <f>_B*F656+_C</f>
        <v>383.28722396096248</v>
      </c>
      <c r="J656" s="7">
        <f t="shared" si="42"/>
        <v>13.562776039037544</v>
      </c>
      <c r="K656" s="7" cm="1">
        <f t="array" ref="K656">INDEX(Sm,G656)</f>
        <v>0.58733060283015548</v>
      </c>
      <c r="L656" s="7">
        <f t="shared" si="43"/>
        <v>383.87455456379263</v>
      </c>
      <c r="M656" s="7">
        <f t="shared" si="44"/>
        <v>12.975445436207394</v>
      </c>
    </row>
    <row r="657" spans="6:13" ht="18.75" customHeight="1">
      <c r="F657" s="1">
        <v>41334</v>
      </c>
      <c r="G657">
        <f t="shared" si="41"/>
        <v>3</v>
      </c>
      <c r="H657" s="7">
        <v>397.26</v>
      </c>
      <c r="I657" s="7">
        <f>_B*F657+_C</f>
        <v>383.38873107983602</v>
      </c>
      <c r="J657" s="7">
        <f t="shared" si="42"/>
        <v>13.871268920163971</v>
      </c>
      <c r="K657" s="7" cm="1">
        <f t="array" ref="K657">INDEX(Sm,G657)</f>
        <v>1.4390836132721692</v>
      </c>
      <c r="L657" s="7">
        <f t="shared" si="43"/>
        <v>384.82781469310817</v>
      </c>
      <c r="M657" s="7">
        <f t="shared" si="44"/>
        <v>12.432185306891824</v>
      </c>
    </row>
    <row r="658" spans="6:13" ht="18.75" customHeight="1">
      <c r="F658" s="1">
        <v>41365</v>
      </c>
      <c r="G658">
        <f t="shared" si="41"/>
        <v>4</v>
      </c>
      <c r="H658" s="7">
        <v>398.35</v>
      </c>
      <c r="I658" s="7">
        <f>_B*F658+_C</f>
        <v>383.50111396144598</v>
      </c>
      <c r="J658" s="7">
        <f t="shared" si="42"/>
        <v>14.848886038554042</v>
      </c>
      <c r="K658" s="7" cm="1">
        <f t="array" ref="K658">INDEX(Sm,G658)</f>
        <v>2.6009864459479211</v>
      </c>
      <c r="L658" s="7">
        <f t="shared" si="43"/>
        <v>386.10210040739389</v>
      </c>
      <c r="M658" s="7">
        <f t="shared" si="44"/>
        <v>12.247899592606132</v>
      </c>
    </row>
    <row r="659" spans="6:13" ht="18.75" customHeight="1">
      <c r="F659" s="1">
        <v>41395</v>
      </c>
      <c r="G659">
        <f t="shared" si="41"/>
        <v>5</v>
      </c>
      <c r="H659" s="7">
        <v>399.98</v>
      </c>
      <c r="I659" s="7">
        <f>_B*F659+_C</f>
        <v>383.60987158881039</v>
      </c>
      <c r="J659" s="7">
        <f t="shared" si="42"/>
        <v>16.370128411189626</v>
      </c>
      <c r="K659" s="7" cm="1">
        <f t="array" ref="K659">INDEX(Sm,G659)</f>
        <v>2.9998113917703657</v>
      </c>
      <c r="L659" s="7">
        <f t="shared" si="43"/>
        <v>386.60968298058077</v>
      </c>
      <c r="M659" s="7">
        <f t="shared" si="44"/>
        <v>13.370317019419247</v>
      </c>
    </row>
    <row r="660" spans="6:13" ht="18.75" customHeight="1">
      <c r="F660" s="1">
        <v>41426</v>
      </c>
      <c r="G660">
        <f t="shared" si="41"/>
        <v>6</v>
      </c>
      <c r="H660" s="7">
        <v>398.87</v>
      </c>
      <c r="I660" s="7">
        <f>_B*F660+_C</f>
        <v>383.72225447042035</v>
      </c>
      <c r="J660" s="7">
        <f t="shared" si="42"/>
        <v>15.147745529579652</v>
      </c>
      <c r="K660" s="7" cm="1">
        <f t="array" ref="K660">INDEX(Sm,G660)</f>
        <v>2.2382077892599441</v>
      </c>
      <c r="L660" s="7">
        <f t="shared" si="43"/>
        <v>385.9604622596803</v>
      </c>
      <c r="M660" s="7">
        <f t="shared" si="44"/>
        <v>12.909537740319706</v>
      </c>
    </row>
    <row r="661" spans="6:13" ht="18.75" customHeight="1">
      <c r="F661" s="1">
        <v>41456</v>
      </c>
      <c r="G661">
        <f t="shared" si="41"/>
        <v>7</v>
      </c>
      <c r="H661" s="7">
        <v>397.37</v>
      </c>
      <c r="I661" s="7">
        <f>_B*F661+_C</f>
        <v>383.83101209778488</v>
      </c>
      <c r="J661" s="7">
        <f t="shared" si="42"/>
        <v>13.538987902215126</v>
      </c>
      <c r="K661" s="7" cm="1">
        <f t="array" ref="K661">INDEX(Sm,G661)</f>
        <v>0.82390897803401641</v>
      </c>
      <c r="L661" s="7">
        <f t="shared" si="43"/>
        <v>384.65492107581889</v>
      </c>
      <c r="M661" s="7">
        <f t="shared" si="44"/>
        <v>12.715078924181114</v>
      </c>
    </row>
    <row r="662" spans="6:13" ht="18.75" customHeight="1">
      <c r="F662" s="1">
        <v>41487</v>
      </c>
      <c r="G662">
        <f t="shared" si="41"/>
        <v>8</v>
      </c>
      <c r="H662" s="7">
        <v>395.41</v>
      </c>
      <c r="I662" s="7">
        <f>_B*F662+_C</f>
        <v>383.94339497939484</v>
      </c>
      <c r="J662" s="7">
        <f t="shared" si="42"/>
        <v>11.466605020605186</v>
      </c>
      <c r="K662" s="7" cm="1">
        <f t="array" ref="K662">INDEX(Sm,G662)</f>
        <v>-1.2322834273854675</v>
      </c>
      <c r="L662" s="7">
        <f t="shared" si="43"/>
        <v>382.71111155200936</v>
      </c>
      <c r="M662" s="7">
        <f t="shared" si="44"/>
        <v>12.698888447990669</v>
      </c>
    </row>
    <row r="663" spans="6:13" ht="18.75" customHeight="1">
      <c r="F663" s="1">
        <v>41518</v>
      </c>
      <c r="G663">
        <f t="shared" si="41"/>
        <v>9</v>
      </c>
      <c r="H663" s="7">
        <v>393.39</v>
      </c>
      <c r="I663" s="7">
        <f>_B*F663+_C</f>
        <v>384.0557778610048</v>
      </c>
      <c r="J663" s="7">
        <f t="shared" si="42"/>
        <v>9.3342221389951874</v>
      </c>
      <c r="K663" s="7" cm="1">
        <f t="array" ref="K663">INDEX(Sm,G663)</f>
        <v>-3.0765710709001954</v>
      </c>
      <c r="L663" s="7">
        <f t="shared" si="43"/>
        <v>380.97920679010463</v>
      </c>
      <c r="M663" s="7">
        <f t="shared" si="44"/>
        <v>12.41079320989536</v>
      </c>
    </row>
    <row r="664" spans="6:13" ht="18.75" customHeight="1">
      <c r="F664" s="1">
        <v>41548</v>
      </c>
      <c r="G664">
        <f t="shared" si="41"/>
        <v>10</v>
      </c>
      <c r="H664" s="7">
        <v>393.7</v>
      </c>
      <c r="I664" s="7">
        <f>_B*F664+_C</f>
        <v>384.16453548836927</v>
      </c>
      <c r="J664" s="7">
        <f t="shared" si="42"/>
        <v>9.5354645116307211</v>
      </c>
      <c r="K664" s="7" cm="1">
        <f t="array" ref="K664">INDEX(Sm,G664)</f>
        <v>-3.3570000579572215</v>
      </c>
      <c r="L664" s="7">
        <f t="shared" si="43"/>
        <v>380.80753543041203</v>
      </c>
      <c r="M664" s="7">
        <f t="shared" si="44"/>
        <v>12.892464569587958</v>
      </c>
    </row>
    <row r="665" spans="6:13" ht="18.75" customHeight="1">
      <c r="F665" s="1">
        <v>41579</v>
      </c>
      <c r="G665">
        <f t="shared" si="41"/>
        <v>11</v>
      </c>
      <c r="H665" s="7">
        <v>395.19</v>
      </c>
      <c r="I665" s="7">
        <f>_B*F665+_C</f>
        <v>384.27691836997923</v>
      </c>
      <c r="J665" s="7">
        <f t="shared" si="42"/>
        <v>10.91308163002077</v>
      </c>
      <c r="K665" s="7" cm="1">
        <f t="array" ref="K665">INDEX(Sm,G665)</f>
        <v>-2.069140151303194</v>
      </c>
      <c r="L665" s="7">
        <f t="shared" si="43"/>
        <v>382.20777821867603</v>
      </c>
      <c r="M665" s="7">
        <f t="shared" si="44"/>
        <v>12.982221781323972</v>
      </c>
    </row>
    <row r="666" spans="6:13" ht="18.75" customHeight="1">
      <c r="F666" s="1">
        <v>41609</v>
      </c>
      <c r="G666">
        <f t="shared" si="41"/>
        <v>12</v>
      </c>
      <c r="H666" s="7">
        <v>396.82</v>
      </c>
      <c r="I666" s="7">
        <f>_B*F666+_C</f>
        <v>384.3856759973437</v>
      </c>
      <c r="J666" s="7">
        <f t="shared" si="42"/>
        <v>12.434324002656297</v>
      </c>
      <c r="K666" s="7" cm="1">
        <f t="array" ref="K666">INDEX(Sm,G666)</f>
        <v>-0.94051682628672428</v>
      </c>
      <c r="L666" s="7">
        <f t="shared" si="43"/>
        <v>383.44515917105696</v>
      </c>
      <c r="M666" s="7">
        <f t="shared" si="44"/>
        <v>13.374840828943036</v>
      </c>
    </row>
    <row r="667" spans="6:13" ht="18.75" customHeight="1">
      <c r="F667" s="1">
        <v>41640</v>
      </c>
      <c r="G667">
        <f t="shared" si="41"/>
        <v>1</v>
      </c>
      <c r="H667" s="7">
        <v>397.93</v>
      </c>
      <c r="I667" s="7">
        <f>_B*F667+_C</f>
        <v>384.49805887895366</v>
      </c>
      <c r="J667" s="7">
        <f t="shared" si="42"/>
        <v>13.43194112104635</v>
      </c>
      <c r="K667" s="7" cm="1">
        <f t="array" ref="K667">INDEX(Sm,G667)</f>
        <v>-2.6471136468108808E-2</v>
      </c>
      <c r="L667" s="7">
        <f t="shared" si="43"/>
        <v>384.47158774248555</v>
      </c>
      <c r="M667" s="7">
        <f t="shared" si="44"/>
        <v>13.458412257514453</v>
      </c>
    </row>
    <row r="668" spans="6:13" ht="18.75" customHeight="1">
      <c r="F668" s="1">
        <v>41671</v>
      </c>
      <c r="G668">
        <f t="shared" si="41"/>
        <v>2</v>
      </c>
      <c r="H668" s="7">
        <v>398.1</v>
      </c>
      <c r="I668" s="7">
        <f>_B*F668+_C</f>
        <v>384.61044176056362</v>
      </c>
      <c r="J668" s="7">
        <f t="shared" si="42"/>
        <v>13.489558239436406</v>
      </c>
      <c r="K668" s="7" cm="1">
        <f t="array" ref="K668">INDEX(Sm,G668)</f>
        <v>0.58733060283015548</v>
      </c>
      <c r="L668" s="7">
        <f t="shared" si="43"/>
        <v>385.19777236339377</v>
      </c>
      <c r="M668" s="7">
        <f t="shared" si="44"/>
        <v>12.902227636606256</v>
      </c>
    </row>
    <row r="669" spans="6:13" ht="18.75" customHeight="1">
      <c r="F669" s="1">
        <v>41699</v>
      </c>
      <c r="G669">
        <f t="shared" si="41"/>
        <v>3</v>
      </c>
      <c r="H669" s="7">
        <v>399.47</v>
      </c>
      <c r="I669" s="7">
        <f>_B*F669+_C</f>
        <v>384.71194887943716</v>
      </c>
      <c r="J669" s="7">
        <f t="shared" si="42"/>
        <v>14.758051120562868</v>
      </c>
      <c r="K669" s="7" cm="1">
        <f t="array" ref="K669">INDEX(Sm,G669)</f>
        <v>1.4390836132721692</v>
      </c>
      <c r="L669" s="7">
        <f t="shared" si="43"/>
        <v>386.15103249270931</v>
      </c>
      <c r="M669" s="7">
        <f t="shared" si="44"/>
        <v>13.318967507290722</v>
      </c>
    </row>
    <row r="670" spans="6:13" ht="18.75" customHeight="1">
      <c r="F670" s="1">
        <v>41730</v>
      </c>
      <c r="G670">
        <f t="shared" si="41"/>
        <v>4</v>
      </c>
      <c r="H670" s="7">
        <v>401.33</v>
      </c>
      <c r="I670" s="7">
        <f>_B*F670+_C</f>
        <v>384.82433176104712</v>
      </c>
      <c r="J670" s="7">
        <f t="shared" si="42"/>
        <v>16.505668238952865</v>
      </c>
      <c r="K670" s="7" cm="1">
        <f t="array" ref="K670">INDEX(Sm,G670)</f>
        <v>2.6009864459479211</v>
      </c>
      <c r="L670" s="7">
        <f t="shared" si="43"/>
        <v>387.42531820699503</v>
      </c>
      <c r="M670" s="7">
        <f t="shared" si="44"/>
        <v>13.904681793004954</v>
      </c>
    </row>
    <row r="671" spans="6:13" ht="18.75" customHeight="1">
      <c r="F671" s="1">
        <v>41760</v>
      </c>
      <c r="G671">
        <f t="shared" si="41"/>
        <v>5</v>
      </c>
      <c r="H671" s="7">
        <v>401.88</v>
      </c>
      <c r="I671" s="7">
        <f>_B*F671+_C</f>
        <v>384.93308938841153</v>
      </c>
      <c r="J671" s="7">
        <f t="shared" si="42"/>
        <v>16.946910611588464</v>
      </c>
      <c r="K671" s="7" cm="1">
        <f t="array" ref="K671">INDEX(Sm,G671)</f>
        <v>2.9998113917703657</v>
      </c>
      <c r="L671" s="7">
        <f t="shared" si="43"/>
        <v>387.93290078018191</v>
      </c>
      <c r="M671" s="7">
        <f t="shared" si="44"/>
        <v>13.947099219818085</v>
      </c>
    </row>
    <row r="672" spans="6:13" ht="18.75" customHeight="1">
      <c r="F672" s="1">
        <v>41791</v>
      </c>
      <c r="G672">
        <f t="shared" si="41"/>
        <v>6</v>
      </c>
      <c r="H672" s="7">
        <v>401.31</v>
      </c>
      <c r="I672" s="7">
        <f>_B*F672+_C</f>
        <v>385.04547227002149</v>
      </c>
      <c r="J672" s="7">
        <f t="shared" si="42"/>
        <v>16.264527729978511</v>
      </c>
      <c r="K672" s="7" cm="1">
        <f t="array" ref="K672">INDEX(Sm,G672)</f>
        <v>2.2382077892599441</v>
      </c>
      <c r="L672" s="7">
        <f t="shared" si="43"/>
        <v>387.28368005928144</v>
      </c>
      <c r="M672" s="7">
        <f t="shared" si="44"/>
        <v>14.026319940718565</v>
      </c>
    </row>
    <row r="673" spans="6:13" ht="18.75" customHeight="1">
      <c r="F673" s="1">
        <v>41821</v>
      </c>
      <c r="G673">
        <f t="shared" si="41"/>
        <v>7</v>
      </c>
      <c r="H673" s="7">
        <v>399.07</v>
      </c>
      <c r="I673" s="7">
        <f>_B*F673+_C</f>
        <v>385.15422989738602</v>
      </c>
      <c r="J673" s="7">
        <f t="shared" si="42"/>
        <v>13.915770102613976</v>
      </c>
      <c r="K673" s="7" cm="1">
        <f t="array" ref="K673">INDEX(Sm,G673)</f>
        <v>0.82390897803401641</v>
      </c>
      <c r="L673" s="7">
        <f t="shared" si="43"/>
        <v>385.97813887542003</v>
      </c>
      <c r="M673" s="7">
        <f t="shared" si="44"/>
        <v>13.091861124579964</v>
      </c>
    </row>
    <row r="674" spans="6:13" ht="18.75" customHeight="1">
      <c r="F674" s="1">
        <v>41852</v>
      </c>
      <c r="G674">
        <f t="shared" si="41"/>
        <v>8</v>
      </c>
      <c r="H674" s="7">
        <v>397.21</v>
      </c>
      <c r="I674" s="7">
        <f>_B*F674+_C</f>
        <v>385.26661277899598</v>
      </c>
      <c r="J674" s="7">
        <f t="shared" si="42"/>
        <v>11.943387221004002</v>
      </c>
      <c r="K674" s="7" cm="1">
        <f t="array" ref="K674">INDEX(Sm,G674)</f>
        <v>-1.2322834273854675</v>
      </c>
      <c r="L674" s="7">
        <f t="shared" si="43"/>
        <v>384.03432935161049</v>
      </c>
      <c r="M674" s="7">
        <f t="shared" si="44"/>
        <v>13.175670648389485</v>
      </c>
    </row>
    <row r="675" spans="6:13" ht="18.75" customHeight="1">
      <c r="F675" s="1">
        <v>41883</v>
      </c>
      <c r="G675">
        <f t="shared" si="41"/>
        <v>9</v>
      </c>
      <c r="H675" s="7">
        <v>395.4</v>
      </c>
      <c r="I675" s="7">
        <f>_B*F675+_C</f>
        <v>385.37899566060594</v>
      </c>
      <c r="J675" s="7">
        <f t="shared" si="42"/>
        <v>10.02100433939404</v>
      </c>
      <c r="K675" s="7" cm="1">
        <f t="array" ref="K675">INDEX(Sm,G675)</f>
        <v>-3.0765710709001954</v>
      </c>
      <c r="L675" s="7">
        <f t="shared" si="43"/>
        <v>382.30242458970577</v>
      </c>
      <c r="M675" s="7">
        <f t="shared" si="44"/>
        <v>13.097575410294212</v>
      </c>
    </row>
    <row r="676" spans="6:13" ht="18.75" customHeight="1">
      <c r="F676" s="1">
        <v>41913</v>
      </c>
      <c r="G676">
        <f t="shared" si="41"/>
        <v>10</v>
      </c>
      <c r="H676" s="7">
        <v>395.65</v>
      </c>
      <c r="I676" s="7">
        <f>_B*F676+_C</f>
        <v>385.48775328797041</v>
      </c>
      <c r="J676" s="7">
        <f t="shared" si="42"/>
        <v>10.162246712029571</v>
      </c>
      <c r="K676" s="7" cm="1">
        <f t="array" ref="K676">INDEX(Sm,G676)</f>
        <v>-3.3570000579572215</v>
      </c>
      <c r="L676" s="7">
        <f t="shared" si="43"/>
        <v>382.13075323001317</v>
      </c>
      <c r="M676" s="7">
        <f t="shared" si="44"/>
        <v>13.519246769986808</v>
      </c>
    </row>
    <row r="677" spans="6:13" ht="18.75" customHeight="1">
      <c r="F677" s="1">
        <v>41944</v>
      </c>
      <c r="G677">
        <f t="shared" si="41"/>
        <v>11</v>
      </c>
      <c r="H677" s="7">
        <v>397.23</v>
      </c>
      <c r="I677" s="7">
        <f>_B*F677+_C</f>
        <v>385.60013616958037</v>
      </c>
      <c r="J677" s="7">
        <f t="shared" si="42"/>
        <v>11.629863830419652</v>
      </c>
      <c r="K677" s="7" cm="1">
        <f t="array" ref="K677">INDEX(Sm,G677)</f>
        <v>-2.069140151303194</v>
      </c>
      <c r="L677" s="7">
        <f t="shared" si="43"/>
        <v>383.53099601827716</v>
      </c>
      <c r="M677" s="7">
        <f t="shared" si="44"/>
        <v>13.699003981722853</v>
      </c>
    </row>
    <row r="678" spans="6:13" ht="18.75" customHeight="1">
      <c r="F678" s="1">
        <v>41974</v>
      </c>
      <c r="G678">
        <f t="shared" si="41"/>
        <v>12</v>
      </c>
      <c r="H678" s="7">
        <v>398.79</v>
      </c>
      <c r="I678" s="7">
        <f>_B*F678+_C</f>
        <v>385.70889379694484</v>
      </c>
      <c r="J678" s="7">
        <f t="shared" si="42"/>
        <v>13.081106203055185</v>
      </c>
      <c r="K678" s="7" cm="1">
        <f t="array" ref="K678">INDEX(Sm,G678)</f>
        <v>-0.94051682628672428</v>
      </c>
      <c r="L678" s="7">
        <f t="shared" si="43"/>
        <v>384.7683769706581</v>
      </c>
      <c r="M678" s="7">
        <f t="shared" si="44"/>
        <v>14.021623029341924</v>
      </c>
    </row>
    <row r="679" spans="6:13" ht="18.75" customHeight="1">
      <c r="F679" s="1">
        <v>42005</v>
      </c>
      <c r="G679">
        <f t="shared" si="41"/>
        <v>1</v>
      </c>
      <c r="H679" s="7">
        <v>399.85</v>
      </c>
      <c r="I679" s="7">
        <f>_B*F679+_C</f>
        <v>385.8212766785548</v>
      </c>
      <c r="J679" s="7">
        <f t="shared" si="42"/>
        <v>14.028723321445227</v>
      </c>
      <c r="K679" s="7" cm="1">
        <f t="array" ref="K679">INDEX(Sm,G679)</f>
        <v>-2.6471136468108808E-2</v>
      </c>
      <c r="L679" s="7">
        <f t="shared" si="43"/>
        <v>385.79480554208669</v>
      </c>
      <c r="M679" s="7">
        <f t="shared" si="44"/>
        <v>14.055194457913331</v>
      </c>
    </row>
    <row r="680" spans="6:13" ht="18.75" customHeight="1">
      <c r="F680" s="1">
        <v>42036</v>
      </c>
      <c r="G680">
        <f t="shared" si="41"/>
        <v>2</v>
      </c>
      <c r="H680" s="7">
        <v>400.31</v>
      </c>
      <c r="I680" s="7">
        <f>_B*F680+_C</f>
        <v>385.93365956016476</v>
      </c>
      <c r="J680" s="7">
        <f t="shared" si="42"/>
        <v>14.376340439835246</v>
      </c>
      <c r="K680" s="7" cm="1">
        <f t="array" ref="K680">INDEX(Sm,G680)</f>
        <v>0.58733060283015548</v>
      </c>
      <c r="L680" s="7">
        <f t="shared" si="43"/>
        <v>386.52099016299491</v>
      </c>
      <c r="M680" s="7">
        <f t="shared" si="44"/>
        <v>13.789009837005096</v>
      </c>
    </row>
    <row r="681" spans="6:13" ht="18.75" customHeight="1">
      <c r="F681" s="1">
        <v>42064</v>
      </c>
      <c r="G681">
        <f t="shared" si="41"/>
        <v>3</v>
      </c>
      <c r="H681" s="7">
        <v>401.51</v>
      </c>
      <c r="I681" s="7">
        <f>_B*F681+_C</f>
        <v>386.0351666790383</v>
      </c>
      <c r="J681" s="7">
        <f t="shared" si="42"/>
        <v>15.474833320961693</v>
      </c>
      <c r="K681" s="7" cm="1">
        <f t="array" ref="K681">INDEX(Sm,G681)</f>
        <v>1.4390836132721692</v>
      </c>
      <c r="L681" s="7">
        <f t="shared" si="43"/>
        <v>387.47425029231044</v>
      </c>
      <c r="M681" s="7">
        <f t="shared" si="44"/>
        <v>14.035749707689547</v>
      </c>
    </row>
    <row r="682" spans="6:13" ht="18.75" customHeight="1">
      <c r="F682" s="1">
        <v>42095</v>
      </c>
      <c r="G682">
        <f t="shared" si="41"/>
        <v>4</v>
      </c>
      <c r="H682" s="7">
        <v>403.45</v>
      </c>
      <c r="I682" s="7">
        <f>_B*F682+_C</f>
        <v>386.14754956064826</v>
      </c>
      <c r="J682" s="7">
        <f t="shared" si="42"/>
        <v>17.30245043935173</v>
      </c>
      <c r="K682" s="7" cm="1">
        <f t="array" ref="K682">INDEX(Sm,G682)</f>
        <v>2.6009864459479211</v>
      </c>
      <c r="L682" s="7">
        <f t="shared" si="43"/>
        <v>388.74853600659617</v>
      </c>
      <c r="M682" s="7">
        <f t="shared" si="44"/>
        <v>14.70146399340382</v>
      </c>
    </row>
    <row r="683" spans="6:13" ht="18.75" customHeight="1">
      <c r="F683" s="1">
        <v>42125</v>
      </c>
      <c r="G683">
        <f t="shared" si="41"/>
        <v>5</v>
      </c>
      <c r="H683" s="7">
        <v>404.1</v>
      </c>
      <c r="I683" s="7">
        <f>_B*F683+_C</f>
        <v>386.25630718801267</v>
      </c>
      <c r="J683" s="7">
        <f t="shared" si="42"/>
        <v>17.843692811987353</v>
      </c>
      <c r="K683" s="7" cm="1">
        <f t="array" ref="K683">INDEX(Sm,G683)</f>
        <v>2.9998113917703657</v>
      </c>
      <c r="L683" s="7">
        <f t="shared" si="43"/>
        <v>389.25611857978305</v>
      </c>
      <c r="M683" s="7">
        <f t="shared" si="44"/>
        <v>14.843881420216974</v>
      </c>
    </row>
    <row r="684" spans="6:13" ht="18.75" customHeight="1">
      <c r="F684" s="1">
        <v>42156</v>
      </c>
      <c r="G684">
        <f t="shared" si="41"/>
        <v>6</v>
      </c>
      <c r="H684" s="7">
        <v>402.88</v>
      </c>
      <c r="I684" s="7">
        <f>_B*F684+_C</f>
        <v>386.36869006962263</v>
      </c>
      <c r="J684" s="7">
        <f t="shared" si="42"/>
        <v>16.511309930377365</v>
      </c>
      <c r="K684" s="7" cm="1">
        <f t="array" ref="K684">INDEX(Sm,G684)</f>
        <v>2.2382077892599441</v>
      </c>
      <c r="L684" s="7">
        <f t="shared" si="43"/>
        <v>388.60689785888258</v>
      </c>
      <c r="M684" s="7">
        <f t="shared" si="44"/>
        <v>14.27310214111742</v>
      </c>
    </row>
    <row r="685" spans="6:13" ht="18.75" customHeight="1">
      <c r="F685" s="1">
        <v>42186</v>
      </c>
      <c r="G685">
        <f t="shared" si="41"/>
        <v>7</v>
      </c>
      <c r="H685" s="7">
        <v>401.61</v>
      </c>
      <c r="I685" s="7">
        <f>_B*F685+_C</f>
        <v>386.47744769698716</v>
      </c>
      <c r="J685" s="7">
        <f t="shared" si="42"/>
        <v>15.132552303012858</v>
      </c>
      <c r="K685" s="7" cm="1">
        <f t="array" ref="K685">INDEX(Sm,G685)</f>
        <v>0.82390897803401641</v>
      </c>
      <c r="L685" s="7">
        <f t="shared" si="43"/>
        <v>387.30135667502117</v>
      </c>
      <c r="M685" s="7">
        <f t="shared" si="44"/>
        <v>14.308643324978846</v>
      </c>
    </row>
    <row r="686" spans="6:13" ht="18.75" customHeight="1">
      <c r="F686" s="1">
        <v>42217</v>
      </c>
      <c r="G686">
        <f t="shared" si="41"/>
        <v>8</v>
      </c>
      <c r="H686" s="7">
        <v>399</v>
      </c>
      <c r="I686" s="7">
        <f>_B*F686+_C</f>
        <v>386.58983057859712</v>
      </c>
      <c r="J686" s="7">
        <f t="shared" si="42"/>
        <v>12.410169421402884</v>
      </c>
      <c r="K686" s="7" cm="1">
        <f t="array" ref="K686">INDEX(Sm,G686)</f>
        <v>-1.2322834273854675</v>
      </c>
      <c r="L686" s="7">
        <f t="shared" si="43"/>
        <v>385.35754715121163</v>
      </c>
      <c r="M686" s="7">
        <f t="shared" si="44"/>
        <v>13.642452848788366</v>
      </c>
    </row>
    <row r="687" spans="6:13" ht="18.75" customHeight="1">
      <c r="F687" s="1">
        <v>42248</v>
      </c>
      <c r="G687">
        <f t="shared" si="41"/>
        <v>9</v>
      </c>
      <c r="H687" s="7">
        <v>397.5</v>
      </c>
      <c r="I687" s="7">
        <f>_B*F687+_C</f>
        <v>386.70221346020708</v>
      </c>
      <c r="J687" s="7">
        <f t="shared" si="42"/>
        <v>10.797786539792924</v>
      </c>
      <c r="K687" s="7" cm="1">
        <f t="array" ref="K687">INDEX(Sm,G687)</f>
        <v>-3.0765710709001954</v>
      </c>
      <c r="L687" s="7">
        <f t="shared" si="43"/>
        <v>383.6256423893069</v>
      </c>
      <c r="M687" s="7">
        <f t="shared" si="44"/>
        <v>13.874357610693096</v>
      </c>
    </row>
    <row r="688" spans="6:13" ht="18.75" customHeight="1">
      <c r="F688" s="1">
        <v>42278</v>
      </c>
      <c r="G688">
        <f t="shared" si="41"/>
        <v>10</v>
      </c>
      <c r="H688" s="7">
        <v>398.28</v>
      </c>
      <c r="I688" s="7">
        <f>_B*F688+_C</f>
        <v>386.81097108757155</v>
      </c>
      <c r="J688" s="7">
        <f t="shared" si="42"/>
        <v>11.469028912428428</v>
      </c>
      <c r="K688" s="7" cm="1">
        <f t="array" ref="K688">INDEX(Sm,G688)</f>
        <v>-3.3570000579572215</v>
      </c>
      <c r="L688" s="7">
        <f t="shared" si="43"/>
        <v>383.45397102961431</v>
      </c>
      <c r="M688" s="7">
        <f t="shared" si="44"/>
        <v>14.826028970385664</v>
      </c>
    </row>
    <row r="689" spans="6:13" ht="18.75" customHeight="1">
      <c r="F689" s="1">
        <v>42309</v>
      </c>
      <c r="G689">
        <f t="shared" si="41"/>
        <v>11</v>
      </c>
      <c r="H689" s="7">
        <v>400.24</v>
      </c>
      <c r="I689" s="7">
        <f>_B*F689+_C</f>
        <v>386.92335396918151</v>
      </c>
      <c r="J689" s="7">
        <f t="shared" si="42"/>
        <v>13.316646030818504</v>
      </c>
      <c r="K689" s="7" cm="1">
        <f t="array" ref="K689">INDEX(Sm,G689)</f>
        <v>-2.069140151303194</v>
      </c>
      <c r="L689" s="7">
        <f t="shared" si="43"/>
        <v>384.8542138178783</v>
      </c>
      <c r="M689" s="7">
        <f t="shared" si="44"/>
        <v>15.385786182121706</v>
      </c>
    </row>
    <row r="690" spans="6:13" ht="18.75" customHeight="1">
      <c r="F690" s="1">
        <v>42339</v>
      </c>
      <c r="G690">
        <f t="shared" si="41"/>
        <v>12</v>
      </c>
      <c r="H690" s="7">
        <v>401.89</v>
      </c>
      <c r="I690" s="7">
        <f>_B*F690+_C</f>
        <v>387.03211159654597</v>
      </c>
      <c r="J690" s="7">
        <f t="shared" si="42"/>
        <v>14.857888403454012</v>
      </c>
      <c r="K690" s="7" cm="1">
        <f t="array" ref="K690">INDEX(Sm,G690)</f>
        <v>-0.94051682628672428</v>
      </c>
      <c r="L690" s="7">
        <f t="shared" si="43"/>
        <v>386.09159477025923</v>
      </c>
      <c r="M690" s="7">
        <f t="shared" si="44"/>
        <v>15.798405229740752</v>
      </c>
    </row>
    <row r="691" spans="6:13" ht="18.75" customHeight="1">
      <c r="F691" s="1">
        <v>42370</v>
      </c>
      <c r="G691">
        <f t="shared" si="41"/>
        <v>1</v>
      </c>
      <c r="H691" s="7">
        <v>402.65</v>
      </c>
      <c r="I691" s="7">
        <f>_B*F691+_C</f>
        <v>387.14449447815593</v>
      </c>
      <c r="J691" s="7">
        <f t="shared" si="42"/>
        <v>15.505505521844043</v>
      </c>
      <c r="K691" s="7" cm="1">
        <f t="array" ref="K691">INDEX(Sm,G691)</f>
        <v>-2.6471136468108808E-2</v>
      </c>
      <c r="L691" s="7">
        <f t="shared" si="43"/>
        <v>387.11802334168783</v>
      </c>
      <c r="M691" s="7">
        <f t="shared" si="44"/>
        <v>15.531976658312146</v>
      </c>
    </row>
    <row r="692" spans="6:13" ht="18.75" customHeight="1">
      <c r="F692" s="1">
        <v>42401</v>
      </c>
      <c r="G692">
        <f t="shared" si="41"/>
        <v>2</v>
      </c>
      <c r="H692" s="7">
        <v>404.16</v>
      </c>
      <c r="I692" s="7">
        <f>_B*F692+_C</f>
        <v>387.25687735976589</v>
      </c>
      <c r="J692" s="7">
        <f t="shared" si="42"/>
        <v>16.90312264023413</v>
      </c>
      <c r="K692" s="7" cm="1">
        <f t="array" ref="K692">INDEX(Sm,G692)</f>
        <v>0.58733060283015548</v>
      </c>
      <c r="L692" s="7">
        <f t="shared" si="43"/>
        <v>387.84420796259604</v>
      </c>
      <c r="M692" s="7">
        <f t="shared" si="44"/>
        <v>16.31579203740398</v>
      </c>
    </row>
    <row r="693" spans="6:13" ht="18.75" customHeight="1">
      <c r="F693" s="1">
        <v>42430</v>
      </c>
      <c r="G693">
        <f t="shared" si="41"/>
        <v>3</v>
      </c>
      <c r="H693" s="7">
        <v>404.85</v>
      </c>
      <c r="I693" s="7">
        <f>_B*F693+_C</f>
        <v>387.36200973288487</v>
      </c>
      <c r="J693" s="7">
        <f t="shared" si="42"/>
        <v>17.487990267115151</v>
      </c>
      <c r="K693" s="7" cm="1">
        <f t="array" ref="K693">INDEX(Sm,G693)</f>
        <v>1.4390836132721692</v>
      </c>
      <c r="L693" s="7">
        <f t="shared" si="43"/>
        <v>388.80109334615702</v>
      </c>
      <c r="M693" s="7">
        <f t="shared" si="44"/>
        <v>16.048906653843005</v>
      </c>
    </row>
    <row r="694" spans="6:13" ht="18.75" customHeight="1">
      <c r="F694" s="1">
        <v>42461</v>
      </c>
      <c r="G694">
        <f t="shared" si="41"/>
        <v>4</v>
      </c>
      <c r="H694" s="7">
        <v>407.57</v>
      </c>
      <c r="I694" s="7">
        <f>_B*F694+_C</f>
        <v>387.47439261449483</v>
      </c>
      <c r="J694" s="7">
        <f t="shared" si="42"/>
        <v>20.095607385505161</v>
      </c>
      <c r="K694" s="7" cm="1">
        <f t="array" ref="K694">INDEX(Sm,G694)</f>
        <v>2.6009864459479211</v>
      </c>
      <c r="L694" s="7">
        <f t="shared" si="43"/>
        <v>390.07537906044274</v>
      </c>
      <c r="M694" s="7">
        <f t="shared" si="44"/>
        <v>17.494620939557251</v>
      </c>
    </row>
    <row r="695" spans="6:13" ht="18.75" customHeight="1">
      <c r="F695" s="1">
        <v>42491</v>
      </c>
      <c r="G695">
        <f t="shared" si="41"/>
        <v>5</v>
      </c>
      <c r="H695" s="7">
        <v>407.66</v>
      </c>
      <c r="I695" s="7">
        <f>_B*F695+_C</f>
        <v>387.58315024185936</v>
      </c>
      <c r="J695" s="7">
        <f t="shared" si="42"/>
        <v>20.076849758140668</v>
      </c>
      <c r="K695" s="7" cm="1">
        <f t="array" ref="K695">INDEX(Sm,G695)</f>
        <v>2.9998113917703657</v>
      </c>
      <c r="L695" s="7">
        <f t="shared" si="43"/>
        <v>390.58296163362974</v>
      </c>
      <c r="M695" s="7">
        <f t="shared" si="44"/>
        <v>17.077038366370289</v>
      </c>
    </row>
    <row r="696" spans="6:13" ht="18.75" customHeight="1">
      <c r="F696" s="1">
        <v>42522</v>
      </c>
      <c r="G696">
        <f t="shared" si="41"/>
        <v>6</v>
      </c>
      <c r="H696" s="7">
        <v>407</v>
      </c>
      <c r="I696" s="7">
        <f>_B*F696+_C</f>
        <v>387.69553312346932</v>
      </c>
      <c r="J696" s="7">
        <f t="shared" si="42"/>
        <v>19.304466876530682</v>
      </c>
      <c r="K696" s="7" cm="1">
        <f t="array" ref="K696">INDEX(Sm,G696)</f>
        <v>2.2382077892599441</v>
      </c>
      <c r="L696" s="7">
        <f t="shared" si="43"/>
        <v>389.93374091272926</v>
      </c>
      <c r="M696" s="7">
        <f t="shared" si="44"/>
        <v>17.066259087270737</v>
      </c>
    </row>
    <row r="697" spans="6:13" ht="18.75" customHeight="1">
      <c r="F697" s="1">
        <v>42552</v>
      </c>
      <c r="G697">
        <f t="shared" si="41"/>
        <v>7</v>
      </c>
      <c r="H697" s="7">
        <v>404.5</v>
      </c>
      <c r="I697" s="7">
        <f>_B*F697+_C</f>
        <v>387.80429075083373</v>
      </c>
      <c r="J697" s="7">
        <f t="shared" si="42"/>
        <v>16.695709249166271</v>
      </c>
      <c r="K697" s="7" cm="1">
        <f t="array" ref="K697">INDEX(Sm,G697)</f>
        <v>0.82390897803401641</v>
      </c>
      <c r="L697" s="7">
        <f t="shared" si="43"/>
        <v>388.62819972886774</v>
      </c>
      <c r="M697" s="7">
        <f t="shared" si="44"/>
        <v>15.871800271132258</v>
      </c>
    </row>
    <row r="698" spans="6:13" ht="18.75" customHeight="1">
      <c r="F698" s="1">
        <v>42583</v>
      </c>
      <c r="G698">
        <f t="shared" si="41"/>
        <v>8</v>
      </c>
      <c r="H698" s="7">
        <v>402.24</v>
      </c>
      <c r="I698" s="7">
        <f>_B*F698+_C</f>
        <v>387.91667363244369</v>
      </c>
      <c r="J698" s="7">
        <f t="shared" si="42"/>
        <v>14.323326367556319</v>
      </c>
      <c r="K698" s="7" cm="1">
        <f t="array" ref="K698">INDEX(Sm,G698)</f>
        <v>-1.2322834273854675</v>
      </c>
      <c r="L698" s="7">
        <f t="shared" si="43"/>
        <v>386.68439020505821</v>
      </c>
      <c r="M698" s="7">
        <f t="shared" si="44"/>
        <v>15.555609794941802</v>
      </c>
    </row>
    <row r="699" spans="6:13" ht="18.75" customHeight="1">
      <c r="F699" s="1">
        <v>42614</v>
      </c>
      <c r="G699">
        <f t="shared" si="41"/>
        <v>9</v>
      </c>
      <c r="H699" s="7">
        <v>401.01</v>
      </c>
      <c r="I699" s="7">
        <f>_B*F699+_C</f>
        <v>388.02905651405365</v>
      </c>
      <c r="J699" s="7">
        <f t="shared" si="42"/>
        <v>12.980943485946341</v>
      </c>
      <c r="K699" s="7" cm="1">
        <f t="array" ref="K699">INDEX(Sm,G699)</f>
        <v>-3.0765710709001954</v>
      </c>
      <c r="L699" s="7">
        <f t="shared" si="43"/>
        <v>384.95248544315348</v>
      </c>
      <c r="M699" s="7">
        <f t="shared" si="44"/>
        <v>16.057514556846513</v>
      </c>
    </row>
    <row r="700" spans="6:13" ht="18.75" customHeight="1">
      <c r="F700" s="1">
        <v>42644</v>
      </c>
      <c r="G700">
        <f t="shared" si="41"/>
        <v>10</v>
      </c>
      <c r="H700" s="7">
        <v>401.5</v>
      </c>
      <c r="I700" s="7">
        <f>_B*F700+_C</f>
        <v>388.13781414141818</v>
      </c>
      <c r="J700" s="7">
        <f t="shared" si="42"/>
        <v>13.362185858581825</v>
      </c>
      <c r="K700" s="7" cm="1">
        <f t="array" ref="K700">INDEX(Sm,G700)</f>
        <v>-3.3570000579572215</v>
      </c>
      <c r="L700" s="7">
        <f t="shared" si="43"/>
        <v>384.78081408346094</v>
      </c>
      <c r="M700" s="7">
        <f t="shared" si="44"/>
        <v>16.719185916539061</v>
      </c>
    </row>
    <row r="701" spans="6:13" ht="18.75" customHeight="1">
      <c r="F701" s="1">
        <v>42675</v>
      </c>
      <c r="G701">
        <f t="shared" si="41"/>
        <v>11</v>
      </c>
      <c r="H701" s="7">
        <v>403.64</v>
      </c>
      <c r="I701" s="7">
        <f>_B*F701+_C</f>
        <v>388.25019702302814</v>
      </c>
      <c r="J701" s="7">
        <f t="shared" si="42"/>
        <v>15.389802976971851</v>
      </c>
      <c r="K701" s="7" cm="1">
        <f t="array" ref="K701">INDEX(Sm,G701)</f>
        <v>-2.069140151303194</v>
      </c>
      <c r="L701" s="7">
        <f t="shared" si="43"/>
        <v>386.18105687172493</v>
      </c>
      <c r="M701" s="7">
        <f t="shared" si="44"/>
        <v>17.458943128275052</v>
      </c>
    </row>
    <row r="702" spans="6:13" ht="18.75" customHeight="1">
      <c r="F702" s="1">
        <v>42705</v>
      </c>
      <c r="G702">
        <f t="shared" si="41"/>
        <v>12</v>
      </c>
      <c r="H702" s="7">
        <v>404.55</v>
      </c>
      <c r="I702" s="7">
        <f>_B*F702+_C</f>
        <v>388.3589546503926</v>
      </c>
      <c r="J702" s="7">
        <f t="shared" si="42"/>
        <v>16.191045349607407</v>
      </c>
      <c r="K702" s="7" cm="1">
        <f t="array" ref="K702">INDEX(Sm,G702)</f>
        <v>-0.94051682628672428</v>
      </c>
      <c r="L702" s="7">
        <f t="shared" si="43"/>
        <v>387.41843782410587</v>
      </c>
      <c r="M702" s="7">
        <f t="shared" si="44"/>
        <v>17.131562175894146</v>
      </c>
    </row>
    <row r="703" spans="6:13" ht="18.75" customHeight="1">
      <c r="F703" s="1">
        <v>42736</v>
      </c>
      <c r="G703">
        <f t="shared" si="41"/>
        <v>1</v>
      </c>
      <c r="H703" s="7">
        <v>406.07</v>
      </c>
      <c r="I703" s="7">
        <f>_B*F703+_C</f>
        <v>388.47133753200256</v>
      </c>
      <c r="J703" s="7">
        <f t="shared" si="42"/>
        <v>17.598662467997428</v>
      </c>
      <c r="K703" s="7" cm="1">
        <f t="array" ref="K703">INDEX(Sm,G703)</f>
        <v>-2.6471136468108808E-2</v>
      </c>
      <c r="L703" s="7">
        <f t="shared" si="43"/>
        <v>388.44486639553446</v>
      </c>
      <c r="M703" s="7">
        <f t="shared" si="44"/>
        <v>17.625133604465532</v>
      </c>
    </row>
    <row r="704" spans="6:13" ht="18.75" customHeight="1">
      <c r="F704" s="1">
        <v>42767</v>
      </c>
      <c r="G704">
        <f t="shared" si="41"/>
        <v>2</v>
      </c>
      <c r="H704" s="7">
        <v>406.64</v>
      </c>
      <c r="I704" s="7">
        <f>_B*F704+_C</f>
        <v>388.58372041361253</v>
      </c>
      <c r="J704" s="7">
        <f t="shared" si="42"/>
        <v>18.056279586387461</v>
      </c>
      <c r="K704" s="7" cm="1">
        <f t="array" ref="K704">INDEX(Sm,G704)</f>
        <v>0.58733060283015548</v>
      </c>
      <c r="L704" s="7">
        <f t="shared" si="43"/>
        <v>389.17105101644268</v>
      </c>
      <c r="M704" s="7">
        <f t="shared" si="44"/>
        <v>17.468948983557311</v>
      </c>
    </row>
    <row r="705" spans="6:13" ht="18.75" customHeight="1">
      <c r="F705" s="1">
        <v>42795</v>
      </c>
      <c r="G705">
        <f t="shared" si="41"/>
        <v>3</v>
      </c>
      <c r="H705" s="7">
        <v>407.05</v>
      </c>
      <c r="I705" s="7">
        <f>_B*F705+_C</f>
        <v>388.68522753248601</v>
      </c>
      <c r="J705" s="7">
        <f t="shared" si="42"/>
        <v>18.364772467514001</v>
      </c>
      <c r="K705" s="7" cm="1">
        <f t="array" ref="K705">INDEX(Sm,G705)</f>
        <v>1.4390836132721692</v>
      </c>
      <c r="L705" s="7">
        <f t="shared" si="43"/>
        <v>390.12431114575816</v>
      </c>
      <c r="M705" s="7">
        <f t="shared" si="44"/>
        <v>16.925688854241855</v>
      </c>
    </row>
    <row r="706" spans="6:13" ht="18.75" customHeight="1">
      <c r="F706" s="1">
        <v>42826</v>
      </c>
      <c r="G706">
        <f t="shared" si="41"/>
        <v>4</v>
      </c>
      <c r="H706" s="7">
        <v>408.95</v>
      </c>
      <c r="I706" s="7">
        <f>_B*F706+_C</f>
        <v>388.79761041409597</v>
      </c>
      <c r="J706" s="7">
        <f t="shared" si="42"/>
        <v>20.152389585904018</v>
      </c>
      <c r="K706" s="7" cm="1">
        <f t="array" ref="K706">INDEX(Sm,G706)</f>
        <v>2.6009864459479211</v>
      </c>
      <c r="L706" s="7">
        <f t="shared" si="43"/>
        <v>391.39859686004388</v>
      </c>
      <c r="M706" s="7">
        <f t="shared" si="44"/>
        <v>17.551403139956108</v>
      </c>
    </row>
    <row r="707" spans="6:13" ht="18.75" customHeight="1">
      <c r="F707" s="1">
        <v>42856</v>
      </c>
      <c r="G707">
        <f t="shared" ref="G707:G770" si="45">MONTH(F707)</f>
        <v>5</v>
      </c>
      <c r="H707" s="7">
        <v>409.91</v>
      </c>
      <c r="I707" s="7">
        <f>_B*F707+_C</f>
        <v>388.9063680414605</v>
      </c>
      <c r="J707" s="7">
        <f t="shared" ref="J707:J742" si="46">H707-I707</f>
        <v>21.003631958539529</v>
      </c>
      <c r="K707" s="7" cm="1">
        <f t="array" ref="K707">INDEX(Sm,G707)</f>
        <v>2.9998113917703657</v>
      </c>
      <c r="L707" s="7">
        <f t="shared" ref="L707:L742" si="47">I707+K707</f>
        <v>391.90617943323088</v>
      </c>
      <c r="M707" s="7">
        <f t="shared" ref="M707:M742" si="48">H707-L707</f>
        <v>18.00382056676915</v>
      </c>
    </row>
    <row r="708" spans="6:13" ht="18.75" customHeight="1">
      <c r="F708" s="1">
        <v>42887</v>
      </c>
      <c r="G708">
        <f t="shared" si="45"/>
        <v>6</v>
      </c>
      <c r="H708" s="7">
        <v>409.12</v>
      </c>
      <c r="I708" s="7">
        <f>_B*F708+_C</f>
        <v>389.01875092307046</v>
      </c>
      <c r="J708" s="7">
        <f t="shared" si="46"/>
        <v>20.101249076929548</v>
      </c>
      <c r="K708" s="7" cm="1">
        <f t="array" ref="K708">INDEX(Sm,G708)</f>
        <v>2.2382077892599441</v>
      </c>
      <c r="L708" s="7">
        <f t="shared" si="47"/>
        <v>391.2569587123304</v>
      </c>
      <c r="M708" s="7">
        <f t="shared" si="48"/>
        <v>17.863041287669603</v>
      </c>
    </row>
    <row r="709" spans="6:13" ht="18.75" customHeight="1">
      <c r="F709" s="1">
        <v>42917</v>
      </c>
      <c r="G709">
        <f t="shared" si="45"/>
        <v>7</v>
      </c>
      <c r="H709" s="7">
        <v>407.2</v>
      </c>
      <c r="I709" s="7">
        <f>_B*F709+_C</f>
        <v>389.12750855043492</v>
      </c>
      <c r="J709" s="7">
        <f t="shared" si="46"/>
        <v>18.072491449565064</v>
      </c>
      <c r="K709" s="7" cm="1">
        <f t="array" ref="K709">INDEX(Sm,G709)</f>
        <v>0.82390897803401641</v>
      </c>
      <c r="L709" s="7">
        <f t="shared" si="47"/>
        <v>389.95141752846894</v>
      </c>
      <c r="M709" s="7">
        <f t="shared" si="48"/>
        <v>17.248582471531051</v>
      </c>
    </row>
    <row r="710" spans="6:13" ht="18.75" customHeight="1">
      <c r="F710" s="1">
        <v>42948</v>
      </c>
      <c r="G710">
        <f t="shared" si="45"/>
        <v>8</v>
      </c>
      <c r="H710" s="7">
        <v>405.24</v>
      </c>
      <c r="I710" s="7">
        <f>_B*F710+_C</f>
        <v>389.23989143204489</v>
      </c>
      <c r="J710" s="7">
        <f t="shared" si="46"/>
        <v>16.000108567955124</v>
      </c>
      <c r="K710" s="7" cm="1">
        <f t="array" ref="K710">INDEX(Sm,G710)</f>
        <v>-1.2322834273854675</v>
      </c>
      <c r="L710" s="7">
        <f t="shared" si="47"/>
        <v>388.0076080046594</v>
      </c>
      <c r="M710" s="7">
        <f t="shared" si="48"/>
        <v>17.232391995340606</v>
      </c>
    </row>
    <row r="711" spans="6:13" ht="18.75" customHeight="1">
      <c r="F711" s="1">
        <v>42979</v>
      </c>
      <c r="G711">
        <f t="shared" si="45"/>
        <v>9</v>
      </c>
      <c r="H711" s="7">
        <v>403.27</v>
      </c>
      <c r="I711" s="7">
        <f>_B*F711+_C</f>
        <v>389.35227431365479</v>
      </c>
      <c r="J711" s="7">
        <f t="shared" si="46"/>
        <v>13.917725686345193</v>
      </c>
      <c r="K711" s="7" cm="1">
        <f t="array" ref="K711">INDEX(Sm,G711)</f>
        <v>-3.0765710709001954</v>
      </c>
      <c r="L711" s="7">
        <f t="shared" si="47"/>
        <v>386.27570324275462</v>
      </c>
      <c r="M711" s="7">
        <f t="shared" si="48"/>
        <v>16.994296757245365</v>
      </c>
    </row>
    <row r="712" spans="6:13" ht="18.75" customHeight="1">
      <c r="F712" s="1">
        <v>43009</v>
      </c>
      <c r="G712">
        <f t="shared" si="45"/>
        <v>10</v>
      </c>
      <c r="H712" s="7">
        <v>403.64</v>
      </c>
      <c r="I712" s="7">
        <f>_B*F712+_C</f>
        <v>389.46103194101931</v>
      </c>
      <c r="J712" s="7">
        <f t="shared" si="46"/>
        <v>14.178968058980672</v>
      </c>
      <c r="K712" s="7" cm="1">
        <f t="array" ref="K712">INDEX(Sm,G712)</f>
        <v>-3.3570000579572215</v>
      </c>
      <c r="L712" s="7">
        <f t="shared" si="47"/>
        <v>386.10403188306208</v>
      </c>
      <c r="M712" s="7">
        <f t="shared" si="48"/>
        <v>17.535968116937909</v>
      </c>
    </row>
    <row r="713" spans="6:13" ht="18.75" customHeight="1">
      <c r="F713" s="1">
        <v>43040</v>
      </c>
      <c r="G713">
        <f t="shared" si="45"/>
        <v>11</v>
      </c>
      <c r="H713" s="7">
        <v>405.17</v>
      </c>
      <c r="I713" s="7">
        <f>_B*F713+_C</f>
        <v>389.57341482262927</v>
      </c>
      <c r="J713" s="7">
        <f t="shared" si="46"/>
        <v>15.596585177370741</v>
      </c>
      <c r="K713" s="7" cm="1">
        <f t="array" ref="K713">INDEX(Sm,G713)</f>
        <v>-2.069140151303194</v>
      </c>
      <c r="L713" s="7">
        <f t="shared" si="47"/>
        <v>387.50427467132607</v>
      </c>
      <c r="M713" s="7">
        <f t="shared" si="48"/>
        <v>17.665725328673943</v>
      </c>
    </row>
    <row r="714" spans="6:13" ht="18.75" customHeight="1">
      <c r="F714" s="1">
        <v>43070</v>
      </c>
      <c r="G714">
        <f t="shared" si="45"/>
        <v>12</v>
      </c>
      <c r="H714" s="7">
        <v>406.75</v>
      </c>
      <c r="I714" s="7">
        <f>_B*F714+_C</f>
        <v>389.68217244999374</v>
      </c>
      <c r="J714" s="7">
        <f t="shared" si="46"/>
        <v>17.067827550006257</v>
      </c>
      <c r="K714" s="7" cm="1">
        <f t="array" ref="K714">INDEX(Sm,G714)</f>
        <v>-0.94051682628672428</v>
      </c>
      <c r="L714" s="7">
        <f t="shared" si="47"/>
        <v>388.741655623707</v>
      </c>
      <c r="M714" s="7">
        <f t="shared" si="48"/>
        <v>18.008344376292996</v>
      </c>
    </row>
    <row r="715" spans="6:13" ht="18.75" customHeight="1">
      <c r="F715" s="1">
        <v>43101</v>
      </c>
      <c r="G715">
        <f t="shared" si="45"/>
        <v>1</v>
      </c>
      <c r="H715" s="7">
        <v>408.05</v>
      </c>
      <c r="I715" s="7">
        <f>_B*F715+_C</f>
        <v>389.7945553316037</v>
      </c>
      <c r="J715" s="7">
        <f t="shared" si="46"/>
        <v>18.255444668396308</v>
      </c>
      <c r="K715" s="7" cm="1">
        <f t="array" ref="K715">INDEX(Sm,G715)</f>
        <v>-2.6471136468108808E-2</v>
      </c>
      <c r="L715" s="7">
        <f t="shared" si="47"/>
        <v>389.7680841951356</v>
      </c>
      <c r="M715" s="7">
        <f t="shared" si="48"/>
        <v>18.281915804864411</v>
      </c>
    </row>
    <row r="716" spans="6:13" ht="18.75" customHeight="1">
      <c r="F716" s="1">
        <v>43132</v>
      </c>
      <c r="G716">
        <f t="shared" si="45"/>
        <v>2</v>
      </c>
      <c r="H716" s="7">
        <v>408.34</v>
      </c>
      <c r="I716" s="7">
        <f>_B*F716+_C</f>
        <v>389.90693821321366</v>
      </c>
      <c r="J716" s="7">
        <f t="shared" si="46"/>
        <v>18.433061786786311</v>
      </c>
      <c r="K716" s="7" cm="1">
        <f t="array" ref="K716">INDEX(Sm,G716)</f>
        <v>0.58733060283015548</v>
      </c>
      <c r="L716" s="7">
        <f t="shared" si="47"/>
        <v>390.49426881604381</v>
      </c>
      <c r="M716" s="7">
        <f t="shared" si="48"/>
        <v>17.845731183956161</v>
      </c>
    </row>
    <row r="717" spans="6:13" ht="18.75" customHeight="1">
      <c r="F717" s="1">
        <v>43160</v>
      </c>
      <c r="G717">
        <f t="shared" si="45"/>
        <v>3</v>
      </c>
      <c r="H717" s="7">
        <v>409.25</v>
      </c>
      <c r="I717" s="7">
        <f>_B*F717+_C</f>
        <v>390.00844533208715</v>
      </c>
      <c r="J717" s="7">
        <f t="shared" si="46"/>
        <v>19.241554667912851</v>
      </c>
      <c r="K717" s="7" cm="1">
        <f t="array" ref="K717">INDEX(Sm,G717)</f>
        <v>1.4390836132721692</v>
      </c>
      <c r="L717" s="7">
        <f t="shared" si="47"/>
        <v>391.44752894535929</v>
      </c>
      <c r="M717" s="7">
        <f t="shared" si="48"/>
        <v>17.802471054640705</v>
      </c>
    </row>
    <row r="718" spans="6:13" ht="18.75" customHeight="1">
      <c r="F718" s="1">
        <v>43191</v>
      </c>
      <c r="G718">
        <f t="shared" si="45"/>
        <v>4</v>
      </c>
      <c r="H718" s="7">
        <v>410.3</v>
      </c>
      <c r="I718" s="7">
        <f>_B*F718+_C</f>
        <v>390.12082821369711</v>
      </c>
      <c r="J718" s="7">
        <f t="shared" si="46"/>
        <v>20.179171786302902</v>
      </c>
      <c r="K718" s="7" cm="1">
        <f t="array" ref="K718">INDEX(Sm,G718)</f>
        <v>2.6009864459479211</v>
      </c>
      <c r="L718" s="7">
        <f t="shared" si="47"/>
        <v>392.72181465964502</v>
      </c>
      <c r="M718" s="7">
        <f t="shared" si="48"/>
        <v>17.578185340354992</v>
      </c>
    </row>
    <row r="719" spans="6:13" ht="18.75" customHeight="1">
      <c r="F719" s="1">
        <v>43221</v>
      </c>
      <c r="G719">
        <f t="shared" si="45"/>
        <v>5</v>
      </c>
      <c r="H719" s="7">
        <v>411.3</v>
      </c>
      <c r="I719" s="7">
        <f>_B*F719+_C</f>
        <v>390.22958584106163</v>
      </c>
      <c r="J719" s="7">
        <f t="shared" si="46"/>
        <v>21.070414158938377</v>
      </c>
      <c r="K719" s="7" cm="1">
        <f t="array" ref="K719">INDEX(Sm,G719)</f>
        <v>2.9998113917703657</v>
      </c>
      <c r="L719" s="7">
        <f t="shared" si="47"/>
        <v>393.22939723283201</v>
      </c>
      <c r="M719" s="7">
        <f t="shared" si="48"/>
        <v>18.070602767167998</v>
      </c>
    </row>
    <row r="720" spans="6:13" ht="18.75" customHeight="1">
      <c r="F720" s="1">
        <v>43252</v>
      </c>
      <c r="G720">
        <f t="shared" si="45"/>
        <v>6</v>
      </c>
      <c r="H720" s="7">
        <v>410.88</v>
      </c>
      <c r="I720" s="7">
        <f>_B*F720+_C</f>
        <v>390.3419687226716</v>
      </c>
      <c r="J720" s="7">
        <f t="shared" si="46"/>
        <v>20.5380312773284</v>
      </c>
      <c r="K720" s="7" cm="1">
        <f t="array" ref="K720">INDEX(Sm,G720)</f>
        <v>2.2382077892599441</v>
      </c>
      <c r="L720" s="7">
        <f t="shared" si="47"/>
        <v>392.58017651193154</v>
      </c>
      <c r="M720" s="7">
        <f t="shared" si="48"/>
        <v>18.299823488068455</v>
      </c>
    </row>
    <row r="721" spans="6:13" ht="18.75" customHeight="1">
      <c r="F721" s="1">
        <v>43282</v>
      </c>
      <c r="G721">
        <f t="shared" si="45"/>
        <v>7</v>
      </c>
      <c r="H721" s="7">
        <v>408.9</v>
      </c>
      <c r="I721" s="7">
        <f>_B*F721+_C</f>
        <v>390.45072635003606</v>
      </c>
      <c r="J721" s="7">
        <f t="shared" si="46"/>
        <v>18.449273649963914</v>
      </c>
      <c r="K721" s="7" cm="1">
        <f t="array" ref="K721">INDEX(Sm,G721)</f>
        <v>0.82390897803401641</v>
      </c>
      <c r="L721" s="7">
        <f t="shared" si="47"/>
        <v>391.27463532807008</v>
      </c>
      <c r="M721" s="7">
        <f t="shared" si="48"/>
        <v>17.625364671929901</v>
      </c>
    </row>
    <row r="722" spans="6:13" ht="18.75" customHeight="1">
      <c r="F722" s="1">
        <v>43313</v>
      </c>
      <c r="G722">
        <f t="shared" si="45"/>
        <v>8</v>
      </c>
      <c r="H722" s="7">
        <v>407.1</v>
      </c>
      <c r="I722" s="7">
        <f>_B*F722+_C</f>
        <v>390.56310923164602</v>
      </c>
      <c r="J722" s="7">
        <f t="shared" si="46"/>
        <v>16.536890768353999</v>
      </c>
      <c r="K722" s="7" cm="1">
        <f t="array" ref="K722">INDEX(Sm,G722)</f>
        <v>-1.2322834273854675</v>
      </c>
      <c r="L722" s="7">
        <f t="shared" si="47"/>
        <v>389.33082580426054</v>
      </c>
      <c r="M722" s="7">
        <f t="shared" si="48"/>
        <v>17.769174195739481</v>
      </c>
    </row>
    <row r="723" spans="6:13" ht="18.75" customHeight="1">
      <c r="F723" s="1">
        <v>43344</v>
      </c>
      <c r="G723">
        <f t="shared" si="45"/>
        <v>9</v>
      </c>
      <c r="H723" s="7">
        <v>405.59</v>
      </c>
      <c r="I723" s="7">
        <f>_B*F723+_C</f>
        <v>390.67549211325598</v>
      </c>
      <c r="J723" s="7">
        <f t="shared" si="46"/>
        <v>14.914507886743991</v>
      </c>
      <c r="K723" s="7" cm="1">
        <f t="array" ref="K723">INDEX(Sm,G723)</f>
        <v>-3.0765710709001954</v>
      </c>
      <c r="L723" s="7">
        <f t="shared" si="47"/>
        <v>387.59892104235581</v>
      </c>
      <c r="M723" s="7">
        <f t="shared" si="48"/>
        <v>17.991078957644163</v>
      </c>
    </row>
    <row r="724" spans="6:13" ht="18.75" customHeight="1">
      <c r="F724" s="1">
        <v>43374</v>
      </c>
      <c r="G724">
        <f t="shared" si="45"/>
        <v>10</v>
      </c>
      <c r="H724" s="7">
        <v>405.99</v>
      </c>
      <c r="I724" s="7">
        <f>_B*F724+_C</f>
        <v>390.78424974062045</v>
      </c>
      <c r="J724" s="7">
        <f t="shared" si="46"/>
        <v>15.205750259379556</v>
      </c>
      <c r="K724" s="7" cm="1">
        <f t="array" ref="K724">INDEX(Sm,G724)</f>
        <v>-3.3570000579572215</v>
      </c>
      <c r="L724" s="7">
        <f t="shared" si="47"/>
        <v>387.42724968266322</v>
      </c>
      <c r="M724" s="7">
        <f t="shared" si="48"/>
        <v>18.562750317336793</v>
      </c>
    </row>
    <row r="725" spans="6:13" ht="18.75" customHeight="1">
      <c r="F725" s="1">
        <v>43405</v>
      </c>
      <c r="G725">
        <f t="shared" si="45"/>
        <v>11</v>
      </c>
      <c r="H725" s="7">
        <v>408.12</v>
      </c>
      <c r="I725" s="7">
        <f>_B*F725+_C</f>
        <v>390.89663262223041</v>
      </c>
      <c r="J725" s="7">
        <f t="shared" si="46"/>
        <v>17.223367377769591</v>
      </c>
      <c r="K725" s="7" cm="1">
        <f t="array" ref="K725">INDEX(Sm,G725)</f>
        <v>-2.069140151303194</v>
      </c>
      <c r="L725" s="7">
        <f t="shared" si="47"/>
        <v>388.82749247092721</v>
      </c>
      <c r="M725" s="7">
        <f t="shared" si="48"/>
        <v>19.292507529072793</v>
      </c>
    </row>
    <row r="726" spans="6:13" ht="18.75" customHeight="1">
      <c r="F726" s="1">
        <v>43435</v>
      </c>
      <c r="G726">
        <f t="shared" si="45"/>
        <v>12</v>
      </c>
      <c r="H726" s="7">
        <v>409.23</v>
      </c>
      <c r="I726" s="7">
        <f>_B*F726+_C</f>
        <v>391.00539024959488</v>
      </c>
      <c r="J726" s="7">
        <f t="shared" si="46"/>
        <v>18.224609750405136</v>
      </c>
      <c r="K726" s="7" cm="1">
        <f t="array" ref="K726">INDEX(Sm,G726)</f>
        <v>-0.94051682628672428</v>
      </c>
      <c r="L726" s="7">
        <f t="shared" si="47"/>
        <v>390.06487342330814</v>
      </c>
      <c r="M726" s="7">
        <f t="shared" si="48"/>
        <v>19.165126576691875</v>
      </c>
    </row>
    <row r="727" spans="6:13" ht="18.75" customHeight="1">
      <c r="F727" s="1">
        <v>43466</v>
      </c>
      <c r="G727">
        <f t="shared" si="45"/>
        <v>1</v>
      </c>
      <c r="H727" s="7">
        <v>410.92</v>
      </c>
      <c r="I727" s="7">
        <f>_B*F727+_C</f>
        <v>391.11777313120484</v>
      </c>
      <c r="J727" s="7">
        <f t="shared" si="46"/>
        <v>19.802226868795174</v>
      </c>
      <c r="K727" s="7" cm="1">
        <f t="array" ref="K727">INDEX(Sm,G727)</f>
        <v>-2.6471136468108808E-2</v>
      </c>
      <c r="L727" s="7">
        <f t="shared" si="47"/>
        <v>391.09130199473674</v>
      </c>
      <c r="M727" s="7">
        <f t="shared" si="48"/>
        <v>19.828698005263277</v>
      </c>
    </row>
    <row r="728" spans="6:13" ht="18.75" customHeight="1">
      <c r="F728" s="1">
        <v>43497</v>
      </c>
      <c r="G728">
        <f t="shared" si="45"/>
        <v>2</v>
      </c>
      <c r="H728" s="7">
        <v>411.66</v>
      </c>
      <c r="I728" s="7">
        <f>_B*F728+_C</f>
        <v>391.2301560128148</v>
      </c>
      <c r="J728" s="7">
        <f t="shared" si="46"/>
        <v>20.429843987185222</v>
      </c>
      <c r="K728" s="7" cm="1">
        <f t="array" ref="K728">INDEX(Sm,G728)</f>
        <v>0.58733060283015548</v>
      </c>
      <c r="L728" s="7">
        <f t="shared" si="47"/>
        <v>391.81748661564495</v>
      </c>
      <c r="M728" s="7">
        <f t="shared" si="48"/>
        <v>19.842513384355073</v>
      </c>
    </row>
    <row r="729" spans="6:13" ht="18.75" customHeight="1">
      <c r="F729" s="1">
        <v>43525</v>
      </c>
      <c r="G729">
        <f t="shared" si="45"/>
        <v>3</v>
      </c>
      <c r="H729" s="7">
        <v>412</v>
      </c>
      <c r="I729" s="7">
        <f>_B*F729+_C</f>
        <v>391.33166313168829</v>
      </c>
      <c r="J729" s="7">
        <f t="shared" si="46"/>
        <v>20.668336868311712</v>
      </c>
      <c r="K729" s="7" cm="1">
        <f t="array" ref="K729">INDEX(Sm,G729)</f>
        <v>1.4390836132721692</v>
      </c>
      <c r="L729" s="7">
        <f t="shared" si="47"/>
        <v>392.77074674496043</v>
      </c>
      <c r="M729" s="7">
        <f t="shared" si="48"/>
        <v>19.229253255039566</v>
      </c>
    </row>
    <row r="730" spans="6:13" ht="18.75" customHeight="1">
      <c r="F730" s="1">
        <v>43556</v>
      </c>
      <c r="G730">
        <f t="shared" si="45"/>
        <v>4</v>
      </c>
      <c r="H730" s="7">
        <v>413.52</v>
      </c>
      <c r="I730" s="7">
        <f>_B*F730+_C</f>
        <v>391.44404601329825</v>
      </c>
      <c r="J730" s="7">
        <f t="shared" si="46"/>
        <v>22.075953986701734</v>
      </c>
      <c r="K730" s="7" cm="1">
        <f t="array" ref="K730">INDEX(Sm,G730)</f>
        <v>2.6009864459479211</v>
      </c>
      <c r="L730" s="7">
        <f t="shared" si="47"/>
        <v>394.04503245924616</v>
      </c>
      <c r="M730" s="7">
        <f t="shared" si="48"/>
        <v>19.474967540753823</v>
      </c>
    </row>
    <row r="731" spans="6:13" ht="18.75" customHeight="1">
      <c r="F731" s="1">
        <v>43586</v>
      </c>
      <c r="G731">
        <f t="shared" si="45"/>
        <v>5</v>
      </c>
      <c r="H731" s="7">
        <v>414.83</v>
      </c>
      <c r="I731" s="7">
        <f>_B*F731+_C</f>
        <v>391.55280364066277</v>
      </c>
      <c r="J731" s="7">
        <f t="shared" si="46"/>
        <v>23.277196359337211</v>
      </c>
      <c r="K731" s="7" cm="1">
        <f t="array" ref="K731">INDEX(Sm,G731)</f>
        <v>2.9998113917703657</v>
      </c>
      <c r="L731" s="7">
        <f t="shared" si="47"/>
        <v>394.55261503243315</v>
      </c>
      <c r="M731" s="7">
        <f t="shared" si="48"/>
        <v>20.277384967566832</v>
      </c>
    </row>
    <row r="732" spans="6:13" ht="18.75" customHeight="1">
      <c r="F732" s="1">
        <v>43617</v>
      </c>
      <c r="G732">
        <f t="shared" si="45"/>
        <v>6</v>
      </c>
      <c r="H732" s="7">
        <v>413.96</v>
      </c>
      <c r="I732" s="7">
        <f>_B*F732+_C</f>
        <v>391.66518652227273</v>
      </c>
      <c r="J732" s="7">
        <f t="shared" si="46"/>
        <v>22.294813477727246</v>
      </c>
      <c r="K732" s="7" cm="1">
        <f t="array" ref="K732">INDEX(Sm,G732)</f>
        <v>2.2382077892599441</v>
      </c>
      <c r="L732" s="7">
        <f t="shared" si="47"/>
        <v>393.90339431153268</v>
      </c>
      <c r="M732" s="7">
        <f t="shared" si="48"/>
        <v>20.0566056884673</v>
      </c>
    </row>
    <row r="733" spans="6:13" ht="18.75" customHeight="1">
      <c r="F733" s="1">
        <v>43647</v>
      </c>
      <c r="G733">
        <f t="shared" si="45"/>
        <v>7</v>
      </c>
      <c r="H733" s="7">
        <v>411.85</v>
      </c>
      <c r="I733" s="7">
        <f>_B*F733+_C</f>
        <v>391.7739441496372</v>
      </c>
      <c r="J733" s="7">
        <f t="shared" si="46"/>
        <v>20.07605585036282</v>
      </c>
      <c r="K733" s="7" cm="1">
        <f t="array" ref="K733">INDEX(Sm,G733)</f>
        <v>0.82390897803401641</v>
      </c>
      <c r="L733" s="7">
        <f t="shared" si="47"/>
        <v>392.59785312767121</v>
      </c>
      <c r="M733" s="7">
        <f t="shared" si="48"/>
        <v>19.252146872328808</v>
      </c>
    </row>
    <row r="734" spans="6:13" ht="18.75" customHeight="1">
      <c r="F734" s="1">
        <v>43678</v>
      </c>
      <c r="G734">
        <f t="shared" si="45"/>
        <v>8</v>
      </c>
      <c r="H734" s="7">
        <v>410.08</v>
      </c>
      <c r="I734" s="7">
        <f>_B*F734+_C</f>
        <v>391.88632703124716</v>
      </c>
      <c r="J734" s="7">
        <f t="shared" si="46"/>
        <v>18.193672968752821</v>
      </c>
      <c r="K734" s="7" cm="1">
        <f t="array" ref="K734">INDEX(Sm,G734)</f>
        <v>-1.2322834273854675</v>
      </c>
      <c r="L734" s="7">
        <f t="shared" si="47"/>
        <v>390.65404360386168</v>
      </c>
      <c r="M734" s="7">
        <f t="shared" si="48"/>
        <v>19.425956396138304</v>
      </c>
    </row>
    <row r="735" spans="6:13" ht="18.75" customHeight="1">
      <c r="F735" s="1">
        <v>43709</v>
      </c>
      <c r="G735">
        <f t="shared" si="45"/>
        <v>9</v>
      </c>
      <c r="H735" s="7">
        <v>408.55</v>
      </c>
      <c r="I735" s="7">
        <f>_B*F735+_C</f>
        <v>391.99870991285712</v>
      </c>
      <c r="J735" s="7">
        <f t="shared" si="46"/>
        <v>16.551290087142888</v>
      </c>
      <c r="K735" s="7" cm="1">
        <f t="array" ref="K735">INDEX(Sm,G735)</f>
        <v>-3.0765710709001954</v>
      </c>
      <c r="L735" s="7">
        <f t="shared" si="47"/>
        <v>388.92213884195695</v>
      </c>
      <c r="M735" s="7">
        <f t="shared" si="48"/>
        <v>19.627861158043061</v>
      </c>
    </row>
    <row r="736" spans="6:13" ht="18.75" customHeight="1">
      <c r="F736" s="1">
        <v>43739</v>
      </c>
      <c r="G736">
        <f t="shared" si="45"/>
        <v>10</v>
      </c>
      <c r="H736" s="7">
        <v>408.43</v>
      </c>
      <c r="I736" s="7">
        <f>_B*F736+_C</f>
        <v>392.10746754022159</v>
      </c>
      <c r="J736" s="7">
        <f t="shared" si="46"/>
        <v>16.322532459778415</v>
      </c>
      <c r="K736" s="7" cm="1">
        <f t="array" ref="K736">INDEX(Sm,G736)</f>
        <v>-3.3570000579572215</v>
      </c>
      <c r="L736" s="7">
        <f t="shared" si="47"/>
        <v>388.75046748226436</v>
      </c>
      <c r="M736" s="7">
        <f t="shared" si="48"/>
        <v>19.679532517735652</v>
      </c>
    </row>
    <row r="737" spans="6:13" ht="18.75" customHeight="1">
      <c r="F737" s="1">
        <v>43770</v>
      </c>
      <c r="G737">
        <f t="shared" si="45"/>
        <v>11</v>
      </c>
      <c r="H737" s="7">
        <v>410.29</v>
      </c>
      <c r="I737" s="7">
        <f>_B*F737+_C</f>
        <v>392.21985042183155</v>
      </c>
      <c r="J737" s="7">
        <f t="shared" si="46"/>
        <v>18.070149578168468</v>
      </c>
      <c r="K737" s="7" cm="1">
        <f t="array" ref="K737">INDEX(Sm,G737)</f>
        <v>-2.069140151303194</v>
      </c>
      <c r="L737" s="7">
        <f t="shared" si="47"/>
        <v>390.15071027052835</v>
      </c>
      <c r="M737" s="7">
        <f t="shared" si="48"/>
        <v>20.13928972947167</v>
      </c>
    </row>
    <row r="738" spans="6:13" ht="18.75" customHeight="1">
      <c r="F738" s="1">
        <v>43800</v>
      </c>
      <c r="G738">
        <f t="shared" si="45"/>
        <v>12</v>
      </c>
      <c r="H738" s="7">
        <v>411.85</v>
      </c>
      <c r="I738" s="7">
        <f>_B*F738+_C</f>
        <v>392.32860804919602</v>
      </c>
      <c r="J738" s="7">
        <f t="shared" si="46"/>
        <v>19.521391950804002</v>
      </c>
      <c r="K738" s="7" cm="1">
        <f t="array" ref="K738">INDEX(Sm,G738)</f>
        <v>-0.94051682628672428</v>
      </c>
      <c r="L738" s="7">
        <f t="shared" si="47"/>
        <v>391.38809122290928</v>
      </c>
      <c r="M738" s="7">
        <f t="shared" si="48"/>
        <v>20.461908777090741</v>
      </c>
    </row>
    <row r="739" spans="6:13" ht="18.75" customHeight="1">
      <c r="F739" s="1">
        <v>43831</v>
      </c>
      <c r="G739">
        <f t="shared" si="45"/>
        <v>1</v>
      </c>
      <c r="H739" s="7">
        <v>413.37</v>
      </c>
      <c r="I739" s="7">
        <f>_B*F739+_C</f>
        <v>392.44099093080598</v>
      </c>
      <c r="J739" s="7">
        <f t="shared" si="46"/>
        <v>20.929009069194024</v>
      </c>
      <c r="K739" s="7" cm="1">
        <f t="array" ref="K739">INDEX(Sm,G739)</f>
        <v>-2.6471136468108808E-2</v>
      </c>
      <c r="L739" s="7">
        <f t="shared" si="47"/>
        <v>392.41451979433788</v>
      </c>
      <c r="M739" s="7">
        <f t="shared" si="48"/>
        <v>20.955480205662127</v>
      </c>
    </row>
    <row r="740" spans="6:13" ht="18.75" customHeight="1">
      <c r="F740" s="1">
        <v>43862</v>
      </c>
      <c r="G740">
        <f t="shared" si="45"/>
        <v>2</v>
      </c>
      <c r="H740" s="7">
        <v>414.09</v>
      </c>
      <c r="I740" s="7">
        <f>_B*F740+_C</f>
        <v>392.55337381241594</v>
      </c>
      <c r="J740" s="7">
        <f t="shared" si="46"/>
        <v>21.536626187584034</v>
      </c>
      <c r="K740" s="7" cm="1">
        <f t="array" ref="K740">INDEX(Sm,G740)</f>
        <v>0.58733060283015548</v>
      </c>
      <c r="L740" s="7">
        <f t="shared" si="47"/>
        <v>393.14070441524609</v>
      </c>
      <c r="M740" s="7">
        <f t="shared" si="48"/>
        <v>20.949295584753884</v>
      </c>
    </row>
    <row r="741" spans="6:13" ht="18.75" customHeight="1">
      <c r="F741" s="1">
        <v>43891</v>
      </c>
      <c r="G741">
        <f t="shared" si="45"/>
        <v>3</v>
      </c>
      <c r="H741" s="7">
        <v>414.51</v>
      </c>
      <c r="I741" s="7">
        <f>_B*F741+_C</f>
        <v>392.65850618553497</v>
      </c>
      <c r="J741" s="7">
        <f t="shared" si="46"/>
        <v>21.851493814465016</v>
      </c>
      <c r="K741" s="7" cm="1">
        <f t="array" ref="K741">INDEX(Sm,G741)</f>
        <v>1.4390836132721692</v>
      </c>
      <c r="L741" s="7">
        <f t="shared" si="47"/>
        <v>394.09758979880712</v>
      </c>
      <c r="M741" s="7">
        <f t="shared" si="48"/>
        <v>20.41241020119287</v>
      </c>
    </row>
    <row r="742" spans="6:13" ht="18.75" customHeight="1">
      <c r="F742" s="16">
        <v>43922</v>
      </c>
      <c r="G742" s="17">
        <f t="shared" si="45"/>
        <v>4</v>
      </c>
      <c r="H742" s="18">
        <v>416.18</v>
      </c>
      <c r="I742" s="7">
        <f>_B*F742+_C</f>
        <v>392.77088906714494</v>
      </c>
      <c r="J742" s="7">
        <f t="shared" si="46"/>
        <v>23.409110932855071</v>
      </c>
      <c r="K742" s="7" cm="1">
        <f t="array" ref="K742">INDEX(Sm,G742)</f>
        <v>2.6009864459479211</v>
      </c>
      <c r="L742" s="7">
        <f t="shared" si="47"/>
        <v>395.37187551309285</v>
      </c>
      <c r="M742" s="7">
        <f t="shared" si="48"/>
        <v>20.808124486907161</v>
      </c>
    </row>
    <row r="743" spans="6:13" ht="18.75" customHeight="1">
      <c r="F743" s="1">
        <v>43952</v>
      </c>
      <c r="G743">
        <f t="shared" si="45"/>
        <v>5</v>
      </c>
      <c r="J743" s="7"/>
    </row>
    <row r="744" spans="6:13" ht="18.75" customHeight="1">
      <c r="F744" s="1">
        <v>43983</v>
      </c>
      <c r="G744">
        <f t="shared" si="45"/>
        <v>6</v>
      </c>
      <c r="J744" s="7"/>
    </row>
    <row r="745" spans="6:13" ht="18.75" customHeight="1">
      <c r="F745" s="1">
        <v>44013</v>
      </c>
      <c r="G745">
        <f t="shared" si="45"/>
        <v>7</v>
      </c>
      <c r="J745" s="7"/>
    </row>
    <row r="746" spans="6:13" ht="18.75" customHeight="1">
      <c r="F746" s="1">
        <v>44044</v>
      </c>
      <c r="G746">
        <f t="shared" si="45"/>
        <v>8</v>
      </c>
      <c r="J746" s="7"/>
    </row>
    <row r="747" spans="6:13" ht="18.75" customHeight="1">
      <c r="F747" s="1">
        <v>44075</v>
      </c>
      <c r="G747">
        <f t="shared" si="45"/>
        <v>9</v>
      </c>
      <c r="J747" s="7"/>
    </row>
    <row r="748" spans="6:13" ht="18.75" customHeight="1">
      <c r="F748" s="1">
        <v>44105</v>
      </c>
      <c r="G748">
        <f t="shared" si="45"/>
        <v>10</v>
      </c>
      <c r="J748" s="7"/>
    </row>
    <row r="749" spans="6:13" ht="18.75" customHeight="1">
      <c r="F749" s="1">
        <v>44136</v>
      </c>
      <c r="G749">
        <f t="shared" si="45"/>
        <v>11</v>
      </c>
      <c r="J749" s="7"/>
    </row>
    <row r="750" spans="6:13" ht="18.75" customHeight="1">
      <c r="F750" s="1">
        <v>44166</v>
      </c>
      <c r="G750">
        <f t="shared" si="45"/>
        <v>12</v>
      </c>
      <c r="J750" s="7"/>
    </row>
    <row r="751" spans="6:13" ht="18.75" customHeight="1">
      <c r="F751" s="1">
        <v>44197</v>
      </c>
      <c r="G751">
        <f t="shared" si="45"/>
        <v>1</v>
      </c>
      <c r="J751" s="7"/>
    </row>
    <row r="752" spans="6:13" ht="18.75" customHeight="1">
      <c r="F752" s="1">
        <v>44228</v>
      </c>
      <c r="G752">
        <f t="shared" si="45"/>
        <v>2</v>
      </c>
      <c r="J752" s="7"/>
    </row>
    <row r="753" spans="6:10" ht="18.75" customHeight="1">
      <c r="F753" s="1">
        <v>44256</v>
      </c>
      <c r="G753">
        <f t="shared" si="45"/>
        <v>3</v>
      </c>
      <c r="J753" s="7"/>
    </row>
    <row r="754" spans="6:10" ht="18.75" customHeight="1">
      <c r="F754" s="1">
        <v>44287</v>
      </c>
      <c r="G754">
        <f t="shared" si="45"/>
        <v>4</v>
      </c>
      <c r="J754" s="7"/>
    </row>
    <row r="755" spans="6:10" ht="18.75" customHeight="1">
      <c r="F755" s="1">
        <v>44317</v>
      </c>
      <c r="G755">
        <f t="shared" si="45"/>
        <v>5</v>
      </c>
      <c r="J755" s="7"/>
    </row>
    <row r="756" spans="6:10" ht="18.75" customHeight="1">
      <c r="F756" s="1">
        <v>44348</v>
      </c>
      <c r="G756">
        <f t="shared" si="45"/>
        <v>6</v>
      </c>
      <c r="J756" s="7"/>
    </row>
    <row r="757" spans="6:10" ht="18.75" customHeight="1">
      <c r="F757" s="1">
        <v>44378</v>
      </c>
      <c r="G757">
        <f t="shared" si="45"/>
        <v>7</v>
      </c>
      <c r="J757" s="7"/>
    </row>
    <row r="758" spans="6:10" ht="18.75" customHeight="1">
      <c r="F758" s="1">
        <v>44409</v>
      </c>
      <c r="G758">
        <f t="shared" si="45"/>
        <v>8</v>
      </c>
      <c r="J758" s="7"/>
    </row>
    <row r="759" spans="6:10" ht="18.75" customHeight="1">
      <c r="F759" s="1">
        <v>44440</v>
      </c>
      <c r="G759">
        <f t="shared" si="45"/>
        <v>9</v>
      </c>
      <c r="J759" s="7"/>
    </row>
    <row r="760" spans="6:10" ht="18.75" customHeight="1">
      <c r="F760" s="1">
        <v>44470</v>
      </c>
      <c r="G760">
        <f t="shared" si="45"/>
        <v>10</v>
      </c>
      <c r="J760" s="7"/>
    </row>
    <row r="761" spans="6:10" ht="18.75" customHeight="1">
      <c r="F761" s="1">
        <v>44501</v>
      </c>
      <c r="G761">
        <f t="shared" si="45"/>
        <v>11</v>
      </c>
      <c r="J761" s="7"/>
    </row>
    <row r="762" spans="6:10" ht="18.75" customHeight="1">
      <c r="F762" s="1">
        <v>44531</v>
      </c>
      <c r="G762">
        <f t="shared" si="45"/>
        <v>12</v>
      </c>
      <c r="J762" s="7"/>
    </row>
    <row r="763" spans="6:10" ht="18.75" customHeight="1">
      <c r="F763" s="1">
        <v>44562</v>
      </c>
      <c r="G763">
        <f t="shared" si="45"/>
        <v>1</v>
      </c>
      <c r="J763" s="7"/>
    </row>
    <row r="764" spans="6:10" ht="18.75" customHeight="1">
      <c r="F764" s="1">
        <v>44593</v>
      </c>
      <c r="G764">
        <f t="shared" si="45"/>
        <v>2</v>
      </c>
      <c r="J764" s="7"/>
    </row>
    <row r="765" spans="6:10" ht="18.75" customHeight="1">
      <c r="F765" s="1">
        <v>44621</v>
      </c>
      <c r="G765">
        <f t="shared" si="45"/>
        <v>3</v>
      </c>
      <c r="J765" s="7"/>
    </row>
    <row r="766" spans="6:10" ht="18.75" customHeight="1">
      <c r="F766" s="1">
        <v>44652</v>
      </c>
      <c r="G766">
        <f t="shared" si="45"/>
        <v>4</v>
      </c>
      <c r="J766" s="7"/>
    </row>
    <row r="767" spans="6:10" ht="18.75" customHeight="1">
      <c r="F767" s="1">
        <v>44682</v>
      </c>
      <c r="G767">
        <f t="shared" si="45"/>
        <v>5</v>
      </c>
      <c r="J767" s="7"/>
    </row>
    <row r="768" spans="6:10" ht="18.75" customHeight="1">
      <c r="F768" s="1">
        <v>44713</v>
      </c>
      <c r="G768">
        <f t="shared" si="45"/>
        <v>6</v>
      </c>
      <c r="J768" s="7"/>
    </row>
    <row r="769" spans="6:10" ht="18.75" customHeight="1">
      <c r="F769" s="1">
        <v>44743</v>
      </c>
      <c r="G769">
        <f t="shared" si="45"/>
        <v>7</v>
      </c>
      <c r="J769" s="7"/>
    </row>
    <row r="770" spans="6:10" ht="18.75" customHeight="1">
      <c r="F770" s="1">
        <v>44774</v>
      </c>
      <c r="G770">
        <f t="shared" si="45"/>
        <v>8</v>
      </c>
      <c r="J770" s="7"/>
    </row>
    <row r="771" spans="6:10" ht="18.75" customHeight="1">
      <c r="F771" s="1">
        <v>44805</v>
      </c>
      <c r="G771">
        <f t="shared" ref="G771:G834" si="49">MONTH(F771)</f>
        <v>9</v>
      </c>
      <c r="J771" s="7"/>
    </row>
    <row r="772" spans="6:10" ht="18.75" customHeight="1">
      <c r="F772" s="1">
        <v>44835</v>
      </c>
      <c r="G772">
        <f t="shared" si="49"/>
        <v>10</v>
      </c>
      <c r="J772" s="7"/>
    </row>
    <row r="773" spans="6:10" ht="18.75" customHeight="1">
      <c r="F773" s="1">
        <v>44866</v>
      </c>
      <c r="G773">
        <f t="shared" si="49"/>
        <v>11</v>
      </c>
      <c r="J773" s="7"/>
    </row>
    <row r="774" spans="6:10" ht="18.75" customHeight="1">
      <c r="F774" s="1">
        <v>44896</v>
      </c>
      <c r="G774">
        <f t="shared" si="49"/>
        <v>12</v>
      </c>
      <c r="J774" s="7"/>
    </row>
    <row r="775" spans="6:10" ht="18.75" customHeight="1">
      <c r="F775" s="1">
        <v>44927</v>
      </c>
      <c r="G775">
        <f t="shared" si="49"/>
        <v>1</v>
      </c>
      <c r="J775" s="7"/>
    </row>
    <row r="776" spans="6:10" ht="18.75" customHeight="1">
      <c r="F776" s="1">
        <v>44958</v>
      </c>
      <c r="G776">
        <f t="shared" si="49"/>
        <v>2</v>
      </c>
      <c r="J776" s="7"/>
    </row>
    <row r="777" spans="6:10" ht="18.75" customHeight="1">
      <c r="F777" s="1">
        <v>44986</v>
      </c>
      <c r="G777">
        <f t="shared" si="49"/>
        <v>3</v>
      </c>
      <c r="J777" s="7"/>
    </row>
    <row r="778" spans="6:10" ht="18.75" customHeight="1">
      <c r="F778" s="1">
        <v>45017</v>
      </c>
      <c r="G778">
        <f t="shared" si="49"/>
        <v>4</v>
      </c>
      <c r="J778" s="7"/>
    </row>
    <row r="779" spans="6:10" ht="18.75" customHeight="1">
      <c r="F779" s="1">
        <v>45047</v>
      </c>
      <c r="G779">
        <f t="shared" si="49"/>
        <v>5</v>
      </c>
      <c r="J779" s="7"/>
    </row>
    <row r="780" spans="6:10" ht="18.75" customHeight="1">
      <c r="F780" s="1">
        <v>45078</v>
      </c>
      <c r="G780">
        <f t="shared" si="49"/>
        <v>6</v>
      </c>
      <c r="J780" s="7"/>
    </row>
    <row r="781" spans="6:10" ht="18.75" customHeight="1">
      <c r="F781" s="1">
        <v>45108</v>
      </c>
      <c r="G781">
        <f t="shared" si="49"/>
        <v>7</v>
      </c>
      <c r="J781" s="7"/>
    </row>
    <row r="782" spans="6:10" ht="18.75" customHeight="1">
      <c r="F782" s="1">
        <v>45139</v>
      </c>
      <c r="G782">
        <f t="shared" si="49"/>
        <v>8</v>
      </c>
      <c r="J782" s="7"/>
    </row>
    <row r="783" spans="6:10" ht="18.75" customHeight="1">
      <c r="F783" s="1">
        <v>45170</v>
      </c>
      <c r="G783">
        <f t="shared" si="49"/>
        <v>9</v>
      </c>
      <c r="J783" s="7"/>
    </row>
    <row r="784" spans="6:10" ht="18.75" customHeight="1">
      <c r="F784" s="1">
        <v>45200</v>
      </c>
      <c r="G784">
        <f t="shared" si="49"/>
        <v>10</v>
      </c>
      <c r="J784" s="7"/>
    </row>
    <row r="785" spans="6:10" ht="18.75" customHeight="1">
      <c r="F785" s="1">
        <v>45231</v>
      </c>
      <c r="G785">
        <f t="shared" si="49"/>
        <v>11</v>
      </c>
      <c r="J785" s="7"/>
    </row>
    <row r="786" spans="6:10" ht="18.75" customHeight="1">
      <c r="F786" s="1">
        <v>45261</v>
      </c>
      <c r="G786">
        <f t="shared" si="49"/>
        <v>12</v>
      </c>
      <c r="J786" s="7"/>
    </row>
    <row r="787" spans="6:10" ht="18.75" customHeight="1">
      <c r="F787" s="1">
        <v>45292</v>
      </c>
      <c r="G787">
        <f t="shared" si="49"/>
        <v>1</v>
      </c>
      <c r="J787" s="7"/>
    </row>
    <row r="788" spans="6:10" ht="18.75" customHeight="1">
      <c r="F788" s="1">
        <v>45323</v>
      </c>
      <c r="G788">
        <f t="shared" si="49"/>
        <v>2</v>
      </c>
      <c r="J788" s="7"/>
    </row>
    <row r="789" spans="6:10" ht="18.75" customHeight="1">
      <c r="F789" s="1">
        <v>45352</v>
      </c>
      <c r="G789">
        <f t="shared" si="49"/>
        <v>3</v>
      </c>
      <c r="J789" s="7"/>
    </row>
    <row r="790" spans="6:10" ht="18.75" customHeight="1">
      <c r="F790" s="1">
        <v>45383</v>
      </c>
      <c r="G790">
        <f t="shared" si="49"/>
        <v>4</v>
      </c>
      <c r="J790" s="7"/>
    </row>
    <row r="791" spans="6:10" ht="18.75" customHeight="1">
      <c r="F791" s="1">
        <v>45413</v>
      </c>
      <c r="G791">
        <f t="shared" si="49"/>
        <v>5</v>
      </c>
      <c r="J791" s="7"/>
    </row>
    <row r="792" spans="6:10" ht="18.75" customHeight="1">
      <c r="F792" s="1">
        <v>45444</v>
      </c>
      <c r="G792">
        <f t="shared" si="49"/>
        <v>6</v>
      </c>
      <c r="J792" s="7"/>
    </row>
    <row r="793" spans="6:10" ht="18.75" customHeight="1">
      <c r="F793" s="1">
        <v>45474</v>
      </c>
      <c r="G793">
        <f t="shared" si="49"/>
        <v>7</v>
      </c>
      <c r="J793" s="7"/>
    </row>
    <row r="794" spans="6:10" ht="18.75" customHeight="1">
      <c r="F794" s="1">
        <v>45505</v>
      </c>
      <c r="G794">
        <f t="shared" si="49"/>
        <v>8</v>
      </c>
      <c r="J794" s="7"/>
    </row>
    <row r="795" spans="6:10" ht="18.75" customHeight="1">
      <c r="F795" s="1">
        <v>45536</v>
      </c>
      <c r="G795">
        <f t="shared" si="49"/>
        <v>9</v>
      </c>
      <c r="J795" s="7"/>
    </row>
    <row r="796" spans="6:10" ht="18.75" customHeight="1">
      <c r="F796" s="1">
        <v>45566</v>
      </c>
      <c r="G796">
        <f t="shared" si="49"/>
        <v>10</v>
      </c>
      <c r="J796" s="7"/>
    </row>
    <row r="797" spans="6:10" ht="18.75" customHeight="1">
      <c r="F797" s="1">
        <v>45597</v>
      </c>
      <c r="G797">
        <f t="shared" si="49"/>
        <v>11</v>
      </c>
      <c r="J797" s="7"/>
    </row>
    <row r="798" spans="6:10" ht="18.75" customHeight="1">
      <c r="F798" s="1">
        <v>45627</v>
      </c>
      <c r="G798">
        <f t="shared" si="49"/>
        <v>12</v>
      </c>
      <c r="J798" s="7"/>
    </row>
    <row r="799" spans="6:10" ht="18.75" customHeight="1">
      <c r="F799" s="1">
        <v>45658</v>
      </c>
      <c r="G799">
        <f t="shared" si="49"/>
        <v>1</v>
      </c>
      <c r="J799" s="7"/>
    </row>
    <row r="800" spans="6:10" ht="18.75" customHeight="1">
      <c r="F800" s="1">
        <v>45689</v>
      </c>
      <c r="G800">
        <f t="shared" si="49"/>
        <v>2</v>
      </c>
      <c r="J800" s="7"/>
    </row>
    <row r="801" spans="6:10" ht="18.75" customHeight="1">
      <c r="F801" s="1">
        <v>45717</v>
      </c>
      <c r="G801">
        <f t="shared" si="49"/>
        <v>3</v>
      </c>
      <c r="J801" s="7"/>
    </row>
    <row r="802" spans="6:10" ht="18.75" customHeight="1">
      <c r="F802" s="1">
        <v>45748</v>
      </c>
      <c r="G802">
        <f t="shared" si="49"/>
        <v>4</v>
      </c>
      <c r="J802" s="7"/>
    </row>
    <row r="803" spans="6:10" ht="18.75" customHeight="1">
      <c r="F803" s="1">
        <v>45778</v>
      </c>
      <c r="G803">
        <f t="shared" si="49"/>
        <v>5</v>
      </c>
      <c r="J803" s="7"/>
    </row>
    <row r="804" spans="6:10" ht="18.75" customHeight="1">
      <c r="F804" s="1">
        <v>45809</v>
      </c>
      <c r="G804">
        <f t="shared" si="49"/>
        <v>6</v>
      </c>
      <c r="J804" s="7"/>
    </row>
    <row r="805" spans="6:10" ht="18.75" customHeight="1">
      <c r="F805" s="1">
        <v>45839</v>
      </c>
      <c r="G805">
        <f t="shared" si="49"/>
        <v>7</v>
      </c>
      <c r="J805" s="7"/>
    </row>
    <row r="806" spans="6:10" ht="18.75" customHeight="1">
      <c r="F806" s="1">
        <v>45870</v>
      </c>
      <c r="G806">
        <f t="shared" si="49"/>
        <v>8</v>
      </c>
      <c r="J806" s="7"/>
    </row>
    <row r="807" spans="6:10" ht="18.75" customHeight="1">
      <c r="F807" s="1">
        <v>45901</v>
      </c>
      <c r="G807">
        <f t="shared" si="49"/>
        <v>9</v>
      </c>
      <c r="J807" s="7"/>
    </row>
    <row r="808" spans="6:10" ht="18.75" customHeight="1">
      <c r="F808" s="1">
        <v>45931</v>
      </c>
      <c r="G808">
        <f t="shared" si="49"/>
        <v>10</v>
      </c>
      <c r="J808" s="7"/>
    </row>
    <row r="809" spans="6:10" ht="18.75" customHeight="1">
      <c r="F809" s="1">
        <v>45962</v>
      </c>
      <c r="G809">
        <f t="shared" si="49"/>
        <v>11</v>
      </c>
      <c r="J809" s="7"/>
    </row>
    <row r="810" spans="6:10" ht="18.75" customHeight="1">
      <c r="F810" s="1">
        <v>45992</v>
      </c>
      <c r="G810">
        <f t="shared" si="49"/>
        <v>12</v>
      </c>
      <c r="J810" s="7"/>
    </row>
    <row r="811" spans="6:10" ht="18.75" customHeight="1">
      <c r="F811" s="1">
        <v>46023</v>
      </c>
      <c r="G811">
        <f t="shared" si="49"/>
        <v>1</v>
      </c>
      <c r="J811" s="7"/>
    </row>
    <row r="812" spans="6:10" ht="18.75" customHeight="1">
      <c r="F812" s="1">
        <v>46054</v>
      </c>
      <c r="G812">
        <f t="shared" si="49"/>
        <v>2</v>
      </c>
      <c r="J812" s="7"/>
    </row>
    <row r="813" spans="6:10" ht="18.75" customHeight="1">
      <c r="F813" s="1">
        <v>46082</v>
      </c>
      <c r="G813">
        <f t="shared" si="49"/>
        <v>3</v>
      </c>
      <c r="J813" s="7"/>
    </row>
    <row r="814" spans="6:10" ht="18.75" customHeight="1">
      <c r="F814" s="1">
        <v>46113</v>
      </c>
      <c r="G814">
        <f t="shared" si="49"/>
        <v>4</v>
      </c>
      <c r="J814" s="7"/>
    </row>
    <row r="815" spans="6:10" ht="18.75" customHeight="1">
      <c r="F815" s="1">
        <v>46143</v>
      </c>
      <c r="G815">
        <f t="shared" si="49"/>
        <v>5</v>
      </c>
      <c r="J815" s="7"/>
    </row>
    <row r="816" spans="6:10" ht="18.75" customHeight="1">
      <c r="F816" s="1">
        <v>46174</v>
      </c>
      <c r="G816">
        <f t="shared" si="49"/>
        <v>6</v>
      </c>
      <c r="J816" s="7"/>
    </row>
    <row r="817" spans="6:10" ht="18.75" customHeight="1">
      <c r="F817" s="1">
        <v>46204</v>
      </c>
      <c r="G817">
        <f t="shared" si="49"/>
        <v>7</v>
      </c>
      <c r="J817" s="7"/>
    </row>
    <row r="818" spans="6:10" ht="18.75" customHeight="1">
      <c r="F818" s="1">
        <v>46235</v>
      </c>
      <c r="G818">
        <f t="shared" si="49"/>
        <v>8</v>
      </c>
      <c r="J818" s="7"/>
    </row>
    <row r="819" spans="6:10" ht="18.75" customHeight="1">
      <c r="F819" s="1">
        <v>46266</v>
      </c>
      <c r="G819">
        <f t="shared" si="49"/>
        <v>9</v>
      </c>
      <c r="J819" s="7"/>
    </row>
    <row r="820" spans="6:10" ht="18.75" customHeight="1">
      <c r="F820" s="1">
        <v>46296</v>
      </c>
      <c r="G820">
        <f t="shared" si="49"/>
        <v>10</v>
      </c>
      <c r="J820" s="7"/>
    </row>
    <row r="821" spans="6:10" ht="18.75" customHeight="1">
      <c r="F821" s="1">
        <v>46327</v>
      </c>
      <c r="G821">
        <f t="shared" si="49"/>
        <v>11</v>
      </c>
      <c r="J821" s="7"/>
    </row>
    <row r="822" spans="6:10" ht="18.75" customHeight="1">
      <c r="F822" s="1">
        <v>46357</v>
      </c>
      <c r="G822">
        <f t="shared" si="49"/>
        <v>12</v>
      </c>
      <c r="J822" s="7"/>
    </row>
    <row r="823" spans="6:10" ht="18.75" customHeight="1">
      <c r="F823" s="1">
        <v>46388</v>
      </c>
      <c r="G823">
        <f t="shared" si="49"/>
        <v>1</v>
      </c>
      <c r="J823" s="7"/>
    </row>
    <row r="824" spans="6:10" ht="18.75" customHeight="1">
      <c r="F824" s="1">
        <v>46419</v>
      </c>
      <c r="G824">
        <f t="shared" si="49"/>
        <v>2</v>
      </c>
      <c r="J824" s="7"/>
    </row>
    <row r="825" spans="6:10" ht="18.75" customHeight="1">
      <c r="F825" s="1">
        <v>46447</v>
      </c>
      <c r="G825">
        <f t="shared" si="49"/>
        <v>3</v>
      </c>
      <c r="J825" s="7"/>
    </row>
    <row r="826" spans="6:10" ht="18.75" customHeight="1">
      <c r="F826" s="1">
        <v>46478</v>
      </c>
      <c r="G826">
        <f t="shared" si="49"/>
        <v>4</v>
      </c>
      <c r="J826" s="7"/>
    </row>
    <row r="827" spans="6:10" ht="18.75" customHeight="1">
      <c r="F827" s="1">
        <v>46508</v>
      </c>
      <c r="G827">
        <f t="shared" si="49"/>
        <v>5</v>
      </c>
      <c r="J827" s="7"/>
    </row>
    <row r="828" spans="6:10" ht="18.75" customHeight="1">
      <c r="F828" s="1">
        <v>46539</v>
      </c>
      <c r="G828">
        <f t="shared" si="49"/>
        <v>6</v>
      </c>
      <c r="J828" s="7"/>
    </row>
    <row r="829" spans="6:10" ht="18.75" customHeight="1">
      <c r="F829" s="1">
        <v>46569</v>
      </c>
      <c r="G829">
        <f t="shared" si="49"/>
        <v>7</v>
      </c>
      <c r="J829" s="7"/>
    </row>
    <row r="830" spans="6:10" ht="18.75" customHeight="1">
      <c r="F830" s="1">
        <v>46600</v>
      </c>
      <c r="G830">
        <f t="shared" si="49"/>
        <v>8</v>
      </c>
      <c r="J830" s="7"/>
    </row>
    <row r="831" spans="6:10" ht="18.75" customHeight="1">
      <c r="F831" s="1">
        <v>46631</v>
      </c>
      <c r="G831">
        <f t="shared" si="49"/>
        <v>9</v>
      </c>
      <c r="J831" s="7"/>
    </row>
    <row r="832" spans="6:10" ht="18.75" customHeight="1">
      <c r="F832" s="1">
        <v>46661</v>
      </c>
      <c r="G832">
        <f t="shared" si="49"/>
        <v>10</v>
      </c>
      <c r="J832" s="7"/>
    </row>
    <row r="833" spans="6:10" ht="18.75" customHeight="1">
      <c r="F833" s="1">
        <v>46692</v>
      </c>
      <c r="G833">
        <f t="shared" si="49"/>
        <v>11</v>
      </c>
      <c r="J833" s="7"/>
    </row>
    <row r="834" spans="6:10" ht="18.75" customHeight="1">
      <c r="F834" s="1">
        <v>46722</v>
      </c>
      <c r="G834">
        <f t="shared" si="49"/>
        <v>12</v>
      </c>
      <c r="J834" s="7"/>
    </row>
    <row r="835" spans="6:10" ht="18.75" customHeight="1">
      <c r="F835" s="1">
        <v>46753</v>
      </c>
      <c r="G835">
        <f t="shared" ref="G835:G898" si="50">MONTH(F835)</f>
        <v>1</v>
      </c>
      <c r="J835" s="7"/>
    </row>
    <row r="836" spans="6:10" ht="18.75" customHeight="1">
      <c r="F836" s="1">
        <v>46784</v>
      </c>
      <c r="G836">
        <f t="shared" si="50"/>
        <v>2</v>
      </c>
      <c r="J836" s="7"/>
    </row>
    <row r="837" spans="6:10" ht="18.75" customHeight="1">
      <c r="F837" s="1">
        <v>46813</v>
      </c>
      <c r="G837">
        <f t="shared" si="50"/>
        <v>3</v>
      </c>
      <c r="J837" s="7"/>
    </row>
    <row r="838" spans="6:10" ht="18.75" customHeight="1">
      <c r="F838" s="1">
        <v>46844</v>
      </c>
      <c r="G838">
        <f t="shared" si="50"/>
        <v>4</v>
      </c>
      <c r="J838" s="7"/>
    </row>
    <row r="839" spans="6:10" ht="18.75" customHeight="1">
      <c r="F839" s="1">
        <v>46874</v>
      </c>
      <c r="G839">
        <f t="shared" si="50"/>
        <v>5</v>
      </c>
      <c r="J839" s="7"/>
    </row>
    <row r="840" spans="6:10" ht="18.75" customHeight="1">
      <c r="F840" s="1">
        <v>46905</v>
      </c>
      <c r="G840">
        <f t="shared" si="50"/>
        <v>6</v>
      </c>
      <c r="J840" s="7"/>
    </row>
    <row r="841" spans="6:10" ht="18.75" customHeight="1">
      <c r="F841" s="1">
        <v>46935</v>
      </c>
      <c r="G841">
        <f t="shared" si="50"/>
        <v>7</v>
      </c>
      <c r="J841" s="7"/>
    </row>
    <row r="842" spans="6:10" ht="18.75" customHeight="1">
      <c r="F842" s="1">
        <v>46966</v>
      </c>
      <c r="G842">
        <f t="shared" si="50"/>
        <v>8</v>
      </c>
      <c r="J842" s="7"/>
    </row>
    <row r="843" spans="6:10" ht="18.75" customHeight="1">
      <c r="F843" s="1">
        <v>46997</v>
      </c>
      <c r="G843">
        <f t="shared" si="50"/>
        <v>9</v>
      </c>
      <c r="J843" s="7"/>
    </row>
    <row r="844" spans="6:10" ht="18.75" customHeight="1">
      <c r="F844" s="1">
        <v>47027</v>
      </c>
      <c r="G844">
        <f t="shared" si="50"/>
        <v>10</v>
      </c>
      <c r="J844" s="7"/>
    </row>
    <row r="845" spans="6:10" ht="18.75" customHeight="1">
      <c r="F845" s="1">
        <v>47058</v>
      </c>
      <c r="G845">
        <f t="shared" si="50"/>
        <v>11</v>
      </c>
      <c r="J845" s="7"/>
    </row>
    <row r="846" spans="6:10" ht="18.75" customHeight="1">
      <c r="F846" s="1">
        <v>47088</v>
      </c>
      <c r="G846">
        <f t="shared" si="50"/>
        <v>12</v>
      </c>
      <c r="J846" s="7"/>
    </row>
    <row r="847" spans="6:10" ht="18.75" customHeight="1">
      <c r="F847" s="1">
        <v>47119</v>
      </c>
      <c r="G847">
        <f t="shared" si="50"/>
        <v>1</v>
      </c>
      <c r="J847" s="7"/>
    </row>
    <row r="848" spans="6:10" ht="18.75" customHeight="1">
      <c r="F848" s="1">
        <v>47150</v>
      </c>
      <c r="G848">
        <f t="shared" si="50"/>
        <v>2</v>
      </c>
      <c r="J848" s="7"/>
    </row>
    <row r="849" spans="6:10" ht="18.75" customHeight="1">
      <c r="F849" s="1">
        <v>47178</v>
      </c>
      <c r="G849">
        <f t="shared" si="50"/>
        <v>3</v>
      </c>
      <c r="J849" s="7"/>
    </row>
    <row r="850" spans="6:10" ht="18.75" customHeight="1">
      <c r="F850" s="1">
        <v>47209</v>
      </c>
      <c r="G850">
        <f t="shared" si="50"/>
        <v>4</v>
      </c>
      <c r="J850" s="7"/>
    </row>
    <row r="851" spans="6:10" ht="18.75" customHeight="1">
      <c r="F851" s="1">
        <v>47239</v>
      </c>
      <c r="G851">
        <f t="shared" si="50"/>
        <v>5</v>
      </c>
      <c r="J851" s="7"/>
    </row>
    <row r="852" spans="6:10" ht="18.75" customHeight="1">
      <c r="F852" s="1">
        <v>47270</v>
      </c>
      <c r="G852">
        <f t="shared" si="50"/>
        <v>6</v>
      </c>
      <c r="J852" s="7"/>
    </row>
    <row r="853" spans="6:10" ht="18.75" customHeight="1">
      <c r="F853" s="1">
        <v>47300</v>
      </c>
      <c r="G853">
        <f t="shared" si="50"/>
        <v>7</v>
      </c>
      <c r="J853" s="7"/>
    </row>
    <row r="854" spans="6:10" ht="18.75" customHeight="1">
      <c r="F854" s="1">
        <v>47331</v>
      </c>
      <c r="G854">
        <f t="shared" si="50"/>
        <v>8</v>
      </c>
      <c r="J854" s="7"/>
    </row>
    <row r="855" spans="6:10" ht="18.75" customHeight="1">
      <c r="F855" s="1">
        <v>47362</v>
      </c>
      <c r="G855">
        <f t="shared" si="50"/>
        <v>9</v>
      </c>
      <c r="J855" s="7"/>
    </row>
    <row r="856" spans="6:10" ht="18.75" customHeight="1">
      <c r="F856" s="1">
        <v>47392</v>
      </c>
      <c r="G856">
        <f t="shared" si="50"/>
        <v>10</v>
      </c>
      <c r="J856" s="7"/>
    </row>
    <row r="857" spans="6:10" ht="18.75" customHeight="1">
      <c r="F857" s="1">
        <v>47423</v>
      </c>
      <c r="G857">
        <f t="shared" si="50"/>
        <v>11</v>
      </c>
      <c r="J857" s="7"/>
    </row>
    <row r="858" spans="6:10" ht="18.75" customHeight="1">
      <c r="F858" s="1">
        <v>47453</v>
      </c>
      <c r="G858">
        <f t="shared" si="50"/>
        <v>12</v>
      </c>
      <c r="J858" s="7"/>
    </row>
    <row r="859" spans="6:10" ht="18.75" customHeight="1">
      <c r="F859" s="1">
        <v>47484</v>
      </c>
      <c r="G859">
        <f t="shared" si="50"/>
        <v>1</v>
      </c>
      <c r="J859" s="7"/>
    </row>
    <row r="860" spans="6:10" ht="18.75" customHeight="1">
      <c r="F860" s="1">
        <v>47515</v>
      </c>
      <c r="G860">
        <f t="shared" si="50"/>
        <v>2</v>
      </c>
      <c r="J860" s="7"/>
    </row>
    <row r="861" spans="6:10" ht="18.75" customHeight="1">
      <c r="F861" s="1">
        <v>47543</v>
      </c>
      <c r="G861">
        <f t="shared" si="50"/>
        <v>3</v>
      </c>
      <c r="J861" s="7"/>
    </row>
    <row r="862" spans="6:10" ht="18.75" customHeight="1">
      <c r="F862" s="1">
        <v>47574</v>
      </c>
      <c r="G862">
        <f t="shared" si="50"/>
        <v>4</v>
      </c>
      <c r="J862" s="7"/>
    </row>
    <row r="863" spans="6:10" ht="18.75" customHeight="1">
      <c r="F863" s="1">
        <v>47604</v>
      </c>
      <c r="G863">
        <f t="shared" si="50"/>
        <v>5</v>
      </c>
      <c r="J863" s="7"/>
    </row>
    <row r="864" spans="6:10" ht="18.75" customHeight="1">
      <c r="F864" s="1">
        <v>47635</v>
      </c>
      <c r="G864">
        <f t="shared" si="50"/>
        <v>6</v>
      </c>
      <c r="J864" s="7"/>
    </row>
    <row r="865" spans="6:10" ht="18.75" customHeight="1">
      <c r="F865" s="1">
        <v>47665</v>
      </c>
      <c r="G865">
        <f t="shared" si="50"/>
        <v>7</v>
      </c>
      <c r="J865" s="7"/>
    </row>
    <row r="866" spans="6:10" ht="18.75" customHeight="1">
      <c r="F866" s="1">
        <v>47696</v>
      </c>
      <c r="G866">
        <f t="shared" si="50"/>
        <v>8</v>
      </c>
      <c r="J866" s="7"/>
    </row>
    <row r="867" spans="6:10" ht="18.75" customHeight="1">
      <c r="F867" s="1">
        <v>47727</v>
      </c>
      <c r="G867">
        <f t="shared" si="50"/>
        <v>9</v>
      </c>
      <c r="J867" s="7"/>
    </row>
    <row r="868" spans="6:10" ht="18.75" customHeight="1">
      <c r="F868" s="1">
        <v>47757</v>
      </c>
      <c r="G868">
        <f t="shared" si="50"/>
        <v>10</v>
      </c>
      <c r="J868" s="7"/>
    </row>
    <row r="869" spans="6:10" ht="18.75" customHeight="1">
      <c r="F869" s="1">
        <v>47788</v>
      </c>
      <c r="G869">
        <f t="shared" si="50"/>
        <v>11</v>
      </c>
      <c r="J869" s="7"/>
    </row>
    <row r="870" spans="6:10" ht="18.75" customHeight="1">
      <c r="F870" s="1">
        <v>47818</v>
      </c>
      <c r="G870">
        <f t="shared" si="50"/>
        <v>12</v>
      </c>
      <c r="J870" s="7"/>
    </row>
    <row r="871" spans="6:10" ht="18.75" customHeight="1">
      <c r="F871" s="1">
        <v>47849</v>
      </c>
      <c r="G871">
        <f t="shared" si="50"/>
        <v>1</v>
      </c>
      <c r="J871" s="7"/>
    </row>
    <row r="872" spans="6:10" ht="18.75" customHeight="1">
      <c r="F872" s="1">
        <v>47880</v>
      </c>
      <c r="G872">
        <f t="shared" si="50"/>
        <v>2</v>
      </c>
      <c r="J872" s="7"/>
    </row>
    <row r="873" spans="6:10" ht="18.75" customHeight="1">
      <c r="F873" s="1">
        <v>47908</v>
      </c>
      <c r="G873">
        <f t="shared" si="50"/>
        <v>3</v>
      </c>
      <c r="J873" s="7"/>
    </row>
    <row r="874" spans="6:10" ht="18.75" customHeight="1">
      <c r="F874" s="1">
        <v>47939</v>
      </c>
      <c r="G874">
        <f t="shared" si="50"/>
        <v>4</v>
      </c>
      <c r="J874" s="7"/>
    </row>
    <row r="875" spans="6:10" ht="18.75" customHeight="1">
      <c r="F875" s="1">
        <v>47969</v>
      </c>
      <c r="G875">
        <f t="shared" si="50"/>
        <v>5</v>
      </c>
      <c r="J875" s="7"/>
    </row>
    <row r="876" spans="6:10" ht="18.75" customHeight="1">
      <c r="F876" s="1">
        <v>48000</v>
      </c>
      <c r="G876">
        <f t="shared" si="50"/>
        <v>6</v>
      </c>
      <c r="J876" s="7"/>
    </row>
    <row r="877" spans="6:10" ht="18.75" customHeight="1">
      <c r="F877" s="1">
        <v>48030</v>
      </c>
      <c r="G877">
        <f t="shared" si="50"/>
        <v>7</v>
      </c>
      <c r="J877" s="7"/>
    </row>
    <row r="878" spans="6:10" ht="18.75" customHeight="1">
      <c r="F878" s="1">
        <v>48061</v>
      </c>
      <c r="G878">
        <f t="shared" si="50"/>
        <v>8</v>
      </c>
      <c r="J878" s="7"/>
    </row>
    <row r="879" spans="6:10" ht="18.75" customHeight="1">
      <c r="F879" s="1">
        <v>48092</v>
      </c>
      <c r="G879">
        <f t="shared" si="50"/>
        <v>9</v>
      </c>
      <c r="J879" s="7"/>
    </row>
    <row r="880" spans="6:10" ht="18.75" customHeight="1">
      <c r="F880" s="1">
        <v>48122</v>
      </c>
      <c r="G880">
        <f t="shared" si="50"/>
        <v>10</v>
      </c>
      <c r="J880" s="7"/>
    </row>
    <row r="881" spans="6:10" ht="18.75" customHeight="1">
      <c r="F881" s="1">
        <v>48153</v>
      </c>
      <c r="G881">
        <f t="shared" si="50"/>
        <v>11</v>
      </c>
      <c r="J881" s="7"/>
    </row>
    <row r="882" spans="6:10" ht="18.75" customHeight="1">
      <c r="F882" s="1">
        <v>48183</v>
      </c>
      <c r="G882">
        <f t="shared" si="50"/>
        <v>12</v>
      </c>
      <c r="J882" s="7"/>
    </row>
    <row r="883" spans="6:10" ht="18.75" customHeight="1">
      <c r="F883" s="1">
        <v>48214</v>
      </c>
      <c r="G883">
        <f t="shared" si="50"/>
        <v>1</v>
      </c>
      <c r="J883" s="7"/>
    </row>
    <row r="884" spans="6:10" ht="18.75" customHeight="1">
      <c r="F884" s="1">
        <v>48245</v>
      </c>
      <c r="G884">
        <f t="shared" si="50"/>
        <v>2</v>
      </c>
      <c r="J884" s="7"/>
    </row>
    <row r="885" spans="6:10" ht="18.75" customHeight="1">
      <c r="F885" s="1">
        <v>48274</v>
      </c>
      <c r="G885">
        <f t="shared" si="50"/>
        <v>3</v>
      </c>
      <c r="J885" s="7"/>
    </row>
    <row r="886" spans="6:10" ht="18.75" customHeight="1">
      <c r="F886" s="1">
        <v>48305</v>
      </c>
      <c r="G886">
        <f t="shared" si="50"/>
        <v>4</v>
      </c>
      <c r="J886" s="7"/>
    </row>
    <row r="887" spans="6:10" ht="18.75" customHeight="1">
      <c r="F887" s="1">
        <v>48335</v>
      </c>
      <c r="G887">
        <f t="shared" si="50"/>
        <v>5</v>
      </c>
      <c r="J887" s="7"/>
    </row>
    <row r="888" spans="6:10" ht="18.75" customHeight="1">
      <c r="F888" s="1">
        <v>48366</v>
      </c>
      <c r="G888">
        <f t="shared" si="50"/>
        <v>6</v>
      </c>
      <c r="J888" s="7"/>
    </row>
    <row r="889" spans="6:10" ht="18.75" customHeight="1">
      <c r="F889" s="1">
        <v>48396</v>
      </c>
      <c r="G889">
        <f t="shared" si="50"/>
        <v>7</v>
      </c>
      <c r="J889" s="7"/>
    </row>
    <row r="890" spans="6:10" ht="18.75" customHeight="1">
      <c r="F890" s="1">
        <v>48427</v>
      </c>
      <c r="G890">
        <f t="shared" si="50"/>
        <v>8</v>
      </c>
      <c r="J890" s="7"/>
    </row>
    <row r="891" spans="6:10" ht="18.75" customHeight="1">
      <c r="F891" s="1">
        <v>48458</v>
      </c>
      <c r="G891">
        <f t="shared" si="50"/>
        <v>9</v>
      </c>
      <c r="J891" s="7"/>
    </row>
    <row r="892" spans="6:10" ht="18.75" customHeight="1">
      <c r="F892" s="1">
        <v>48488</v>
      </c>
      <c r="G892">
        <f t="shared" si="50"/>
        <v>10</v>
      </c>
      <c r="J892" s="7"/>
    </row>
    <row r="893" spans="6:10" ht="18.75" customHeight="1">
      <c r="F893" s="1">
        <v>48519</v>
      </c>
      <c r="G893">
        <f t="shared" si="50"/>
        <v>11</v>
      </c>
      <c r="J893" s="7"/>
    </row>
    <row r="894" spans="6:10" ht="18.75" customHeight="1">
      <c r="F894" s="1">
        <v>48549</v>
      </c>
      <c r="G894">
        <f t="shared" si="50"/>
        <v>12</v>
      </c>
      <c r="J894" s="7"/>
    </row>
    <row r="895" spans="6:10" ht="18.75" customHeight="1">
      <c r="F895" s="1">
        <v>48580</v>
      </c>
      <c r="G895">
        <f t="shared" si="50"/>
        <v>1</v>
      </c>
      <c r="J895" s="7"/>
    </row>
    <row r="896" spans="6:10" ht="18.75" customHeight="1">
      <c r="F896" s="1">
        <v>48611</v>
      </c>
      <c r="G896">
        <f t="shared" si="50"/>
        <v>2</v>
      </c>
      <c r="J896" s="7"/>
    </row>
    <row r="897" spans="6:10" ht="18.75" customHeight="1">
      <c r="F897" s="1">
        <v>48639</v>
      </c>
      <c r="G897">
        <f t="shared" si="50"/>
        <v>3</v>
      </c>
      <c r="J897" s="7"/>
    </row>
    <row r="898" spans="6:10" ht="18.75" customHeight="1">
      <c r="F898" s="1">
        <v>48670</v>
      </c>
      <c r="G898">
        <f t="shared" si="50"/>
        <v>4</v>
      </c>
      <c r="J898" s="7"/>
    </row>
    <row r="899" spans="6:10" ht="18.75" customHeight="1">
      <c r="F899" s="1">
        <v>48700</v>
      </c>
      <c r="G899">
        <f t="shared" ref="G899:G962" si="51">MONTH(F899)</f>
        <v>5</v>
      </c>
      <c r="J899" s="7"/>
    </row>
    <row r="900" spans="6:10" ht="18.75" customHeight="1">
      <c r="F900" s="1">
        <v>48731</v>
      </c>
      <c r="G900">
        <f t="shared" si="51"/>
        <v>6</v>
      </c>
      <c r="J900" s="7"/>
    </row>
    <row r="901" spans="6:10" ht="18.75" customHeight="1">
      <c r="F901" s="1">
        <v>48761</v>
      </c>
      <c r="G901">
        <f t="shared" si="51"/>
        <v>7</v>
      </c>
      <c r="J901" s="7"/>
    </row>
    <row r="902" spans="6:10" ht="18.75" customHeight="1">
      <c r="F902" s="1">
        <v>48792</v>
      </c>
      <c r="G902">
        <f t="shared" si="51"/>
        <v>8</v>
      </c>
      <c r="J902" s="7"/>
    </row>
    <row r="903" spans="6:10" ht="18.75" customHeight="1">
      <c r="F903" s="1">
        <v>48823</v>
      </c>
      <c r="G903">
        <f t="shared" si="51"/>
        <v>9</v>
      </c>
      <c r="J903" s="7"/>
    </row>
    <row r="904" spans="6:10" ht="18.75" customHeight="1">
      <c r="F904" s="1">
        <v>48853</v>
      </c>
      <c r="G904">
        <f t="shared" si="51"/>
        <v>10</v>
      </c>
      <c r="J904" s="7"/>
    </row>
    <row r="905" spans="6:10" ht="18.75" customHeight="1">
      <c r="F905" s="1">
        <v>48884</v>
      </c>
      <c r="G905">
        <f t="shared" si="51"/>
        <v>11</v>
      </c>
      <c r="J905" s="7"/>
    </row>
    <row r="906" spans="6:10" ht="18.75" customHeight="1">
      <c r="F906" s="1">
        <v>48914</v>
      </c>
      <c r="G906">
        <f t="shared" si="51"/>
        <v>12</v>
      </c>
      <c r="J906" s="7"/>
    </row>
    <row r="907" spans="6:10" ht="18.75" customHeight="1">
      <c r="F907" s="1">
        <v>48945</v>
      </c>
      <c r="G907">
        <f t="shared" si="51"/>
        <v>1</v>
      </c>
      <c r="J907" s="7"/>
    </row>
    <row r="908" spans="6:10" ht="18.75" customHeight="1">
      <c r="F908" s="1">
        <v>48976</v>
      </c>
      <c r="G908">
        <f t="shared" si="51"/>
        <v>2</v>
      </c>
      <c r="J908" s="7"/>
    </row>
    <row r="909" spans="6:10" ht="18.75" customHeight="1">
      <c r="F909" s="1">
        <v>49004</v>
      </c>
      <c r="G909">
        <f t="shared" si="51"/>
        <v>3</v>
      </c>
      <c r="J909" s="7"/>
    </row>
    <row r="910" spans="6:10" ht="18.75" customHeight="1">
      <c r="F910" s="1">
        <v>49035</v>
      </c>
      <c r="G910">
        <f t="shared" si="51"/>
        <v>4</v>
      </c>
      <c r="J910" s="7"/>
    </row>
    <row r="911" spans="6:10" ht="18.75" customHeight="1">
      <c r="F911" s="1">
        <v>49065</v>
      </c>
      <c r="G911">
        <f t="shared" si="51"/>
        <v>5</v>
      </c>
      <c r="J911" s="7"/>
    </row>
    <row r="912" spans="6:10" ht="18.75" customHeight="1">
      <c r="F912" s="1">
        <v>49096</v>
      </c>
      <c r="G912">
        <f t="shared" si="51"/>
        <v>6</v>
      </c>
      <c r="J912" s="7"/>
    </row>
    <row r="913" spans="6:10" ht="18.75" customHeight="1">
      <c r="F913" s="1">
        <v>49126</v>
      </c>
      <c r="G913">
        <f t="shared" si="51"/>
        <v>7</v>
      </c>
      <c r="J913" s="7"/>
    </row>
    <row r="914" spans="6:10" ht="18.75" customHeight="1">
      <c r="F914" s="1">
        <v>49157</v>
      </c>
      <c r="G914">
        <f t="shared" si="51"/>
        <v>8</v>
      </c>
      <c r="J914" s="7"/>
    </row>
    <row r="915" spans="6:10" ht="18.75" customHeight="1">
      <c r="F915" s="1">
        <v>49188</v>
      </c>
      <c r="G915">
        <f t="shared" si="51"/>
        <v>9</v>
      </c>
      <c r="J915" s="7"/>
    </row>
    <row r="916" spans="6:10" ht="18.75" customHeight="1">
      <c r="F916" s="1">
        <v>49218</v>
      </c>
      <c r="G916">
        <f t="shared" si="51"/>
        <v>10</v>
      </c>
      <c r="J916" s="7"/>
    </row>
    <row r="917" spans="6:10" ht="18.75" customHeight="1">
      <c r="F917" s="1">
        <v>49249</v>
      </c>
      <c r="G917">
        <f t="shared" si="51"/>
        <v>11</v>
      </c>
      <c r="J917" s="7"/>
    </row>
    <row r="918" spans="6:10" ht="18.75" customHeight="1">
      <c r="F918" s="1">
        <v>49279</v>
      </c>
      <c r="G918">
        <f t="shared" si="51"/>
        <v>12</v>
      </c>
      <c r="J918" s="7"/>
    </row>
    <row r="919" spans="6:10" ht="18.75" customHeight="1">
      <c r="F919" s="1">
        <v>49310</v>
      </c>
      <c r="G919">
        <f t="shared" si="51"/>
        <v>1</v>
      </c>
      <c r="J919" s="7"/>
    </row>
    <row r="920" spans="6:10" ht="18.75" customHeight="1">
      <c r="F920" s="1">
        <v>49341</v>
      </c>
      <c r="G920">
        <f t="shared" si="51"/>
        <v>2</v>
      </c>
      <c r="J920" s="7"/>
    </row>
    <row r="921" spans="6:10" ht="18.75" customHeight="1">
      <c r="F921" s="1">
        <v>49369</v>
      </c>
      <c r="G921">
        <f t="shared" si="51"/>
        <v>3</v>
      </c>
      <c r="J921" s="7"/>
    </row>
    <row r="922" spans="6:10" ht="18.75" customHeight="1">
      <c r="F922" s="1">
        <v>49400</v>
      </c>
      <c r="G922">
        <f t="shared" si="51"/>
        <v>4</v>
      </c>
      <c r="J922" s="7"/>
    </row>
    <row r="923" spans="6:10" ht="18.75" customHeight="1">
      <c r="F923" s="1">
        <v>49430</v>
      </c>
      <c r="G923">
        <f t="shared" si="51"/>
        <v>5</v>
      </c>
      <c r="J923" s="7"/>
    </row>
    <row r="924" spans="6:10" ht="18.75" customHeight="1">
      <c r="F924" s="1">
        <v>49461</v>
      </c>
      <c r="G924">
        <f t="shared" si="51"/>
        <v>6</v>
      </c>
      <c r="J924" s="7"/>
    </row>
    <row r="925" spans="6:10" ht="18.75" customHeight="1">
      <c r="F925" s="1">
        <v>49491</v>
      </c>
      <c r="G925">
        <f t="shared" si="51"/>
        <v>7</v>
      </c>
      <c r="J925" s="7"/>
    </row>
    <row r="926" spans="6:10" ht="18.75" customHeight="1">
      <c r="F926" s="1">
        <v>49522</v>
      </c>
      <c r="G926">
        <f t="shared" si="51"/>
        <v>8</v>
      </c>
      <c r="J926" s="7"/>
    </row>
    <row r="927" spans="6:10" ht="18.75" customHeight="1">
      <c r="F927" s="1">
        <v>49553</v>
      </c>
      <c r="G927">
        <f t="shared" si="51"/>
        <v>9</v>
      </c>
      <c r="J927" s="7"/>
    </row>
    <row r="928" spans="6:10" ht="18.75" customHeight="1">
      <c r="F928" s="1">
        <v>49583</v>
      </c>
      <c r="G928">
        <f t="shared" si="51"/>
        <v>10</v>
      </c>
      <c r="J928" s="7"/>
    </row>
    <row r="929" spans="6:10" ht="18.75" customHeight="1">
      <c r="F929" s="1">
        <v>49614</v>
      </c>
      <c r="G929">
        <f t="shared" si="51"/>
        <v>11</v>
      </c>
      <c r="J929" s="7"/>
    </row>
    <row r="930" spans="6:10" ht="18.75" customHeight="1">
      <c r="F930" s="1">
        <v>49644</v>
      </c>
      <c r="G930">
        <f t="shared" si="51"/>
        <v>12</v>
      </c>
      <c r="J930" s="7"/>
    </row>
    <row r="931" spans="6:10" ht="18.75" customHeight="1">
      <c r="F931" s="1">
        <v>49675</v>
      </c>
      <c r="G931">
        <f t="shared" si="51"/>
        <v>1</v>
      </c>
      <c r="J931" s="7"/>
    </row>
    <row r="932" spans="6:10" ht="18.75" customHeight="1">
      <c r="F932" s="1">
        <v>49706</v>
      </c>
      <c r="G932">
        <f t="shared" si="51"/>
        <v>2</v>
      </c>
      <c r="J932" s="7"/>
    </row>
    <row r="933" spans="6:10" ht="18.75" customHeight="1">
      <c r="F933" s="1">
        <v>49735</v>
      </c>
      <c r="G933">
        <f t="shared" si="51"/>
        <v>3</v>
      </c>
      <c r="J933" s="7"/>
    </row>
    <row r="934" spans="6:10" ht="18.75" customHeight="1">
      <c r="F934" s="1">
        <v>49766</v>
      </c>
      <c r="G934">
        <f t="shared" si="51"/>
        <v>4</v>
      </c>
      <c r="J934" s="7"/>
    </row>
    <row r="935" spans="6:10" ht="18.75" customHeight="1">
      <c r="F935" s="1">
        <v>49796</v>
      </c>
      <c r="G935">
        <f t="shared" si="51"/>
        <v>5</v>
      </c>
      <c r="J935" s="7"/>
    </row>
    <row r="936" spans="6:10" ht="18.75" customHeight="1">
      <c r="F936" s="1">
        <v>49827</v>
      </c>
      <c r="G936">
        <f t="shared" si="51"/>
        <v>6</v>
      </c>
      <c r="J936" s="7"/>
    </row>
    <row r="937" spans="6:10" ht="18.75" customHeight="1">
      <c r="F937" s="1">
        <v>49857</v>
      </c>
      <c r="G937">
        <f t="shared" si="51"/>
        <v>7</v>
      </c>
      <c r="J937" s="7"/>
    </row>
    <row r="938" spans="6:10" ht="18.75" customHeight="1">
      <c r="F938" s="1">
        <v>49888</v>
      </c>
      <c r="G938">
        <f t="shared" si="51"/>
        <v>8</v>
      </c>
      <c r="J938" s="7"/>
    </row>
    <row r="939" spans="6:10" ht="18.75" customHeight="1">
      <c r="F939" s="1">
        <v>49919</v>
      </c>
      <c r="G939">
        <f t="shared" si="51"/>
        <v>9</v>
      </c>
      <c r="J939" s="7"/>
    </row>
    <row r="940" spans="6:10" ht="18.75" customHeight="1">
      <c r="F940" s="1">
        <v>49949</v>
      </c>
      <c r="G940">
        <f t="shared" si="51"/>
        <v>10</v>
      </c>
      <c r="J940" s="7"/>
    </row>
    <row r="941" spans="6:10" ht="18.75" customHeight="1">
      <c r="F941" s="1">
        <v>49980</v>
      </c>
      <c r="G941">
        <f t="shared" si="51"/>
        <v>11</v>
      </c>
      <c r="J941" s="7"/>
    </row>
    <row r="942" spans="6:10" ht="18.75" customHeight="1">
      <c r="F942" s="1">
        <v>50010</v>
      </c>
      <c r="G942">
        <f t="shared" si="51"/>
        <v>12</v>
      </c>
      <c r="J942" s="7"/>
    </row>
    <row r="943" spans="6:10" ht="18.75" customHeight="1">
      <c r="F943" s="1">
        <v>50041</v>
      </c>
      <c r="G943">
        <f t="shared" si="51"/>
        <v>1</v>
      </c>
    </row>
    <row r="944" spans="6:10" ht="18.75" customHeight="1">
      <c r="F944" s="1">
        <v>50072</v>
      </c>
      <c r="G944">
        <f t="shared" si="51"/>
        <v>2</v>
      </c>
    </row>
    <row r="945" spans="6:7" ht="18.75" customHeight="1">
      <c r="F945" s="1">
        <v>50100</v>
      </c>
      <c r="G945">
        <f t="shared" si="51"/>
        <v>3</v>
      </c>
    </row>
    <row r="946" spans="6:7" ht="18.75" customHeight="1">
      <c r="F946" s="1">
        <v>50131</v>
      </c>
      <c r="G946">
        <f t="shared" si="51"/>
        <v>4</v>
      </c>
    </row>
    <row r="947" spans="6:7" ht="18.75" customHeight="1">
      <c r="F947" s="1">
        <v>50161</v>
      </c>
      <c r="G947">
        <f t="shared" si="51"/>
        <v>5</v>
      </c>
    </row>
    <row r="948" spans="6:7" ht="18.75" customHeight="1">
      <c r="F948" s="1">
        <v>50192</v>
      </c>
      <c r="G948">
        <f t="shared" si="51"/>
        <v>6</v>
      </c>
    </row>
    <row r="949" spans="6:7" ht="18.75" customHeight="1">
      <c r="F949" s="1">
        <v>50222</v>
      </c>
      <c r="G949">
        <f t="shared" si="51"/>
        <v>7</v>
      </c>
    </row>
    <row r="950" spans="6:7" ht="18.75" customHeight="1">
      <c r="F950" s="1">
        <v>50253</v>
      </c>
      <c r="G950">
        <f t="shared" si="51"/>
        <v>8</v>
      </c>
    </row>
    <row r="951" spans="6:7" ht="18.75" customHeight="1">
      <c r="F951" s="1">
        <v>50284</v>
      </c>
      <c r="G951">
        <f t="shared" si="51"/>
        <v>9</v>
      </c>
    </row>
    <row r="952" spans="6:7" ht="18.75" customHeight="1">
      <c r="F952" s="1">
        <v>50314</v>
      </c>
      <c r="G952">
        <f t="shared" si="51"/>
        <v>10</v>
      </c>
    </row>
    <row r="953" spans="6:7" ht="18.75" customHeight="1">
      <c r="F953" s="1">
        <v>50345</v>
      </c>
      <c r="G953">
        <f t="shared" si="51"/>
        <v>11</v>
      </c>
    </row>
    <row r="954" spans="6:7" ht="18.75" customHeight="1">
      <c r="F954" s="1">
        <v>50375</v>
      </c>
      <c r="G954">
        <f t="shared" si="51"/>
        <v>12</v>
      </c>
    </row>
    <row r="955" spans="6:7" ht="18.75" customHeight="1">
      <c r="F955" s="1">
        <v>50406</v>
      </c>
      <c r="G955">
        <f t="shared" si="51"/>
        <v>1</v>
      </c>
    </row>
    <row r="956" spans="6:7" ht="18.75" customHeight="1">
      <c r="F956" s="1">
        <v>50437</v>
      </c>
      <c r="G956">
        <f t="shared" si="51"/>
        <v>2</v>
      </c>
    </row>
    <row r="957" spans="6:7" ht="18.75" customHeight="1">
      <c r="F957" s="1">
        <v>50465</v>
      </c>
      <c r="G957">
        <f t="shared" si="51"/>
        <v>3</v>
      </c>
    </row>
    <row r="958" spans="6:7" ht="18.75" customHeight="1">
      <c r="F958" s="1">
        <v>50496</v>
      </c>
      <c r="G958">
        <f t="shared" si="51"/>
        <v>4</v>
      </c>
    </row>
    <row r="959" spans="6:7" ht="18.75" customHeight="1">
      <c r="F959" s="1">
        <v>50526</v>
      </c>
      <c r="G959">
        <f t="shared" si="51"/>
        <v>5</v>
      </c>
    </row>
    <row r="960" spans="6:7" ht="18.75" customHeight="1">
      <c r="F960" s="1">
        <v>50557</v>
      </c>
      <c r="G960">
        <f t="shared" si="51"/>
        <v>6</v>
      </c>
    </row>
    <row r="961" spans="6:7" ht="18.75" customHeight="1">
      <c r="F961" s="1">
        <v>50587</v>
      </c>
      <c r="G961">
        <f t="shared" si="51"/>
        <v>7</v>
      </c>
    </row>
    <row r="962" spans="6:7" ht="18.75" customHeight="1">
      <c r="F962" s="1">
        <v>50618</v>
      </c>
      <c r="G962">
        <f t="shared" si="51"/>
        <v>8</v>
      </c>
    </row>
    <row r="963" spans="6:7" ht="18.75" customHeight="1">
      <c r="F963" s="1">
        <v>50649</v>
      </c>
      <c r="G963">
        <f t="shared" ref="G963:G982" si="52">MONTH(F963)</f>
        <v>9</v>
      </c>
    </row>
    <row r="964" spans="6:7" ht="18.75" customHeight="1">
      <c r="F964" s="1">
        <v>50679</v>
      </c>
      <c r="G964">
        <f t="shared" si="52"/>
        <v>10</v>
      </c>
    </row>
    <row r="965" spans="6:7" ht="18.75" customHeight="1">
      <c r="F965" s="1">
        <v>50710</v>
      </c>
      <c r="G965">
        <f t="shared" si="52"/>
        <v>11</v>
      </c>
    </row>
    <row r="966" spans="6:7" ht="18.75" customHeight="1">
      <c r="F966" s="1">
        <v>50740</v>
      </c>
      <c r="G966">
        <f t="shared" si="52"/>
        <v>12</v>
      </c>
    </row>
    <row r="967" spans="6:7" ht="18.75" customHeight="1">
      <c r="F967" s="1">
        <v>50771</v>
      </c>
      <c r="G967">
        <f t="shared" si="52"/>
        <v>1</v>
      </c>
    </row>
    <row r="968" spans="6:7" ht="18.75" customHeight="1">
      <c r="F968" s="1">
        <v>50802</v>
      </c>
      <c r="G968">
        <f t="shared" si="52"/>
        <v>2</v>
      </c>
    </row>
    <row r="969" spans="6:7" ht="18.75" customHeight="1">
      <c r="F969" s="1">
        <v>50830</v>
      </c>
      <c r="G969">
        <f t="shared" si="52"/>
        <v>3</v>
      </c>
    </row>
    <row r="970" spans="6:7" ht="18.75" customHeight="1">
      <c r="F970" s="1">
        <v>50861</v>
      </c>
      <c r="G970">
        <f t="shared" si="52"/>
        <v>4</v>
      </c>
    </row>
    <row r="971" spans="6:7" ht="18.75" customHeight="1">
      <c r="F971" s="1">
        <v>50891</v>
      </c>
      <c r="G971">
        <f t="shared" si="52"/>
        <v>5</v>
      </c>
    </row>
    <row r="972" spans="6:7" ht="18.75" customHeight="1">
      <c r="F972" s="1">
        <v>50922</v>
      </c>
      <c r="G972">
        <f t="shared" si="52"/>
        <v>6</v>
      </c>
    </row>
    <row r="973" spans="6:7" ht="18.75" customHeight="1">
      <c r="F973" s="1">
        <v>50952</v>
      </c>
      <c r="G973">
        <f t="shared" si="52"/>
        <v>7</v>
      </c>
    </row>
    <row r="974" spans="6:7" ht="18.75" customHeight="1">
      <c r="F974" s="1">
        <v>50983</v>
      </c>
      <c r="G974">
        <f t="shared" si="52"/>
        <v>8</v>
      </c>
    </row>
    <row r="975" spans="6:7" ht="18.75" customHeight="1">
      <c r="F975" s="1">
        <v>51014</v>
      </c>
      <c r="G975">
        <f t="shared" si="52"/>
        <v>9</v>
      </c>
    </row>
    <row r="976" spans="6:7" ht="18.75" customHeight="1">
      <c r="F976" s="1">
        <v>51044</v>
      </c>
      <c r="G976">
        <f t="shared" si="52"/>
        <v>10</v>
      </c>
    </row>
    <row r="977" spans="6:8" ht="18.75" customHeight="1">
      <c r="F977" s="1">
        <v>51075</v>
      </c>
      <c r="G977">
        <f t="shared" si="52"/>
        <v>11</v>
      </c>
    </row>
    <row r="978" spans="6:8" ht="18.75" customHeight="1">
      <c r="F978" s="1">
        <v>51105</v>
      </c>
      <c r="G978">
        <f t="shared" si="52"/>
        <v>12</v>
      </c>
    </row>
    <row r="979" spans="6:8" ht="18.75" customHeight="1">
      <c r="F979" s="1">
        <v>51136</v>
      </c>
      <c r="G979">
        <f t="shared" si="52"/>
        <v>1</v>
      </c>
    </row>
    <row r="980" spans="6:8" ht="18.75" customHeight="1">
      <c r="F980" s="1">
        <v>51167</v>
      </c>
      <c r="G980">
        <f t="shared" si="52"/>
        <v>2</v>
      </c>
    </row>
    <row r="981" spans="6:8" ht="18.75" customHeight="1">
      <c r="F981" s="1">
        <v>51196</v>
      </c>
      <c r="G981">
        <f t="shared" si="52"/>
        <v>3</v>
      </c>
    </row>
    <row r="982" spans="6:8" ht="18.75" customHeight="1">
      <c r="F982" s="16">
        <v>51227</v>
      </c>
      <c r="G982" s="17">
        <f t="shared" si="52"/>
        <v>4</v>
      </c>
      <c r="H982" s="18"/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sheetPr codeName="Sheet4"/>
  <dimension ref="A1:P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6" max="16" width="47.5" bestFit="1" customWidth="1"/>
  </cols>
  <sheetData>
    <row r="1" spans="1:16" ht="18.75" customHeight="1">
      <c r="A1" s="2" t="s">
        <v>9</v>
      </c>
      <c r="B1" s="8" t="s">
        <v>15</v>
      </c>
      <c r="D1" t="s">
        <v>16</v>
      </c>
      <c r="F1" s="3" t="s">
        <v>46</v>
      </c>
      <c r="G1" s="3" t="s">
        <v>22</v>
      </c>
      <c r="H1" s="6" t="s">
        <v>47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48</v>
      </c>
      <c r="O1" s="9" t="s">
        <v>12</v>
      </c>
    </row>
    <row r="2" spans="1:16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>_A*F2*F2+_B*F2+_C</f>
        <v>314.32880345834894</v>
      </c>
      <c r="J2" s="7">
        <f>H2-I2</f>
        <v>1.3711965416510452</v>
      </c>
      <c r="K2" s="7" cm="1">
        <f t="array" ref="K2">INDEX(Sm,G2)</f>
        <v>1.368171928762181</v>
      </c>
      <c r="L2" s="7">
        <f>I2+K2</f>
        <v>315.69697538711114</v>
      </c>
      <c r="M2" s="7">
        <f>H2-L2</f>
        <v>3.0246128888506973E-3</v>
      </c>
      <c r="O2" s="10">
        <v>1</v>
      </c>
      <c r="P2" t="s">
        <v>25</v>
      </c>
    </row>
    <row r="3" spans="1:16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0">MONTH(F3)</f>
        <v>4</v>
      </c>
      <c r="H3" s="7">
        <v>317.45999999999998</v>
      </c>
      <c r="I3" s="7">
        <f>_A*F3*F3+_B*F3+_C</f>
        <v>314.39628797069503</v>
      </c>
      <c r="J3" s="7">
        <f t="shared" ref="J3:J66" si="1">H3-I3</f>
        <v>3.063712029304952</v>
      </c>
      <c r="K3" s="7" cm="1">
        <f t="array" ref="K3">INDEX(Sm,G3)</f>
        <v>2.5295372401482399</v>
      </c>
      <c r="L3" s="7">
        <f t="shared" ref="L3:L66" si="2">I3+K3</f>
        <v>316.92582521084324</v>
      </c>
      <c r="M3" s="7">
        <f t="shared" ref="M3:M66" si="3">H3-L3</f>
        <v>0.53417478915673655</v>
      </c>
      <c r="P3" t="s">
        <v>24</v>
      </c>
    </row>
    <row r="4" spans="1:16" ht="18.75" customHeight="1">
      <c r="F4" s="1">
        <v>21306</v>
      </c>
      <c r="G4">
        <f t="shared" si="0"/>
        <v>5</v>
      </c>
      <c r="H4" s="7">
        <v>317.51</v>
      </c>
      <c r="I4" s="7">
        <f>_A*F4*F4+_B*F4+_C</f>
        <v>314.4617674802671</v>
      </c>
      <c r="J4" s="7">
        <f t="shared" si="1"/>
        <v>3.0482325197328919</v>
      </c>
      <c r="K4" s="7" cm="1">
        <f t="array" ref="K4">INDEX(Sm,G4)</f>
        <v>2.9925789844300432</v>
      </c>
      <c r="L4" s="7">
        <f t="shared" si="2"/>
        <v>317.45434646469715</v>
      </c>
      <c r="M4" s="7">
        <f t="shared" si="3"/>
        <v>5.5653535302838009E-2</v>
      </c>
      <c r="O4" s="10">
        <v>2</v>
      </c>
      <c r="P4" t="s">
        <v>40</v>
      </c>
    </row>
    <row r="5" spans="1:16" ht="18.75" customHeight="1">
      <c r="A5" t="s">
        <v>50</v>
      </c>
      <c r="F5" s="1">
        <v>21367</v>
      </c>
      <c r="G5">
        <f t="shared" si="0"/>
        <v>7</v>
      </c>
      <c r="H5" s="7">
        <v>315.86</v>
      </c>
      <c r="I5" s="7">
        <f>_A*F5*F5+_B*F5+_C</f>
        <v>314.5954306312338</v>
      </c>
      <c r="J5" s="7">
        <f t="shared" si="1"/>
        <v>1.2645693687662174</v>
      </c>
      <c r="K5" s="7" cm="1">
        <f t="array" ref="K5">INDEX(Sm,G5)</f>
        <v>0.81833597443365613</v>
      </c>
      <c r="L5" s="7">
        <f t="shared" si="2"/>
        <v>315.41376660566743</v>
      </c>
      <c r="M5" s="7">
        <f t="shared" si="3"/>
        <v>0.44623339433258025</v>
      </c>
      <c r="P5" t="s">
        <v>28</v>
      </c>
    </row>
    <row r="6" spans="1:16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0"/>
        <v>8</v>
      </c>
      <c r="H6" s="7">
        <v>314.93</v>
      </c>
      <c r="I6" s="7">
        <f>_A*F6*F6+_B*F6+_C</f>
        <v>314.66362573376034</v>
      </c>
      <c r="J6" s="7">
        <f t="shared" si="1"/>
        <v>0.26637426623966576</v>
      </c>
      <c r="K6" s="7" cm="1">
        <f t="array" ref="K6">INDEX(Sm,G6)</f>
        <v>-1.2372810548909516</v>
      </c>
      <c r="L6" s="7">
        <f t="shared" si="2"/>
        <v>313.42634467886938</v>
      </c>
      <c r="M6" s="7">
        <f t="shared" si="3"/>
        <v>1.5036553211306227</v>
      </c>
      <c r="O6" s="10">
        <v>3</v>
      </c>
      <c r="P6" t="s">
        <v>27</v>
      </c>
    </row>
    <row r="7" spans="1:16" ht="18.75" customHeight="1">
      <c r="B7" s="21">
        <f t="array" ref="B7:D7">LINEST($H$2:$H$502,$F$2:$F$502^{1,2})</f>
        <v>9.3943704454783883E-8</v>
      </c>
      <c r="C7" s="21">
        <v>-1.8176605040235326E-3</v>
      </c>
      <c r="D7" s="21">
        <v>310.5435075120696</v>
      </c>
      <c r="E7" t="s">
        <v>51</v>
      </c>
      <c r="F7" s="1">
        <v>21429</v>
      </c>
      <c r="G7">
        <f t="shared" si="0"/>
        <v>9</v>
      </c>
      <c r="H7" s="7">
        <v>313.20999999999998</v>
      </c>
      <c r="I7" s="7">
        <f>_A*F7*F7+_B*F7+_C</f>
        <v>314.73200139608684</v>
      </c>
      <c r="J7" s="7">
        <f t="shared" si="1"/>
        <v>-1.5220013960868641</v>
      </c>
      <c r="K7" s="7" cm="1">
        <f t="array" ref="K7">INDEX(Sm,G7)</f>
        <v>-3.0811738821107677</v>
      </c>
      <c r="L7" s="7">
        <f t="shared" si="2"/>
        <v>311.65082751397608</v>
      </c>
      <c r="M7" s="7">
        <f t="shared" si="3"/>
        <v>1.5591724860238969</v>
      </c>
      <c r="O7" s="10"/>
      <c r="P7" t="s">
        <v>30</v>
      </c>
    </row>
    <row r="8" spans="1:16" ht="18.75" customHeight="1">
      <c r="B8" t="s">
        <v>44</v>
      </c>
      <c r="F8" s="1">
        <v>21490</v>
      </c>
      <c r="G8">
        <f t="shared" si="0"/>
        <v>11</v>
      </c>
      <c r="H8" s="7">
        <v>313.33</v>
      </c>
      <c r="I8" s="7">
        <f>_A*F8*F8+_B*F8+_C</f>
        <v>314.8670742662826</v>
      </c>
      <c r="J8" s="7">
        <f t="shared" si="1"/>
        <v>-1.537074266282616</v>
      </c>
      <c r="K8" s="7" cm="1">
        <f t="array" ref="K8">INDEX(Sm,G8)</f>
        <v>-2.0734932780028581</v>
      </c>
      <c r="L8" s="7">
        <f t="shared" si="2"/>
        <v>312.79358098827976</v>
      </c>
      <c r="M8" s="7">
        <f t="shared" si="3"/>
        <v>0.53641901172022699</v>
      </c>
      <c r="O8" s="10">
        <v>4</v>
      </c>
      <c r="P8" t="s">
        <v>26</v>
      </c>
    </row>
    <row r="9" spans="1:16" ht="18.75" customHeight="1">
      <c r="F9" s="1">
        <v>21520</v>
      </c>
      <c r="G9">
        <f t="shared" si="0"/>
        <v>12</v>
      </c>
      <c r="H9" s="7">
        <v>314.67</v>
      </c>
      <c r="I9" s="7">
        <f>_A*F9*F9+_B*F9+_C</f>
        <v>314.93376001301993</v>
      </c>
      <c r="J9" s="7">
        <f t="shared" si="1"/>
        <v>-0.26376001301991892</v>
      </c>
      <c r="K9" s="7" cm="1">
        <f t="array" ref="K9">INDEX(Sm,G9)</f>
        <v>-0.94500362363844403</v>
      </c>
      <c r="L9" s="7">
        <f t="shared" si="2"/>
        <v>313.98875638938148</v>
      </c>
      <c r="M9" s="7">
        <f t="shared" si="3"/>
        <v>0.68124361061853733</v>
      </c>
      <c r="P9" t="s">
        <v>24</v>
      </c>
    </row>
    <row r="10" spans="1:16" ht="18.75" customHeight="1">
      <c r="A10" t="s">
        <v>56</v>
      </c>
      <c r="F10" s="1">
        <v>21551</v>
      </c>
      <c r="G10">
        <f t="shared" si="0"/>
        <v>1</v>
      </c>
      <c r="H10" s="7">
        <v>315.58</v>
      </c>
      <c r="I10" s="7">
        <f>_A*F10*F10+_B*F10+_C</f>
        <v>315.0028462655269</v>
      </c>
      <c r="J10" s="7">
        <f t="shared" si="1"/>
        <v>0.57715373447308593</v>
      </c>
      <c r="K10" s="7" cm="1">
        <f t="array" ref="K10">INDEX(Sm,G10)</f>
        <v>-3.1273707705410173E-2</v>
      </c>
      <c r="L10" s="7">
        <f t="shared" si="2"/>
        <v>314.9715725578215</v>
      </c>
      <c r="M10" s="7">
        <f t="shared" si="3"/>
        <v>0.60842744217848121</v>
      </c>
      <c r="O10" s="10">
        <v>5</v>
      </c>
      <c r="P10" t="s">
        <v>41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0"/>
        <v>2</v>
      </c>
      <c r="H11" s="7">
        <v>316.49</v>
      </c>
      <c r="I11" s="7">
        <f>_A*F11*F11+_B*F11+_C</f>
        <v>315.07211307783388</v>
      </c>
      <c r="J11" s="7">
        <f t="shared" si="1"/>
        <v>1.417886922166133</v>
      </c>
      <c r="K11" s="7" cm="1">
        <f t="array" ref="K11">INDEX(Sm,G11)</f>
        <v>0.60795807352328612</v>
      </c>
      <c r="L11" s="7">
        <f t="shared" si="2"/>
        <v>315.68007115135714</v>
      </c>
      <c r="M11" s="7">
        <f t="shared" si="3"/>
        <v>0.80992884864286907</v>
      </c>
      <c r="P11" t="s">
        <v>29</v>
      </c>
    </row>
    <row r="12" spans="1:16" ht="18.75" customHeight="1">
      <c r="A12" s="2">
        <v>1</v>
      </c>
      <c r="B12" s="13">
        <f t="shared" ref="B12:B23" si="4">AVERAGEIF($G$2:$G$502,A12,$J$2:$J$502)</f>
        <v>-3.1273707705410173E-2</v>
      </c>
      <c r="C12" t="s">
        <v>45</v>
      </c>
      <c r="F12" s="1">
        <v>21610</v>
      </c>
      <c r="G12">
        <f t="shared" si="0"/>
        <v>3</v>
      </c>
      <c r="H12" s="7">
        <v>316.64999999999998</v>
      </c>
      <c r="I12" s="7">
        <f>_A*F12*F12+_B*F12+_C</f>
        <v>315.13483184523994</v>
      </c>
      <c r="J12" s="7">
        <f t="shared" si="1"/>
        <v>1.5151681547600333</v>
      </c>
      <c r="K12" s="7" cm="1">
        <f t="array" ref="K12">INDEX(Sm,G12)</f>
        <v>1.368171928762181</v>
      </c>
      <c r="L12" s="7">
        <f t="shared" si="2"/>
        <v>316.50300377400214</v>
      </c>
      <c r="M12" s="7">
        <f t="shared" si="3"/>
        <v>0.14699622599783879</v>
      </c>
      <c r="O12" s="10">
        <v>6</v>
      </c>
      <c r="P12" t="s">
        <v>43</v>
      </c>
    </row>
    <row r="13" spans="1:16" ht="18.75" customHeight="1">
      <c r="A13" s="2">
        <v>2</v>
      </c>
      <c r="B13" s="14">
        <f t="shared" si="4"/>
        <v>0.60795807352328612</v>
      </c>
      <c r="F13" s="1">
        <v>21641</v>
      </c>
      <c r="G13">
        <f t="shared" si="0"/>
        <v>4</v>
      </c>
      <c r="H13" s="7">
        <v>317.72000000000003</v>
      </c>
      <c r="I13" s="7">
        <f>_A*F13*F13+_B*F13+_C</f>
        <v>315.20444230361778</v>
      </c>
      <c r="J13" s="7">
        <f t="shared" si="1"/>
        <v>2.5155576963822455</v>
      </c>
      <c r="K13" s="7" cm="1">
        <f t="array" ref="K13">INDEX(Sm,G13)</f>
        <v>2.5295372401482399</v>
      </c>
      <c r="L13" s="7">
        <f t="shared" si="2"/>
        <v>317.733979543766</v>
      </c>
      <c r="M13" s="7">
        <f t="shared" si="3"/>
        <v>-1.3979543765969993E-2</v>
      </c>
      <c r="P13" t="s">
        <v>31</v>
      </c>
    </row>
    <row r="14" spans="1:16" ht="18.75" customHeight="1">
      <c r="A14" s="2">
        <v>3</v>
      </c>
      <c r="B14" s="14">
        <f t="shared" si="4"/>
        <v>1.368171928762181</v>
      </c>
      <c r="F14" s="1">
        <v>21671</v>
      </c>
      <c r="G14">
        <f t="shared" si="0"/>
        <v>5</v>
      </c>
      <c r="H14" s="7">
        <v>318.29000000000002</v>
      </c>
      <c r="I14" s="7">
        <f>_A*F14*F14+_B*F14+_C</f>
        <v>315.27197918031743</v>
      </c>
      <c r="J14" s="7">
        <f t="shared" si="1"/>
        <v>3.0180208196825902</v>
      </c>
      <c r="K14" s="7" cm="1">
        <f t="array" ref="K14">INDEX(Sm,G14)</f>
        <v>2.9925789844300432</v>
      </c>
      <c r="L14" s="7">
        <f t="shared" si="2"/>
        <v>318.26455816474748</v>
      </c>
      <c r="M14" s="7">
        <f t="shared" si="3"/>
        <v>2.5441835252536293E-2</v>
      </c>
      <c r="O14" s="10">
        <v>7</v>
      </c>
      <c r="P14" t="s">
        <v>32</v>
      </c>
    </row>
    <row r="15" spans="1:16" ht="18.75" customHeight="1">
      <c r="A15" s="2">
        <v>4</v>
      </c>
      <c r="B15" s="14">
        <f t="shared" si="4"/>
        <v>2.5295372401482399</v>
      </c>
      <c r="F15" s="1">
        <v>21702</v>
      </c>
      <c r="G15">
        <f t="shared" si="0"/>
        <v>6</v>
      </c>
      <c r="H15" s="7">
        <v>318.14999999999998</v>
      </c>
      <c r="I15" s="7">
        <f>_A*F15*F15+_B*F15+_C</f>
        <v>315.34194493378556</v>
      </c>
      <c r="J15" s="7">
        <f t="shared" si="1"/>
        <v>2.8080550662144219</v>
      </c>
      <c r="K15" s="7" cm="1">
        <f t="array" ref="K15">INDEX(Sm,G15)</f>
        <v>2.3204129706322356</v>
      </c>
      <c r="L15" s="7">
        <f t="shared" si="2"/>
        <v>317.66235790441777</v>
      </c>
      <c r="M15" s="7">
        <f t="shared" si="3"/>
        <v>0.48764209558220273</v>
      </c>
      <c r="O15" s="10"/>
      <c r="P15" t="s">
        <v>33</v>
      </c>
    </row>
    <row r="16" spans="1:16" ht="18.75" customHeight="1">
      <c r="A16" s="2">
        <v>5</v>
      </c>
      <c r="B16" s="14">
        <f t="shared" si="4"/>
        <v>2.9925789844300432</v>
      </c>
      <c r="F16" s="1">
        <v>21732</v>
      </c>
      <c r="G16">
        <f t="shared" si="0"/>
        <v>7</v>
      </c>
      <c r="H16" s="7">
        <v>316.54000000000002</v>
      </c>
      <c r="I16" s="7">
        <f>_A*F16*F16+_B*F16+_C</f>
        <v>315.40982564444352</v>
      </c>
      <c r="J16" s="7">
        <f t="shared" si="1"/>
        <v>1.1301743555565054</v>
      </c>
      <c r="K16" s="7" cm="1">
        <f t="array" ref="K16">INDEX(Sm,G16)</f>
        <v>0.81833597443365613</v>
      </c>
      <c r="L16" s="7">
        <f t="shared" si="2"/>
        <v>316.22816161887715</v>
      </c>
      <c r="M16" s="7">
        <f t="shared" si="3"/>
        <v>0.31183838112286821</v>
      </c>
      <c r="O16" s="10">
        <v>8</v>
      </c>
      <c r="P16" t="s">
        <v>13</v>
      </c>
    </row>
    <row r="17" spans="1:16" ht="18.75" customHeight="1">
      <c r="A17" s="2">
        <v>6</v>
      </c>
      <c r="B17" s="14">
        <f t="shared" si="4"/>
        <v>2.3204129706322356</v>
      </c>
      <c r="F17" s="1">
        <v>21763</v>
      </c>
      <c r="G17">
        <f t="shared" si="0"/>
        <v>8</v>
      </c>
      <c r="H17" s="7">
        <v>314.8</v>
      </c>
      <c r="I17" s="7">
        <f>_A*F17*F17+_B*F17+_C</f>
        <v>315.48014669300187</v>
      </c>
      <c r="J17" s="7">
        <f t="shared" si="1"/>
        <v>-0.68014669300185915</v>
      </c>
      <c r="K17" s="7" cm="1">
        <f t="array" ref="K17">INDEX(Sm,G17)</f>
        <v>-1.2372810548909516</v>
      </c>
      <c r="L17" s="7">
        <f t="shared" si="2"/>
        <v>314.24286563811091</v>
      </c>
      <c r="M17" s="7">
        <f t="shared" si="3"/>
        <v>0.55713436188909782</v>
      </c>
      <c r="O17" s="10">
        <v>9</v>
      </c>
      <c r="P17" t="s">
        <v>37</v>
      </c>
    </row>
    <row r="18" spans="1:16" ht="18.75" customHeight="1">
      <c r="A18" s="2">
        <v>7</v>
      </c>
      <c r="B18" s="14">
        <f t="shared" si="4"/>
        <v>0.81833597443365613</v>
      </c>
      <c r="F18" s="1">
        <v>21794</v>
      </c>
      <c r="G18">
        <f t="shared" si="0"/>
        <v>9</v>
      </c>
      <c r="H18" s="7">
        <v>313.83999999999997</v>
      </c>
      <c r="I18" s="7">
        <f>_A*F18*F18+_B*F18+_C</f>
        <v>315.55064830136018</v>
      </c>
      <c r="J18" s="7">
        <f t="shared" si="1"/>
        <v>-1.7106483013602087</v>
      </c>
      <c r="K18" s="7" cm="1">
        <f t="array" ref="K18">INDEX(Sm,G18)</f>
        <v>-3.0811738821107677</v>
      </c>
      <c r="L18" s="7">
        <f t="shared" si="2"/>
        <v>312.46947441924942</v>
      </c>
      <c r="M18" s="7">
        <f t="shared" si="3"/>
        <v>1.3705255807505523</v>
      </c>
      <c r="O18" s="10"/>
      <c r="P18" t="s">
        <v>34</v>
      </c>
    </row>
    <row r="19" spans="1:16" ht="18.75" customHeight="1">
      <c r="A19" s="2">
        <v>8</v>
      </c>
      <c r="B19" s="14">
        <f t="shared" si="4"/>
        <v>-1.2372810548909516</v>
      </c>
      <c r="F19" s="1">
        <v>21824</v>
      </c>
      <c r="G19">
        <f t="shared" si="0"/>
        <v>10</v>
      </c>
      <c r="H19" s="7">
        <v>313.33</v>
      </c>
      <c r="I19" s="7">
        <f>_A*F19*F19+_B*F19+_C</f>
        <v>315.61904758126678</v>
      </c>
      <c r="J19" s="7">
        <f t="shared" si="1"/>
        <v>-2.2890475812668001</v>
      </c>
      <c r="K19" s="7" cm="1">
        <f t="array" ref="K19">INDEX(Sm,G19)</f>
        <v>-3.2770720300056544</v>
      </c>
      <c r="L19" s="7">
        <f t="shared" si="2"/>
        <v>312.34197555126116</v>
      </c>
      <c r="M19" s="7">
        <f t="shared" si="3"/>
        <v>0.98802444873882678</v>
      </c>
      <c r="O19" s="10">
        <v>10</v>
      </c>
      <c r="P19" t="s">
        <v>13</v>
      </c>
    </row>
    <row r="20" spans="1:16" ht="18.75" customHeight="1">
      <c r="A20" s="2">
        <v>9</v>
      </c>
      <c r="B20" s="14">
        <f t="shared" si="4"/>
        <v>-3.0811738821107677</v>
      </c>
      <c r="F20" s="1">
        <v>21855</v>
      </c>
      <c r="G20">
        <f t="shared" si="0"/>
        <v>11</v>
      </c>
      <c r="H20" s="7">
        <v>314.81</v>
      </c>
      <c r="I20" s="7">
        <f>_A*F20*F20+_B*F20+_C</f>
        <v>315.68990448471533</v>
      </c>
      <c r="J20" s="7">
        <f t="shared" si="1"/>
        <v>-0.87990448471532545</v>
      </c>
      <c r="K20" s="7" cm="1">
        <f t="array" ref="K20">INDEX(Sm,G20)</f>
        <v>-2.0734932780028581</v>
      </c>
      <c r="L20" s="7">
        <f t="shared" si="2"/>
        <v>313.61641120671248</v>
      </c>
      <c r="M20" s="7">
        <f t="shared" si="3"/>
        <v>1.1935887932875175</v>
      </c>
    </row>
    <row r="21" spans="1:16" ht="18.75" customHeight="1">
      <c r="A21" s="2">
        <v>10</v>
      </c>
      <c r="B21" s="14">
        <f t="shared" si="4"/>
        <v>-3.2770720300056544</v>
      </c>
      <c r="F21" s="1">
        <v>21885</v>
      </c>
      <c r="G21">
        <f t="shared" si="0"/>
        <v>12</v>
      </c>
      <c r="H21" s="7">
        <v>315.58</v>
      </c>
      <c r="I21" s="7">
        <f>_A*F21*F21+_B*F21+_C</f>
        <v>315.75864759858018</v>
      </c>
      <c r="J21" s="7">
        <f t="shared" si="1"/>
        <v>-0.17864759858019852</v>
      </c>
      <c r="K21" s="7" cm="1">
        <f t="array" ref="K21">INDEX(Sm,G21)</f>
        <v>-0.94500362363844403</v>
      </c>
      <c r="L21" s="7">
        <f t="shared" si="2"/>
        <v>314.81364397494173</v>
      </c>
      <c r="M21" s="7">
        <f t="shared" si="3"/>
        <v>0.76635602505825773</v>
      </c>
      <c r="O21" t="s">
        <v>35</v>
      </c>
    </row>
    <row r="22" spans="1:16" ht="18.75" customHeight="1">
      <c r="A22" s="2">
        <v>11</v>
      </c>
      <c r="B22" s="14">
        <f t="shared" si="4"/>
        <v>-2.0734932780028581</v>
      </c>
      <c r="F22" s="1">
        <v>21916</v>
      </c>
      <c r="G22">
        <f t="shared" si="0"/>
        <v>1</v>
      </c>
      <c r="H22" s="7">
        <v>316.43</v>
      </c>
      <c r="I22" s="7">
        <f>_A*F22*F22+_B*F22+_C</f>
        <v>315.82985979711901</v>
      </c>
      <c r="J22" s="7">
        <f t="shared" si="1"/>
        <v>0.60014020288099346</v>
      </c>
      <c r="K22" s="7" cm="1">
        <f t="array" ref="K22">INDEX(Sm,G22)</f>
        <v>-3.1273707705410173E-2</v>
      </c>
      <c r="L22" s="7">
        <f t="shared" si="2"/>
        <v>315.79858608941362</v>
      </c>
      <c r="M22" s="7">
        <f t="shared" si="3"/>
        <v>0.63141391058638874</v>
      </c>
    </row>
    <row r="23" spans="1:16" ht="18.75" customHeight="1">
      <c r="A23" s="2">
        <v>12</v>
      </c>
      <c r="B23" s="15">
        <f t="shared" si="4"/>
        <v>-0.94500362363844403</v>
      </c>
      <c r="F23" s="1">
        <v>21947</v>
      </c>
      <c r="G23">
        <f t="shared" si="0"/>
        <v>2</v>
      </c>
      <c r="H23" s="7">
        <v>316.98</v>
      </c>
      <c r="I23" s="7">
        <f>_A*F23*F23+_B*F23+_C</f>
        <v>315.9012525554578</v>
      </c>
      <c r="J23" s="7">
        <f t="shared" si="1"/>
        <v>1.0787474445422163</v>
      </c>
      <c r="K23" s="7" cm="1">
        <f t="array" ref="K23">INDEX(Sm,G23)</f>
        <v>0.60795807352328612</v>
      </c>
      <c r="L23" s="7">
        <f t="shared" si="2"/>
        <v>316.50921062898107</v>
      </c>
      <c r="M23" s="7">
        <f t="shared" si="3"/>
        <v>0.47078937101895235</v>
      </c>
    </row>
    <row r="24" spans="1:16" ht="18.75" customHeight="1">
      <c r="A24" s="4">
        <v>13</v>
      </c>
      <c r="B24" s="20">
        <f>B12</f>
        <v>-3.1273707705410173E-2</v>
      </c>
      <c r="C24" s="19" t="s">
        <v>36</v>
      </c>
      <c r="D24" s="5"/>
      <c r="F24" s="1">
        <v>21976</v>
      </c>
      <c r="G24">
        <f t="shared" si="0"/>
        <v>3</v>
      </c>
      <c r="H24" s="7">
        <v>317.58</v>
      </c>
      <c r="I24" s="7">
        <f>_A*F24*F24+_B*F24+_C</f>
        <v>315.96820279143333</v>
      </c>
      <c r="J24" s="7">
        <f t="shared" si="1"/>
        <v>1.6117972085666565</v>
      </c>
      <c r="K24" s="7" cm="1">
        <f t="array" ref="K24">INDEX(Sm,G24)</f>
        <v>1.368171928762181</v>
      </c>
      <c r="L24" s="7">
        <f t="shared" si="2"/>
        <v>317.33637472019552</v>
      </c>
      <c r="M24" s="7">
        <f t="shared" si="3"/>
        <v>0.24362527980446202</v>
      </c>
    </row>
    <row r="25" spans="1:16" ht="18.75" customHeight="1">
      <c r="A25" s="2" t="s">
        <v>7</v>
      </c>
      <c r="B25" s="12">
        <f>SUM(B12:B23)</f>
        <v>-8.3024044244448536E-3</v>
      </c>
      <c r="C25" s="11"/>
      <c r="F25" s="1">
        <v>22007</v>
      </c>
      <c r="G25">
        <f t="shared" si="0"/>
        <v>4</v>
      </c>
      <c r="H25" s="7">
        <v>319.02999999999997</v>
      </c>
      <c r="I25" s="7">
        <f>_A*F25*F25+_B*F25+_C</f>
        <v>316.03994502035272</v>
      </c>
      <c r="J25" s="7">
        <f t="shared" si="1"/>
        <v>2.9900549796472546</v>
      </c>
      <c r="K25" s="7" cm="1">
        <f t="array" ref="K25">INDEX(Sm,G25)</f>
        <v>2.5295372401482399</v>
      </c>
      <c r="L25" s="7">
        <f t="shared" si="2"/>
        <v>318.56948226050093</v>
      </c>
      <c r="M25" s="7">
        <f t="shared" si="3"/>
        <v>0.46051773949903918</v>
      </c>
    </row>
    <row r="26" spans="1:16" ht="18.75" customHeight="1">
      <c r="F26" s="1">
        <v>22037</v>
      </c>
      <c r="G26">
        <f t="shared" si="0"/>
        <v>5</v>
      </c>
      <c r="H26" s="7">
        <v>320.04000000000002</v>
      </c>
      <c r="I26" s="7">
        <f>_A*F26*F26+_B*F26+_C</f>
        <v>316.10954490080218</v>
      </c>
      <c r="J26" s="7">
        <f t="shared" si="1"/>
        <v>3.9304550991978431</v>
      </c>
      <c r="K26" s="7" cm="1">
        <f t="array" ref="K26">INDEX(Sm,G26)</f>
        <v>2.9925789844300432</v>
      </c>
      <c r="L26" s="7">
        <f t="shared" si="2"/>
        <v>319.10212388523223</v>
      </c>
      <c r="M26" s="7">
        <f t="shared" si="3"/>
        <v>0.9378761147677892</v>
      </c>
    </row>
    <row r="27" spans="1:16" ht="18.75" customHeight="1">
      <c r="A27" s="2" t="s">
        <v>11</v>
      </c>
      <c r="B27" s="12">
        <f>SUMSQ(M2:M742)/COUNT(M2:M742)</f>
        <v>0.58658284111106651</v>
      </c>
      <c r="F27" s="1">
        <v>22068</v>
      </c>
      <c r="G27">
        <f t="shared" si="0"/>
        <v>6</v>
      </c>
      <c r="H27" s="7">
        <v>319.58</v>
      </c>
      <c r="I27" s="7">
        <f>_A*F27*F27+_B*F27+_C</f>
        <v>316.1816424248118</v>
      </c>
      <c r="J27" s="7">
        <f t="shared" si="1"/>
        <v>3.3983575751881858</v>
      </c>
      <c r="K27" s="7" cm="1">
        <f t="array" ref="K27">INDEX(Sm,G27)</f>
        <v>2.3204129706322356</v>
      </c>
      <c r="L27" s="7">
        <f t="shared" si="2"/>
        <v>318.50205539544402</v>
      </c>
      <c r="M27" s="7">
        <f t="shared" si="3"/>
        <v>1.0779446045559666</v>
      </c>
    </row>
    <row r="28" spans="1:16" ht="18.75" customHeight="1">
      <c r="F28" s="1">
        <v>22098</v>
      </c>
      <c r="G28">
        <f t="shared" si="0"/>
        <v>7</v>
      </c>
      <c r="H28" s="7">
        <v>318.18</v>
      </c>
      <c r="I28" s="7">
        <f>_A*F28*F28+_B*F28+_C</f>
        <v>316.25158613921957</v>
      </c>
      <c r="J28" s="7">
        <f t="shared" si="1"/>
        <v>1.928413860780438</v>
      </c>
      <c r="K28" s="7" cm="1">
        <f t="array" ref="K28">INDEX(Sm,G28)</f>
        <v>0.81833597443365613</v>
      </c>
      <c r="L28" s="7">
        <f t="shared" si="2"/>
        <v>317.06992211365321</v>
      </c>
      <c r="M28" s="7">
        <f t="shared" si="3"/>
        <v>1.1100778863468008</v>
      </c>
    </row>
    <row r="29" spans="1:16" ht="18.75" customHeight="1">
      <c r="F29" s="1">
        <v>22129</v>
      </c>
      <c r="G29">
        <f t="shared" si="0"/>
        <v>8</v>
      </c>
      <c r="H29" s="7">
        <v>315.89999999999998</v>
      </c>
      <c r="I29" s="7">
        <f>_A*F29*F29+_B*F29+_C</f>
        <v>316.32403895831942</v>
      </c>
      <c r="J29" s="7">
        <f t="shared" si="1"/>
        <v>-0.42403895831944283</v>
      </c>
      <c r="K29" s="7" cm="1">
        <f t="array" ref="K29">INDEX(Sm,G29)</f>
        <v>-1.2372810548909516</v>
      </c>
      <c r="L29" s="7">
        <f t="shared" si="2"/>
        <v>315.08675790342846</v>
      </c>
      <c r="M29" s="7">
        <f t="shared" si="3"/>
        <v>0.81324209657151414</v>
      </c>
    </row>
    <row r="30" spans="1:16" ht="18.75" customHeight="1">
      <c r="F30" s="1">
        <v>22160</v>
      </c>
      <c r="G30">
        <f t="shared" si="0"/>
        <v>9</v>
      </c>
      <c r="H30" s="7">
        <v>314.17</v>
      </c>
      <c r="I30" s="7">
        <f>_A*F30*F30+_B*F30+_C</f>
        <v>316.39667233721923</v>
      </c>
      <c r="J30" s="7">
        <f t="shared" si="1"/>
        <v>-2.2266723372192132</v>
      </c>
      <c r="K30" s="7" cm="1">
        <f t="array" ref="K30">INDEX(Sm,G30)</f>
        <v>-3.0811738821107677</v>
      </c>
      <c r="L30" s="7">
        <f t="shared" si="2"/>
        <v>313.31549845510847</v>
      </c>
      <c r="M30" s="7">
        <f t="shared" si="3"/>
        <v>0.85450154489154784</v>
      </c>
    </row>
    <row r="31" spans="1:16" ht="18.75" customHeight="1">
      <c r="F31" s="1">
        <v>22190</v>
      </c>
      <c r="G31">
        <f t="shared" si="0"/>
        <v>10</v>
      </c>
      <c r="H31" s="7">
        <v>313.83</v>
      </c>
      <c r="I31" s="7">
        <f>_A*F31*F31+_B*F31+_C</f>
        <v>316.46713462087564</v>
      </c>
      <c r="J31" s="7">
        <f t="shared" si="1"/>
        <v>-2.6371346208756563</v>
      </c>
      <c r="K31" s="7" cm="1">
        <f t="array" ref="K31">INDEX(Sm,G31)</f>
        <v>-3.2770720300056544</v>
      </c>
      <c r="L31" s="7">
        <f t="shared" si="2"/>
        <v>313.19006259087001</v>
      </c>
      <c r="M31" s="7">
        <f t="shared" si="3"/>
        <v>0.63993740912997055</v>
      </c>
    </row>
    <row r="32" spans="1:16" ht="18.75" customHeight="1">
      <c r="F32" s="1">
        <v>22221</v>
      </c>
      <c r="G32">
        <f t="shared" si="0"/>
        <v>11</v>
      </c>
      <c r="H32" s="7">
        <v>315</v>
      </c>
      <c r="I32" s="7">
        <f>_A*F32*F32+_B*F32+_C</f>
        <v>316.54012329486568</v>
      </c>
      <c r="J32" s="7">
        <f t="shared" si="1"/>
        <v>-1.5401232948656798</v>
      </c>
      <c r="K32" s="7" cm="1">
        <f t="array" ref="K32">INDEX(Sm,G32)</f>
        <v>-2.0734932780028581</v>
      </c>
      <c r="L32" s="7">
        <f t="shared" si="2"/>
        <v>314.46663001686284</v>
      </c>
      <c r="M32" s="7">
        <f t="shared" si="3"/>
        <v>0.53336998313716322</v>
      </c>
    </row>
    <row r="33" spans="6:13" ht="18.75" customHeight="1">
      <c r="F33" s="1">
        <v>22251</v>
      </c>
      <c r="G33">
        <f t="shared" si="0"/>
        <v>12</v>
      </c>
      <c r="H33" s="7">
        <v>316.19</v>
      </c>
      <c r="I33" s="7">
        <f>_A*F33*F33+_B*F33+_C</f>
        <v>316.61092941248035</v>
      </c>
      <c r="J33" s="7">
        <f t="shared" si="1"/>
        <v>-0.42092941248034776</v>
      </c>
      <c r="K33" s="7" cm="1">
        <f t="array" ref="K33">INDEX(Sm,G33)</f>
        <v>-0.94500362363844403</v>
      </c>
      <c r="L33" s="7">
        <f t="shared" si="2"/>
        <v>315.66592578884189</v>
      </c>
      <c r="M33" s="7">
        <f t="shared" si="3"/>
        <v>0.52407421115810848</v>
      </c>
    </row>
    <row r="34" spans="6:13" ht="18.75" customHeight="1">
      <c r="F34" s="1">
        <v>22282</v>
      </c>
      <c r="G34">
        <f t="shared" si="0"/>
        <v>1</v>
      </c>
      <c r="H34" s="7">
        <v>316.89999999999998</v>
      </c>
      <c r="I34" s="7">
        <f>_A*F34*F34+_B*F34+_C</f>
        <v>316.68427338156067</v>
      </c>
      <c r="J34" s="7">
        <f t="shared" si="1"/>
        <v>0.21572661843930518</v>
      </c>
      <c r="K34" s="7" cm="1">
        <f t="array" ref="K34">INDEX(Sm,G34)</f>
        <v>-3.1273707705410173E-2</v>
      </c>
      <c r="L34" s="7">
        <f t="shared" si="2"/>
        <v>316.65299967385528</v>
      </c>
      <c r="M34" s="7">
        <f t="shared" si="3"/>
        <v>0.24700032614470047</v>
      </c>
    </row>
    <row r="35" spans="6:13" ht="18.75" customHeight="1">
      <c r="F35" s="1">
        <v>22313</v>
      </c>
      <c r="G35">
        <f t="shared" si="0"/>
        <v>2</v>
      </c>
      <c r="H35" s="7">
        <v>317.7</v>
      </c>
      <c r="I35" s="7">
        <f>_A*F35*F35+_B*F35+_C</f>
        <v>316.7577979104409</v>
      </c>
      <c r="J35" s="7">
        <f t="shared" si="1"/>
        <v>0.94220208955908902</v>
      </c>
      <c r="K35" s="7" cm="1">
        <f t="array" ref="K35">INDEX(Sm,G35)</f>
        <v>0.60795807352328612</v>
      </c>
      <c r="L35" s="7">
        <f t="shared" si="2"/>
        <v>317.36575598396416</v>
      </c>
      <c r="M35" s="7">
        <f t="shared" si="3"/>
        <v>0.3342440160358251</v>
      </c>
    </row>
    <row r="36" spans="6:13" ht="18.75" customHeight="1">
      <c r="F36" s="1">
        <v>22341</v>
      </c>
      <c r="G36">
        <f t="shared" si="0"/>
        <v>3</v>
      </c>
      <c r="H36" s="7">
        <v>318.54000000000002</v>
      </c>
      <c r="I36" s="7">
        <f>_A*F36*F36+_B*F36+_C</f>
        <v>316.82436235733252</v>
      </c>
      <c r="J36" s="7">
        <f t="shared" si="1"/>
        <v>1.7156376426675024</v>
      </c>
      <c r="K36" s="7" cm="1">
        <f t="array" ref="K36">INDEX(Sm,G36)</f>
        <v>1.368171928762181</v>
      </c>
      <c r="L36" s="7">
        <f t="shared" si="2"/>
        <v>318.19253428609471</v>
      </c>
      <c r="M36" s="7">
        <f t="shared" si="3"/>
        <v>0.34746571390530789</v>
      </c>
    </row>
    <row r="37" spans="6:13" ht="18.75" customHeight="1">
      <c r="F37" s="1">
        <v>22372</v>
      </c>
      <c r="G37">
        <f t="shared" si="0"/>
        <v>4</v>
      </c>
      <c r="H37" s="7">
        <v>319.48</v>
      </c>
      <c r="I37" s="7">
        <f>_A*F37*F37+_B*F37+_C</f>
        <v>316.89823053228372</v>
      </c>
      <c r="J37" s="7">
        <f t="shared" si="1"/>
        <v>2.581769467716299</v>
      </c>
      <c r="K37" s="7" cm="1">
        <f t="array" ref="K37">INDEX(Sm,G37)</f>
        <v>2.5295372401482399</v>
      </c>
      <c r="L37" s="7">
        <f t="shared" si="2"/>
        <v>319.42776777243193</v>
      </c>
      <c r="M37" s="7">
        <f t="shared" si="3"/>
        <v>5.2232227568083545E-2</v>
      </c>
    </row>
    <row r="38" spans="6:13" ht="18.75" customHeight="1">
      <c r="F38" s="1">
        <v>22402</v>
      </c>
      <c r="G38">
        <f t="shared" si="0"/>
        <v>5</v>
      </c>
      <c r="H38" s="7">
        <v>320.58</v>
      </c>
      <c r="I38" s="7">
        <f>_A*F38*F38+_B*F38+_C</f>
        <v>316.96988777986076</v>
      </c>
      <c r="J38" s="7">
        <f t="shared" si="1"/>
        <v>3.6101122201392286</v>
      </c>
      <c r="K38" s="7" cm="1">
        <f t="array" ref="K38">INDEX(Sm,G38)</f>
        <v>2.9925789844300432</v>
      </c>
      <c r="L38" s="7">
        <f t="shared" si="2"/>
        <v>319.96246676429081</v>
      </c>
      <c r="M38" s="7">
        <f t="shared" si="3"/>
        <v>0.61753323570917473</v>
      </c>
    </row>
    <row r="39" spans="6:13" ht="18.75" customHeight="1">
      <c r="F39" s="1">
        <v>22433</v>
      </c>
      <c r="G39">
        <f t="shared" si="0"/>
        <v>6</v>
      </c>
      <c r="H39" s="7">
        <v>319.77</v>
      </c>
      <c r="I39" s="7">
        <f>_A*F39*F39+_B*F39+_C</f>
        <v>317.04411124990213</v>
      </c>
      <c r="J39" s="7">
        <f t="shared" si="1"/>
        <v>2.7258887500978517</v>
      </c>
      <c r="K39" s="7" cm="1">
        <f t="array" ref="K39">INDEX(Sm,G39)</f>
        <v>2.3204129706322356</v>
      </c>
      <c r="L39" s="7">
        <f t="shared" si="2"/>
        <v>319.36452422053435</v>
      </c>
      <c r="M39" s="7">
        <f t="shared" si="3"/>
        <v>0.40547577946563251</v>
      </c>
    </row>
    <row r="40" spans="6:13" ht="18.75" customHeight="1">
      <c r="F40" s="1">
        <v>22463</v>
      </c>
      <c r="G40">
        <f t="shared" si="0"/>
        <v>7</v>
      </c>
      <c r="H40" s="7">
        <v>318.57</v>
      </c>
      <c r="I40" s="7">
        <f>_A*F40*F40+_B*F40+_C</f>
        <v>317.11611233143753</v>
      </c>
      <c r="J40" s="7">
        <f t="shared" si="1"/>
        <v>1.4538876685624587</v>
      </c>
      <c r="K40" s="7" cm="1">
        <f t="array" ref="K40">INDEX(Sm,G40)</f>
        <v>0.81833597443365613</v>
      </c>
      <c r="L40" s="7">
        <f t="shared" si="2"/>
        <v>317.93444830587117</v>
      </c>
      <c r="M40" s="7">
        <f t="shared" si="3"/>
        <v>0.63555169412882151</v>
      </c>
    </row>
    <row r="41" spans="6:13" ht="18.75" customHeight="1">
      <c r="F41" s="1">
        <v>22494</v>
      </c>
      <c r="G41">
        <f t="shared" si="0"/>
        <v>8</v>
      </c>
      <c r="H41" s="7">
        <v>316.79000000000002</v>
      </c>
      <c r="I41" s="7">
        <f>_A*F41*F41+_B*F41+_C</f>
        <v>317.19069109656914</v>
      </c>
      <c r="J41" s="7">
        <f t="shared" si="1"/>
        <v>-0.40069109656911905</v>
      </c>
      <c r="K41" s="7" cm="1">
        <f t="array" ref="K41">INDEX(Sm,G41)</f>
        <v>-1.2372810548909516</v>
      </c>
      <c r="L41" s="7">
        <f t="shared" si="2"/>
        <v>315.95341004167818</v>
      </c>
      <c r="M41" s="7">
        <f t="shared" si="3"/>
        <v>0.83658995832183791</v>
      </c>
    </row>
    <row r="42" spans="6:13" ht="18.75" customHeight="1">
      <c r="F42" s="1">
        <v>22525</v>
      </c>
      <c r="G42">
        <f t="shared" si="0"/>
        <v>9</v>
      </c>
      <c r="H42" s="7">
        <v>314.99</v>
      </c>
      <c r="I42" s="7">
        <f>_A*F42*F42+_B*F42+_C</f>
        <v>317.26545042150076</v>
      </c>
      <c r="J42" s="7">
        <f t="shared" si="1"/>
        <v>-2.2754504215007501</v>
      </c>
      <c r="K42" s="7" cm="1">
        <f t="array" ref="K42">INDEX(Sm,G42)</f>
        <v>-3.0811738821107677</v>
      </c>
      <c r="L42" s="7">
        <f t="shared" si="2"/>
        <v>314.18427653939</v>
      </c>
      <c r="M42" s="7">
        <f t="shared" si="3"/>
        <v>0.80572346061001099</v>
      </c>
    </row>
    <row r="43" spans="6:13" ht="18.75" customHeight="1">
      <c r="F43" s="1">
        <v>22555</v>
      </c>
      <c r="G43">
        <f t="shared" si="0"/>
        <v>10</v>
      </c>
      <c r="H43" s="7">
        <v>315.31</v>
      </c>
      <c r="I43" s="7">
        <f>_A*F43*F43+_B*F43+_C</f>
        <v>317.33797007228475</v>
      </c>
      <c r="J43" s="7">
        <f t="shared" si="1"/>
        <v>-2.0279700722847451</v>
      </c>
      <c r="K43" s="7" cm="1">
        <f t="array" ref="K43">INDEX(Sm,G43)</f>
        <v>-3.2770720300056544</v>
      </c>
      <c r="L43" s="7">
        <f t="shared" si="2"/>
        <v>314.06089804227912</v>
      </c>
      <c r="M43" s="7">
        <f t="shared" si="3"/>
        <v>1.2491019577208817</v>
      </c>
    </row>
    <row r="44" spans="6:13" ht="18.75" customHeight="1">
      <c r="F44" s="1">
        <v>22586</v>
      </c>
      <c r="G44">
        <f t="shared" si="0"/>
        <v>11</v>
      </c>
      <c r="H44" s="7">
        <v>316.10000000000002</v>
      </c>
      <c r="I44" s="7">
        <f>_A*F44*F44+_B*F44+_C</f>
        <v>317.4130846923066</v>
      </c>
      <c r="J44" s="7">
        <f t="shared" si="1"/>
        <v>-1.3130846923065747</v>
      </c>
      <c r="K44" s="7" cm="1">
        <f t="array" ref="K44">INDEX(Sm,G44)</f>
        <v>-2.0734932780028581</v>
      </c>
      <c r="L44" s="7">
        <f t="shared" si="2"/>
        <v>315.33959141430375</v>
      </c>
      <c r="M44" s="7">
        <f t="shared" si="3"/>
        <v>0.76040858569626835</v>
      </c>
    </row>
    <row r="45" spans="6:13" ht="18.75" customHeight="1">
      <c r="F45" s="1">
        <v>22616</v>
      </c>
      <c r="G45">
        <f t="shared" si="0"/>
        <v>12</v>
      </c>
      <c r="H45" s="7">
        <v>317.01</v>
      </c>
      <c r="I45" s="7">
        <f>_A*F45*F45+_B*F45+_C</f>
        <v>317.48594817704884</v>
      </c>
      <c r="J45" s="7">
        <f t="shared" si="1"/>
        <v>-0.47594817704884917</v>
      </c>
      <c r="K45" s="7" cm="1">
        <f t="array" ref="K45">INDEX(Sm,G45)</f>
        <v>-0.94500362363844403</v>
      </c>
      <c r="L45" s="7">
        <f t="shared" si="2"/>
        <v>316.54094455341038</v>
      </c>
      <c r="M45" s="7">
        <f t="shared" si="3"/>
        <v>0.46905544658960707</v>
      </c>
    </row>
    <row r="46" spans="6:13" ht="18.75" customHeight="1">
      <c r="F46" s="1">
        <v>22647</v>
      </c>
      <c r="G46">
        <f t="shared" si="0"/>
        <v>1</v>
      </c>
      <c r="H46" s="7">
        <v>317.94</v>
      </c>
      <c r="I46" s="7">
        <f>_A*F46*F46+_B*F46+_C</f>
        <v>317.56141809216092</v>
      </c>
      <c r="J46" s="7">
        <f t="shared" si="1"/>
        <v>0.3785819078390773</v>
      </c>
      <c r="K46" s="7" cm="1">
        <f t="array" ref="K46">INDEX(Sm,G46)</f>
        <v>-3.1273707705410173E-2</v>
      </c>
      <c r="L46" s="7">
        <f t="shared" si="2"/>
        <v>317.53014438445553</v>
      </c>
      <c r="M46" s="7">
        <f t="shared" si="3"/>
        <v>0.40985561554447258</v>
      </c>
    </row>
    <row r="47" spans="6:13" ht="18.75" customHeight="1">
      <c r="F47" s="1">
        <v>22678</v>
      </c>
      <c r="G47">
        <f t="shared" si="0"/>
        <v>2</v>
      </c>
      <c r="H47" s="7">
        <v>318.55</v>
      </c>
      <c r="I47" s="7">
        <f>_A*F47*F47+_B*F47+_C</f>
        <v>317.63706856707302</v>
      </c>
      <c r="J47" s="7">
        <f t="shared" si="1"/>
        <v>0.91293143292699597</v>
      </c>
      <c r="K47" s="7" cm="1">
        <f t="array" ref="K47">INDEX(Sm,G47)</f>
        <v>0.60795807352328612</v>
      </c>
      <c r="L47" s="7">
        <f t="shared" si="2"/>
        <v>318.24502664059628</v>
      </c>
      <c r="M47" s="7">
        <f t="shared" si="3"/>
        <v>0.30497335940373205</v>
      </c>
    </row>
    <row r="48" spans="6:13" ht="18.75" customHeight="1">
      <c r="F48" s="1">
        <v>22706</v>
      </c>
      <c r="G48">
        <f t="shared" si="0"/>
        <v>3</v>
      </c>
      <c r="H48" s="7">
        <v>319.68</v>
      </c>
      <c r="I48" s="7">
        <f>_A*F48*F48+_B*F48+_C</f>
        <v>317.70555322328369</v>
      </c>
      <c r="J48" s="7">
        <f t="shared" si="1"/>
        <v>1.9744467767163201</v>
      </c>
      <c r="K48" s="7" cm="1">
        <f t="array" ref="K48">INDEX(Sm,G48)</f>
        <v>1.368171928762181</v>
      </c>
      <c r="L48" s="7">
        <f t="shared" si="2"/>
        <v>319.07372515204588</v>
      </c>
      <c r="M48" s="7">
        <f t="shared" si="3"/>
        <v>0.60627484795412556</v>
      </c>
    </row>
    <row r="49" spans="6:13" ht="18.75" customHeight="1">
      <c r="F49" s="1">
        <v>22737</v>
      </c>
      <c r="G49">
        <f t="shared" si="0"/>
        <v>4</v>
      </c>
      <c r="H49" s="7">
        <v>320.57</v>
      </c>
      <c r="I49" s="7">
        <f>_A*F49*F49+_B*F49+_C</f>
        <v>317.78154734426664</v>
      </c>
      <c r="J49" s="7">
        <f t="shared" si="1"/>
        <v>2.7884526557333515</v>
      </c>
      <c r="K49" s="7" cm="1">
        <f t="array" ref="K49">INDEX(Sm,G49)</f>
        <v>2.5295372401482399</v>
      </c>
      <c r="L49" s="7">
        <f t="shared" si="2"/>
        <v>320.31108458441486</v>
      </c>
      <c r="M49" s="7">
        <f t="shared" si="3"/>
        <v>0.25891541558513609</v>
      </c>
    </row>
    <row r="50" spans="6:13" ht="18.75" customHeight="1">
      <c r="F50" s="1">
        <v>22767</v>
      </c>
      <c r="G50">
        <f t="shared" si="0"/>
        <v>5</v>
      </c>
      <c r="H50" s="7">
        <v>321.02</v>
      </c>
      <c r="I50" s="7">
        <f>_A*F50*F50+_B*F50+_C</f>
        <v>317.85526195897125</v>
      </c>
      <c r="J50" s="7">
        <f t="shared" si="1"/>
        <v>3.1647380410287269</v>
      </c>
      <c r="K50" s="7" cm="1">
        <f t="array" ref="K50">INDEX(Sm,G50)</f>
        <v>2.9925789844300432</v>
      </c>
      <c r="L50" s="7">
        <f t="shared" si="2"/>
        <v>320.84784094340131</v>
      </c>
      <c r="M50" s="7">
        <f t="shared" si="3"/>
        <v>0.17215905659867303</v>
      </c>
    </row>
    <row r="51" spans="6:13" ht="18.75" customHeight="1">
      <c r="F51" s="1">
        <v>22798</v>
      </c>
      <c r="G51">
        <f t="shared" si="0"/>
        <v>6</v>
      </c>
      <c r="H51" s="7">
        <v>320.62</v>
      </c>
      <c r="I51" s="7">
        <f>_A*F51*F51+_B*F51+_C</f>
        <v>317.9316113750445</v>
      </c>
      <c r="J51" s="7">
        <f t="shared" si="1"/>
        <v>2.6883886249555076</v>
      </c>
      <c r="K51" s="7" cm="1">
        <f t="array" ref="K51">INDEX(Sm,G51)</f>
        <v>2.3204129706322356</v>
      </c>
      <c r="L51" s="7">
        <f t="shared" si="2"/>
        <v>320.25202434567672</v>
      </c>
      <c r="M51" s="7">
        <f t="shared" si="3"/>
        <v>0.36797565432328838</v>
      </c>
    </row>
    <row r="52" spans="6:13" ht="18.75" customHeight="1">
      <c r="F52" s="1">
        <v>22828</v>
      </c>
      <c r="G52">
        <f t="shared" si="0"/>
        <v>7</v>
      </c>
      <c r="H52" s="7">
        <v>319.61</v>
      </c>
      <c r="I52" s="7">
        <f>_A*F52*F52+_B*F52+_C</f>
        <v>318.00566982370742</v>
      </c>
      <c r="J52" s="7">
        <f t="shared" si="1"/>
        <v>1.6043301762925921</v>
      </c>
      <c r="K52" s="7" cm="1">
        <f t="array" ref="K52">INDEX(Sm,G52)</f>
        <v>0.81833597443365613</v>
      </c>
      <c r="L52" s="7">
        <f t="shared" si="2"/>
        <v>318.82400579814106</v>
      </c>
      <c r="M52" s="7">
        <f t="shared" si="3"/>
        <v>0.78599420185895497</v>
      </c>
    </row>
    <row r="53" spans="6:13" ht="18.75" customHeight="1">
      <c r="F53" s="1">
        <v>22859</v>
      </c>
      <c r="G53">
        <f t="shared" si="0"/>
        <v>8</v>
      </c>
      <c r="H53" s="7">
        <v>317.39999999999998</v>
      </c>
      <c r="I53" s="7">
        <f>_A*F53*F53+_B*F53+_C</f>
        <v>318.08237453487089</v>
      </c>
      <c r="J53" s="7">
        <f t="shared" si="1"/>
        <v>-0.6823745348709167</v>
      </c>
      <c r="K53" s="7" cm="1">
        <f t="array" ref="K53">INDEX(Sm,G53)</f>
        <v>-1.2372810548909516</v>
      </c>
      <c r="L53" s="7">
        <f t="shared" si="2"/>
        <v>316.84509347997994</v>
      </c>
      <c r="M53" s="7">
        <f t="shared" si="3"/>
        <v>0.55490652002004026</v>
      </c>
    </row>
    <row r="54" spans="6:13" ht="18.75" customHeight="1">
      <c r="F54" s="1">
        <v>22890</v>
      </c>
      <c r="G54">
        <f t="shared" si="0"/>
        <v>9</v>
      </c>
      <c r="H54" s="7">
        <v>316.25</v>
      </c>
      <c r="I54" s="7">
        <f>_A*F54*F54+_B*F54+_C</f>
        <v>318.15925980583432</v>
      </c>
      <c r="J54" s="7">
        <f t="shared" si="1"/>
        <v>-1.9092598058343242</v>
      </c>
      <c r="K54" s="7" cm="1">
        <f t="array" ref="K54">INDEX(Sm,G54)</f>
        <v>-3.0811738821107677</v>
      </c>
      <c r="L54" s="7">
        <f t="shared" si="2"/>
        <v>315.07808592372356</v>
      </c>
      <c r="M54" s="7">
        <f t="shared" si="3"/>
        <v>1.1719140762764368</v>
      </c>
    </row>
    <row r="55" spans="6:13" ht="18.75" customHeight="1">
      <c r="F55" s="1">
        <v>22920</v>
      </c>
      <c r="G55">
        <f t="shared" si="0"/>
        <v>10</v>
      </c>
      <c r="H55" s="7">
        <v>315.42</v>
      </c>
      <c r="I55" s="7">
        <f>_A*F55*F55+_B*F55+_C</f>
        <v>318.23383682374583</v>
      </c>
      <c r="J55" s="7">
        <f t="shared" si="1"/>
        <v>-2.8138368237458167</v>
      </c>
      <c r="K55" s="7" cm="1">
        <f t="array" ref="K55">INDEX(Sm,G55)</f>
        <v>-3.2770720300056544</v>
      </c>
      <c r="L55" s="7">
        <f t="shared" si="2"/>
        <v>314.95676479374021</v>
      </c>
      <c r="M55" s="7">
        <f t="shared" si="3"/>
        <v>0.46323520625981018</v>
      </c>
    </row>
    <row r="56" spans="6:13" ht="18.75" customHeight="1">
      <c r="F56" s="1">
        <v>22951</v>
      </c>
      <c r="G56">
        <f t="shared" si="0"/>
        <v>11</v>
      </c>
      <c r="H56" s="7">
        <v>316.69</v>
      </c>
      <c r="I56" s="7">
        <f>_A*F56*F56+_B*F56+_C</f>
        <v>318.31107738979949</v>
      </c>
      <c r="J56" s="7">
        <f t="shared" si="1"/>
        <v>-1.6210773897994954</v>
      </c>
      <c r="K56" s="7" cm="1">
        <f t="array" ref="K56">INDEX(Sm,G56)</f>
        <v>-2.0734932780028581</v>
      </c>
      <c r="L56" s="7">
        <f t="shared" si="2"/>
        <v>316.23758411179665</v>
      </c>
      <c r="M56" s="7">
        <f t="shared" si="3"/>
        <v>0.45241588820334755</v>
      </c>
    </row>
    <row r="57" spans="6:13" ht="18.75" customHeight="1">
      <c r="F57" s="1">
        <v>22981</v>
      </c>
      <c r="G57">
        <f t="shared" si="0"/>
        <v>12</v>
      </c>
      <c r="H57" s="7">
        <v>317.7</v>
      </c>
      <c r="I57" s="7">
        <f>_A*F57*F57+_B*F57+_C</f>
        <v>318.38599824166931</v>
      </c>
      <c r="J57" s="7">
        <f t="shared" si="1"/>
        <v>-0.68599824166932422</v>
      </c>
      <c r="K57" s="7" cm="1">
        <f t="array" ref="K57">INDEX(Sm,G57)</f>
        <v>-0.94500362363844403</v>
      </c>
      <c r="L57" s="7">
        <f t="shared" si="2"/>
        <v>317.44099461803086</v>
      </c>
      <c r="M57" s="7">
        <f t="shared" si="3"/>
        <v>0.25900538196913203</v>
      </c>
    </row>
    <row r="58" spans="6:13" ht="18.75" customHeight="1">
      <c r="F58" s="1">
        <v>23012</v>
      </c>
      <c r="G58">
        <f t="shared" si="0"/>
        <v>1</v>
      </c>
      <c r="H58" s="7">
        <v>318.74</v>
      </c>
      <c r="I58" s="7">
        <f>_A*F58*F58+_B*F58+_C</f>
        <v>318.4635941028132</v>
      </c>
      <c r="J58" s="7">
        <f t="shared" si="1"/>
        <v>0.2764058971868053</v>
      </c>
      <c r="K58" s="7" cm="1">
        <f t="array" ref="K58">INDEX(Sm,G58)</f>
        <v>-3.1273707705410173E-2</v>
      </c>
      <c r="L58" s="7">
        <f t="shared" si="2"/>
        <v>318.43232039510781</v>
      </c>
      <c r="M58" s="7">
        <f t="shared" si="3"/>
        <v>0.30767960489220059</v>
      </c>
    </row>
    <row r="59" spans="6:13" ht="18.75" customHeight="1">
      <c r="F59" s="1">
        <v>23043</v>
      </c>
      <c r="G59">
        <f t="shared" si="0"/>
        <v>2</v>
      </c>
      <c r="H59" s="7">
        <v>319.07</v>
      </c>
      <c r="I59" s="7">
        <f>_A*F59*F59+_B*F59+_C</f>
        <v>318.54137052375711</v>
      </c>
      <c r="J59" s="7">
        <f t="shared" si="1"/>
        <v>0.52862947624288381</v>
      </c>
      <c r="K59" s="7" cm="1">
        <f t="array" ref="K59">INDEX(Sm,G59)</f>
        <v>0.60795807352328612</v>
      </c>
      <c r="L59" s="7">
        <f t="shared" si="2"/>
        <v>319.14932859728037</v>
      </c>
      <c r="M59" s="7">
        <f t="shared" si="3"/>
        <v>-7.9328597280380109E-2</v>
      </c>
    </row>
    <row r="60" spans="6:13" ht="18.75" customHeight="1">
      <c r="F60" s="1">
        <v>23071</v>
      </c>
      <c r="G60">
        <f t="shared" si="0"/>
        <v>3</v>
      </c>
      <c r="H60" s="7">
        <v>319.86</v>
      </c>
      <c r="I60" s="7">
        <f>_A*F60*F60+_B*F60+_C</f>
        <v>318.61177538928683</v>
      </c>
      <c r="J60" s="7">
        <f t="shared" si="1"/>
        <v>1.24822461071318</v>
      </c>
      <c r="K60" s="7" cm="1">
        <f t="array" ref="K60">INDEX(Sm,G60)</f>
        <v>1.368171928762181</v>
      </c>
      <c r="L60" s="7">
        <f t="shared" si="2"/>
        <v>319.97994731804903</v>
      </c>
      <c r="M60" s="7">
        <f t="shared" si="3"/>
        <v>-0.11994731804901448</v>
      </c>
    </row>
    <row r="61" spans="6:13" ht="18.75" customHeight="1">
      <c r="F61" s="1">
        <v>23102</v>
      </c>
      <c r="G61">
        <f t="shared" si="0"/>
        <v>4</v>
      </c>
      <c r="H61" s="7">
        <v>321.38</v>
      </c>
      <c r="I61" s="7">
        <f>_A*F61*F61+_B*F61+_C</f>
        <v>318.6898954563016</v>
      </c>
      <c r="J61" s="7">
        <f t="shared" si="1"/>
        <v>2.6901045436983964</v>
      </c>
      <c r="K61" s="7" cm="1">
        <f t="array" ref="K61">INDEX(Sm,G61)</f>
        <v>2.5295372401482399</v>
      </c>
      <c r="L61" s="7">
        <f t="shared" si="2"/>
        <v>321.21943269644981</v>
      </c>
      <c r="M61" s="7">
        <f t="shared" si="3"/>
        <v>0.1605673035501809</v>
      </c>
    </row>
    <row r="62" spans="6:13" ht="18.75" customHeight="1">
      <c r="F62" s="1">
        <v>23132</v>
      </c>
      <c r="G62">
        <f t="shared" si="0"/>
        <v>5</v>
      </c>
      <c r="H62" s="7">
        <v>322.25</v>
      </c>
      <c r="I62" s="7">
        <f>_A*F62*F62+_B*F62+_C</f>
        <v>318.76566743813379</v>
      </c>
      <c r="J62" s="7">
        <f t="shared" si="1"/>
        <v>3.4843325618662107</v>
      </c>
      <c r="K62" s="7" cm="1">
        <f t="array" ref="K62">INDEX(Sm,G62)</f>
        <v>2.9925789844300432</v>
      </c>
      <c r="L62" s="7">
        <f t="shared" si="2"/>
        <v>321.75824642256384</v>
      </c>
      <c r="M62" s="7">
        <f t="shared" si="3"/>
        <v>0.49175357743615677</v>
      </c>
    </row>
    <row r="63" spans="6:13" ht="18.75" customHeight="1">
      <c r="F63" s="1">
        <v>23163</v>
      </c>
      <c r="G63">
        <f t="shared" si="0"/>
        <v>6</v>
      </c>
      <c r="H63" s="7">
        <v>321.48</v>
      </c>
      <c r="I63" s="7">
        <f>_A*F63*F63+_B*F63+_C</f>
        <v>318.84414280023884</v>
      </c>
      <c r="J63" s="7">
        <f t="shared" si="1"/>
        <v>2.6358571997611762</v>
      </c>
      <c r="K63" s="7" cm="1">
        <f t="array" ref="K63">INDEX(Sm,G63)</f>
        <v>2.3204129706322356</v>
      </c>
      <c r="L63" s="7">
        <f t="shared" si="2"/>
        <v>321.16455577087106</v>
      </c>
      <c r="M63" s="7">
        <f t="shared" si="3"/>
        <v>0.31544422912895698</v>
      </c>
    </row>
    <row r="64" spans="6:13" ht="18.75" customHeight="1">
      <c r="F64" s="1">
        <v>23193</v>
      </c>
      <c r="G64">
        <f t="shared" si="0"/>
        <v>7</v>
      </c>
      <c r="H64" s="7">
        <v>319.74</v>
      </c>
      <c r="I64" s="7">
        <f>_A*F64*F64+_B*F64+_C</f>
        <v>318.92025861602929</v>
      </c>
      <c r="J64" s="7">
        <f t="shared" si="1"/>
        <v>0.81974138397072238</v>
      </c>
      <c r="K64" s="7" cm="1">
        <f t="array" ref="K64">INDEX(Sm,G64)</f>
        <v>0.81833597443365613</v>
      </c>
      <c r="L64" s="7">
        <f t="shared" si="2"/>
        <v>319.73859459046292</v>
      </c>
      <c r="M64" s="7">
        <f t="shared" si="3"/>
        <v>1.4054095370852338E-3</v>
      </c>
    </row>
    <row r="65" spans="6:13" ht="18.75" customHeight="1">
      <c r="F65" s="1">
        <v>23224</v>
      </c>
      <c r="G65">
        <f t="shared" si="0"/>
        <v>8</v>
      </c>
      <c r="H65" s="7">
        <v>317.77</v>
      </c>
      <c r="I65" s="7">
        <f>_A*F65*F65+_B*F65+_C</f>
        <v>318.99908927322457</v>
      </c>
      <c r="J65" s="7">
        <f t="shared" si="1"/>
        <v>-1.2290892732245879</v>
      </c>
      <c r="K65" s="7" cm="1">
        <f t="array" ref="K65">INDEX(Sm,G65)</f>
        <v>-1.2372810548909516</v>
      </c>
      <c r="L65" s="7">
        <f t="shared" si="2"/>
        <v>317.76180821833361</v>
      </c>
      <c r="M65" s="7">
        <f t="shared" si="3"/>
        <v>8.1917816663690246E-3</v>
      </c>
    </row>
    <row r="66" spans="6:13" ht="18.75" customHeight="1">
      <c r="F66" s="1">
        <v>23255</v>
      </c>
      <c r="G66">
        <f t="shared" si="0"/>
        <v>9</v>
      </c>
      <c r="H66" s="7">
        <v>316.20999999999998</v>
      </c>
      <c r="I66" s="7">
        <f>_A*F66*F66+_B*F66+_C</f>
        <v>319.07810049021981</v>
      </c>
      <c r="J66" s="7">
        <f t="shared" si="1"/>
        <v>-2.868100490219831</v>
      </c>
      <c r="K66" s="7" cm="1">
        <f t="array" ref="K66">INDEX(Sm,G66)</f>
        <v>-3.0811738821107677</v>
      </c>
      <c r="L66" s="7">
        <f t="shared" si="2"/>
        <v>315.99692660810905</v>
      </c>
      <c r="M66" s="7">
        <f t="shared" si="3"/>
        <v>0.21307339189093</v>
      </c>
    </row>
    <row r="67" spans="6:13" ht="18.75" customHeight="1">
      <c r="F67" s="1">
        <v>23285</v>
      </c>
      <c r="G67">
        <f t="shared" ref="G67:G130" si="5">MONTH(F67)</f>
        <v>10</v>
      </c>
      <c r="H67" s="7">
        <v>315.99</v>
      </c>
      <c r="I67" s="7">
        <f>_A*F67*F67+_B*F67+_C</f>
        <v>319.1547348752589</v>
      </c>
      <c r="J67" s="7">
        <f t="shared" ref="J67:J130" si="6">H67-I67</f>
        <v>-3.1647348752588869</v>
      </c>
      <c r="K67" s="7" cm="1">
        <f t="array" ref="K67">INDEX(Sm,G67)</f>
        <v>-3.2770720300056544</v>
      </c>
      <c r="L67" s="7">
        <f t="shared" ref="L67:L130" si="7">I67+K67</f>
        <v>315.87766284525327</v>
      </c>
      <c r="M67" s="7">
        <f t="shared" ref="M67:M130" si="8">H67-L67</f>
        <v>0.11233715474674</v>
      </c>
    </row>
    <row r="68" spans="6:13" ht="18.75" customHeight="1">
      <c r="F68" s="1">
        <v>23316</v>
      </c>
      <c r="G68">
        <f t="shared" si="5"/>
        <v>11</v>
      </c>
      <c r="H68" s="7">
        <v>317.07</v>
      </c>
      <c r="I68" s="7">
        <f>_A*F68*F68+_B*F68+_C</f>
        <v>319.23410138734437</v>
      </c>
      <c r="J68" s="7">
        <f t="shared" si="6"/>
        <v>-2.164101387344374</v>
      </c>
      <c r="K68" s="7" cm="1">
        <f t="array" ref="K68">INDEX(Sm,G68)</f>
        <v>-2.0734932780028581</v>
      </c>
      <c r="L68" s="7">
        <f t="shared" si="7"/>
        <v>317.16060810934152</v>
      </c>
      <c r="M68" s="7">
        <f t="shared" si="8"/>
        <v>-9.0608109341530962E-2</v>
      </c>
    </row>
    <row r="69" spans="6:13" ht="18.75" customHeight="1">
      <c r="F69" s="1">
        <v>23346</v>
      </c>
      <c r="G69">
        <f t="shared" si="5"/>
        <v>12</v>
      </c>
      <c r="H69" s="7">
        <v>318.35000000000002</v>
      </c>
      <c r="I69" s="7">
        <f>_A*F69*F69+_B*F69+_C</f>
        <v>319.31107960634171</v>
      </c>
      <c r="J69" s="7">
        <f t="shared" si="6"/>
        <v>-0.96107960634168421</v>
      </c>
      <c r="K69" s="7" cm="1">
        <f t="array" ref="K69">INDEX(Sm,G69)</f>
        <v>-0.94500362363844403</v>
      </c>
      <c r="L69" s="7">
        <f t="shared" si="7"/>
        <v>318.36607598270325</v>
      </c>
      <c r="M69" s="7">
        <f t="shared" si="8"/>
        <v>-1.6075982703227965E-2</v>
      </c>
    </row>
    <row r="70" spans="6:13" ht="18.75" customHeight="1">
      <c r="F70" s="1">
        <v>23377</v>
      </c>
      <c r="G70">
        <f t="shared" si="5"/>
        <v>1</v>
      </c>
      <c r="H70" s="7">
        <v>319.57</v>
      </c>
      <c r="I70" s="7">
        <f>_A*F70*F70+_B*F70+_C</f>
        <v>319.39080141351747</v>
      </c>
      <c r="J70" s="7">
        <f t="shared" si="6"/>
        <v>0.17919858648252784</v>
      </c>
      <c r="K70" s="7" cm="1">
        <f t="array" ref="K70">INDEX(Sm,G70)</f>
        <v>-3.1273707705410173E-2</v>
      </c>
      <c r="L70" s="7">
        <f t="shared" si="7"/>
        <v>319.35952770581207</v>
      </c>
      <c r="M70" s="7">
        <f t="shared" si="8"/>
        <v>0.21047229418792313</v>
      </c>
    </row>
    <row r="71" spans="6:13" ht="18.75" customHeight="1">
      <c r="F71" s="1">
        <v>23498</v>
      </c>
      <c r="G71">
        <f t="shared" si="5"/>
        <v>5</v>
      </c>
      <c r="H71" s="7">
        <v>322.26</v>
      </c>
      <c r="I71" s="7">
        <f>_A*F71*F71+_B*F71+_C</f>
        <v>319.70370144123513</v>
      </c>
      <c r="J71" s="7">
        <f t="shared" si="6"/>
        <v>2.5562985587648654</v>
      </c>
      <c r="K71" s="7" cm="1">
        <f t="array" ref="K71">INDEX(Sm,G71)</f>
        <v>2.9925789844300432</v>
      </c>
      <c r="L71" s="7">
        <f t="shared" si="7"/>
        <v>322.69628042566518</v>
      </c>
      <c r="M71" s="7">
        <f t="shared" si="8"/>
        <v>-0.43628042566518843</v>
      </c>
    </row>
    <row r="72" spans="6:13" ht="18.75" customHeight="1">
      <c r="F72" s="1">
        <v>23529</v>
      </c>
      <c r="G72">
        <f t="shared" si="5"/>
        <v>6</v>
      </c>
      <c r="H72" s="7">
        <v>321.89</v>
      </c>
      <c r="I72" s="7">
        <f>_A*F72*F72+_B*F72+_C</f>
        <v>319.78430857388162</v>
      </c>
      <c r="J72" s="7">
        <f t="shared" si="6"/>
        <v>2.1056914261183692</v>
      </c>
      <c r="K72" s="7" cm="1">
        <f t="array" ref="K72">INDEX(Sm,G72)</f>
        <v>2.3204129706322356</v>
      </c>
      <c r="L72" s="7">
        <f t="shared" si="7"/>
        <v>322.10472154451384</v>
      </c>
      <c r="M72" s="7">
        <f t="shared" si="8"/>
        <v>-0.21472154451384995</v>
      </c>
    </row>
    <row r="73" spans="6:13" ht="18.75" customHeight="1">
      <c r="F73" s="1">
        <v>23559</v>
      </c>
      <c r="G73">
        <f t="shared" si="5"/>
        <v>7</v>
      </c>
      <c r="H73" s="7">
        <v>320.44</v>
      </c>
      <c r="I73" s="7">
        <f>_A*F73*F73+_B*F73+_C</f>
        <v>319.86248739342193</v>
      </c>
      <c r="J73" s="7">
        <f t="shared" si="6"/>
        <v>0.57751260657806824</v>
      </c>
      <c r="K73" s="7" cm="1">
        <f t="array" ref="K73">INDEX(Sm,G73)</f>
        <v>0.81833597443365613</v>
      </c>
      <c r="L73" s="7">
        <f t="shared" si="7"/>
        <v>320.68082336785557</v>
      </c>
      <c r="M73" s="7">
        <f t="shared" si="8"/>
        <v>-0.2408233678555689</v>
      </c>
    </row>
    <row r="74" spans="6:13" ht="18.75" customHeight="1">
      <c r="F74" s="1">
        <v>23590</v>
      </c>
      <c r="G74">
        <f t="shared" si="5"/>
        <v>8</v>
      </c>
      <c r="H74" s="7">
        <v>318.69</v>
      </c>
      <c r="I74" s="7">
        <f>_A*F74*F74+_B*F74+_C</f>
        <v>319.94344982115865</v>
      </c>
      <c r="J74" s="7">
        <f t="shared" si="6"/>
        <v>-1.2534498211586538</v>
      </c>
      <c r="K74" s="7" cm="1">
        <f t="array" ref="K74">INDEX(Sm,G74)</f>
        <v>-1.2372810548909516</v>
      </c>
      <c r="L74" s="7">
        <f t="shared" si="7"/>
        <v>318.70616876626769</v>
      </c>
      <c r="M74" s="7">
        <f t="shared" si="8"/>
        <v>-1.616876626769681E-2</v>
      </c>
    </row>
    <row r="75" spans="6:13" ht="18.75" customHeight="1">
      <c r="F75" s="1">
        <v>23621</v>
      </c>
      <c r="G75">
        <f t="shared" si="5"/>
        <v>9</v>
      </c>
      <c r="H75" s="7">
        <v>316.7</v>
      </c>
      <c r="I75" s="7">
        <f>_A*F75*F75+_B*F75+_C</f>
        <v>320.02459280869539</v>
      </c>
      <c r="J75" s="7">
        <f t="shared" si="6"/>
        <v>-3.3245928086953995</v>
      </c>
      <c r="K75" s="7" cm="1">
        <f t="array" ref="K75">INDEX(Sm,G75)</f>
        <v>-3.0811738821107677</v>
      </c>
      <c r="L75" s="7">
        <f t="shared" si="7"/>
        <v>316.94341892658463</v>
      </c>
      <c r="M75" s="7">
        <f t="shared" si="8"/>
        <v>-0.24341892658463848</v>
      </c>
    </row>
    <row r="76" spans="6:13" ht="18.75" customHeight="1">
      <c r="F76" s="1">
        <v>23651</v>
      </c>
      <c r="G76">
        <f t="shared" si="5"/>
        <v>10</v>
      </c>
      <c r="H76" s="7">
        <v>316.87</v>
      </c>
      <c r="I76" s="7">
        <f>_A*F76*F76+_B*F76+_C</f>
        <v>320.10329019748428</v>
      </c>
      <c r="J76" s="7">
        <f t="shared" si="6"/>
        <v>-3.2332901974842798</v>
      </c>
      <c r="K76" s="7" cm="1">
        <f t="array" ref="K76">INDEX(Sm,G76)</f>
        <v>-3.2770720300056544</v>
      </c>
      <c r="L76" s="7">
        <f t="shared" si="7"/>
        <v>316.82621816747866</v>
      </c>
      <c r="M76" s="7">
        <f t="shared" si="8"/>
        <v>4.3781832521347042E-2</v>
      </c>
    </row>
    <row r="77" spans="6:13" ht="18.75" customHeight="1">
      <c r="F77" s="1">
        <v>23682</v>
      </c>
      <c r="G77">
        <f t="shared" si="5"/>
        <v>11</v>
      </c>
      <c r="H77" s="7">
        <v>317.68</v>
      </c>
      <c r="I77" s="7">
        <f>_A*F77*F77+_B*F77+_C</f>
        <v>320.18478848011125</v>
      </c>
      <c r="J77" s="7">
        <f t="shared" si="6"/>
        <v>-2.5047884801112446</v>
      </c>
      <c r="K77" s="7" cm="1">
        <f t="array" ref="K77">INDEX(Sm,G77)</f>
        <v>-2.0734932780028581</v>
      </c>
      <c r="L77" s="7">
        <f t="shared" si="7"/>
        <v>318.11129520210841</v>
      </c>
      <c r="M77" s="7">
        <f t="shared" si="8"/>
        <v>-0.43129520210840155</v>
      </c>
    </row>
    <row r="78" spans="6:13" ht="18.75" customHeight="1">
      <c r="F78" s="1">
        <v>23712</v>
      </c>
      <c r="G78">
        <f t="shared" si="5"/>
        <v>12</v>
      </c>
      <c r="H78" s="7">
        <v>318.70999999999998</v>
      </c>
      <c r="I78" s="7">
        <f>_A*F78*F78+_B*F78+_C</f>
        <v>320.26382970285846</v>
      </c>
      <c r="J78" s="7">
        <f t="shared" si="6"/>
        <v>-1.5538297028584793</v>
      </c>
      <c r="K78" s="7" cm="1">
        <f t="array" ref="K78">INDEX(Sm,G78)</f>
        <v>-0.94500362363844403</v>
      </c>
      <c r="L78" s="7">
        <f t="shared" si="7"/>
        <v>319.31882607922</v>
      </c>
      <c r="M78" s="7">
        <f t="shared" si="8"/>
        <v>-0.60882607922002308</v>
      </c>
    </row>
    <row r="79" spans="6:13" ht="18.75" customHeight="1">
      <c r="F79" s="1">
        <v>23743</v>
      </c>
      <c r="G79">
        <f t="shared" si="5"/>
        <v>1</v>
      </c>
      <c r="H79" s="7">
        <v>319.44</v>
      </c>
      <c r="I79" s="7">
        <f>_A*F79*F79+_B*F79+_C</f>
        <v>320.34568328057571</v>
      </c>
      <c r="J79" s="7">
        <f t="shared" si="6"/>
        <v>-0.90568328057571534</v>
      </c>
      <c r="K79" s="7" cm="1">
        <f t="array" ref="K79">INDEX(Sm,G79)</f>
        <v>-3.1273707705410173E-2</v>
      </c>
      <c r="L79" s="7">
        <f t="shared" si="7"/>
        <v>320.31440957287032</v>
      </c>
      <c r="M79" s="7">
        <f t="shared" si="8"/>
        <v>-0.87440957287032006</v>
      </c>
    </row>
    <row r="80" spans="6:13" ht="18.75" customHeight="1">
      <c r="F80" s="1">
        <v>23774</v>
      </c>
      <c r="G80">
        <f t="shared" si="5"/>
        <v>2</v>
      </c>
      <c r="H80" s="7">
        <v>320.44</v>
      </c>
      <c r="I80" s="7">
        <f>_A*F80*F80+_B*F80+_C</f>
        <v>320.42771741809287</v>
      </c>
      <c r="J80" s="7">
        <f t="shared" si="6"/>
        <v>1.2282581907129497E-2</v>
      </c>
      <c r="K80" s="7" cm="1">
        <f t="array" ref="K80">INDEX(Sm,G80)</f>
        <v>0.60795807352328612</v>
      </c>
      <c r="L80" s="7">
        <f t="shared" si="7"/>
        <v>321.03567549161613</v>
      </c>
      <c r="M80" s="7">
        <f t="shared" si="8"/>
        <v>-0.59567549161613442</v>
      </c>
    </row>
    <row r="81" spans="6:13" ht="18.75" customHeight="1">
      <c r="F81" s="1">
        <v>23802</v>
      </c>
      <c r="G81">
        <f t="shared" si="5"/>
        <v>3</v>
      </c>
      <c r="H81" s="7">
        <v>320.89</v>
      </c>
      <c r="I81" s="7">
        <f>_A*F81*F81+_B*F81+_C</f>
        <v>320.50196796310814</v>
      </c>
      <c r="J81" s="7">
        <f t="shared" si="6"/>
        <v>0.38803203689184329</v>
      </c>
      <c r="K81" s="7" cm="1">
        <f t="array" ref="K81">INDEX(Sm,G81)</f>
        <v>1.368171928762181</v>
      </c>
      <c r="L81" s="7">
        <f t="shared" si="7"/>
        <v>321.87013989187034</v>
      </c>
      <c r="M81" s="7">
        <f t="shared" si="8"/>
        <v>-0.98013989187035122</v>
      </c>
    </row>
    <row r="82" spans="6:13" ht="18.75" customHeight="1">
      <c r="F82" s="1">
        <v>23833</v>
      </c>
      <c r="G82">
        <f t="shared" si="5"/>
        <v>4</v>
      </c>
      <c r="H82" s="7">
        <v>322.14</v>
      </c>
      <c r="I82" s="7">
        <f>_A*F82*F82+_B*F82+_C</f>
        <v>320.58434574669627</v>
      </c>
      <c r="J82" s="7">
        <f t="shared" si="6"/>
        <v>1.5556542533037145</v>
      </c>
      <c r="K82" s="7" cm="1">
        <f t="array" ref="K82">INDEX(Sm,G82)</f>
        <v>2.5295372401482399</v>
      </c>
      <c r="L82" s="7">
        <f t="shared" si="7"/>
        <v>323.11388298684449</v>
      </c>
      <c r="M82" s="7">
        <f t="shared" si="8"/>
        <v>-0.97388298684450092</v>
      </c>
    </row>
    <row r="83" spans="6:13" ht="18.75" customHeight="1">
      <c r="F83" s="1">
        <v>23863</v>
      </c>
      <c r="G83">
        <f t="shared" si="5"/>
        <v>5</v>
      </c>
      <c r="H83" s="7">
        <v>322.17</v>
      </c>
      <c r="I83" s="7">
        <f>_A*F83*F83+_B*F83+_C</f>
        <v>320.66423809940579</v>
      </c>
      <c r="J83" s="7">
        <f t="shared" si="6"/>
        <v>1.5057619005942229</v>
      </c>
      <c r="K83" s="7" cm="1">
        <f t="array" ref="K83">INDEX(Sm,G83)</f>
        <v>2.9925789844300432</v>
      </c>
      <c r="L83" s="7">
        <f t="shared" si="7"/>
        <v>323.65681708383585</v>
      </c>
      <c r="M83" s="7">
        <f t="shared" si="8"/>
        <v>-1.486817083835831</v>
      </c>
    </row>
    <row r="84" spans="6:13" ht="18.75" customHeight="1">
      <c r="F84" s="1">
        <v>23894</v>
      </c>
      <c r="G84">
        <f t="shared" si="5"/>
        <v>6</v>
      </c>
      <c r="H84" s="7">
        <v>321.87</v>
      </c>
      <c r="I84" s="7">
        <f>_A*F84*F84+_B*F84+_C</f>
        <v>320.74697117808415</v>
      </c>
      <c r="J84" s="7">
        <f t="shared" si="6"/>
        <v>1.1230288219158524</v>
      </c>
      <c r="K84" s="7" cm="1">
        <f t="array" ref="K84">INDEX(Sm,G84)</f>
        <v>2.3204129706322356</v>
      </c>
      <c r="L84" s="7">
        <f t="shared" si="7"/>
        <v>323.06738414871637</v>
      </c>
      <c r="M84" s="7">
        <f t="shared" si="8"/>
        <v>-1.1973841487163668</v>
      </c>
    </row>
    <row r="85" spans="6:13" ht="18.75" customHeight="1">
      <c r="F85" s="1">
        <v>23924</v>
      </c>
      <c r="G85">
        <f t="shared" si="5"/>
        <v>7</v>
      </c>
      <c r="H85" s="7">
        <v>321.20999999999998</v>
      </c>
      <c r="I85" s="7">
        <f>_A*F85*F85+_B*F85+_C</f>
        <v>320.82720736475198</v>
      </c>
      <c r="J85" s="7">
        <f t="shared" si="6"/>
        <v>0.38279263524799489</v>
      </c>
      <c r="K85" s="7" cm="1">
        <f t="array" ref="K85">INDEX(Sm,G85)</f>
        <v>0.81833597443365613</v>
      </c>
      <c r="L85" s="7">
        <f t="shared" si="7"/>
        <v>321.64554333918562</v>
      </c>
      <c r="M85" s="7">
        <f t="shared" si="8"/>
        <v>-0.43554333918564225</v>
      </c>
    </row>
    <row r="86" spans="6:13" ht="18.75" customHeight="1">
      <c r="F86" s="1">
        <v>23955</v>
      </c>
      <c r="G86">
        <f t="shared" si="5"/>
        <v>8</v>
      </c>
      <c r="H86" s="7">
        <v>318.87</v>
      </c>
      <c r="I86" s="7">
        <f>_A*F86*F86+_B*F86+_C</f>
        <v>320.91029573852057</v>
      </c>
      <c r="J86" s="7">
        <f t="shared" si="6"/>
        <v>-2.0402957385205696</v>
      </c>
      <c r="K86" s="7" cm="1">
        <f t="array" ref="K86">INDEX(Sm,G86)</f>
        <v>-1.2372810548909516</v>
      </c>
      <c r="L86" s="7">
        <f t="shared" si="7"/>
        <v>319.67301468362962</v>
      </c>
      <c r="M86" s="7">
        <f t="shared" si="8"/>
        <v>-0.80301468362961259</v>
      </c>
    </row>
    <row r="87" spans="6:13" ht="18.75" customHeight="1">
      <c r="F87" s="1">
        <v>23986</v>
      </c>
      <c r="G87">
        <f t="shared" si="5"/>
        <v>9</v>
      </c>
      <c r="H87" s="7">
        <v>317.81</v>
      </c>
      <c r="I87" s="7">
        <f>_A*F87*F87+_B*F87+_C</f>
        <v>320.99356467208912</v>
      </c>
      <c r="J87" s="7">
        <f t="shared" si="6"/>
        <v>-3.1835646720891191</v>
      </c>
      <c r="K87" s="7" cm="1">
        <f t="array" ref="K87">INDEX(Sm,G87)</f>
        <v>-3.0811738821107677</v>
      </c>
      <c r="L87" s="7">
        <f t="shared" si="7"/>
        <v>317.91239078997836</v>
      </c>
      <c r="M87" s="7">
        <f t="shared" si="8"/>
        <v>-0.10239078997835804</v>
      </c>
    </row>
    <row r="88" spans="6:13" ht="18.75" customHeight="1">
      <c r="F88" s="1">
        <v>24016</v>
      </c>
      <c r="G88">
        <f t="shared" si="5"/>
        <v>10</v>
      </c>
      <c r="H88" s="7">
        <v>317.3</v>
      </c>
      <c r="I88" s="7">
        <f>_A*F88*F88+_B*F88+_C</f>
        <v>321.07431942800559</v>
      </c>
      <c r="J88" s="7">
        <f t="shared" si="6"/>
        <v>-3.7743194280055832</v>
      </c>
      <c r="K88" s="7" cm="1">
        <f t="array" ref="K88">INDEX(Sm,G88)</f>
        <v>-3.2770720300056544</v>
      </c>
      <c r="L88" s="7">
        <f t="shared" si="7"/>
        <v>317.79724739799997</v>
      </c>
      <c r="M88" s="7">
        <f t="shared" si="8"/>
        <v>-0.49724739799995632</v>
      </c>
    </row>
    <row r="89" spans="6:13" ht="18.75" customHeight="1">
      <c r="F89" s="1">
        <v>24047</v>
      </c>
      <c r="G89">
        <f t="shared" si="5"/>
        <v>11</v>
      </c>
      <c r="H89" s="7">
        <v>318.87</v>
      </c>
      <c r="I89" s="7">
        <f>_A*F89*F89+_B*F89+_C</f>
        <v>321.15794365666437</v>
      </c>
      <c r="J89" s="7">
        <f t="shared" si="6"/>
        <v>-2.2879436566643676</v>
      </c>
      <c r="K89" s="7" cm="1">
        <f t="array" ref="K89">INDEX(Sm,G89)</f>
        <v>-2.0734932780028581</v>
      </c>
      <c r="L89" s="7">
        <f t="shared" si="7"/>
        <v>319.08445037866153</v>
      </c>
      <c r="M89" s="7">
        <f t="shared" si="8"/>
        <v>-0.21445037866152461</v>
      </c>
    </row>
    <row r="90" spans="6:13" ht="18.75" customHeight="1">
      <c r="F90" s="1">
        <v>24077</v>
      </c>
      <c r="G90">
        <f t="shared" si="5"/>
        <v>12</v>
      </c>
      <c r="H90" s="7">
        <v>319.42</v>
      </c>
      <c r="I90" s="7">
        <f>_A*F90*F90+_B*F90+_C</f>
        <v>321.2390422465391</v>
      </c>
      <c r="J90" s="7">
        <f t="shared" si="6"/>
        <v>-1.8190422465390839</v>
      </c>
      <c r="K90" s="7" cm="1">
        <f t="array" ref="K90">INDEX(Sm,G90)</f>
        <v>-0.94500362363844403</v>
      </c>
      <c r="L90" s="7">
        <f t="shared" si="7"/>
        <v>320.29403862290064</v>
      </c>
      <c r="M90" s="7">
        <f t="shared" si="8"/>
        <v>-0.87403862290062762</v>
      </c>
    </row>
    <row r="91" spans="6:13" ht="18.75" customHeight="1">
      <c r="F91" s="1">
        <v>24108</v>
      </c>
      <c r="G91">
        <f t="shared" si="5"/>
        <v>1</v>
      </c>
      <c r="H91" s="7">
        <v>320.62</v>
      </c>
      <c r="I91" s="7">
        <f>_A*F91*F91+_B*F91+_C</f>
        <v>321.32302177028816</v>
      </c>
      <c r="J91" s="7">
        <f t="shared" si="6"/>
        <v>-0.70302177028816004</v>
      </c>
      <c r="K91" s="7" cm="1">
        <f t="array" ref="K91">INDEX(Sm,G91)</f>
        <v>-3.1273707705410173E-2</v>
      </c>
      <c r="L91" s="7">
        <f t="shared" si="7"/>
        <v>321.29174806258277</v>
      </c>
      <c r="M91" s="7">
        <f t="shared" si="8"/>
        <v>-0.67174806258276476</v>
      </c>
    </row>
    <row r="92" spans="6:13" ht="18.75" customHeight="1">
      <c r="F92" s="1">
        <v>24139</v>
      </c>
      <c r="G92">
        <f t="shared" si="5"/>
        <v>2</v>
      </c>
      <c r="H92" s="7">
        <v>321.60000000000002</v>
      </c>
      <c r="I92" s="7">
        <f>_A*F92*F92+_B*F92+_C</f>
        <v>321.40718185383713</v>
      </c>
      <c r="J92" s="7">
        <f t="shared" si="6"/>
        <v>0.19281814616289239</v>
      </c>
      <c r="K92" s="7" cm="1">
        <f t="array" ref="K92">INDEX(Sm,G92)</f>
        <v>0.60795807352328612</v>
      </c>
      <c r="L92" s="7">
        <f t="shared" si="7"/>
        <v>322.01513992736039</v>
      </c>
      <c r="M92" s="7">
        <f t="shared" si="8"/>
        <v>-0.41513992736037153</v>
      </c>
    </row>
    <row r="93" spans="6:13" ht="18.75" customHeight="1">
      <c r="F93" s="1">
        <v>24167</v>
      </c>
      <c r="G93">
        <f t="shared" si="5"/>
        <v>3</v>
      </c>
      <c r="H93" s="7">
        <v>322.39</v>
      </c>
      <c r="I93" s="7">
        <f>_A*F93*F93+_B*F93+_C</f>
        <v>321.48335260817151</v>
      </c>
      <c r="J93" s="7">
        <f t="shared" si="6"/>
        <v>0.90664739182847143</v>
      </c>
      <c r="K93" s="7" cm="1">
        <f t="array" ref="K93">INDEX(Sm,G93)</f>
        <v>1.368171928762181</v>
      </c>
      <c r="L93" s="7">
        <f t="shared" si="7"/>
        <v>322.85152453693371</v>
      </c>
      <c r="M93" s="7">
        <f t="shared" si="8"/>
        <v>-0.46152453693372308</v>
      </c>
    </row>
    <row r="94" spans="6:13" ht="18.75" customHeight="1">
      <c r="F94" s="1">
        <v>24198</v>
      </c>
      <c r="G94">
        <f t="shared" si="5"/>
        <v>4</v>
      </c>
      <c r="H94" s="7">
        <v>323.7</v>
      </c>
      <c r="I94" s="7">
        <f>_A*F94*F94+_B*F94+_C</f>
        <v>321.5678563377914</v>
      </c>
      <c r="J94" s="7">
        <f t="shared" si="6"/>
        <v>2.1321436622085912</v>
      </c>
      <c r="K94" s="7" cm="1">
        <f t="array" ref="K94">INDEX(Sm,G94)</f>
        <v>2.5295372401482399</v>
      </c>
      <c r="L94" s="7">
        <f t="shared" si="7"/>
        <v>324.09739357793961</v>
      </c>
      <c r="M94" s="7">
        <f t="shared" si="8"/>
        <v>-0.39739357793962427</v>
      </c>
    </row>
    <row r="95" spans="6:13" ht="18.75" customHeight="1">
      <c r="F95" s="1">
        <v>24228</v>
      </c>
      <c r="G95">
        <f t="shared" si="5"/>
        <v>5</v>
      </c>
      <c r="H95" s="7">
        <v>324.08</v>
      </c>
      <c r="I95" s="7">
        <f>_A*F95*F95+_B*F95+_C</f>
        <v>321.6498060576285</v>
      </c>
      <c r="J95" s="7">
        <f t="shared" si="6"/>
        <v>2.4301939423714884</v>
      </c>
      <c r="K95" s="7" cm="1">
        <f t="array" ref="K95">INDEX(Sm,G95)</f>
        <v>2.9925789844300432</v>
      </c>
      <c r="L95" s="7">
        <f t="shared" si="7"/>
        <v>324.64238504205855</v>
      </c>
      <c r="M95" s="7">
        <f t="shared" si="8"/>
        <v>-0.56238504205856543</v>
      </c>
    </row>
    <row r="96" spans="6:13" ht="18.75" customHeight="1">
      <c r="F96" s="1">
        <v>24259</v>
      </c>
      <c r="G96">
        <f t="shared" si="5"/>
        <v>6</v>
      </c>
      <c r="H96" s="7">
        <v>323.75</v>
      </c>
      <c r="I96" s="7">
        <f>_A*F96*F96+_B*F96+_C</f>
        <v>321.73466508233867</v>
      </c>
      <c r="J96" s="7">
        <f t="shared" si="6"/>
        <v>2.0153349176613347</v>
      </c>
      <c r="K96" s="7" cm="1">
        <f t="array" ref="K96">INDEX(Sm,G96)</f>
        <v>2.3204129706322356</v>
      </c>
      <c r="L96" s="7">
        <f t="shared" si="7"/>
        <v>324.05507805297088</v>
      </c>
      <c r="M96" s="7">
        <f t="shared" si="8"/>
        <v>-0.30507805297088453</v>
      </c>
    </row>
    <row r="97" spans="6:13" ht="18.75" customHeight="1">
      <c r="F97" s="1">
        <v>24289</v>
      </c>
      <c r="G97">
        <f t="shared" si="5"/>
        <v>7</v>
      </c>
      <c r="H97" s="7">
        <v>322.38</v>
      </c>
      <c r="I97" s="7">
        <f>_A*F97*F97+_B*F97+_C</f>
        <v>321.81695863613407</v>
      </c>
      <c r="J97" s="7">
        <f t="shared" si="6"/>
        <v>0.56304136386592063</v>
      </c>
      <c r="K97" s="7" cm="1">
        <f t="array" ref="K97">INDEX(Sm,G97)</f>
        <v>0.81833597443365613</v>
      </c>
      <c r="L97" s="7">
        <f t="shared" si="7"/>
        <v>322.63529461056771</v>
      </c>
      <c r="M97" s="7">
        <f t="shared" si="8"/>
        <v>-0.25529461056771652</v>
      </c>
    </row>
    <row r="98" spans="6:13" ht="18.75" customHeight="1">
      <c r="F98" s="1">
        <v>24320</v>
      </c>
      <c r="G98">
        <f t="shared" si="5"/>
        <v>8</v>
      </c>
      <c r="H98" s="7">
        <v>320.36</v>
      </c>
      <c r="I98" s="7">
        <f>_A*F98*F98+_B*F98+_C</f>
        <v>321.90217295593447</v>
      </c>
      <c r="J98" s="7">
        <f t="shared" si="6"/>
        <v>-1.5421729559344612</v>
      </c>
      <c r="K98" s="7" cm="1">
        <f t="array" ref="K98">INDEX(Sm,G98)</f>
        <v>-1.2372810548909516</v>
      </c>
      <c r="L98" s="7">
        <f t="shared" si="7"/>
        <v>320.66489190104352</v>
      </c>
      <c r="M98" s="7">
        <f t="shared" si="8"/>
        <v>-0.30489190104350428</v>
      </c>
    </row>
    <row r="99" spans="6:13" ht="18.75" customHeight="1">
      <c r="F99" s="1">
        <v>24351</v>
      </c>
      <c r="G99">
        <f t="shared" si="5"/>
        <v>9</v>
      </c>
      <c r="H99" s="7">
        <v>318.64</v>
      </c>
      <c r="I99" s="7">
        <f>_A*F99*F99+_B*F99+_C</f>
        <v>321.98756783553483</v>
      </c>
      <c r="J99" s="7">
        <f t="shared" si="6"/>
        <v>-3.3475678355348464</v>
      </c>
      <c r="K99" s="7" cm="1">
        <f t="array" ref="K99">INDEX(Sm,G99)</f>
        <v>-3.0811738821107677</v>
      </c>
      <c r="L99" s="7">
        <f t="shared" si="7"/>
        <v>318.90639395342407</v>
      </c>
      <c r="M99" s="7">
        <f t="shared" si="8"/>
        <v>-0.26639395342408534</v>
      </c>
    </row>
    <row r="100" spans="6:13" ht="18.75" customHeight="1">
      <c r="F100" s="1">
        <v>24381</v>
      </c>
      <c r="G100">
        <f t="shared" si="5"/>
        <v>10</v>
      </c>
      <c r="H100" s="7">
        <v>318.10000000000002</v>
      </c>
      <c r="I100" s="7">
        <f>_A*F100*F100+_B*F100+_C</f>
        <v>322.07037995857883</v>
      </c>
      <c r="J100" s="7">
        <f t="shared" si="6"/>
        <v>-3.9703799585788033</v>
      </c>
      <c r="K100" s="7" cm="1">
        <f t="array" ref="K100">INDEX(Sm,G100)</f>
        <v>-3.2770720300056544</v>
      </c>
      <c r="L100" s="7">
        <f t="shared" si="7"/>
        <v>318.7933079285732</v>
      </c>
      <c r="M100" s="7">
        <f t="shared" si="8"/>
        <v>-0.69330792857317647</v>
      </c>
    </row>
    <row r="101" spans="6:13" ht="18.75" customHeight="1">
      <c r="F101" s="1">
        <v>24412</v>
      </c>
      <c r="G101">
        <f t="shared" si="5"/>
        <v>11</v>
      </c>
      <c r="H101" s="7">
        <v>319.77999999999997</v>
      </c>
      <c r="I101" s="7">
        <f>_A*F101*F101+_B*F101+_C</f>
        <v>322.15613013326941</v>
      </c>
      <c r="J101" s="7">
        <f t="shared" si="6"/>
        <v>-2.3761301332694416</v>
      </c>
      <c r="K101" s="7" cm="1">
        <f t="array" ref="K101">INDEX(Sm,G101)</f>
        <v>-2.0734932780028581</v>
      </c>
      <c r="L101" s="7">
        <f t="shared" si="7"/>
        <v>320.08263685526657</v>
      </c>
      <c r="M101" s="7">
        <f t="shared" si="8"/>
        <v>-0.30263685526659856</v>
      </c>
    </row>
    <row r="102" spans="6:13" ht="18.75" customHeight="1">
      <c r="F102" s="1">
        <v>24442</v>
      </c>
      <c r="G102">
        <f t="shared" si="5"/>
        <v>12</v>
      </c>
      <c r="H102" s="7">
        <v>321.02999999999997</v>
      </c>
      <c r="I102" s="7">
        <f>_A*F102*F102+_B*F102+_C</f>
        <v>322.23928609027172</v>
      </c>
      <c r="J102" s="7">
        <f t="shared" si="6"/>
        <v>-1.2092860902717462</v>
      </c>
      <c r="K102" s="7" cm="1">
        <f t="array" ref="K102">INDEX(Sm,G102)</f>
        <v>-0.94500362363844403</v>
      </c>
      <c r="L102" s="7">
        <f t="shared" si="7"/>
        <v>321.29428246663326</v>
      </c>
      <c r="M102" s="7">
        <f t="shared" si="8"/>
        <v>-0.26428246663328991</v>
      </c>
    </row>
    <row r="103" spans="6:13" ht="18.75" customHeight="1">
      <c r="F103" s="1">
        <v>24473</v>
      </c>
      <c r="G103">
        <f t="shared" si="5"/>
        <v>1</v>
      </c>
      <c r="H103" s="7">
        <v>322.33</v>
      </c>
      <c r="I103" s="7">
        <f>_A*F103*F103+_B*F103+_C</f>
        <v>322.32539156005259</v>
      </c>
      <c r="J103" s="7">
        <f t="shared" si="6"/>
        <v>4.6084399473897975E-3</v>
      </c>
      <c r="K103" s="7" cm="1">
        <f t="array" ref="K103">INDEX(Sm,G103)</f>
        <v>-3.1273707705410173E-2</v>
      </c>
      <c r="L103" s="7">
        <f t="shared" si="7"/>
        <v>322.2941178523472</v>
      </c>
      <c r="M103" s="7">
        <f t="shared" si="8"/>
        <v>3.5882147652785079E-2</v>
      </c>
    </row>
    <row r="104" spans="6:13" ht="18.75" customHeight="1">
      <c r="F104" s="1">
        <v>24504</v>
      </c>
      <c r="G104">
        <f t="shared" si="5"/>
        <v>2</v>
      </c>
      <c r="H104" s="7">
        <v>322.5</v>
      </c>
      <c r="I104" s="7">
        <f>_A*F104*F104+_B*F104+_C</f>
        <v>322.41167758963337</v>
      </c>
      <c r="J104" s="7">
        <f t="shared" si="6"/>
        <v>8.8322410366629356E-2</v>
      </c>
      <c r="K104" s="7" cm="1">
        <f t="array" ref="K104">INDEX(Sm,G104)</f>
        <v>0.60795807352328612</v>
      </c>
      <c r="L104" s="7">
        <f t="shared" si="7"/>
        <v>323.01963566315663</v>
      </c>
      <c r="M104" s="7">
        <f t="shared" si="8"/>
        <v>-0.51963566315663456</v>
      </c>
    </row>
    <row r="105" spans="6:13" ht="18.75" customHeight="1">
      <c r="F105" s="1">
        <v>24532</v>
      </c>
      <c r="G105">
        <f t="shared" si="5"/>
        <v>3</v>
      </c>
      <c r="H105" s="7">
        <v>323.04000000000002</v>
      </c>
      <c r="I105" s="7">
        <f>_A*F105*F105+_B*F105+_C</f>
        <v>322.48976855328681</v>
      </c>
      <c r="J105" s="7">
        <f t="shared" si="6"/>
        <v>0.55023144671321234</v>
      </c>
      <c r="K105" s="7" cm="1">
        <f t="array" ref="K105">INDEX(Sm,G105)</f>
        <v>1.368171928762181</v>
      </c>
      <c r="L105" s="7">
        <f t="shared" si="7"/>
        <v>323.857940482049</v>
      </c>
      <c r="M105" s="7">
        <f t="shared" si="8"/>
        <v>-0.81794048204898218</v>
      </c>
    </row>
    <row r="106" spans="6:13" ht="18.75" customHeight="1">
      <c r="F106" s="1">
        <v>24563</v>
      </c>
      <c r="G106">
        <f t="shared" si="5"/>
        <v>4</v>
      </c>
      <c r="H106" s="7">
        <v>324.42</v>
      </c>
      <c r="I106" s="7">
        <f>_A*F106*F106+_B*F106+_C</f>
        <v>322.5763982289385</v>
      </c>
      <c r="J106" s="7">
        <f t="shared" si="6"/>
        <v>1.8436017710615147</v>
      </c>
      <c r="K106" s="7" cm="1">
        <f t="array" ref="K106">INDEX(Sm,G106)</f>
        <v>2.5295372401482399</v>
      </c>
      <c r="L106" s="7">
        <f t="shared" si="7"/>
        <v>325.10593546908672</v>
      </c>
      <c r="M106" s="7">
        <f t="shared" si="8"/>
        <v>-0.68593546908670078</v>
      </c>
    </row>
    <row r="107" spans="6:13" ht="18.75" customHeight="1">
      <c r="F107" s="1">
        <v>24593</v>
      </c>
      <c r="G107">
        <f t="shared" si="5"/>
        <v>5</v>
      </c>
      <c r="H107" s="7">
        <v>325</v>
      </c>
      <c r="I107" s="7">
        <f>_A*F107*F107+_B*F107+_C</f>
        <v>322.66040531590318</v>
      </c>
      <c r="J107" s="7">
        <f t="shared" si="6"/>
        <v>2.3395946840968236</v>
      </c>
      <c r="K107" s="7" cm="1">
        <f t="array" ref="K107">INDEX(Sm,G107)</f>
        <v>2.9925789844300432</v>
      </c>
      <c r="L107" s="7">
        <f t="shared" si="7"/>
        <v>325.65298430033323</v>
      </c>
      <c r="M107" s="7">
        <f t="shared" si="8"/>
        <v>-0.65298430033323029</v>
      </c>
    </row>
    <row r="108" spans="6:13" ht="18.75" customHeight="1">
      <c r="F108" s="1">
        <v>24624</v>
      </c>
      <c r="G108">
        <f t="shared" si="5"/>
        <v>6</v>
      </c>
      <c r="H108" s="7">
        <v>324.08999999999997</v>
      </c>
      <c r="I108" s="7">
        <f>_A*F108*F108+_B*F108+_C</f>
        <v>322.7473902866451</v>
      </c>
      <c r="J108" s="7">
        <f t="shared" si="6"/>
        <v>1.3426097133548751</v>
      </c>
      <c r="K108" s="7" cm="1">
        <f t="array" ref="K108">INDEX(Sm,G108)</f>
        <v>2.3204129706322356</v>
      </c>
      <c r="L108" s="7">
        <f t="shared" si="7"/>
        <v>325.06780325727732</v>
      </c>
      <c r="M108" s="7">
        <f t="shared" si="8"/>
        <v>-0.97780325727734407</v>
      </c>
    </row>
    <row r="109" spans="6:13" ht="18.75" customHeight="1">
      <c r="F109" s="1">
        <v>24654</v>
      </c>
      <c r="G109">
        <f t="shared" si="5"/>
        <v>7</v>
      </c>
      <c r="H109" s="7">
        <v>322.54000000000002</v>
      </c>
      <c r="I109" s="7">
        <f>_A*F109*F109+_B*F109+_C</f>
        <v>322.83174120756809</v>
      </c>
      <c r="J109" s="7">
        <f t="shared" si="6"/>
        <v>-0.29174120756806587</v>
      </c>
      <c r="K109" s="7" cm="1">
        <f t="array" ref="K109">INDEX(Sm,G109)</f>
        <v>0.81833597443365613</v>
      </c>
      <c r="L109" s="7">
        <f t="shared" si="7"/>
        <v>323.65007718200172</v>
      </c>
      <c r="M109" s="7">
        <f t="shared" si="8"/>
        <v>-1.110077182001703</v>
      </c>
    </row>
    <row r="110" spans="6:13" ht="18.75" customHeight="1">
      <c r="F110" s="1">
        <v>24685</v>
      </c>
      <c r="G110">
        <f t="shared" si="5"/>
        <v>8</v>
      </c>
      <c r="H110" s="7">
        <v>320.92</v>
      </c>
      <c r="I110" s="7">
        <f>_A*F110*F110+_B*F110+_C</f>
        <v>322.9190814734003</v>
      </c>
      <c r="J110" s="7">
        <f t="shared" si="6"/>
        <v>-1.9990814734002811</v>
      </c>
      <c r="K110" s="7" cm="1">
        <f t="array" ref="K110">INDEX(Sm,G110)</f>
        <v>-1.2372810548909516</v>
      </c>
      <c r="L110" s="7">
        <f t="shared" si="7"/>
        <v>321.68180041850934</v>
      </c>
      <c r="M110" s="7">
        <f t="shared" si="8"/>
        <v>-0.76180041850932412</v>
      </c>
    </row>
    <row r="111" spans="6:13" ht="18.75" customHeight="1">
      <c r="F111" s="1">
        <v>24716</v>
      </c>
      <c r="G111">
        <f t="shared" si="5"/>
        <v>9</v>
      </c>
      <c r="H111" s="7">
        <v>319.25</v>
      </c>
      <c r="I111" s="7">
        <f>_A*F111*F111+_B*F111+_C</f>
        <v>323.00660229903247</v>
      </c>
      <c r="J111" s="7">
        <f t="shared" si="6"/>
        <v>-3.7566022990324655</v>
      </c>
      <c r="K111" s="7" cm="1">
        <f t="array" ref="K111">INDEX(Sm,G111)</f>
        <v>-3.0811738821107677</v>
      </c>
      <c r="L111" s="7">
        <f t="shared" si="7"/>
        <v>319.9254284169217</v>
      </c>
      <c r="M111" s="7">
        <f t="shared" si="8"/>
        <v>-0.67542841692170441</v>
      </c>
    </row>
    <row r="112" spans="6:13" ht="18.75" customHeight="1">
      <c r="F112" s="1">
        <v>24746</v>
      </c>
      <c r="G112">
        <f t="shared" si="5"/>
        <v>10</v>
      </c>
      <c r="H112" s="7">
        <v>319.39</v>
      </c>
      <c r="I112" s="7">
        <f>_A*F112*F112+_B*F112+_C</f>
        <v>323.09147178920404</v>
      </c>
      <c r="J112" s="7">
        <f t="shared" si="6"/>
        <v>-3.7014717892040494</v>
      </c>
      <c r="K112" s="7" cm="1">
        <f t="array" ref="K112">INDEX(Sm,G112)</f>
        <v>-3.2770720300056544</v>
      </c>
      <c r="L112" s="7">
        <f t="shared" si="7"/>
        <v>319.81439975919841</v>
      </c>
      <c r="M112" s="7">
        <f t="shared" si="8"/>
        <v>-0.42439975919842254</v>
      </c>
    </row>
    <row r="113" spans="6:13" ht="18.75" customHeight="1">
      <c r="F113" s="1">
        <v>24777</v>
      </c>
      <c r="G113">
        <f t="shared" si="5"/>
        <v>11</v>
      </c>
      <c r="H113" s="7">
        <v>320.73</v>
      </c>
      <c r="I113" s="7">
        <f>_A*F113*F113+_B*F113+_C</f>
        <v>323.17934790992643</v>
      </c>
      <c r="J113" s="7">
        <f t="shared" si="6"/>
        <v>-2.4493479099264164</v>
      </c>
      <c r="K113" s="7" cm="1">
        <f t="array" ref="K113">INDEX(Sm,G113)</f>
        <v>-2.0734932780028581</v>
      </c>
      <c r="L113" s="7">
        <f t="shared" si="7"/>
        <v>321.10585463192359</v>
      </c>
      <c r="M113" s="7">
        <f t="shared" si="8"/>
        <v>-0.37585463192357338</v>
      </c>
    </row>
    <row r="114" spans="6:13" ht="18.75" customHeight="1">
      <c r="F114" s="1">
        <v>24807</v>
      </c>
      <c r="G114">
        <f t="shared" si="5"/>
        <v>12</v>
      </c>
      <c r="H114" s="7">
        <v>321.95999999999998</v>
      </c>
      <c r="I114" s="7">
        <f>_A*F114*F114+_B*F114+_C</f>
        <v>323.26456123405632</v>
      </c>
      <c r="J114" s="7">
        <f t="shared" si="6"/>
        <v>-1.3045612340563366</v>
      </c>
      <c r="K114" s="7" cm="1">
        <f t="array" ref="K114">INDEX(Sm,G114)</f>
        <v>-0.94500362363844403</v>
      </c>
      <c r="L114" s="7">
        <f t="shared" si="7"/>
        <v>322.31955761041786</v>
      </c>
      <c r="M114" s="7">
        <f t="shared" si="8"/>
        <v>-0.35955761041788037</v>
      </c>
    </row>
    <row r="115" spans="6:13" ht="18.75" customHeight="1">
      <c r="F115" s="1">
        <v>24838</v>
      </c>
      <c r="G115">
        <f t="shared" si="5"/>
        <v>1</v>
      </c>
      <c r="H115" s="7">
        <v>322.57</v>
      </c>
      <c r="I115" s="7">
        <f>_A*F115*F115+_B*F115+_C</f>
        <v>323.352792649869</v>
      </c>
      <c r="J115" s="7">
        <f t="shared" si="6"/>
        <v>-0.78279264986900898</v>
      </c>
      <c r="K115" s="7" cm="1">
        <f t="array" ref="K115">INDEX(Sm,G115)</f>
        <v>-3.1273707705410173E-2</v>
      </c>
      <c r="L115" s="7">
        <f t="shared" si="7"/>
        <v>323.32151894216361</v>
      </c>
      <c r="M115" s="7">
        <f t="shared" si="8"/>
        <v>-0.7515189421636137</v>
      </c>
    </row>
    <row r="116" spans="6:13" ht="18.75" customHeight="1">
      <c r="F116" s="1">
        <v>24869</v>
      </c>
      <c r="G116">
        <f t="shared" si="5"/>
        <v>2</v>
      </c>
      <c r="H116" s="7">
        <v>323.14999999999998</v>
      </c>
      <c r="I116" s="7">
        <f>_A*F116*F116+_B*F116+_C</f>
        <v>323.44120462548159</v>
      </c>
      <c r="J116" s="7">
        <f t="shared" si="6"/>
        <v>-0.29120462548161186</v>
      </c>
      <c r="K116" s="7" cm="1">
        <f t="array" ref="K116">INDEX(Sm,G116)</f>
        <v>0.60795807352328612</v>
      </c>
      <c r="L116" s="7">
        <f t="shared" si="7"/>
        <v>324.04916269900485</v>
      </c>
      <c r="M116" s="7">
        <f t="shared" si="8"/>
        <v>-0.89916269900487578</v>
      </c>
    </row>
    <row r="117" spans="6:13" ht="18.75" customHeight="1">
      <c r="F117" s="1">
        <v>24898</v>
      </c>
      <c r="G117">
        <f t="shared" si="5"/>
        <v>3</v>
      </c>
      <c r="H117" s="7">
        <v>323.89</v>
      </c>
      <c r="I117" s="7">
        <f>_A*F117*F117+_B*F117+_C</f>
        <v>323.52407606471337</v>
      </c>
      <c r="J117" s="7">
        <f t="shared" si="6"/>
        <v>0.3659239352866166</v>
      </c>
      <c r="K117" s="7" cm="1">
        <f t="array" ref="K117">INDEX(Sm,G117)</f>
        <v>1.368171928762181</v>
      </c>
      <c r="L117" s="7">
        <f t="shared" si="7"/>
        <v>324.89224799347556</v>
      </c>
      <c r="M117" s="7">
        <f t="shared" si="8"/>
        <v>-1.0022479934755779</v>
      </c>
    </row>
    <row r="118" spans="6:13" ht="18.75" customHeight="1">
      <c r="F118" s="1">
        <v>24929</v>
      </c>
      <c r="G118">
        <f t="shared" si="5"/>
        <v>4</v>
      </c>
      <c r="H118" s="7">
        <v>325.02</v>
      </c>
      <c r="I118" s="7">
        <f>_A*F118*F118+_B*F118+_C</f>
        <v>323.61283751090656</v>
      </c>
      <c r="J118" s="7">
        <f t="shared" si="6"/>
        <v>1.4071624890934231</v>
      </c>
      <c r="K118" s="7" cm="1">
        <f t="array" ref="K118">INDEX(Sm,G118)</f>
        <v>2.5295372401482399</v>
      </c>
      <c r="L118" s="7">
        <f t="shared" si="7"/>
        <v>326.14237475105477</v>
      </c>
      <c r="M118" s="7">
        <f t="shared" si="8"/>
        <v>-1.1223747510547923</v>
      </c>
    </row>
    <row r="119" spans="6:13" ht="18.75" customHeight="1">
      <c r="F119" s="1">
        <v>24959</v>
      </c>
      <c r="G119">
        <f t="shared" si="5"/>
        <v>5</v>
      </c>
      <c r="H119" s="7">
        <v>325.57</v>
      </c>
      <c r="I119" s="7">
        <f>_A*F119*F119+_B*F119+_C</f>
        <v>323.69890760162104</v>
      </c>
      <c r="J119" s="7">
        <f t="shared" si="6"/>
        <v>1.8710923983789485</v>
      </c>
      <c r="K119" s="7" cm="1">
        <f t="array" ref="K119">INDEX(Sm,G119)</f>
        <v>2.9925789844300432</v>
      </c>
      <c r="L119" s="7">
        <f t="shared" si="7"/>
        <v>326.6914865860511</v>
      </c>
      <c r="M119" s="7">
        <f t="shared" si="8"/>
        <v>-1.1214865860511054</v>
      </c>
    </row>
    <row r="120" spans="6:13" ht="18.75" customHeight="1">
      <c r="F120" s="1">
        <v>24990</v>
      </c>
      <c r="G120">
        <f t="shared" si="5"/>
        <v>6</v>
      </c>
      <c r="H120" s="7">
        <v>325.36</v>
      </c>
      <c r="I120" s="7">
        <f>_A*F120*F120+_B*F120+_C</f>
        <v>323.78802434290446</v>
      </c>
      <c r="J120" s="7">
        <f t="shared" si="6"/>
        <v>1.5719756570955496</v>
      </c>
      <c r="K120" s="7" cm="1">
        <f t="array" ref="K120">INDEX(Sm,G120)</f>
        <v>2.3204129706322356</v>
      </c>
      <c r="L120" s="7">
        <f t="shared" si="7"/>
        <v>326.10843731353668</v>
      </c>
      <c r="M120" s="7">
        <f t="shared" si="8"/>
        <v>-0.74843731353666954</v>
      </c>
    </row>
    <row r="121" spans="6:13" ht="18.75" customHeight="1">
      <c r="F121" s="1">
        <v>25020</v>
      </c>
      <c r="G121">
        <f t="shared" si="5"/>
        <v>7</v>
      </c>
      <c r="H121" s="7">
        <v>324.14</v>
      </c>
      <c r="I121" s="7">
        <f>_A*F121*F121+_B*F121+_C</f>
        <v>323.87443826757732</v>
      </c>
      <c r="J121" s="7">
        <f t="shared" si="6"/>
        <v>0.26556173242266823</v>
      </c>
      <c r="K121" s="7" cm="1">
        <f t="array" ref="K121">INDEX(Sm,G121)</f>
        <v>0.81833597443365613</v>
      </c>
      <c r="L121" s="7">
        <f t="shared" si="7"/>
        <v>324.69277424201096</v>
      </c>
      <c r="M121" s="7">
        <f t="shared" si="8"/>
        <v>-0.55277424201096892</v>
      </c>
    </row>
    <row r="122" spans="6:13" ht="18.75" customHeight="1">
      <c r="F122" s="1">
        <v>25051</v>
      </c>
      <c r="G122">
        <f t="shared" si="5"/>
        <v>8</v>
      </c>
      <c r="H122" s="7">
        <v>322.11</v>
      </c>
      <c r="I122" s="7">
        <f>_A*F122*F122+_B*F122+_C</f>
        <v>323.96391030395097</v>
      </c>
      <c r="J122" s="7">
        <f t="shared" si="6"/>
        <v>-1.8539103039509541</v>
      </c>
      <c r="K122" s="7" cm="1">
        <f t="array" ref="K122">INDEX(Sm,G122)</f>
        <v>-1.2372810548909516</v>
      </c>
      <c r="L122" s="7">
        <f t="shared" si="7"/>
        <v>322.72662924906001</v>
      </c>
      <c r="M122" s="7">
        <f t="shared" si="8"/>
        <v>-0.61662924905999716</v>
      </c>
    </row>
    <row r="123" spans="6:13" ht="18.75" customHeight="1">
      <c r="F123" s="1">
        <v>25082</v>
      </c>
      <c r="G123">
        <f t="shared" si="5"/>
        <v>9</v>
      </c>
      <c r="H123" s="7">
        <v>320.33</v>
      </c>
      <c r="I123" s="7">
        <f>_A*F123*F123+_B*F123+_C</f>
        <v>324.05356290012463</v>
      </c>
      <c r="J123" s="7">
        <f t="shared" si="6"/>
        <v>-3.723562900124648</v>
      </c>
      <c r="K123" s="7" cm="1">
        <f t="array" ref="K123">INDEX(Sm,G123)</f>
        <v>-3.0811738821107677</v>
      </c>
      <c r="L123" s="7">
        <f t="shared" si="7"/>
        <v>320.97238901801387</v>
      </c>
      <c r="M123" s="7">
        <f t="shared" si="8"/>
        <v>-0.64238901801388693</v>
      </c>
    </row>
    <row r="124" spans="6:13" ht="18.75" customHeight="1">
      <c r="F124" s="1">
        <v>25112</v>
      </c>
      <c r="G124">
        <f t="shared" si="5"/>
        <v>10</v>
      </c>
      <c r="H124" s="7">
        <v>320.25</v>
      </c>
      <c r="I124" s="7">
        <f>_A*F124*F124+_B*F124+_C</f>
        <v>324.14049539404607</v>
      </c>
      <c r="J124" s="7">
        <f t="shared" si="6"/>
        <v>-3.89049539404607</v>
      </c>
      <c r="K124" s="7" cm="1">
        <f t="array" ref="K124">INDEX(Sm,G124)</f>
        <v>-3.2770720300056544</v>
      </c>
      <c r="L124" s="7">
        <f t="shared" si="7"/>
        <v>320.86342336404044</v>
      </c>
      <c r="M124" s="7">
        <f t="shared" si="8"/>
        <v>-0.61342336404044318</v>
      </c>
    </row>
    <row r="125" spans="6:13" ht="18.75" customHeight="1">
      <c r="F125" s="1">
        <v>25143</v>
      </c>
      <c r="G125">
        <f t="shared" si="5"/>
        <v>11</v>
      </c>
      <c r="H125" s="7">
        <v>321.32</v>
      </c>
      <c r="I125" s="7">
        <f>_A*F125*F125+_B*F125+_C</f>
        <v>324.23050328530996</v>
      </c>
      <c r="J125" s="7">
        <f t="shared" si="6"/>
        <v>-2.9105032853099715</v>
      </c>
      <c r="K125" s="7" cm="1">
        <f t="array" ref="K125">INDEX(Sm,G125)</f>
        <v>-2.0734932780028581</v>
      </c>
      <c r="L125" s="7">
        <f t="shared" si="7"/>
        <v>322.15701000730712</v>
      </c>
      <c r="M125" s="7">
        <f t="shared" si="8"/>
        <v>-0.83701000730712849</v>
      </c>
    </row>
    <row r="126" spans="6:13" ht="18.75" customHeight="1">
      <c r="F126" s="1">
        <v>25173</v>
      </c>
      <c r="G126">
        <f t="shared" si="5"/>
        <v>12</v>
      </c>
      <c r="H126" s="7">
        <v>322.89</v>
      </c>
      <c r="I126" s="7">
        <f>_A*F126*F126+_B*F126+_C</f>
        <v>324.31777961318966</v>
      </c>
      <c r="J126" s="7">
        <f t="shared" si="6"/>
        <v>-1.4277796131896707</v>
      </c>
      <c r="K126" s="7" cm="1">
        <f t="array" ref="K126">INDEX(Sm,G126)</f>
        <v>-0.94500362363844403</v>
      </c>
      <c r="L126" s="7">
        <f t="shared" si="7"/>
        <v>323.3727759895512</v>
      </c>
      <c r="M126" s="7">
        <f t="shared" si="8"/>
        <v>-0.48277598955121448</v>
      </c>
    </row>
    <row r="127" spans="6:13" ht="18.75" customHeight="1">
      <c r="F127" s="1">
        <v>25204</v>
      </c>
      <c r="G127">
        <f t="shared" si="5"/>
        <v>1</v>
      </c>
      <c r="H127" s="7">
        <v>324</v>
      </c>
      <c r="I127" s="7">
        <f>_A*F127*F127+_B*F127+_C</f>
        <v>324.40814279954378</v>
      </c>
      <c r="J127" s="7">
        <f t="shared" si="6"/>
        <v>-0.40814279954378208</v>
      </c>
      <c r="K127" s="7" cm="1">
        <f t="array" ref="K127">INDEX(Sm,G127)</f>
        <v>-3.1273707705410173E-2</v>
      </c>
      <c r="L127" s="7">
        <f t="shared" si="7"/>
        <v>324.37686909183839</v>
      </c>
      <c r="M127" s="7">
        <f t="shared" si="8"/>
        <v>-0.37686909183838679</v>
      </c>
    </row>
    <row r="128" spans="6:13" ht="18.75" customHeight="1">
      <c r="F128" s="1">
        <v>25235</v>
      </c>
      <c r="G128">
        <f t="shared" si="5"/>
        <v>2</v>
      </c>
      <c r="H128" s="7">
        <v>324.41000000000003</v>
      </c>
      <c r="I128" s="7">
        <f>_A*F128*F128+_B*F128+_C</f>
        <v>324.49868654569792</v>
      </c>
      <c r="J128" s="7">
        <f t="shared" si="6"/>
        <v>-8.868654569789669E-2</v>
      </c>
      <c r="K128" s="7" cm="1">
        <f t="array" ref="K128">INDEX(Sm,G128)</f>
        <v>0.60795807352328612</v>
      </c>
      <c r="L128" s="7">
        <f t="shared" si="7"/>
        <v>325.10664461922119</v>
      </c>
      <c r="M128" s="7">
        <f t="shared" si="8"/>
        <v>-0.69664461922116061</v>
      </c>
    </row>
    <row r="129" spans="6:13" ht="18.75" customHeight="1">
      <c r="F129" s="1">
        <v>25263</v>
      </c>
      <c r="G129">
        <f t="shared" si="5"/>
        <v>3</v>
      </c>
      <c r="H129" s="7">
        <v>325.63</v>
      </c>
      <c r="I129" s="7">
        <f>_A*F129*F129+_B*F129+_C</f>
        <v>324.58062318883685</v>
      </c>
      <c r="J129" s="7">
        <f t="shared" si="6"/>
        <v>1.0493768111631425</v>
      </c>
      <c r="K129" s="7" cm="1">
        <f t="array" ref="K129">INDEX(Sm,G129)</f>
        <v>1.368171928762181</v>
      </c>
      <c r="L129" s="7">
        <f t="shared" si="7"/>
        <v>325.94879511759905</v>
      </c>
      <c r="M129" s="7">
        <f t="shared" si="8"/>
        <v>-0.31879511759905199</v>
      </c>
    </row>
    <row r="130" spans="6:13" ht="18.75" customHeight="1">
      <c r="F130" s="1">
        <v>25294</v>
      </c>
      <c r="G130">
        <f t="shared" si="5"/>
        <v>4</v>
      </c>
      <c r="H130" s="7">
        <v>326.66000000000003</v>
      </c>
      <c r="I130" s="7">
        <f>_A*F130*F130+_B*F130+_C</f>
        <v>324.67151058106185</v>
      </c>
      <c r="J130" s="7">
        <f t="shared" si="6"/>
        <v>1.9884894189381725</v>
      </c>
      <c r="K130" s="7" cm="1">
        <f t="array" ref="K130">INDEX(Sm,G130)</f>
        <v>2.5295372401482399</v>
      </c>
      <c r="L130" s="7">
        <f t="shared" si="7"/>
        <v>327.20104782121007</v>
      </c>
      <c r="M130" s="7">
        <f t="shared" si="8"/>
        <v>-0.54104782121004291</v>
      </c>
    </row>
    <row r="131" spans="6:13" ht="18.75" customHeight="1">
      <c r="F131" s="1">
        <v>25324</v>
      </c>
      <c r="G131">
        <f t="shared" ref="G131:G194" si="9">MONTH(F131)</f>
        <v>5</v>
      </c>
      <c r="H131" s="7">
        <v>327.38</v>
      </c>
      <c r="I131" s="7">
        <f>_A*F131*F131+_B*F131+_C</f>
        <v>324.75963803890392</v>
      </c>
      <c r="J131" s="7">
        <f t="shared" ref="J131:J194" si="10">H131-I131</f>
        <v>2.62036196109608</v>
      </c>
      <c r="K131" s="7" cm="1">
        <f t="array" ref="K131">INDEX(Sm,G131)</f>
        <v>2.9925789844300432</v>
      </c>
      <c r="L131" s="7">
        <f t="shared" ref="L131:L194" si="11">I131+K131</f>
        <v>327.75221702333397</v>
      </c>
      <c r="M131" s="7">
        <f t="shared" ref="M131:M194" si="12">H131-L131</f>
        <v>-0.37221702333397388</v>
      </c>
    </row>
    <row r="132" spans="6:13" ht="18.75" customHeight="1">
      <c r="F132" s="1">
        <v>25355</v>
      </c>
      <c r="G132">
        <f t="shared" si="9"/>
        <v>6</v>
      </c>
      <c r="H132" s="7">
        <v>326.70999999999998</v>
      </c>
      <c r="I132" s="7">
        <f>_A*F132*F132+_B*F132+_C</f>
        <v>324.8508807262192</v>
      </c>
      <c r="J132" s="7">
        <f t="shared" si="10"/>
        <v>1.8591192737807773</v>
      </c>
      <c r="K132" s="7" cm="1">
        <f t="array" ref="K132">INDEX(Sm,G132)</f>
        <v>2.3204129706322356</v>
      </c>
      <c r="L132" s="7">
        <f t="shared" si="11"/>
        <v>327.17129369685142</v>
      </c>
      <c r="M132" s="7">
        <f t="shared" si="12"/>
        <v>-0.46129369685144184</v>
      </c>
    </row>
    <row r="133" spans="6:13" ht="18.75" customHeight="1">
      <c r="F133" s="1">
        <v>25385</v>
      </c>
      <c r="G133">
        <f t="shared" si="9"/>
        <v>7</v>
      </c>
      <c r="H133" s="7">
        <v>325.88</v>
      </c>
      <c r="I133" s="7">
        <f>_A*F133*F133+_B*F133+_C</f>
        <v>324.93935201801958</v>
      </c>
      <c r="J133" s="7">
        <f t="shared" si="10"/>
        <v>0.94064798198041899</v>
      </c>
      <c r="K133" s="7" cm="1">
        <f t="array" ref="K133">INDEX(Sm,G133)</f>
        <v>0.81833597443365613</v>
      </c>
      <c r="L133" s="7">
        <f t="shared" si="11"/>
        <v>325.75768799245321</v>
      </c>
      <c r="M133" s="7">
        <f t="shared" si="12"/>
        <v>0.12231200754678184</v>
      </c>
    </row>
    <row r="134" spans="6:13" ht="18.75" customHeight="1">
      <c r="F134" s="1">
        <v>25416</v>
      </c>
      <c r="G134">
        <f t="shared" si="9"/>
        <v>8</v>
      </c>
      <c r="H134" s="7">
        <v>323.66000000000003</v>
      </c>
      <c r="I134" s="7">
        <f>_A*F134*F134+_B*F134+_C</f>
        <v>325.03095000042504</v>
      </c>
      <c r="J134" s="7">
        <f t="shared" si="10"/>
        <v>-1.3709500004250117</v>
      </c>
      <c r="K134" s="7" cm="1">
        <f t="array" ref="K134">INDEX(Sm,G134)</f>
        <v>-1.2372810548909516</v>
      </c>
      <c r="L134" s="7">
        <f t="shared" si="11"/>
        <v>323.79366894553408</v>
      </c>
      <c r="M134" s="7">
        <f t="shared" si="12"/>
        <v>-0.13366894553405473</v>
      </c>
    </row>
    <row r="135" spans="6:13" ht="18.75" customHeight="1">
      <c r="F135" s="1">
        <v>25447</v>
      </c>
      <c r="G135">
        <f t="shared" si="9"/>
        <v>9</v>
      </c>
      <c r="H135" s="7">
        <v>322.38</v>
      </c>
      <c r="I135" s="7">
        <f>_A*F135*F135+_B*F135+_C</f>
        <v>325.12272854263051</v>
      </c>
      <c r="J135" s="7">
        <f t="shared" si="10"/>
        <v>-2.7427285426305161</v>
      </c>
      <c r="K135" s="7" cm="1">
        <f t="array" ref="K135">INDEX(Sm,G135)</f>
        <v>-3.0811738821107677</v>
      </c>
      <c r="L135" s="7">
        <f t="shared" si="11"/>
        <v>322.04155466051975</v>
      </c>
      <c r="M135" s="7">
        <f t="shared" si="12"/>
        <v>0.33844533948024491</v>
      </c>
    </row>
    <row r="136" spans="6:13" ht="18.75" customHeight="1">
      <c r="F136" s="1">
        <v>25477</v>
      </c>
      <c r="G136">
        <f t="shared" si="9"/>
        <v>10</v>
      </c>
      <c r="H136" s="7">
        <v>321.77999999999997</v>
      </c>
      <c r="I136" s="7">
        <f>_A*F136*F136+_B*F136+_C</f>
        <v>325.21171840367947</v>
      </c>
      <c r="J136" s="7">
        <f t="shared" si="10"/>
        <v>-3.431718403679497</v>
      </c>
      <c r="K136" s="7" cm="1">
        <f t="array" ref="K136">INDEX(Sm,G136)</f>
        <v>-3.2770720300056544</v>
      </c>
      <c r="L136" s="7">
        <f t="shared" si="11"/>
        <v>321.93464637367384</v>
      </c>
      <c r="M136" s="7">
        <f t="shared" si="12"/>
        <v>-0.15464637367387013</v>
      </c>
    </row>
    <row r="137" spans="6:13" ht="18.75" customHeight="1">
      <c r="F137" s="1">
        <v>25508</v>
      </c>
      <c r="G137">
        <f t="shared" si="9"/>
        <v>11</v>
      </c>
      <c r="H137" s="7">
        <v>322.85000000000002</v>
      </c>
      <c r="I137" s="7">
        <f>_A*F137*F137+_B*F137+_C</f>
        <v>325.30385224097517</v>
      </c>
      <c r="J137" s="7">
        <f t="shared" si="10"/>
        <v>-2.4538522409751522</v>
      </c>
      <c r="K137" s="7" cm="1">
        <f t="array" ref="K137">INDEX(Sm,G137)</f>
        <v>-2.0734932780028581</v>
      </c>
      <c r="L137" s="7">
        <f t="shared" si="11"/>
        <v>323.23035896297233</v>
      </c>
      <c r="M137" s="7">
        <f t="shared" si="12"/>
        <v>-0.3803589629723092</v>
      </c>
    </row>
    <row r="138" spans="6:13" ht="18.75" customHeight="1">
      <c r="F138" s="1">
        <v>25538</v>
      </c>
      <c r="G138">
        <f t="shared" si="9"/>
        <v>12</v>
      </c>
      <c r="H138" s="7">
        <v>324.12</v>
      </c>
      <c r="I138" s="7">
        <f>_A*F138*F138+_B*F138+_C</f>
        <v>325.39318593598244</v>
      </c>
      <c r="J138" s="7">
        <f t="shared" si="10"/>
        <v>-1.2731859359824398</v>
      </c>
      <c r="K138" s="7" cm="1">
        <f t="array" ref="K138">INDEX(Sm,G138)</f>
        <v>-0.94500362363844403</v>
      </c>
      <c r="L138" s="7">
        <f t="shared" si="11"/>
        <v>324.44818231234399</v>
      </c>
      <c r="M138" s="7">
        <f t="shared" si="12"/>
        <v>-0.32818231234398354</v>
      </c>
    </row>
    <row r="139" spans="6:13" ht="18.75" customHeight="1">
      <c r="F139" s="1">
        <v>25569</v>
      </c>
      <c r="G139">
        <f t="shared" si="9"/>
        <v>1</v>
      </c>
      <c r="H139" s="7">
        <v>325.06</v>
      </c>
      <c r="I139" s="7">
        <f>_A*F139*F139+_B*F139+_C</f>
        <v>325.48567506836838</v>
      </c>
      <c r="J139" s="7">
        <f t="shared" si="10"/>
        <v>-0.42567506836837765</v>
      </c>
      <c r="K139" s="7" cm="1">
        <f t="array" ref="K139">INDEX(Sm,G139)</f>
        <v>-3.1273707705410173E-2</v>
      </c>
      <c r="L139" s="7">
        <f t="shared" si="11"/>
        <v>325.45440136066298</v>
      </c>
      <c r="M139" s="7">
        <f t="shared" si="12"/>
        <v>-0.39440136066298237</v>
      </c>
    </row>
    <row r="140" spans="6:13" ht="18.75" customHeight="1">
      <c r="F140" s="1">
        <v>25600</v>
      </c>
      <c r="G140">
        <f t="shared" si="9"/>
        <v>2</v>
      </c>
      <c r="H140" s="7">
        <v>325.98</v>
      </c>
      <c r="I140" s="7">
        <f>_A*F140*F140+_B*F140+_C</f>
        <v>325.57834476055433</v>
      </c>
      <c r="J140" s="7">
        <f t="shared" si="10"/>
        <v>0.40165523944568804</v>
      </c>
      <c r="K140" s="7" cm="1">
        <f t="array" ref="K140">INDEX(Sm,G140)</f>
        <v>0.60795807352328612</v>
      </c>
      <c r="L140" s="7">
        <f t="shared" si="11"/>
        <v>326.18630283407759</v>
      </c>
      <c r="M140" s="7">
        <f t="shared" si="12"/>
        <v>-0.20630283407757588</v>
      </c>
    </row>
    <row r="141" spans="6:13" ht="18.75" customHeight="1">
      <c r="F141" s="1">
        <v>25628</v>
      </c>
      <c r="G141">
        <f t="shared" si="9"/>
        <v>3</v>
      </c>
      <c r="H141" s="7">
        <v>326.93</v>
      </c>
      <c r="I141" s="7">
        <f>_A*F141*F141+_B*F141+_C</f>
        <v>325.66220161301231</v>
      </c>
      <c r="J141" s="7">
        <f t="shared" si="10"/>
        <v>1.2677983869876925</v>
      </c>
      <c r="K141" s="7" cm="1">
        <f t="array" ref="K141">INDEX(Sm,G141)</f>
        <v>1.368171928762181</v>
      </c>
      <c r="L141" s="7">
        <f t="shared" si="11"/>
        <v>327.03037354177451</v>
      </c>
      <c r="M141" s="7">
        <f t="shared" si="12"/>
        <v>-0.10037354177450197</v>
      </c>
    </row>
    <row r="142" spans="6:13" ht="18.75" customHeight="1">
      <c r="F142" s="1">
        <v>25659</v>
      </c>
      <c r="G142">
        <f t="shared" si="9"/>
        <v>4</v>
      </c>
      <c r="H142" s="7">
        <v>328.13</v>
      </c>
      <c r="I142" s="7">
        <f>_A*F142*F142+_B*F142+_C</f>
        <v>325.75521495126918</v>
      </c>
      <c r="J142" s="7">
        <f t="shared" si="10"/>
        <v>2.3747850487308142</v>
      </c>
      <c r="K142" s="7" cm="1">
        <f t="array" ref="K142">INDEX(Sm,G142)</f>
        <v>2.5295372401482399</v>
      </c>
      <c r="L142" s="7">
        <f t="shared" si="11"/>
        <v>328.2847521914174</v>
      </c>
      <c r="M142" s="7">
        <f t="shared" si="12"/>
        <v>-0.15475219141740126</v>
      </c>
    </row>
    <row r="143" spans="6:13" ht="18.75" customHeight="1">
      <c r="F143" s="1">
        <v>25689</v>
      </c>
      <c r="G143">
        <f t="shared" si="9"/>
        <v>5</v>
      </c>
      <c r="H143" s="7">
        <v>328.08</v>
      </c>
      <c r="I143" s="7">
        <f>_A*F143*F143+_B*F143+_C</f>
        <v>325.84539977623876</v>
      </c>
      <c r="J143" s="7">
        <f t="shared" si="10"/>
        <v>2.2346002237612197</v>
      </c>
      <c r="K143" s="7" cm="1">
        <f t="array" ref="K143">INDEX(Sm,G143)</f>
        <v>2.9925789844300432</v>
      </c>
      <c r="L143" s="7">
        <f t="shared" si="11"/>
        <v>328.83797876066882</v>
      </c>
      <c r="M143" s="7">
        <f t="shared" si="12"/>
        <v>-0.75797876066883418</v>
      </c>
    </row>
    <row r="144" spans="6:13" ht="18.75" customHeight="1">
      <c r="F144" s="1">
        <v>25720</v>
      </c>
      <c r="G144">
        <f t="shared" si="9"/>
        <v>6</v>
      </c>
      <c r="H144" s="7">
        <v>327.67</v>
      </c>
      <c r="I144" s="7">
        <f>_A*F144*F144+_B*F144+_C</f>
        <v>325.93876840958586</v>
      </c>
      <c r="J144" s="7">
        <f t="shared" si="10"/>
        <v>1.7312315904141542</v>
      </c>
      <c r="K144" s="7" cm="1">
        <f t="array" ref="K144">INDEX(Sm,G144)</f>
        <v>2.3204129706322356</v>
      </c>
      <c r="L144" s="7">
        <f t="shared" si="11"/>
        <v>328.25918138021808</v>
      </c>
      <c r="M144" s="7">
        <f t="shared" si="12"/>
        <v>-0.58918138021806499</v>
      </c>
    </row>
    <row r="145" spans="6:13" ht="18.75" customHeight="1">
      <c r="F145" s="1">
        <v>25750</v>
      </c>
      <c r="G145">
        <f t="shared" si="9"/>
        <v>7</v>
      </c>
      <c r="H145" s="7">
        <v>326.33999999999997</v>
      </c>
      <c r="I145" s="7">
        <f>_A*F145*F145+_B*F145+_C</f>
        <v>326.02929706851376</v>
      </c>
      <c r="J145" s="7">
        <f t="shared" si="10"/>
        <v>0.31070293148621886</v>
      </c>
      <c r="K145" s="7" cm="1">
        <f t="array" ref="K145">INDEX(Sm,G145)</f>
        <v>0.81833597443365613</v>
      </c>
      <c r="L145" s="7">
        <f t="shared" si="11"/>
        <v>326.84763304294739</v>
      </c>
      <c r="M145" s="7">
        <f t="shared" si="12"/>
        <v>-0.50763304294741829</v>
      </c>
    </row>
    <row r="146" spans="6:13" ht="18.75" customHeight="1">
      <c r="F146" s="1">
        <v>25781</v>
      </c>
      <c r="G146">
        <f t="shared" si="9"/>
        <v>8</v>
      </c>
      <c r="H146" s="7">
        <v>324.69</v>
      </c>
      <c r="I146" s="7">
        <f>_A*F146*F146+_B*F146+_C</f>
        <v>326.12302099695108</v>
      </c>
      <c r="J146" s="7">
        <f t="shared" si="10"/>
        <v>-1.4330209969510861</v>
      </c>
      <c r="K146" s="7" cm="1">
        <f t="array" ref="K146">INDEX(Sm,G146)</f>
        <v>-1.2372810548909516</v>
      </c>
      <c r="L146" s="7">
        <f t="shared" si="11"/>
        <v>324.88573994206013</v>
      </c>
      <c r="M146" s="7">
        <f t="shared" si="12"/>
        <v>-0.19573994206012912</v>
      </c>
    </row>
    <row r="147" spans="6:13" ht="18.75" customHeight="1">
      <c r="F147" s="1">
        <v>25812</v>
      </c>
      <c r="G147">
        <f t="shared" si="9"/>
        <v>9</v>
      </c>
      <c r="H147" s="7">
        <v>323.10000000000002</v>
      </c>
      <c r="I147" s="7">
        <f>_A*F147*F147+_B*F147+_C</f>
        <v>326.21692548518837</v>
      </c>
      <c r="J147" s="7">
        <f t="shared" si="10"/>
        <v>-3.1169254851883466</v>
      </c>
      <c r="K147" s="7" cm="1">
        <f t="array" ref="K147">INDEX(Sm,G147)</f>
        <v>-3.0811738821107677</v>
      </c>
      <c r="L147" s="7">
        <f t="shared" si="11"/>
        <v>323.13575160307761</v>
      </c>
      <c r="M147" s="7">
        <f t="shared" si="12"/>
        <v>-3.5751603077585514E-2</v>
      </c>
    </row>
    <row r="148" spans="6:13" ht="18.75" customHeight="1">
      <c r="F148" s="1">
        <v>25842</v>
      </c>
      <c r="G148">
        <f t="shared" si="9"/>
        <v>10</v>
      </c>
      <c r="H148" s="7">
        <v>323.06</v>
      </c>
      <c r="I148" s="7">
        <f>_A*F148*F148+_B*F148+_C</f>
        <v>326.30797271336485</v>
      </c>
      <c r="J148" s="7">
        <f t="shared" si="10"/>
        <v>-3.2479727133648453</v>
      </c>
      <c r="K148" s="7" cm="1">
        <f t="array" ref="K148">INDEX(Sm,G148)</f>
        <v>-3.2770720300056544</v>
      </c>
      <c r="L148" s="7">
        <f t="shared" si="11"/>
        <v>323.03090068335922</v>
      </c>
      <c r="M148" s="7">
        <f t="shared" si="12"/>
        <v>2.9099316640781581E-2</v>
      </c>
    </row>
    <row r="149" spans="6:13" ht="18.75" customHeight="1">
      <c r="F149" s="1">
        <v>25873</v>
      </c>
      <c r="G149">
        <f t="shared" si="9"/>
        <v>11</v>
      </c>
      <c r="H149" s="7">
        <v>324.01</v>
      </c>
      <c r="I149" s="7">
        <f>_A*F149*F149+_B*F149+_C</f>
        <v>326.40223249669242</v>
      </c>
      <c r="J149" s="7">
        <f t="shared" si="10"/>
        <v>-2.3922324966924293</v>
      </c>
      <c r="K149" s="7" cm="1">
        <f t="array" ref="K149">INDEX(Sm,G149)</f>
        <v>-2.0734932780028581</v>
      </c>
      <c r="L149" s="7">
        <f t="shared" si="11"/>
        <v>324.32873921868958</v>
      </c>
      <c r="M149" s="7">
        <f t="shared" si="12"/>
        <v>-0.31873921868958632</v>
      </c>
    </row>
    <row r="150" spans="6:13" ht="18.75" customHeight="1">
      <c r="F150" s="1">
        <v>25903</v>
      </c>
      <c r="G150">
        <f t="shared" si="9"/>
        <v>12</v>
      </c>
      <c r="H150" s="7">
        <v>325.13</v>
      </c>
      <c r="I150" s="7">
        <f>_A*F150*F150+_B*F150+_C</f>
        <v>326.49362355882721</v>
      </c>
      <c r="J150" s="7">
        <f t="shared" si="10"/>
        <v>-1.3636235588272143</v>
      </c>
      <c r="K150" s="7" cm="1">
        <f t="array" ref="K150">INDEX(Sm,G150)</f>
        <v>-0.94500362363844403</v>
      </c>
      <c r="L150" s="7">
        <f t="shared" si="11"/>
        <v>325.54861993518875</v>
      </c>
      <c r="M150" s="7">
        <f t="shared" si="12"/>
        <v>-0.41861993518875806</v>
      </c>
    </row>
    <row r="151" spans="6:13" ht="18.75" customHeight="1">
      <c r="F151" s="1">
        <v>25934</v>
      </c>
      <c r="G151">
        <f t="shared" si="9"/>
        <v>1</v>
      </c>
      <c r="H151" s="7">
        <v>326.17</v>
      </c>
      <c r="I151" s="7">
        <f>_A*F151*F151+_B*F151+_C</f>
        <v>326.58823863724501</v>
      </c>
      <c r="J151" s="7">
        <f t="shared" si="10"/>
        <v>-0.41823863724499688</v>
      </c>
      <c r="K151" s="7" cm="1">
        <f t="array" ref="K151">INDEX(Sm,G151)</f>
        <v>-3.1273707705410173E-2</v>
      </c>
      <c r="L151" s="7">
        <f t="shared" si="11"/>
        <v>326.55696492953962</v>
      </c>
      <c r="M151" s="7">
        <f t="shared" si="12"/>
        <v>-0.3869649295396016</v>
      </c>
    </row>
    <row r="152" spans="6:13" ht="18.75" customHeight="1">
      <c r="F152" s="1">
        <v>25965</v>
      </c>
      <c r="G152">
        <f t="shared" si="9"/>
        <v>2</v>
      </c>
      <c r="H152" s="7">
        <v>326.68</v>
      </c>
      <c r="I152" s="7">
        <f>_A*F152*F152+_B*F152+_C</f>
        <v>326.68303427546272</v>
      </c>
      <c r="J152" s="7">
        <f t="shared" si="10"/>
        <v>-3.0342754627099566E-3</v>
      </c>
      <c r="K152" s="7" cm="1">
        <f t="array" ref="K152">INDEX(Sm,G152)</f>
        <v>0.60795807352328612</v>
      </c>
      <c r="L152" s="7">
        <f t="shared" si="11"/>
        <v>327.29099234898598</v>
      </c>
      <c r="M152" s="7">
        <f t="shared" si="12"/>
        <v>-0.61099234898597388</v>
      </c>
    </row>
    <row r="153" spans="6:13" ht="18.75" customHeight="1">
      <c r="F153" s="1">
        <v>25993</v>
      </c>
      <c r="G153">
        <f t="shared" si="9"/>
        <v>3</v>
      </c>
      <c r="H153" s="7">
        <v>327.17</v>
      </c>
      <c r="I153" s="7">
        <f>_A*F153*F153+_B*F153+_C</f>
        <v>326.76881133723981</v>
      </c>
      <c r="J153" s="7">
        <f t="shared" si="10"/>
        <v>0.40118866276020526</v>
      </c>
      <c r="K153" s="7" cm="1">
        <f t="array" ref="K153">INDEX(Sm,G153)</f>
        <v>1.368171928762181</v>
      </c>
      <c r="L153" s="7">
        <f t="shared" si="11"/>
        <v>328.13698326600201</v>
      </c>
      <c r="M153" s="7">
        <f t="shared" si="12"/>
        <v>-0.96698326600198925</v>
      </c>
    </row>
    <row r="154" spans="6:13" ht="18.75" customHeight="1">
      <c r="F154" s="1">
        <v>26024</v>
      </c>
      <c r="G154">
        <f t="shared" si="9"/>
        <v>4</v>
      </c>
      <c r="H154" s="7">
        <v>327.79</v>
      </c>
      <c r="I154" s="7">
        <f>_A*F154*F154+_B*F154+_C</f>
        <v>326.86395062152843</v>
      </c>
      <c r="J154" s="7">
        <f t="shared" si="10"/>
        <v>0.92604937847158908</v>
      </c>
      <c r="K154" s="7" cm="1">
        <f t="array" ref="K154">INDEX(Sm,G154)</f>
        <v>2.5295372401482399</v>
      </c>
      <c r="L154" s="7">
        <f t="shared" si="11"/>
        <v>329.39348786167665</v>
      </c>
      <c r="M154" s="7">
        <f t="shared" si="12"/>
        <v>-1.6034878616766264</v>
      </c>
    </row>
    <row r="155" spans="6:13" ht="18.75" customHeight="1">
      <c r="F155" s="1">
        <v>26054</v>
      </c>
      <c r="G155">
        <f t="shared" si="9"/>
        <v>5</v>
      </c>
      <c r="H155" s="7">
        <v>328.93</v>
      </c>
      <c r="I155" s="7">
        <f>_A*F155*F155+_B*F155+_C</f>
        <v>326.95619281362559</v>
      </c>
      <c r="J155" s="7">
        <f t="shared" si="10"/>
        <v>1.9738071863744153</v>
      </c>
      <c r="K155" s="7" cm="1">
        <f t="array" ref="K155">INDEX(Sm,G155)</f>
        <v>2.9925789844300432</v>
      </c>
      <c r="L155" s="7">
        <f t="shared" si="11"/>
        <v>329.94877179805565</v>
      </c>
      <c r="M155" s="7">
        <f t="shared" si="12"/>
        <v>-1.0187717980556386</v>
      </c>
    </row>
    <row r="156" spans="6:13" ht="18.75" customHeight="1">
      <c r="F156" s="1">
        <v>26085</v>
      </c>
      <c r="G156">
        <f t="shared" si="9"/>
        <v>6</v>
      </c>
      <c r="H156" s="7">
        <v>328.57</v>
      </c>
      <c r="I156" s="7">
        <f>_A*F156*F156+_B*F156+_C</f>
        <v>327.0516873930045</v>
      </c>
      <c r="J156" s="7">
        <f t="shared" si="10"/>
        <v>1.5183126069954938</v>
      </c>
      <c r="K156" s="7" cm="1">
        <f t="array" ref="K156">INDEX(Sm,G156)</f>
        <v>2.3204129706322356</v>
      </c>
      <c r="L156" s="7">
        <f t="shared" si="11"/>
        <v>329.37210036363672</v>
      </c>
      <c r="M156" s="7">
        <f t="shared" si="12"/>
        <v>-0.80210036363672543</v>
      </c>
    </row>
    <row r="157" spans="6:13" ht="18.75" customHeight="1">
      <c r="F157" s="1">
        <v>26115</v>
      </c>
      <c r="G157">
        <f t="shared" si="9"/>
        <v>7</v>
      </c>
      <c r="H157" s="7">
        <v>327.36</v>
      </c>
      <c r="I157" s="7">
        <f>_A*F157*F157+_B*F157+_C</f>
        <v>327.14427341905997</v>
      </c>
      <c r="J157" s="7">
        <f t="shared" si="10"/>
        <v>0.21572658094004282</v>
      </c>
      <c r="K157" s="7" cm="1">
        <f t="array" ref="K157">INDEX(Sm,G157)</f>
        <v>0.81833597443365613</v>
      </c>
      <c r="L157" s="7">
        <f t="shared" si="11"/>
        <v>327.96260939349361</v>
      </c>
      <c r="M157" s="7">
        <f t="shared" si="12"/>
        <v>-0.60260939349359433</v>
      </c>
    </row>
    <row r="158" spans="6:13" ht="18.75" customHeight="1">
      <c r="F158" s="1">
        <v>26146</v>
      </c>
      <c r="G158">
        <f t="shared" si="9"/>
        <v>8</v>
      </c>
      <c r="H158" s="7">
        <v>325.43</v>
      </c>
      <c r="I158" s="7">
        <f>_A*F158*F158+_B*F158+_C</f>
        <v>327.24012329352911</v>
      </c>
      <c r="J158" s="7">
        <f t="shared" si="10"/>
        <v>-1.8101232935291023</v>
      </c>
      <c r="K158" s="7" cm="1">
        <f t="array" ref="K158">INDEX(Sm,G158)</f>
        <v>-1.2372810548909516</v>
      </c>
      <c r="L158" s="7">
        <f t="shared" si="11"/>
        <v>326.00284223863815</v>
      </c>
      <c r="M158" s="7">
        <f t="shared" si="12"/>
        <v>-0.57284223863814532</v>
      </c>
    </row>
    <row r="159" spans="6:13" ht="18.75" customHeight="1">
      <c r="F159" s="1">
        <v>26177</v>
      </c>
      <c r="G159">
        <f t="shared" si="9"/>
        <v>9</v>
      </c>
      <c r="H159" s="7">
        <v>323.36</v>
      </c>
      <c r="I159" s="7">
        <f>_A*F159*F159+_B*F159+_C</f>
        <v>327.33615372779821</v>
      </c>
      <c r="J159" s="7">
        <f t="shared" si="10"/>
        <v>-3.9761537277981915</v>
      </c>
      <c r="K159" s="7" cm="1">
        <f t="array" ref="K159">INDEX(Sm,G159)</f>
        <v>-3.0811738821107677</v>
      </c>
      <c r="L159" s="7">
        <f t="shared" si="11"/>
        <v>324.25497984568744</v>
      </c>
      <c r="M159" s="7">
        <f t="shared" si="12"/>
        <v>-0.8949798456874305</v>
      </c>
    </row>
    <row r="160" spans="6:13" ht="18.75" customHeight="1">
      <c r="F160" s="1">
        <v>26207</v>
      </c>
      <c r="G160">
        <f t="shared" si="9"/>
        <v>10</v>
      </c>
      <c r="H160" s="7">
        <v>323.56</v>
      </c>
      <c r="I160" s="7">
        <f>_A*F160*F160+_B*F160+_C</f>
        <v>327.42925832310226</v>
      </c>
      <c r="J160" s="7">
        <f t="shared" si="10"/>
        <v>-3.8692583231022581</v>
      </c>
      <c r="K160" s="7" cm="1">
        <f t="array" ref="K160">INDEX(Sm,G160)</f>
        <v>-3.2770720300056544</v>
      </c>
      <c r="L160" s="7">
        <f t="shared" si="11"/>
        <v>324.15218629309663</v>
      </c>
      <c r="M160" s="7">
        <f t="shared" si="12"/>
        <v>-0.59218629309663129</v>
      </c>
    </row>
    <row r="161" spans="6:13" ht="18.75" customHeight="1">
      <c r="F161" s="1">
        <v>26238</v>
      </c>
      <c r="G161">
        <f t="shared" si="9"/>
        <v>11</v>
      </c>
      <c r="H161" s="7">
        <v>324.8</v>
      </c>
      <c r="I161" s="7">
        <f>_A*F161*F161+_B*F161+_C</f>
        <v>327.52564405246159</v>
      </c>
      <c r="J161" s="7">
        <f t="shared" si="10"/>
        <v>-2.7256440524615755</v>
      </c>
      <c r="K161" s="7" cm="1">
        <f t="array" ref="K161">INDEX(Sm,G161)</f>
        <v>-2.0734932780028581</v>
      </c>
      <c r="L161" s="7">
        <f t="shared" si="11"/>
        <v>325.45215077445874</v>
      </c>
      <c r="M161" s="7">
        <f t="shared" si="12"/>
        <v>-0.65215077445873249</v>
      </c>
    </row>
    <row r="162" spans="6:13" ht="18.75" customHeight="1">
      <c r="F162" s="1">
        <v>26268</v>
      </c>
      <c r="G162">
        <f t="shared" si="9"/>
        <v>12</v>
      </c>
      <c r="H162" s="7">
        <v>326.01</v>
      </c>
      <c r="I162" s="7">
        <f>_A*F162*F162+_B*F162+_C</f>
        <v>327.61909248172395</v>
      </c>
      <c r="J162" s="7">
        <f t="shared" si="10"/>
        <v>-1.6090924817239625</v>
      </c>
      <c r="K162" s="7" cm="1">
        <f t="array" ref="K162">INDEX(Sm,G162)</f>
        <v>-0.94500362363844403</v>
      </c>
      <c r="L162" s="7">
        <f t="shared" si="11"/>
        <v>326.6740888580855</v>
      </c>
      <c r="M162" s="7">
        <f t="shared" si="12"/>
        <v>-0.66408885808550622</v>
      </c>
    </row>
    <row r="163" spans="6:13" ht="18.75" customHeight="1">
      <c r="F163" s="1">
        <v>26299</v>
      </c>
      <c r="G163">
        <f t="shared" si="9"/>
        <v>1</v>
      </c>
      <c r="H163" s="7">
        <v>326.77</v>
      </c>
      <c r="I163" s="7">
        <f>_A*F163*F163+_B*F163+_C</f>
        <v>327.71583350617357</v>
      </c>
      <c r="J163" s="7">
        <f t="shared" si="10"/>
        <v>-0.94583350617358519</v>
      </c>
      <c r="K163" s="7" cm="1">
        <f t="array" ref="K163">INDEX(Sm,G163)</f>
        <v>-3.1273707705410173E-2</v>
      </c>
      <c r="L163" s="7">
        <f t="shared" si="11"/>
        <v>327.68455979846817</v>
      </c>
      <c r="M163" s="7">
        <f t="shared" si="12"/>
        <v>-0.91455979846818991</v>
      </c>
    </row>
    <row r="164" spans="6:13" ht="18.75" customHeight="1">
      <c r="F164" s="1">
        <v>26330</v>
      </c>
      <c r="G164">
        <f t="shared" si="9"/>
        <v>2</v>
      </c>
      <c r="H164" s="7">
        <v>327.63</v>
      </c>
      <c r="I164" s="7">
        <f>_A*F164*F164+_B*F164+_C</f>
        <v>327.81275509042308</v>
      </c>
      <c r="J164" s="7">
        <f t="shared" si="10"/>
        <v>-0.18275509042308613</v>
      </c>
      <c r="K164" s="7" cm="1">
        <f t="array" ref="K164">INDEX(Sm,G164)</f>
        <v>0.60795807352328612</v>
      </c>
      <c r="L164" s="7">
        <f t="shared" si="11"/>
        <v>328.42071316394635</v>
      </c>
      <c r="M164" s="7">
        <f t="shared" si="12"/>
        <v>-0.79071316394635005</v>
      </c>
    </row>
    <row r="165" spans="6:13" ht="18.75" customHeight="1">
      <c r="F165" s="1">
        <v>26359</v>
      </c>
      <c r="G165">
        <f t="shared" si="9"/>
        <v>3</v>
      </c>
      <c r="H165" s="7">
        <v>327.75</v>
      </c>
      <c r="I165" s="7">
        <f>_A*F165*F165+_B*F165+_C</f>
        <v>327.90358713128296</v>
      </c>
      <c r="J165" s="7">
        <f t="shared" si="10"/>
        <v>-0.15358713128296131</v>
      </c>
      <c r="K165" s="7" cm="1">
        <f t="array" ref="K165">INDEX(Sm,G165)</f>
        <v>1.368171928762181</v>
      </c>
      <c r="L165" s="7">
        <f t="shared" si="11"/>
        <v>329.27175906004516</v>
      </c>
      <c r="M165" s="7">
        <f t="shared" si="12"/>
        <v>-1.5217590600451558</v>
      </c>
    </row>
    <row r="166" spans="6:13" ht="18.75" customHeight="1">
      <c r="F166" s="1">
        <v>26390</v>
      </c>
      <c r="G166">
        <f t="shared" si="9"/>
        <v>4</v>
      </c>
      <c r="H166" s="7">
        <v>329.72</v>
      </c>
      <c r="I166" s="7">
        <f>_A*F166*F166+_B*F166+_C</f>
        <v>328.00085818611308</v>
      </c>
      <c r="J166" s="7">
        <f t="shared" si="10"/>
        <v>1.7191418138869494</v>
      </c>
      <c r="K166" s="7" cm="1">
        <f t="array" ref="K166">INDEX(Sm,G166)</f>
        <v>2.5295372401482399</v>
      </c>
      <c r="L166" s="7">
        <f t="shared" si="11"/>
        <v>330.53039542626129</v>
      </c>
      <c r="M166" s="7">
        <f t="shared" si="12"/>
        <v>-0.81039542626126604</v>
      </c>
    </row>
    <row r="167" spans="6:13" ht="18.75" customHeight="1">
      <c r="F167" s="1">
        <v>26420</v>
      </c>
      <c r="G167">
        <f t="shared" si="9"/>
        <v>5</v>
      </c>
      <c r="H167" s="7">
        <v>330.07</v>
      </c>
      <c r="I167" s="7">
        <f>_A*F167*F167+_B*F167+_C</f>
        <v>328.09516338196005</v>
      </c>
      <c r="J167" s="7">
        <f t="shared" si="10"/>
        <v>1.9748366180399444</v>
      </c>
      <c r="K167" s="7" cm="1">
        <f t="array" ref="K167">INDEX(Sm,G167)</f>
        <v>2.9925789844300432</v>
      </c>
      <c r="L167" s="7">
        <f t="shared" si="11"/>
        <v>331.0877423663901</v>
      </c>
      <c r="M167" s="7">
        <f t="shared" si="12"/>
        <v>-1.0177423663901095</v>
      </c>
    </row>
    <row r="168" spans="6:13" ht="18.75" customHeight="1">
      <c r="F168" s="1">
        <v>26451</v>
      </c>
      <c r="G168">
        <f t="shared" si="9"/>
        <v>6</v>
      </c>
      <c r="H168" s="7">
        <v>329.09</v>
      </c>
      <c r="I168" s="7">
        <f>_A*F168*F168+_B*F168+_C</f>
        <v>328.19278973188045</v>
      </c>
      <c r="J168" s="7">
        <f t="shared" si="10"/>
        <v>0.89721026811952242</v>
      </c>
      <c r="K168" s="7" cm="1">
        <f t="array" ref="K168">INDEX(Sm,G168)</f>
        <v>2.3204129706322356</v>
      </c>
      <c r="L168" s="7">
        <f t="shared" si="11"/>
        <v>330.51320270251267</v>
      </c>
      <c r="M168" s="7">
        <f t="shared" si="12"/>
        <v>-1.4232027025126968</v>
      </c>
    </row>
    <row r="169" spans="6:13" ht="18.75" customHeight="1">
      <c r="F169" s="1">
        <v>26481</v>
      </c>
      <c r="G169">
        <f t="shared" si="9"/>
        <v>7</v>
      </c>
      <c r="H169" s="7">
        <v>328.04</v>
      </c>
      <c r="I169" s="7">
        <f>_A*F169*F169+_B*F169+_C</f>
        <v>328.28743876168573</v>
      </c>
      <c r="J169" s="7">
        <f t="shared" si="10"/>
        <v>-0.24743876168571433</v>
      </c>
      <c r="K169" s="7" cm="1">
        <f t="array" ref="K169">INDEX(Sm,G169)</f>
        <v>0.81833597443365613</v>
      </c>
      <c r="L169" s="7">
        <f t="shared" si="11"/>
        <v>329.10577473611937</v>
      </c>
      <c r="M169" s="7">
        <f t="shared" si="12"/>
        <v>-1.0657747361193515</v>
      </c>
    </row>
    <row r="170" spans="6:13" ht="18.75" customHeight="1">
      <c r="F170" s="1">
        <v>26512</v>
      </c>
      <c r="G170">
        <f t="shared" si="9"/>
        <v>8</v>
      </c>
      <c r="H170" s="7">
        <v>326.32</v>
      </c>
      <c r="I170" s="7">
        <f>_A*F170*F170+_B*F170+_C</f>
        <v>328.38542040669637</v>
      </c>
      <c r="J170" s="7">
        <f t="shared" si="10"/>
        <v>-2.0654204066963757</v>
      </c>
      <c r="K170" s="7" cm="1">
        <f t="array" ref="K170">INDEX(Sm,G170)</f>
        <v>-1.2372810548909516</v>
      </c>
      <c r="L170" s="7">
        <f t="shared" si="11"/>
        <v>327.14813935180541</v>
      </c>
      <c r="M170" s="7">
        <f t="shared" si="12"/>
        <v>-0.82813935180541876</v>
      </c>
    </row>
    <row r="171" spans="6:13" ht="18.75" customHeight="1">
      <c r="F171" s="1">
        <v>26543</v>
      </c>
      <c r="G171">
        <f t="shared" si="9"/>
        <v>9</v>
      </c>
      <c r="H171" s="7">
        <v>324.83999999999997</v>
      </c>
      <c r="I171" s="7">
        <f>_A*F171*F171+_B*F171+_C</f>
        <v>328.48358261150696</v>
      </c>
      <c r="J171" s="7">
        <f t="shared" si="10"/>
        <v>-3.6435826115069858</v>
      </c>
      <c r="K171" s="7" cm="1">
        <f t="array" ref="K171">INDEX(Sm,G171)</f>
        <v>-3.0811738821107677</v>
      </c>
      <c r="L171" s="7">
        <f t="shared" si="11"/>
        <v>325.4024087293962</v>
      </c>
      <c r="M171" s="7">
        <f t="shared" si="12"/>
        <v>-0.56240872939622477</v>
      </c>
    </row>
    <row r="172" spans="6:13" ht="18.75" customHeight="1">
      <c r="F172" s="1">
        <v>26573</v>
      </c>
      <c r="G172">
        <f t="shared" si="9"/>
        <v>10</v>
      </c>
      <c r="H172" s="7">
        <v>325.2</v>
      </c>
      <c r="I172" s="7">
        <f>_A*F172*F172+_B*F172+_C</f>
        <v>328.57875021056083</v>
      </c>
      <c r="J172" s="7">
        <f t="shared" si="10"/>
        <v>-3.3787502105608382</v>
      </c>
      <c r="K172" s="7" cm="1">
        <f t="array" ref="K172">INDEX(Sm,G172)</f>
        <v>-3.2770720300056544</v>
      </c>
      <c r="L172" s="7">
        <f t="shared" si="11"/>
        <v>325.3016781805552</v>
      </c>
      <c r="M172" s="7">
        <f t="shared" si="12"/>
        <v>-0.10167818055521138</v>
      </c>
    </row>
    <row r="173" spans="6:13" ht="18.75" customHeight="1">
      <c r="F173" s="1">
        <v>26604</v>
      </c>
      <c r="G173">
        <f t="shared" si="9"/>
        <v>11</v>
      </c>
      <c r="H173" s="7">
        <v>326.5</v>
      </c>
      <c r="I173" s="7">
        <f>_A*F173*F173+_B*F173+_C</f>
        <v>328.67726771046165</v>
      </c>
      <c r="J173" s="7">
        <f t="shared" si="10"/>
        <v>-2.1772677104616491</v>
      </c>
      <c r="K173" s="7" cm="1">
        <f t="array" ref="K173">INDEX(Sm,G173)</f>
        <v>-2.0734932780028581</v>
      </c>
      <c r="L173" s="7">
        <f t="shared" si="11"/>
        <v>326.60377443245881</v>
      </c>
      <c r="M173" s="7">
        <f t="shared" si="12"/>
        <v>-0.10377443245880613</v>
      </c>
    </row>
    <row r="174" spans="6:13" ht="18.75" customHeight="1">
      <c r="F174" s="1">
        <v>26634</v>
      </c>
      <c r="G174">
        <f t="shared" si="9"/>
        <v>12</v>
      </c>
      <c r="H174" s="7">
        <v>327.55</v>
      </c>
      <c r="I174" s="7">
        <f>_A*F174*F174+_B*F174+_C</f>
        <v>328.77277914347388</v>
      </c>
      <c r="J174" s="7">
        <f t="shared" si="10"/>
        <v>-1.222779143473872</v>
      </c>
      <c r="K174" s="7" cm="1">
        <f t="array" ref="K174">INDEX(Sm,G174)</f>
        <v>-0.94500362363844403</v>
      </c>
      <c r="L174" s="7">
        <f t="shared" si="11"/>
        <v>327.82777551983543</v>
      </c>
      <c r="M174" s="7">
        <f t="shared" si="12"/>
        <v>-0.27777551983541571</v>
      </c>
    </row>
    <row r="175" spans="6:13" ht="18.75" customHeight="1">
      <c r="F175" s="1">
        <v>26665</v>
      </c>
      <c r="G175">
        <f t="shared" si="9"/>
        <v>1</v>
      </c>
      <c r="H175" s="7">
        <v>328.55</v>
      </c>
      <c r="I175" s="7">
        <f>_A*F175*F175+_B*F175+_C</f>
        <v>328.87165193846494</v>
      </c>
      <c r="J175" s="7">
        <f t="shared" si="10"/>
        <v>-0.32165193846492457</v>
      </c>
      <c r="K175" s="7" cm="1">
        <f t="array" ref="K175">INDEX(Sm,G175)</f>
        <v>-3.1273707705410173E-2</v>
      </c>
      <c r="L175" s="7">
        <f t="shared" si="11"/>
        <v>328.84037823075954</v>
      </c>
      <c r="M175" s="7">
        <f t="shared" si="12"/>
        <v>-0.29037823075952929</v>
      </c>
    </row>
    <row r="176" spans="6:13" ht="18.75" customHeight="1">
      <c r="F176" s="1">
        <v>26696</v>
      </c>
      <c r="G176">
        <f t="shared" si="9"/>
        <v>2</v>
      </c>
      <c r="H176" s="7">
        <v>329.56</v>
      </c>
      <c r="I176" s="7">
        <f>_A*F176*F176+_B*F176+_C</f>
        <v>328.970705293256</v>
      </c>
      <c r="J176" s="7">
        <f t="shared" si="10"/>
        <v>0.58929470674399909</v>
      </c>
      <c r="K176" s="7" cm="1">
        <f t="array" ref="K176">INDEX(Sm,G176)</f>
        <v>0.60795807352328612</v>
      </c>
      <c r="L176" s="7">
        <f t="shared" si="11"/>
        <v>329.57866336677927</v>
      </c>
      <c r="M176" s="7">
        <f t="shared" si="12"/>
        <v>-1.8663366779264834E-2</v>
      </c>
    </row>
    <row r="177" spans="6:13" ht="18.75" customHeight="1">
      <c r="F177" s="1">
        <v>26724</v>
      </c>
      <c r="G177">
        <f t="shared" si="9"/>
        <v>3</v>
      </c>
      <c r="H177" s="7">
        <v>330.3</v>
      </c>
      <c r="I177" s="7">
        <f>_A*F177*F177+_B*F177+_C</f>
        <v>329.06032803451859</v>
      </c>
      <c r="J177" s="7">
        <f t="shared" si="10"/>
        <v>1.2396719654814206</v>
      </c>
      <c r="K177" s="7" cm="1">
        <f t="array" ref="K177">INDEX(Sm,G177)</f>
        <v>1.368171928762181</v>
      </c>
      <c r="L177" s="7">
        <f t="shared" si="11"/>
        <v>330.42849996328079</v>
      </c>
      <c r="M177" s="7">
        <f t="shared" si="12"/>
        <v>-0.12849996328077395</v>
      </c>
    </row>
    <row r="178" spans="6:13" ht="18.75" customHeight="1">
      <c r="F178" s="1">
        <v>26755</v>
      </c>
      <c r="G178">
        <f t="shared" si="9"/>
        <v>4</v>
      </c>
      <c r="H178" s="7">
        <v>331.5</v>
      </c>
      <c r="I178" s="7">
        <f>_A*F178*F178+_B*F178+_C</f>
        <v>329.15972503538057</v>
      </c>
      <c r="J178" s="7">
        <f t="shared" si="10"/>
        <v>2.3402749646194252</v>
      </c>
      <c r="K178" s="7" cm="1">
        <f t="array" ref="K178">INDEX(Sm,G178)</f>
        <v>2.5295372401482399</v>
      </c>
      <c r="L178" s="7">
        <f t="shared" si="11"/>
        <v>331.68926227552879</v>
      </c>
      <c r="M178" s="7">
        <f t="shared" si="12"/>
        <v>-0.18926227552879027</v>
      </c>
    </row>
    <row r="179" spans="6:13" ht="18.75" customHeight="1">
      <c r="F179" s="1">
        <v>26785</v>
      </c>
      <c r="G179">
        <f t="shared" si="9"/>
        <v>5</v>
      </c>
      <c r="H179" s="7">
        <v>332.48</v>
      </c>
      <c r="I179" s="7">
        <f>_A*F179*F179+_B*F179+_C</f>
        <v>329.25608759835512</v>
      </c>
      <c r="J179" s="7">
        <f t="shared" si="10"/>
        <v>3.2239124016448955</v>
      </c>
      <c r="K179" s="7" cm="1">
        <f t="array" ref="K179">INDEX(Sm,G179)</f>
        <v>2.9925789844300432</v>
      </c>
      <c r="L179" s="7">
        <f t="shared" si="11"/>
        <v>332.24866658278518</v>
      </c>
      <c r="M179" s="7">
        <f t="shared" si="12"/>
        <v>0.23133341721484157</v>
      </c>
    </row>
    <row r="180" spans="6:13" ht="18.75" customHeight="1">
      <c r="F180" s="1">
        <v>26816</v>
      </c>
      <c r="G180">
        <f t="shared" si="9"/>
        <v>6</v>
      </c>
      <c r="H180" s="7">
        <v>332.07</v>
      </c>
      <c r="I180" s="7">
        <f>_A*F180*F180+_B*F180+_C</f>
        <v>329.35583989430728</v>
      </c>
      <c r="J180" s="7">
        <f t="shared" si="10"/>
        <v>2.7141601056927129</v>
      </c>
      <c r="K180" s="7" cm="1">
        <f t="array" ref="K180">INDEX(Sm,G180)</f>
        <v>2.3204129706322356</v>
      </c>
      <c r="L180" s="7">
        <f t="shared" si="11"/>
        <v>331.6762528649395</v>
      </c>
      <c r="M180" s="7">
        <f t="shared" si="12"/>
        <v>0.39374713506049375</v>
      </c>
    </row>
    <row r="181" spans="6:13" ht="18.75" customHeight="1">
      <c r="F181" s="1">
        <v>26846</v>
      </c>
      <c r="G181">
        <f t="shared" si="9"/>
        <v>7</v>
      </c>
      <c r="H181" s="7">
        <v>330.87</v>
      </c>
      <c r="I181" s="7">
        <f>_A*F181*F181+_B*F181+_C</f>
        <v>329.45254629124014</v>
      </c>
      <c r="J181" s="7">
        <f t="shared" si="10"/>
        <v>1.4174537087598651</v>
      </c>
      <c r="K181" s="7" cm="1">
        <f t="array" ref="K181">INDEX(Sm,G181)</f>
        <v>0.81833597443365613</v>
      </c>
      <c r="L181" s="7">
        <f t="shared" si="11"/>
        <v>330.27088226567378</v>
      </c>
      <c r="M181" s="7">
        <f t="shared" si="12"/>
        <v>0.59911773432622795</v>
      </c>
    </row>
    <row r="182" spans="6:13" ht="18.75" customHeight="1">
      <c r="F182" s="1">
        <v>26877</v>
      </c>
      <c r="G182">
        <f t="shared" si="9"/>
        <v>8</v>
      </c>
      <c r="H182" s="7">
        <v>329.31</v>
      </c>
      <c r="I182" s="7">
        <f>_A*F182*F182+_B*F182+_C</f>
        <v>329.55265388228258</v>
      </c>
      <c r="J182" s="7">
        <f t="shared" si="10"/>
        <v>-0.24265388228258189</v>
      </c>
      <c r="K182" s="7" cm="1">
        <f t="array" ref="K182">INDEX(Sm,G182)</f>
        <v>-1.2372810548909516</v>
      </c>
      <c r="L182" s="7">
        <f t="shared" si="11"/>
        <v>328.31537282739163</v>
      </c>
      <c r="M182" s="7">
        <f t="shared" si="12"/>
        <v>0.99462717260837508</v>
      </c>
    </row>
    <row r="183" spans="6:13" ht="18.75" customHeight="1">
      <c r="F183" s="1">
        <v>26908</v>
      </c>
      <c r="G183">
        <f t="shared" si="9"/>
        <v>9</v>
      </c>
      <c r="H183" s="7">
        <v>327.51</v>
      </c>
      <c r="I183" s="7">
        <f>_A*F183*F183+_B*F183+_C</f>
        <v>329.65294203312499</v>
      </c>
      <c r="J183" s="7">
        <f t="shared" si="10"/>
        <v>-2.1429420331249958</v>
      </c>
      <c r="K183" s="7" cm="1">
        <f t="array" ref="K183">INDEX(Sm,G183)</f>
        <v>-3.0811738821107677</v>
      </c>
      <c r="L183" s="7">
        <f t="shared" si="11"/>
        <v>326.57176815101423</v>
      </c>
      <c r="M183" s="7">
        <f t="shared" si="12"/>
        <v>0.93823184898576528</v>
      </c>
    </row>
    <row r="184" spans="6:13" ht="18.75" customHeight="1">
      <c r="F184" s="1">
        <v>26938</v>
      </c>
      <c r="G184">
        <f t="shared" si="9"/>
        <v>10</v>
      </c>
      <c r="H184" s="7">
        <v>327.18</v>
      </c>
      <c r="I184" s="7">
        <f>_A*F184*F184+_B*F184+_C</f>
        <v>329.75016699930643</v>
      </c>
      <c r="J184" s="7">
        <f t="shared" si="10"/>
        <v>-2.5701669993064229</v>
      </c>
      <c r="K184" s="7" cm="1">
        <f t="array" ref="K184">INDEX(Sm,G184)</f>
        <v>-3.2770720300056544</v>
      </c>
      <c r="L184" s="7">
        <f t="shared" si="11"/>
        <v>326.4730949693008</v>
      </c>
      <c r="M184" s="7">
        <f t="shared" si="12"/>
        <v>0.70690503069920396</v>
      </c>
    </row>
    <row r="185" spans="6:13" ht="18.75" customHeight="1">
      <c r="F185" s="1">
        <v>26969</v>
      </c>
      <c r="G185">
        <f t="shared" si="9"/>
        <v>11</v>
      </c>
      <c r="H185" s="7">
        <v>328.16</v>
      </c>
      <c r="I185" s="7">
        <f>_A*F185*F185+_B*F185+_C</f>
        <v>329.85081044523906</v>
      </c>
      <c r="J185" s="7">
        <f t="shared" si="10"/>
        <v>-1.6908104452390376</v>
      </c>
      <c r="K185" s="7" cm="1">
        <f t="array" ref="K185">INDEX(Sm,G185)</f>
        <v>-2.0734932780028581</v>
      </c>
      <c r="L185" s="7">
        <f t="shared" si="11"/>
        <v>327.77731716723622</v>
      </c>
      <c r="M185" s="7">
        <f t="shared" si="12"/>
        <v>0.38268283276380544</v>
      </c>
    </row>
    <row r="186" spans="6:13" ht="18.75" customHeight="1">
      <c r="F186" s="1">
        <v>26999</v>
      </c>
      <c r="G186">
        <f t="shared" si="9"/>
        <v>12</v>
      </c>
      <c r="H186" s="7">
        <v>328.64</v>
      </c>
      <c r="I186" s="7">
        <f>_A*F186*F186+_B*F186+_C</f>
        <v>329.94837924537882</v>
      </c>
      <c r="J186" s="7">
        <f t="shared" si="10"/>
        <v>-1.3083792453788305</v>
      </c>
      <c r="K186" s="7" cm="1">
        <f t="array" ref="K186">INDEX(Sm,G186)</f>
        <v>-0.94500362363844403</v>
      </c>
      <c r="L186" s="7">
        <f t="shared" si="11"/>
        <v>329.00337562174036</v>
      </c>
      <c r="M186" s="7">
        <f t="shared" si="12"/>
        <v>-0.3633756217403743</v>
      </c>
    </row>
    <row r="187" spans="6:13" ht="18.75" customHeight="1">
      <c r="F187" s="1">
        <v>27030</v>
      </c>
      <c r="G187">
        <f t="shared" si="9"/>
        <v>1</v>
      </c>
      <c r="H187" s="7">
        <v>329.35</v>
      </c>
      <c r="I187" s="7">
        <f>_A*F187*F187+_B*F187+_C</f>
        <v>330.04937798640174</v>
      </c>
      <c r="J187" s="7">
        <f t="shared" si="10"/>
        <v>-0.69937798640171422</v>
      </c>
      <c r="K187" s="7" cm="1">
        <f t="array" ref="K187">INDEX(Sm,G187)</f>
        <v>-3.1273707705410173E-2</v>
      </c>
      <c r="L187" s="7">
        <f t="shared" si="11"/>
        <v>330.01810427869634</v>
      </c>
      <c r="M187" s="7">
        <f t="shared" si="12"/>
        <v>-0.66810427869631894</v>
      </c>
    </row>
    <row r="188" spans="6:13" ht="18.75" customHeight="1">
      <c r="F188" s="1">
        <v>27061</v>
      </c>
      <c r="G188">
        <f t="shared" si="9"/>
        <v>2</v>
      </c>
      <c r="H188" s="7">
        <v>330.71</v>
      </c>
      <c r="I188" s="7">
        <f>_A*F188*F188+_B*F188+_C</f>
        <v>330.15055728722456</v>
      </c>
      <c r="J188" s="7">
        <f t="shared" si="10"/>
        <v>0.55944271277542157</v>
      </c>
      <c r="K188" s="7" cm="1">
        <f t="array" ref="K188">INDEX(Sm,G188)</f>
        <v>0.60795807352328612</v>
      </c>
      <c r="L188" s="7">
        <f t="shared" si="11"/>
        <v>330.75851536074782</v>
      </c>
      <c r="M188" s="7">
        <f t="shared" si="12"/>
        <v>-4.8515360747842351E-2</v>
      </c>
    </row>
    <row r="189" spans="6:13" ht="18.75" customHeight="1">
      <c r="F189" s="1">
        <v>27089</v>
      </c>
      <c r="G189">
        <f t="shared" si="9"/>
        <v>3</v>
      </c>
      <c r="H189" s="7">
        <v>331.48</v>
      </c>
      <c r="I189" s="7">
        <f>_A*F189*F189+_B*F189+_C</f>
        <v>330.24210023780626</v>
      </c>
      <c r="J189" s="7">
        <f t="shared" si="10"/>
        <v>1.2378997621937629</v>
      </c>
      <c r="K189" s="7" cm="1">
        <f t="array" ref="K189">INDEX(Sm,G189)</f>
        <v>1.368171928762181</v>
      </c>
      <c r="L189" s="7">
        <f t="shared" si="11"/>
        <v>331.61027216656845</v>
      </c>
      <c r="M189" s="7">
        <f t="shared" si="12"/>
        <v>-0.13027216656843166</v>
      </c>
    </row>
    <row r="190" spans="6:13" ht="18.75" customHeight="1">
      <c r="F190" s="1">
        <v>27120</v>
      </c>
      <c r="G190">
        <f t="shared" si="9"/>
        <v>4</v>
      </c>
      <c r="H190" s="7">
        <v>332.65</v>
      </c>
      <c r="I190" s="7">
        <f>_A*F190*F190+_B*F190+_C</f>
        <v>330.34362318469999</v>
      </c>
      <c r="J190" s="7">
        <f t="shared" si="10"/>
        <v>2.3063768152999842</v>
      </c>
      <c r="K190" s="7" cm="1">
        <f t="array" ref="K190">INDEX(Sm,G190)</f>
        <v>2.5295372401482399</v>
      </c>
      <c r="L190" s="7">
        <f t="shared" si="11"/>
        <v>332.87316042484821</v>
      </c>
      <c r="M190" s="7">
        <f t="shared" si="12"/>
        <v>-0.22316042484823129</v>
      </c>
    </row>
    <row r="191" spans="6:13" ht="18.75" customHeight="1">
      <c r="F191" s="1">
        <v>27150</v>
      </c>
      <c r="G191">
        <f t="shared" si="9"/>
        <v>5</v>
      </c>
      <c r="H191" s="7">
        <v>333.09</v>
      </c>
      <c r="I191" s="7">
        <f>_A*F191*F191+_B*F191+_C</f>
        <v>330.44204311480212</v>
      </c>
      <c r="J191" s="7">
        <f t="shared" si="10"/>
        <v>2.647956885197857</v>
      </c>
      <c r="K191" s="7" cm="1">
        <f t="array" ref="K191">INDEX(Sm,G191)</f>
        <v>2.9925789844300432</v>
      </c>
      <c r="L191" s="7">
        <f t="shared" si="11"/>
        <v>333.43462209923217</v>
      </c>
      <c r="M191" s="7">
        <f t="shared" si="12"/>
        <v>-0.34462209923219689</v>
      </c>
    </row>
    <row r="192" spans="6:13" ht="18.75" customHeight="1">
      <c r="F192" s="1">
        <v>27181</v>
      </c>
      <c r="G192">
        <f t="shared" si="9"/>
        <v>6</v>
      </c>
      <c r="H192" s="7">
        <v>332.25</v>
      </c>
      <c r="I192" s="7">
        <f>_A*F192*F192+_B*F192+_C</f>
        <v>330.54392135678609</v>
      </c>
      <c r="J192" s="7">
        <f t="shared" si="10"/>
        <v>1.7060786432139139</v>
      </c>
      <c r="K192" s="7" cm="1">
        <f t="array" ref="K192">INDEX(Sm,G192)</f>
        <v>2.3204129706322356</v>
      </c>
      <c r="L192" s="7">
        <f t="shared" si="11"/>
        <v>332.86433432741831</v>
      </c>
      <c r="M192" s="7">
        <f t="shared" si="12"/>
        <v>-0.61433432741830529</v>
      </c>
    </row>
    <row r="193" spans="6:13" ht="18.75" customHeight="1">
      <c r="F193" s="1">
        <v>27211</v>
      </c>
      <c r="G193">
        <f t="shared" si="9"/>
        <v>7</v>
      </c>
      <c r="H193" s="7">
        <v>331.18</v>
      </c>
      <c r="I193" s="7">
        <f>_A*F193*F193+_B*F193+_C</f>
        <v>330.64268512084652</v>
      </c>
      <c r="J193" s="7">
        <f t="shared" si="10"/>
        <v>0.53731487915348453</v>
      </c>
      <c r="K193" s="7" cm="1">
        <f t="array" ref="K193">INDEX(Sm,G193)</f>
        <v>0.81833597443365613</v>
      </c>
      <c r="L193" s="7">
        <f t="shared" si="11"/>
        <v>331.46102109528016</v>
      </c>
      <c r="M193" s="7">
        <f t="shared" si="12"/>
        <v>-0.28102109528015262</v>
      </c>
    </row>
    <row r="194" spans="6:13" ht="18.75" customHeight="1">
      <c r="F194" s="1">
        <v>27242</v>
      </c>
      <c r="G194">
        <f t="shared" si="9"/>
        <v>8</v>
      </c>
      <c r="H194" s="7">
        <v>329.39</v>
      </c>
      <c r="I194" s="7">
        <f>_A*F194*F194+_B*F194+_C</f>
        <v>330.74491865792078</v>
      </c>
      <c r="J194" s="7">
        <f t="shared" si="10"/>
        <v>-1.3549186579207912</v>
      </c>
      <c r="K194" s="7" cm="1">
        <f t="array" ref="K194">INDEX(Sm,G194)</f>
        <v>-1.2372810548909516</v>
      </c>
      <c r="L194" s="7">
        <f t="shared" si="11"/>
        <v>329.50763760302982</v>
      </c>
      <c r="M194" s="7">
        <f t="shared" si="12"/>
        <v>-0.11763760302983428</v>
      </c>
    </row>
    <row r="195" spans="6:13" ht="18.75" customHeight="1">
      <c r="F195" s="1">
        <v>27273</v>
      </c>
      <c r="G195">
        <f t="shared" ref="G195:G258" si="13">MONTH(F195)</f>
        <v>9</v>
      </c>
      <c r="H195" s="7">
        <v>327.43</v>
      </c>
      <c r="I195" s="7">
        <f>_A*F195*F195+_B*F195+_C</f>
        <v>330.84733275479499</v>
      </c>
      <c r="J195" s="7">
        <f t="shared" ref="J195:J258" si="14">H195-I195</f>
        <v>-3.4173327547949839</v>
      </c>
      <c r="K195" s="7" cm="1">
        <f t="array" ref="K195">INDEX(Sm,G195)</f>
        <v>-3.0811738821107677</v>
      </c>
      <c r="L195" s="7">
        <f t="shared" ref="L195:L258" si="15">I195+K195</f>
        <v>327.76615887268423</v>
      </c>
      <c r="M195" s="7">
        <f t="shared" ref="M195:M258" si="16">H195-L195</f>
        <v>-0.33615887268422284</v>
      </c>
    </row>
    <row r="196" spans="6:13" ht="18.75" customHeight="1">
      <c r="F196" s="1">
        <v>27303</v>
      </c>
      <c r="G196">
        <f t="shared" si="13"/>
        <v>10</v>
      </c>
      <c r="H196" s="7">
        <v>327.37</v>
      </c>
      <c r="I196" s="7">
        <f>_A*F196*F196+_B*F196+_C</f>
        <v>330.94661508810401</v>
      </c>
      <c r="J196" s="7">
        <f t="shared" si="14"/>
        <v>-3.5766150881040062</v>
      </c>
      <c r="K196" s="7" cm="1">
        <f t="array" ref="K196">INDEX(Sm,G196)</f>
        <v>-3.2770720300056544</v>
      </c>
      <c r="L196" s="7">
        <f t="shared" si="15"/>
        <v>327.66954305809838</v>
      </c>
      <c r="M196" s="7">
        <f t="shared" si="16"/>
        <v>-0.29954305809837933</v>
      </c>
    </row>
    <row r="197" spans="6:13" ht="18.75" customHeight="1">
      <c r="F197" s="1">
        <v>27334</v>
      </c>
      <c r="G197">
        <f t="shared" si="13"/>
        <v>11</v>
      </c>
      <c r="H197" s="7">
        <v>328.46</v>
      </c>
      <c r="I197" s="7">
        <f>_A*F197*F197+_B*F197+_C</f>
        <v>331.04938448006845</v>
      </c>
      <c r="J197" s="7">
        <f t="shared" si="14"/>
        <v>-2.5893844800684747</v>
      </c>
      <c r="K197" s="7" cm="1">
        <f t="array" ref="K197">INDEX(Sm,G197)</f>
        <v>-2.0734932780028581</v>
      </c>
      <c r="L197" s="7">
        <f t="shared" si="15"/>
        <v>328.97589120206561</v>
      </c>
      <c r="M197" s="7">
        <f t="shared" si="16"/>
        <v>-0.51589120206563166</v>
      </c>
    </row>
    <row r="198" spans="6:13" ht="18.75" customHeight="1">
      <c r="F198" s="1">
        <v>27364</v>
      </c>
      <c r="G198">
        <f t="shared" si="13"/>
        <v>12</v>
      </c>
      <c r="H198" s="7">
        <v>329.57</v>
      </c>
      <c r="I198" s="7">
        <f>_A*F198*F198+_B*F198+_C</f>
        <v>331.14901064733579</v>
      </c>
      <c r="J198" s="7">
        <f t="shared" si="14"/>
        <v>-1.5790106473357923</v>
      </c>
      <c r="K198" s="7" cm="1">
        <f t="array" ref="K198">INDEX(Sm,G198)</f>
        <v>-0.94500362363844403</v>
      </c>
      <c r="L198" s="7">
        <f t="shared" si="15"/>
        <v>330.20400702369733</v>
      </c>
      <c r="M198" s="7">
        <f t="shared" si="16"/>
        <v>-0.63400702369733608</v>
      </c>
    </row>
    <row r="199" spans="6:13" ht="18.75" customHeight="1">
      <c r="F199" s="1">
        <v>27395</v>
      </c>
      <c r="G199">
        <f t="shared" si="13"/>
        <v>1</v>
      </c>
      <c r="H199" s="7">
        <v>330.4</v>
      </c>
      <c r="I199" s="7">
        <f>_A*F199*F199+_B*F199+_C</f>
        <v>331.25213533439046</v>
      </c>
      <c r="J199" s="7">
        <f t="shared" si="14"/>
        <v>-0.85213533439048206</v>
      </c>
      <c r="K199" s="7" cm="1">
        <f t="array" ref="K199">INDEX(Sm,G199)</f>
        <v>-3.1273707705410173E-2</v>
      </c>
      <c r="L199" s="7">
        <f t="shared" si="15"/>
        <v>331.22086162668506</v>
      </c>
      <c r="M199" s="7">
        <f t="shared" si="16"/>
        <v>-0.82086162668508678</v>
      </c>
    </row>
    <row r="200" spans="6:13" ht="18.75" customHeight="1">
      <c r="F200" s="1">
        <v>27426</v>
      </c>
      <c r="G200">
        <f t="shared" si="13"/>
        <v>2</v>
      </c>
      <c r="H200" s="7">
        <v>331.4</v>
      </c>
      <c r="I200" s="7">
        <f>_A*F200*F200+_B*F200+_C</f>
        <v>331.35544058124515</v>
      </c>
      <c r="J200" s="7">
        <f t="shared" si="14"/>
        <v>4.4559418754829494E-2</v>
      </c>
      <c r="K200" s="7" cm="1">
        <f t="array" ref="K200">INDEX(Sm,G200)</f>
        <v>0.60795807352328612</v>
      </c>
      <c r="L200" s="7">
        <f t="shared" si="15"/>
        <v>331.96339865476841</v>
      </c>
      <c r="M200" s="7">
        <f t="shared" si="16"/>
        <v>-0.56339865476843443</v>
      </c>
    </row>
    <row r="201" spans="6:13" ht="18.75" customHeight="1">
      <c r="F201" s="1">
        <v>27454</v>
      </c>
      <c r="G201">
        <f t="shared" si="13"/>
        <v>3</v>
      </c>
      <c r="H201" s="7">
        <v>332.04</v>
      </c>
      <c r="I201" s="7">
        <f>_A*F201*F201+_B*F201+_C</f>
        <v>331.44890374114584</v>
      </c>
      <c r="J201" s="7">
        <f t="shared" si="14"/>
        <v>0.59109625885417927</v>
      </c>
      <c r="K201" s="7" cm="1">
        <f t="array" ref="K201">INDEX(Sm,G201)</f>
        <v>1.368171928762181</v>
      </c>
      <c r="L201" s="7">
        <f t="shared" si="15"/>
        <v>332.81707566990804</v>
      </c>
      <c r="M201" s="7">
        <f t="shared" si="16"/>
        <v>-0.77707566990801524</v>
      </c>
    </row>
    <row r="202" spans="6:13" ht="18.75" customHeight="1">
      <c r="F202" s="1">
        <v>27485</v>
      </c>
      <c r="G202">
        <f t="shared" si="13"/>
        <v>4</v>
      </c>
      <c r="H202" s="7">
        <v>333.31</v>
      </c>
      <c r="I202" s="7">
        <f>_A*F202*F202+_B*F202+_C</f>
        <v>331.55255263407145</v>
      </c>
      <c r="J202" s="7">
        <f t="shared" si="14"/>
        <v>1.7574473659285559</v>
      </c>
      <c r="K202" s="7" cm="1">
        <f t="array" ref="K202">INDEX(Sm,G202)</f>
        <v>2.5295372401482399</v>
      </c>
      <c r="L202" s="7">
        <f t="shared" si="15"/>
        <v>334.08208987421966</v>
      </c>
      <c r="M202" s="7">
        <f t="shared" si="16"/>
        <v>-0.77208987421965958</v>
      </c>
    </row>
    <row r="203" spans="6:13" ht="18.75" customHeight="1">
      <c r="F203" s="1">
        <v>27515</v>
      </c>
      <c r="G203">
        <f t="shared" si="13"/>
        <v>5</v>
      </c>
      <c r="H203" s="7">
        <v>333.97</v>
      </c>
      <c r="I203" s="7">
        <f>_A*F203*F203+_B*F203+_C</f>
        <v>331.65302993130109</v>
      </c>
      <c r="J203" s="7">
        <f t="shared" si="14"/>
        <v>2.3169700686989358</v>
      </c>
      <c r="K203" s="7" cm="1">
        <f t="array" ref="K203">INDEX(Sm,G203)</f>
        <v>2.9925789844300432</v>
      </c>
      <c r="L203" s="7">
        <f t="shared" si="15"/>
        <v>334.64560891573115</v>
      </c>
      <c r="M203" s="7">
        <f t="shared" si="16"/>
        <v>-0.67560891573111803</v>
      </c>
    </row>
    <row r="204" spans="6:13" ht="18.75" customHeight="1">
      <c r="F204" s="1">
        <v>27546</v>
      </c>
      <c r="G204">
        <f t="shared" si="13"/>
        <v>6</v>
      </c>
      <c r="H204" s="7">
        <v>333.6</v>
      </c>
      <c r="I204" s="7">
        <f>_A*F204*F204+_B*F204+_C</f>
        <v>331.75703411931693</v>
      </c>
      <c r="J204" s="7">
        <f t="shared" si="14"/>
        <v>1.8429658806830957</v>
      </c>
      <c r="K204" s="7" cm="1">
        <f t="array" ref="K204">INDEX(Sm,G204)</f>
        <v>2.3204129706322356</v>
      </c>
      <c r="L204" s="7">
        <f t="shared" si="15"/>
        <v>334.07744708994915</v>
      </c>
      <c r="M204" s="7">
        <f t="shared" si="16"/>
        <v>-0.47744708994912344</v>
      </c>
    </row>
    <row r="205" spans="6:13" ht="18.75" customHeight="1">
      <c r="F205" s="1">
        <v>27576</v>
      </c>
      <c r="G205">
        <f t="shared" si="13"/>
        <v>7</v>
      </c>
      <c r="H205" s="7">
        <v>331.9</v>
      </c>
      <c r="I205" s="7">
        <f>_A*F205*F205+_B*F205+_C</f>
        <v>331.85785525050488</v>
      </c>
      <c r="J205" s="7">
        <f t="shared" si="14"/>
        <v>4.2144749495093947E-2</v>
      </c>
      <c r="K205" s="7" cm="1">
        <f t="array" ref="K205">INDEX(Sm,G205)</f>
        <v>0.81833597443365613</v>
      </c>
      <c r="L205" s="7">
        <f t="shared" si="15"/>
        <v>332.67619122493852</v>
      </c>
      <c r="M205" s="7">
        <f t="shared" si="16"/>
        <v>-0.7761912249385432</v>
      </c>
    </row>
    <row r="206" spans="6:13" ht="18.75" customHeight="1">
      <c r="F206" s="1">
        <v>27607</v>
      </c>
      <c r="G206">
        <f t="shared" si="13"/>
        <v>8</v>
      </c>
      <c r="H206" s="7">
        <v>330.06</v>
      </c>
      <c r="I206" s="7">
        <f>_A*F206*F206+_B*F206+_C</f>
        <v>331.96221473361095</v>
      </c>
      <c r="J206" s="7">
        <f t="shared" si="14"/>
        <v>-1.902214733610947</v>
      </c>
      <c r="K206" s="7" cm="1">
        <f t="array" ref="K206">INDEX(Sm,G206)</f>
        <v>-1.2372810548909516</v>
      </c>
      <c r="L206" s="7">
        <f t="shared" si="15"/>
        <v>330.72493367871999</v>
      </c>
      <c r="M206" s="7">
        <f t="shared" si="16"/>
        <v>-0.66493367871998998</v>
      </c>
    </row>
    <row r="207" spans="6:13" ht="18.75" customHeight="1">
      <c r="F207" s="1">
        <v>27638</v>
      </c>
      <c r="G207">
        <f t="shared" si="13"/>
        <v>9</v>
      </c>
      <c r="H207" s="7">
        <v>328.56</v>
      </c>
      <c r="I207" s="7">
        <f>_A*F207*F207+_B*F207+_C</f>
        <v>332.06675477651697</v>
      </c>
      <c r="J207" s="7">
        <f t="shared" si="14"/>
        <v>-3.5067547765169707</v>
      </c>
      <c r="K207" s="7" cm="1">
        <f t="array" ref="K207">INDEX(Sm,G207)</f>
        <v>-3.0811738821107677</v>
      </c>
      <c r="L207" s="7">
        <f t="shared" si="15"/>
        <v>328.98558089440621</v>
      </c>
      <c r="M207" s="7">
        <f t="shared" si="16"/>
        <v>-0.42558089440620961</v>
      </c>
    </row>
    <row r="208" spans="6:13" ht="18.75" customHeight="1">
      <c r="F208" s="1">
        <v>27668</v>
      </c>
      <c r="G208">
        <f t="shared" si="13"/>
        <v>10</v>
      </c>
      <c r="H208" s="7">
        <v>328.34</v>
      </c>
      <c r="I208" s="7">
        <f>_A*F208*F208+_B*F208+_C</f>
        <v>332.16809447695357</v>
      </c>
      <c r="J208" s="7">
        <f t="shared" si="14"/>
        <v>-3.8280944769535949</v>
      </c>
      <c r="K208" s="7" cm="1">
        <f t="array" ref="K208">INDEX(Sm,G208)</f>
        <v>-3.2770720300056544</v>
      </c>
      <c r="L208" s="7">
        <f t="shared" si="15"/>
        <v>328.89102244694794</v>
      </c>
      <c r="M208" s="7">
        <f t="shared" si="16"/>
        <v>-0.55102244694796809</v>
      </c>
    </row>
    <row r="209" spans="6:13" ht="18.75" customHeight="1">
      <c r="F209" s="1">
        <v>27699</v>
      </c>
      <c r="G209">
        <f t="shared" si="13"/>
        <v>11</v>
      </c>
      <c r="H209" s="7">
        <v>329.49</v>
      </c>
      <c r="I209" s="7">
        <f>_A*F209*F209+_B*F209+_C</f>
        <v>332.27298981494982</v>
      </c>
      <c r="J209" s="7">
        <f t="shared" si="14"/>
        <v>-2.7829898149498149</v>
      </c>
      <c r="K209" s="7" cm="1">
        <f t="array" ref="K209">INDEX(Sm,G209)</f>
        <v>-2.0734932780028581</v>
      </c>
      <c r="L209" s="7">
        <f t="shared" si="15"/>
        <v>330.19949653694698</v>
      </c>
      <c r="M209" s="7">
        <f t="shared" si="16"/>
        <v>-0.7094965369469719</v>
      </c>
    </row>
    <row r="210" spans="6:13" ht="18.75" customHeight="1">
      <c r="F210" s="1">
        <v>27729</v>
      </c>
      <c r="G210">
        <f t="shared" si="13"/>
        <v>12</v>
      </c>
      <c r="H210" s="7">
        <v>330.76</v>
      </c>
      <c r="I210" s="7">
        <f>_A*F210*F210+_B*F210+_C</f>
        <v>332.37467334934468</v>
      </c>
      <c r="J210" s="7">
        <f t="shared" si="14"/>
        <v>-1.6146733493446845</v>
      </c>
      <c r="K210" s="7" cm="1">
        <f t="array" ref="K210">INDEX(Sm,G210)</f>
        <v>-0.94500362363844403</v>
      </c>
      <c r="L210" s="7">
        <f t="shared" si="15"/>
        <v>331.42966972570622</v>
      </c>
      <c r="M210" s="7">
        <f t="shared" si="16"/>
        <v>-0.66966972570622829</v>
      </c>
    </row>
    <row r="211" spans="6:13" ht="18.75" customHeight="1">
      <c r="F211" s="1">
        <v>27760</v>
      </c>
      <c r="G211">
        <f t="shared" si="13"/>
        <v>1</v>
      </c>
      <c r="H211" s="7">
        <v>331.75</v>
      </c>
      <c r="I211" s="7">
        <f>_A*F211*F211+_B*F211+_C</f>
        <v>332.47992398243122</v>
      </c>
      <c r="J211" s="7">
        <f t="shared" si="14"/>
        <v>-0.7299239824312167</v>
      </c>
      <c r="K211" s="7" cm="1">
        <f t="array" ref="K211">INDEX(Sm,G211)</f>
        <v>-3.1273707705410173E-2</v>
      </c>
      <c r="L211" s="7">
        <f t="shared" si="15"/>
        <v>332.44865027472582</v>
      </c>
      <c r="M211" s="7">
        <f t="shared" si="16"/>
        <v>-0.69865027472582142</v>
      </c>
    </row>
    <row r="212" spans="6:13" ht="18.75" customHeight="1">
      <c r="F212" s="1">
        <v>27791</v>
      </c>
      <c r="G212">
        <f t="shared" si="13"/>
        <v>2</v>
      </c>
      <c r="H212" s="7">
        <v>332.57</v>
      </c>
      <c r="I212" s="7">
        <f>_A*F212*F212+_B*F212+_C</f>
        <v>332.58535517531766</v>
      </c>
      <c r="J212" s="7">
        <f t="shared" si="14"/>
        <v>-1.5355175317665726E-2</v>
      </c>
      <c r="K212" s="7" cm="1">
        <f t="array" ref="K212">INDEX(Sm,G212)</f>
        <v>0.60795807352328612</v>
      </c>
      <c r="L212" s="7">
        <f t="shared" si="15"/>
        <v>333.19331324884092</v>
      </c>
      <c r="M212" s="7">
        <f t="shared" si="16"/>
        <v>-0.62331324884092965</v>
      </c>
    </row>
    <row r="213" spans="6:13" ht="18.75" customHeight="1">
      <c r="F213" s="1">
        <v>27820</v>
      </c>
      <c r="G213">
        <f t="shared" si="13"/>
        <v>3</v>
      </c>
      <c r="H213" s="7">
        <v>333.5</v>
      </c>
      <c r="I213" s="7">
        <f>_A*F213*F213+_B*F213+_C</f>
        <v>332.68414781780558</v>
      </c>
      <c r="J213" s="7">
        <f t="shared" si="14"/>
        <v>0.81585218219441913</v>
      </c>
      <c r="K213" s="7" cm="1">
        <f t="array" ref="K213">INDEX(Sm,G213)</f>
        <v>1.368171928762181</v>
      </c>
      <c r="L213" s="7">
        <f t="shared" si="15"/>
        <v>334.05231974656778</v>
      </c>
      <c r="M213" s="7">
        <f t="shared" si="16"/>
        <v>-0.55231974656777538</v>
      </c>
    </row>
    <row r="214" spans="6:13" ht="18.75" customHeight="1">
      <c r="F214" s="1">
        <v>27851</v>
      </c>
      <c r="G214">
        <f t="shared" si="13"/>
        <v>4</v>
      </c>
      <c r="H214" s="7">
        <v>334.58</v>
      </c>
      <c r="I214" s="7">
        <f>_A*F214*F214+_B*F214+_C</f>
        <v>332.78992848127263</v>
      </c>
      <c r="J214" s="7">
        <f t="shared" si="14"/>
        <v>1.790071518727359</v>
      </c>
      <c r="K214" s="7" cm="1">
        <f t="array" ref="K214">INDEX(Sm,G214)</f>
        <v>2.5295372401482399</v>
      </c>
      <c r="L214" s="7">
        <f t="shared" si="15"/>
        <v>335.31946572142084</v>
      </c>
      <c r="M214" s="7">
        <f t="shared" si="16"/>
        <v>-0.73946572142085643</v>
      </c>
    </row>
    <row r="215" spans="6:13" ht="18.75" customHeight="1">
      <c r="F215" s="1">
        <v>27881</v>
      </c>
      <c r="G215">
        <f t="shared" si="13"/>
        <v>5</v>
      </c>
      <c r="H215" s="7">
        <v>334.88</v>
      </c>
      <c r="I215" s="7">
        <f>_A*F215*F215+_B*F215+_C</f>
        <v>332.89246878225214</v>
      </c>
      <c r="J215" s="7">
        <f t="shared" si="14"/>
        <v>1.9875312177478577</v>
      </c>
      <c r="K215" s="7" cm="1">
        <f t="array" ref="K215">INDEX(Sm,G215)</f>
        <v>2.9925789844300432</v>
      </c>
      <c r="L215" s="7">
        <f t="shared" si="15"/>
        <v>335.88504776668219</v>
      </c>
      <c r="M215" s="7">
        <f t="shared" si="16"/>
        <v>-1.0050477666821962</v>
      </c>
    </row>
    <row r="216" spans="6:13" ht="18.75" customHeight="1">
      <c r="F216" s="1">
        <v>27912</v>
      </c>
      <c r="G216">
        <f t="shared" si="13"/>
        <v>6</v>
      </c>
      <c r="H216" s="7">
        <v>334.33</v>
      </c>
      <c r="I216" s="7">
        <f>_A*F216*F216+_B*F216+_C</f>
        <v>332.99860474080947</v>
      </c>
      <c r="J216" s="7">
        <f t="shared" si="14"/>
        <v>1.3313952591905149</v>
      </c>
      <c r="K216" s="7" cm="1">
        <f t="array" ref="K216">INDEX(Sm,G216)</f>
        <v>2.3204129706322356</v>
      </c>
      <c r="L216" s="7">
        <f t="shared" si="15"/>
        <v>335.31901771144169</v>
      </c>
      <c r="M216" s="7">
        <f t="shared" si="16"/>
        <v>-0.98901771144170425</v>
      </c>
    </row>
    <row r="217" spans="6:13" ht="18.75" customHeight="1">
      <c r="F217" s="1">
        <v>27942</v>
      </c>
      <c r="G217">
        <f t="shared" si="13"/>
        <v>7</v>
      </c>
      <c r="H217" s="7">
        <v>333.05</v>
      </c>
      <c r="I217" s="7">
        <f>_A*F217*F217+_B*F217+_C</f>
        <v>333.10148887574724</v>
      </c>
      <c r="J217" s="7">
        <f t="shared" si="14"/>
        <v>-5.1488875747224938E-2</v>
      </c>
      <c r="K217" s="7" cm="1">
        <f t="array" ref="K217">INDEX(Sm,G217)</f>
        <v>0.81833597443365613</v>
      </c>
      <c r="L217" s="7">
        <f t="shared" si="15"/>
        <v>333.91982485018087</v>
      </c>
      <c r="M217" s="7">
        <f t="shared" si="16"/>
        <v>-0.86982485018086209</v>
      </c>
    </row>
    <row r="218" spans="6:13" ht="18.75" customHeight="1">
      <c r="F218" s="1">
        <v>27973</v>
      </c>
      <c r="G218">
        <f t="shared" si="13"/>
        <v>8</v>
      </c>
      <c r="H218" s="7">
        <v>330.94</v>
      </c>
      <c r="I218" s="7">
        <f>_A*F218*F218+_B*F218+_C</f>
        <v>333.2079801293948</v>
      </c>
      <c r="J218" s="7">
        <f t="shared" si="14"/>
        <v>-2.2679801293948003</v>
      </c>
      <c r="K218" s="7" cm="1">
        <f t="array" ref="K218">INDEX(Sm,G218)</f>
        <v>-1.2372810548909516</v>
      </c>
      <c r="L218" s="7">
        <f t="shared" si="15"/>
        <v>331.97069907450384</v>
      </c>
      <c r="M218" s="7">
        <f t="shared" si="16"/>
        <v>-1.0306990745038433</v>
      </c>
    </row>
    <row r="219" spans="6:13" ht="18.75" customHeight="1">
      <c r="F219" s="1">
        <v>28004</v>
      </c>
      <c r="G219">
        <f t="shared" si="13"/>
        <v>9</v>
      </c>
      <c r="H219" s="7">
        <v>329.3</v>
      </c>
      <c r="I219" s="7">
        <f>_A*F219*F219+_B*F219+_C</f>
        <v>333.31465194284232</v>
      </c>
      <c r="J219" s="7">
        <f t="shared" si="14"/>
        <v>-4.0146519428423062</v>
      </c>
      <c r="K219" s="7" cm="1">
        <f t="array" ref="K219">INDEX(Sm,G219)</f>
        <v>-3.0811738821107677</v>
      </c>
      <c r="L219" s="7">
        <f t="shared" si="15"/>
        <v>330.23347806073156</v>
      </c>
      <c r="M219" s="7">
        <f t="shared" si="16"/>
        <v>-0.93347806073154516</v>
      </c>
    </row>
    <row r="220" spans="6:13" ht="18.75" customHeight="1">
      <c r="F220" s="1">
        <v>28034</v>
      </c>
      <c r="G220">
        <f t="shared" si="13"/>
        <v>10</v>
      </c>
      <c r="H220" s="7">
        <v>328.94</v>
      </c>
      <c r="I220" s="7">
        <f>_A*F220*F220+_B*F220+_C</f>
        <v>333.41805464702873</v>
      </c>
      <c r="J220" s="7">
        <f t="shared" si="14"/>
        <v>-4.4780546470287277</v>
      </c>
      <c r="K220" s="7" cm="1">
        <f t="array" ref="K220">INDEX(Sm,G220)</f>
        <v>-3.2770720300056544</v>
      </c>
      <c r="L220" s="7">
        <f t="shared" si="15"/>
        <v>330.1409826170231</v>
      </c>
      <c r="M220" s="7">
        <f t="shared" si="16"/>
        <v>-1.2009826170231008</v>
      </c>
    </row>
    <row r="221" spans="6:13" ht="18.75" customHeight="1">
      <c r="F221" s="1">
        <v>28065</v>
      </c>
      <c r="G221">
        <f t="shared" si="13"/>
        <v>11</v>
      </c>
      <c r="H221" s="7">
        <v>330.31</v>
      </c>
      <c r="I221" s="7">
        <f>_A*F221*F221+_B*F221+_C</f>
        <v>333.52508175556648</v>
      </c>
      <c r="J221" s="7">
        <f t="shared" si="14"/>
        <v>-3.215081755566473</v>
      </c>
      <c r="K221" s="7" cm="1">
        <f t="array" ref="K221">INDEX(Sm,G221)</f>
        <v>-2.0734932780028581</v>
      </c>
      <c r="L221" s="7">
        <f t="shared" si="15"/>
        <v>331.45158847756363</v>
      </c>
      <c r="M221" s="7">
        <f t="shared" si="16"/>
        <v>-1.14158847756363</v>
      </c>
    </row>
    <row r="222" spans="6:13" ht="18.75" customHeight="1">
      <c r="F222" s="1">
        <v>28095</v>
      </c>
      <c r="G222">
        <f t="shared" si="13"/>
        <v>12</v>
      </c>
      <c r="H222" s="7">
        <v>331.68</v>
      </c>
      <c r="I222" s="7">
        <f>_A*F222*F222+_B*F222+_C</f>
        <v>333.62882829371119</v>
      </c>
      <c r="J222" s="7">
        <f t="shared" si="14"/>
        <v>-1.9488282937111876</v>
      </c>
      <c r="K222" s="7" cm="1">
        <f t="array" ref="K222">INDEX(Sm,G222)</f>
        <v>-0.94500362363844403</v>
      </c>
      <c r="L222" s="7">
        <f t="shared" si="15"/>
        <v>332.68382467007274</v>
      </c>
      <c r="M222" s="7">
        <f t="shared" si="16"/>
        <v>-1.0038246700727314</v>
      </c>
    </row>
    <row r="223" spans="6:13" ht="18.75" customHeight="1">
      <c r="F223" s="1">
        <v>28126</v>
      </c>
      <c r="G223">
        <f t="shared" si="13"/>
        <v>1</v>
      </c>
      <c r="H223" s="7">
        <v>332.93</v>
      </c>
      <c r="I223" s="7">
        <f>_A*F223*F223+_B*F223+_C</f>
        <v>333.73621069733917</v>
      </c>
      <c r="J223" s="7">
        <f t="shared" si="14"/>
        <v>-0.80621069733916784</v>
      </c>
      <c r="K223" s="7" cm="1">
        <f t="array" ref="K223">INDEX(Sm,G223)</f>
        <v>-3.1273707705410173E-2</v>
      </c>
      <c r="L223" s="7">
        <f t="shared" si="15"/>
        <v>333.70493698963378</v>
      </c>
      <c r="M223" s="7">
        <f t="shared" si="16"/>
        <v>-0.77493698963377255</v>
      </c>
    </row>
    <row r="224" spans="6:13" ht="18.75" customHeight="1">
      <c r="F224" s="1">
        <v>28157</v>
      </c>
      <c r="G224">
        <f t="shared" si="13"/>
        <v>2</v>
      </c>
      <c r="H224" s="7">
        <v>333.42</v>
      </c>
      <c r="I224" s="7">
        <f>_A*F224*F224+_B*F224+_C</f>
        <v>333.84377366076711</v>
      </c>
      <c r="J224" s="7">
        <f t="shared" si="14"/>
        <v>-0.42377366076709677</v>
      </c>
      <c r="K224" s="7" cm="1">
        <f t="array" ref="K224">INDEX(Sm,G224)</f>
        <v>0.60795807352328612</v>
      </c>
      <c r="L224" s="7">
        <f t="shared" si="15"/>
        <v>334.45173173429038</v>
      </c>
      <c r="M224" s="7">
        <f t="shared" si="16"/>
        <v>-1.0317317342903607</v>
      </c>
    </row>
    <row r="225" spans="6:13" ht="18.75" customHeight="1">
      <c r="F225" s="1">
        <v>28185</v>
      </c>
      <c r="G225">
        <f t="shared" si="13"/>
        <v>3</v>
      </c>
      <c r="H225" s="7">
        <v>334.7</v>
      </c>
      <c r="I225" s="7">
        <f>_A*F225*F225+_B*F225+_C</f>
        <v>333.94108250015341</v>
      </c>
      <c r="J225" s="7">
        <f t="shared" si="14"/>
        <v>0.75891749984657508</v>
      </c>
      <c r="K225" s="7" cm="1">
        <f t="array" ref="K225">INDEX(Sm,G225)</f>
        <v>1.368171928762181</v>
      </c>
      <c r="L225" s="7">
        <f t="shared" si="15"/>
        <v>335.30925442891561</v>
      </c>
      <c r="M225" s="7">
        <f t="shared" si="16"/>
        <v>-0.60925442891561943</v>
      </c>
    </row>
    <row r="226" spans="6:13" ht="18.75" customHeight="1">
      <c r="F226" s="1">
        <v>28216</v>
      </c>
      <c r="G226">
        <f t="shared" si="13"/>
        <v>4</v>
      </c>
      <c r="H226" s="7">
        <v>336.07</v>
      </c>
      <c r="I226" s="7">
        <f>_A*F226*F226+_B*F226+_C</f>
        <v>334.04898910965227</v>
      </c>
      <c r="J226" s="7">
        <f t="shared" si="14"/>
        <v>2.0210108903477249</v>
      </c>
      <c r="K226" s="7" cm="1">
        <f t="array" ref="K226">INDEX(Sm,G226)</f>
        <v>2.5295372401482399</v>
      </c>
      <c r="L226" s="7">
        <f t="shared" si="15"/>
        <v>336.57852634980048</v>
      </c>
      <c r="M226" s="7">
        <f t="shared" si="16"/>
        <v>-0.50852634980049061</v>
      </c>
    </row>
    <row r="227" spans="6:13" ht="18.75" customHeight="1">
      <c r="F227" s="1">
        <v>28246</v>
      </c>
      <c r="G227">
        <f t="shared" si="13"/>
        <v>5</v>
      </c>
      <c r="H227" s="7">
        <v>336.75</v>
      </c>
      <c r="I227" s="7">
        <f>_A*F227*F227+_B*F227+_C</f>
        <v>334.15358677775936</v>
      </c>
      <c r="J227" s="7">
        <f t="shared" si="14"/>
        <v>2.596413222240642</v>
      </c>
      <c r="K227" s="7" cm="1">
        <f t="array" ref="K227">INDEX(Sm,G227)</f>
        <v>2.9925789844300432</v>
      </c>
      <c r="L227" s="7">
        <f t="shared" si="15"/>
        <v>337.14616576218941</v>
      </c>
      <c r="M227" s="7">
        <f t="shared" si="16"/>
        <v>-0.39616576218941191</v>
      </c>
    </row>
    <row r="228" spans="6:13" ht="18.75" customHeight="1">
      <c r="F228" s="1">
        <v>28277</v>
      </c>
      <c r="G228">
        <f t="shared" si="13"/>
        <v>6</v>
      </c>
      <c r="H228" s="7">
        <v>336.27</v>
      </c>
      <c r="I228" s="7">
        <f>_A*F228*F228+_B*F228+_C</f>
        <v>334.26184868234844</v>
      </c>
      <c r="J228" s="7">
        <f t="shared" si="14"/>
        <v>2.0081513176515386</v>
      </c>
      <c r="K228" s="7" cm="1">
        <f t="array" ref="K228">INDEX(Sm,G228)</f>
        <v>2.3204129706322356</v>
      </c>
      <c r="L228" s="7">
        <f t="shared" si="15"/>
        <v>336.58226165298066</v>
      </c>
      <c r="M228" s="7">
        <f t="shared" si="16"/>
        <v>-0.31226165298068054</v>
      </c>
    </row>
    <row r="229" spans="6:13" ht="18.75" customHeight="1">
      <c r="F229" s="1">
        <v>28307</v>
      </c>
      <c r="G229">
        <f t="shared" si="13"/>
        <v>7</v>
      </c>
      <c r="H229" s="7">
        <v>334.92</v>
      </c>
      <c r="I229" s="7">
        <f>_A*F229*F229+_B*F229+_C</f>
        <v>334.36679018441384</v>
      </c>
      <c r="J229" s="7">
        <f t="shared" si="14"/>
        <v>0.55320981558617177</v>
      </c>
      <c r="K229" s="7" cm="1">
        <f t="array" ref="K229">INDEX(Sm,G229)</f>
        <v>0.81833597443365613</v>
      </c>
      <c r="L229" s="7">
        <f t="shared" si="15"/>
        <v>335.18512615884748</v>
      </c>
      <c r="M229" s="7">
        <f t="shared" si="16"/>
        <v>-0.26512615884746538</v>
      </c>
    </row>
    <row r="230" spans="6:13" ht="18.75" customHeight="1">
      <c r="F230" s="1">
        <v>28338</v>
      </c>
      <c r="G230">
        <f t="shared" si="13"/>
        <v>8</v>
      </c>
      <c r="H230" s="7">
        <v>332.75</v>
      </c>
      <c r="I230" s="7">
        <f>_A*F230*F230+_B*F230+_C</f>
        <v>334.47540738409316</v>
      </c>
      <c r="J230" s="7">
        <f t="shared" si="14"/>
        <v>-1.7254073840931596</v>
      </c>
      <c r="K230" s="7" cm="1">
        <f t="array" ref="K230">INDEX(Sm,G230)</f>
        <v>-1.2372810548909516</v>
      </c>
      <c r="L230" s="7">
        <f t="shared" si="15"/>
        <v>333.2381263292022</v>
      </c>
      <c r="M230" s="7">
        <f t="shared" si="16"/>
        <v>-0.48812632920220267</v>
      </c>
    </row>
    <row r="231" spans="6:13" ht="18.75" customHeight="1">
      <c r="F231" s="1">
        <v>28369</v>
      </c>
      <c r="G231">
        <f t="shared" si="13"/>
        <v>9</v>
      </c>
      <c r="H231" s="7">
        <v>331.59</v>
      </c>
      <c r="I231" s="7">
        <f>_A*F231*F231+_B*F231+_C</f>
        <v>334.58420514357249</v>
      </c>
      <c r="J231" s="7">
        <f t="shared" si="14"/>
        <v>-2.9942051435725148</v>
      </c>
      <c r="K231" s="7" cm="1">
        <f t="array" ref="K231">INDEX(Sm,G231)</f>
        <v>-3.0811738821107677</v>
      </c>
      <c r="L231" s="7">
        <f t="shared" si="15"/>
        <v>331.50303126146173</v>
      </c>
      <c r="M231" s="7">
        <f t="shared" si="16"/>
        <v>8.6968738538246271E-2</v>
      </c>
    </row>
    <row r="232" spans="6:13" ht="18.75" customHeight="1">
      <c r="F232" s="1">
        <v>28399</v>
      </c>
      <c r="G232">
        <f t="shared" si="13"/>
        <v>10</v>
      </c>
      <c r="H232" s="7">
        <v>331.16</v>
      </c>
      <c r="I232" s="7">
        <f>_A*F232*F232+_B*F232+_C</f>
        <v>334.68966521488647</v>
      </c>
      <c r="J232" s="7">
        <f t="shared" si="14"/>
        <v>-3.5296652148864496</v>
      </c>
      <c r="K232" s="7" cm="1">
        <f t="array" ref="K232">INDEX(Sm,G232)</f>
        <v>-3.2770720300056544</v>
      </c>
      <c r="L232" s="7">
        <f t="shared" si="15"/>
        <v>331.41259318488085</v>
      </c>
      <c r="M232" s="7">
        <f t="shared" si="16"/>
        <v>-0.25259318488082272</v>
      </c>
    </row>
    <row r="233" spans="6:13" ht="18.75" customHeight="1">
      <c r="F233" s="1">
        <v>28430</v>
      </c>
      <c r="G233">
        <f t="shared" si="13"/>
        <v>11</v>
      </c>
      <c r="H233" s="7">
        <v>332.4</v>
      </c>
      <c r="I233" s="7">
        <f>_A*F233*F233+_B*F233+_C</f>
        <v>334.79881826945604</v>
      </c>
      <c r="J233" s="7">
        <f t="shared" si="14"/>
        <v>-2.3988182694560578</v>
      </c>
      <c r="K233" s="7" cm="1">
        <f t="array" ref="K233">INDEX(Sm,G233)</f>
        <v>-2.0734932780028581</v>
      </c>
      <c r="L233" s="7">
        <f t="shared" si="15"/>
        <v>332.72532499145319</v>
      </c>
      <c r="M233" s="7">
        <f t="shared" si="16"/>
        <v>-0.32532499145321481</v>
      </c>
    </row>
    <row r="234" spans="6:13" ht="18.75" customHeight="1">
      <c r="F234" s="1">
        <v>28460</v>
      </c>
      <c r="G234">
        <f t="shared" si="13"/>
        <v>12</v>
      </c>
      <c r="H234" s="7">
        <v>333.85</v>
      </c>
      <c r="I234" s="7">
        <f>_A*F234*F234+_B*F234+_C</f>
        <v>334.90462217472827</v>
      </c>
      <c r="J234" s="7">
        <f t="shared" si="14"/>
        <v>-1.0546221747282516</v>
      </c>
      <c r="K234" s="7" cm="1">
        <f t="array" ref="K234">INDEX(Sm,G234)</f>
        <v>-0.94500362363844403</v>
      </c>
      <c r="L234" s="7">
        <f t="shared" si="15"/>
        <v>333.95961855108982</v>
      </c>
      <c r="M234" s="7">
        <f t="shared" si="16"/>
        <v>-0.10961855108979535</v>
      </c>
    </row>
    <row r="235" spans="6:13" ht="18.75" customHeight="1">
      <c r="F235" s="1">
        <v>28491</v>
      </c>
      <c r="G235">
        <f t="shared" si="13"/>
        <v>1</v>
      </c>
      <c r="H235" s="7">
        <v>334.97</v>
      </c>
      <c r="I235" s="7">
        <f>_A*F235*F235+_B*F235+_C</f>
        <v>335.01413052438807</v>
      </c>
      <c r="J235" s="7">
        <f t="shared" si="14"/>
        <v>-4.4130524388037884E-2</v>
      </c>
      <c r="K235" s="7" cm="1">
        <f t="array" ref="K235">INDEX(Sm,G235)</f>
        <v>-3.1273707705410173E-2</v>
      </c>
      <c r="L235" s="7">
        <f t="shared" si="15"/>
        <v>334.98285681668267</v>
      </c>
      <c r="M235" s="7">
        <f t="shared" si="16"/>
        <v>-1.2856816682642602E-2</v>
      </c>
    </row>
    <row r="236" spans="6:13" ht="18.75" customHeight="1">
      <c r="F236" s="1">
        <v>28522</v>
      </c>
      <c r="G236">
        <f t="shared" si="13"/>
        <v>2</v>
      </c>
      <c r="H236" s="7">
        <v>335.39</v>
      </c>
      <c r="I236" s="7">
        <f>_A*F236*F236+_B*F236+_C</f>
        <v>335.12381943384787</v>
      </c>
      <c r="J236" s="7">
        <f t="shared" si="14"/>
        <v>0.26618056615211572</v>
      </c>
      <c r="K236" s="7" cm="1">
        <f t="array" ref="K236">INDEX(Sm,G236)</f>
        <v>0.60795807352328612</v>
      </c>
      <c r="L236" s="7">
        <f t="shared" si="15"/>
        <v>335.73177750737113</v>
      </c>
      <c r="M236" s="7">
        <f t="shared" si="16"/>
        <v>-0.3417775073711482</v>
      </c>
    </row>
    <row r="237" spans="6:13" ht="18.75" customHeight="1">
      <c r="F237" s="1">
        <v>28550</v>
      </c>
      <c r="G237">
        <f t="shared" si="13"/>
        <v>3</v>
      </c>
      <c r="H237" s="7">
        <v>336.64</v>
      </c>
      <c r="I237" s="7">
        <f>_A*F237*F237+_B*F237+_C</f>
        <v>335.22304848255322</v>
      </c>
      <c r="J237" s="7">
        <f t="shared" si="14"/>
        <v>1.416951517446762</v>
      </c>
      <c r="K237" s="7" cm="1">
        <f t="array" ref="K237">INDEX(Sm,G237)</f>
        <v>1.368171928762181</v>
      </c>
      <c r="L237" s="7">
        <f t="shared" si="15"/>
        <v>336.59122041131542</v>
      </c>
      <c r="M237" s="7">
        <f t="shared" si="16"/>
        <v>4.8779588684567443E-2</v>
      </c>
    </row>
    <row r="238" spans="6:13" ht="18.75" customHeight="1">
      <c r="F238" s="1">
        <v>28581</v>
      </c>
      <c r="G238">
        <f t="shared" si="13"/>
        <v>4</v>
      </c>
      <c r="H238" s="7">
        <v>337.76</v>
      </c>
      <c r="I238" s="7">
        <f>_A*F238*F238+_B*F238+_C</f>
        <v>335.33308103808389</v>
      </c>
      <c r="J238" s="7">
        <f t="shared" si="14"/>
        <v>2.4269189619161011</v>
      </c>
      <c r="K238" s="7" cm="1">
        <f t="array" ref="K238">INDEX(Sm,G238)</f>
        <v>2.5295372401482399</v>
      </c>
      <c r="L238" s="7">
        <f t="shared" si="15"/>
        <v>337.86261827823211</v>
      </c>
      <c r="M238" s="7">
        <f t="shared" si="16"/>
        <v>-0.10261827823211433</v>
      </c>
    </row>
    <row r="239" spans="6:13" ht="18.75" customHeight="1">
      <c r="F239" s="1">
        <v>28611</v>
      </c>
      <c r="G239">
        <f t="shared" si="13"/>
        <v>5</v>
      </c>
      <c r="H239" s="7">
        <v>338.01</v>
      </c>
      <c r="I239" s="7">
        <f>_A*F239*F239+_B*F239+_C</f>
        <v>335.4397360733185</v>
      </c>
      <c r="J239" s="7">
        <f t="shared" si="14"/>
        <v>2.5702639266814913</v>
      </c>
      <c r="K239" s="7" cm="1">
        <f t="array" ref="K239">INDEX(Sm,G239)</f>
        <v>2.9925789844300432</v>
      </c>
      <c r="L239" s="7">
        <f t="shared" si="15"/>
        <v>338.43231505774855</v>
      </c>
      <c r="M239" s="7">
        <f t="shared" si="16"/>
        <v>-0.42231505774856259</v>
      </c>
    </row>
    <row r="240" spans="6:13" ht="18.75" customHeight="1">
      <c r="F240" s="1">
        <v>28642</v>
      </c>
      <c r="G240">
        <f t="shared" si="13"/>
        <v>6</v>
      </c>
      <c r="H240" s="7">
        <v>337.9</v>
      </c>
      <c r="I240" s="7">
        <f>_A*F240*F240+_B*F240+_C</f>
        <v>335.55012392393945</v>
      </c>
      <c r="J240" s="7">
        <f t="shared" si="14"/>
        <v>2.3498760760605251</v>
      </c>
      <c r="K240" s="7" cm="1">
        <f t="array" ref="K240">INDEX(Sm,G240)</f>
        <v>2.3204129706322356</v>
      </c>
      <c r="L240" s="7">
        <f t="shared" si="15"/>
        <v>337.87053689457167</v>
      </c>
      <c r="M240" s="7">
        <f t="shared" si="16"/>
        <v>2.946310542830588E-2</v>
      </c>
    </row>
    <row r="241" spans="6:13" ht="18.75" customHeight="1">
      <c r="F241" s="1">
        <v>28672</v>
      </c>
      <c r="G241">
        <f t="shared" si="13"/>
        <v>7</v>
      </c>
      <c r="H241" s="7">
        <v>336.54</v>
      </c>
      <c r="I241" s="7">
        <f>_A*F241*F241+_B*F241+_C</f>
        <v>335.65712279313237</v>
      </c>
      <c r="J241" s="7">
        <f t="shared" si="14"/>
        <v>0.88287720686764715</v>
      </c>
      <c r="K241" s="7" cm="1">
        <f t="array" ref="K241">INDEX(Sm,G241)</f>
        <v>0.81833597443365613</v>
      </c>
      <c r="L241" s="7">
        <f t="shared" si="15"/>
        <v>336.47545876756601</v>
      </c>
      <c r="M241" s="7">
        <f t="shared" si="16"/>
        <v>6.4541232434009999E-2</v>
      </c>
    </row>
    <row r="242" spans="6:13" ht="18.75" customHeight="1">
      <c r="F242" s="1">
        <v>28703</v>
      </c>
      <c r="G242">
        <f t="shared" si="13"/>
        <v>8</v>
      </c>
      <c r="H242" s="7">
        <v>334.68</v>
      </c>
      <c r="I242" s="7">
        <f>_A*F242*F242+_B*F242+_C</f>
        <v>335.76786593884356</v>
      </c>
      <c r="J242" s="7">
        <f t="shared" si="14"/>
        <v>-1.0878659388435494</v>
      </c>
      <c r="K242" s="7" cm="1">
        <f t="array" ref="K242">INDEX(Sm,G242)</f>
        <v>-1.2372810548909516</v>
      </c>
      <c r="L242" s="7">
        <f t="shared" si="15"/>
        <v>334.5305848839526</v>
      </c>
      <c r="M242" s="7">
        <f t="shared" si="16"/>
        <v>0.14941511604740754</v>
      </c>
    </row>
    <row r="243" spans="6:13" ht="18.75" customHeight="1">
      <c r="F243" s="1">
        <v>28734</v>
      </c>
      <c r="G243">
        <f t="shared" si="13"/>
        <v>9</v>
      </c>
      <c r="H243" s="7">
        <v>332.76</v>
      </c>
      <c r="I243" s="7">
        <f>_A*F243*F243+_B*F243+_C</f>
        <v>335.87878964435464</v>
      </c>
      <c r="J243" s="7">
        <f t="shared" si="14"/>
        <v>-3.1187896443546492</v>
      </c>
      <c r="K243" s="7" cm="1">
        <f t="array" ref="K243">INDEX(Sm,G243)</f>
        <v>-3.0811738821107677</v>
      </c>
      <c r="L243" s="7">
        <f t="shared" si="15"/>
        <v>332.79761576224388</v>
      </c>
      <c r="M243" s="7">
        <f t="shared" si="16"/>
        <v>-3.7615762243888184E-2</v>
      </c>
    </row>
    <row r="244" spans="6:13" ht="18.75" customHeight="1">
      <c r="F244" s="1">
        <v>28764</v>
      </c>
      <c r="G244">
        <f t="shared" si="13"/>
        <v>10</v>
      </c>
      <c r="H244" s="7">
        <v>332.55</v>
      </c>
      <c r="I244" s="7">
        <f>_A*F244*F244+_B*F244+_C</f>
        <v>335.9863070827962</v>
      </c>
      <c r="J244" s="7">
        <f t="shared" si="14"/>
        <v>-3.4363070827961906</v>
      </c>
      <c r="K244" s="7" cm="1">
        <f t="array" ref="K244">INDEX(Sm,G244)</f>
        <v>-3.2770720300056544</v>
      </c>
      <c r="L244" s="7">
        <f t="shared" si="15"/>
        <v>332.70923505279058</v>
      </c>
      <c r="M244" s="7">
        <f t="shared" si="16"/>
        <v>-0.15923505279056371</v>
      </c>
    </row>
    <row r="245" spans="6:13" ht="18.75" customHeight="1">
      <c r="F245" s="1">
        <v>28795</v>
      </c>
      <c r="G245">
        <f t="shared" si="13"/>
        <v>11</v>
      </c>
      <c r="H245" s="7">
        <v>333.92</v>
      </c>
      <c r="I245" s="7">
        <f>_A*F245*F245+_B*F245+_C</f>
        <v>336.09758608339757</v>
      </c>
      <c r="J245" s="7">
        <f t="shared" si="14"/>
        <v>-2.1775860833975571</v>
      </c>
      <c r="K245" s="7" cm="1">
        <f t="array" ref="K245">INDEX(Sm,G245)</f>
        <v>-2.0734932780028581</v>
      </c>
      <c r="L245" s="7">
        <f t="shared" si="15"/>
        <v>334.02409280539473</v>
      </c>
      <c r="M245" s="7">
        <f t="shared" si="16"/>
        <v>-0.10409280539471411</v>
      </c>
    </row>
    <row r="246" spans="6:13" ht="18.75" customHeight="1">
      <c r="F246" s="1">
        <v>28825</v>
      </c>
      <c r="G246">
        <f t="shared" si="13"/>
        <v>12</v>
      </c>
      <c r="H246" s="7">
        <v>334.95</v>
      </c>
      <c r="I246" s="7">
        <f>_A*F246*F246+_B*F246+_C</f>
        <v>336.20544735579739</v>
      </c>
      <c r="J246" s="7">
        <f t="shared" si="14"/>
        <v>-1.2554473557974006</v>
      </c>
      <c r="K246" s="7" cm="1">
        <f t="array" ref="K246">INDEX(Sm,G246)</f>
        <v>-0.94500362363844403</v>
      </c>
      <c r="L246" s="7">
        <f t="shared" si="15"/>
        <v>335.26044373215893</v>
      </c>
      <c r="M246" s="7">
        <f t="shared" si="16"/>
        <v>-0.31044373215894439</v>
      </c>
    </row>
    <row r="247" spans="6:13" ht="18.75" customHeight="1">
      <c r="F247" s="1">
        <v>28856</v>
      </c>
      <c r="G247">
        <f t="shared" si="13"/>
        <v>1</v>
      </c>
      <c r="H247" s="7">
        <v>336.23</v>
      </c>
      <c r="I247" s="7">
        <f>_A*F247*F247+_B*F247+_C</f>
        <v>336.31708165148899</v>
      </c>
      <c r="J247" s="7">
        <f t="shared" si="14"/>
        <v>-8.7081651488972511E-2</v>
      </c>
      <c r="K247" s="7" cm="1">
        <f t="array" ref="K247">INDEX(Sm,G247)</f>
        <v>-3.1273707705410173E-2</v>
      </c>
      <c r="L247" s="7">
        <f t="shared" si="15"/>
        <v>336.2858079437836</v>
      </c>
      <c r="M247" s="7">
        <f t="shared" si="16"/>
        <v>-5.580794378357723E-2</v>
      </c>
    </row>
    <row r="248" spans="6:13" ht="18.75" customHeight="1">
      <c r="F248" s="1">
        <v>28887</v>
      </c>
      <c r="G248">
        <f t="shared" si="13"/>
        <v>2</v>
      </c>
      <c r="H248" s="7">
        <v>336.76</v>
      </c>
      <c r="I248" s="7">
        <f>_A*F248*F248+_B*F248+_C</f>
        <v>336.42889650698061</v>
      </c>
      <c r="J248" s="7">
        <f t="shared" si="14"/>
        <v>0.33110349301938413</v>
      </c>
      <c r="K248" s="7" cm="1">
        <f t="array" ref="K248">INDEX(Sm,G248)</f>
        <v>0.60795807352328612</v>
      </c>
      <c r="L248" s="7">
        <f t="shared" si="15"/>
        <v>337.03685458050387</v>
      </c>
      <c r="M248" s="7">
        <f t="shared" si="16"/>
        <v>-0.27685458050387979</v>
      </c>
    </row>
    <row r="249" spans="6:13" ht="18.75" customHeight="1">
      <c r="F249" s="1">
        <v>28915</v>
      </c>
      <c r="G249">
        <f t="shared" si="13"/>
        <v>3</v>
      </c>
      <c r="H249" s="7">
        <v>337.96</v>
      </c>
      <c r="I249" s="7">
        <f>_A*F249*F249+_B*F249+_C</f>
        <v>336.53004576500501</v>
      </c>
      <c r="J249" s="7">
        <f t="shared" si="14"/>
        <v>1.4299542349949661</v>
      </c>
      <c r="K249" s="7" cm="1">
        <f t="array" ref="K249">INDEX(Sm,G249)</f>
        <v>1.368171928762181</v>
      </c>
      <c r="L249" s="7">
        <f t="shared" si="15"/>
        <v>337.89821769376721</v>
      </c>
      <c r="M249" s="7">
        <f t="shared" si="16"/>
        <v>6.1782306232771589E-2</v>
      </c>
    </row>
    <row r="250" spans="6:13" ht="18.75" customHeight="1">
      <c r="F250" s="1">
        <v>28946</v>
      </c>
      <c r="G250">
        <f t="shared" si="13"/>
        <v>4</v>
      </c>
      <c r="H250" s="7">
        <v>338.88</v>
      </c>
      <c r="I250" s="7">
        <f>_A*F250*F250+_B*F250+_C</f>
        <v>336.64220426656749</v>
      </c>
      <c r="J250" s="7">
        <f t="shared" si="14"/>
        <v>2.237795733432506</v>
      </c>
      <c r="K250" s="7" cm="1">
        <f t="array" ref="K250">INDEX(Sm,G250)</f>
        <v>2.5295372401482399</v>
      </c>
      <c r="L250" s="7">
        <f t="shared" si="15"/>
        <v>339.1717415067157</v>
      </c>
      <c r="M250" s="7">
        <f t="shared" si="16"/>
        <v>-0.29174150671570942</v>
      </c>
    </row>
    <row r="251" spans="6:13" ht="18.75" customHeight="1">
      <c r="F251" s="1">
        <v>28976</v>
      </c>
      <c r="G251">
        <f t="shared" si="13"/>
        <v>5</v>
      </c>
      <c r="H251" s="7">
        <v>339.47</v>
      </c>
      <c r="I251" s="7">
        <f>_A*F251*F251+_B*F251+_C</f>
        <v>336.75091666892968</v>
      </c>
      <c r="J251" s="7">
        <f t="shared" si="14"/>
        <v>2.7190833310703511</v>
      </c>
      <c r="K251" s="7" cm="1">
        <f t="array" ref="K251">INDEX(Sm,G251)</f>
        <v>2.9925789844300432</v>
      </c>
      <c r="L251" s="7">
        <f t="shared" si="15"/>
        <v>339.74349565335973</v>
      </c>
      <c r="M251" s="7">
        <f t="shared" si="16"/>
        <v>-0.27349565335970283</v>
      </c>
    </row>
    <row r="252" spans="6:13" ht="18.75" customHeight="1">
      <c r="F252" s="1">
        <v>29007</v>
      </c>
      <c r="G252">
        <f t="shared" si="13"/>
        <v>6</v>
      </c>
      <c r="H252" s="7">
        <v>339.29</v>
      </c>
      <c r="I252" s="7">
        <f>_A*F252*F252+_B*F252+_C</f>
        <v>336.86343046558238</v>
      </c>
      <c r="J252" s="7">
        <f t="shared" si="14"/>
        <v>2.4265695344176379</v>
      </c>
      <c r="K252" s="7" cm="1">
        <f t="array" ref="K252">INDEX(Sm,G252)</f>
        <v>2.3204129706322356</v>
      </c>
      <c r="L252" s="7">
        <f t="shared" si="15"/>
        <v>339.1838434362146</v>
      </c>
      <c r="M252" s="7">
        <f t="shared" si="16"/>
        <v>0.10615656378541871</v>
      </c>
    </row>
    <row r="253" spans="6:13" ht="18.75" customHeight="1">
      <c r="F253" s="1">
        <v>29037</v>
      </c>
      <c r="G253">
        <f t="shared" si="13"/>
        <v>7</v>
      </c>
      <c r="H253" s="7">
        <v>337.73</v>
      </c>
      <c r="I253" s="7">
        <f>_A*F253*F253+_B*F253+_C</f>
        <v>336.97248670190288</v>
      </c>
      <c r="J253" s="7">
        <f t="shared" si="14"/>
        <v>0.75751329809713752</v>
      </c>
      <c r="K253" s="7" cm="1">
        <f t="array" ref="K253">INDEX(Sm,G253)</f>
        <v>0.81833597443365613</v>
      </c>
      <c r="L253" s="7">
        <f t="shared" si="15"/>
        <v>337.79082267633652</v>
      </c>
      <c r="M253" s="7">
        <f t="shared" si="16"/>
        <v>-6.0822676336499626E-2</v>
      </c>
    </row>
    <row r="254" spans="6:13" ht="18.75" customHeight="1">
      <c r="F254" s="1">
        <v>29068</v>
      </c>
      <c r="G254">
        <f t="shared" si="13"/>
        <v>8</v>
      </c>
      <c r="H254" s="7">
        <v>336.09</v>
      </c>
      <c r="I254" s="7">
        <f>_A*F254*F254+_B*F254+_C</f>
        <v>337.08535579364587</v>
      </c>
      <c r="J254" s="7">
        <f t="shared" si="14"/>
        <v>-0.99535579364589921</v>
      </c>
      <c r="K254" s="7" cm="1">
        <f t="array" ref="K254">INDEX(Sm,G254)</f>
        <v>-1.2372810548909516</v>
      </c>
      <c r="L254" s="7">
        <f t="shared" si="15"/>
        <v>335.84807473875492</v>
      </c>
      <c r="M254" s="7">
        <f t="shared" si="16"/>
        <v>0.24192526124505775</v>
      </c>
    </row>
    <row r="255" spans="6:13" ht="18.75" customHeight="1">
      <c r="F255" s="1">
        <v>29099</v>
      </c>
      <c r="G255">
        <f t="shared" si="13"/>
        <v>9</v>
      </c>
      <c r="H255" s="7">
        <v>333.92</v>
      </c>
      <c r="I255" s="7">
        <f>_A*F255*F255+_B*F255+_C</f>
        <v>337.19840544518883</v>
      </c>
      <c r="J255" s="7">
        <f t="shared" si="14"/>
        <v>-3.2784054451888096</v>
      </c>
      <c r="K255" s="7" cm="1">
        <f t="array" ref="K255">INDEX(Sm,G255)</f>
        <v>-3.0811738821107677</v>
      </c>
      <c r="L255" s="7">
        <f t="shared" si="15"/>
        <v>334.11723156307806</v>
      </c>
      <c r="M255" s="7">
        <f t="shared" si="16"/>
        <v>-0.19723156307804857</v>
      </c>
    </row>
    <row r="256" spans="6:13" ht="18.75" customHeight="1">
      <c r="F256" s="1">
        <v>29129</v>
      </c>
      <c r="G256">
        <f t="shared" si="13"/>
        <v>10</v>
      </c>
      <c r="H256" s="7">
        <v>333.86</v>
      </c>
      <c r="I256" s="7">
        <f>_A*F256*F256+_B*F256+_C</f>
        <v>337.30798025075791</v>
      </c>
      <c r="J256" s="7">
        <f t="shared" si="14"/>
        <v>-3.4479802507578938</v>
      </c>
      <c r="K256" s="7" cm="1">
        <f t="array" ref="K256">INDEX(Sm,G256)</f>
        <v>-3.2770720300056544</v>
      </c>
      <c r="L256" s="7">
        <f t="shared" si="15"/>
        <v>334.03090822075228</v>
      </c>
      <c r="M256" s="7">
        <f t="shared" si="16"/>
        <v>-0.17090822075226697</v>
      </c>
    </row>
    <row r="257" spans="6:13" ht="18.75" customHeight="1">
      <c r="F257" s="1">
        <v>29160</v>
      </c>
      <c r="G257">
        <f t="shared" si="13"/>
        <v>11</v>
      </c>
      <c r="H257" s="7">
        <v>335.29</v>
      </c>
      <c r="I257" s="7">
        <f>_A*F257*F257+_B*F257+_C</f>
        <v>337.42138519739109</v>
      </c>
      <c r="J257" s="7">
        <f t="shared" si="14"/>
        <v>-2.1313851973910687</v>
      </c>
      <c r="K257" s="7" cm="1">
        <f t="array" ref="K257">INDEX(Sm,G257)</f>
        <v>-2.0734932780028581</v>
      </c>
      <c r="L257" s="7">
        <f t="shared" si="15"/>
        <v>335.34789191938825</v>
      </c>
      <c r="M257" s="7">
        <f t="shared" si="16"/>
        <v>-5.7891919388225688E-2</v>
      </c>
    </row>
    <row r="258" spans="6:13" ht="18.75" customHeight="1">
      <c r="F258" s="1">
        <v>29190</v>
      </c>
      <c r="G258">
        <f t="shared" si="13"/>
        <v>12</v>
      </c>
      <c r="H258" s="7">
        <v>336.73</v>
      </c>
      <c r="I258" s="7">
        <f>_A*F258*F258+_B*F258+_C</f>
        <v>337.53130383691848</v>
      </c>
      <c r="J258" s="7">
        <f t="shared" si="14"/>
        <v>-0.80130383691846419</v>
      </c>
      <c r="K258" s="7" cm="1">
        <f t="array" ref="K258">INDEX(Sm,G258)</f>
        <v>-0.94500362363844403</v>
      </c>
      <c r="L258" s="7">
        <f t="shared" si="15"/>
        <v>336.58630021328003</v>
      </c>
      <c r="M258" s="7">
        <f t="shared" si="16"/>
        <v>0.14369978671999206</v>
      </c>
    </row>
    <row r="259" spans="6:13" ht="18.75" customHeight="1">
      <c r="F259" s="1">
        <v>29221</v>
      </c>
      <c r="G259">
        <f t="shared" ref="G259:G322" si="17">MONTH(F259)</f>
        <v>1</v>
      </c>
      <c r="H259" s="7">
        <v>338.01</v>
      </c>
      <c r="I259" s="7">
        <f>_A*F259*F259+_B*F259+_C</f>
        <v>337.64506407864189</v>
      </c>
      <c r="J259" s="7">
        <f t="shared" ref="J259:J322" si="18">H259-I259</f>
        <v>0.36493592135809649</v>
      </c>
      <c r="K259" s="7" cm="1">
        <f t="array" ref="K259">INDEX(Sm,G259)</f>
        <v>-3.1273707705410173E-2</v>
      </c>
      <c r="L259" s="7">
        <f t="shared" ref="L259:L322" si="19">I259+K259</f>
        <v>337.6137903709365</v>
      </c>
      <c r="M259" s="7">
        <f t="shared" ref="M259:M322" si="20">H259-L259</f>
        <v>0.39620962906349178</v>
      </c>
    </row>
    <row r="260" spans="6:13" ht="18.75" customHeight="1">
      <c r="F260" s="1">
        <v>29252</v>
      </c>
      <c r="G260">
        <f t="shared" si="17"/>
        <v>2</v>
      </c>
      <c r="H260" s="7">
        <v>338.36</v>
      </c>
      <c r="I260" s="7">
        <f>_A*F260*F260+_B*F260+_C</f>
        <v>337.75900488016532</v>
      </c>
      <c r="J260" s="7">
        <f t="shared" si="18"/>
        <v>0.60099511983469256</v>
      </c>
      <c r="K260" s="7" cm="1">
        <f t="array" ref="K260">INDEX(Sm,G260)</f>
        <v>0.60795807352328612</v>
      </c>
      <c r="L260" s="7">
        <f t="shared" si="19"/>
        <v>338.36696295368859</v>
      </c>
      <c r="M260" s="7">
        <f t="shared" si="20"/>
        <v>-6.9629536885713605E-3</v>
      </c>
    </row>
    <row r="261" spans="6:13" ht="18.75" customHeight="1">
      <c r="F261" s="1">
        <v>29281</v>
      </c>
      <c r="G261">
        <f t="shared" si="17"/>
        <v>3</v>
      </c>
      <c r="H261" s="7">
        <v>340.07</v>
      </c>
      <c r="I261" s="7">
        <f>_A*F261*F261+_B*F261+_C</f>
        <v>337.86575812428129</v>
      </c>
      <c r="J261" s="7">
        <f t="shared" si="18"/>
        <v>2.2042418757187079</v>
      </c>
      <c r="K261" s="7" cm="1">
        <f t="array" ref="K261">INDEX(Sm,G261)</f>
        <v>1.368171928762181</v>
      </c>
      <c r="L261" s="7">
        <f t="shared" si="19"/>
        <v>339.23393005304348</v>
      </c>
      <c r="M261" s="7">
        <f t="shared" si="20"/>
        <v>0.83606994695651338</v>
      </c>
    </row>
    <row r="262" spans="6:13" ht="18.75" customHeight="1">
      <c r="F262" s="1">
        <v>29312</v>
      </c>
      <c r="G262">
        <f t="shared" si="17"/>
        <v>4</v>
      </c>
      <c r="H262" s="7">
        <v>340.76</v>
      </c>
      <c r="I262" s="7">
        <f>_A*F262*F262+_B*F262+_C</f>
        <v>337.98004839638526</v>
      </c>
      <c r="J262" s="7">
        <f t="shared" si="18"/>
        <v>2.7799516036147338</v>
      </c>
      <c r="K262" s="7" cm="1">
        <f t="array" ref="K262">INDEX(Sm,G262)</f>
        <v>2.5295372401482399</v>
      </c>
      <c r="L262" s="7">
        <f t="shared" si="19"/>
        <v>340.50958563653347</v>
      </c>
      <c r="M262" s="7">
        <f t="shared" si="20"/>
        <v>0.25041436346651835</v>
      </c>
    </row>
    <row r="263" spans="6:13" ht="18.75" customHeight="1">
      <c r="F263" s="1">
        <v>29342</v>
      </c>
      <c r="G263">
        <f t="shared" si="17"/>
        <v>5</v>
      </c>
      <c r="H263" s="7">
        <v>341.47</v>
      </c>
      <c r="I263" s="7">
        <f>_A*F263*F263+_B*F263+_C</f>
        <v>338.09082380249731</v>
      </c>
      <c r="J263" s="7">
        <f t="shared" si="18"/>
        <v>3.3791761975027157</v>
      </c>
      <c r="K263" s="7" cm="1">
        <f t="array" ref="K263">INDEX(Sm,G263)</f>
        <v>2.9925789844300432</v>
      </c>
      <c r="L263" s="7">
        <f t="shared" si="19"/>
        <v>341.08340278692737</v>
      </c>
      <c r="M263" s="7">
        <f t="shared" si="20"/>
        <v>0.38659721307266182</v>
      </c>
    </row>
    <row r="264" spans="6:13" ht="18.75" customHeight="1">
      <c r="F264" s="1">
        <v>29373</v>
      </c>
      <c r="G264">
        <f t="shared" si="17"/>
        <v>6</v>
      </c>
      <c r="H264" s="7">
        <v>341.17</v>
      </c>
      <c r="I264" s="7">
        <f>_A*F264*F264+_B*F264+_C</f>
        <v>338.20546936969151</v>
      </c>
      <c r="J264" s="7">
        <f t="shared" si="18"/>
        <v>2.9645306303085022</v>
      </c>
      <c r="K264" s="7" cm="1">
        <f t="array" ref="K264">INDEX(Sm,G264)</f>
        <v>2.3204129706322356</v>
      </c>
      <c r="L264" s="7">
        <f t="shared" si="19"/>
        <v>340.52588234032373</v>
      </c>
      <c r="M264" s="7">
        <f t="shared" si="20"/>
        <v>0.64411765967628298</v>
      </c>
    </row>
    <row r="265" spans="6:13" ht="18.75" customHeight="1">
      <c r="F265" s="1">
        <v>29403</v>
      </c>
      <c r="G265">
        <f t="shared" si="17"/>
        <v>7</v>
      </c>
      <c r="H265" s="7">
        <v>339.56</v>
      </c>
      <c r="I265" s="7">
        <f>_A*F265*F265+_B*F265+_C</f>
        <v>338.31658860976182</v>
      </c>
      <c r="J265" s="7">
        <f t="shared" si="18"/>
        <v>1.2434113902381796</v>
      </c>
      <c r="K265" s="7" cm="1">
        <f t="array" ref="K265">INDEX(Sm,G265)</f>
        <v>0.81833597443365613</v>
      </c>
      <c r="L265" s="7">
        <f t="shared" si="19"/>
        <v>339.13492458419546</v>
      </c>
      <c r="M265" s="7">
        <f t="shared" si="20"/>
        <v>0.42507541580454244</v>
      </c>
    </row>
    <row r="266" spans="6:13" ht="18.75" customHeight="1">
      <c r="F266" s="1">
        <v>29434</v>
      </c>
      <c r="G266">
        <f t="shared" si="17"/>
        <v>8</v>
      </c>
      <c r="H266" s="7">
        <v>337.6</v>
      </c>
      <c r="I266" s="7">
        <f>_A*F266*F266+_B*F266+_C</f>
        <v>338.43158947204631</v>
      </c>
      <c r="J266" s="7">
        <f t="shared" si="18"/>
        <v>-0.8315894720462893</v>
      </c>
      <c r="K266" s="7" cm="1">
        <f t="array" ref="K266">INDEX(Sm,G266)</f>
        <v>-1.2372810548909516</v>
      </c>
      <c r="L266" s="7">
        <f t="shared" si="19"/>
        <v>337.19430841715536</v>
      </c>
      <c r="M266" s="7">
        <f t="shared" si="20"/>
        <v>0.40569158284466766</v>
      </c>
    </row>
    <row r="267" spans="6:13" ht="18.75" customHeight="1">
      <c r="F267" s="1">
        <v>29465</v>
      </c>
      <c r="G267">
        <f t="shared" si="17"/>
        <v>9</v>
      </c>
      <c r="H267" s="7">
        <v>335.88</v>
      </c>
      <c r="I267" s="7">
        <f>_A*F267*F267+_B*F267+_C</f>
        <v>338.5467708941307</v>
      </c>
      <c r="J267" s="7">
        <f t="shared" si="18"/>
        <v>-2.6667708941307069</v>
      </c>
      <c r="K267" s="7" cm="1">
        <f t="array" ref="K267">INDEX(Sm,G267)</f>
        <v>-3.0811738821107677</v>
      </c>
      <c r="L267" s="7">
        <f t="shared" si="19"/>
        <v>335.46559701201994</v>
      </c>
      <c r="M267" s="7">
        <f t="shared" si="20"/>
        <v>0.41440298798005415</v>
      </c>
    </row>
    <row r="268" spans="6:13" ht="18.75" customHeight="1">
      <c r="F268" s="1">
        <v>29495</v>
      </c>
      <c r="G268">
        <f t="shared" si="17"/>
        <v>10</v>
      </c>
      <c r="H268" s="7">
        <v>336.02</v>
      </c>
      <c r="I268" s="7">
        <f>_A*F268*F268+_B*F268+_C</f>
        <v>338.6584087034496</v>
      </c>
      <c r="J268" s="7">
        <f t="shared" si="18"/>
        <v>-2.6384087034496133</v>
      </c>
      <c r="K268" s="7" cm="1">
        <f t="array" ref="K268">INDEX(Sm,G268)</f>
        <v>-3.2770720300056544</v>
      </c>
      <c r="L268" s="7">
        <f t="shared" si="19"/>
        <v>335.38133667344397</v>
      </c>
      <c r="M268" s="7">
        <f t="shared" si="20"/>
        <v>0.63866332655601354</v>
      </c>
    </row>
    <row r="269" spans="6:13" ht="18.75" customHeight="1">
      <c r="F269" s="1">
        <v>29526</v>
      </c>
      <c r="G269">
        <f t="shared" si="17"/>
        <v>11</v>
      </c>
      <c r="H269" s="7">
        <v>337.1</v>
      </c>
      <c r="I269" s="7">
        <f>_A*F269*F269+_B*F269+_C</f>
        <v>338.77394542062427</v>
      </c>
      <c r="J269" s="7">
        <f t="shared" si="18"/>
        <v>-1.6739454206242499</v>
      </c>
      <c r="K269" s="7" cm="1">
        <f t="array" ref="K269">INDEX(Sm,G269)</f>
        <v>-2.0734932780028581</v>
      </c>
      <c r="L269" s="7">
        <f t="shared" si="19"/>
        <v>336.70045214262143</v>
      </c>
      <c r="M269" s="7">
        <f t="shared" si="20"/>
        <v>0.39954785737859311</v>
      </c>
    </row>
    <row r="270" spans="6:13" ht="18.75" customHeight="1">
      <c r="F270" s="1">
        <v>29556</v>
      </c>
      <c r="G270">
        <f t="shared" si="17"/>
        <v>12</v>
      </c>
      <c r="H270" s="7">
        <v>338.21</v>
      </c>
      <c r="I270" s="7">
        <f>_A*F270*F270+_B*F270+_C</f>
        <v>338.88592706390153</v>
      </c>
      <c r="J270" s="7">
        <f t="shared" si="18"/>
        <v>-0.67592706390155399</v>
      </c>
      <c r="K270" s="7" cm="1">
        <f t="array" ref="K270">INDEX(Sm,G270)</f>
        <v>-0.94500362363844403</v>
      </c>
      <c r="L270" s="7">
        <f t="shared" si="19"/>
        <v>337.94092344026308</v>
      </c>
      <c r="M270" s="7">
        <f t="shared" si="20"/>
        <v>0.26907655973690225</v>
      </c>
    </row>
    <row r="271" spans="6:13" ht="18.75" customHeight="1">
      <c r="F271" s="1">
        <v>29587</v>
      </c>
      <c r="G271">
        <f t="shared" si="17"/>
        <v>1</v>
      </c>
      <c r="H271" s="7">
        <v>339.24</v>
      </c>
      <c r="I271" s="7">
        <f>_A*F271*F271+_B*F271+_C</f>
        <v>339.00181907616644</v>
      </c>
      <c r="J271" s="7">
        <f t="shared" si="18"/>
        <v>0.2381809238335677</v>
      </c>
      <c r="K271" s="7" cm="1">
        <f t="array" ref="K271">INDEX(Sm,G271)</f>
        <v>-3.1273707705410173E-2</v>
      </c>
      <c r="L271" s="7">
        <f t="shared" si="19"/>
        <v>338.97054536846105</v>
      </c>
      <c r="M271" s="7">
        <f t="shared" si="20"/>
        <v>0.26945463153896299</v>
      </c>
    </row>
    <row r="272" spans="6:13" ht="18.75" customHeight="1">
      <c r="F272" s="1">
        <v>29618</v>
      </c>
      <c r="G272">
        <f t="shared" si="17"/>
        <v>2</v>
      </c>
      <c r="H272" s="7">
        <v>340.48</v>
      </c>
      <c r="I272" s="7">
        <f>_A*F272*F272+_B*F272+_C</f>
        <v>339.11789164823131</v>
      </c>
      <c r="J272" s="7">
        <f t="shared" si="18"/>
        <v>1.3621083517687111</v>
      </c>
      <c r="K272" s="7" cm="1">
        <f t="array" ref="K272">INDEX(Sm,G272)</f>
        <v>0.60795807352328612</v>
      </c>
      <c r="L272" s="7">
        <f t="shared" si="19"/>
        <v>339.72584972175457</v>
      </c>
      <c r="M272" s="7">
        <f t="shared" si="20"/>
        <v>0.75415027824544723</v>
      </c>
    </row>
    <row r="273" spans="6:13" ht="18.75" customHeight="1">
      <c r="F273" s="1">
        <v>29646</v>
      </c>
      <c r="G273">
        <f t="shared" si="17"/>
        <v>3</v>
      </c>
      <c r="H273" s="7">
        <v>341.38</v>
      </c>
      <c r="I273" s="7">
        <f>_A*F273*F273+_B*F273+_C</f>
        <v>339.22288658574126</v>
      </c>
      <c r="J273" s="7">
        <f t="shared" si="18"/>
        <v>2.1571134142587312</v>
      </c>
      <c r="K273" s="7" cm="1">
        <f t="array" ref="K273">INDEX(Sm,G273)</f>
        <v>1.368171928762181</v>
      </c>
      <c r="L273" s="7">
        <f t="shared" si="19"/>
        <v>340.59105851450346</v>
      </c>
      <c r="M273" s="7">
        <f t="shared" si="20"/>
        <v>0.78894148549653664</v>
      </c>
    </row>
    <row r="274" spans="6:13" ht="18.75" customHeight="1">
      <c r="F274" s="1">
        <v>29677</v>
      </c>
      <c r="G274">
        <f t="shared" si="17"/>
        <v>4</v>
      </c>
      <c r="H274" s="7">
        <v>342.5</v>
      </c>
      <c r="I274" s="7">
        <f>_A*F274*F274+_B*F274+_C</f>
        <v>339.33930280387705</v>
      </c>
      <c r="J274" s="7">
        <f t="shared" si="18"/>
        <v>3.1606971961229533</v>
      </c>
      <c r="K274" s="7" cm="1">
        <f t="array" ref="K274">INDEX(Sm,G274)</f>
        <v>2.5295372401482399</v>
      </c>
      <c r="L274" s="7">
        <f t="shared" si="19"/>
        <v>341.86884004402526</v>
      </c>
      <c r="M274" s="7">
        <f t="shared" si="20"/>
        <v>0.63115995597473784</v>
      </c>
    </row>
    <row r="275" spans="6:13" ht="18.75" customHeight="1">
      <c r="F275" s="1">
        <v>29707</v>
      </c>
      <c r="G275">
        <f t="shared" si="17"/>
        <v>5</v>
      </c>
      <c r="H275" s="7">
        <v>342.91</v>
      </c>
      <c r="I275" s="7">
        <f>_A*F275*F275+_B*F275+_C</f>
        <v>339.45213557711668</v>
      </c>
      <c r="J275" s="7">
        <f t="shared" si="18"/>
        <v>3.4578644228833468</v>
      </c>
      <c r="K275" s="7" cm="1">
        <f t="array" ref="K275">INDEX(Sm,G275)</f>
        <v>2.9925789844300432</v>
      </c>
      <c r="L275" s="7">
        <f t="shared" si="19"/>
        <v>342.44471456154673</v>
      </c>
      <c r="M275" s="7">
        <f t="shared" si="20"/>
        <v>0.46528543845329295</v>
      </c>
    </row>
    <row r="276" spans="6:13" ht="18.75" customHeight="1">
      <c r="F276" s="1">
        <v>29738</v>
      </c>
      <c r="G276">
        <f t="shared" si="17"/>
        <v>6</v>
      </c>
      <c r="H276" s="7">
        <v>342.25</v>
      </c>
      <c r="I276" s="7">
        <f>_A*F276*F276+_B*F276+_C</f>
        <v>339.56890709034269</v>
      </c>
      <c r="J276" s="7">
        <f t="shared" si="18"/>
        <v>2.6810929096573091</v>
      </c>
      <c r="K276" s="7" cm="1">
        <f t="array" ref="K276">INDEX(Sm,G276)</f>
        <v>2.3204129706322356</v>
      </c>
      <c r="L276" s="7">
        <f t="shared" si="19"/>
        <v>341.88932006097491</v>
      </c>
      <c r="M276" s="7">
        <f t="shared" si="20"/>
        <v>0.36067993902508988</v>
      </c>
    </row>
    <row r="277" spans="6:13" ht="18.75" customHeight="1">
      <c r="F277" s="1">
        <v>29768</v>
      </c>
      <c r="G277">
        <f t="shared" si="17"/>
        <v>7</v>
      </c>
      <c r="H277" s="7">
        <v>340.49</v>
      </c>
      <c r="I277" s="7">
        <f>_A*F277*F277+_B*F277+_C</f>
        <v>339.68208369754058</v>
      </c>
      <c r="J277" s="7">
        <f t="shared" si="18"/>
        <v>0.80791630245943225</v>
      </c>
      <c r="K277" s="7" cm="1">
        <f t="array" ref="K277">INDEX(Sm,G277)</f>
        <v>0.81833597443365613</v>
      </c>
      <c r="L277" s="7">
        <f t="shared" si="19"/>
        <v>340.50041967197421</v>
      </c>
      <c r="M277" s="7">
        <f t="shared" si="20"/>
        <v>-1.0419671974204903E-2</v>
      </c>
    </row>
    <row r="278" spans="6:13" ht="18.75" customHeight="1">
      <c r="F278" s="1">
        <v>29799</v>
      </c>
      <c r="G278">
        <f t="shared" si="17"/>
        <v>8</v>
      </c>
      <c r="H278" s="7">
        <v>338.43</v>
      </c>
      <c r="I278" s="7">
        <f>_A*F278*F278+_B*F278+_C</f>
        <v>339.79921050585682</v>
      </c>
      <c r="J278" s="7">
        <f t="shared" si="18"/>
        <v>-1.3692105058568131</v>
      </c>
      <c r="K278" s="7" cm="1">
        <f t="array" ref="K278">INDEX(Sm,G278)</f>
        <v>-1.2372810548909516</v>
      </c>
      <c r="L278" s="7">
        <f t="shared" si="19"/>
        <v>338.56192945096586</v>
      </c>
      <c r="M278" s="7">
        <f t="shared" si="20"/>
        <v>-0.13192945096585618</v>
      </c>
    </row>
    <row r="279" spans="6:13" ht="18.75" customHeight="1">
      <c r="F279" s="1">
        <v>29830</v>
      </c>
      <c r="G279">
        <f t="shared" si="17"/>
        <v>9</v>
      </c>
      <c r="H279" s="7">
        <v>336.69</v>
      </c>
      <c r="I279" s="7">
        <f>_A*F279*F279+_B*F279+_C</f>
        <v>339.91651787397308</v>
      </c>
      <c r="J279" s="7">
        <f t="shared" si="18"/>
        <v>-3.22651787397308</v>
      </c>
      <c r="K279" s="7" cm="1">
        <f t="array" ref="K279">INDEX(Sm,G279)</f>
        <v>-3.0811738821107677</v>
      </c>
      <c r="L279" s="7">
        <f t="shared" si="19"/>
        <v>336.83534399186232</v>
      </c>
      <c r="M279" s="7">
        <f t="shared" si="20"/>
        <v>-0.14534399186231894</v>
      </c>
    </row>
    <row r="280" spans="6:13" ht="18.75" customHeight="1">
      <c r="F280" s="1">
        <v>29860</v>
      </c>
      <c r="G280">
        <f t="shared" si="17"/>
        <v>10</v>
      </c>
      <c r="H280" s="7">
        <v>336.86</v>
      </c>
      <c r="I280" s="7">
        <f>_A*F280*F280+_B*F280+_C</f>
        <v>340.03021305041955</v>
      </c>
      <c r="J280" s="7">
        <f t="shared" si="18"/>
        <v>-3.1702130504195338</v>
      </c>
      <c r="K280" s="7" cm="1">
        <f t="array" ref="K280">INDEX(Sm,G280)</f>
        <v>-3.2770720300056544</v>
      </c>
      <c r="L280" s="7">
        <f t="shared" si="19"/>
        <v>336.75314102041392</v>
      </c>
      <c r="M280" s="7">
        <f t="shared" si="20"/>
        <v>0.10685897958609303</v>
      </c>
    </row>
    <row r="281" spans="6:13" ht="18.75" customHeight="1">
      <c r="F281" s="1">
        <v>29891</v>
      </c>
      <c r="G281">
        <f t="shared" si="17"/>
        <v>11</v>
      </c>
      <c r="H281" s="7">
        <v>338.36</v>
      </c>
      <c r="I281" s="7">
        <f>_A*F281*F281+_B*F281+_C</f>
        <v>340.14787571362604</v>
      </c>
      <c r="J281" s="7">
        <f t="shared" si="18"/>
        <v>-1.7878757136260219</v>
      </c>
      <c r="K281" s="7" cm="1">
        <f t="array" ref="K281">INDEX(Sm,G281)</f>
        <v>-2.0734932780028581</v>
      </c>
      <c r="L281" s="7">
        <f t="shared" si="19"/>
        <v>338.07438243562319</v>
      </c>
      <c r="M281" s="7">
        <f t="shared" si="20"/>
        <v>0.28561756437682106</v>
      </c>
    </row>
    <row r="282" spans="6:13" ht="18.75" customHeight="1">
      <c r="F282" s="1">
        <v>29921</v>
      </c>
      <c r="G282">
        <f t="shared" si="17"/>
        <v>12</v>
      </c>
      <c r="H282" s="7">
        <v>339.61</v>
      </c>
      <c r="I282" s="7">
        <f>_A*F282*F282+_B*F282+_C</f>
        <v>340.26191472403082</v>
      </c>
      <c r="J282" s="7">
        <f t="shared" si="18"/>
        <v>-0.65191472403080297</v>
      </c>
      <c r="K282" s="7" cm="1">
        <f t="array" ref="K282">INDEX(Sm,G282)</f>
        <v>-0.94500362363844403</v>
      </c>
      <c r="L282" s="7">
        <f t="shared" si="19"/>
        <v>339.31691110039236</v>
      </c>
      <c r="M282" s="7">
        <f t="shared" si="20"/>
        <v>0.29308889960765327</v>
      </c>
    </row>
    <row r="283" spans="6:13" ht="18.75" customHeight="1">
      <c r="F283" s="1">
        <v>29952</v>
      </c>
      <c r="G283">
        <f t="shared" si="17"/>
        <v>1</v>
      </c>
      <c r="H283" s="7">
        <v>340.75</v>
      </c>
      <c r="I283" s="7">
        <f>_A*F283*F283+_B*F283+_C</f>
        <v>340.37993268232754</v>
      </c>
      <c r="J283" s="7">
        <f t="shared" si="18"/>
        <v>0.37006731767246492</v>
      </c>
      <c r="K283" s="7" cm="1">
        <f t="array" ref="K283">INDEX(Sm,G283)</f>
        <v>-3.1273707705410173E-2</v>
      </c>
      <c r="L283" s="7">
        <f t="shared" si="19"/>
        <v>340.34865897462214</v>
      </c>
      <c r="M283" s="7">
        <f t="shared" si="20"/>
        <v>0.40134102537786021</v>
      </c>
    </row>
    <row r="284" spans="6:13" ht="18.75" customHeight="1">
      <c r="F284" s="1">
        <v>29983</v>
      </c>
      <c r="G284">
        <f t="shared" si="17"/>
        <v>2</v>
      </c>
      <c r="H284" s="7">
        <v>341.61</v>
      </c>
      <c r="I284" s="7">
        <f>_A*F284*F284+_B*F284+_C</f>
        <v>340.49813120042421</v>
      </c>
      <c r="J284" s="7">
        <f t="shared" si="18"/>
        <v>1.1118687995758023</v>
      </c>
      <c r="K284" s="7" cm="1">
        <f t="array" ref="K284">INDEX(Sm,G284)</f>
        <v>0.60795807352328612</v>
      </c>
      <c r="L284" s="7">
        <f t="shared" si="19"/>
        <v>341.10608927394748</v>
      </c>
      <c r="M284" s="7">
        <f t="shared" si="20"/>
        <v>0.50391072605253839</v>
      </c>
    </row>
    <row r="285" spans="6:13" ht="18.75" customHeight="1">
      <c r="F285" s="1">
        <v>30011</v>
      </c>
      <c r="G285">
        <f t="shared" si="17"/>
        <v>3</v>
      </c>
      <c r="H285" s="7">
        <v>342.7</v>
      </c>
      <c r="I285" s="7">
        <f>_A*F285*F285+_B*F285+_C</f>
        <v>340.60504634725322</v>
      </c>
      <c r="J285" s="7">
        <f t="shared" si="18"/>
        <v>2.0949536527467671</v>
      </c>
      <c r="K285" s="7" cm="1">
        <f t="array" ref="K285">INDEX(Sm,G285)</f>
        <v>1.368171928762181</v>
      </c>
      <c r="L285" s="7">
        <f t="shared" si="19"/>
        <v>341.97321827601542</v>
      </c>
      <c r="M285" s="7">
        <f t="shared" si="20"/>
        <v>0.72678172398457264</v>
      </c>
    </row>
    <row r="286" spans="6:13" ht="18.75" customHeight="1">
      <c r="F286" s="1">
        <v>30042</v>
      </c>
      <c r="G286">
        <f t="shared" si="17"/>
        <v>4</v>
      </c>
      <c r="H286" s="7">
        <v>343.57</v>
      </c>
      <c r="I286" s="7">
        <f>_A*F286*F286+_B*F286+_C</f>
        <v>340.72358851142087</v>
      </c>
      <c r="J286" s="7">
        <f t="shared" si="18"/>
        <v>2.8464114885791219</v>
      </c>
      <c r="K286" s="7" cm="1">
        <f t="array" ref="K286">INDEX(Sm,G286)</f>
        <v>2.5295372401482399</v>
      </c>
      <c r="L286" s="7">
        <f t="shared" si="19"/>
        <v>343.25312575156909</v>
      </c>
      <c r="M286" s="7">
        <f t="shared" si="20"/>
        <v>0.31687424843090639</v>
      </c>
    </row>
    <row r="287" spans="6:13" ht="18.75" customHeight="1">
      <c r="F287" s="1">
        <v>30072</v>
      </c>
      <c r="G287">
        <f t="shared" si="17"/>
        <v>5</v>
      </c>
      <c r="H287" s="7">
        <v>344.14</v>
      </c>
      <c r="I287" s="7">
        <f>_A*F287*F287+_B*F287+_C</f>
        <v>340.83847865178797</v>
      </c>
      <c r="J287" s="7">
        <f t="shared" si="18"/>
        <v>3.3015213482120203</v>
      </c>
      <c r="K287" s="7" cm="1">
        <f t="array" ref="K287">INDEX(Sm,G287)</f>
        <v>2.9925789844300432</v>
      </c>
      <c r="L287" s="7">
        <f t="shared" si="19"/>
        <v>343.83105763621802</v>
      </c>
      <c r="M287" s="7">
        <f t="shared" si="20"/>
        <v>0.30894236378196638</v>
      </c>
    </row>
    <row r="288" spans="6:13" ht="18.75" customHeight="1">
      <c r="F288" s="1">
        <v>30103</v>
      </c>
      <c r="G288">
        <f t="shared" si="17"/>
        <v>6</v>
      </c>
      <c r="H288" s="7">
        <v>343.35</v>
      </c>
      <c r="I288" s="7">
        <f>_A*F288*F288+_B*F288+_C</f>
        <v>340.95737611104579</v>
      </c>
      <c r="J288" s="7">
        <f t="shared" si="18"/>
        <v>2.3926238889542333</v>
      </c>
      <c r="K288" s="7" cm="1">
        <f t="array" ref="K288">INDEX(Sm,G288)</f>
        <v>2.3204129706322356</v>
      </c>
      <c r="L288" s="7">
        <f t="shared" si="19"/>
        <v>343.27778908167801</v>
      </c>
      <c r="M288" s="7">
        <f t="shared" si="20"/>
        <v>7.2210918322014095E-2</v>
      </c>
    </row>
    <row r="289" spans="6:13" ht="18.75" customHeight="1">
      <c r="F289" s="1">
        <v>30133</v>
      </c>
      <c r="G289">
        <f t="shared" si="17"/>
        <v>7</v>
      </c>
      <c r="H289" s="7">
        <v>342.06</v>
      </c>
      <c r="I289" s="7">
        <f>_A*F289*F289+_B*F289+_C</f>
        <v>341.07261008537125</v>
      </c>
      <c r="J289" s="7">
        <f t="shared" si="18"/>
        <v>0.98738991462874992</v>
      </c>
      <c r="K289" s="7" cm="1">
        <f t="array" ref="K289">INDEX(Sm,G289)</f>
        <v>0.81833597443365613</v>
      </c>
      <c r="L289" s="7">
        <f t="shared" si="19"/>
        <v>341.89094605980489</v>
      </c>
      <c r="M289" s="7">
        <f t="shared" si="20"/>
        <v>0.16905394019511277</v>
      </c>
    </row>
    <row r="290" spans="6:13" ht="18.75" customHeight="1">
      <c r="F290" s="1">
        <v>30164</v>
      </c>
      <c r="G290">
        <f t="shared" si="17"/>
        <v>8</v>
      </c>
      <c r="H290" s="7">
        <v>339.81</v>
      </c>
      <c r="I290" s="7">
        <f>_A*F290*F290+_B*F290+_C</f>
        <v>341.19186283971936</v>
      </c>
      <c r="J290" s="7">
        <f t="shared" si="18"/>
        <v>-1.3818628397193606</v>
      </c>
      <c r="K290" s="7" cm="1">
        <f t="array" ref="K290">INDEX(Sm,G290)</f>
        <v>-1.2372810548909516</v>
      </c>
      <c r="L290" s="7">
        <f t="shared" si="19"/>
        <v>339.95458178482841</v>
      </c>
      <c r="M290" s="7">
        <f t="shared" si="20"/>
        <v>-0.14458178482840367</v>
      </c>
    </row>
    <row r="291" spans="6:13" ht="18.75" customHeight="1">
      <c r="F291" s="1">
        <v>30195</v>
      </c>
      <c r="G291">
        <f t="shared" si="17"/>
        <v>9</v>
      </c>
      <c r="H291" s="7">
        <v>337.98</v>
      </c>
      <c r="I291" s="7">
        <f>_A*F291*F291+_B*F291+_C</f>
        <v>341.31129615386737</v>
      </c>
      <c r="J291" s="7">
        <f t="shared" si="18"/>
        <v>-3.3312961538673562</v>
      </c>
      <c r="K291" s="7" cm="1">
        <f t="array" ref="K291">INDEX(Sm,G291)</f>
        <v>-3.0811738821107677</v>
      </c>
      <c r="L291" s="7">
        <f t="shared" si="19"/>
        <v>338.23012227175661</v>
      </c>
      <c r="M291" s="7">
        <f t="shared" si="20"/>
        <v>-0.25012227175659518</v>
      </c>
    </row>
    <row r="292" spans="6:13" ht="18.75" customHeight="1">
      <c r="F292" s="1">
        <v>30225</v>
      </c>
      <c r="G292">
        <f t="shared" si="17"/>
        <v>10</v>
      </c>
      <c r="H292" s="7">
        <v>337.86</v>
      </c>
      <c r="I292" s="7">
        <f>_A*F292*F292+_B*F292+_C</f>
        <v>341.42704869744142</v>
      </c>
      <c r="J292" s="7">
        <f t="shared" si="18"/>
        <v>-3.5670486974414075</v>
      </c>
      <c r="K292" s="7" cm="1">
        <f t="array" ref="K292">INDEX(Sm,G292)</f>
        <v>-3.2770720300056544</v>
      </c>
      <c r="L292" s="7">
        <f t="shared" si="19"/>
        <v>338.14997666743579</v>
      </c>
      <c r="M292" s="7">
        <f t="shared" si="20"/>
        <v>-0.28997666743578066</v>
      </c>
    </row>
    <row r="293" spans="6:13" ht="18.75" customHeight="1">
      <c r="F293" s="1">
        <v>30256</v>
      </c>
      <c r="G293">
        <f t="shared" si="17"/>
        <v>11</v>
      </c>
      <c r="H293" s="7">
        <v>339.26</v>
      </c>
      <c r="I293" s="7">
        <f>_A*F293*F293+_B*F293+_C</f>
        <v>341.54683730667972</v>
      </c>
      <c r="J293" s="7">
        <f t="shared" si="18"/>
        <v>-2.286837306679729</v>
      </c>
      <c r="K293" s="7" cm="1">
        <f t="array" ref="K293">INDEX(Sm,G293)</f>
        <v>-2.0734932780028581</v>
      </c>
      <c r="L293" s="7">
        <f t="shared" si="19"/>
        <v>339.47334402867688</v>
      </c>
      <c r="M293" s="7">
        <f t="shared" si="20"/>
        <v>-0.21334402867688596</v>
      </c>
    </row>
    <row r="294" spans="6:13" ht="18.75" customHeight="1">
      <c r="F294" s="1">
        <v>30286</v>
      </c>
      <c r="G294">
        <f t="shared" si="17"/>
        <v>12</v>
      </c>
      <c r="H294" s="7">
        <v>340.49</v>
      </c>
      <c r="I294" s="7">
        <f>_A*F294*F294+_B*F294+_C</f>
        <v>341.66293368421208</v>
      </c>
      <c r="J294" s="7">
        <f t="shared" si="18"/>
        <v>-1.1729336842120688</v>
      </c>
      <c r="K294" s="7" cm="1">
        <f t="array" ref="K294">INDEX(Sm,G294)</f>
        <v>-0.94500362363844403</v>
      </c>
      <c r="L294" s="7">
        <f t="shared" si="19"/>
        <v>340.71793006057362</v>
      </c>
      <c r="M294" s="7">
        <f t="shared" si="20"/>
        <v>-0.22793006057361254</v>
      </c>
    </row>
    <row r="295" spans="6:13" ht="18.75" customHeight="1">
      <c r="F295" s="1">
        <v>30317</v>
      </c>
      <c r="G295">
        <f t="shared" si="17"/>
        <v>1</v>
      </c>
      <c r="H295" s="7">
        <v>341.38</v>
      </c>
      <c r="I295" s="7">
        <f>_A*F295*F295+_B*F295+_C</f>
        <v>341.78307758854061</v>
      </c>
      <c r="J295" s="7">
        <f t="shared" si="18"/>
        <v>-0.40307758854061149</v>
      </c>
      <c r="K295" s="7" cm="1">
        <f t="array" ref="K295">INDEX(Sm,G295)</f>
        <v>-3.1273707705410173E-2</v>
      </c>
      <c r="L295" s="7">
        <f t="shared" si="19"/>
        <v>341.75180388083521</v>
      </c>
      <c r="M295" s="7">
        <f t="shared" si="20"/>
        <v>-0.37180388083521621</v>
      </c>
    </row>
    <row r="296" spans="6:13" ht="18.75" customHeight="1">
      <c r="F296" s="1">
        <v>30348</v>
      </c>
      <c r="G296">
        <f t="shared" si="17"/>
        <v>2</v>
      </c>
      <c r="H296" s="7">
        <v>342.52</v>
      </c>
      <c r="I296" s="7">
        <f>_A*F296*F296+_B*F296+_C</f>
        <v>341.90340205266909</v>
      </c>
      <c r="J296" s="7">
        <f t="shared" si="18"/>
        <v>0.61659794733088802</v>
      </c>
      <c r="K296" s="7" cm="1">
        <f t="array" ref="K296">INDEX(Sm,G296)</f>
        <v>0.60795807352328612</v>
      </c>
      <c r="L296" s="7">
        <f t="shared" si="19"/>
        <v>342.51136012619236</v>
      </c>
      <c r="M296" s="7">
        <f t="shared" si="20"/>
        <v>8.6398738076240988E-3</v>
      </c>
    </row>
    <row r="297" spans="6:13" ht="18.75" customHeight="1">
      <c r="F297" s="1">
        <v>30376</v>
      </c>
      <c r="G297">
        <f t="shared" si="17"/>
        <v>3</v>
      </c>
      <c r="H297" s="7">
        <v>343.1</v>
      </c>
      <c r="I297" s="7">
        <f>_A*F297*F297+_B*F297+_C</f>
        <v>342.01223740881721</v>
      </c>
      <c r="J297" s="7">
        <f t="shared" si="18"/>
        <v>1.087762591182809</v>
      </c>
      <c r="K297" s="7" cm="1">
        <f t="array" ref="K297">INDEX(Sm,G297)</f>
        <v>1.368171928762181</v>
      </c>
      <c r="L297" s="7">
        <f t="shared" si="19"/>
        <v>343.38040933757941</v>
      </c>
      <c r="M297" s="7">
        <f t="shared" si="20"/>
        <v>-0.28040933757938546</v>
      </c>
    </row>
    <row r="298" spans="6:13" ht="18.75" customHeight="1">
      <c r="F298" s="1">
        <v>30407</v>
      </c>
      <c r="G298">
        <f t="shared" si="17"/>
        <v>4</v>
      </c>
      <c r="H298" s="7">
        <v>344.94</v>
      </c>
      <c r="I298" s="7">
        <f>_A*F298*F298+_B*F298+_C</f>
        <v>342.13290551901656</v>
      </c>
      <c r="J298" s="7">
        <f t="shared" si="18"/>
        <v>2.8070944809834373</v>
      </c>
      <c r="K298" s="7" cm="1">
        <f t="array" ref="K298">INDEX(Sm,G298)</f>
        <v>2.5295372401482399</v>
      </c>
      <c r="L298" s="7">
        <f t="shared" si="19"/>
        <v>344.66244275916478</v>
      </c>
      <c r="M298" s="7">
        <f t="shared" si="20"/>
        <v>0.27755724083522182</v>
      </c>
    </row>
    <row r="299" spans="6:13" ht="18.75" customHeight="1">
      <c r="F299" s="1">
        <v>30437</v>
      </c>
      <c r="G299">
        <f t="shared" si="17"/>
        <v>5</v>
      </c>
      <c r="H299" s="7">
        <v>345.76</v>
      </c>
      <c r="I299" s="7">
        <f>_A*F299*F299+_B*F299+_C</f>
        <v>342.24985302651129</v>
      </c>
      <c r="J299" s="7">
        <f t="shared" si="18"/>
        <v>3.5101469734887019</v>
      </c>
      <c r="K299" s="7" cm="1">
        <f t="array" ref="K299">INDEX(Sm,G299)</f>
        <v>2.9925789844300432</v>
      </c>
      <c r="L299" s="7">
        <f t="shared" si="19"/>
        <v>345.24243201094134</v>
      </c>
      <c r="M299" s="7">
        <f t="shared" si="20"/>
        <v>0.51756798905864798</v>
      </c>
    </row>
    <row r="300" spans="6:13" ht="18.75" customHeight="1">
      <c r="F300" s="1">
        <v>30468</v>
      </c>
      <c r="G300">
        <f t="shared" si="17"/>
        <v>6</v>
      </c>
      <c r="H300" s="7">
        <v>345.32</v>
      </c>
      <c r="I300" s="7">
        <f>_A*F300*F300+_B*F300+_C</f>
        <v>342.37087643180092</v>
      </c>
      <c r="J300" s="7">
        <f t="shared" si="18"/>
        <v>2.9491235681990702</v>
      </c>
      <c r="K300" s="7" cm="1">
        <f t="array" ref="K300">INDEX(Sm,G300)</f>
        <v>2.3204129706322356</v>
      </c>
      <c r="L300" s="7">
        <f t="shared" si="19"/>
        <v>344.69128940243314</v>
      </c>
      <c r="M300" s="7">
        <f t="shared" si="20"/>
        <v>0.62871059756685099</v>
      </c>
    </row>
    <row r="301" spans="6:13" ht="18.75" customHeight="1">
      <c r="F301" s="1">
        <v>30498</v>
      </c>
      <c r="G301">
        <f t="shared" si="17"/>
        <v>7</v>
      </c>
      <c r="H301" s="7">
        <v>343.98</v>
      </c>
      <c r="I301" s="7">
        <f>_A*F301*F301+_B*F301+_C</f>
        <v>342.48816777325396</v>
      </c>
      <c r="J301" s="7">
        <f t="shared" si="18"/>
        <v>1.4918322267460553</v>
      </c>
      <c r="K301" s="7" cm="1">
        <f t="array" ref="K301">INDEX(Sm,G301)</f>
        <v>0.81833597443365613</v>
      </c>
      <c r="L301" s="7">
        <f t="shared" si="19"/>
        <v>343.3065037476876</v>
      </c>
      <c r="M301" s="7">
        <f t="shared" si="20"/>
        <v>0.67349625231241816</v>
      </c>
    </row>
    <row r="302" spans="6:13" ht="18.75" customHeight="1">
      <c r="F302" s="1">
        <v>30529</v>
      </c>
      <c r="G302">
        <f t="shared" si="17"/>
        <v>8</v>
      </c>
      <c r="H302" s="7">
        <v>342.38</v>
      </c>
      <c r="I302" s="7">
        <f>_A*F302*F302+_B*F302+_C</f>
        <v>342.60954647363383</v>
      </c>
      <c r="J302" s="7">
        <f t="shared" si="18"/>
        <v>-0.22954647363383174</v>
      </c>
      <c r="K302" s="7" cm="1">
        <f t="array" ref="K302">INDEX(Sm,G302)</f>
        <v>-1.2372810548909516</v>
      </c>
      <c r="L302" s="7">
        <f t="shared" si="19"/>
        <v>341.37226541874287</v>
      </c>
      <c r="M302" s="7">
        <f t="shared" si="20"/>
        <v>1.0077345812571252</v>
      </c>
    </row>
    <row r="303" spans="6:13" ht="18.75" customHeight="1">
      <c r="F303" s="1">
        <v>30560</v>
      </c>
      <c r="G303">
        <f t="shared" si="17"/>
        <v>9</v>
      </c>
      <c r="H303" s="7">
        <v>339.87</v>
      </c>
      <c r="I303" s="7">
        <f>_A*F303*F303+_B*F303+_C</f>
        <v>342.73110573381371</v>
      </c>
      <c r="J303" s="7">
        <f t="shared" si="18"/>
        <v>-2.8611057338137016</v>
      </c>
      <c r="K303" s="7" cm="1">
        <f t="array" ref="K303">INDEX(Sm,G303)</f>
        <v>-3.0811738821107677</v>
      </c>
      <c r="L303" s="7">
        <f t="shared" si="19"/>
        <v>339.64993185170295</v>
      </c>
      <c r="M303" s="7">
        <f t="shared" si="20"/>
        <v>0.22006814829705945</v>
      </c>
    </row>
    <row r="304" spans="6:13" ht="18.75" customHeight="1">
      <c r="F304" s="1">
        <v>30590</v>
      </c>
      <c r="G304">
        <f t="shared" si="17"/>
        <v>10</v>
      </c>
      <c r="H304" s="7">
        <v>339.99</v>
      </c>
      <c r="I304" s="7">
        <f>_A*F304*F304+_B*F304+_C</f>
        <v>342.84891564451527</v>
      </c>
      <c r="J304" s="7">
        <f t="shared" si="18"/>
        <v>-2.8589156445152639</v>
      </c>
      <c r="K304" s="7" cm="1">
        <f t="array" ref="K304">INDEX(Sm,G304)</f>
        <v>-3.2770720300056544</v>
      </c>
      <c r="L304" s="7">
        <f t="shared" si="19"/>
        <v>339.57184361450965</v>
      </c>
      <c r="M304" s="7">
        <f t="shared" si="20"/>
        <v>0.41815638549036294</v>
      </c>
    </row>
    <row r="305" spans="6:13" ht="18.75" customHeight="1">
      <c r="F305" s="1">
        <v>30621</v>
      </c>
      <c r="G305">
        <f t="shared" si="17"/>
        <v>11</v>
      </c>
      <c r="H305" s="7">
        <v>341.15</v>
      </c>
      <c r="I305" s="7">
        <f>_A*F305*F305+_B*F305+_C</f>
        <v>342.97083019978538</v>
      </c>
      <c r="J305" s="7">
        <f t="shared" si="18"/>
        <v>-1.8208301997854051</v>
      </c>
      <c r="K305" s="7" cm="1">
        <f t="array" ref="K305">INDEX(Sm,G305)</f>
        <v>-2.0734932780028581</v>
      </c>
      <c r="L305" s="7">
        <f t="shared" si="19"/>
        <v>340.89733692178254</v>
      </c>
      <c r="M305" s="7">
        <f t="shared" si="20"/>
        <v>0.25266307821743794</v>
      </c>
    </row>
    <row r="306" spans="6:13" ht="18.75" customHeight="1">
      <c r="F306" s="1">
        <v>30651</v>
      </c>
      <c r="G306">
        <f t="shared" si="17"/>
        <v>12</v>
      </c>
      <c r="H306" s="7">
        <v>342.99</v>
      </c>
      <c r="I306" s="7">
        <f>_A*F306*F306+_B*F306+_C</f>
        <v>343.08898394444532</v>
      </c>
      <c r="J306" s="7">
        <f t="shared" si="18"/>
        <v>-9.8983944445308225E-2</v>
      </c>
      <c r="K306" s="7" cm="1">
        <f t="array" ref="K306">INDEX(Sm,G306)</f>
        <v>-0.94500362363844403</v>
      </c>
      <c r="L306" s="7">
        <f t="shared" si="19"/>
        <v>342.14398032080686</v>
      </c>
      <c r="M306" s="7">
        <f t="shared" si="20"/>
        <v>0.84601967919314802</v>
      </c>
    </row>
    <row r="307" spans="6:13" ht="18.75" customHeight="1">
      <c r="F307" s="1">
        <v>30682</v>
      </c>
      <c r="G307">
        <f t="shared" si="17"/>
        <v>1</v>
      </c>
      <c r="H307" s="7">
        <v>343.7</v>
      </c>
      <c r="I307" s="7">
        <f>_A*F307*F307+_B*F307+_C</f>
        <v>343.21125379480566</v>
      </c>
      <c r="J307" s="7">
        <f t="shared" si="18"/>
        <v>0.48874620519433165</v>
      </c>
      <c r="K307" s="7" cm="1">
        <f t="array" ref="K307">INDEX(Sm,G307)</f>
        <v>-3.1273707705410173E-2</v>
      </c>
      <c r="L307" s="7">
        <f t="shared" si="19"/>
        <v>343.17998008710026</v>
      </c>
      <c r="M307" s="7">
        <f t="shared" si="20"/>
        <v>0.52001991289972693</v>
      </c>
    </row>
    <row r="308" spans="6:13" ht="18.75" customHeight="1">
      <c r="F308" s="1">
        <v>30713</v>
      </c>
      <c r="G308">
        <f t="shared" si="17"/>
        <v>2</v>
      </c>
      <c r="H308" s="7">
        <v>344.5</v>
      </c>
      <c r="I308" s="7">
        <f>_A*F308*F308+_B*F308+_C</f>
        <v>343.33370420496595</v>
      </c>
      <c r="J308" s="7">
        <f t="shared" si="18"/>
        <v>1.1662957950340456</v>
      </c>
      <c r="K308" s="7" cm="1">
        <f t="array" ref="K308">INDEX(Sm,G308)</f>
        <v>0.60795807352328612</v>
      </c>
      <c r="L308" s="7">
        <f t="shared" si="19"/>
        <v>343.94166227848922</v>
      </c>
      <c r="M308" s="7">
        <f t="shared" si="20"/>
        <v>0.55833772151078165</v>
      </c>
    </row>
    <row r="309" spans="6:13" ht="18.75" customHeight="1">
      <c r="F309" s="1">
        <v>30742</v>
      </c>
      <c r="G309">
        <f t="shared" si="17"/>
        <v>3</v>
      </c>
      <c r="H309" s="7">
        <v>345.28</v>
      </c>
      <c r="I309" s="7">
        <f>_A*F309*F309+_B*F309+_C</f>
        <v>343.44841805071007</v>
      </c>
      <c r="J309" s="7">
        <f t="shared" si="18"/>
        <v>1.8315819492898981</v>
      </c>
      <c r="K309" s="7" cm="1">
        <f t="array" ref="K309">INDEX(Sm,G309)</f>
        <v>1.368171928762181</v>
      </c>
      <c r="L309" s="7">
        <f t="shared" si="19"/>
        <v>344.81658997947227</v>
      </c>
      <c r="M309" s="7">
        <f t="shared" si="20"/>
        <v>0.46341002052770364</v>
      </c>
    </row>
    <row r="310" spans="6:13" ht="18.75" customHeight="1">
      <c r="F310" s="1">
        <v>30773</v>
      </c>
      <c r="G310">
        <f t="shared" si="17"/>
        <v>4</v>
      </c>
      <c r="H310" s="7">
        <v>347.05</v>
      </c>
      <c r="I310" s="7">
        <f>_A*F310*F310+_B*F310+_C</f>
        <v>343.57121793145097</v>
      </c>
      <c r="J310" s="7">
        <f t="shared" si="18"/>
        <v>3.4787820685490374</v>
      </c>
      <c r="K310" s="7" cm="1">
        <f t="array" ref="K310">INDEX(Sm,G310)</f>
        <v>2.5295372401482399</v>
      </c>
      <c r="L310" s="7">
        <f t="shared" si="19"/>
        <v>346.10075517159919</v>
      </c>
      <c r="M310" s="7">
        <f t="shared" si="20"/>
        <v>0.94924482840082192</v>
      </c>
    </row>
    <row r="311" spans="6:13" ht="18.75" customHeight="1">
      <c r="F311" s="1">
        <v>30803</v>
      </c>
      <c r="G311">
        <f t="shared" si="17"/>
        <v>5</v>
      </c>
      <c r="H311" s="7">
        <v>347.43</v>
      </c>
      <c r="I311" s="7">
        <f>_A*F311*F311+_B*F311+_C</f>
        <v>343.69022844269546</v>
      </c>
      <c r="J311" s="7">
        <f t="shared" si="18"/>
        <v>3.7397715573045502</v>
      </c>
      <c r="K311" s="7" cm="1">
        <f t="array" ref="K311">INDEX(Sm,G311)</f>
        <v>2.9925789844300432</v>
      </c>
      <c r="L311" s="7">
        <f t="shared" si="19"/>
        <v>346.68280742712551</v>
      </c>
      <c r="M311" s="7">
        <f t="shared" si="20"/>
        <v>0.74719257287449636</v>
      </c>
    </row>
    <row r="312" spans="6:13" ht="18.75" customHeight="1">
      <c r="F312" s="1">
        <v>30834</v>
      </c>
      <c r="G312">
        <f t="shared" si="17"/>
        <v>6</v>
      </c>
      <c r="H312" s="7">
        <v>346.8</v>
      </c>
      <c r="I312" s="7">
        <f>_A*F312*F312+_B*F312+_C</f>
        <v>343.81338361852664</v>
      </c>
      <c r="J312" s="7">
        <f t="shared" si="18"/>
        <v>2.9866163814733682</v>
      </c>
      <c r="K312" s="7" cm="1">
        <f t="array" ref="K312">INDEX(Sm,G312)</f>
        <v>2.3204129706322356</v>
      </c>
      <c r="L312" s="7">
        <f t="shared" si="19"/>
        <v>346.13379658915886</v>
      </c>
      <c r="M312" s="7">
        <f t="shared" si="20"/>
        <v>0.66620341084114898</v>
      </c>
    </row>
    <row r="313" spans="6:13" ht="18.75" customHeight="1">
      <c r="F313" s="1">
        <v>30864</v>
      </c>
      <c r="G313">
        <f t="shared" si="17"/>
        <v>7</v>
      </c>
      <c r="H313" s="7">
        <v>345.39</v>
      </c>
      <c r="I313" s="7">
        <f>_A*F313*F313+_B*F313+_C</f>
        <v>343.93273796372944</v>
      </c>
      <c r="J313" s="7">
        <f t="shared" si="18"/>
        <v>1.4572620362705493</v>
      </c>
      <c r="K313" s="7" cm="1">
        <f t="array" ref="K313">INDEX(Sm,G313)</f>
        <v>0.81833597443365613</v>
      </c>
      <c r="L313" s="7">
        <f t="shared" si="19"/>
        <v>344.75107393816307</v>
      </c>
      <c r="M313" s="7">
        <f t="shared" si="20"/>
        <v>0.63892606183691214</v>
      </c>
    </row>
    <row r="314" spans="6:13" ht="18.75" customHeight="1">
      <c r="F314" s="1">
        <v>30895</v>
      </c>
      <c r="G314">
        <f t="shared" si="17"/>
        <v>8</v>
      </c>
      <c r="H314" s="7">
        <v>343.28</v>
      </c>
      <c r="I314" s="7">
        <f>_A*F314*F314+_B*F314+_C</f>
        <v>344.0562484346508</v>
      </c>
      <c r="J314" s="7">
        <f t="shared" si="18"/>
        <v>-0.77624843465082449</v>
      </c>
      <c r="K314" s="7" cm="1">
        <f t="array" ref="K314">INDEX(Sm,G314)</f>
        <v>-1.2372810548909516</v>
      </c>
      <c r="L314" s="7">
        <f t="shared" si="19"/>
        <v>342.81896737975984</v>
      </c>
      <c r="M314" s="7">
        <f t="shared" si="20"/>
        <v>0.46103262024013247</v>
      </c>
    </row>
    <row r="315" spans="6:13" ht="18.75" customHeight="1">
      <c r="F315" s="1">
        <v>30926</v>
      </c>
      <c r="G315">
        <f t="shared" si="17"/>
        <v>9</v>
      </c>
      <c r="H315" s="7">
        <v>341.07</v>
      </c>
      <c r="I315" s="7">
        <f>_A*F315*F315+_B*F315+_C</f>
        <v>344.17993946537217</v>
      </c>
      <c r="J315" s="7">
        <f t="shared" si="18"/>
        <v>-3.1099394653721788</v>
      </c>
      <c r="K315" s="7" cm="1">
        <f t="array" ref="K315">INDEX(Sm,G315)</f>
        <v>-3.0811738821107677</v>
      </c>
      <c r="L315" s="7">
        <f t="shared" si="19"/>
        <v>341.09876558326141</v>
      </c>
      <c r="M315" s="7">
        <f t="shared" si="20"/>
        <v>-2.876558326141776E-2</v>
      </c>
    </row>
    <row r="316" spans="6:13" ht="18.75" customHeight="1">
      <c r="F316" s="1">
        <v>30956</v>
      </c>
      <c r="G316">
        <f t="shared" si="17"/>
        <v>10</v>
      </c>
      <c r="H316" s="7">
        <v>341.35</v>
      </c>
      <c r="I316" s="7">
        <f>_A*F316*F316+_B*F316+_C</f>
        <v>344.29981237982361</v>
      </c>
      <c r="J316" s="7">
        <f t="shared" si="18"/>
        <v>-2.9498123798235838</v>
      </c>
      <c r="K316" s="7" cm="1">
        <f t="array" ref="K316">INDEX(Sm,G316)</f>
        <v>-3.2770720300056544</v>
      </c>
      <c r="L316" s="7">
        <f t="shared" si="19"/>
        <v>341.02274034981798</v>
      </c>
      <c r="M316" s="7">
        <f t="shared" si="20"/>
        <v>0.32725965018204306</v>
      </c>
    </row>
    <row r="317" spans="6:13" ht="18.75" customHeight="1">
      <c r="F317" s="1">
        <v>30987</v>
      </c>
      <c r="G317">
        <f t="shared" si="17"/>
        <v>11</v>
      </c>
      <c r="H317" s="7">
        <v>342.98</v>
      </c>
      <c r="I317" s="7">
        <f>_A*F317*F317+_B*F317+_C</f>
        <v>344.42385870563521</v>
      </c>
      <c r="J317" s="7">
        <f t="shared" si="18"/>
        <v>-1.4438587056351935</v>
      </c>
      <c r="K317" s="7" cm="1">
        <f t="array" ref="K317">INDEX(Sm,G317)</f>
        <v>-2.0734932780028581</v>
      </c>
      <c r="L317" s="7">
        <f t="shared" si="19"/>
        <v>342.35036542763237</v>
      </c>
      <c r="M317" s="7">
        <f t="shared" si="20"/>
        <v>0.62963457236764953</v>
      </c>
    </row>
    <row r="318" spans="6:13" ht="18.75" customHeight="1">
      <c r="F318" s="1">
        <v>31017</v>
      </c>
      <c r="G318">
        <f t="shared" si="17"/>
        <v>12</v>
      </c>
      <c r="H318" s="7">
        <v>344.22</v>
      </c>
      <c r="I318" s="7">
        <f>_A*F318*F318+_B*F318+_C</f>
        <v>344.5440754540449</v>
      </c>
      <c r="J318" s="7">
        <f t="shared" si="18"/>
        <v>-0.32407545404487337</v>
      </c>
      <c r="K318" s="7" cm="1">
        <f t="array" ref="K318">INDEX(Sm,G318)</f>
        <v>-0.94500362363844403</v>
      </c>
      <c r="L318" s="7">
        <f t="shared" si="19"/>
        <v>343.59907183040644</v>
      </c>
      <c r="M318" s="7">
        <f t="shared" si="20"/>
        <v>0.62092816959358288</v>
      </c>
    </row>
    <row r="319" spans="6:13" ht="18.75" customHeight="1">
      <c r="F319" s="1">
        <v>31048</v>
      </c>
      <c r="G319">
        <f t="shared" si="17"/>
        <v>1</v>
      </c>
      <c r="H319" s="7">
        <v>344.97</v>
      </c>
      <c r="I319" s="7">
        <f>_A*F319*F319+_B*F319+_C</f>
        <v>344.66847707494679</v>
      </c>
      <c r="J319" s="7">
        <f t="shared" si="18"/>
        <v>0.3015229250532343</v>
      </c>
      <c r="K319" s="7" cm="1">
        <f t="array" ref="K319">INDEX(Sm,G319)</f>
        <v>-3.1273707705410173E-2</v>
      </c>
      <c r="L319" s="7">
        <f t="shared" si="19"/>
        <v>344.6372033672414</v>
      </c>
      <c r="M319" s="7">
        <f t="shared" si="20"/>
        <v>0.33279663275862958</v>
      </c>
    </row>
    <row r="320" spans="6:13" ht="18.75" customHeight="1">
      <c r="F320" s="1">
        <v>31079</v>
      </c>
      <c r="G320">
        <f t="shared" si="17"/>
        <v>2</v>
      </c>
      <c r="H320" s="7">
        <v>345.99</v>
      </c>
      <c r="I320" s="7">
        <f>_A*F320*F320+_B*F320+_C</f>
        <v>344.79305925564859</v>
      </c>
      <c r="J320" s="7">
        <f t="shared" si="18"/>
        <v>1.1969407443514228</v>
      </c>
      <c r="K320" s="7" cm="1">
        <f t="array" ref="K320">INDEX(Sm,G320)</f>
        <v>0.60795807352328612</v>
      </c>
      <c r="L320" s="7">
        <f t="shared" si="19"/>
        <v>345.40101732917185</v>
      </c>
      <c r="M320" s="7">
        <f t="shared" si="20"/>
        <v>0.58898267082815892</v>
      </c>
    </row>
    <row r="321" spans="6:13" ht="18.75" customHeight="1">
      <c r="F321" s="1">
        <v>31107</v>
      </c>
      <c r="G321">
        <f t="shared" si="17"/>
        <v>3</v>
      </c>
      <c r="H321" s="7">
        <v>347.42</v>
      </c>
      <c r="I321" s="7">
        <f>_A*F321*F321+_B*F321+_C</f>
        <v>344.9057402912822</v>
      </c>
      <c r="J321" s="7">
        <f t="shared" si="18"/>
        <v>2.514259708717816</v>
      </c>
      <c r="K321" s="7" cm="1">
        <f t="array" ref="K321">INDEX(Sm,G321)</f>
        <v>1.368171928762181</v>
      </c>
      <c r="L321" s="7">
        <f t="shared" si="19"/>
        <v>346.27391222004439</v>
      </c>
      <c r="M321" s="7">
        <f t="shared" si="20"/>
        <v>1.1460877799556215</v>
      </c>
    </row>
    <row r="322" spans="6:13" ht="18.75" customHeight="1">
      <c r="F322" s="1">
        <v>31138</v>
      </c>
      <c r="G322">
        <f t="shared" si="17"/>
        <v>4</v>
      </c>
      <c r="H322" s="7">
        <v>348.35</v>
      </c>
      <c r="I322" s="7">
        <f>_A*F322*F322+_B*F322+_C</f>
        <v>345.03066611805491</v>
      </c>
      <c r="J322" s="7">
        <f t="shared" si="18"/>
        <v>3.3193338819451128</v>
      </c>
      <c r="K322" s="7" cm="1">
        <f t="array" ref="K322">INDEX(Sm,G322)</f>
        <v>2.5295372401482399</v>
      </c>
      <c r="L322" s="7">
        <f t="shared" si="19"/>
        <v>347.56020335820313</v>
      </c>
      <c r="M322" s="7">
        <f t="shared" si="20"/>
        <v>0.78979664179689735</v>
      </c>
    </row>
    <row r="323" spans="6:13" ht="18.75" customHeight="1">
      <c r="F323" s="1">
        <v>31168</v>
      </c>
      <c r="G323">
        <f t="shared" ref="G323:G386" si="21">MONTH(F323)</f>
        <v>5</v>
      </c>
      <c r="H323" s="7">
        <v>348.93</v>
      </c>
      <c r="I323" s="7">
        <f>_A*F323*F323+_B*F323+_C</f>
        <v>345.15173399642697</v>
      </c>
      <c r="J323" s="7">
        <f t="shared" ref="J323:J386" si="22">H323-I323</f>
        <v>3.7782660035730373</v>
      </c>
      <c r="K323" s="7" cm="1">
        <f t="array" ref="K323">INDEX(Sm,G323)</f>
        <v>2.9925789844300432</v>
      </c>
      <c r="L323" s="7">
        <f t="shared" ref="L323:L386" si="23">I323+K323</f>
        <v>348.14431298085702</v>
      </c>
      <c r="M323" s="7">
        <f t="shared" ref="M323:M386" si="24">H323-L323</f>
        <v>0.78568701914298344</v>
      </c>
    </row>
    <row r="324" spans="6:13" ht="18.75" customHeight="1">
      <c r="F324" s="1">
        <v>31199</v>
      </c>
      <c r="G324">
        <f t="shared" si="21"/>
        <v>6</v>
      </c>
      <c r="H324" s="7">
        <v>348.25</v>
      </c>
      <c r="I324" s="7">
        <f>_A*F324*F324+_B*F324+_C</f>
        <v>345.27701511828997</v>
      </c>
      <c r="J324" s="7">
        <f t="shared" si="22"/>
        <v>2.9729848817100333</v>
      </c>
      <c r="K324" s="7" cm="1">
        <f t="array" ref="K324">INDEX(Sm,G324)</f>
        <v>2.3204129706322356</v>
      </c>
      <c r="L324" s="7">
        <f t="shared" si="23"/>
        <v>347.59742808892219</v>
      </c>
      <c r="M324" s="7">
        <f t="shared" si="24"/>
        <v>0.65257191107781409</v>
      </c>
    </row>
    <row r="325" spans="6:13" ht="18.75" customHeight="1">
      <c r="F325" s="1">
        <v>31229</v>
      </c>
      <c r="G325">
        <f t="shared" si="21"/>
        <v>7</v>
      </c>
      <c r="H325" s="7">
        <v>346.56</v>
      </c>
      <c r="I325" s="7">
        <f>_A*F325*F325+_B*F325+_C</f>
        <v>345.39842683062034</v>
      </c>
      <c r="J325" s="7">
        <f t="shared" si="22"/>
        <v>1.1615731693796647</v>
      </c>
      <c r="K325" s="7" cm="1">
        <f t="array" ref="K325">INDEX(Sm,G325)</f>
        <v>0.81833597443365613</v>
      </c>
      <c r="L325" s="7">
        <f t="shared" si="23"/>
        <v>346.21676280505397</v>
      </c>
      <c r="M325" s="7">
        <f t="shared" si="24"/>
        <v>0.34323719494602756</v>
      </c>
    </row>
    <row r="326" spans="6:13" ht="18.75" customHeight="1">
      <c r="F326" s="1">
        <v>31260</v>
      </c>
      <c r="G326">
        <f t="shared" si="21"/>
        <v>8</v>
      </c>
      <c r="H326" s="7">
        <v>344.67</v>
      </c>
      <c r="I326" s="7">
        <f>_A*F326*F326+_B*F326+_C</f>
        <v>345.52406324757351</v>
      </c>
      <c r="J326" s="7">
        <f t="shared" si="22"/>
        <v>-0.85406324757349239</v>
      </c>
      <c r="K326" s="7" cm="1">
        <f t="array" ref="K326">INDEX(Sm,G326)</f>
        <v>-1.2372810548909516</v>
      </c>
      <c r="L326" s="7">
        <f t="shared" si="23"/>
        <v>344.28678219268255</v>
      </c>
      <c r="M326" s="7">
        <f t="shared" si="24"/>
        <v>0.38321780731746458</v>
      </c>
    </row>
    <row r="327" spans="6:13" ht="18.75" customHeight="1">
      <c r="F327" s="1">
        <v>31291</v>
      </c>
      <c r="G327">
        <f t="shared" si="21"/>
        <v>9</v>
      </c>
      <c r="H327" s="7">
        <v>343.09</v>
      </c>
      <c r="I327" s="7">
        <f>_A*F327*F327+_B*F327+_C</f>
        <v>345.64988022432669</v>
      </c>
      <c r="J327" s="7">
        <f t="shared" si="22"/>
        <v>-2.5598802243267187</v>
      </c>
      <c r="K327" s="7" cm="1">
        <f t="array" ref="K327">INDEX(Sm,G327)</f>
        <v>-3.0811738821107677</v>
      </c>
      <c r="L327" s="7">
        <f t="shared" si="23"/>
        <v>342.56870634221593</v>
      </c>
      <c r="M327" s="7">
        <f t="shared" si="24"/>
        <v>0.52129365778404235</v>
      </c>
    </row>
    <row r="328" spans="6:13" ht="18.75" customHeight="1">
      <c r="F328" s="1">
        <v>31321</v>
      </c>
      <c r="G328">
        <f t="shared" si="21"/>
        <v>10</v>
      </c>
      <c r="H328" s="7">
        <v>342.8</v>
      </c>
      <c r="I328" s="7">
        <f>_A*F328*F328+_B*F328+_C</f>
        <v>345.77181050590571</v>
      </c>
      <c r="J328" s="7">
        <f t="shared" si="22"/>
        <v>-2.9718105059056938</v>
      </c>
      <c r="K328" s="7" cm="1">
        <f t="array" ref="K328">INDEX(Sm,G328)</f>
        <v>-3.2770720300056544</v>
      </c>
      <c r="L328" s="7">
        <f t="shared" si="23"/>
        <v>342.49473847590008</v>
      </c>
      <c r="M328" s="7">
        <f t="shared" si="24"/>
        <v>0.30526152409993301</v>
      </c>
    </row>
    <row r="329" spans="6:13" ht="18.75" customHeight="1">
      <c r="F329" s="1">
        <v>31352</v>
      </c>
      <c r="G329">
        <f t="shared" si="21"/>
        <v>11</v>
      </c>
      <c r="H329" s="7">
        <v>344.24</v>
      </c>
      <c r="I329" s="7">
        <f>_A*F329*F329+_B*F329+_C</f>
        <v>345.89798277774906</v>
      </c>
      <c r="J329" s="7">
        <f t="shared" si="22"/>
        <v>-1.657982777749055</v>
      </c>
      <c r="K329" s="7" cm="1">
        <f t="array" ref="K329">INDEX(Sm,G329)</f>
        <v>-2.0734932780028581</v>
      </c>
      <c r="L329" s="7">
        <f t="shared" si="23"/>
        <v>343.82448949974622</v>
      </c>
      <c r="M329" s="7">
        <f t="shared" si="24"/>
        <v>0.415510500253788</v>
      </c>
    </row>
    <row r="330" spans="6:13" ht="18.75" customHeight="1">
      <c r="F330" s="1">
        <v>31382</v>
      </c>
      <c r="G330">
        <f t="shared" si="21"/>
        <v>12</v>
      </c>
      <c r="H330" s="7">
        <v>345.56</v>
      </c>
      <c r="I330" s="7">
        <f>_A*F330*F330+_B*F330+_C</f>
        <v>346.02025689328639</v>
      </c>
      <c r="J330" s="7">
        <f t="shared" si="22"/>
        <v>-0.46025689328638464</v>
      </c>
      <c r="K330" s="7" cm="1">
        <f t="array" ref="K330">INDEX(Sm,G330)</f>
        <v>-0.94500362363844403</v>
      </c>
      <c r="L330" s="7">
        <f t="shared" si="23"/>
        <v>345.07525326964793</v>
      </c>
      <c r="M330" s="7">
        <f t="shared" si="24"/>
        <v>0.48474673035207161</v>
      </c>
    </row>
    <row r="331" spans="6:13" ht="18.75" customHeight="1">
      <c r="F331" s="1">
        <v>31413</v>
      </c>
      <c r="G331">
        <f t="shared" si="21"/>
        <v>1</v>
      </c>
      <c r="H331" s="7">
        <v>346.3</v>
      </c>
      <c r="I331" s="7">
        <f>_A*F331*F331+_B*F331+_C</f>
        <v>346.14678446022003</v>
      </c>
      <c r="J331" s="7">
        <f t="shared" si="22"/>
        <v>0.15321553977997837</v>
      </c>
      <c r="K331" s="7" cm="1">
        <f t="array" ref="K331">INDEX(Sm,G331)</f>
        <v>-3.1273707705410173E-2</v>
      </c>
      <c r="L331" s="7">
        <f t="shared" si="23"/>
        <v>346.11551075251464</v>
      </c>
      <c r="M331" s="7">
        <f t="shared" si="24"/>
        <v>0.18448924748537365</v>
      </c>
    </row>
    <row r="332" spans="6:13" ht="18.75" customHeight="1">
      <c r="F332" s="1">
        <v>31444</v>
      </c>
      <c r="G332">
        <f t="shared" si="21"/>
        <v>2</v>
      </c>
      <c r="H332" s="7">
        <v>346.95</v>
      </c>
      <c r="I332" s="7">
        <f>_A*F332*F332+_B*F332+_C</f>
        <v>346.27349258695364</v>
      </c>
      <c r="J332" s="7">
        <f t="shared" si="22"/>
        <v>0.67650741304635176</v>
      </c>
      <c r="K332" s="7" cm="1">
        <f t="array" ref="K332">INDEX(Sm,G332)</f>
        <v>0.60795807352328612</v>
      </c>
      <c r="L332" s="7">
        <f t="shared" si="23"/>
        <v>346.8814506604769</v>
      </c>
      <c r="M332" s="7">
        <f t="shared" si="24"/>
        <v>6.8549339523087838E-2</v>
      </c>
    </row>
    <row r="333" spans="6:13" ht="18.75" customHeight="1">
      <c r="F333" s="1">
        <v>31472</v>
      </c>
      <c r="G333">
        <f t="shared" si="21"/>
        <v>3</v>
      </c>
      <c r="H333" s="7">
        <v>347.85</v>
      </c>
      <c r="I333" s="7">
        <f>_A*F333*F333+_B*F333+_C</f>
        <v>346.38809383190636</v>
      </c>
      <c r="J333" s="7">
        <f t="shared" si="22"/>
        <v>1.4619061680936625</v>
      </c>
      <c r="K333" s="7" cm="1">
        <f t="array" ref="K333">INDEX(Sm,G333)</f>
        <v>1.368171928762181</v>
      </c>
      <c r="L333" s="7">
        <f t="shared" si="23"/>
        <v>347.75626576066855</v>
      </c>
      <c r="M333" s="7">
        <f t="shared" si="24"/>
        <v>9.3734239331467961E-2</v>
      </c>
    </row>
    <row r="334" spans="6:13" ht="18.75" customHeight="1">
      <c r="F334" s="1">
        <v>31503</v>
      </c>
      <c r="G334">
        <f t="shared" si="21"/>
        <v>4</v>
      </c>
      <c r="H334" s="7">
        <v>349.55</v>
      </c>
      <c r="I334" s="7">
        <f>_A*F334*F334+_B*F334+_C</f>
        <v>346.51514560471088</v>
      </c>
      <c r="J334" s="7">
        <f t="shared" si="22"/>
        <v>3.0348543952891305</v>
      </c>
      <c r="K334" s="7" cm="1">
        <f t="array" ref="K334">INDEX(Sm,G334)</f>
        <v>2.5295372401482399</v>
      </c>
      <c r="L334" s="7">
        <f t="shared" si="23"/>
        <v>349.0446828448591</v>
      </c>
      <c r="M334" s="7">
        <f t="shared" si="24"/>
        <v>0.50531715514091502</v>
      </c>
    </row>
    <row r="335" spans="6:13" ht="18.75" customHeight="1">
      <c r="F335" s="1">
        <v>31533</v>
      </c>
      <c r="G335">
        <f t="shared" si="21"/>
        <v>5</v>
      </c>
      <c r="H335" s="7">
        <v>350.22</v>
      </c>
      <c r="I335" s="7">
        <f>_A*F335*F335+_B*F335+_C</f>
        <v>346.63827085021052</v>
      </c>
      <c r="J335" s="7">
        <f t="shared" si="22"/>
        <v>3.5817291497895098</v>
      </c>
      <c r="K335" s="7" cm="1">
        <f t="array" ref="K335">INDEX(Sm,G335)</f>
        <v>2.9925789844300432</v>
      </c>
      <c r="L335" s="7">
        <f t="shared" si="23"/>
        <v>349.63084983464057</v>
      </c>
      <c r="M335" s="7">
        <f t="shared" si="24"/>
        <v>0.58915016535945597</v>
      </c>
    </row>
    <row r="336" spans="6:13" ht="18.75" customHeight="1">
      <c r="F336" s="1">
        <v>31564</v>
      </c>
      <c r="G336">
        <f t="shared" si="21"/>
        <v>6</v>
      </c>
      <c r="H336" s="7">
        <v>349.55</v>
      </c>
      <c r="I336" s="7">
        <f>_A*F336*F336+_B*F336+_C</f>
        <v>346.76567791810527</v>
      </c>
      <c r="J336" s="7">
        <f t="shared" si="22"/>
        <v>2.784322081894743</v>
      </c>
      <c r="K336" s="7" cm="1">
        <f t="array" ref="K336">INDEX(Sm,G336)</f>
        <v>2.3204129706322356</v>
      </c>
      <c r="L336" s="7">
        <f t="shared" si="23"/>
        <v>349.08609088873749</v>
      </c>
      <c r="M336" s="7">
        <f t="shared" si="24"/>
        <v>0.46390911126252377</v>
      </c>
    </row>
    <row r="337" spans="6:13" ht="18.75" customHeight="1">
      <c r="F337" s="1">
        <v>31594</v>
      </c>
      <c r="G337">
        <f t="shared" si="21"/>
        <v>7</v>
      </c>
      <c r="H337" s="7">
        <v>347.94</v>
      </c>
      <c r="I337" s="7">
        <f>_A*F337*F337+_B*F337+_C</f>
        <v>346.88914699756322</v>
      </c>
      <c r="J337" s="7">
        <f t="shared" si="22"/>
        <v>1.0508530024367815</v>
      </c>
      <c r="K337" s="7" cm="1">
        <f t="array" ref="K337">INDEX(Sm,G337)</f>
        <v>0.81833597443365613</v>
      </c>
      <c r="L337" s="7">
        <f t="shared" si="23"/>
        <v>347.70748297199685</v>
      </c>
      <c r="M337" s="7">
        <f t="shared" si="24"/>
        <v>0.23251702800314433</v>
      </c>
    </row>
    <row r="338" spans="6:13" ht="18.75" customHeight="1">
      <c r="F338" s="1">
        <v>31625</v>
      </c>
      <c r="G338">
        <f t="shared" si="21"/>
        <v>8</v>
      </c>
      <c r="H338" s="7">
        <v>345.9</v>
      </c>
      <c r="I338" s="7">
        <f>_A*F338*F338+_B*F338+_C</f>
        <v>347.0169093605482</v>
      </c>
      <c r="J338" s="7">
        <f t="shared" si="22"/>
        <v>-1.1169093605482203</v>
      </c>
      <c r="K338" s="7" cm="1">
        <f t="array" ref="K338">INDEX(Sm,G338)</f>
        <v>-1.2372810548909516</v>
      </c>
      <c r="L338" s="7">
        <f t="shared" si="23"/>
        <v>345.77962830565724</v>
      </c>
      <c r="M338" s="7">
        <f t="shared" si="24"/>
        <v>0.12037169434273665</v>
      </c>
    </row>
    <row r="339" spans="6:13" ht="18.75" customHeight="1">
      <c r="F339" s="1">
        <v>31656</v>
      </c>
      <c r="G339">
        <f t="shared" si="21"/>
        <v>9</v>
      </c>
      <c r="H339" s="7">
        <v>344.85</v>
      </c>
      <c r="I339" s="7">
        <f>_A*F339*F339+_B*F339+_C</f>
        <v>347.14485228333319</v>
      </c>
      <c r="J339" s="7">
        <f t="shared" si="22"/>
        <v>-2.2948522833331708</v>
      </c>
      <c r="K339" s="7" cm="1">
        <f t="array" ref="K339">INDEX(Sm,G339)</f>
        <v>-3.0811738821107677</v>
      </c>
      <c r="L339" s="7">
        <f t="shared" si="23"/>
        <v>344.06367840122243</v>
      </c>
      <c r="M339" s="7">
        <f t="shared" si="24"/>
        <v>0.78632159877759022</v>
      </c>
    </row>
    <row r="340" spans="6:13" ht="18.75" customHeight="1">
      <c r="F340" s="1">
        <v>31686</v>
      </c>
      <c r="G340">
        <f t="shared" si="21"/>
        <v>10</v>
      </c>
      <c r="H340" s="7">
        <v>344.17</v>
      </c>
      <c r="I340" s="7">
        <f>_A*F340*F340+_B*F340+_C</f>
        <v>347.26883993203973</v>
      </c>
      <c r="J340" s="7">
        <f t="shared" si="22"/>
        <v>-3.0988399320397093</v>
      </c>
      <c r="K340" s="7" cm="1">
        <f t="array" ref="K340">INDEX(Sm,G340)</f>
        <v>-3.2770720300056544</v>
      </c>
      <c r="L340" s="7">
        <f t="shared" si="23"/>
        <v>343.9917679020341</v>
      </c>
      <c r="M340" s="7">
        <f t="shared" si="24"/>
        <v>0.17823209796591755</v>
      </c>
    </row>
    <row r="341" spans="6:13" ht="18.75" customHeight="1">
      <c r="F341" s="1">
        <v>31717</v>
      </c>
      <c r="G341">
        <f t="shared" si="21"/>
        <v>11</v>
      </c>
      <c r="H341" s="7">
        <v>345.66</v>
      </c>
      <c r="I341" s="7">
        <f>_A*F341*F341+_B*F341+_C</f>
        <v>347.39713814991495</v>
      </c>
      <c r="J341" s="7">
        <f t="shared" si="22"/>
        <v>-1.7371381499149265</v>
      </c>
      <c r="K341" s="7" cm="1">
        <f t="array" ref="K341">INDEX(Sm,G341)</f>
        <v>-2.0734932780028581</v>
      </c>
      <c r="L341" s="7">
        <f t="shared" si="23"/>
        <v>345.32364487191211</v>
      </c>
      <c r="M341" s="7">
        <f t="shared" si="24"/>
        <v>0.33635512808791646</v>
      </c>
    </row>
    <row r="342" spans="6:13" ht="18.75" customHeight="1">
      <c r="F342" s="1">
        <v>31747</v>
      </c>
      <c r="G342">
        <f t="shared" si="21"/>
        <v>12</v>
      </c>
      <c r="H342" s="7">
        <v>346.9</v>
      </c>
      <c r="I342" s="7">
        <f>_A*F342*F342+_B*F342+_C</f>
        <v>347.52146963257979</v>
      </c>
      <c r="J342" s="7">
        <f t="shared" si="22"/>
        <v>-0.62146963257981724</v>
      </c>
      <c r="K342" s="7" cm="1">
        <f t="array" ref="K342">INDEX(Sm,G342)</f>
        <v>-0.94500362363844403</v>
      </c>
      <c r="L342" s="7">
        <f t="shared" si="23"/>
        <v>346.57646600894134</v>
      </c>
      <c r="M342" s="7">
        <f t="shared" si="24"/>
        <v>0.323533991058639</v>
      </c>
    </row>
    <row r="343" spans="6:13" ht="18.75" customHeight="1">
      <c r="F343" s="1">
        <v>31778</v>
      </c>
      <c r="G343">
        <f t="shared" si="21"/>
        <v>1</v>
      </c>
      <c r="H343" s="7">
        <v>348.02</v>
      </c>
      <c r="I343" s="7">
        <f>_A*F343*F343+_B*F343+_C</f>
        <v>347.65012314554525</v>
      </c>
      <c r="J343" s="7">
        <f t="shared" si="22"/>
        <v>0.36987685445473062</v>
      </c>
      <c r="K343" s="7" cm="1">
        <f t="array" ref="K343">INDEX(Sm,G343)</f>
        <v>-3.1273707705410173E-2</v>
      </c>
      <c r="L343" s="7">
        <f t="shared" si="23"/>
        <v>347.61884943783986</v>
      </c>
      <c r="M343" s="7">
        <f t="shared" si="24"/>
        <v>0.4011505621601259</v>
      </c>
    </row>
    <row r="344" spans="6:13" ht="18.75" customHeight="1">
      <c r="F344" s="1">
        <v>31809</v>
      </c>
      <c r="G344">
        <f t="shared" si="21"/>
        <v>2</v>
      </c>
      <c r="H344" s="7">
        <v>348.48</v>
      </c>
      <c r="I344" s="7">
        <f>_A*F344*F344+_B*F344+_C</f>
        <v>347.77895721831067</v>
      </c>
      <c r="J344" s="7">
        <f t="shared" si="22"/>
        <v>0.70104278168935252</v>
      </c>
      <c r="K344" s="7" cm="1">
        <f t="array" ref="K344">INDEX(Sm,G344)</f>
        <v>0.60795807352328612</v>
      </c>
      <c r="L344" s="7">
        <f t="shared" si="23"/>
        <v>348.38691529183393</v>
      </c>
      <c r="M344" s="7">
        <f t="shared" si="24"/>
        <v>9.3084708166088603E-2</v>
      </c>
    </row>
    <row r="345" spans="6:13" ht="18.75" customHeight="1">
      <c r="F345" s="1">
        <v>31837</v>
      </c>
      <c r="G345">
        <f t="shared" si="21"/>
        <v>3</v>
      </c>
      <c r="H345" s="7">
        <v>349.42</v>
      </c>
      <c r="I345" s="7">
        <f>_A*F345*F345+_B*F345+_C</f>
        <v>347.89547867258244</v>
      </c>
      <c r="J345" s="7">
        <f t="shared" si="22"/>
        <v>1.524521327417574</v>
      </c>
      <c r="K345" s="7" cm="1">
        <f t="array" ref="K345">INDEX(Sm,G345)</f>
        <v>1.368171928762181</v>
      </c>
      <c r="L345" s="7">
        <f t="shared" si="23"/>
        <v>349.26365060134464</v>
      </c>
      <c r="M345" s="7">
        <f t="shared" si="24"/>
        <v>0.15634939865537945</v>
      </c>
    </row>
    <row r="346" spans="6:13" ht="18.75" customHeight="1">
      <c r="F346" s="1">
        <v>31868</v>
      </c>
      <c r="G346">
        <f t="shared" si="21"/>
        <v>4</v>
      </c>
      <c r="H346" s="7">
        <v>350.98</v>
      </c>
      <c r="I346" s="7">
        <f>_A*F346*F346+_B*F346+_C</f>
        <v>348.02465639141877</v>
      </c>
      <c r="J346" s="7">
        <f t="shared" si="22"/>
        <v>2.955343608581245</v>
      </c>
      <c r="K346" s="7" cm="1">
        <f t="array" ref="K346">INDEX(Sm,G346)</f>
        <v>2.5295372401482399</v>
      </c>
      <c r="L346" s="7">
        <f t="shared" si="23"/>
        <v>350.55419363156699</v>
      </c>
      <c r="M346" s="7">
        <f t="shared" si="24"/>
        <v>0.42580636843302955</v>
      </c>
    </row>
    <row r="347" spans="6:13" ht="18.75" customHeight="1">
      <c r="F347" s="1">
        <v>31898</v>
      </c>
      <c r="G347">
        <f t="shared" si="21"/>
        <v>5</v>
      </c>
      <c r="H347" s="7">
        <v>351.85</v>
      </c>
      <c r="I347" s="7">
        <f>_A*F347*F347+_B*F347+_C</f>
        <v>348.14983900404593</v>
      </c>
      <c r="J347" s="7">
        <f t="shared" si="22"/>
        <v>3.7001609959540929</v>
      </c>
      <c r="K347" s="7" cm="1">
        <f t="array" ref="K347">INDEX(Sm,G347)</f>
        <v>2.9925789844300432</v>
      </c>
      <c r="L347" s="7">
        <f t="shared" si="23"/>
        <v>351.14241798847598</v>
      </c>
      <c r="M347" s="7">
        <f t="shared" si="24"/>
        <v>0.70758201152403899</v>
      </c>
    </row>
    <row r="348" spans="6:13" ht="18.75" customHeight="1">
      <c r="F348" s="1">
        <v>31929</v>
      </c>
      <c r="G348">
        <f t="shared" si="21"/>
        <v>6</v>
      </c>
      <c r="H348" s="7">
        <v>351.26</v>
      </c>
      <c r="I348" s="7">
        <f>_A*F348*F348+_B*F348+_C</f>
        <v>348.27937201797255</v>
      </c>
      <c r="J348" s="7">
        <f t="shared" si="22"/>
        <v>2.9806279820274426</v>
      </c>
      <c r="K348" s="7" cm="1">
        <f t="array" ref="K348">INDEX(Sm,G348)</f>
        <v>2.3204129706322356</v>
      </c>
      <c r="L348" s="7">
        <f t="shared" si="23"/>
        <v>350.59978498860477</v>
      </c>
      <c r="M348" s="7">
        <f t="shared" si="24"/>
        <v>0.66021501139522343</v>
      </c>
    </row>
    <row r="349" spans="6:13" ht="18.75" customHeight="1">
      <c r="F349" s="1">
        <v>31959</v>
      </c>
      <c r="G349">
        <f t="shared" si="21"/>
        <v>7</v>
      </c>
      <c r="H349" s="7">
        <v>349.51</v>
      </c>
      <c r="I349" s="7">
        <f>_A*F349*F349+_B*F349+_C</f>
        <v>348.40489846455807</v>
      </c>
      <c r="J349" s="7">
        <f t="shared" si="22"/>
        <v>1.1051015354419178</v>
      </c>
      <c r="K349" s="7" cm="1">
        <f t="array" ref="K349">INDEX(Sm,G349)</f>
        <v>0.81833597443365613</v>
      </c>
      <c r="L349" s="7">
        <f t="shared" si="23"/>
        <v>349.22323443899171</v>
      </c>
      <c r="M349" s="7">
        <f t="shared" si="24"/>
        <v>0.28676556100828066</v>
      </c>
    </row>
    <row r="350" spans="6:13" ht="18.75" customHeight="1">
      <c r="F350" s="1">
        <v>31990</v>
      </c>
      <c r="G350">
        <f t="shared" si="21"/>
        <v>8</v>
      </c>
      <c r="H350" s="7">
        <v>348.1</v>
      </c>
      <c r="I350" s="7">
        <f>_A*F350*F350+_B*F350+_C</f>
        <v>348.53478677357487</v>
      </c>
      <c r="J350" s="7">
        <f t="shared" si="22"/>
        <v>-0.4347867735748423</v>
      </c>
      <c r="K350" s="7" cm="1">
        <f t="array" ref="K350">INDEX(Sm,G350)</f>
        <v>-1.2372810548909516</v>
      </c>
      <c r="L350" s="7">
        <f t="shared" si="23"/>
        <v>347.29750571868391</v>
      </c>
      <c r="M350" s="7">
        <f t="shared" si="24"/>
        <v>0.80249428131611467</v>
      </c>
    </row>
    <row r="351" spans="6:13" ht="18.75" customHeight="1">
      <c r="F351" s="1">
        <v>32021</v>
      </c>
      <c r="G351">
        <f t="shared" si="21"/>
        <v>9</v>
      </c>
      <c r="H351" s="7">
        <v>346.45</v>
      </c>
      <c r="I351" s="7">
        <f>_A*F351*F351+_B*F351+_C</f>
        <v>348.66485564239167</v>
      </c>
      <c r="J351" s="7">
        <f t="shared" si="22"/>
        <v>-2.214855642391683</v>
      </c>
      <c r="K351" s="7" cm="1">
        <f t="array" ref="K351">INDEX(Sm,G351)</f>
        <v>-3.0811738821107677</v>
      </c>
      <c r="L351" s="7">
        <f t="shared" si="23"/>
        <v>345.58368176028091</v>
      </c>
      <c r="M351" s="7">
        <f t="shared" si="24"/>
        <v>0.86631823971907806</v>
      </c>
    </row>
    <row r="352" spans="6:13" ht="18.75" customHeight="1">
      <c r="F352" s="1">
        <v>32051</v>
      </c>
      <c r="G352">
        <f t="shared" si="21"/>
        <v>10</v>
      </c>
      <c r="H352" s="7">
        <v>346.36</v>
      </c>
      <c r="I352" s="7">
        <f>_A*F352*F352+_B*F352+_C</f>
        <v>348.79090065822572</v>
      </c>
      <c r="J352" s="7">
        <f t="shared" si="22"/>
        <v>-2.4309006582257098</v>
      </c>
      <c r="K352" s="7" cm="1">
        <f t="array" ref="K352">INDEX(Sm,G352)</f>
        <v>-3.2770720300056544</v>
      </c>
      <c r="L352" s="7">
        <f t="shared" si="23"/>
        <v>345.5138286282201</v>
      </c>
      <c r="M352" s="7">
        <f t="shared" si="24"/>
        <v>0.84617137177991708</v>
      </c>
    </row>
    <row r="353" spans="6:13" ht="18.75" customHeight="1">
      <c r="F353" s="1">
        <v>32082</v>
      </c>
      <c r="G353">
        <f t="shared" si="21"/>
        <v>11</v>
      </c>
      <c r="H353" s="7">
        <v>347.81</v>
      </c>
      <c r="I353" s="7">
        <f>_A*F353*F353+_B*F353+_C</f>
        <v>348.92132482213276</v>
      </c>
      <c r="J353" s="7">
        <f t="shared" si="22"/>
        <v>-1.1113248221327581</v>
      </c>
      <c r="K353" s="7" cm="1">
        <f t="array" ref="K353">INDEX(Sm,G353)</f>
        <v>-2.0734932780028581</v>
      </c>
      <c r="L353" s="7">
        <f t="shared" si="23"/>
        <v>346.84783154412992</v>
      </c>
      <c r="M353" s="7">
        <f t="shared" si="24"/>
        <v>0.96216845587008493</v>
      </c>
    </row>
    <row r="354" spans="6:13" ht="18.75" customHeight="1">
      <c r="F354" s="1">
        <v>32112</v>
      </c>
      <c r="G354">
        <f t="shared" si="21"/>
        <v>12</v>
      </c>
      <c r="H354" s="7">
        <v>348.96</v>
      </c>
      <c r="I354" s="7">
        <f>_A*F354*F354+_B*F354+_C</f>
        <v>349.04771367192518</v>
      </c>
      <c r="J354" s="7">
        <f t="shared" si="22"/>
        <v>-8.7713671925200742E-2</v>
      </c>
      <c r="K354" s="7" cm="1">
        <f t="array" ref="K354">INDEX(Sm,G354)</f>
        <v>-0.94500362363844403</v>
      </c>
      <c r="L354" s="7">
        <f t="shared" si="23"/>
        <v>348.10271004828672</v>
      </c>
      <c r="M354" s="7">
        <f t="shared" si="24"/>
        <v>0.8572899517132555</v>
      </c>
    </row>
    <row r="355" spans="6:13" ht="18.75" customHeight="1">
      <c r="F355" s="1">
        <v>32143</v>
      </c>
      <c r="G355">
        <f t="shared" si="21"/>
        <v>1</v>
      </c>
      <c r="H355" s="7">
        <v>350.43</v>
      </c>
      <c r="I355" s="7">
        <f>_A*F355*F355+_B*F355+_C</f>
        <v>349.17849313092245</v>
      </c>
      <c r="J355" s="7">
        <f t="shared" si="22"/>
        <v>1.2515068690775593</v>
      </c>
      <c r="K355" s="7" cm="1">
        <f t="array" ref="K355">INDEX(Sm,G355)</f>
        <v>-3.1273707705410173E-2</v>
      </c>
      <c r="L355" s="7">
        <f t="shared" si="23"/>
        <v>349.14721942321705</v>
      </c>
      <c r="M355" s="7">
        <f t="shared" si="24"/>
        <v>1.2827805767829545</v>
      </c>
    </row>
    <row r="356" spans="6:13" ht="18.75" customHeight="1">
      <c r="F356" s="1">
        <v>32174</v>
      </c>
      <c r="G356">
        <f t="shared" si="21"/>
        <v>2</v>
      </c>
      <c r="H356" s="7">
        <v>351.73</v>
      </c>
      <c r="I356" s="7">
        <f>_A*F356*F356+_B*F356+_C</f>
        <v>349.30945314971973</v>
      </c>
      <c r="J356" s="7">
        <f t="shared" si="22"/>
        <v>2.4205468502802887</v>
      </c>
      <c r="K356" s="7" cm="1">
        <f t="array" ref="K356">INDEX(Sm,G356)</f>
        <v>0.60795807352328612</v>
      </c>
      <c r="L356" s="7">
        <f t="shared" si="23"/>
        <v>349.91741122324299</v>
      </c>
      <c r="M356" s="7">
        <f t="shared" si="24"/>
        <v>1.8125887767570248</v>
      </c>
    </row>
    <row r="357" spans="6:13" ht="18.75" customHeight="1">
      <c r="F357" s="1">
        <v>32203</v>
      </c>
      <c r="G357">
        <f t="shared" si="21"/>
        <v>3</v>
      </c>
      <c r="H357" s="7">
        <v>352.22</v>
      </c>
      <c r="I357" s="7">
        <f>_A*F357*F357+_B*F357+_C</f>
        <v>349.43212759709189</v>
      </c>
      <c r="J357" s="7">
        <f t="shared" si="22"/>
        <v>2.7878724029081354</v>
      </c>
      <c r="K357" s="7" cm="1">
        <f t="array" ref="K357">INDEX(Sm,G357)</f>
        <v>1.368171928762181</v>
      </c>
      <c r="L357" s="7">
        <f t="shared" si="23"/>
        <v>350.80029952585409</v>
      </c>
      <c r="M357" s="7">
        <f t="shared" si="24"/>
        <v>1.4197004741459409</v>
      </c>
    </row>
    <row r="358" spans="6:13" ht="18.75" customHeight="1">
      <c r="F358" s="1">
        <v>32234</v>
      </c>
      <c r="G358">
        <f t="shared" si="21"/>
        <v>4</v>
      </c>
      <c r="H358" s="7">
        <v>353.59</v>
      </c>
      <c r="I358" s="7">
        <f>_A*F358*F358+_B*F358+_C</f>
        <v>349.56343708646972</v>
      </c>
      <c r="J358" s="7">
        <f t="shared" si="22"/>
        <v>4.0265629135302561</v>
      </c>
      <c r="K358" s="7" cm="1">
        <f t="array" ref="K358">INDEX(Sm,G358)</f>
        <v>2.5295372401482399</v>
      </c>
      <c r="L358" s="7">
        <f t="shared" si="23"/>
        <v>352.09297432661793</v>
      </c>
      <c r="M358" s="7">
        <f t="shared" si="24"/>
        <v>1.4970256733820406</v>
      </c>
    </row>
    <row r="359" spans="6:13" ht="18.75" customHeight="1">
      <c r="F359" s="1">
        <v>32264</v>
      </c>
      <c r="G359">
        <f t="shared" si="21"/>
        <v>5</v>
      </c>
      <c r="H359" s="7">
        <v>354.22</v>
      </c>
      <c r="I359" s="7">
        <f>_A*F359*F359+_B*F359+_C</f>
        <v>349.69068270284674</v>
      </c>
      <c r="J359" s="7">
        <f t="shared" si="22"/>
        <v>4.529317297153284</v>
      </c>
      <c r="K359" s="7" cm="1">
        <f t="array" ref="K359">INDEX(Sm,G359)</f>
        <v>2.9925789844300432</v>
      </c>
      <c r="L359" s="7">
        <f t="shared" si="23"/>
        <v>352.6832616872768</v>
      </c>
      <c r="M359" s="7">
        <f t="shared" si="24"/>
        <v>1.5367383127232301</v>
      </c>
    </row>
    <row r="360" spans="6:13" ht="18.75" customHeight="1">
      <c r="F360" s="1">
        <v>32295</v>
      </c>
      <c r="G360">
        <f t="shared" si="21"/>
        <v>6</v>
      </c>
      <c r="H360" s="7">
        <v>353.8</v>
      </c>
      <c r="I360" s="7">
        <f>_A*F360*F360+_B*F360+_C</f>
        <v>349.8223474873148</v>
      </c>
      <c r="J360" s="7">
        <f t="shared" si="22"/>
        <v>3.9776525126852107</v>
      </c>
      <c r="K360" s="7" cm="1">
        <f t="array" ref="K360">INDEX(Sm,G360)</f>
        <v>2.3204129706322356</v>
      </c>
      <c r="L360" s="7">
        <f t="shared" si="23"/>
        <v>352.14276045794702</v>
      </c>
      <c r="M360" s="7">
        <f t="shared" si="24"/>
        <v>1.6572395420529915</v>
      </c>
    </row>
    <row r="361" spans="6:13" ht="18.75" customHeight="1">
      <c r="F361" s="1">
        <v>32325</v>
      </c>
      <c r="G361">
        <f t="shared" si="21"/>
        <v>7</v>
      </c>
      <c r="H361" s="7">
        <v>352.38</v>
      </c>
      <c r="I361" s="7">
        <f>_A*F361*F361+_B*F361+_C</f>
        <v>349.94993693765014</v>
      </c>
      <c r="J361" s="7">
        <f t="shared" si="22"/>
        <v>2.4300630623498591</v>
      </c>
      <c r="K361" s="7" cm="1">
        <f t="array" ref="K361">INDEX(Sm,G361)</f>
        <v>0.81833597443365613</v>
      </c>
      <c r="L361" s="7">
        <f t="shared" si="23"/>
        <v>350.76827291208377</v>
      </c>
      <c r="M361" s="7">
        <f t="shared" si="24"/>
        <v>1.611727087916222</v>
      </c>
    </row>
    <row r="362" spans="6:13" ht="18.75" customHeight="1">
      <c r="F362" s="1">
        <v>32356</v>
      </c>
      <c r="G362">
        <f t="shared" si="21"/>
        <v>8</v>
      </c>
      <c r="H362" s="7">
        <v>350.43</v>
      </c>
      <c r="I362" s="7">
        <f>_A*F362*F362+_B*F362+_C</f>
        <v>350.08195701720842</v>
      </c>
      <c r="J362" s="7">
        <f t="shared" si="22"/>
        <v>0.34804298279158274</v>
      </c>
      <c r="K362" s="7" cm="1">
        <f t="array" ref="K362">INDEX(Sm,G362)</f>
        <v>-1.2372810548909516</v>
      </c>
      <c r="L362" s="7">
        <f t="shared" si="23"/>
        <v>348.84467596231747</v>
      </c>
      <c r="M362" s="7">
        <f t="shared" si="24"/>
        <v>1.5853240376825397</v>
      </c>
    </row>
    <row r="363" spans="6:13" ht="18.75" customHeight="1">
      <c r="F363" s="1">
        <v>32387</v>
      </c>
      <c r="G363">
        <f t="shared" si="21"/>
        <v>9</v>
      </c>
      <c r="H363" s="7">
        <v>348.73</v>
      </c>
      <c r="I363" s="7">
        <f>_A*F363*F363+_B*F363+_C</f>
        <v>350.21415765656673</v>
      </c>
      <c r="J363" s="7">
        <f t="shared" si="22"/>
        <v>-1.4841576565667083</v>
      </c>
      <c r="K363" s="7" cm="1">
        <f t="array" ref="K363">INDEX(Sm,G363)</f>
        <v>-3.0811738821107677</v>
      </c>
      <c r="L363" s="7">
        <f t="shared" si="23"/>
        <v>347.13298377445597</v>
      </c>
      <c r="M363" s="7">
        <f t="shared" si="24"/>
        <v>1.5970162255440528</v>
      </c>
    </row>
    <row r="364" spans="6:13" ht="18.75" customHeight="1">
      <c r="F364" s="1">
        <v>32417</v>
      </c>
      <c r="G364">
        <f t="shared" si="21"/>
        <v>10</v>
      </c>
      <c r="H364" s="7">
        <v>348.88</v>
      </c>
      <c r="I364" s="7">
        <f>_A*F364*F364+_B*F364+_C</f>
        <v>350.34226567615065</v>
      </c>
      <c r="J364" s="7">
        <f t="shared" si="22"/>
        <v>-1.4622656761506505</v>
      </c>
      <c r="K364" s="7" cm="1">
        <f t="array" ref="K364">INDEX(Sm,G364)</f>
        <v>-3.2770720300056544</v>
      </c>
      <c r="L364" s="7">
        <f t="shared" si="23"/>
        <v>347.06519364614502</v>
      </c>
      <c r="M364" s="7">
        <f t="shared" si="24"/>
        <v>1.8148063538549764</v>
      </c>
    </row>
    <row r="365" spans="6:13" ht="18.75" customHeight="1">
      <c r="F365" s="1">
        <v>32448</v>
      </c>
      <c r="G365">
        <f t="shared" si="21"/>
        <v>11</v>
      </c>
      <c r="H365" s="7">
        <v>350.07</v>
      </c>
      <c r="I365" s="7">
        <f>_A*F365*F365+_B*F365+_C</f>
        <v>350.47482161059918</v>
      </c>
      <c r="J365" s="7">
        <f t="shared" si="22"/>
        <v>-0.40482161059918553</v>
      </c>
      <c r="K365" s="7" cm="1">
        <f t="array" ref="K365">INDEX(Sm,G365)</f>
        <v>-2.0734932780028581</v>
      </c>
      <c r="L365" s="7">
        <f t="shared" si="23"/>
        <v>348.40132833259634</v>
      </c>
      <c r="M365" s="7">
        <f t="shared" si="24"/>
        <v>1.6686716674036575</v>
      </c>
    </row>
    <row r="366" spans="6:13" ht="18.75" customHeight="1">
      <c r="F366" s="1">
        <v>32478</v>
      </c>
      <c r="G366">
        <f t="shared" si="21"/>
        <v>12</v>
      </c>
      <c r="H366" s="7">
        <v>351.34</v>
      </c>
      <c r="I366" s="7">
        <f>_A*F366*F366+_B*F366+_C</f>
        <v>350.60327346414141</v>
      </c>
      <c r="J366" s="7">
        <f t="shared" si="22"/>
        <v>0.73672653585856551</v>
      </c>
      <c r="K366" s="7" cm="1">
        <f t="array" ref="K366">INDEX(Sm,G366)</f>
        <v>-0.94500362363844403</v>
      </c>
      <c r="L366" s="7">
        <f t="shared" si="23"/>
        <v>349.65826984050295</v>
      </c>
      <c r="M366" s="7">
        <f t="shared" si="24"/>
        <v>1.6817301594970218</v>
      </c>
    </row>
    <row r="367" spans="6:13" ht="18.75" customHeight="1">
      <c r="F367" s="1">
        <v>32509</v>
      </c>
      <c r="G367">
        <f t="shared" si="21"/>
        <v>1</v>
      </c>
      <c r="H367" s="7">
        <v>352.76</v>
      </c>
      <c r="I367" s="7">
        <f>_A*F367*F367+_B*F367+_C</f>
        <v>350.73618469368012</v>
      </c>
      <c r="J367" s="7">
        <f t="shared" si="22"/>
        <v>2.0238153063198752</v>
      </c>
      <c r="K367" s="7" cm="1">
        <f t="array" ref="K367">INDEX(Sm,G367)</f>
        <v>-3.1273707705410173E-2</v>
      </c>
      <c r="L367" s="7">
        <f t="shared" si="23"/>
        <v>350.70491098597472</v>
      </c>
      <c r="M367" s="7">
        <f t="shared" si="24"/>
        <v>2.0550890140252704</v>
      </c>
    </row>
    <row r="368" spans="6:13" ht="18.75" customHeight="1">
      <c r="F368" s="1">
        <v>32540</v>
      </c>
      <c r="G368">
        <f t="shared" si="21"/>
        <v>2</v>
      </c>
      <c r="H368" s="7">
        <v>353.07</v>
      </c>
      <c r="I368" s="7">
        <f>_A*F368*F368+_B*F368+_C</f>
        <v>350.86927648301889</v>
      </c>
      <c r="J368" s="7">
        <f t="shared" si="22"/>
        <v>2.2007235169810997</v>
      </c>
      <c r="K368" s="7" cm="1">
        <f t="array" ref="K368">INDEX(Sm,G368)</f>
        <v>0.60795807352328612</v>
      </c>
      <c r="L368" s="7">
        <f t="shared" si="23"/>
        <v>351.47723455654216</v>
      </c>
      <c r="M368" s="7">
        <f t="shared" si="24"/>
        <v>1.5927654434578358</v>
      </c>
    </row>
    <row r="369" spans="6:13" ht="18.75" customHeight="1">
      <c r="F369" s="1">
        <v>32568</v>
      </c>
      <c r="G369">
        <f t="shared" si="21"/>
        <v>3</v>
      </c>
      <c r="H369" s="7">
        <v>353.68</v>
      </c>
      <c r="I369" s="7">
        <f>_A*F369*F369+_B*F369+_C</f>
        <v>350.98964361677622</v>
      </c>
      <c r="J369" s="7">
        <f t="shared" si="22"/>
        <v>2.6903563832237865</v>
      </c>
      <c r="K369" s="7" cm="1">
        <f t="array" ref="K369">INDEX(Sm,G369)</f>
        <v>1.368171928762181</v>
      </c>
      <c r="L369" s="7">
        <f t="shared" si="23"/>
        <v>352.35781554553841</v>
      </c>
      <c r="M369" s="7">
        <f t="shared" si="24"/>
        <v>1.3221844544615919</v>
      </c>
    </row>
    <row r="370" spans="6:13" ht="18.75" customHeight="1">
      <c r="F370" s="1">
        <v>32599</v>
      </c>
      <c r="G370">
        <f t="shared" si="21"/>
        <v>4</v>
      </c>
      <c r="H370" s="7">
        <v>355.42</v>
      </c>
      <c r="I370" s="7">
        <f>_A*F370*F370+_B*F370+_C</f>
        <v>351.12307905218586</v>
      </c>
      <c r="J370" s="7">
        <f t="shared" si="22"/>
        <v>4.2969209478141579</v>
      </c>
      <c r="K370" s="7" cm="1">
        <f t="array" ref="K370">INDEX(Sm,G370)</f>
        <v>2.5295372401482399</v>
      </c>
      <c r="L370" s="7">
        <f t="shared" si="23"/>
        <v>353.65261629233407</v>
      </c>
      <c r="M370" s="7">
        <f t="shared" si="24"/>
        <v>1.7673837076659424</v>
      </c>
    </row>
    <row r="371" spans="6:13" ht="18.75" customHeight="1">
      <c r="F371" s="1">
        <v>32629</v>
      </c>
      <c r="G371">
        <f t="shared" si="21"/>
        <v>5</v>
      </c>
      <c r="H371" s="7">
        <v>355.67</v>
      </c>
      <c r="I371" s="7">
        <f>_A*F371*F371+_B*F371+_C</f>
        <v>351.2523820356904</v>
      </c>
      <c r="J371" s="7">
        <f t="shared" si="22"/>
        <v>4.4176179643096134</v>
      </c>
      <c r="K371" s="7" cm="1">
        <f t="array" ref="K371">INDEX(Sm,G371)</f>
        <v>2.9925789844300432</v>
      </c>
      <c r="L371" s="7">
        <f t="shared" si="23"/>
        <v>354.24496102012046</v>
      </c>
      <c r="M371" s="7">
        <f t="shared" si="24"/>
        <v>1.4250389798795595</v>
      </c>
    </row>
    <row r="372" spans="6:13" ht="18.75" customHeight="1">
      <c r="F372" s="1">
        <v>32660</v>
      </c>
      <c r="G372">
        <f t="shared" si="21"/>
        <v>6</v>
      </c>
      <c r="H372" s="7">
        <v>355.12</v>
      </c>
      <c r="I372" s="7">
        <f>_A*F372*F372+_B*F372+_C</f>
        <v>351.38617276619027</v>
      </c>
      <c r="J372" s="7">
        <f t="shared" si="22"/>
        <v>3.733827233809734</v>
      </c>
      <c r="K372" s="7" cm="1">
        <f t="array" ref="K372">INDEX(Sm,G372)</f>
        <v>2.3204129706322356</v>
      </c>
      <c r="L372" s="7">
        <f t="shared" si="23"/>
        <v>353.70658573682249</v>
      </c>
      <c r="M372" s="7">
        <f t="shared" si="24"/>
        <v>1.4134142631775148</v>
      </c>
    </row>
    <row r="373" spans="6:13" ht="18.75" customHeight="1">
      <c r="F373" s="1">
        <v>32690</v>
      </c>
      <c r="G373">
        <f t="shared" si="21"/>
        <v>7</v>
      </c>
      <c r="H373" s="7">
        <v>353.9</v>
      </c>
      <c r="I373" s="7">
        <f>_A*F373*F373+_B*F373+_C</f>
        <v>351.51581958365318</v>
      </c>
      <c r="J373" s="7">
        <f t="shared" si="22"/>
        <v>2.3841804163467941</v>
      </c>
      <c r="K373" s="7" cm="1">
        <f t="array" ref="K373">INDEX(Sm,G373)</f>
        <v>0.81833597443365613</v>
      </c>
      <c r="L373" s="7">
        <f t="shared" si="23"/>
        <v>352.33415555808682</v>
      </c>
      <c r="M373" s="7">
        <f t="shared" si="24"/>
        <v>1.565844441913157</v>
      </c>
    </row>
    <row r="374" spans="6:13" ht="18.75" customHeight="1">
      <c r="F374" s="1">
        <v>32721</v>
      </c>
      <c r="G374">
        <f t="shared" si="21"/>
        <v>8</v>
      </c>
      <c r="H374" s="7">
        <v>351.67</v>
      </c>
      <c r="I374" s="7">
        <f>_A*F374*F374+_B*F374+_C</f>
        <v>351.64996560924334</v>
      </c>
      <c r="J374" s="7">
        <f t="shared" si="22"/>
        <v>2.0034390756677567E-2</v>
      </c>
      <c r="K374" s="7" cm="1">
        <f t="array" ref="K374">INDEX(Sm,G374)</f>
        <v>-1.2372810548909516</v>
      </c>
      <c r="L374" s="7">
        <f t="shared" si="23"/>
        <v>350.41268455435238</v>
      </c>
      <c r="M374" s="7">
        <f t="shared" si="24"/>
        <v>1.2573154456476345</v>
      </c>
    </row>
    <row r="375" spans="6:13" ht="18.75" customHeight="1">
      <c r="F375" s="1">
        <v>32752</v>
      </c>
      <c r="G375">
        <f t="shared" si="21"/>
        <v>9</v>
      </c>
      <c r="H375" s="7">
        <v>349.81</v>
      </c>
      <c r="I375" s="7">
        <f>_A*F375*F375+_B*F375+_C</f>
        <v>351.78429219463339</v>
      </c>
      <c r="J375" s="7">
        <f t="shared" si="22"/>
        <v>-1.9742921946333922</v>
      </c>
      <c r="K375" s="7" cm="1">
        <f t="array" ref="K375">INDEX(Sm,G375)</f>
        <v>-3.0811738821107677</v>
      </c>
      <c r="L375" s="7">
        <f t="shared" si="23"/>
        <v>348.70311831252263</v>
      </c>
      <c r="M375" s="7">
        <f t="shared" si="24"/>
        <v>1.1068816874773688</v>
      </c>
    </row>
    <row r="376" spans="6:13" ht="18.75" customHeight="1">
      <c r="F376" s="1">
        <v>32782</v>
      </c>
      <c r="G376">
        <f t="shared" si="21"/>
        <v>10</v>
      </c>
      <c r="H376" s="7">
        <v>349.99</v>
      </c>
      <c r="I376" s="7">
        <f>_A*F376*F376+_B*F376+_C</f>
        <v>351.91445758134489</v>
      </c>
      <c r="J376" s="7">
        <f t="shared" si="22"/>
        <v>-1.9244575813448819</v>
      </c>
      <c r="K376" s="7" cm="1">
        <f t="array" ref="K376">INDEX(Sm,G376)</f>
        <v>-3.2770720300056544</v>
      </c>
      <c r="L376" s="7">
        <f t="shared" si="23"/>
        <v>348.63738555133926</v>
      </c>
      <c r="M376" s="7">
        <f t="shared" si="24"/>
        <v>1.352614448660745</v>
      </c>
    </row>
    <row r="377" spans="6:13" ht="18.75" customHeight="1">
      <c r="F377" s="1">
        <v>32813</v>
      </c>
      <c r="G377">
        <f t="shared" si="21"/>
        <v>11</v>
      </c>
      <c r="H377" s="7">
        <v>351.3</v>
      </c>
      <c r="I377" s="7">
        <f>_A*F377*F377+_B*F377+_C</f>
        <v>352.04913946182523</v>
      </c>
      <c r="J377" s="7">
        <f t="shared" si="22"/>
        <v>-0.74913946182522295</v>
      </c>
      <c r="K377" s="7" cm="1">
        <f t="array" ref="K377">INDEX(Sm,G377)</f>
        <v>-2.0734932780028581</v>
      </c>
      <c r="L377" s="7">
        <f t="shared" si="23"/>
        <v>349.97564618382239</v>
      </c>
      <c r="M377" s="7">
        <f t="shared" si="24"/>
        <v>1.32435381617762</v>
      </c>
    </row>
    <row r="378" spans="6:13" ht="18.75" customHeight="1">
      <c r="F378" s="1">
        <v>32843</v>
      </c>
      <c r="G378">
        <f t="shared" si="21"/>
        <v>12</v>
      </c>
      <c r="H378" s="7">
        <v>352.52</v>
      </c>
      <c r="I378" s="7">
        <f>_A*F378*F378+_B*F378+_C</f>
        <v>352.17964868249499</v>
      </c>
      <c r="J378" s="7">
        <f t="shared" si="22"/>
        <v>0.34035131750499659</v>
      </c>
      <c r="K378" s="7" cm="1">
        <f t="array" ref="K378">INDEX(Sm,G378)</f>
        <v>-0.94500362363844403</v>
      </c>
      <c r="L378" s="7">
        <f t="shared" si="23"/>
        <v>351.23464505885653</v>
      </c>
      <c r="M378" s="7">
        <f t="shared" si="24"/>
        <v>1.2853549411434528</v>
      </c>
    </row>
    <row r="379" spans="6:13" ht="18.75" customHeight="1">
      <c r="F379" s="1">
        <v>32874</v>
      </c>
      <c r="G379">
        <f t="shared" si="21"/>
        <v>1</v>
      </c>
      <c r="H379" s="7">
        <v>353.66</v>
      </c>
      <c r="I379" s="7">
        <f>_A*F379*F379+_B*F379+_C</f>
        <v>352.31468585806556</v>
      </c>
      <c r="J379" s="7">
        <f t="shared" si="22"/>
        <v>1.3453141419344661</v>
      </c>
      <c r="K379" s="7" cm="1">
        <f t="array" ref="K379">INDEX(Sm,G379)</f>
        <v>-3.1273707705410173E-2</v>
      </c>
      <c r="L379" s="7">
        <f t="shared" si="23"/>
        <v>352.28341215036016</v>
      </c>
      <c r="M379" s="7">
        <f t="shared" si="24"/>
        <v>1.3765878496398614</v>
      </c>
    </row>
    <row r="380" spans="6:13" ht="18.75" customHeight="1">
      <c r="F380" s="1">
        <v>32905</v>
      </c>
      <c r="G380">
        <f t="shared" si="21"/>
        <v>2</v>
      </c>
      <c r="H380" s="7">
        <v>354.7</v>
      </c>
      <c r="I380" s="7">
        <f>_A*F380*F380+_B*F380+_C</f>
        <v>352.44990359343615</v>
      </c>
      <c r="J380" s="7">
        <f t="shared" si="22"/>
        <v>2.2500964065638414</v>
      </c>
      <c r="K380" s="7" cm="1">
        <f t="array" ref="K380">INDEX(Sm,G380)</f>
        <v>0.60795807352328612</v>
      </c>
      <c r="L380" s="7">
        <f t="shared" si="23"/>
        <v>353.05786166695941</v>
      </c>
      <c r="M380" s="7">
        <f t="shared" si="24"/>
        <v>1.6421383330405774</v>
      </c>
    </row>
    <row r="381" spans="6:13" ht="18.75" customHeight="1">
      <c r="F381" s="1">
        <v>32933</v>
      </c>
      <c r="G381">
        <f t="shared" si="21"/>
        <v>3</v>
      </c>
      <c r="H381" s="7">
        <v>355.38</v>
      </c>
      <c r="I381" s="7">
        <f>_A*F381*F381+_B*F381+_C</f>
        <v>352.57219093651247</v>
      </c>
      <c r="J381" s="7">
        <f t="shared" si="22"/>
        <v>2.8078090634875252</v>
      </c>
      <c r="K381" s="7" cm="1">
        <f t="array" ref="K381">INDEX(Sm,G381)</f>
        <v>1.368171928762181</v>
      </c>
      <c r="L381" s="7">
        <f t="shared" si="23"/>
        <v>353.94036286527466</v>
      </c>
      <c r="M381" s="7">
        <f t="shared" si="24"/>
        <v>1.4396371347253307</v>
      </c>
    </row>
    <row r="382" spans="6:13" ht="18.75" customHeight="1">
      <c r="F382" s="1">
        <v>32964</v>
      </c>
      <c r="G382">
        <f t="shared" si="21"/>
        <v>4</v>
      </c>
      <c r="H382" s="7">
        <v>356.2</v>
      </c>
      <c r="I382" s="7">
        <f>_A*F382*F382+_B*F382+_C</f>
        <v>352.70775231795392</v>
      </c>
      <c r="J382" s="7">
        <f t="shared" si="22"/>
        <v>3.4922476820460702</v>
      </c>
      <c r="K382" s="7" cm="1">
        <f t="array" ref="K382">INDEX(Sm,G382)</f>
        <v>2.5295372401482399</v>
      </c>
      <c r="L382" s="7">
        <f t="shared" si="23"/>
        <v>355.23728955810213</v>
      </c>
      <c r="M382" s="7">
        <f t="shared" si="24"/>
        <v>0.96271044189785471</v>
      </c>
    </row>
    <row r="383" spans="6:13" ht="18.75" customHeight="1">
      <c r="F383" s="1">
        <v>32994</v>
      </c>
      <c r="G383">
        <f t="shared" si="21"/>
        <v>5</v>
      </c>
      <c r="H383" s="7">
        <v>357.16</v>
      </c>
      <c r="I383" s="7">
        <f>_A*F383*F383+_B*F383+_C</f>
        <v>352.8391126685861</v>
      </c>
      <c r="J383" s="7">
        <f t="shared" si="22"/>
        <v>4.3208873314139282</v>
      </c>
      <c r="K383" s="7" cm="1">
        <f t="array" ref="K383">INDEX(Sm,G383)</f>
        <v>2.9925789844300432</v>
      </c>
      <c r="L383" s="7">
        <f t="shared" si="23"/>
        <v>355.83169165301615</v>
      </c>
      <c r="M383" s="7">
        <f t="shared" si="24"/>
        <v>1.3283083469838743</v>
      </c>
    </row>
    <row r="384" spans="6:13" ht="18.75" customHeight="1">
      <c r="F384" s="1">
        <v>33025</v>
      </c>
      <c r="G384">
        <f t="shared" si="21"/>
        <v>6</v>
      </c>
      <c r="H384" s="7">
        <v>356.23</v>
      </c>
      <c r="I384" s="7">
        <f>_A*F384*F384+_B*F384+_C</f>
        <v>352.97502934511778</v>
      </c>
      <c r="J384" s="7">
        <f t="shared" si="22"/>
        <v>3.2549706548822428</v>
      </c>
      <c r="K384" s="7" cm="1">
        <f t="array" ref="K384">INDEX(Sm,G384)</f>
        <v>2.3204129706322356</v>
      </c>
      <c r="L384" s="7">
        <f t="shared" si="23"/>
        <v>355.29544231574999</v>
      </c>
      <c r="M384" s="7">
        <f t="shared" si="24"/>
        <v>0.93455768425002361</v>
      </c>
    </row>
    <row r="385" spans="6:13" ht="18.75" customHeight="1">
      <c r="F385" s="1">
        <v>33055</v>
      </c>
      <c r="G385">
        <f t="shared" si="21"/>
        <v>7</v>
      </c>
      <c r="H385" s="7">
        <v>354.81</v>
      </c>
      <c r="I385" s="7">
        <f>_A*F385*F385+_B*F385+_C</f>
        <v>353.10673352970821</v>
      </c>
      <c r="J385" s="7">
        <f t="shared" si="22"/>
        <v>1.7032664702917941</v>
      </c>
      <c r="K385" s="7" cm="1">
        <f t="array" ref="K385">INDEX(Sm,G385)</f>
        <v>0.81833597443365613</v>
      </c>
      <c r="L385" s="7">
        <f t="shared" si="23"/>
        <v>353.92506950414185</v>
      </c>
      <c r="M385" s="7">
        <f t="shared" si="24"/>
        <v>0.88493049585815697</v>
      </c>
    </row>
    <row r="386" spans="6:13" ht="18.75" customHeight="1">
      <c r="F386" s="1">
        <v>33086</v>
      </c>
      <c r="G386">
        <f t="shared" si="21"/>
        <v>8</v>
      </c>
      <c r="H386" s="7">
        <v>352.91</v>
      </c>
      <c r="I386" s="7">
        <f>_A*F386*F386+_B*F386+_C</f>
        <v>353.24300550133017</v>
      </c>
      <c r="J386" s="7">
        <f t="shared" si="22"/>
        <v>-0.33300550133014895</v>
      </c>
      <c r="K386" s="7" cm="1">
        <f t="array" ref="K386">INDEX(Sm,G386)</f>
        <v>-1.2372810548909516</v>
      </c>
      <c r="L386" s="7">
        <f t="shared" si="23"/>
        <v>352.00572444643922</v>
      </c>
      <c r="M386" s="7">
        <f t="shared" si="24"/>
        <v>0.90427555356080802</v>
      </c>
    </row>
    <row r="387" spans="6:13" ht="18.75" customHeight="1">
      <c r="F387" s="1">
        <v>33117</v>
      </c>
      <c r="G387">
        <f t="shared" ref="G387:G450" si="25">MONTH(F387)</f>
        <v>9</v>
      </c>
      <c r="H387" s="7">
        <v>350.96</v>
      </c>
      <c r="I387" s="7">
        <f>_A*F387*F387+_B*F387+_C</f>
        <v>353.37945803275204</v>
      </c>
      <c r="J387" s="7">
        <f t="shared" ref="J387:J450" si="26">H387-I387</f>
        <v>-2.4194580327520612</v>
      </c>
      <c r="K387" s="7" cm="1">
        <f t="array" ref="K387">INDEX(Sm,G387)</f>
        <v>-3.0811738821107677</v>
      </c>
      <c r="L387" s="7">
        <f t="shared" ref="L387:L450" si="27">I387+K387</f>
        <v>350.29828415064128</v>
      </c>
      <c r="M387" s="7">
        <f t="shared" ref="M387:M450" si="28">H387-L387</f>
        <v>0.66171584935869987</v>
      </c>
    </row>
    <row r="388" spans="6:13" ht="18.75" customHeight="1">
      <c r="F388" s="1">
        <v>33147</v>
      </c>
      <c r="G388">
        <f t="shared" si="25"/>
        <v>10</v>
      </c>
      <c r="H388" s="7">
        <v>351.18</v>
      </c>
      <c r="I388" s="7">
        <f>_A*F388*F388+_B*F388+_C</f>
        <v>353.51168078659111</v>
      </c>
      <c r="J388" s="7">
        <f t="shared" si="26"/>
        <v>-2.3316807865911073</v>
      </c>
      <c r="K388" s="7" cm="1">
        <f t="array" ref="K388">INDEX(Sm,G388)</f>
        <v>-3.2770720300056544</v>
      </c>
      <c r="L388" s="7">
        <f t="shared" si="27"/>
        <v>350.23460875658549</v>
      </c>
      <c r="M388" s="7">
        <f t="shared" si="28"/>
        <v>0.94539124341451952</v>
      </c>
    </row>
    <row r="389" spans="6:13" ht="18.75" customHeight="1">
      <c r="F389" s="1">
        <v>33178</v>
      </c>
      <c r="G389">
        <f t="shared" si="25"/>
        <v>11</v>
      </c>
      <c r="H389" s="7">
        <v>352.83</v>
      </c>
      <c r="I389" s="7">
        <f>_A*F389*F389+_B*F389+_C</f>
        <v>353.64848861310321</v>
      </c>
      <c r="J389" s="7">
        <f t="shared" si="26"/>
        <v>-0.81848861310322718</v>
      </c>
      <c r="K389" s="7" cm="1">
        <f t="array" ref="K389">INDEX(Sm,G389)</f>
        <v>-2.0734932780028581</v>
      </c>
      <c r="L389" s="7">
        <f t="shared" si="27"/>
        <v>351.57499533510037</v>
      </c>
      <c r="M389" s="7">
        <f t="shared" si="28"/>
        <v>1.2550046648996158</v>
      </c>
    </row>
    <row r="390" spans="6:13" ht="18.75" customHeight="1">
      <c r="F390" s="1">
        <v>33208</v>
      </c>
      <c r="G390">
        <f t="shared" si="25"/>
        <v>12</v>
      </c>
      <c r="H390" s="7">
        <v>354.21</v>
      </c>
      <c r="I390" s="7">
        <f>_A*F390*F390+_B*F390+_C</f>
        <v>353.7810552009006</v>
      </c>
      <c r="J390" s="7">
        <f t="shared" si="26"/>
        <v>0.42894479909938354</v>
      </c>
      <c r="K390" s="7" cm="1">
        <f t="array" ref="K390">INDEX(Sm,G390)</f>
        <v>-0.94500362363844403</v>
      </c>
      <c r="L390" s="7">
        <f t="shared" si="27"/>
        <v>352.83605157726214</v>
      </c>
      <c r="M390" s="7">
        <f t="shared" si="28"/>
        <v>1.3739484227378398</v>
      </c>
    </row>
    <row r="391" spans="6:13" ht="18.75" customHeight="1">
      <c r="F391" s="1">
        <v>33239</v>
      </c>
      <c r="G391">
        <f t="shared" si="25"/>
        <v>1</v>
      </c>
      <c r="H391" s="7">
        <v>354.72</v>
      </c>
      <c r="I391" s="7">
        <f>_A*F391*F391+_B*F391+_C</f>
        <v>353.91821832250298</v>
      </c>
      <c r="J391" s="7">
        <f t="shared" si="26"/>
        <v>0.80178167749704699</v>
      </c>
      <c r="K391" s="7" cm="1">
        <f t="array" ref="K391">INDEX(Sm,G391)</f>
        <v>-3.1273707705410173E-2</v>
      </c>
      <c r="L391" s="7">
        <f t="shared" si="27"/>
        <v>353.88694461479759</v>
      </c>
      <c r="M391" s="7">
        <f t="shared" si="28"/>
        <v>0.83305538520244227</v>
      </c>
    </row>
    <row r="392" spans="6:13" ht="18.75" customHeight="1">
      <c r="F392" s="1">
        <v>33270</v>
      </c>
      <c r="G392">
        <f t="shared" si="25"/>
        <v>2</v>
      </c>
      <c r="H392" s="7">
        <v>355.75</v>
      </c>
      <c r="I392" s="7">
        <f>_A*F392*F392+_B*F392+_C</f>
        <v>354.05556200390532</v>
      </c>
      <c r="J392" s="7">
        <f t="shared" si="26"/>
        <v>1.6944379960946776</v>
      </c>
      <c r="K392" s="7" cm="1">
        <f t="array" ref="K392">INDEX(Sm,G392)</f>
        <v>0.60795807352328612</v>
      </c>
      <c r="L392" s="7">
        <f t="shared" si="27"/>
        <v>354.66352007742859</v>
      </c>
      <c r="M392" s="7">
        <f t="shared" si="28"/>
        <v>1.0864799225714137</v>
      </c>
    </row>
    <row r="393" spans="6:13" ht="18.75" customHeight="1">
      <c r="F393" s="1">
        <v>33298</v>
      </c>
      <c r="G393">
        <f t="shared" si="25"/>
        <v>3</v>
      </c>
      <c r="H393" s="7">
        <v>357.16</v>
      </c>
      <c r="I393" s="7">
        <f>_A*F393*F393+_B*F393+_C</f>
        <v>354.17976955630076</v>
      </c>
      <c r="J393" s="7">
        <f t="shared" si="26"/>
        <v>2.9802304436992699</v>
      </c>
      <c r="K393" s="7" cm="1">
        <f t="array" ref="K393">INDEX(Sm,G393)</f>
        <v>1.368171928762181</v>
      </c>
      <c r="L393" s="7">
        <f t="shared" si="27"/>
        <v>355.54794148506295</v>
      </c>
      <c r="M393" s="7">
        <f t="shared" si="28"/>
        <v>1.6120585149370754</v>
      </c>
    </row>
    <row r="394" spans="6:13" ht="18.75" customHeight="1">
      <c r="F394" s="1">
        <v>33329</v>
      </c>
      <c r="G394">
        <f t="shared" si="25"/>
        <v>4</v>
      </c>
      <c r="H394" s="7">
        <v>358.6</v>
      </c>
      <c r="I394" s="7">
        <f>_A*F394*F394+_B*F394+_C</f>
        <v>354.31745688377396</v>
      </c>
      <c r="J394" s="7">
        <f t="shared" si="26"/>
        <v>4.2825431162260656</v>
      </c>
      <c r="K394" s="7" cm="1">
        <f t="array" ref="K394">INDEX(Sm,G394)</f>
        <v>2.5295372401482399</v>
      </c>
      <c r="L394" s="7">
        <f t="shared" si="27"/>
        <v>356.84699412392217</v>
      </c>
      <c r="M394" s="7">
        <f t="shared" si="28"/>
        <v>1.7530058760778502</v>
      </c>
    </row>
    <row r="395" spans="6:13" ht="18.75" customHeight="1">
      <c r="F395" s="1">
        <v>33359</v>
      </c>
      <c r="G395">
        <f t="shared" si="25"/>
        <v>5</v>
      </c>
      <c r="H395" s="7">
        <v>359.34</v>
      </c>
      <c r="I395" s="7">
        <f>_A*F395*F395+_B*F395+_C</f>
        <v>354.45087460153371</v>
      </c>
      <c r="J395" s="7">
        <f t="shared" si="26"/>
        <v>4.8891253984662626</v>
      </c>
      <c r="K395" s="7" cm="1">
        <f t="array" ref="K395">INDEX(Sm,G395)</f>
        <v>2.9925789844300432</v>
      </c>
      <c r="L395" s="7">
        <f t="shared" si="27"/>
        <v>357.44345358596377</v>
      </c>
      <c r="M395" s="7">
        <f t="shared" si="28"/>
        <v>1.8965464140362087</v>
      </c>
    </row>
    <row r="396" spans="6:13" ht="18.75" customHeight="1">
      <c r="F396" s="1">
        <v>33390</v>
      </c>
      <c r="G396">
        <f t="shared" si="25"/>
        <v>6</v>
      </c>
      <c r="H396" s="7">
        <v>358.24</v>
      </c>
      <c r="I396" s="7">
        <f>_A*F396*F396+_B*F396+_C</f>
        <v>354.5889172240972</v>
      </c>
      <c r="J396" s="7">
        <f t="shared" si="26"/>
        <v>3.6510827759028075</v>
      </c>
      <c r="K396" s="7" cm="1">
        <f t="array" ref="K396">INDEX(Sm,G396)</f>
        <v>2.3204129706322356</v>
      </c>
      <c r="L396" s="7">
        <f t="shared" si="27"/>
        <v>356.90933019472942</v>
      </c>
      <c r="M396" s="7">
        <f t="shared" si="28"/>
        <v>1.3306698052705883</v>
      </c>
    </row>
    <row r="397" spans="6:13" ht="18.75" customHeight="1">
      <c r="F397" s="1">
        <v>33420</v>
      </c>
      <c r="G397">
        <f t="shared" si="25"/>
        <v>7</v>
      </c>
      <c r="H397" s="7">
        <v>356.17</v>
      </c>
      <c r="I397" s="7">
        <f>_A*F397*F397+_B*F397+_C</f>
        <v>354.72267877581521</v>
      </c>
      <c r="J397" s="7">
        <f t="shared" si="26"/>
        <v>1.4473212241848046</v>
      </c>
      <c r="K397" s="7" cm="1">
        <f t="array" ref="K397">INDEX(Sm,G397)</f>
        <v>0.81833597443365613</v>
      </c>
      <c r="L397" s="7">
        <f t="shared" si="27"/>
        <v>355.54101475024885</v>
      </c>
      <c r="M397" s="7">
        <f t="shared" si="28"/>
        <v>0.62898524975116743</v>
      </c>
    </row>
    <row r="398" spans="6:13" ht="18.75" customHeight="1">
      <c r="F398" s="1">
        <v>33451</v>
      </c>
      <c r="G398">
        <f t="shared" si="25"/>
        <v>8</v>
      </c>
      <c r="H398" s="7">
        <v>354.01</v>
      </c>
      <c r="I398" s="7">
        <f>_A*F398*F398+_B*F398+_C</f>
        <v>354.86107669346893</v>
      </c>
      <c r="J398" s="7">
        <f t="shared" si="26"/>
        <v>-0.85107669346893999</v>
      </c>
      <c r="K398" s="7" cm="1">
        <f t="array" ref="K398">INDEX(Sm,G398)</f>
        <v>-1.2372810548909516</v>
      </c>
      <c r="L398" s="7">
        <f t="shared" si="27"/>
        <v>353.62379563857797</v>
      </c>
      <c r="M398" s="7">
        <f t="shared" si="28"/>
        <v>0.38620436142201697</v>
      </c>
    </row>
    <row r="399" spans="6:13" ht="18.75" customHeight="1">
      <c r="F399" s="1">
        <v>33482</v>
      </c>
      <c r="G399">
        <f t="shared" si="25"/>
        <v>9</v>
      </c>
      <c r="H399" s="7">
        <v>352.15</v>
      </c>
      <c r="I399" s="7">
        <f>_A*F399*F399+_B*F399+_C</f>
        <v>354.99965517092267</v>
      </c>
      <c r="J399" s="7">
        <f t="shared" si="26"/>
        <v>-2.8496551709226878</v>
      </c>
      <c r="K399" s="7" cm="1">
        <f t="array" ref="K399">INDEX(Sm,G399)</f>
        <v>-3.0811738821107677</v>
      </c>
      <c r="L399" s="7">
        <f t="shared" si="27"/>
        <v>351.9184812888119</v>
      </c>
      <c r="M399" s="7">
        <f t="shared" si="28"/>
        <v>0.23151871118807321</v>
      </c>
    </row>
    <row r="400" spans="6:13" ht="18.75" customHeight="1">
      <c r="F400" s="1">
        <v>33512</v>
      </c>
      <c r="G400">
        <f t="shared" si="25"/>
        <v>10</v>
      </c>
      <c r="H400" s="7">
        <v>352.21</v>
      </c>
      <c r="I400" s="7">
        <f>_A*F400*F400+_B*F400+_C</f>
        <v>355.13393529188926</v>
      </c>
      <c r="J400" s="7">
        <f t="shared" si="26"/>
        <v>-2.9239352918892791</v>
      </c>
      <c r="K400" s="7" cm="1">
        <f t="array" ref="K400">INDEX(Sm,G400)</f>
        <v>-3.2770720300056544</v>
      </c>
      <c r="L400" s="7">
        <f t="shared" si="27"/>
        <v>351.85686326188363</v>
      </c>
      <c r="M400" s="7">
        <f t="shared" si="28"/>
        <v>0.35313673811634771</v>
      </c>
    </row>
    <row r="401" spans="6:13" ht="18.75" customHeight="1">
      <c r="F401" s="1">
        <v>33543</v>
      </c>
      <c r="G401">
        <f t="shared" si="25"/>
        <v>11</v>
      </c>
      <c r="H401" s="7">
        <v>353.75</v>
      </c>
      <c r="I401" s="7">
        <f>_A*F401*F401+_B*F401+_C</f>
        <v>355.27286906443322</v>
      </c>
      <c r="J401" s="7">
        <f t="shared" si="26"/>
        <v>-1.5228690644332232</v>
      </c>
      <c r="K401" s="7" cm="1">
        <f t="array" ref="K401">INDEX(Sm,G401)</f>
        <v>-2.0734932780028581</v>
      </c>
      <c r="L401" s="7">
        <f t="shared" si="27"/>
        <v>353.19937578643038</v>
      </c>
      <c r="M401" s="7">
        <f t="shared" si="28"/>
        <v>0.55062421356961977</v>
      </c>
    </row>
    <row r="402" spans="6:13" ht="18.75" customHeight="1">
      <c r="F402" s="1">
        <v>33573</v>
      </c>
      <c r="G402">
        <f t="shared" si="25"/>
        <v>12</v>
      </c>
      <c r="H402" s="7">
        <v>354.99</v>
      </c>
      <c r="I402" s="7">
        <f>_A*F402*F402+_B*F402+_C</f>
        <v>355.40749301935813</v>
      </c>
      <c r="J402" s="7">
        <f t="shared" si="26"/>
        <v>-0.417493019358119</v>
      </c>
      <c r="K402" s="7" cm="1">
        <f t="array" ref="K402">INDEX(Sm,G402)</f>
        <v>-0.94500362363844403</v>
      </c>
      <c r="L402" s="7">
        <f t="shared" si="27"/>
        <v>354.46248939571967</v>
      </c>
      <c r="M402" s="7">
        <f t="shared" si="28"/>
        <v>0.52751060428033725</v>
      </c>
    </row>
    <row r="403" spans="6:13" ht="18.75" customHeight="1">
      <c r="F403" s="1">
        <v>33604</v>
      </c>
      <c r="G403">
        <f t="shared" si="25"/>
        <v>1</v>
      </c>
      <c r="H403" s="7">
        <v>355.99</v>
      </c>
      <c r="I403" s="7">
        <f>_A*F403*F403+_B*F403+_C</f>
        <v>355.54678208699232</v>
      </c>
      <c r="J403" s="7">
        <f t="shared" si="26"/>
        <v>0.44321791300768609</v>
      </c>
      <c r="K403" s="7" cm="1">
        <f t="array" ref="K403">INDEX(Sm,G403)</f>
        <v>-3.1273707705410173E-2</v>
      </c>
      <c r="L403" s="7">
        <f t="shared" si="27"/>
        <v>355.51550837928693</v>
      </c>
      <c r="M403" s="7">
        <f t="shared" si="28"/>
        <v>0.47449162071308137</v>
      </c>
    </row>
    <row r="404" spans="6:13" ht="18.75" customHeight="1">
      <c r="F404" s="1">
        <v>33635</v>
      </c>
      <c r="G404">
        <f t="shared" si="25"/>
        <v>2</v>
      </c>
      <c r="H404" s="7">
        <v>356.72</v>
      </c>
      <c r="I404" s="7">
        <f>_A*F404*F404+_B*F404+_C</f>
        <v>355.68625171442653</v>
      </c>
      <c r="J404" s="7">
        <f t="shared" si="26"/>
        <v>1.0337482855734947</v>
      </c>
      <c r="K404" s="7" cm="1">
        <f t="array" ref="K404">INDEX(Sm,G404)</f>
        <v>0.60795807352328612</v>
      </c>
      <c r="L404" s="7">
        <f t="shared" si="27"/>
        <v>356.2942097879498</v>
      </c>
      <c r="M404" s="7">
        <f t="shared" si="28"/>
        <v>0.42579021205023082</v>
      </c>
    </row>
    <row r="405" spans="6:13" ht="18.75" customHeight="1">
      <c r="F405" s="1">
        <v>33664</v>
      </c>
      <c r="G405">
        <f t="shared" si="25"/>
        <v>3</v>
      </c>
      <c r="H405" s="7">
        <v>357.81</v>
      </c>
      <c r="I405" s="7">
        <f>_A*F405*F405+_B*F405+_C</f>
        <v>355.81688676342679</v>
      </c>
      <c r="J405" s="7">
        <f t="shared" si="26"/>
        <v>1.9931132365732083</v>
      </c>
      <c r="K405" s="7" cm="1">
        <f t="array" ref="K405">INDEX(Sm,G405)</f>
        <v>1.368171928762181</v>
      </c>
      <c r="L405" s="7">
        <f t="shared" si="27"/>
        <v>357.18505869218899</v>
      </c>
      <c r="M405" s="7">
        <f t="shared" si="28"/>
        <v>0.62494130781101376</v>
      </c>
    </row>
    <row r="406" spans="6:13" ht="18.75" customHeight="1">
      <c r="F406" s="1">
        <v>33695</v>
      </c>
      <c r="G406">
        <f t="shared" si="25"/>
        <v>4</v>
      </c>
      <c r="H406" s="7">
        <v>359.15</v>
      </c>
      <c r="I406" s="7">
        <f>_A*F406*F406+_B*F406+_C</f>
        <v>355.95670586144155</v>
      </c>
      <c r="J406" s="7">
        <f t="shared" si="26"/>
        <v>3.1932941385584286</v>
      </c>
      <c r="K406" s="7" cm="1">
        <f t="array" ref="K406">INDEX(Sm,G406)</f>
        <v>2.5295372401482399</v>
      </c>
      <c r="L406" s="7">
        <f t="shared" si="27"/>
        <v>358.48624310158976</v>
      </c>
      <c r="M406" s="7">
        <f t="shared" si="28"/>
        <v>0.66375689841021313</v>
      </c>
    </row>
    <row r="407" spans="6:13" ht="18.75" customHeight="1">
      <c r="F407" s="1">
        <v>33725</v>
      </c>
      <c r="G407">
        <f t="shared" si="25"/>
        <v>5</v>
      </c>
      <c r="H407" s="7">
        <v>359.66</v>
      </c>
      <c r="I407" s="7">
        <f>_A*F407*F407+_B*F407+_C</f>
        <v>356.09218658295106</v>
      </c>
      <c r="J407" s="7">
        <f t="shared" si="26"/>
        <v>3.567813417048967</v>
      </c>
      <c r="K407" s="7" cm="1">
        <f t="array" ref="K407">INDEX(Sm,G407)</f>
        <v>2.9925789844300432</v>
      </c>
      <c r="L407" s="7">
        <f t="shared" si="27"/>
        <v>359.08476556738111</v>
      </c>
      <c r="M407" s="7">
        <f t="shared" si="28"/>
        <v>0.57523443261891316</v>
      </c>
    </row>
    <row r="408" spans="6:13" ht="18.75" customHeight="1">
      <c r="F408" s="1">
        <v>33756</v>
      </c>
      <c r="G408">
        <f t="shared" si="25"/>
        <v>6</v>
      </c>
      <c r="H408" s="7">
        <v>359.25</v>
      </c>
      <c r="I408" s="7">
        <f>_A*F408*F408+_B*F408+_C</f>
        <v>356.23236097605604</v>
      </c>
      <c r="J408" s="7">
        <f t="shared" si="26"/>
        <v>3.017639023943957</v>
      </c>
      <c r="K408" s="7" cm="1">
        <f t="array" ref="K408">INDEX(Sm,G408)</f>
        <v>2.3204129706322356</v>
      </c>
      <c r="L408" s="7">
        <f t="shared" si="27"/>
        <v>358.55277394668826</v>
      </c>
      <c r="M408" s="7">
        <f t="shared" si="28"/>
        <v>0.69722605331173781</v>
      </c>
    </row>
    <row r="409" spans="6:13" ht="18.75" customHeight="1">
      <c r="F409" s="1">
        <v>33786</v>
      </c>
      <c r="G409">
        <f t="shared" si="25"/>
        <v>7</v>
      </c>
      <c r="H409" s="7">
        <v>357.02</v>
      </c>
      <c r="I409" s="7">
        <f>_A*F409*F409+_B*F409+_C</f>
        <v>356.36818553152386</v>
      </c>
      <c r="J409" s="7">
        <f t="shared" si="26"/>
        <v>0.65181446847611824</v>
      </c>
      <c r="K409" s="7" cm="1">
        <f t="array" ref="K409">INDEX(Sm,G409)</f>
        <v>0.81833597443365613</v>
      </c>
      <c r="L409" s="7">
        <f t="shared" si="27"/>
        <v>357.1865215059575</v>
      </c>
      <c r="M409" s="7">
        <f t="shared" si="28"/>
        <v>-0.16652150595751891</v>
      </c>
    </row>
    <row r="410" spans="6:13" ht="18.75" customHeight="1">
      <c r="F410" s="1">
        <v>33817</v>
      </c>
      <c r="G410">
        <f t="shared" si="25"/>
        <v>8</v>
      </c>
      <c r="H410" s="7">
        <v>355</v>
      </c>
      <c r="I410" s="7">
        <f>_A*F410*F410+_B*F410+_C</f>
        <v>356.50871521971914</v>
      </c>
      <c r="J410" s="7">
        <f t="shared" si="26"/>
        <v>-1.5087152197191358</v>
      </c>
      <c r="K410" s="7" cm="1">
        <f t="array" ref="K410">INDEX(Sm,G410)</f>
        <v>-1.2372810548909516</v>
      </c>
      <c r="L410" s="7">
        <f t="shared" si="27"/>
        <v>355.27143416482818</v>
      </c>
      <c r="M410" s="7">
        <f t="shared" si="28"/>
        <v>-0.27143416482817884</v>
      </c>
    </row>
    <row r="411" spans="6:13" ht="18.75" customHeight="1">
      <c r="F411" s="1">
        <v>33848</v>
      </c>
      <c r="G411">
        <f t="shared" si="25"/>
        <v>9</v>
      </c>
      <c r="H411" s="7">
        <v>353.01</v>
      </c>
      <c r="I411" s="7">
        <f>_A*F411*F411+_B*F411+_C</f>
        <v>356.64942546771431</v>
      </c>
      <c r="J411" s="7">
        <f t="shared" si="26"/>
        <v>-3.6394254677143181</v>
      </c>
      <c r="K411" s="7" cm="1">
        <f t="array" ref="K411">INDEX(Sm,G411)</f>
        <v>-3.0811738821107677</v>
      </c>
      <c r="L411" s="7">
        <f t="shared" si="27"/>
        <v>353.56825158560355</v>
      </c>
      <c r="M411" s="7">
        <f t="shared" si="28"/>
        <v>-0.55825158560355703</v>
      </c>
    </row>
    <row r="412" spans="6:13" ht="18.75" customHeight="1">
      <c r="F412" s="1">
        <v>33878</v>
      </c>
      <c r="G412">
        <f t="shared" si="25"/>
        <v>10</v>
      </c>
      <c r="H412" s="7">
        <v>353.31</v>
      </c>
      <c r="I412" s="7">
        <f>_A*F412*F412+_B*F412+_C</f>
        <v>356.78576859243077</v>
      </c>
      <c r="J412" s="7">
        <f t="shared" si="26"/>
        <v>-3.475768592430768</v>
      </c>
      <c r="K412" s="7" cm="1">
        <f t="array" ref="K412">INDEX(Sm,G412)</f>
        <v>-3.2770720300056544</v>
      </c>
      <c r="L412" s="7">
        <f t="shared" si="27"/>
        <v>353.50869656242514</v>
      </c>
      <c r="M412" s="7">
        <f t="shared" si="28"/>
        <v>-0.19869656242514111</v>
      </c>
    </row>
    <row r="413" spans="6:13" ht="18.75" customHeight="1">
      <c r="F413" s="1">
        <v>33909</v>
      </c>
      <c r="G413">
        <f t="shared" si="25"/>
        <v>11</v>
      </c>
      <c r="H413" s="7">
        <v>354.16</v>
      </c>
      <c r="I413" s="7">
        <f>_A*F413*F413+_B*F413+_C</f>
        <v>356.92683413551617</v>
      </c>
      <c r="J413" s="7">
        <f t="shared" si="26"/>
        <v>-2.7668341355161488</v>
      </c>
      <c r="K413" s="7" cm="1">
        <f t="array" ref="K413">INDEX(Sm,G413)</f>
        <v>-2.0734932780028581</v>
      </c>
      <c r="L413" s="7">
        <f t="shared" si="27"/>
        <v>354.85334085751333</v>
      </c>
      <c r="M413" s="7">
        <f t="shared" si="28"/>
        <v>-0.69334085751330576</v>
      </c>
    </row>
    <row r="414" spans="6:13" ht="18.75" customHeight="1">
      <c r="F414" s="1">
        <v>33939</v>
      </c>
      <c r="G414">
        <f t="shared" si="25"/>
        <v>12</v>
      </c>
      <c r="H414" s="7">
        <v>355.4</v>
      </c>
      <c r="I414" s="7">
        <f>_A*F414*F414+_B*F414+_C</f>
        <v>357.06352109419095</v>
      </c>
      <c r="J414" s="7">
        <f t="shared" si="26"/>
        <v>-1.6635210941909691</v>
      </c>
      <c r="K414" s="7" cm="1">
        <f t="array" ref="K414">INDEX(Sm,G414)</f>
        <v>-0.94500362363844403</v>
      </c>
      <c r="L414" s="7">
        <f t="shared" si="27"/>
        <v>356.11851747055249</v>
      </c>
      <c r="M414" s="7">
        <f t="shared" si="28"/>
        <v>-0.7185174705525128</v>
      </c>
    </row>
    <row r="415" spans="6:13" ht="18.75" customHeight="1">
      <c r="F415" s="1">
        <v>33970</v>
      </c>
      <c r="G415">
        <f t="shared" si="25"/>
        <v>1</v>
      </c>
      <c r="H415" s="7">
        <v>356.7</v>
      </c>
      <c r="I415" s="7">
        <f>_A*F415*F415+_B*F415+_C</f>
        <v>357.20494193236664</v>
      </c>
      <c r="J415" s="7">
        <f t="shared" si="26"/>
        <v>-0.50494193236664842</v>
      </c>
      <c r="K415" s="7" cm="1">
        <f t="array" ref="K415">INDEX(Sm,G415)</f>
        <v>-3.1273707705410173E-2</v>
      </c>
      <c r="L415" s="7">
        <f t="shared" si="27"/>
        <v>357.17366822466124</v>
      </c>
      <c r="M415" s="7">
        <f t="shared" si="28"/>
        <v>-0.47366822466125313</v>
      </c>
    </row>
    <row r="416" spans="6:13" ht="18.75" customHeight="1">
      <c r="F416" s="1">
        <v>34001</v>
      </c>
      <c r="G416">
        <f t="shared" si="25"/>
        <v>2</v>
      </c>
      <c r="H416" s="7">
        <v>357.17</v>
      </c>
      <c r="I416" s="7">
        <f>_A*F416*F416+_B*F416+_C</f>
        <v>357.34654333034229</v>
      </c>
      <c r="J416" s="7">
        <f t="shared" si="26"/>
        <v>-0.17654333034226966</v>
      </c>
      <c r="K416" s="7" cm="1">
        <f t="array" ref="K416">INDEX(Sm,G416)</f>
        <v>0.60795807352328612</v>
      </c>
      <c r="L416" s="7">
        <f t="shared" si="27"/>
        <v>357.95450140386555</v>
      </c>
      <c r="M416" s="7">
        <f t="shared" si="28"/>
        <v>-0.78450140386553358</v>
      </c>
    </row>
    <row r="417" spans="6:13" ht="18.75" customHeight="1">
      <c r="F417" s="1">
        <v>34029</v>
      </c>
      <c r="G417">
        <f t="shared" si="25"/>
        <v>3</v>
      </c>
      <c r="H417" s="7">
        <v>358.38</v>
      </c>
      <c r="I417" s="7">
        <f>_A*F417*F417+_B*F417+_C</f>
        <v>357.47459656222327</v>
      </c>
      <c r="J417" s="7">
        <f t="shared" si="26"/>
        <v>0.90540343777672661</v>
      </c>
      <c r="K417" s="7" cm="1">
        <f t="array" ref="K417">INDEX(Sm,G417)</f>
        <v>1.368171928762181</v>
      </c>
      <c r="L417" s="7">
        <f t="shared" si="27"/>
        <v>358.84276849098546</v>
      </c>
      <c r="M417" s="7">
        <f t="shared" si="28"/>
        <v>-0.46276849098546791</v>
      </c>
    </row>
    <row r="418" spans="6:13" ht="18.75" customHeight="1">
      <c r="F418" s="1">
        <v>34060</v>
      </c>
      <c r="G418">
        <f t="shared" si="25"/>
        <v>4</v>
      </c>
      <c r="H418" s="7">
        <v>359.46</v>
      </c>
      <c r="I418" s="7">
        <f>_A*F418*F418+_B*F418+_C</f>
        <v>357.61654160626978</v>
      </c>
      <c r="J418" s="7">
        <f t="shared" si="26"/>
        <v>1.8434583937302023</v>
      </c>
      <c r="K418" s="7" cm="1">
        <f t="array" ref="K418">INDEX(Sm,G418)</f>
        <v>2.5295372401482399</v>
      </c>
      <c r="L418" s="7">
        <f t="shared" si="27"/>
        <v>360.14607884641799</v>
      </c>
      <c r="M418" s="7">
        <f t="shared" si="28"/>
        <v>-0.6860788464180132</v>
      </c>
    </row>
    <row r="419" spans="6:13" ht="18.75" customHeight="1">
      <c r="F419" s="1">
        <v>34090</v>
      </c>
      <c r="G419">
        <f t="shared" si="25"/>
        <v>5</v>
      </c>
      <c r="H419" s="7">
        <v>360.28</v>
      </c>
      <c r="I419" s="7">
        <f>_A*F419*F419+_B*F419+_C</f>
        <v>357.75407969490686</v>
      </c>
      <c r="J419" s="7">
        <f t="shared" si="26"/>
        <v>2.5259203050931092</v>
      </c>
      <c r="K419" s="7" cm="1">
        <f t="array" ref="K419">INDEX(Sm,G419)</f>
        <v>2.9925789844300432</v>
      </c>
      <c r="L419" s="7">
        <f t="shared" si="27"/>
        <v>360.74665867933692</v>
      </c>
      <c r="M419" s="7">
        <f t="shared" si="28"/>
        <v>-0.46665867933694472</v>
      </c>
    </row>
    <row r="420" spans="6:13" ht="18.75" customHeight="1">
      <c r="F420" s="1">
        <v>34121</v>
      </c>
      <c r="G420">
        <f t="shared" si="25"/>
        <v>6</v>
      </c>
      <c r="H420" s="7">
        <v>359.6</v>
      </c>
      <c r="I420" s="7">
        <f>_A*F420*F420+_B*F420+_C</f>
        <v>357.89638003404372</v>
      </c>
      <c r="J420" s="7">
        <f t="shared" si="26"/>
        <v>1.7036199659563067</v>
      </c>
      <c r="K420" s="7" cm="1">
        <f t="array" ref="K420">INDEX(Sm,G420)</f>
        <v>2.3204129706322356</v>
      </c>
      <c r="L420" s="7">
        <f t="shared" si="27"/>
        <v>360.21679300467594</v>
      </c>
      <c r="M420" s="7">
        <f t="shared" si="28"/>
        <v>-0.61679300467591247</v>
      </c>
    </row>
    <row r="421" spans="6:13" ht="18.75" customHeight="1">
      <c r="F421" s="1">
        <v>34151</v>
      </c>
      <c r="G421">
        <f t="shared" si="25"/>
        <v>7</v>
      </c>
      <c r="H421" s="7">
        <v>357.57</v>
      </c>
      <c r="I421" s="7">
        <f>_A*F421*F421+_B*F421+_C</f>
        <v>358.03426195663911</v>
      </c>
      <c r="J421" s="7">
        <f t="shared" si="26"/>
        <v>-0.4642619566391204</v>
      </c>
      <c r="K421" s="7" cm="1">
        <f t="array" ref="K421">INDEX(Sm,G421)</f>
        <v>0.81833597443365613</v>
      </c>
      <c r="L421" s="7">
        <f t="shared" si="27"/>
        <v>358.85259793107275</v>
      </c>
      <c r="M421" s="7">
        <f t="shared" si="28"/>
        <v>-1.2825979310727575</v>
      </c>
    </row>
    <row r="422" spans="6:13" ht="18.75" customHeight="1">
      <c r="F422" s="1">
        <v>34182</v>
      </c>
      <c r="G422">
        <f t="shared" si="25"/>
        <v>8</v>
      </c>
      <c r="H422" s="7">
        <v>355.52</v>
      </c>
      <c r="I422" s="7">
        <f>_A*F422*F422+_B*F422+_C</f>
        <v>358.17691759086614</v>
      </c>
      <c r="J422" s="7">
        <f t="shared" si="26"/>
        <v>-2.6569175908661578</v>
      </c>
      <c r="K422" s="7" cm="1">
        <f t="array" ref="K422">INDEX(Sm,G422)</f>
        <v>-1.2372810548909516</v>
      </c>
      <c r="L422" s="7">
        <f t="shared" si="27"/>
        <v>356.93963653597518</v>
      </c>
      <c r="M422" s="7">
        <f t="shared" si="28"/>
        <v>-1.4196365359752008</v>
      </c>
    </row>
    <row r="423" spans="6:13" ht="18.75" customHeight="1">
      <c r="F423" s="1">
        <v>34213</v>
      </c>
      <c r="G423">
        <f t="shared" si="25"/>
        <v>9</v>
      </c>
      <c r="H423" s="7">
        <v>353.69</v>
      </c>
      <c r="I423" s="7">
        <f>_A*F423*F423+_B*F423+_C</f>
        <v>358.31975378489312</v>
      </c>
      <c r="J423" s="7">
        <f t="shared" si="26"/>
        <v>-4.6297537848931256</v>
      </c>
      <c r="K423" s="7" cm="1">
        <f t="array" ref="K423">INDEX(Sm,G423)</f>
        <v>-3.0811738821107677</v>
      </c>
      <c r="L423" s="7">
        <f t="shared" si="27"/>
        <v>355.23857990278236</v>
      </c>
      <c r="M423" s="7">
        <f t="shared" si="28"/>
        <v>-1.5485799027823646</v>
      </c>
    </row>
    <row r="424" spans="6:13" ht="18.75" customHeight="1">
      <c r="F424" s="1">
        <v>34243</v>
      </c>
      <c r="G424">
        <f t="shared" si="25"/>
        <v>10</v>
      </c>
      <c r="H424" s="7">
        <v>353.99</v>
      </c>
      <c r="I424" s="7">
        <f>_A*F424*F424+_B*F424+_C</f>
        <v>358.4581542767371</v>
      </c>
      <c r="J424" s="7">
        <f t="shared" si="26"/>
        <v>-4.4681542767370956</v>
      </c>
      <c r="K424" s="7" cm="1">
        <f t="array" ref="K424">INDEX(Sm,G424)</f>
        <v>-3.2770720300056544</v>
      </c>
      <c r="L424" s="7">
        <f t="shared" si="27"/>
        <v>355.18108224673148</v>
      </c>
      <c r="M424" s="7">
        <f t="shared" si="28"/>
        <v>-1.1910822467314688</v>
      </c>
    </row>
    <row r="425" spans="6:13" ht="18.75" customHeight="1">
      <c r="F425" s="1">
        <v>34274</v>
      </c>
      <c r="G425">
        <f t="shared" si="25"/>
        <v>11</v>
      </c>
      <c r="H425" s="7">
        <v>355.34</v>
      </c>
      <c r="I425" s="7">
        <f>_A*F425*F425+_B*F425+_C</f>
        <v>358.60134576585438</v>
      </c>
      <c r="J425" s="7">
        <f t="shared" si="26"/>
        <v>-3.2613457658544007</v>
      </c>
      <c r="K425" s="7" cm="1">
        <f t="array" ref="K425">INDEX(Sm,G425)</f>
        <v>-2.0734932780028581</v>
      </c>
      <c r="L425" s="7">
        <f t="shared" si="27"/>
        <v>356.52785248785153</v>
      </c>
      <c r="M425" s="7">
        <f t="shared" si="28"/>
        <v>-1.1878524878515577</v>
      </c>
    </row>
    <row r="426" spans="6:13" ht="18.75" customHeight="1">
      <c r="F426" s="1">
        <v>34304</v>
      </c>
      <c r="G426">
        <f t="shared" si="25"/>
        <v>12</v>
      </c>
      <c r="H426" s="7">
        <v>356.8</v>
      </c>
      <c r="I426" s="7">
        <f>_A*F426*F426+_B*F426+_C</f>
        <v>358.74009009165667</v>
      </c>
      <c r="J426" s="7">
        <f t="shared" si="26"/>
        <v>-1.940090091656657</v>
      </c>
      <c r="K426" s="7" cm="1">
        <f t="array" ref="K426">INDEX(Sm,G426)</f>
        <v>-0.94500362363844403</v>
      </c>
      <c r="L426" s="7">
        <f t="shared" si="27"/>
        <v>357.79508646801821</v>
      </c>
      <c r="M426" s="7">
        <f t="shared" si="28"/>
        <v>-0.99508646801820078</v>
      </c>
    </row>
    <row r="427" spans="6:13" ht="18.75" customHeight="1">
      <c r="F427" s="1">
        <v>34335</v>
      </c>
      <c r="G427">
        <f t="shared" si="25"/>
        <v>1</v>
      </c>
      <c r="H427" s="7">
        <v>358.37</v>
      </c>
      <c r="I427" s="7">
        <f>_A*F427*F427+_B*F427+_C</f>
        <v>358.88363687586417</v>
      </c>
      <c r="J427" s="7">
        <f t="shared" si="26"/>
        <v>-0.51363687586416518</v>
      </c>
      <c r="K427" s="7" cm="1">
        <f t="array" ref="K427">INDEX(Sm,G427)</f>
        <v>-3.1273707705410173E-2</v>
      </c>
      <c r="L427" s="7">
        <f t="shared" si="27"/>
        <v>358.85236316815877</v>
      </c>
      <c r="M427" s="7">
        <f t="shared" si="28"/>
        <v>-0.48236316815876989</v>
      </c>
    </row>
    <row r="428" spans="6:13" ht="18.75" customHeight="1">
      <c r="F428" s="1">
        <v>34366</v>
      </c>
      <c r="G428">
        <f t="shared" si="25"/>
        <v>2</v>
      </c>
      <c r="H428" s="7">
        <v>358.91</v>
      </c>
      <c r="I428" s="7">
        <f>_A*F428*F428+_B*F428+_C</f>
        <v>359.02736421987163</v>
      </c>
      <c r="J428" s="7">
        <f t="shared" si="26"/>
        <v>-0.11736421987160384</v>
      </c>
      <c r="K428" s="7" cm="1">
        <f t="array" ref="K428">INDEX(Sm,G428)</f>
        <v>0.60795807352328612</v>
      </c>
      <c r="L428" s="7">
        <f t="shared" si="27"/>
        <v>359.63532229339489</v>
      </c>
      <c r="M428" s="7">
        <f t="shared" si="28"/>
        <v>-0.72532229339486776</v>
      </c>
    </row>
    <row r="429" spans="6:13" ht="18.75" customHeight="1">
      <c r="F429" s="1">
        <v>34394</v>
      </c>
      <c r="G429">
        <f t="shared" si="25"/>
        <v>3</v>
      </c>
      <c r="H429" s="7">
        <v>359.97</v>
      </c>
      <c r="I429" s="7">
        <f>_A*F429*F429+_B*F429+_C</f>
        <v>359.15733766107167</v>
      </c>
      <c r="J429" s="7">
        <f t="shared" si="26"/>
        <v>0.81266233892836226</v>
      </c>
      <c r="K429" s="7" cm="1">
        <f t="array" ref="K429">INDEX(Sm,G429)</f>
        <v>1.368171928762181</v>
      </c>
      <c r="L429" s="7">
        <f t="shared" si="27"/>
        <v>360.52550958983386</v>
      </c>
      <c r="M429" s="7">
        <f t="shared" si="28"/>
        <v>-0.55550958983383225</v>
      </c>
    </row>
    <row r="430" spans="6:13" ht="18.75" customHeight="1">
      <c r="F430" s="1">
        <v>34425</v>
      </c>
      <c r="G430">
        <f t="shared" si="25"/>
        <v>4</v>
      </c>
      <c r="H430" s="7">
        <v>361.26</v>
      </c>
      <c r="I430" s="7">
        <f>_A*F430*F430+_B*F430+_C</f>
        <v>359.30140865115004</v>
      </c>
      <c r="J430" s="7">
        <f t="shared" si="26"/>
        <v>1.95859134884995</v>
      </c>
      <c r="K430" s="7" cm="1">
        <f t="array" ref="K430">INDEX(Sm,G430)</f>
        <v>2.5295372401482399</v>
      </c>
      <c r="L430" s="7">
        <f t="shared" si="27"/>
        <v>361.83094589129826</v>
      </c>
      <c r="M430" s="7">
        <f t="shared" si="28"/>
        <v>-0.57094589129826545</v>
      </c>
    </row>
    <row r="431" spans="6:13" ht="18.75" customHeight="1">
      <c r="F431" s="1">
        <v>34455</v>
      </c>
      <c r="G431">
        <f t="shared" si="25"/>
        <v>5</v>
      </c>
      <c r="H431" s="7">
        <v>361.69</v>
      </c>
      <c r="I431" s="7">
        <f>_A*F431*F431+_B*F431+_C</f>
        <v>359.4410041069147</v>
      </c>
      <c r="J431" s="7">
        <f t="shared" si="26"/>
        <v>2.2489958930852936</v>
      </c>
      <c r="K431" s="7" cm="1">
        <f t="array" ref="K431">INDEX(Sm,G431)</f>
        <v>2.9925789844300432</v>
      </c>
      <c r="L431" s="7">
        <f t="shared" si="27"/>
        <v>362.43358309134476</v>
      </c>
      <c r="M431" s="7">
        <f t="shared" si="28"/>
        <v>-0.74358309134476031</v>
      </c>
    </row>
    <row r="432" spans="6:13" ht="18.75" customHeight="1">
      <c r="F432" s="1">
        <v>34486</v>
      </c>
      <c r="G432">
        <f t="shared" si="25"/>
        <v>6</v>
      </c>
      <c r="H432" s="7">
        <v>360.94</v>
      </c>
      <c r="I432" s="7">
        <f>_A*F432*F432+_B*F432+_C</f>
        <v>359.58543039208331</v>
      </c>
      <c r="J432" s="7">
        <f t="shared" si="26"/>
        <v>1.3545696079166873</v>
      </c>
      <c r="K432" s="7" cm="1">
        <f t="array" ref="K432">INDEX(Sm,G432)</f>
        <v>2.3204129706322356</v>
      </c>
      <c r="L432" s="7">
        <f t="shared" si="27"/>
        <v>361.90584336271553</v>
      </c>
      <c r="M432" s="7">
        <f t="shared" si="28"/>
        <v>-0.96584336271553184</v>
      </c>
    </row>
    <row r="433" spans="6:13" ht="18.75" customHeight="1">
      <c r="F433" s="1">
        <v>34516</v>
      </c>
      <c r="G433">
        <f t="shared" si="25"/>
        <v>7</v>
      </c>
      <c r="H433" s="7">
        <v>359.55</v>
      </c>
      <c r="I433" s="7">
        <f>_A*F433*F433+_B*F433+_C</f>
        <v>359.72536968180628</v>
      </c>
      <c r="J433" s="7">
        <f t="shared" si="26"/>
        <v>-0.17536968180627355</v>
      </c>
      <c r="K433" s="7" cm="1">
        <f t="array" ref="K433">INDEX(Sm,G433)</f>
        <v>0.81833597443365613</v>
      </c>
      <c r="L433" s="7">
        <f t="shared" si="27"/>
        <v>360.54370565623992</v>
      </c>
      <c r="M433" s="7">
        <f t="shared" si="28"/>
        <v>-0.9937056562399107</v>
      </c>
    </row>
    <row r="434" spans="6:13" ht="18.75" customHeight="1">
      <c r="F434" s="1">
        <v>34547</v>
      </c>
      <c r="G434">
        <f t="shared" si="25"/>
        <v>8</v>
      </c>
      <c r="H434" s="7">
        <v>357.48</v>
      </c>
      <c r="I434" s="7">
        <f>_A*F434*F434+_B*F434+_C</f>
        <v>359.87015126206512</v>
      </c>
      <c r="J434" s="7">
        <f t="shared" si="26"/>
        <v>-2.3901512620651033</v>
      </c>
      <c r="K434" s="7" cm="1">
        <f t="array" ref="K434">INDEX(Sm,G434)</f>
        <v>-1.2372810548909516</v>
      </c>
      <c r="L434" s="7">
        <f t="shared" si="27"/>
        <v>358.63287020717416</v>
      </c>
      <c r="M434" s="7">
        <f t="shared" si="28"/>
        <v>-1.1528702071741463</v>
      </c>
    </row>
    <row r="435" spans="6:13" ht="18.75" customHeight="1">
      <c r="F435" s="1">
        <v>34578</v>
      </c>
      <c r="G435">
        <f t="shared" si="25"/>
        <v>9</v>
      </c>
      <c r="H435" s="7">
        <v>355.84</v>
      </c>
      <c r="I435" s="7">
        <f>_A*F435*F435+_B*F435+_C</f>
        <v>360.01511340212392</v>
      </c>
      <c r="J435" s="7">
        <f t="shared" si="26"/>
        <v>-4.1751134021239409</v>
      </c>
      <c r="K435" s="7" cm="1">
        <f t="array" ref="K435">INDEX(Sm,G435)</f>
        <v>-3.0811738821107677</v>
      </c>
      <c r="L435" s="7">
        <f t="shared" si="27"/>
        <v>356.93393952001315</v>
      </c>
      <c r="M435" s="7">
        <f t="shared" si="28"/>
        <v>-1.0939395200131798</v>
      </c>
    </row>
    <row r="436" spans="6:13" ht="18.75" customHeight="1">
      <c r="F436" s="1">
        <v>34608</v>
      </c>
      <c r="G436">
        <f t="shared" si="25"/>
        <v>10</v>
      </c>
      <c r="H436" s="7">
        <v>356</v>
      </c>
      <c r="I436" s="7">
        <f>_A*F436*F436+_B*F436+_C</f>
        <v>360.15557126109547</v>
      </c>
      <c r="J436" s="7">
        <f t="shared" si="26"/>
        <v>-4.1555712610954743</v>
      </c>
      <c r="K436" s="7" cm="1">
        <f t="array" ref="K436">INDEX(Sm,G436)</f>
        <v>-3.2770720300056544</v>
      </c>
      <c r="L436" s="7">
        <f t="shared" si="27"/>
        <v>356.87849923108985</v>
      </c>
      <c r="M436" s="7">
        <f t="shared" si="28"/>
        <v>-0.8784992310898474</v>
      </c>
    </row>
    <row r="437" spans="6:13" ht="18.75" customHeight="1">
      <c r="F437" s="1">
        <v>34639</v>
      </c>
      <c r="G437">
        <f t="shared" si="25"/>
        <v>11</v>
      </c>
      <c r="H437" s="7">
        <v>357.58</v>
      </c>
      <c r="I437" s="7">
        <f>_A*F437*F437+_B*F437+_C</f>
        <v>360.30088869624456</v>
      </c>
      <c r="J437" s="7">
        <f t="shared" si="26"/>
        <v>-2.7208886962445717</v>
      </c>
      <c r="K437" s="7" cm="1">
        <f t="array" ref="K437">INDEX(Sm,G437)</f>
        <v>-2.0734932780028581</v>
      </c>
      <c r="L437" s="7">
        <f t="shared" si="27"/>
        <v>358.22739541824171</v>
      </c>
      <c r="M437" s="7">
        <f t="shared" si="28"/>
        <v>-0.64739541824172875</v>
      </c>
    </row>
    <row r="438" spans="6:13" ht="18.75" customHeight="1">
      <c r="F438" s="1">
        <v>34669</v>
      </c>
      <c r="G438">
        <f t="shared" si="25"/>
        <v>12</v>
      </c>
      <c r="H438" s="7">
        <v>359.04</v>
      </c>
      <c r="I438" s="7">
        <f>_A*F438*F438+_B*F438+_C</f>
        <v>360.44169038917443</v>
      </c>
      <c r="J438" s="7">
        <f t="shared" si="26"/>
        <v>-1.401690389174405</v>
      </c>
      <c r="K438" s="7" cm="1">
        <f t="array" ref="K438">INDEX(Sm,G438)</f>
        <v>-0.94500362363844403</v>
      </c>
      <c r="L438" s="7">
        <f t="shared" si="27"/>
        <v>359.49668676553597</v>
      </c>
      <c r="M438" s="7">
        <f t="shared" si="28"/>
        <v>-0.45668676553594878</v>
      </c>
    </row>
    <row r="439" spans="6:13" ht="18.75" customHeight="1">
      <c r="F439" s="1">
        <v>34700</v>
      </c>
      <c r="G439">
        <f t="shared" si="25"/>
        <v>1</v>
      </c>
      <c r="H439" s="7">
        <v>359.97</v>
      </c>
      <c r="I439" s="7">
        <f>_A*F439*F439+_B*F439+_C</f>
        <v>360.58736311941374</v>
      </c>
      <c r="J439" s="7">
        <f t="shared" si="26"/>
        <v>-0.61736311941371014</v>
      </c>
      <c r="K439" s="7" cm="1">
        <f t="array" ref="K439">INDEX(Sm,G439)</f>
        <v>-3.1273707705410173E-2</v>
      </c>
      <c r="L439" s="7">
        <f t="shared" si="27"/>
        <v>360.55608941170834</v>
      </c>
      <c r="M439" s="7">
        <f t="shared" si="28"/>
        <v>-0.58608941170831486</v>
      </c>
    </row>
    <row r="440" spans="6:13" ht="18.75" customHeight="1">
      <c r="F440" s="1">
        <v>34731</v>
      </c>
      <c r="G440">
        <f t="shared" si="25"/>
        <v>2</v>
      </c>
      <c r="H440" s="7">
        <v>361</v>
      </c>
      <c r="I440" s="7">
        <f>_A*F440*F440+_B*F440+_C</f>
        <v>360.73321640945301</v>
      </c>
      <c r="J440" s="7">
        <f t="shared" si="26"/>
        <v>0.26678359054699285</v>
      </c>
      <c r="K440" s="7" cm="1">
        <f t="array" ref="K440">INDEX(Sm,G440)</f>
        <v>0.60795807352328612</v>
      </c>
      <c r="L440" s="7">
        <f t="shared" si="27"/>
        <v>361.34117448297627</v>
      </c>
      <c r="M440" s="7">
        <f t="shared" si="28"/>
        <v>-0.34117448297627107</v>
      </c>
    </row>
    <row r="441" spans="6:13" ht="18.75" customHeight="1">
      <c r="F441" s="1">
        <v>34759</v>
      </c>
      <c r="G441">
        <f t="shared" si="25"/>
        <v>3</v>
      </c>
      <c r="H441" s="7">
        <v>361.63</v>
      </c>
      <c r="I441" s="7">
        <f>_A*F441*F441+_B*F441+_C</f>
        <v>360.8651100599721</v>
      </c>
      <c r="J441" s="7">
        <f t="shared" si="26"/>
        <v>0.76488994002789923</v>
      </c>
      <c r="K441" s="7" cm="1">
        <f t="array" ref="K441">INDEX(Sm,G441)</f>
        <v>1.368171928762181</v>
      </c>
      <c r="L441" s="7">
        <f t="shared" si="27"/>
        <v>362.23328198873429</v>
      </c>
      <c r="M441" s="7">
        <f t="shared" si="28"/>
        <v>-0.60328198873429528</v>
      </c>
    </row>
    <row r="442" spans="6:13" ht="18.75" customHeight="1">
      <c r="F442" s="1">
        <v>34790</v>
      </c>
      <c r="G442">
        <f t="shared" si="25"/>
        <v>4</v>
      </c>
      <c r="H442" s="7">
        <v>363.45</v>
      </c>
      <c r="I442" s="7">
        <f>_A*F442*F442+_B*F442+_C</f>
        <v>361.01130699608228</v>
      </c>
      <c r="J442" s="7">
        <f t="shared" si="26"/>
        <v>2.4386930039177059</v>
      </c>
      <c r="K442" s="7" cm="1">
        <f t="array" ref="K442">INDEX(Sm,G442)</f>
        <v>2.5295372401482399</v>
      </c>
      <c r="L442" s="7">
        <f t="shared" si="27"/>
        <v>363.5408442362305</v>
      </c>
      <c r="M442" s="7">
        <f t="shared" si="28"/>
        <v>-9.0844236230509523E-2</v>
      </c>
    </row>
    <row r="443" spans="6:13" ht="18.75" customHeight="1">
      <c r="F443" s="1">
        <v>34820</v>
      </c>
      <c r="G443">
        <f t="shared" si="25"/>
        <v>5</v>
      </c>
      <c r="H443" s="7">
        <v>363.8</v>
      </c>
      <c r="I443" s="7">
        <f>_A*F443*F443+_B*F443+_C</f>
        <v>361.15295981897452</v>
      </c>
      <c r="J443" s="7">
        <f t="shared" si="26"/>
        <v>2.6470401810254884</v>
      </c>
      <c r="K443" s="7" cm="1">
        <f t="array" ref="K443">INDEX(Sm,G443)</f>
        <v>2.9925789844300432</v>
      </c>
      <c r="L443" s="7">
        <f t="shared" si="27"/>
        <v>364.14553880340458</v>
      </c>
      <c r="M443" s="7">
        <f t="shared" si="28"/>
        <v>-0.34553880340456544</v>
      </c>
    </row>
    <row r="444" spans="6:13" ht="18.75" customHeight="1">
      <c r="F444" s="1">
        <v>34851</v>
      </c>
      <c r="G444">
        <f t="shared" si="25"/>
        <v>6</v>
      </c>
      <c r="H444" s="7">
        <v>363.26</v>
      </c>
      <c r="I444" s="7">
        <f>_A*F444*F444+_B*F444+_C</f>
        <v>361.29951205017494</v>
      </c>
      <c r="J444" s="7">
        <f t="shared" si="26"/>
        <v>1.9604879498250511</v>
      </c>
      <c r="K444" s="7" cm="1">
        <f t="array" ref="K444">INDEX(Sm,G444)</f>
        <v>2.3204129706322356</v>
      </c>
      <c r="L444" s="7">
        <f t="shared" si="27"/>
        <v>363.61992502080716</v>
      </c>
      <c r="M444" s="7">
        <f t="shared" si="28"/>
        <v>-0.35992502080716804</v>
      </c>
    </row>
    <row r="445" spans="6:13" ht="18.75" customHeight="1">
      <c r="F445" s="1">
        <v>34881</v>
      </c>
      <c r="G445">
        <f t="shared" si="25"/>
        <v>7</v>
      </c>
      <c r="H445" s="7">
        <v>361.89</v>
      </c>
      <c r="I445" s="7">
        <f>_A*F445*F445+_B*F445+_C</f>
        <v>361.44150870702543</v>
      </c>
      <c r="J445" s="7">
        <f t="shared" si="26"/>
        <v>0.44849129297455192</v>
      </c>
      <c r="K445" s="7" cm="1">
        <f t="array" ref="K445">INDEX(Sm,G445)</f>
        <v>0.81833597443365613</v>
      </c>
      <c r="L445" s="7">
        <f t="shared" si="27"/>
        <v>362.25984468145907</v>
      </c>
      <c r="M445" s="7">
        <f t="shared" si="28"/>
        <v>-0.36984468145908522</v>
      </c>
    </row>
    <row r="446" spans="6:13" ht="18.75" customHeight="1">
      <c r="F446" s="1">
        <v>34912</v>
      </c>
      <c r="G446">
        <f t="shared" si="25"/>
        <v>8</v>
      </c>
      <c r="H446" s="7">
        <v>359.45</v>
      </c>
      <c r="I446" s="7">
        <f>_A*F446*F446+_B*F446+_C</f>
        <v>361.58841623331614</v>
      </c>
      <c r="J446" s="7">
        <f t="shared" si="26"/>
        <v>-2.1384162333161498</v>
      </c>
      <c r="K446" s="7" cm="1">
        <f t="array" ref="K446">INDEX(Sm,G446)</f>
        <v>-1.2372810548909516</v>
      </c>
      <c r="L446" s="7">
        <f t="shared" si="27"/>
        <v>360.35113517842518</v>
      </c>
      <c r="M446" s="7">
        <f t="shared" si="28"/>
        <v>-0.90113517842519286</v>
      </c>
    </row>
    <row r="447" spans="6:13" ht="18.75" customHeight="1">
      <c r="F447" s="1">
        <v>34943</v>
      </c>
      <c r="G447">
        <f t="shared" si="25"/>
        <v>9</v>
      </c>
      <c r="H447" s="7">
        <v>358.05</v>
      </c>
      <c r="I447" s="7">
        <f>_A*F447*F447+_B*F447+_C</f>
        <v>361.73550431940674</v>
      </c>
      <c r="J447" s="7">
        <f t="shared" si="26"/>
        <v>-3.6855043194067321</v>
      </c>
      <c r="K447" s="7" cm="1">
        <f t="array" ref="K447">INDEX(Sm,G447)</f>
        <v>-3.0811738821107677</v>
      </c>
      <c r="L447" s="7">
        <f t="shared" si="27"/>
        <v>358.65433043729598</v>
      </c>
      <c r="M447" s="7">
        <f t="shared" si="28"/>
        <v>-0.60433043729597102</v>
      </c>
    </row>
    <row r="448" spans="6:13" ht="18.75" customHeight="1">
      <c r="F448" s="1">
        <v>34973</v>
      </c>
      <c r="G448">
        <f t="shared" si="25"/>
        <v>10</v>
      </c>
      <c r="H448" s="7">
        <v>357.75</v>
      </c>
      <c r="I448" s="7">
        <f>_A*F448*F448+_B*F448+_C</f>
        <v>361.87801954550582</v>
      </c>
      <c r="J448" s="7">
        <f t="shared" si="26"/>
        <v>-4.128019545505822</v>
      </c>
      <c r="K448" s="7" cm="1">
        <f t="array" ref="K448">INDEX(Sm,G448)</f>
        <v>-3.2770720300056544</v>
      </c>
      <c r="L448" s="7">
        <f t="shared" si="27"/>
        <v>358.6009475155002</v>
      </c>
      <c r="M448" s="7">
        <f t="shared" si="28"/>
        <v>-0.8509475155001951</v>
      </c>
    </row>
    <row r="449" spans="6:13" ht="18.75" customHeight="1">
      <c r="F449" s="1">
        <v>35004</v>
      </c>
      <c r="G449">
        <f t="shared" si="25"/>
        <v>11</v>
      </c>
      <c r="H449" s="7">
        <v>359.56</v>
      </c>
      <c r="I449" s="7">
        <f>_A*F449*F449+_B*F449+_C</f>
        <v>362.02546292668671</v>
      </c>
      <c r="J449" s="7">
        <f t="shared" si="26"/>
        <v>-2.4654629266867119</v>
      </c>
      <c r="K449" s="7" cm="1">
        <f t="array" ref="K449">INDEX(Sm,G449)</f>
        <v>-2.0734932780028581</v>
      </c>
      <c r="L449" s="7">
        <f t="shared" si="27"/>
        <v>359.95196964868387</v>
      </c>
      <c r="M449" s="7">
        <f t="shared" si="28"/>
        <v>-0.39196964868386885</v>
      </c>
    </row>
    <row r="450" spans="6:13" ht="18.75" customHeight="1">
      <c r="F450" s="1">
        <v>35034</v>
      </c>
      <c r="G450">
        <f t="shared" si="25"/>
        <v>12</v>
      </c>
      <c r="H450" s="7">
        <v>360.7</v>
      </c>
      <c r="I450" s="7">
        <f>_A*F450*F450+_B*F450+_C</f>
        <v>362.16832198674416</v>
      </c>
      <c r="J450" s="7">
        <f t="shared" si="26"/>
        <v>-1.4683219867441721</v>
      </c>
      <c r="K450" s="7" cm="1">
        <f t="array" ref="K450">INDEX(Sm,G450)</f>
        <v>-0.94500362363844403</v>
      </c>
      <c r="L450" s="7">
        <f t="shared" si="27"/>
        <v>361.2233183631057</v>
      </c>
      <c r="M450" s="7">
        <f t="shared" si="28"/>
        <v>-0.52331836310571589</v>
      </c>
    </row>
    <row r="451" spans="6:13" ht="18.75" customHeight="1">
      <c r="F451" s="1">
        <v>35065</v>
      </c>
      <c r="G451">
        <f t="shared" ref="G451:G514" si="29">MONTH(F451)</f>
        <v>1</v>
      </c>
      <c r="H451" s="7">
        <v>362.05</v>
      </c>
      <c r="I451" s="7">
        <f>_A*F451*F451+_B*F451+_C</f>
        <v>362.31612066301528</v>
      </c>
      <c r="J451" s="7">
        <f t="shared" ref="J451:J514" si="30">H451-I451</f>
        <v>-0.26612066301527193</v>
      </c>
      <c r="K451" s="7" cm="1">
        <f t="array" ref="K451">INDEX(Sm,G451)</f>
        <v>-3.1273707705410173E-2</v>
      </c>
      <c r="L451" s="7">
        <f t="shared" ref="L451:L514" si="31">I451+K451</f>
        <v>362.28484695530989</v>
      </c>
      <c r="M451" s="7">
        <f t="shared" ref="M451:M514" si="32">H451-L451</f>
        <v>-0.23484695530987665</v>
      </c>
    </row>
    <row r="452" spans="6:13" ht="18.75" customHeight="1">
      <c r="F452" s="1">
        <v>35096</v>
      </c>
      <c r="G452">
        <f t="shared" si="29"/>
        <v>2</v>
      </c>
      <c r="H452" s="7">
        <v>363.24</v>
      </c>
      <c r="I452" s="7">
        <f>_A*F452*F452+_B*F452+_C</f>
        <v>362.46409989908636</v>
      </c>
      <c r="J452" s="7">
        <f t="shared" si="30"/>
        <v>0.77590010091364547</v>
      </c>
      <c r="K452" s="7" cm="1">
        <f t="array" ref="K452">INDEX(Sm,G452)</f>
        <v>0.60795807352328612</v>
      </c>
      <c r="L452" s="7">
        <f t="shared" si="31"/>
        <v>363.07205797260963</v>
      </c>
      <c r="M452" s="7">
        <f t="shared" si="32"/>
        <v>0.16794202739038155</v>
      </c>
    </row>
    <row r="453" spans="6:13" ht="18.75" customHeight="1">
      <c r="F453" s="1">
        <v>35125</v>
      </c>
      <c r="G453">
        <f t="shared" si="29"/>
        <v>3</v>
      </c>
      <c r="H453" s="7">
        <v>364.02</v>
      </c>
      <c r="I453" s="7">
        <f>_A*F453*F453+_B*F453+_C</f>
        <v>362.60269554971472</v>
      </c>
      <c r="J453" s="7">
        <f t="shared" si="30"/>
        <v>1.4173044502852576</v>
      </c>
      <c r="K453" s="7" cm="1">
        <f t="array" ref="K453">INDEX(Sm,G453)</f>
        <v>1.368171928762181</v>
      </c>
      <c r="L453" s="7">
        <f t="shared" si="31"/>
        <v>363.97086747847692</v>
      </c>
      <c r="M453" s="7">
        <f t="shared" si="32"/>
        <v>4.9132521523063133E-2</v>
      </c>
    </row>
    <row r="454" spans="6:13" ht="18.75" customHeight="1">
      <c r="F454" s="1">
        <v>35156</v>
      </c>
      <c r="G454">
        <f t="shared" si="29"/>
        <v>4</v>
      </c>
      <c r="H454" s="7">
        <v>364.71</v>
      </c>
      <c r="I454" s="7">
        <f>_A*F454*F454+_B*F454+_C</f>
        <v>362.75102425636641</v>
      </c>
      <c r="J454" s="7">
        <f t="shared" si="30"/>
        <v>1.9589757436335731</v>
      </c>
      <c r="K454" s="7" cm="1">
        <f t="array" ref="K454">INDEX(Sm,G454)</f>
        <v>2.5295372401482399</v>
      </c>
      <c r="L454" s="7">
        <f t="shared" si="31"/>
        <v>365.28056149651462</v>
      </c>
      <c r="M454" s="7">
        <f t="shared" si="32"/>
        <v>-0.57056149651464239</v>
      </c>
    </row>
    <row r="455" spans="6:13" ht="18.75" customHeight="1">
      <c r="F455" s="1">
        <v>35186</v>
      </c>
      <c r="G455">
        <f t="shared" si="29"/>
        <v>5</v>
      </c>
      <c r="H455" s="7">
        <v>365.42</v>
      </c>
      <c r="I455" s="7">
        <f>_A*F455*F455+_B*F455+_C</f>
        <v>362.89474008300846</v>
      </c>
      <c r="J455" s="7">
        <f t="shared" si="30"/>
        <v>2.5252599169915584</v>
      </c>
      <c r="K455" s="7" cm="1">
        <f t="array" ref="K455">INDEX(Sm,G455)</f>
        <v>2.9925789844300432</v>
      </c>
      <c r="L455" s="7">
        <f t="shared" si="31"/>
        <v>365.88731906743851</v>
      </c>
      <c r="M455" s="7">
        <f t="shared" si="32"/>
        <v>-0.46731906743849549</v>
      </c>
    </row>
    <row r="456" spans="6:13" ht="18.75" customHeight="1">
      <c r="F456" s="1">
        <v>35217</v>
      </c>
      <c r="G456">
        <f t="shared" si="29"/>
        <v>6</v>
      </c>
      <c r="H456" s="7">
        <v>364.97</v>
      </c>
      <c r="I456" s="7">
        <f>_A*F456*F456+_B*F456+_C</f>
        <v>363.04342408475031</v>
      </c>
      <c r="J456" s="7">
        <f t="shared" si="30"/>
        <v>1.9265759152497139</v>
      </c>
      <c r="K456" s="7" cm="1">
        <f t="array" ref="K456">INDEX(Sm,G456)</f>
        <v>2.3204129706322356</v>
      </c>
      <c r="L456" s="7">
        <f t="shared" si="31"/>
        <v>365.36383705538253</v>
      </c>
      <c r="M456" s="7">
        <f t="shared" si="32"/>
        <v>-0.39383705538250524</v>
      </c>
    </row>
    <row r="457" spans="6:13" ht="18.75" customHeight="1">
      <c r="F457" s="1">
        <v>35247</v>
      </c>
      <c r="G457">
        <f t="shared" si="29"/>
        <v>7</v>
      </c>
      <c r="H457" s="7">
        <v>363.65</v>
      </c>
      <c r="I457" s="7">
        <f>_A*F457*F457+_B*F457+_C</f>
        <v>363.18748374535073</v>
      </c>
      <c r="J457" s="7">
        <f t="shared" si="30"/>
        <v>0.46251625464924473</v>
      </c>
      <c r="K457" s="7" cm="1">
        <f t="array" ref="K457">INDEX(Sm,G457)</f>
        <v>0.81833597443365613</v>
      </c>
      <c r="L457" s="7">
        <f t="shared" si="31"/>
        <v>364.00581971978437</v>
      </c>
      <c r="M457" s="7">
        <f t="shared" si="32"/>
        <v>-0.35581971978439242</v>
      </c>
    </row>
    <row r="458" spans="6:13" ht="18.75" customHeight="1">
      <c r="F458" s="1">
        <v>35278</v>
      </c>
      <c r="G458">
        <f t="shared" si="29"/>
        <v>8</v>
      </c>
      <c r="H458" s="7">
        <v>361.48</v>
      </c>
      <c r="I458" s="7">
        <f>_A*F458*F458+_B*F458+_C</f>
        <v>363.33652304218288</v>
      </c>
      <c r="J458" s="7">
        <f t="shared" si="30"/>
        <v>-1.8565230421828574</v>
      </c>
      <c r="K458" s="7" cm="1">
        <f t="array" ref="K458">INDEX(Sm,G458)</f>
        <v>-1.2372810548909516</v>
      </c>
      <c r="L458" s="7">
        <f t="shared" si="31"/>
        <v>362.09924198729192</v>
      </c>
      <c r="M458" s="7">
        <f t="shared" si="32"/>
        <v>-0.61924198729190039</v>
      </c>
    </row>
    <row r="459" spans="6:13" ht="18.75" customHeight="1">
      <c r="F459" s="1">
        <v>35309</v>
      </c>
      <c r="G459">
        <f t="shared" si="29"/>
        <v>9</v>
      </c>
      <c r="H459" s="7">
        <v>359.45</v>
      </c>
      <c r="I459" s="7">
        <f>_A*F459*F459+_B*F459+_C</f>
        <v>363.48574289881498</v>
      </c>
      <c r="J459" s="7">
        <f t="shared" si="30"/>
        <v>-4.0357428988149877</v>
      </c>
      <c r="K459" s="7" cm="1">
        <f t="array" ref="K459">INDEX(Sm,G459)</f>
        <v>-3.0811738821107677</v>
      </c>
      <c r="L459" s="7">
        <f t="shared" si="31"/>
        <v>360.40456901670422</v>
      </c>
      <c r="M459" s="7">
        <f t="shared" si="32"/>
        <v>-0.95456901670422667</v>
      </c>
    </row>
    <row r="460" spans="6:13" ht="18.75" customHeight="1">
      <c r="F460" s="1">
        <v>35339</v>
      </c>
      <c r="G460">
        <f t="shared" si="29"/>
        <v>10</v>
      </c>
      <c r="H460" s="7">
        <v>359.61</v>
      </c>
      <c r="I460" s="7">
        <f>_A*F460*F460+_B*F460+_C</f>
        <v>363.63032112866392</v>
      </c>
      <c r="J460" s="7">
        <f t="shared" si="30"/>
        <v>-4.0203211286639089</v>
      </c>
      <c r="K460" s="7" cm="1">
        <f t="array" ref="K460">INDEX(Sm,G460)</f>
        <v>-3.2770720300056544</v>
      </c>
      <c r="L460" s="7">
        <f t="shared" si="31"/>
        <v>360.3532490986583</v>
      </c>
      <c r="M460" s="7">
        <f t="shared" si="32"/>
        <v>-0.74324909865828204</v>
      </c>
    </row>
    <row r="461" spans="6:13" ht="18.75" customHeight="1">
      <c r="F461" s="1">
        <v>35370</v>
      </c>
      <c r="G461">
        <f t="shared" si="29"/>
        <v>11</v>
      </c>
      <c r="H461" s="7">
        <v>360.76</v>
      </c>
      <c r="I461" s="7">
        <f>_A*F461*F461+_B*F461+_C</f>
        <v>363.77989628038625</v>
      </c>
      <c r="J461" s="7">
        <f t="shared" si="30"/>
        <v>-3.0198962803862628</v>
      </c>
      <c r="K461" s="7" cm="1">
        <f t="array" ref="K461">INDEX(Sm,G461)</f>
        <v>-2.0734932780028581</v>
      </c>
      <c r="L461" s="7">
        <f t="shared" si="31"/>
        <v>361.70640300238341</v>
      </c>
      <c r="M461" s="7">
        <f t="shared" si="32"/>
        <v>-0.94640300238341979</v>
      </c>
    </row>
    <row r="462" spans="6:13" ht="18.75" customHeight="1">
      <c r="F462" s="1">
        <v>35400</v>
      </c>
      <c r="G462">
        <f t="shared" si="29"/>
        <v>12</v>
      </c>
      <c r="H462" s="7">
        <v>362.33</v>
      </c>
      <c r="I462" s="7">
        <f>_A*F462*F462+_B*F462+_C</f>
        <v>363.92481834419351</v>
      </c>
      <c r="J462" s="7">
        <f t="shared" si="30"/>
        <v>-1.5948183441935271</v>
      </c>
      <c r="K462" s="7" cm="1">
        <f t="array" ref="K462">INDEX(Sm,G462)</f>
        <v>-0.94500362363844403</v>
      </c>
      <c r="L462" s="7">
        <f t="shared" si="31"/>
        <v>362.97981472055505</v>
      </c>
      <c r="M462" s="7">
        <f t="shared" si="32"/>
        <v>-0.64981472055507083</v>
      </c>
    </row>
    <row r="463" spans="6:13" ht="18.75" customHeight="1">
      <c r="F463" s="1">
        <v>35431</v>
      </c>
      <c r="G463">
        <f t="shared" si="29"/>
        <v>1</v>
      </c>
      <c r="H463" s="7">
        <v>363.19</v>
      </c>
      <c r="I463" s="7">
        <f>_A*F463*F463+_B*F463+_C</f>
        <v>364.07474879100613</v>
      </c>
      <c r="J463" s="7">
        <f t="shared" si="30"/>
        <v>-0.8847487910061318</v>
      </c>
      <c r="K463" s="7" cm="1">
        <f t="array" ref="K463">INDEX(Sm,G463)</f>
        <v>-3.1273707705410173E-2</v>
      </c>
      <c r="L463" s="7">
        <f t="shared" si="31"/>
        <v>364.04347508330073</v>
      </c>
      <c r="M463" s="7">
        <f t="shared" si="32"/>
        <v>-0.85347508330073651</v>
      </c>
    </row>
    <row r="464" spans="6:13" ht="18.75" customHeight="1">
      <c r="F464" s="1">
        <v>35462</v>
      </c>
      <c r="G464">
        <f t="shared" si="29"/>
        <v>2</v>
      </c>
      <c r="H464" s="7">
        <v>363.99</v>
      </c>
      <c r="I464" s="7">
        <f>_A*F464*F464+_B*F464+_C</f>
        <v>364.22485979761871</v>
      </c>
      <c r="J464" s="7">
        <f t="shared" si="30"/>
        <v>-0.23485979761869658</v>
      </c>
      <c r="K464" s="7" cm="1">
        <f t="array" ref="K464">INDEX(Sm,G464)</f>
        <v>0.60795807352328612</v>
      </c>
      <c r="L464" s="7">
        <f t="shared" si="31"/>
        <v>364.83281787114197</v>
      </c>
      <c r="M464" s="7">
        <f t="shared" si="32"/>
        <v>-0.8428178711419605</v>
      </c>
    </row>
    <row r="465" spans="6:13" ht="18.75" customHeight="1">
      <c r="F465" s="1">
        <v>35490</v>
      </c>
      <c r="G465">
        <f t="shared" si="29"/>
        <v>3</v>
      </c>
      <c r="H465" s="7">
        <v>364.56</v>
      </c>
      <c r="I465" s="7">
        <f>_A*F465*F465+_B*F465+_C</f>
        <v>364.36059912762335</v>
      </c>
      <c r="J465" s="7">
        <f t="shared" si="30"/>
        <v>0.19940087237665693</v>
      </c>
      <c r="K465" s="7" cm="1">
        <f t="array" ref="K465">INDEX(Sm,G465)</f>
        <v>1.368171928762181</v>
      </c>
      <c r="L465" s="7">
        <f t="shared" si="31"/>
        <v>365.72877105638554</v>
      </c>
      <c r="M465" s="7">
        <f t="shared" si="32"/>
        <v>-1.1687710563855376</v>
      </c>
    </row>
    <row r="466" spans="6:13" ht="18.75" customHeight="1">
      <c r="F466" s="1">
        <v>35521</v>
      </c>
      <c r="G466">
        <f t="shared" si="29"/>
        <v>4</v>
      </c>
      <c r="H466" s="7">
        <v>366.36</v>
      </c>
      <c r="I466" s="7">
        <f>_A*F466*F466+_B*F466+_C</f>
        <v>364.51105378030684</v>
      </c>
      <c r="J466" s="7">
        <f t="shared" si="30"/>
        <v>1.8489462196931754</v>
      </c>
      <c r="K466" s="7" cm="1">
        <f t="array" ref="K466">INDEX(Sm,G466)</f>
        <v>2.5295372401482399</v>
      </c>
      <c r="L466" s="7">
        <f t="shared" si="31"/>
        <v>367.04059102045505</v>
      </c>
      <c r="M466" s="7">
        <f t="shared" si="32"/>
        <v>-0.68059102045504005</v>
      </c>
    </row>
    <row r="467" spans="6:13" ht="18.75" customHeight="1">
      <c r="F467" s="1">
        <v>35551</v>
      </c>
      <c r="G467">
        <f t="shared" si="29"/>
        <v>5</v>
      </c>
      <c r="H467" s="7">
        <v>366.8</v>
      </c>
      <c r="I467" s="7">
        <f>_A*F467*F467+_B*F467+_C</f>
        <v>364.65682697407647</v>
      </c>
      <c r="J467" s="7">
        <f t="shared" si="30"/>
        <v>2.1431730259235451</v>
      </c>
      <c r="K467" s="7" cm="1">
        <f t="array" ref="K467">INDEX(Sm,G467)</f>
        <v>2.9925789844300432</v>
      </c>
      <c r="L467" s="7">
        <f t="shared" si="31"/>
        <v>367.64940595850652</v>
      </c>
      <c r="M467" s="7">
        <f t="shared" si="32"/>
        <v>-0.8494059585065088</v>
      </c>
    </row>
    <row r="468" spans="6:13" ht="18.75" customHeight="1">
      <c r="F468" s="1">
        <v>35582</v>
      </c>
      <c r="G468">
        <f t="shared" si="29"/>
        <v>6</v>
      </c>
      <c r="H468" s="7">
        <v>365.63</v>
      </c>
      <c r="I468" s="7">
        <f>_A*F468*F468+_B*F468+_C</f>
        <v>364.80763692185013</v>
      </c>
      <c r="J468" s="7">
        <f t="shared" si="30"/>
        <v>0.82236307814986276</v>
      </c>
      <c r="K468" s="7" cm="1">
        <f t="array" ref="K468">INDEX(Sm,G468)</f>
        <v>2.3204129706322356</v>
      </c>
      <c r="L468" s="7">
        <f t="shared" si="31"/>
        <v>367.12804989248235</v>
      </c>
      <c r="M468" s="7">
        <f t="shared" si="32"/>
        <v>-1.4980498924823564</v>
      </c>
    </row>
    <row r="469" spans="6:13" ht="18.75" customHeight="1">
      <c r="F469" s="1">
        <v>35612</v>
      </c>
      <c r="G469">
        <f t="shared" si="29"/>
        <v>7</v>
      </c>
      <c r="H469" s="7">
        <v>364.47</v>
      </c>
      <c r="I469" s="7">
        <f>_A*F469*F469+_B*F469+_C</f>
        <v>364.95375394957807</v>
      </c>
      <c r="J469" s="7">
        <f t="shared" si="30"/>
        <v>-0.48375394957804474</v>
      </c>
      <c r="K469" s="7" cm="1">
        <f t="array" ref="K469">INDEX(Sm,G469)</f>
        <v>0.81833597443365613</v>
      </c>
      <c r="L469" s="7">
        <f t="shared" si="31"/>
        <v>365.77208992401171</v>
      </c>
      <c r="M469" s="7">
        <f t="shared" si="32"/>
        <v>-1.3020899240116819</v>
      </c>
    </row>
    <row r="470" spans="6:13" ht="18.75" customHeight="1">
      <c r="F470" s="1">
        <v>35643</v>
      </c>
      <c r="G470">
        <f t="shared" si="29"/>
        <v>8</v>
      </c>
      <c r="H470" s="7">
        <v>362.5</v>
      </c>
      <c r="I470" s="7">
        <f>_A*F470*F470+_B*F470+_C</f>
        <v>365.10491919244203</v>
      </c>
      <c r="J470" s="7">
        <f t="shared" si="30"/>
        <v>-2.6049191924420256</v>
      </c>
      <c r="K470" s="7" cm="1">
        <f t="array" ref="K470">INDEX(Sm,G470)</f>
        <v>-1.2372810548909516</v>
      </c>
      <c r="L470" s="7">
        <f t="shared" si="31"/>
        <v>363.86763813755107</v>
      </c>
      <c r="M470" s="7">
        <f t="shared" si="32"/>
        <v>-1.3676381375510687</v>
      </c>
    </row>
    <row r="471" spans="6:13" ht="18.75" customHeight="1">
      <c r="F471" s="1">
        <v>35674</v>
      </c>
      <c r="G471">
        <f t="shared" si="29"/>
        <v>9</v>
      </c>
      <c r="H471" s="7">
        <v>360.19</v>
      </c>
      <c r="I471" s="7">
        <f>_A*F471*F471+_B*F471+_C</f>
        <v>365.25626499510594</v>
      </c>
      <c r="J471" s="7">
        <f t="shared" si="30"/>
        <v>-5.0662649951059393</v>
      </c>
      <c r="K471" s="7" cm="1">
        <f t="array" ref="K471">INDEX(Sm,G471)</f>
        <v>-3.0811738821107677</v>
      </c>
      <c r="L471" s="7">
        <f t="shared" si="31"/>
        <v>362.17509111299518</v>
      </c>
      <c r="M471" s="7">
        <f t="shared" si="32"/>
        <v>-1.9850911129951783</v>
      </c>
    </row>
    <row r="472" spans="6:13" ht="18.75" customHeight="1">
      <c r="F472" s="1">
        <v>35704</v>
      </c>
      <c r="G472">
        <f t="shared" si="29"/>
        <v>10</v>
      </c>
      <c r="H472" s="7">
        <v>360.78</v>
      </c>
      <c r="I472" s="7">
        <f>_A*F472*F472+_B*F472+_C</f>
        <v>365.40290059208246</v>
      </c>
      <c r="J472" s="7">
        <f t="shared" si="30"/>
        <v>-4.6229005920824875</v>
      </c>
      <c r="K472" s="7" cm="1">
        <f t="array" ref="K472">INDEX(Sm,G472)</f>
        <v>-3.2770720300056544</v>
      </c>
      <c r="L472" s="7">
        <f t="shared" si="31"/>
        <v>362.12582856207683</v>
      </c>
      <c r="M472" s="7">
        <f t="shared" si="32"/>
        <v>-1.3458285620768606</v>
      </c>
    </row>
    <row r="473" spans="6:13" ht="18.75" customHeight="1">
      <c r="F473" s="1">
        <v>35735</v>
      </c>
      <c r="G473">
        <f t="shared" si="29"/>
        <v>11</v>
      </c>
      <c r="H473" s="7">
        <v>362.43</v>
      </c>
      <c r="I473" s="7">
        <f>_A*F473*F473+_B*F473+_C</f>
        <v>365.55460168983666</v>
      </c>
      <c r="J473" s="7">
        <f t="shared" si="30"/>
        <v>-3.124601689836652</v>
      </c>
      <c r="K473" s="7" cm="1">
        <f t="array" ref="K473">INDEX(Sm,G473)</f>
        <v>-2.0734932780028581</v>
      </c>
      <c r="L473" s="7">
        <f t="shared" si="31"/>
        <v>363.48110841183382</v>
      </c>
      <c r="M473" s="7">
        <f t="shared" si="32"/>
        <v>-1.051108411833809</v>
      </c>
    </row>
    <row r="474" spans="6:13" ht="18.75" customHeight="1">
      <c r="F474" s="1">
        <v>35765</v>
      </c>
      <c r="G474">
        <f t="shared" si="29"/>
        <v>12</v>
      </c>
      <c r="H474" s="7">
        <v>364.28</v>
      </c>
      <c r="I474" s="7">
        <f>_A*F474*F474+_B*F474+_C</f>
        <v>365.70158112077144</v>
      </c>
      <c r="J474" s="7">
        <f t="shared" si="30"/>
        <v>-1.4215811207714637</v>
      </c>
      <c r="K474" s="7" cm="1">
        <f t="array" ref="K474">INDEX(Sm,G474)</f>
        <v>-0.94500362363844403</v>
      </c>
      <c r="L474" s="7">
        <f t="shared" si="31"/>
        <v>364.75657749713298</v>
      </c>
      <c r="M474" s="7">
        <f t="shared" si="32"/>
        <v>-0.47657749713300745</v>
      </c>
    </row>
    <row r="475" spans="6:13" ht="18.75" customHeight="1">
      <c r="F475" s="1">
        <v>35796</v>
      </c>
      <c r="G475">
        <f t="shared" si="29"/>
        <v>1</v>
      </c>
      <c r="H475" s="7">
        <v>365.33</v>
      </c>
      <c r="I475" s="7">
        <f>_A*F475*F475+_B*F475+_C</f>
        <v>365.85363751361587</v>
      </c>
      <c r="J475" s="7">
        <f t="shared" si="30"/>
        <v>-0.52363751361588129</v>
      </c>
      <c r="K475" s="7" cm="1">
        <f t="array" ref="K475">INDEX(Sm,G475)</f>
        <v>-3.1273707705410173E-2</v>
      </c>
      <c r="L475" s="7">
        <f t="shared" si="31"/>
        <v>365.82236380591047</v>
      </c>
      <c r="M475" s="7">
        <f t="shared" si="32"/>
        <v>-0.49236380591048601</v>
      </c>
    </row>
    <row r="476" spans="6:13" ht="18.75" customHeight="1">
      <c r="F476" s="1">
        <v>35827</v>
      </c>
      <c r="G476">
        <f t="shared" si="29"/>
        <v>2</v>
      </c>
      <c r="H476" s="7">
        <v>366.15</v>
      </c>
      <c r="I476" s="7">
        <f>_A*F476*F476+_B*F476+_C</f>
        <v>366.00587446626025</v>
      </c>
      <c r="J476" s="7">
        <f t="shared" si="30"/>
        <v>0.14412553373972514</v>
      </c>
      <c r="K476" s="7" cm="1">
        <f t="array" ref="K476">INDEX(Sm,G476)</f>
        <v>0.60795807352328612</v>
      </c>
      <c r="L476" s="7">
        <f t="shared" si="31"/>
        <v>366.61383253978352</v>
      </c>
      <c r="M476" s="7">
        <f t="shared" si="32"/>
        <v>-0.46383253978353878</v>
      </c>
    </row>
    <row r="477" spans="6:13" ht="18.75" customHeight="1">
      <c r="F477" s="1">
        <v>35855</v>
      </c>
      <c r="G477">
        <f t="shared" si="29"/>
        <v>3</v>
      </c>
      <c r="H477" s="7">
        <v>367.31</v>
      </c>
      <c r="I477" s="7">
        <f>_A*F477*F477+_B*F477+_C</f>
        <v>366.14353400558394</v>
      </c>
      <c r="J477" s="7">
        <f t="shared" si="30"/>
        <v>1.1664659944160576</v>
      </c>
      <c r="K477" s="7" cm="1">
        <f t="array" ref="K477">INDEX(Sm,G477)</f>
        <v>1.368171928762181</v>
      </c>
      <c r="L477" s="7">
        <f t="shared" si="31"/>
        <v>367.51170593434614</v>
      </c>
      <c r="M477" s="7">
        <f t="shared" si="32"/>
        <v>-0.20170593434613693</v>
      </c>
    </row>
    <row r="478" spans="6:13" ht="18.75" customHeight="1">
      <c r="F478" s="1">
        <v>35886</v>
      </c>
      <c r="G478">
        <f t="shared" si="29"/>
        <v>4</v>
      </c>
      <c r="H478" s="7">
        <v>368.61</v>
      </c>
      <c r="I478" s="7">
        <f>_A*F478*F478+_B*F478+_C</f>
        <v>366.29611460429925</v>
      </c>
      <c r="J478" s="7">
        <f t="shared" si="30"/>
        <v>2.3138853957007655</v>
      </c>
      <c r="K478" s="7" cm="1">
        <f t="array" ref="K478">INDEX(Sm,G478)</f>
        <v>2.5295372401482399</v>
      </c>
      <c r="L478" s="7">
        <f t="shared" si="31"/>
        <v>368.82565184444746</v>
      </c>
      <c r="M478" s="7">
        <f t="shared" si="32"/>
        <v>-0.21565184444745</v>
      </c>
    </row>
    <row r="479" spans="6:13" ht="18.75" customHeight="1">
      <c r="F479" s="1">
        <v>35916</v>
      </c>
      <c r="G479">
        <f t="shared" si="29"/>
        <v>5</v>
      </c>
      <c r="H479" s="7">
        <v>369.3</v>
      </c>
      <c r="I479" s="7">
        <f>_A*F479*F479+_B*F479+_C</f>
        <v>366.4439451651964</v>
      </c>
      <c r="J479" s="7">
        <f t="shared" si="30"/>
        <v>2.856054834803615</v>
      </c>
      <c r="K479" s="7" cm="1">
        <f t="array" ref="K479">INDEX(Sm,G479)</f>
        <v>2.9925789844300432</v>
      </c>
      <c r="L479" s="7">
        <f t="shared" si="31"/>
        <v>369.43652414962645</v>
      </c>
      <c r="M479" s="7">
        <f t="shared" si="32"/>
        <v>-0.13652414962643888</v>
      </c>
    </row>
    <row r="480" spans="6:13" ht="18.75" customHeight="1">
      <c r="F480" s="1">
        <v>35947</v>
      </c>
      <c r="G480">
        <f t="shared" si="29"/>
        <v>6</v>
      </c>
      <c r="H480" s="7">
        <v>368.88</v>
      </c>
      <c r="I480" s="7">
        <f>_A*F480*F480+_B*F480+_C</f>
        <v>366.59688105900193</v>
      </c>
      <c r="J480" s="7">
        <f t="shared" si="30"/>
        <v>2.2831189409980652</v>
      </c>
      <c r="K480" s="7" cm="1">
        <f t="array" ref="K480">INDEX(Sm,G480)</f>
        <v>2.3204129706322356</v>
      </c>
      <c r="L480" s="7">
        <f t="shared" si="31"/>
        <v>368.91729402963415</v>
      </c>
      <c r="M480" s="7">
        <f t="shared" si="32"/>
        <v>-3.7294029634153958E-2</v>
      </c>
    </row>
    <row r="481" spans="6:13" ht="18.75" customHeight="1">
      <c r="F481" s="1">
        <v>35977</v>
      </c>
      <c r="G481">
        <f t="shared" si="29"/>
        <v>7</v>
      </c>
      <c r="H481" s="7">
        <v>367.64</v>
      </c>
      <c r="I481" s="7">
        <f>_A*F481*F481+_B*F481+_C</f>
        <v>366.74505545385739</v>
      </c>
      <c r="J481" s="7">
        <f t="shared" si="30"/>
        <v>0.89494454614259666</v>
      </c>
      <c r="K481" s="7" cm="1">
        <f t="array" ref="K481">INDEX(Sm,G481)</f>
        <v>0.81833597443365613</v>
      </c>
      <c r="L481" s="7">
        <f t="shared" si="31"/>
        <v>367.56339142829103</v>
      </c>
      <c r="M481" s="7">
        <f t="shared" si="32"/>
        <v>7.6608571708959516E-2</v>
      </c>
    </row>
    <row r="482" spans="6:13" ht="18.75" customHeight="1">
      <c r="F482" s="1">
        <v>36008</v>
      </c>
      <c r="G482">
        <f t="shared" si="29"/>
        <v>8</v>
      </c>
      <c r="H482" s="7">
        <v>365.78</v>
      </c>
      <c r="I482" s="7">
        <f>_A*F482*F482+_B*F482+_C</f>
        <v>366.89834664275321</v>
      </c>
      <c r="J482" s="7">
        <f t="shared" si="30"/>
        <v>-1.118346642753238</v>
      </c>
      <c r="K482" s="7" cm="1">
        <f t="array" ref="K482">INDEX(Sm,G482)</f>
        <v>-1.2372810548909516</v>
      </c>
      <c r="L482" s="7">
        <f t="shared" si="31"/>
        <v>365.66106558786225</v>
      </c>
      <c r="M482" s="7">
        <f t="shared" si="32"/>
        <v>0.11893441213771894</v>
      </c>
    </row>
    <row r="483" spans="6:13" ht="18.75" customHeight="1">
      <c r="F483" s="1">
        <v>36039</v>
      </c>
      <c r="G483">
        <f t="shared" si="29"/>
        <v>9</v>
      </c>
      <c r="H483" s="7">
        <v>363.9</v>
      </c>
      <c r="I483" s="7">
        <f>_A*F483*F483+_B*F483+_C</f>
        <v>367.05181839144893</v>
      </c>
      <c r="J483" s="7">
        <f t="shared" si="30"/>
        <v>-3.1518183914489555</v>
      </c>
      <c r="K483" s="7" cm="1">
        <f t="array" ref="K483">INDEX(Sm,G483)</f>
        <v>-3.0811738821107677</v>
      </c>
      <c r="L483" s="7">
        <f t="shared" si="31"/>
        <v>363.97064450933817</v>
      </c>
      <c r="M483" s="7">
        <f t="shared" si="32"/>
        <v>-7.0644509338194439E-2</v>
      </c>
    </row>
    <row r="484" spans="6:13" ht="18.75" customHeight="1">
      <c r="F484" s="1">
        <v>36069</v>
      </c>
      <c r="G484">
        <f t="shared" si="29"/>
        <v>10</v>
      </c>
      <c r="H484" s="7">
        <v>364.23</v>
      </c>
      <c r="I484" s="7">
        <f>_A*F484*F484+_B*F484+_C</f>
        <v>367.20051135555298</v>
      </c>
      <c r="J484" s="7">
        <f t="shared" si="30"/>
        <v>-2.9705113555529579</v>
      </c>
      <c r="K484" s="7" cm="1">
        <f t="array" ref="K484">INDEX(Sm,G484)</f>
        <v>-3.2770720300056544</v>
      </c>
      <c r="L484" s="7">
        <f t="shared" si="31"/>
        <v>363.92343932554735</v>
      </c>
      <c r="M484" s="7">
        <f t="shared" si="32"/>
        <v>0.30656067445266899</v>
      </c>
    </row>
    <row r="485" spans="6:13" ht="18.75" customHeight="1">
      <c r="F485" s="1">
        <v>36100</v>
      </c>
      <c r="G485">
        <f t="shared" si="29"/>
        <v>11</v>
      </c>
      <c r="H485" s="7">
        <v>365.46</v>
      </c>
      <c r="I485" s="7">
        <f>_A*F485*F485+_B*F485+_C</f>
        <v>367.35433839933899</v>
      </c>
      <c r="J485" s="7">
        <f t="shared" si="30"/>
        <v>-1.8943383993390057</v>
      </c>
      <c r="K485" s="7" cm="1">
        <f t="array" ref="K485">INDEX(Sm,G485)</f>
        <v>-2.0734932780028581</v>
      </c>
      <c r="L485" s="7">
        <f t="shared" si="31"/>
        <v>365.28084512133614</v>
      </c>
      <c r="M485" s="7">
        <f t="shared" si="32"/>
        <v>0.17915487866383728</v>
      </c>
    </row>
    <row r="486" spans="6:13" ht="18.75" customHeight="1">
      <c r="F486" s="1">
        <v>36130</v>
      </c>
      <c r="G486">
        <f t="shared" si="29"/>
        <v>12</v>
      </c>
      <c r="H486" s="7">
        <v>366.97</v>
      </c>
      <c r="I486" s="7">
        <f>_A*F486*F486+_B*F486+_C</f>
        <v>367.50337519740134</v>
      </c>
      <c r="J486" s="7">
        <f t="shared" si="30"/>
        <v>-0.53337519740131256</v>
      </c>
      <c r="K486" s="7" cm="1">
        <f t="array" ref="K486">INDEX(Sm,G486)</f>
        <v>-0.94500362363844403</v>
      </c>
      <c r="L486" s="7">
        <f t="shared" si="31"/>
        <v>366.55837157376288</v>
      </c>
      <c r="M486" s="7">
        <f t="shared" si="32"/>
        <v>0.41162842623714369</v>
      </c>
    </row>
    <row r="487" spans="6:13" ht="18.75" customHeight="1">
      <c r="F487" s="1">
        <v>36161</v>
      </c>
      <c r="G487">
        <f t="shared" si="29"/>
        <v>1</v>
      </c>
      <c r="H487" s="7">
        <v>368.15</v>
      </c>
      <c r="I487" s="7">
        <f>_A*F487*F487+_B*F487+_C</f>
        <v>367.65755753627758</v>
      </c>
      <c r="J487" s="7">
        <f t="shared" si="30"/>
        <v>0.49244246372239786</v>
      </c>
      <c r="K487" s="7" cm="1">
        <f t="array" ref="K487">INDEX(Sm,G487)</f>
        <v>-3.1273707705410173E-2</v>
      </c>
      <c r="L487" s="7">
        <f t="shared" si="31"/>
        <v>367.62628382857218</v>
      </c>
      <c r="M487" s="7">
        <f t="shared" si="32"/>
        <v>0.52371617142779314</v>
      </c>
    </row>
    <row r="488" spans="6:13" ht="18.75" customHeight="1">
      <c r="F488" s="1">
        <v>36192</v>
      </c>
      <c r="G488">
        <f t="shared" si="29"/>
        <v>2</v>
      </c>
      <c r="H488" s="7">
        <v>368.87</v>
      </c>
      <c r="I488" s="7">
        <f>_A*F488*F488+_B*F488+_C</f>
        <v>367.81192043495378</v>
      </c>
      <c r="J488" s="7">
        <f t="shared" si="30"/>
        <v>1.0580795650462278</v>
      </c>
      <c r="K488" s="7" cm="1">
        <f t="array" ref="K488">INDEX(Sm,G488)</f>
        <v>0.60795807352328612</v>
      </c>
      <c r="L488" s="7">
        <f t="shared" si="31"/>
        <v>368.41987850847704</v>
      </c>
      <c r="M488" s="7">
        <f t="shared" si="32"/>
        <v>0.45012149152296388</v>
      </c>
    </row>
    <row r="489" spans="6:13" ht="18.75" customHeight="1">
      <c r="F489" s="1">
        <v>36220</v>
      </c>
      <c r="G489">
        <f t="shared" si="29"/>
        <v>3</v>
      </c>
      <c r="H489" s="7">
        <v>369.59</v>
      </c>
      <c r="I489" s="7">
        <f>_A*F489*F489+_B*F489+_C</f>
        <v>367.95150018359652</v>
      </c>
      <c r="J489" s="7">
        <f t="shared" si="30"/>
        <v>1.6384998164034528</v>
      </c>
      <c r="K489" s="7" cm="1">
        <f t="array" ref="K489">INDEX(Sm,G489)</f>
        <v>1.368171928762181</v>
      </c>
      <c r="L489" s="7">
        <f t="shared" si="31"/>
        <v>369.31967211235872</v>
      </c>
      <c r="M489" s="7">
        <f t="shared" si="32"/>
        <v>0.27032788764125826</v>
      </c>
    </row>
    <row r="490" spans="6:13" ht="18.75" customHeight="1">
      <c r="F490" s="1">
        <v>36251</v>
      </c>
      <c r="G490">
        <f t="shared" si="29"/>
        <v>4</v>
      </c>
      <c r="H490" s="7">
        <v>371.14</v>
      </c>
      <c r="I490" s="7">
        <f>_A*F490*F490+_B*F490+_C</f>
        <v>368.10620672834364</v>
      </c>
      <c r="J490" s="7">
        <f t="shared" si="30"/>
        <v>3.03379327165635</v>
      </c>
      <c r="K490" s="7" cm="1">
        <f t="array" ref="K490">INDEX(Sm,G490)</f>
        <v>2.5295372401482399</v>
      </c>
      <c r="L490" s="7">
        <f t="shared" si="31"/>
        <v>370.63574396849185</v>
      </c>
      <c r="M490" s="7">
        <f t="shared" si="32"/>
        <v>0.50425603150813458</v>
      </c>
    </row>
    <row r="491" spans="6:13" ht="18.75" customHeight="1">
      <c r="F491" s="1">
        <v>36281</v>
      </c>
      <c r="G491">
        <f t="shared" si="29"/>
        <v>5</v>
      </c>
      <c r="H491" s="7">
        <v>371</v>
      </c>
      <c r="I491" s="7">
        <f>_A*F491*F491+_B*F491+_C</f>
        <v>368.25609465636836</v>
      </c>
      <c r="J491" s="7">
        <f t="shared" si="30"/>
        <v>2.7439053436316385</v>
      </c>
      <c r="K491" s="7" cm="1">
        <f t="array" ref="K491">INDEX(Sm,G491)</f>
        <v>2.9925789844300432</v>
      </c>
      <c r="L491" s="7">
        <f t="shared" si="31"/>
        <v>371.24867364079842</v>
      </c>
      <c r="M491" s="7">
        <f t="shared" si="32"/>
        <v>-0.24867364079841536</v>
      </c>
    </row>
    <row r="492" spans="6:13" ht="18.75" customHeight="1">
      <c r="F492" s="1">
        <v>36312</v>
      </c>
      <c r="G492">
        <f t="shared" si="29"/>
        <v>6</v>
      </c>
      <c r="H492" s="7">
        <v>370.35</v>
      </c>
      <c r="I492" s="7">
        <f>_A*F492*F492+_B*F492+_C</f>
        <v>368.41115649620571</v>
      </c>
      <c r="J492" s="7">
        <f t="shared" si="30"/>
        <v>1.9388435037943168</v>
      </c>
      <c r="K492" s="7" cm="1">
        <f t="array" ref="K492">INDEX(Sm,G492)</f>
        <v>2.3204129706322356</v>
      </c>
      <c r="L492" s="7">
        <f t="shared" si="31"/>
        <v>370.73156946683793</v>
      </c>
      <c r="M492" s="7">
        <f t="shared" si="32"/>
        <v>-0.38156946683790238</v>
      </c>
    </row>
    <row r="493" spans="6:13" ht="18.75" customHeight="1">
      <c r="F493" s="1">
        <v>36342</v>
      </c>
      <c r="G493">
        <f t="shared" si="29"/>
        <v>7</v>
      </c>
      <c r="H493" s="7">
        <v>369.27</v>
      </c>
      <c r="I493" s="7">
        <f>_A*F493*F493+_B*F493+_C</f>
        <v>368.56138825818874</v>
      </c>
      <c r="J493" s="7">
        <f t="shared" si="30"/>
        <v>0.70861174181123943</v>
      </c>
      <c r="K493" s="7" cm="1">
        <f t="array" ref="K493">INDEX(Sm,G493)</f>
        <v>0.81833597443365613</v>
      </c>
      <c r="L493" s="7">
        <f t="shared" si="31"/>
        <v>369.37972423262238</v>
      </c>
      <c r="M493" s="7">
        <f t="shared" si="32"/>
        <v>-0.10972423262239772</v>
      </c>
    </row>
    <row r="494" spans="6:13" ht="18.75" customHeight="1">
      <c r="F494" s="1">
        <v>36373</v>
      </c>
      <c r="G494">
        <f t="shared" si="29"/>
        <v>8</v>
      </c>
      <c r="H494" s="7">
        <v>366.93</v>
      </c>
      <c r="I494" s="7">
        <f>_A*F494*F494+_B*F494+_C</f>
        <v>368.71680539311632</v>
      </c>
      <c r="J494" s="7">
        <f t="shared" si="30"/>
        <v>-1.7868053931163104</v>
      </c>
      <c r="K494" s="7" cm="1">
        <f t="array" ref="K494">INDEX(Sm,G494)</f>
        <v>-1.2372810548909516</v>
      </c>
      <c r="L494" s="7">
        <f t="shared" si="31"/>
        <v>367.47952433822536</v>
      </c>
      <c r="M494" s="7">
        <f t="shared" si="32"/>
        <v>-0.5495243382253534</v>
      </c>
    </row>
    <row r="495" spans="6:13" ht="18.75" customHeight="1">
      <c r="F495" s="1">
        <v>36404</v>
      </c>
      <c r="G495">
        <f t="shared" si="29"/>
        <v>9</v>
      </c>
      <c r="H495" s="7">
        <v>364.64</v>
      </c>
      <c r="I495" s="7">
        <f>_A*F495*F495+_B*F495+_C</f>
        <v>368.87240308784385</v>
      </c>
      <c r="J495" s="7">
        <f t="shared" si="30"/>
        <v>-4.2324030878438634</v>
      </c>
      <c r="K495" s="7" cm="1">
        <f t="array" ref="K495">INDEX(Sm,G495)</f>
        <v>-3.0811738821107677</v>
      </c>
      <c r="L495" s="7">
        <f t="shared" si="31"/>
        <v>365.79122920573309</v>
      </c>
      <c r="M495" s="7">
        <f t="shared" si="32"/>
        <v>-1.1512292057331024</v>
      </c>
    </row>
    <row r="496" spans="6:13" ht="18.75" customHeight="1">
      <c r="F496" s="1">
        <v>36434</v>
      </c>
      <c r="G496">
        <f t="shared" si="29"/>
        <v>10</v>
      </c>
      <c r="H496" s="7">
        <v>365.13</v>
      </c>
      <c r="I496" s="7">
        <f>_A*F496*F496+_B*F496+_C</f>
        <v>369.02315341907547</v>
      </c>
      <c r="J496" s="7">
        <f t="shared" si="30"/>
        <v>-3.8931534190754746</v>
      </c>
      <c r="K496" s="7" cm="1">
        <f t="array" ref="K496">INDEX(Sm,G496)</f>
        <v>-3.2770720300056544</v>
      </c>
      <c r="L496" s="7">
        <f t="shared" si="31"/>
        <v>365.74608138906984</v>
      </c>
      <c r="M496" s="7">
        <f t="shared" si="32"/>
        <v>-0.61608138906984777</v>
      </c>
    </row>
    <row r="497" spans="6:13" ht="18.75" customHeight="1">
      <c r="F497" s="1">
        <v>36465</v>
      </c>
      <c r="G497">
        <f t="shared" si="29"/>
        <v>11</v>
      </c>
      <c r="H497" s="7">
        <v>366.68</v>
      </c>
      <c r="I497" s="7">
        <f>_A*F497*F497+_B*F497+_C</f>
        <v>369.17910640889329</v>
      </c>
      <c r="J497" s="7">
        <f t="shared" si="30"/>
        <v>-2.4991064088932831</v>
      </c>
      <c r="K497" s="7" cm="1">
        <f t="array" ref="K497">INDEX(Sm,G497)</f>
        <v>-2.0734932780028581</v>
      </c>
      <c r="L497" s="7">
        <f t="shared" si="31"/>
        <v>367.10561313089045</v>
      </c>
      <c r="M497" s="7">
        <f t="shared" si="32"/>
        <v>-0.42561313089044006</v>
      </c>
    </row>
    <row r="498" spans="6:13" ht="18.75" customHeight="1">
      <c r="F498" s="1">
        <v>36495</v>
      </c>
      <c r="G498">
        <f t="shared" si="29"/>
        <v>12</v>
      </c>
      <c r="H498" s="7">
        <v>368</v>
      </c>
      <c r="I498" s="7">
        <f>_A*F498*F498+_B*F498+_C</f>
        <v>369.33020057408322</v>
      </c>
      <c r="J498" s="7">
        <f t="shared" si="30"/>
        <v>-1.3302005740832215</v>
      </c>
      <c r="K498" s="7" cm="1">
        <f t="array" ref="K498">INDEX(Sm,G498)</f>
        <v>-0.94500362363844403</v>
      </c>
      <c r="L498" s="7">
        <f t="shared" si="31"/>
        <v>368.38519695044477</v>
      </c>
      <c r="M498" s="7">
        <f t="shared" si="32"/>
        <v>-0.38519695044476521</v>
      </c>
    </row>
    <row r="499" spans="6:13" ht="18.75" customHeight="1">
      <c r="F499" s="1">
        <v>36526</v>
      </c>
      <c r="G499">
        <f t="shared" si="29"/>
        <v>1</v>
      </c>
      <c r="H499" s="7">
        <v>369.14</v>
      </c>
      <c r="I499" s="7">
        <f>_A*F499*F499+_B*F499+_C</f>
        <v>369.48650885899127</v>
      </c>
      <c r="J499" s="7">
        <f t="shared" si="30"/>
        <v>-0.34650885899128525</v>
      </c>
      <c r="K499" s="7" cm="1">
        <f t="array" ref="K499">INDEX(Sm,G499)</f>
        <v>-3.1273707705410173E-2</v>
      </c>
      <c r="L499" s="7">
        <f t="shared" si="31"/>
        <v>369.45523515128588</v>
      </c>
      <c r="M499" s="7">
        <f t="shared" si="32"/>
        <v>-0.31523515128588997</v>
      </c>
    </row>
    <row r="500" spans="6:13" ht="18.75" customHeight="1">
      <c r="F500" s="1">
        <v>36557</v>
      </c>
      <c r="G500">
        <f t="shared" si="29"/>
        <v>2</v>
      </c>
      <c r="H500" s="7">
        <v>369.46</v>
      </c>
      <c r="I500" s="7">
        <f>_A*F500*F500+_B*F500+_C</f>
        <v>369.64299770369928</v>
      </c>
      <c r="J500" s="7">
        <f t="shared" si="30"/>
        <v>-0.18299770369930002</v>
      </c>
      <c r="K500" s="7" cm="1">
        <f t="array" ref="K500">INDEX(Sm,G500)</f>
        <v>0.60795807352328612</v>
      </c>
      <c r="L500" s="7">
        <f t="shared" si="31"/>
        <v>370.25095577722254</v>
      </c>
      <c r="M500" s="7">
        <f t="shared" si="32"/>
        <v>-0.79095577722256394</v>
      </c>
    </row>
    <row r="501" spans="6:13" ht="18.75" customHeight="1">
      <c r="F501" s="1">
        <v>36586</v>
      </c>
      <c r="G501">
        <f t="shared" si="29"/>
        <v>3</v>
      </c>
      <c r="H501" s="7">
        <v>370.51</v>
      </c>
      <c r="I501" s="7">
        <f>_A*F501*F501+_B*F501+_C</f>
        <v>369.78955395595574</v>
      </c>
      <c r="J501" s="7">
        <f t="shared" si="30"/>
        <v>0.72044604404425172</v>
      </c>
      <c r="K501" s="7" cm="1">
        <f t="array" ref="K501">INDEX(Sm,G501)</f>
        <v>1.368171928762181</v>
      </c>
      <c r="L501" s="7">
        <f t="shared" si="31"/>
        <v>371.15772588471793</v>
      </c>
      <c r="M501" s="7">
        <f t="shared" si="32"/>
        <v>-0.64772588471794279</v>
      </c>
    </row>
    <row r="502" spans="6:13" ht="18.75" customHeight="1">
      <c r="F502" s="16">
        <v>36617</v>
      </c>
      <c r="G502" s="17">
        <f t="shared" si="29"/>
        <v>4</v>
      </c>
      <c r="H502" s="18">
        <v>371.66</v>
      </c>
      <c r="I502" s="7">
        <f>_A*F502*F502+_B*F502+_C</f>
        <v>369.94639227124435</v>
      </c>
      <c r="J502" s="7">
        <f t="shared" si="30"/>
        <v>1.7136077287556759</v>
      </c>
      <c r="K502" s="7" cm="1">
        <f t="array" ref="K502">INDEX(Sm,G502)</f>
        <v>2.5295372401482399</v>
      </c>
      <c r="L502" s="7">
        <f t="shared" si="31"/>
        <v>372.47592951139256</v>
      </c>
      <c r="M502" s="7">
        <f t="shared" si="32"/>
        <v>-0.81592951139253955</v>
      </c>
    </row>
    <row r="503" spans="6:13" ht="18.75" customHeight="1">
      <c r="F503" s="1">
        <v>36647</v>
      </c>
      <c r="G503">
        <f t="shared" si="29"/>
        <v>5</v>
      </c>
      <c r="H503" s="7">
        <v>371.83</v>
      </c>
      <c r="I503" s="7">
        <f>_A*F503*F503+_B*F503+_C</f>
        <v>370.09834320301889</v>
      </c>
      <c r="J503" s="7">
        <f t="shared" si="30"/>
        <v>1.731656796981099</v>
      </c>
      <c r="K503" s="7" cm="1">
        <f t="array" ref="K503">INDEX(Sm,G503)</f>
        <v>2.9925789844300432</v>
      </c>
      <c r="L503" s="7">
        <f t="shared" si="31"/>
        <v>373.09092218744894</v>
      </c>
      <c r="M503" s="7">
        <f t="shared" si="32"/>
        <v>-1.2609221874489549</v>
      </c>
    </row>
    <row r="504" spans="6:13" ht="18.75" customHeight="1">
      <c r="F504" s="1">
        <v>36678</v>
      </c>
      <c r="G504">
        <f t="shared" si="29"/>
        <v>6</v>
      </c>
      <c r="H504" s="7">
        <v>371.69</v>
      </c>
      <c r="I504" s="7">
        <f>_A*F504*F504+_B*F504+_C</f>
        <v>370.25553681339773</v>
      </c>
      <c r="J504" s="7">
        <f t="shared" si="30"/>
        <v>1.4344631866022723</v>
      </c>
      <c r="K504" s="7" cm="1">
        <f t="array" ref="K504">INDEX(Sm,G504)</f>
        <v>2.3204129706322356</v>
      </c>
      <c r="L504" s="7">
        <f t="shared" si="31"/>
        <v>372.57594978402994</v>
      </c>
      <c r="M504" s="7">
        <f t="shared" si="32"/>
        <v>-0.88594978402994684</v>
      </c>
    </row>
    <row r="505" spans="6:13" ht="18.75" customHeight="1">
      <c r="F505" s="1">
        <v>36708</v>
      </c>
      <c r="G505">
        <f t="shared" si="29"/>
        <v>7</v>
      </c>
      <c r="H505" s="7">
        <v>370.12</v>
      </c>
      <c r="I505" s="7">
        <f>_A*F505*F505+_B*F505+_C</f>
        <v>370.40783157913057</v>
      </c>
      <c r="J505" s="7">
        <f t="shared" si="30"/>
        <v>-0.28783157913056812</v>
      </c>
      <c r="K505" s="7" cm="1">
        <f t="array" ref="K505">INDEX(Sm,G505)</f>
        <v>0.81833597443365613</v>
      </c>
      <c r="L505" s="7">
        <f t="shared" si="31"/>
        <v>371.22616755356421</v>
      </c>
      <c r="M505" s="7">
        <f t="shared" si="32"/>
        <v>-1.1061675535642053</v>
      </c>
    </row>
    <row r="506" spans="6:13" ht="18.75" customHeight="1">
      <c r="F506" s="1">
        <v>36739</v>
      </c>
      <c r="G506">
        <f t="shared" si="29"/>
        <v>8</v>
      </c>
      <c r="H506" s="7">
        <v>368.12</v>
      </c>
      <c r="I506" s="7">
        <f>_A*F506*F506+_B*F506+_C</f>
        <v>370.56538048459964</v>
      </c>
      <c r="J506" s="7">
        <f t="shared" si="30"/>
        <v>-2.4453804845996387</v>
      </c>
      <c r="K506" s="7" cm="1">
        <f t="array" ref="K506">INDEX(Sm,G506)</f>
        <v>-1.2372810548909516</v>
      </c>
      <c r="L506" s="7">
        <f t="shared" si="31"/>
        <v>369.32809942970869</v>
      </c>
      <c r="M506" s="7">
        <f t="shared" si="32"/>
        <v>-1.2080994297086818</v>
      </c>
    </row>
    <row r="507" spans="6:13" ht="18.75" customHeight="1">
      <c r="F507" s="1">
        <v>36770</v>
      </c>
      <c r="G507">
        <f t="shared" si="29"/>
        <v>9</v>
      </c>
      <c r="H507" s="7">
        <v>366.62</v>
      </c>
      <c r="I507" s="7">
        <f>_A*F507*F507+_B*F507+_C</f>
        <v>370.72310994986867</v>
      </c>
      <c r="J507" s="7">
        <f t="shared" si="30"/>
        <v>-4.1031099498686672</v>
      </c>
      <c r="K507" s="7" cm="1">
        <f t="array" ref="K507">INDEX(Sm,G507)</f>
        <v>-3.0811738821107677</v>
      </c>
      <c r="L507" s="7">
        <f t="shared" si="31"/>
        <v>367.64193606775791</v>
      </c>
      <c r="M507" s="7">
        <f t="shared" si="32"/>
        <v>-1.0219360677579061</v>
      </c>
    </row>
    <row r="508" spans="6:13" ht="18.75" customHeight="1">
      <c r="F508" s="1">
        <v>36800</v>
      </c>
      <c r="G508">
        <f t="shared" si="29"/>
        <v>10</v>
      </c>
      <c r="H508" s="7">
        <v>366.73</v>
      </c>
      <c r="I508" s="7">
        <f>_A*F508*F508+_B*F508+_C</f>
        <v>370.87592328485016</v>
      </c>
      <c r="J508" s="7">
        <f t="shared" si="30"/>
        <v>-4.1459232848501415</v>
      </c>
      <c r="K508" s="7" cm="1">
        <f t="array" ref="K508">INDEX(Sm,G508)</f>
        <v>-3.2770720300056544</v>
      </c>
      <c r="L508" s="7">
        <f t="shared" si="31"/>
        <v>367.59885125484453</v>
      </c>
      <c r="M508" s="7">
        <f t="shared" si="32"/>
        <v>-0.86885125484451464</v>
      </c>
    </row>
    <row r="509" spans="6:13" ht="18.75" customHeight="1">
      <c r="F509" s="1">
        <v>36831</v>
      </c>
      <c r="G509">
        <f t="shared" si="29"/>
        <v>11</v>
      </c>
      <c r="H509" s="7">
        <v>368.29</v>
      </c>
      <c r="I509" s="7">
        <f>_A*F509*F509+_B*F509+_C</f>
        <v>371.03400804520942</v>
      </c>
      <c r="J509" s="7">
        <f t="shared" si="30"/>
        <v>-2.744008045209398</v>
      </c>
      <c r="K509" s="7" cm="1">
        <f t="array" ref="K509">INDEX(Sm,G509)</f>
        <v>-2.0734932780028581</v>
      </c>
      <c r="L509" s="7">
        <f t="shared" si="31"/>
        <v>368.96051476720658</v>
      </c>
      <c r="M509" s="7">
        <f t="shared" si="32"/>
        <v>-0.67051476720655501</v>
      </c>
    </row>
    <row r="510" spans="6:13" ht="18.75" customHeight="1">
      <c r="F510" s="1">
        <v>36861</v>
      </c>
      <c r="G510">
        <f t="shared" si="29"/>
        <v>12</v>
      </c>
      <c r="H510" s="7">
        <v>369.52</v>
      </c>
      <c r="I510" s="7">
        <f>_A*F510*F510+_B*F510+_C</f>
        <v>371.18716521414916</v>
      </c>
      <c r="J510" s="7">
        <f t="shared" si="30"/>
        <v>-1.6671652141491791</v>
      </c>
      <c r="K510" s="7" cm="1">
        <f t="array" ref="K510">INDEX(Sm,G510)</f>
        <v>-0.94500362363844403</v>
      </c>
      <c r="L510" s="7">
        <f t="shared" si="31"/>
        <v>370.2421615905107</v>
      </c>
      <c r="M510" s="7">
        <f t="shared" si="32"/>
        <v>-0.72216159051072282</v>
      </c>
    </row>
    <row r="511" spans="6:13" ht="18.75" customHeight="1">
      <c r="F511" s="1">
        <v>36892</v>
      </c>
      <c r="G511">
        <f t="shared" si="29"/>
        <v>1</v>
      </c>
      <c r="H511" s="7">
        <v>370.28</v>
      </c>
      <c r="I511" s="7">
        <f>_A*F511*F511+_B*F511+_C</f>
        <v>371.34560526959871</v>
      </c>
      <c r="J511" s="7">
        <f t="shared" si="30"/>
        <v>-1.0656052695987341</v>
      </c>
      <c r="K511" s="7" cm="1">
        <f t="array" ref="K511">INDEX(Sm,G511)</f>
        <v>-3.1273707705410173E-2</v>
      </c>
      <c r="L511" s="7">
        <f t="shared" si="31"/>
        <v>371.31433156189331</v>
      </c>
      <c r="M511" s="7">
        <f t="shared" si="32"/>
        <v>-1.0343315618933389</v>
      </c>
    </row>
    <row r="512" spans="6:13" ht="18.75" customHeight="1">
      <c r="F512" s="1">
        <v>36923</v>
      </c>
      <c r="G512">
        <f t="shared" si="29"/>
        <v>2</v>
      </c>
      <c r="H512" s="7">
        <v>371.5</v>
      </c>
      <c r="I512" s="7">
        <f>_A*F512*F512+_B*F512+_C</f>
        <v>371.50422588484821</v>
      </c>
      <c r="J512" s="7">
        <f t="shared" si="30"/>
        <v>-4.2258848482106259E-3</v>
      </c>
      <c r="K512" s="7" cm="1">
        <f t="array" ref="K512">INDEX(Sm,G512)</f>
        <v>0.60795807352328612</v>
      </c>
      <c r="L512" s="7">
        <f t="shared" si="31"/>
        <v>372.11218395837147</v>
      </c>
      <c r="M512" s="7">
        <f t="shared" si="32"/>
        <v>-0.61218395837147455</v>
      </c>
    </row>
    <row r="513" spans="6:13" ht="18.75" customHeight="1">
      <c r="F513" s="1">
        <v>36951</v>
      </c>
      <c r="G513">
        <f t="shared" si="29"/>
        <v>3</v>
      </c>
      <c r="H513" s="7">
        <v>372.12</v>
      </c>
      <c r="I513" s="7">
        <f>_A*F513*F513+_B*F513+_C</f>
        <v>371.64765131297651</v>
      </c>
      <c r="J513" s="7">
        <f t="shared" si="30"/>
        <v>0.47234868702349786</v>
      </c>
      <c r="K513" s="7" cm="1">
        <f t="array" ref="K513">INDEX(Sm,G513)</f>
        <v>1.368171928762181</v>
      </c>
      <c r="L513" s="7">
        <f t="shared" si="31"/>
        <v>373.0158232417387</v>
      </c>
      <c r="M513" s="7">
        <f t="shared" si="32"/>
        <v>-0.89582324173869665</v>
      </c>
    </row>
    <row r="514" spans="6:13" ht="18.75" customHeight="1">
      <c r="F514" s="1">
        <v>36982</v>
      </c>
      <c r="G514">
        <f t="shared" si="29"/>
        <v>4</v>
      </c>
      <c r="H514" s="7">
        <v>372.86</v>
      </c>
      <c r="I514" s="7">
        <f>_A*F514*F514+_B*F514+_C</f>
        <v>371.80661557429693</v>
      </c>
      <c r="J514" s="7">
        <f t="shared" si="30"/>
        <v>1.0533844257030864</v>
      </c>
      <c r="K514" s="7" cm="1">
        <f t="array" ref="K514">INDEX(Sm,G514)</f>
        <v>2.5295372401482399</v>
      </c>
      <c r="L514" s="7">
        <f t="shared" si="31"/>
        <v>374.33615281444514</v>
      </c>
      <c r="M514" s="7">
        <f t="shared" si="32"/>
        <v>-1.476152814445129</v>
      </c>
    </row>
    <row r="515" spans="6:13" ht="18.75" customHeight="1">
      <c r="F515" s="1">
        <v>37012</v>
      </c>
      <c r="G515">
        <f t="shared" ref="G515:G578" si="33">MONTH(F515)</f>
        <v>5</v>
      </c>
      <c r="H515" s="7">
        <v>374.02</v>
      </c>
      <c r="I515" s="7">
        <f>_A*F515*F515+_B*F515+_C</f>
        <v>371.96062387319904</v>
      </c>
      <c r="J515" s="7">
        <f t="shared" ref="J515:J578" si="34">H515-I515</f>
        <v>2.0593761268009416</v>
      </c>
      <c r="K515" s="7" cm="1">
        <f t="array" ref="K515">INDEX(Sm,G515)</f>
        <v>2.9925789844300432</v>
      </c>
      <c r="L515" s="7">
        <f t="shared" ref="L515:L578" si="35">I515+K515</f>
        <v>374.95320285762909</v>
      </c>
      <c r="M515" s="7">
        <f t="shared" ref="M515:M578" si="36">H515-L515</f>
        <v>-0.93320285762911226</v>
      </c>
    </row>
    <row r="516" spans="6:13" ht="18.75" customHeight="1">
      <c r="F516" s="1">
        <v>37043</v>
      </c>
      <c r="G516">
        <f t="shared" si="33"/>
        <v>6</v>
      </c>
      <c r="H516" s="7">
        <v>373.31</v>
      </c>
      <c r="I516" s="7">
        <f>_A*F516*F516+_B*F516+_C</f>
        <v>372.11994342960969</v>
      </c>
      <c r="J516" s="7">
        <f t="shared" si="34"/>
        <v>1.1900565703903112</v>
      </c>
      <c r="K516" s="7" cm="1">
        <f t="array" ref="K516">INDEX(Sm,G516)</f>
        <v>2.3204129706322356</v>
      </c>
      <c r="L516" s="7">
        <f t="shared" si="35"/>
        <v>374.44035640024191</v>
      </c>
      <c r="M516" s="7">
        <f t="shared" si="36"/>
        <v>-1.130356400241908</v>
      </c>
    </row>
    <row r="517" spans="6:13" ht="18.75" customHeight="1">
      <c r="F517" s="1">
        <v>37073</v>
      </c>
      <c r="G517">
        <f t="shared" si="33"/>
        <v>7</v>
      </c>
      <c r="H517" s="7">
        <v>371.62</v>
      </c>
      <c r="I517" s="7">
        <f>_A*F517*F517+_B*F517+_C</f>
        <v>372.27429556247012</v>
      </c>
      <c r="J517" s="7">
        <f t="shared" si="34"/>
        <v>-0.65429556247011078</v>
      </c>
      <c r="K517" s="7" cm="1">
        <f t="array" ref="K517">INDEX(Sm,G517)</f>
        <v>0.81833597443365613</v>
      </c>
      <c r="L517" s="7">
        <f t="shared" si="35"/>
        <v>373.09263153690375</v>
      </c>
      <c r="M517" s="7">
        <f t="shared" si="36"/>
        <v>-1.4726315369037479</v>
      </c>
    </row>
    <row r="518" spans="6:13" ht="18.75" customHeight="1">
      <c r="F518" s="1">
        <v>37104</v>
      </c>
      <c r="G518">
        <f t="shared" si="33"/>
        <v>8</v>
      </c>
      <c r="H518" s="7">
        <v>369.55</v>
      </c>
      <c r="I518" s="7">
        <f>_A*F518*F518+_B*F518+_C</f>
        <v>372.433970413971</v>
      </c>
      <c r="J518" s="7">
        <f t="shared" si="34"/>
        <v>-2.8839704139709852</v>
      </c>
      <c r="K518" s="7" cm="1">
        <f t="array" ref="K518">INDEX(Sm,G518)</f>
        <v>-1.2372810548909516</v>
      </c>
      <c r="L518" s="7">
        <f t="shared" si="35"/>
        <v>371.19668935908004</v>
      </c>
      <c r="M518" s="7">
        <f t="shared" si="36"/>
        <v>-1.6466893590800282</v>
      </c>
    </row>
    <row r="519" spans="6:13" ht="18.75" customHeight="1">
      <c r="F519" s="1">
        <v>37135</v>
      </c>
      <c r="G519">
        <f t="shared" si="33"/>
        <v>9</v>
      </c>
      <c r="H519" s="7">
        <v>367.96</v>
      </c>
      <c r="I519" s="7">
        <f>_A*F519*F519+_B*F519+_C</f>
        <v>372.59382582527184</v>
      </c>
      <c r="J519" s="7">
        <f t="shared" si="34"/>
        <v>-4.633825825271856</v>
      </c>
      <c r="K519" s="7" cm="1">
        <f t="array" ref="K519">INDEX(Sm,G519)</f>
        <v>-3.0811738821107677</v>
      </c>
      <c r="L519" s="7">
        <f t="shared" si="35"/>
        <v>369.51265194316107</v>
      </c>
      <c r="M519" s="7">
        <f t="shared" si="36"/>
        <v>-1.552651943161095</v>
      </c>
    </row>
    <row r="520" spans="6:13" ht="18.75" customHeight="1">
      <c r="F520" s="1">
        <v>37165</v>
      </c>
      <c r="G520">
        <f t="shared" si="33"/>
        <v>10</v>
      </c>
      <c r="H520" s="7">
        <v>368.09</v>
      </c>
      <c r="I520" s="7">
        <f>_A*F520*F520+_B*F520+_C</f>
        <v>372.74869652738084</v>
      </c>
      <c r="J520" s="7">
        <f t="shared" si="34"/>
        <v>-4.6586965273808687</v>
      </c>
      <c r="K520" s="7" cm="1">
        <f t="array" ref="K520">INDEX(Sm,G520)</f>
        <v>-3.2770720300056544</v>
      </c>
      <c r="L520" s="7">
        <f t="shared" si="35"/>
        <v>369.47162449737522</v>
      </c>
      <c r="M520" s="7">
        <f t="shared" si="36"/>
        <v>-1.3816244973752418</v>
      </c>
    </row>
    <row r="521" spans="6:13" ht="18.75" customHeight="1">
      <c r="F521" s="1">
        <v>37196</v>
      </c>
      <c r="G521">
        <f t="shared" si="33"/>
        <v>11</v>
      </c>
      <c r="H521" s="7">
        <v>369.68</v>
      </c>
      <c r="I521" s="7">
        <f>_A*F521*F521+_B*F521+_C</f>
        <v>372.90890723377191</v>
      </c>
      <c r="J521" s="7">
        <f t="shared" si="34"/>
        <v>-3.2289072337719062</v>
      </c>
      <c r="K521" s="7" cm="1">
        <f t="array" ref="K521">INDEX(Sm,G521)</f>
        <v>-2.0734932780028581</v>
      </c>
      <c r="L521" s="7">
        <f t="shared" si="35"/>
        <v>370.83541395576907</v>
      </c>
      <c r="M521" s="7">
        <f t="shared" si="36"/>
        <v>-1.1554139557690633</v>
      </c>
    </row>
    <row r="522" spans="6:13" ht="18.75" customHeight="1">
      <c r="F522" s="1">
        <v>37226</v>
      </c>
      <c r="G522">
        <f t="shared" si="33"/>
        <v>12</v>
      </c>
      <c r="H522" s="7">
        <v>371.24</v>
      </c>
      <c r="I522" s="7">
        <f>_A*F522*F522+_B*F522+_C</f>
        <v>373.06412176983923</v>
      </c>
      <c r="J522" s="7">
        <f t="shared" si="34"/>
        <v>-1.8241217698392234</v>
      </c>
      <c r="K522" s="7" cm="1">
        <f t="array" ref="K522">INDEX(Sm,G522)</f>
        <v>-0.94500362363844403</v>
      </c>
      <c r="L522" s="7">
        <f t="shared" si="35"/>
        <v>372.11911814620078</v>
      </c>
      <c r="M522" s="7">
        <f t="shared" si="36"/>
        <v>-0.87911814620076711</v>
      </c>
    </row>
    <row r="523" spans="6:13" ht="18.75" customHeight="1">
      <c r="F523" s="1">
        <v>37257</v>
      </c>
      <c r="G523">
        <f t="shared" si="33"/>
        <v>1</v>
      </c>
      <c r="H523" s="7">
        <v>372.44</v>
      </c>
      <c r="I523" s="7">
        <f>_A*F523*F523+_B*F523+_C</f>
        <v>373.22468777132059</v>
      </c>
      <c r="J523" s="7">
        <f t="shared" si="34"/>
        <v>-0.78468777132059131</v>
      </c>
      <c r="K523" s="7" cm="1">
        <f t="array" ref="K523">INDEX(Sm,G523)</f>
        <v>-3.1273707705410173E-2</v>
      </c>
      <c r="L523" s="7">
        <f t="shared" si="35"/>
        <v>373.19341406361519</v>
      </c>
      <c r="M523" s="7">
        <f t="shared" si="36"/>
        <v>-0.75341406361519603</v>
      </c>
    </row>
    <row r="524" spans="6:13" ht="18.75" customHeight="1">
      <c r="F524" s="1">
        <v>37288</v>
      </c>
      <c r="G524">
        <f t="shared" si="33"/>
        <v>2</v>
      </c>
      <c r="H524" s="7">
        <v>373.08</v>
      </c>
      <c r="I524" s="7">
        <f>_A*F524*F524+_B*F524+_C</f>
        <v>373.3854343326019</v>
      </c>
      <c r="J524" s="7">
        <f t="shared" si="34"/>
        <v>-0.30543433260191932</v>
      </c>
      <c r="K524" s="7" cm="1">
        <f t="array" ref="K524">INDEX(Sm,G524)</f>
        <v>0.60795807352328612</v>
      </c>
      <c r="L524" s="7">
        <f t="shared" si="35"/>
        <v>373.99339240612517</v>
      </c>
      <c r="M524" s="7">
        <f t="shared" si="36"/>
        <v>-0.91339240612518324</v>
      </c>
    </row>
    <row r="525" spans="6:13" ht="18.75" customHeight="1">
      <c r="F525" s="1">
        <v>37316</v>
      </c>
      <c r="G525">
        <f t="shared" si="33"/>
        <v>3</v>
      </c>
      <c r="H525" s="7">
        <v>373.52</v>
      </c>
      <c r="I525" s="7">
        <f>_A*F525*F525+_B*F525+_C</f>
        <v>373.53077997004925</v>
      </c>
      <c r="J525" s="7">
        <f t="shared" si="34"/>
        <v>-1.077997004927056E-2</v>
      </c>
      <c r="K525" s="7" cm="1">
        <f t="array" ref="K525">INDEX(Sm,G525)</f>
        <v>1.368171928762181</v>
      </c>
      <c r="L525" s="7">
        <f t="shared" si="35"/>
        <v>374.89895189881145</v>
      </c>
      <c r="M525" s="7">
        <f t="shared" si="36"/>
        <v>-1.3789518988114651</v>
      </c>
    </row>
    <row r="526" spans="6:13" ht="18.75" customHeight="1">
      <c r="F526" s="1">
        <v>37347</v>
      </c>
      <c r="G526">
        <f t="shared" si="33"/>
        <v>4</v>
      </c>
      <c r="H526" s="7">
        <v>374.85</v>
      </c>
      <c r="I526" s="7">
        <f>_A*F526*F526+_B*F526+_C</f>
        <v>373.69187017740148</v>
      </c>
      <c r="J526" s="7">
        <f t="shared" si="34"/>
        <v>1.1581298225985392</v>
      </c>
      <c r="K526" s="7" cm="1">
        <f t="array" ref="K526">INDEX(Sm,G526)</f>
        <v>2.5295372401482399</v>
      </c>
      <c r="L526" s="7">
        <f t="shared" si="35"/>
        <v>376.2214074175497</v>
      </c>
      <c r="M526" s="7">
        <f t="shared" si="36"/>
        <v>-1.3714074175496762</v>
      </c>
    </row>
    <row r="527" spans="6:13" ht="18.75" customHeight="1">
      <c r="F527" s="1">
        <v>37377</v>
      </c>
      <c r="G527">
        <f t="shared" si="33"/>
        <v>5</v>
      </c>
      <c r="H527" s="7">
        <v>375.55</v>
      </c>
      <c r="I527" s="7">
        <f>_A*F527*F527+_B*F527+_C</f>
        <v>373.84793584343117</v>
      </c>
      <c r="J527" s="7">
        <f t="shared" si="34"/>
        <v>1.7020641565688379</v>
      </c>
      <c r="K527" s="7" cm="1">
        <f t="array" ref="K527">INDEX(Sm,G527)</f>
        <v>2.9925789844300432</v>
      </c>
      <c r="L527" s="7">
        <f t="shared" si="35"/>
        <v>376.84051482786123</v>
      </c>
      <c r="M527" s="7">
        <f t="shared" si="36"/>
        <v>-1.290514827861216</v>
      </c>
    </row>
    <row r="528" spans="6:13" ht="18.75" customHeight="1">
      <c r="F528" s="1">
        <v>37408</v>
      </c>
      <c r="G528">
        <f t="shared" si="33"/>
        <v>6</v>
      </c>
      <c r="H528" s="7">
        <v>375.4</v>
      </c>
      <c r="I528" s="7">
        <f>_A*F528*F528+_B*F528+_C</f>
        <v>374.00938134587363</v>
      </c>
      <c r="J528" s="7">
        <f t="shared" si="34"/>
        <v>1.3906186541263423</v>
      </c>
      <c r="K528" s="7" cm="1">
        <f t="array" ref="K528">INDEX(Sm,G528)</f>
        <v>2.3204129706322356</v>
      </c>
      <c r="L528" s="7">
        <f t="shared" si="35"/>
        <v>376.32979431650585</v>
      </c>
      <c r="M528" s="7">
        <f t="shared" si="36"/>
        <v>-0.92979431650587685</v>
      </c>
    </row>
    <row r="529" spans="6:13" ht="18.75" customHeight="1">
      <c r="F529" s="1">
        <v>37438</v>
      </c>
      <c r="G529">
        <f t="shared" si="33"/>
        <v>7</v>
      </c>
      <c r="H529" s="7">
        <v>374.02</v>
      </c>
      <c r="I529" s="7">
        <f>_A*F529*F529+_B*F529+_C</f>
        <v>374.16579084586158</v>
      </c>
      <c r="J529" s="7">
        <f t="shared" si="34"/>
        <v>-0.14579084586159752</v>
      </c>
      <c r="K529" s="7" cm="1">
        <f t="array" ref="K529">INDEX(Sm,G529)</f>
        <v>0.81833597443365613</v>
      </c>
      <c r="L529" s="7">
        <f t="shared" si="35"/>
        <v>374.98412682029522</v>
      </c>
      <c r="M529" s="7">
        <f t="shared" si="36"/>
        <v>-0.96412682029523467</v>
      </c>
    </row>
    <row r="530" spans="6:13" ht="18.75" customHeight="1">
      <c r="F530" s="1">
        <v>37469</v>
      </c>
      <c r="G530">
        <f t="shared" si="33"/>
        <v>8</v>
      </c>
      <c r="H530" s="7">
        <v>371.48</v>
      </c>
      <c r="I530" s="7">
        <f>_A*F530*F530+_B*F530+_C</f>
        <v>374.32759164339427</v>
      </c>
      <c r="J530" s="7">
        <f t="shared" si="34"/>
        <v>-2.847591643394253</v>
      </c>
      <c r="K530" s="7" cm="1">
        <f t="array" ref="K530">INDEX(Sm,G530)</f>
        <v>-1.2372810548909516</v>
      </c>
      <c r="L530" s="7">
        <f t="shared" si="35"/>
        <v>373.09031058850331</v>
      </c>
      <c r="M530" s="7">
        <f t="shared" si="36"/>
        <v>-1.610310588503296</v>
      </c>
    </row>
    <row r="531" spans="6:13" ht="18.75" customHeight="1">
      <c r="F531" s="1">
        <v>37500</v>
      </c>
      <c r="G531">
        <f t="shared" si="33"/>
        <v>9</v>
      </c>
      <c r="H531" s="7">
        <v>370.7</v>
      </c>
      <c r="I531" s="7">
        <f>_A*F531*F531+_B*F531+_C</f>
        <v>374.48957300072698</v>
      </c>
      <c r="J531" s="7">
        <f t="shared" si="34"/>
        <v>-3.789573000726989</v>
      </c>
      <c r="K531" s="7" cm="1">
        <f t="array" ref="K531">INDEX(Sm,G531)</f>
        <v>-3.0811738821107677</v>
      </c>
      <c r="L531" s="7">
        <f t="shared" si="35"/>
        <v>371.40839911861622</v>
      </c>
      <c r="M531" s="7">
        <f t="shared" si="36"/>
        <v>-0.70839911861622795</v>
      </c>
    </row>
    <row r="532" spans="6:13" ht="18.75" customHeight="1">
      <c r="F532" s="1">
        <v>37530</v>
      </c>
      <c r="G532">
        <f t="shared" si="33"/>
        <v>10</v>
      </c>
      <c r="H532" s="7">
        <v>370.25</v>
      </c>
      <c r="I532" s="7">
        <f>_A*F532*F532+_B*F532+_C</f>
        <v>374.64650106996351</v>
      </c>
      <c r="J532" s="7">
        <f t="shared" si="34"/>
        <v>-4.3965010699635059</v>
      </c>
      <c r="K532" s="7" cm="1">
        <f t="array" ref="K532">INDEX(Sm,G532)</f>
        <v>-3.2770720300056544</v>
      </c>
      <c r="L532" s="7">
        <f t="shared" si="35"/>
        <v>371.36942903995788</v>
      </c>
      <c r="M532" s="7">
        <f t="shared" si="36"/>
        <v>-1.119429039957879</v>
      </c>
    </row>
    <row r="533" spans="6:13" ht="18.75" customHeight="1">
      <c r="F533" s="1">
        <v>37561</v>
      </c>
      <c r="G533">
        <f t="shared" si="33"/>
        <v>11</v>
      </c>
      <c r="H533" s="7">
        <v>372.08</v>
      </c>
      <c r="I533" s="7">
        <f>_A*F533*F533+_B*F533+_C</f>
        <v>374.80883772238644</v>
      </c>
      <c r="J533" s="7">
        <f t="shared" si="34"/>
        <v>-2.7288377223864586</v>
      </c>
      <c r="K533" s="7" cm="1">
        <f t="array" ref="K533">INDEX(Sm,G533)</f>
        <v>-2.0734932780028581</v>
      </c>
      <c r="L533" s="7">
        <f t="shared" si="35"/>
        <v>372.7353444443836</v>
      </c>
      <c r="M533" s="7">
        <f t="shared" si="36"/>
        <v>-0.65534444438361561</v>
      </c>
    </row>
    <row r="534" spans="6:13" ht="18.75" customHeight="1">
      <c r="F534" s="1">
        <v>37591</v>
      </c>
      <c r="G534">
        <f t="shared" si="33"/>
        <v>12</v>
      </c>
      <c r="H534" s="7">
        <v>373.78</v>
      </c>
      <c r="I534" s="7">
        <f>_A*F534*F534+_B*F534+_C</f>
        <v>374.96610962558134</v>
      </c>
      <c r="J534" s="7">
        <f t="shared" si="34"/>
        <v>-1.1861096255813663</v>
      </c>
      <c r="K534" s="7" cm="1">
        <f t="array" ref="K534">INDEX(Sm,G534)</f>
        <v>-0.94500362363844403</v>
      </c>
      <c r="L534" s="7">
        <f t="shared" si="35"/>
        <v>374.02110600194288</v>
      </c>
      <c r="M534" s="7">
        <f t="shared" si="36"/>
        <v>-0.2411060019429101</v>
      </c>
    </row>
    <row r="535" spans="6:13" ht="18.75" customHeight="1">
      <c r="F535" s="1">
        <v>37622</v>
      </c>
      <c r="G535">
        <f t="shared" si="33"/>
        <v>1</v>
      </c>
      <c r="H535" s="7">
        <v>374.68</v>
      </c>
      <c r="I535" s="7">
        <f>_A*F535*F535+_B*F535+_C</f>
        <v>375.12880157309451</v>
      </c>
      <c r="J535" s="7">
        <f t="shared" si="34"/>
        <v>-0.44880157309449942</v>
      </c>
      <c r="K535" s="7" cm="1">
        <f t="array" ref="K535">INDEX(Sm,G535)</f>
        <v>-3.1273707705410173E-2</v>
      </c>
      <c r="L535" s="7">
        <f t="shared" si="35"/>
        <v>375.09752786538911</v>
      </c>
      <c r="M535" s="7">
        <f t="shared" si="36"/>
        <v>-0.41752786538910414</v>
      </c>
    </row>
    <row r="536" spans="6:13" ht="18.75" customHeight="1">
      <c r="F536" s="1">
        <v>37653</v>
      </c>
      <c r="G536">
        <f t="shared" si="33"/>
        <v>2</v>
      </c>
      <c r="H536" s="7">
        <v>375.62</v>
      </c>
      <c r="I536" s="7">
        <f>_A*F536*F536+_B*F536+_C</f>
        <v>375.29167408040757</v>
      </c>
      <c r="J536" s="7">
        <f t="shared" si="34"/>
        <v>0.32832591959243018</v>
      </c>
      <c r="K536" s="7" cm="1">
        <f t="array" ref="K536">INDEX(Sm,G536)</f>
        <v>0.60795807352328612</v>
      </c>
      <c r="L536" s="7">
        <f t="shared" si="35"/>
        <v>375.89963215393084</v>
      </c>
      <c r="M536" s="7">
        <f t="shared" si="36"/>
        <v>-0.27963215393083374</v>
      </c>
    </row>
    <row r="537" spans="6:13" ht="18.75" customHeight="1">
      <c r="F537" s="1">
        <v>37681</v>
      </c>
      <c r="G537">
        <f t="shared" si="33"/>
        <v>3</v>
      </c>
      <c r="H537" s="7">
        <v>376.11</v>
      </c>
      <c r="I537" s="7">
        <f>_A*F537*F537+_B*F537+_C</f>
        <v>375.43893992717403</v>
      </c>
      <c r="J537" s="7">
        <f t="shared" si="34"/>
        <v>0.67106007282598057</v>
      </c>
      <c r="K537" s="7" cm="1">
        <f t="array" ref="K537">INDEX(Sm,G537)</f>
        <v>1.368171928762181</v>
      </c>
      <c r="L537" s="7">
        <f t="shared" si="35"/>
        <v>376.80711185593623</v>
      </c>
      <c r="M537" s="7">
        <f t="shared" si="36"/>
        <v>-0.69711185593621394</v>
      </c>
    </row>
    <row r="538" spans="6:13" ht="18.75" customHeight="1">
      <c r="F538" s="1">
        <v>37712</v>
      </c>
      <c r="G538">
        <f t="shared" si="33"/>
        <v>4</v>
      </c>
      <c r="H538" s="7">
        <v>377.65</v>
      </c>
      <c r="I538" s="7">
        <f>_A*F538*F538+_B*F538+_C</f>
        <v>375.60215608055807</v>
      </c>
      <c r="J538" s="7">
        <f t="shared" si="34"/>
        <v>2.0478439194419025</v>
      </c>
      <c r="K538" s="7" cm="1">
        <f t="array" ref="K538">INDEX(Sm,G538)</f>
        <v>2.5295372401482399</v>
      </c>
      <c r="L538" s="7">
        <f t="shared" si="35"/>
        <v>378.13169332070629</v>
      </c>
      <c r="M538" s="7">
        <f t="shared" si="36"/>
        <v>-0.48169332070631299</v>
      </c>
    </row>
    <row r="539" spans="6:13" ht="18.75" customHeight="1">
      <c r="F539" s="1">
        <v>37742</v>
      </c>
      <c r="G539">
        <f t="shared" si="33"/>
        <v>5</v>
      </c>
      <c r="H539" s="7">
        <v>378.35</v>
      </c>
      <c r="I539" s="7">
        <f>_A*F539*F539+_B*F539+_C</f>
        <v>375.76027911371528</v>
      </c>
      <c r="J539" s="7">
        <f t="shared" si="34"/>
        <v>2.5897208862847378</v>
      </c>
      <c r="K539" s="7" cm="1">
        <f t="array" ref="K539">INDEX(Sm,G539)</f>
        <v>2.9925789844300432</v>
      </c>
      <c r="L539" s="7">
        <f t="shared" si="35"/>
        <v>378.75285809814534</v>
      </c>
      <c r="M539" s="7">
        <f t="shared" si="36"/>
        <v>-0.40285809814531603</v>
      </c>
    </row>
    <row r="540" spans="6:13" ht="18.75" customHeight="1">
      <c r="F540" s="1">
        <v>37773</v>
      </c>
      <c r="G540">
        <f t="shared" si="33"/>
        <v>6</v>
      </c>
      <c r="H540" s="7">
        <v>378.13</v>
      </c>
      <c r="I540" s="7">
        <f>_A*F540*F540+_B*F540+_C</f>
        <v>375.92385056218956</v>
      </c>
      <c r="J540" s="7">
        <f t="shared" si="34"/>
        <v>2.2061494378104385</v>
      </c>
      <c r="K540" s="7" cm="1">
        <f t="array" ref="K540">INDEX(Sm,G540)</f>
        <v>2.3204129706322356</v>
      </c>
      <c r="L540" s="7">
        <f t="shared" si="35"/>
        <v>378.24426353282178</v>
      </c>
      <c r="M540" s="7">
        <f t="shared" si="36"/>
        <v>-0.1142635328217807</v>
      </c>
    </row>
    <row r="541" spans="6:13" ht="18.75" customHeight="1">
      <c r="F541" s="1">
        <v>37803</v>
      </c>
      <c r="G541">
        <f t="shared" si="33"/>
        <v>7</v>
      </c>
      <c r="H541" s="7">
        <v>376.6</v>
      </c>
      <c r="I541" s="7">
        <f>_A*F541*F541+_B*F541+_C</f>
        <v>376.08231742930508</v>
      </c>
      <c r="J541" s="7">
        <f t="shared" si="34"/>
        <v>0.51768257069494439</v>
      </c>
      <c r="K541" s="7" cm="1">
        <f t="array" ref="K541">INDEX(Sm,G541)</f>
        <v>0.81833597443365613</v>
      </c>
      <c r="L541" s="7">
        <f t="shared" si="35"/>
        <v>376.90065340373872</v>
      </c>
      <c r="M541" s="7">
        <f t="shared" si="36"/>
        <v>-0.30065340373869276</v>
      </c>
    </row>
    <row r="542" spans="6:13" ht="18.75" customHeight="1">
      <c r="F542" s="1">
        <v>37834</v>
      </c>
      <c r="G542">
        <f t="shared" si="33"/>
        <v>8</v>
      </c>
      <c r="H542" s="7">
        <v>374.48</v>
      </c>
      <c r="I542" s="7">
        <f>_A*F542*F542+_B*F542+_C</f>
        <v>376.24624417286964</v>
      </c>
      <c r="J542" s="7">
        <f t="shared" si="34"/>
        <v>-1.7662441728696194</v>
      </c>
      <c r="K542" s="7" cm="1">
        <f t="array" ref="K542">INDEX(Sm,G542)</f>
        <v>-1.2372810548909516</v>
      </c>
      <c r="L542" s="7">
        <f t="shared" si="35"/>
        <v>375.00896311797868</v>
      </c>
      <c r="M542" s="7">
        <f t="shared" si="36"/>
        <v>-0.52896311797866247</v>
      </c>
    </row>
    <row r="543" spans="6:13" ht="18.75" customHeight="1">
      <c r="F543" s="1">
        <v>37865</v>
      </c>
      <c r="G543">
        <f t="shared" si="33"/>
        <v>9</v>
      </c>
      <c r="H543" s="7">
        <v>372.98</v>
      </c>
      <c r="I543" s="7">
        <f>_A*F543*F543+_B*F543+_C</f>
        <v>376.41035147623404</v>
      </c>
      <c r="J543" s="7">
        <f t="shared" si="34"/>
        <v>-3.4303514762340228</v>
      </c>
      <c r="K543" s="7" cm="1">
        <f t="array" ref="K543">INDEX(Sm,G543)</f>
        <v>-3.0811738821107677</v>
      </c>
      <c r="L543" s="7">
        <f t="shared" si="35"/>
        <v>373.32917759412328</v>
      </c>
      <c r="M543" s="7">
        <f t="shared" si="36"/>
        <v>-0.34917759412326177</v>
      </c>
    </row>
    <row r="544" spans="6:13" ht="18.75" customHeight="1">
      <c r="F544" s="1">
        <v>37895</v>
      </c>
      <c r="G544">
        <f t="shared" si="33"/>
        <v>10</v>
      </c>
      <c r="H544" s="7">
        <v>373</v>
      </c>
      <c r="I544" s="7">
        <f>_A*F544*F544+_B*F544+_C</f>
        <v>376.5693369125982</v>
      </c>
      <c r="J544" s="7">
        <f t="shared" si="34"/>
        <v>-3.5693369125982031</v>
      </c>
      <c r="K544" s="7" cm="1">
        <f t="array" ref="K544">INDEX(Sm,G544)</f>
        <v>-3.2770720300056544</v>
      </c>
      <c r="L544" s="7">
        <f t="shared" si="35"/>
        <v>373.29226488259258</v>
      </c>
      <c r="M544" s="7">
        <f t="shared" si="36"/>
        <v>-0.29226488259257621</v>
      </c>
    </row>
    <row r="545" spans="6:13" ht="18.75" customHeight="1">
      <c r="F545" s="1">
        <v>37926</v>
      </c>
      <c r="G545">
        <f t="shared" si="33"/>
        <v>11</v>
      </c>
      <c r="H545" s="7">
        <v>374.35</v>
      </c>
      <c r="I545" s="7">
        <f>_A*F545*F545+_B*F545+_C</f>
        <v>376.73379951105289</v>
      </c>
      <c r="J545" s="7">
        <f t="shared" si="34"/>
        <v>-2.3837995110528709</v>
      </c>
      <c r="K545" s="7" cm="1">
        <f t="array" ref="K545">INDEX(Sm,G545)</f>
        <v>-2.0734932780028581</v>
      </c>
      <c r="L545" s="7">
        <f t="shared" si="35"/>
        <v>374.66030623305005</v>
      </c>
      <c r="M545" s="7">
        <f t="shared" si="36"/>
        <v>-0.31030623305002791</v>
      </c>
    </row>
    <row r="546" spans="6:13" ht="18.75" customHeight="1">
      <c r="F546" s="1">
        <v>37956</v>
      </c>
      <c r="G546">
        <f t="shared" si="33"/>
        <v>12</v>
      </c>
      <c r="H546" s="7">
        <v>375.69</v>
      </c>
      <c r="I546" s="7">
        <f>_A*F546*F546+_B*F546+_C</f>
        <v>376.89312878137537</v>
      </c>
      <c r="J546" s="7">
        <f t="shared" si="34"/>
        <v>-1.2031287813753693</v>
      </c>
      <c r="K546" s="7" cm="1">
        <f t="array" ref="K546">INDEX(Sm,G546)</f>
        <v>-0.94500362363844403</v>
      </c>
      <c r="L546" s="7">
        <f t="shared" si="35"/>
        <v>375.94812515773691</v>
      </c>
      <c r="M546" s="7">
        <f t="shared" si="36"/>
        <v>-0.25812515773691302</v>
      </c>
    </row>
    <row r="547" spans="6:13" ht="18.75" customHeight="1">
      <c r="F547" s="1">
        <v>37987</v>
      </c>
      <c r="G547">
        <f t="shared" si="33"/>
        <v>1</v>
      </c>
      <c r="H547" s="7">
        <v>376.79</v>
      </c>
      <c r="I547" s="7">
        <f>_A*F547*F547+_B*F547+_C</f>
        <v>377.05794667492034</v>
      </c>
      <c r="J547" s="7">
        <f t="shared" si="34"/>
        <v>-0.26794667492032431</v>
      </c>
      <c r="K547" s="7" cm="1">
        <f t="array" ref="K547">INDEX(Sm,G547)</f>
        <v>-3.1273707705410173E-2</v>
      </c>
      <c r="L547" s="7">
        <f t="shared" si="35"/>
        <v>377.02667296721495</v>
      </c>
      <c r="M547" s="7">
        <f t="shared" si="36"/>
        <v>-0.23667296721492903</v>
      </c>
    </row>
    <row r="548" spans="6:13" ht="18.75" customHeight="1">
      <c r="F548" s="1">
        <v>38018</v>
      </c>
      <c r="G548">
        <f t="shared" si="33"/>
        <v>2</v>
      </c>
      <c r="H548" s="7">
        <v>377.37</v>
      </c>
      <c r="I548" s="7">
        <f>_A*F548*F548+_B*F548+_C</f>
        <v>377.22294512826522</v>
      </c>
      <c r="J548" s="7">
        <f t="shared" si="34"/>
        <v>0.14705487173478105</v>
      </c>
      <c r="K548" s="7" cm="1">
        <f t="array" ref="K548">INDEX(Sm,G548)</f>
        <v>0.60795807352328612</v>
      </c>
      <c r="L548" s="7">
        <f t="shared" si="35"/>
        <v>377.83090320178849</v>
      </c>
      <c r="M548" s="7">
        <f t="shared" si="36"/>
        <v>-0.46090320178848287</v>
      </c>
    </row>
    <row r="549" spans="6:13" ht="18.75" customHeight="1">
      <c r="F549" s="1">
        <v>38047</v>
      </c>
      <c r="G549">
        <f t="shared" si="33"/>
        <v>3</v>
      </c>
      <c r="H549" s="7">
        <v>378.39</v>
      </c>
      <c r="I549" s="7">
        <f>_A*F549*F549+_B*F549+_C</f>
        <v>377.37746198214978</v>
      </c>
      <c r="J549" s="7">
        <f t="shared" si="34"/>
        <v>1.0125380178502041</v>
      </c>
      <c r="K549" s="7" cm="1">
        <f t="array" ref="K549">INDEX(Sm,G549)</f>
        <v>1.368171928762181</v>
      </c>
      <c r="L549" s="7">
        <f t="shared" si="35"/>
        <v>378.74563391091198</v>
      </c>
      <c r="M549" s="7">
        <f t="shared" si="36"/>
        <v>-0.35563391091199037</v>
      </c>
    </row>
    <row r="550" spans="6:13" ht="18.75" customHeight="1">
      <c r="F550" s="1">
        <v>38078</v>
      </c>
      <c r="G550">
        <f t="shared" si="33"/>
        <v>4</v>
      </c>
      <c r="H550" s="7">
        <v>380.5</v>
      </c>
      <c r="I550" s="7">
        <f>_A*F550*F550+_B*F550+_C</f>
        <v>377.54280990607532</v>
      </c>
      <c r="J550" s="7">
        <f t="shared" si="34"/>
        <v>2.9571900939246802</v>
      </c>
      <c r="K550" s="7" cm="1">
        <f t="array" ref="K550">INDEX(Sm,G550)</f>
        <v>2.5295372401482399</v>
      </c>
      <c r="L550" s="7">
        <f t="shared" si="35"/>
        <v>380.07234714622354</v>
      </c>
      <c r="M550" s="7">
        <f t="shared" si="36"/>
        <v>0.42765285377646478</v>
      </c>
    </row>
    <row r="551" spans="6:13" ht="18.75" customHeight="1">
      <c r="F551" s="1">
        <v>38108</v>
      </c>
      <c r="G551">
        <f t="shared" si="33"/>
        <v>5</v>
      </c>
      <c r="H551" s="7">
        <v>380.62</v>
      </c>
      <c r="I551" s="7">
        <f>_A*F551*F551+_B*F551+_C</f>
        <v>377.70299594298234</v>
      </c>
      <c r="J551" s="7">
        <f t="shared" si="34"/>
        <v>2.9170040570176639</v>
      </c>
      <c r="K551" s="7" cm="1">
        <f t="array" ref="K551">INDEX(Sm,G551)</f>
        <v>2.9925789844300432</v>
      </c>
      <c r="L551" s="7">
        <f t="shared" si="35"/>
        <v>380.69557492741239</v>
      </c>
      <c r="M551" s="7">
        <f t="shared" si="36"/>
        <v>-7.5574927412390025E-2</v>
      </c>
    </row>
    <row r="552" spans="6:13" ht="18.75" customHeight="1">
      <c r="F552" s="1">
        <v>38139</v>
      </c>
      <c r="G552">
        <f t="shared" si="33"/>
        <v>6</v>
      </c>
      <c r="H552" s="7">
        <v>379.55</v>
      </c>
      <c r="I552" s="7">
        <f>_A*F552*F552+_B*F552+_C</f>
        <v>377.86869916199817</v>
      </c>
      <c r="J552" s="7">
        <f t="shared" si="34"/>
        <v>1.6813008380018459</v>
      </c>
      <c r="K552" s="7" cm="1">
        <f t="array" ref="K552">INDEX(Sm,G552)</f>
        <v>2.3204129706322356</v>
      </c>
      <c r="L552" s="7">
        <f t="shared" si="35"/>
        <v>380.18911213263038</v>
      </c>
      <c r="M552" s="7">
        <f t="shared" si="36"/>
        <v>-0.63911213263037325</v>
      </c>
    </row>
    <row r="553" spans="6:13" ht="18.75" customHeight="1">
      <c r="F553" s="1">
        <v>38169</v>
      </c>
      <c r="G553">
        <f t="shared" si="33"/>
        <v>7</v>
      </c>
      <c r="H553" s="7">
        <v>377.76</v>
      </c>
      <c r="I553" s="7">
        <f>_A*F553*F553+_B*F553+_C</f>
        <v>378.0292290328635</v>
      </c>
      <c r="J553" s="7">
        <f t="shared" si="34"/>
        <v>-0.26922903286350675</v>
      </c>
      <c r="K553" s="7" cm="1">
        <f t="array" ref="K553">INDEX(Sm,G553)</f>
        <v>0.81833597443365613</v>
      </c>
      <c r="L553" s="7">
        <f t="shared" si="35"/>
        <v>378.84756500729713</v>
      </c>
      <c r="M553" s="7">
        <f t="shared" si="36"/>
        <v>-1.0875650072971439</v>
      </c>
    </row>
    <row r="554" spans="6:13" ht="18.75" customHeight="1">
      <c r="F554" s="1">
        <v>38200</v>
      </c>
      <c r="G554">
        <f t="shared" si="33"/>
        <v>8</v>
      </c>
      <c r="H554" s="7">
        <v>375.83</v>
      </c>
      <c r="I554" s="7">
        <f>_A*F554*F554+_B*F554+_C</f>
        <v>378.1952875469695</v>
      </c>
      <c r="J554" s="7">
        <f t="shared" si="34"/>
        <v>-2.3652875469695118</v>
      </c>
      <c r="K554" s="7" cm="1">
        <f t="array" ref="K554">INDEX(Sm,G554)</f>
        <v>-1.2372810548909516</v>
      </c>
      <c r="L554" s="7">
        <f t="shared" si="35"/>
        <v>376.95800649207854</v>
      </c>
      <c r="M554" s="7">
        <f t="shared" si="36"/>
        <v>-1.1280064920785549</v>
      </c>
    </row>
    <row r="555" spans="6:13" ht="18.75" customHeight="1">
      <c r="F555" s="1">
        <v>38231</v>
      </c>
      <c r="G555">
        <f t="shared" si="33"/>
        <v>9</v>
      </c>
      <c r="H555" s="7">
        <v>374.05</v>
      </c>
      <c r="I555" s="7">
        <f>_A*F555*F555+_B*F555+_C</f>
        <v>378.36152662087545</v>
      </c>
      <c r="J555" s="7">
        <f t="shared" si="34"/>
        <v>-4.3115266208754406</v>
      </c>
      <c r="K555" s="7" cm="1">
        <f t="array" ref="K555">INDEX(Sm,G555)</f>
        <v>-3.0811738821107677</v>
      </c>
      <c r="L555" s="7">
        <f t="shared" si="35"/>
        <v>375.28035273876469</v>
      </c>
      <c r="M555" s="7">
        <f t="shared" si="36"/>
        <v>-1.2303527387646795</v>
      </c>
    </row>
    <row r="556" spans="6:13" ht="18.75" customHeight="1">
      <c r="F556" s="1">
        <v>38261</v>
      </c>
      <c r="G556">
        <f t="shared" si="33"/>
        <v>10</v>
      </c>
      <c r="H556" s="7">
        <v>374.22</v>
      </c>
      <c r="I556" s="7">
        <f>_A*F556*F556+_B*F556+_C</f>
        <v>378.52257506098942</v>
      </c>
      <c r="J556" s="7">
        <f t="shared" si="34"/>
        <v>-4.3025750609893976</v>
      </c>
      <c r="K556" s="7" cm="1">
        <f t="array" ref="K556">INDEX(Sm,G556)</f>
        <v>-3.2770720300056544</v>
      </c>
      <c r="L556" s="7">
        <f t="shared" si="35"/>
        <v>375.2455030309838</v>
      </c>
      <c r="M556" s="7">
        <f t="shared" si="36"/>
        <v>-1.0255030309837707</v>
      </c>
    </row>
    <row r="557" spans="6:13" ht="18.75" customHeight="1">
      <c r="F557" s="1">
        <v>38292</v>
      </c>
      <c r="G557">
        <f t="shared" si="33"/>
        <v>11</v>
      </c>
      <c r="H557" s="7">
        <v>375.84</v>
      </c>
      <c r="I557" s="7">
        <f>_A*F557*F557+_B*F557+_C</f>
        <v>378.68916942998561</v>
      </c>
      <c r="J557" s="7">
        <f t="shared" si="34"/>
        <v>-2.8491694299856363</v>
      </c>
      <c r="K557" s="7" cm="1">
        <f t="array" ref="K557">INDEX(Sm,G557)</f>
        <v>-2.0734932780028581</v>
      </c>
      <c r="L557" s="7">
        <f t="shared" si="35"/>
        <v>376.61567615198277</v>
      </c>
      <c r="M557" s="7">
        <f t="shared" si="36"/>
        <v>-0.77567615198279327</v>
      </c>
    </row>
    <row r="558" spans="6:13" ht="18.75" customHeight="1">
      <c r="F558" s="1">
        <v>38322</v>
      </c>
      <c r="G558">
        <f t="shared" si="33"/>
        <v>12</v>
      </c>
      <c r="H558" s="7">
        <v>377.44</v>
      </c>
      <c r="I558" s="7">
        <f>_A*F558*F558+_B*F558+_C</f>
        <v>378.8505617040579</v>
      </c>
      <c r="J558" s="7">
        <f t="shared" si="34"/>
        <v>-1.4105617040578977</v>
      </c>
      <c r="K558" s="7" cm="1">
        <f t="array" ref="K558">INDEX(Sm,G558)</f>
        <v>-0.94500362363844403</v>
      </c>
      <c r="L558" s="7">
        <f t="shared" si="35"/>
        <v>377.90555808041944</v>
      </c>
      <c r="M558" s="7">
        <f t="shared" si="36"/>
        <v>-0.46555808041944147</v>
      </c>
    </row>
    <row r="559" spans="6:13" ht="18.75" customHeight="1">
      <c r="F559" s="1">
        <v>38353</v>
      </c>
      <c r="G559">
        <f t="shared" si="33"/>
        <v>1</v>
      </c>
      <c r="H559" s="7">
        <v>378.34</v>
      </c>
      <c r="I559" s="7">
        <f>_A*F559*F559+_B*F559+_C</f>
        <v>379.01751136814437</v>
      </c>
      <c r="J559" s="7">
        <f t="shared" si="34"/>
        <v>-0.67751136814439405</v>
      </c>
      <c r="K559" s="7" cm="1">
        <f t="array" ref="K559">INDEX(Sm,G559)</f>
        <v>-3.1273707705410173E-2</v>
      </c>
      <c r="L559" s="7">
        <f t="shared" si="35"/>
        <v>378.98623766043897</v>
      </c>
      <c r="M559" s="7">
        <f t="shared" si="36"/>
        <v>-0.64623766043899877</v>
      </c>
    </row>
    <row r="560" spans="6:13" ht="18.75" customHeight="1">
      <c r="F560" s="1">
        <v>38384</v>
      </c>
      <c r="G560">
        <f t="shared" si="33"/>
        <v>2</v>
      </c>
      <c r="H560" s="7">
        <v>379.61</v>
      </c>
      <c r="I560" s="7">
        <f>_A*F560*F560+_B*F560+_C</f>
        <v>379.18464159203074</v>
      </c>
      <c r="J560" s="7">
        <f t="shared" si="34"/>
        <v>0.42535840796927005</v>
      </c>
      <c r="K560" s="7" cm="1">
        <f t="array" ref="K560">INDEX(Sm,G560)</f>
        <v>0.60795807352328612</v>
      </c>
      <c r="L560" s="7">
        <f t="shared" si="35"/>
        <v>379.79259966555401</v>
      </c>
      <c r="M560" s="7">
        <f t="shared" si="36"/>
        <v>-0.18259966555399387</v>
      </c>
    </row>
    <row r="561" spans="6:13" ht="18.75" customHeight="1">
      <c r="F561" s="1">
        <v>38412</v>
      </c>
      <c r="G561">
        <f t="shared" si="33"/>
        <v>3</v>
      </c>
      <c r="H561" s="7">
        <v>380.08</v>
      </c>
      <c r="I561" s="7">
        <f>_A*F561*F561+_B*F561+_C</f>
        <v>379.33575311828275</v>
      </c>
      <c r="J561" s="7">
        <f t="shared" si="34"/>
        <v>0.74424688171723119</v>
      </c>
      <c r="K561" s="7" cm="1">
        <f t="array" ref="K561">INDEX(Sm,G561)</f>
        <v>1.368171928762181</v>
      </c>
      <c r="L561" s="7">
        <f t="shared" si="35"/>
        <v>380.70392504704495</v>
      </c>
      <c r="M561" s="7">
        <f t="shared" si="36"/>
        <v>-0.62392504704496332</v>
      </c>
    </row>
    <row r="562" spans="6:13" ht="18.75" customHeight="1">
      <c r="F562" s="1">
        <v>38443</v>
      </c>
      <c r="G562">
        <f t="shared" si="33"/>
        <v>4</v>
      </c>
      <c r="H562" s="7">
        <v>382.05</v>
      </c>
      <c r="I562" s="7">
        <f>_A*F562*F562+_B*F562+_C</f>
        <v>379.50322698824004</v>
      </c>
      <c r="J562" s="7">
        <f t="shared" si="34"/>
        <v>2.5467730117599672</v>
      </c>
      <c r="K562" s="7" cm="1">
        <f t="array" ref="K562">INDEX(Sm,G562)</f>
        <v>2.5295372401482399</v>
      </c>
      <c r="L562" s="7">
        <f t="shared" si="35"/>
        <v>382.03276422838826</v>
      </c>
      <c r="M562" s="7">
        <f t="shared" si="36"/>
        <v>1.7235771611751716E-2</v>
      </c>
    </row>
    <row r="563" spans="6:13" ht="18.75" customHeight="1">
      <c r="F563" s="1">
        <v>38473</v>
      </c>
      <c r="G563">
        <f t="shared" si="33"/>
        <v>5</v>
      </c>
      <c r="H563" s="7">
        <v>382.24</v>
      </c>
      <c r="I563" s="7">
        <f>_A*F563*F563+_B*F563+_C</f>
        <v>379.6654703922747</v>
      </c>
      <c r="J563" s="7">
        <f t="shared" si="34"/>
        <v>2.5745296077253101</v>
      </c>
      <c r="K563" s="7" cm="1">
        <f t="array" ref="K563">INDEX(Sm,G563)</f>
        <v>2.9925789844300432</v>
      </c>
      <c r="L563" s="7">
        <f t="shared" si="35"/>
        <v>382.65804937670475</v>
      </c>
      <c r="M563" s="7">
        <f t="shared" si="36"/>
        <v>-0.41804937670474374</v>
      </c>
    </row>
    <row r="564" spans="6:13" ht="18.75" customHeight="1">
      <c r="F564" s="1">
        <v>38504</v>
      </c>
      <c r="G564">
        <f t="shared" si="33"/>
        <v>6</v>
      </c>
      <c r="H564" s="7">
        <v>382.08</v>
      </c>
      <c r="I564" s="7">
        <f>_A*F564*F564+_B*F564+_C</f>
        <v>379.83329955732228</v>
      </c>
      <c r="J564" s="7">
        <f t="shared" si="34"/>
        <v>2.2467004426777066</v>
      </c>
      <c r="K564" s="7" cm="1">
        <f t="array" ref="K564">INDEX(Sm,G564)</f>
        <v>2.3204129706322356</v>
      </c>
      <c r="L564" s="7">
        <f t="shared" si="35"/>
        <v>382.1537125279545</v>
      </c>
      <c r="M564" s="7">
        <f t="shared" si="36"/>
        <v>-7.3712527954512552E-2</v>
      </c>
    </row>
    <row r="565" spans="6:13" ht="18.75" customHeight="1">
      <c r="F565" s="1">
        <v>38534</v>
      </c>
      <c r="G565">
        <f t="shared" si="33"/>
        <v>7</v>
      </c>
      <c r="H565" s="7">
        <v>380.66</v>
      </c>
      <c r="I565" s="7">
        <f>_A*F565*F565+_B*F565+_C</f>
        <v>379.99588679531519</v>
      </c>
      <c r="J565" s="7">
        <f t="shared" si="34"/>
        <v>0.66411320468483837</v>
      </c>
      <c r="K565" s="7" cm="1">
        <f t="array" ref="K565">INDEX(Sm,G565)</f>
        <v>0.81833597443365613</v>
      </c>
      <c r="L565" s="7">
        <f t="shared" si="35"/>
        <v>380.81422276974882</v>
      </c>
      <c r="M565" s="7">
        <f t="shared" si="36"/>
        <v>-0.15422276974879878</v>
      </c>
    </row>
    <row r="566" spans="6:13" ht="18.75" customHeight="1">
      <c r="F566" s="1">
        <v>38565</v>
      </c>
      <c r="G566">
        <f t="shared" si="33"/>
        <v>8</v>
      </c>
      <c r="H566" s="7">
        <v>378.67</v>
      </c>
      <c r="I566" s="7">
        <f>_A*F566*F566+_B*F566+_C</f>
        <v>380.164071255453</v>
      </c>
      <c r="J566" s="7">
        <f t="shared" si="34"/>
        <v>-1.4940712554529796</v>
      </c>
      <c r="K566" s="7" cm="1">
        <f t="array" ref="K566">INDEX(Sm,G566)</f>
        <v>-1.2372810548909516</v>
      </c>
      <c r="L566" s="7">
        <f t="shared" si="35"/>
        <v>378.92679020056204</v>
      </c>
      <c r="M566" s="7">
        <f t="shared" si="36"/>
        <v>-0.25679020056202262</v>
      </c>
    </row>
    <row r="567" spans="6:13" ht="18.75" customHeight="1">
      <c r="F567" s="1">
        <v>38596</v>
      </c>
      <c r="G567">
        <f t="shared" si="33"/>
        <v>9</v>
      </c>
      <c r="H567" s="7">
        <v>376.42</v>
      </c>
      <c r="I567" s="7">
        <f>_A*F567*F567+_B*F567+_C</f>
        <v>380.33243627539076</v>
      </c>
      <c r="J567" s="7">
        <f t="shared" si="34"/>
        <v>-3.9124362753907462</v>
      </c>
      <c r="K567" s="7" cm="1">
        <f t="array" ref="K567">INDEX(Sm,G567)</f>
        <v>-3.0811738821107677</v>
      </c>
      <c r="L567" s="7">
        <f t="shared" si="35"/>
        <v>377.25126239328</v>
      </c>
      <c r="M567" s="7">
        <f t="shared" si="36"/>
        <v>-0.83126239327998519</v>
      </c>
    </row>
    <row r="568" spans="6:13" ht="18.75" customHeight="1">
      <c r="F568" s="1">
        <v>38626</v>
      </c>
      <c r="G568">
        <f t="shared" si="33"/>
        <v>10</v>
      </c>
      <c r="H568" s="7">
        <v>376.8</v>
      </c>
      <c r="I568" s="7">
        <f>_A*F568*F568+_B*F568+_C</f>
        <v>380.49554208263226</v>
      </c>
      <c r="J568" s="7">
        <f t="shared" si="34"/>
        <v>-3.6955420826322438</v>
      </c>
      <c r="K568" s="7" cm="1">
        <f t="array" ref="K568">INDEX(Sm,G568)</f>
        <v>-3.2770720300056544</v>
      </c>
      <c r="L568" s="7">
        <f t="shared" si="35"/>
        <v>377.21847005262663</v>
      </c>
      <c r="M568" s="7">
        <f t="shared" si="36"/>
        <v>-0.41847005262661696</v>
      </c>
    </row>
    <row r="569" spans="6:13" ht="18.75" customHeight="1">
      <c r="F569" s="1">
        <v>38657</v>
      </c>
      <c r="G569">
        <f t="shared" si="33"/>
        <v>11</v>
      </c>
      <c r="H569" s="7">
        <v>378.31</v>
      </c>
      <c r="I569" s="7">
        <f>_A*F569*F569+_B*F569+_C</f>
        <v>380.66426239766031</v>
      </c>
      <c r="J569" s="7">
        <f t="shared" si="34"/>
        <v>-2.3542623976603068</v>
      </c>
      <c r="K569" s="7" cm="1">
        <f t="array" ref="K569">INDEX(Sm,G569)</f>
        <v>-2.0734932780028581</v>
      </c>
      <c r="L569" s="7">
        <f t="shared" si="35"/>
        <v>378.59076911965747</v>
      </c>
      <c r="M569" s="7">
        <f t="shared" si="36"/>
        <v>-0.28076911965746376</v>
      </c>
    </row>
    <row r="570" spans="6:13" ht="18.75" customHeight="1">
      <c r="F570" s="1">
        <v>38687</v>
      </c>
      <c r="G570">
        <f t="shared" si="33"/>
        <v>12</v>
      </c>
      <c r="H570" s="7">
        <v>379.96</v>
      </c>
      <c r="I570" s="7">
        <f>_A*F570*F570+_B*F570+_C</f>
        <v>380.82771203886011</v>
      </c>
      <c r="J570" s="7">
        <f t="shared" si="34"/>
        <v>-0.86771203886013382</v>
      </c>
      <c r="K570" s="7" cm="1">
        <f t="array" ref="K570">INDEX(Sm,G570)</f>
        <v>-0.94500362363844403</v>
      </c>
      <c r="L570" s="7">
        <f t="shared" si="35"/>
        <v>379.88270841522166</v>
      </c>
      <c r="M570" s="7">
        <f t="shared" si="36"/>
        <v>7.7291584778322431E-2</v>
      </c>
    </row>
    <row r="571" spans="6:13" ht="18.75" customHeight="1">
      <c r="F571" s="1">
        <v>38718</v>
      </c>
      <c r="G571">
        <f t="shared" si="33"/>
        <v>1</v>
      </c>
      <c r="H571" s="7">
        <v>381.37</v>
      </c>
      <c r="I571" s="7">
        <f>_A*F571*F571+_B*F571+_C</f>
        <v>380.9967876489784</v>
      </c>
      <c r="J571" s="7">
        <f t="shared" si="34"/>
        <v>0.37321235102160699</v>
      </c>
      <c r="K571" s="7" cm="1">
        <f t="array" ref="K571">INDEX(Sm,G571)</f>
        <v>-3.1273707705410173E-2</v>
      </c>
      <c r="L571" s="7">
        <f t="shared" si="35"/>
        <v>380.965513941273</v>
      </c>
      <c r="M571" s="7">
        <f t="shared" si="36"/>
        <v>0.40448605872700227</v>
      </c>
    </row>
    <row r="572" spans="6:13" ht="18.75" customHeight="1">
      <c r="F572" s="1">
        <v>38749</v>
      </c>
      <c r="G572">
        <f t="shared" si="33"/>
        <v>2</v>
      </c>
      <c r="H572" s="7">
        <v>382.02</v>
      </c>
      <c r="I572" s="7">
        <f>_A*F572*F572+_B*F572+_C</f>
        <v>381.16604381889658</v>
      </c>
      <c r="J572" s="7">
        <f t="shared" si="34"/>
        <v>0.8539561811033991</v>
      </c>
      <c r="K572" s="7" cm="1">
        <f t="array" ref="K572">INDEX(Sm,G572)</f>
        <v>0.60795807352328612</v>
      </c>
      <c r="L572" s="7">
        <f t="shared" si="35"/>
        <v>381.77400189241985</v>
      </c>
      <c r="M572" s="7">
        <f t="shared" si="36"/>
        <v>0.24599810758013518</v>
      </c>
    </row>
    <row r="573" spans="6:13" ht="18.75" customHeight="1">
      <c r="F573" s="1">
        <v>38777</v>
      </c>
      <c r="G573">
        <f t="shared" si="33"/>
        <v>3</v>
      </c>
      <c r="H573" s="7">
        <v>382.56</v>
      </c>
      <c r="I573" s="7">
        <f>_A*F573*F573+_B*F573+_C</f>
        <v>381.31907555446764</v>
      </c>
      <c r="J573" s="7">
        <f t="shared" si="34"/>
        <v>1.2409244455323574</v>
      </c>
      <c r="K573" s="7" cm="1">
        <f t="array" ref="K573">INDEX(Sm,G573)</f>
        <v>1.368171928762181</v>
      </c>
      <c r="L573" s="7">
        <f t="shared" si="35"/>
        <v>382.68724748322984</v>
      </c>
      <c r="M573" s="7">
        <f t="shared" si="36"/>
        <v>-0.12724748322983714</v>
      </c>
    </row>
    <row r="574" spans="6:13" ht="18.75" customHeight="1">
      <c r="F574" s="1">
        <v>38808</v>
      </c>
      <c r="G574">
        <f t="shared" si="33"/>
        <v>4</v>
      </c>
      <c r="H574" s="7">
        <v>384.36</v>
      </c>
      <c r="I574" s="7">
        <f>_A*F574*F574+_B*F574+_C</f>
        <v>381.4886753704568</v>
      </c>
      <c r="J574" s="7">
        <f t="shared" si="34"/>
        <v>2.87132462954321</v>
      </c>
      <c r="K574" s="7" cm="1">
        <f t="array" ref="K574">INDEX(Sm,G574)</f>
        <v>2.5295372401482399</v>
      </c>
      <c r="L574" s="7">
        <f t="shared" si="35"/>
        <v>384.01821261060502</v>
      </c>
      <c r="M574" s="7">
        <f t="shared" si="36"/>
        <v>0.34178738939499453</v>
      </c>
    </row>
    <row r="575" spans="6:13" ht="18.75" customHeight="1">
      <c r="F575" s="1">
        <v>38838</v>
      </c>
      <c r="G575">
        <f t="shared" si="33"/>
        <v>5</v>
      </c>
      <c r="H575" s="7">
        <v>384.92</v>
      </c>
      <c r="I575" s="7">
        <f>_A*F575*F575+_B*F575+_C</f>
        <v>381.65297614161898</v>
      </c>
      <c r="J575" s="7">
        <f t="shared" si="34"/>
        <v>3.2670238583810374</v>
      </c>
      <c r="K575" s="7" cm="1">
        <f t="array" ref="K575">INDEX(Sm,G575)</f>
        <v>2.9925789844300432</v>
      </c>
      <c r="L575" s="7">
        <f t="shared" si="35"/>
        <v>384.64555512604903</v>
      </c>
      <c r="M575" s="7">
        <f t="shared" si="36"/>
        <v>0.27444487395098349</v>
      </c>
    </row>
    <row r="576" spans="6:13" ht="18.75" customHeight="1">
      <c r="F576" s="1">
        <v>38869</v>
      </c>
      <c r="G576">
        <f t="shared" si="33"/>
        <v>6</v>
      </c>
      <c r="H576" s="7">
        <v>384.03</v>
      </c>
      <c r="I576" s="7">
        <f>_A*F576*F576+_B*F576+_C</f>
        <v>381.82293125269837</v>
      </c>
      <c r="J576" s="7">
        <f t="shared" si="34"/>
        <v>2.2070687473016051</v>
      </c>
      <c r="K576" s="7" cm="1">
        <f t="array" ref="K576">INDEX(Sm,G576)</f>
        <v>2.3204129706322356</v>
      </c>
      <c r="L576" s="7">
        <f t="shared" si="35"/>
        <v>384.14334422333059</v>
      </c>
      <c r="M576" s="7">
        <f t="shared" si="36"/>
        <v>-0.11334422333061411</v>
      </c>
    </row>
    <row r="577" spans="6:13" ht="18.75" customHeight="1">
      <c r="F577" s="1">
        <v>38899</v>
      </c>
      <c r="G577">
        <f t="shared" si="33"/>
        <v>7</v>
      </c>
      <c r="H577" s="7">
        <v>382.28</v>
      </c>
      <c r="I577" s="7">
        <f>_A*F577*F577+_B*F577+_C</f>
        <v>381.9875758578188</v>
      </c>
      <c r="J577" s="7">
        <f t="shared" si="34"/>
        <v>0.29242414218117574</v>
      </c>
      <c r="K577" s="7" cm="1">
        <f t="array" ref="K577">INDEX(Sm,G577)</f>
        <v>0.81833597443365613</v>
      </c>
      <c r="L577" s="7">
        <f t="shared" si="35"/>
        <v>382.80591183225243</v>
      </c>
      <c r="M577" s="7">
        <f t="shared" si="36"/>
        <v>-0.52591183225246141</v>
      </c>
    </row>
    <row r="578" spans="6:13" ht="18.75" customHeight="1">
      <c r="F578" s="1">
        <v>38930</v>
      </c>
      <c r="G578">
        <f t="shared" si="33"/>
        <v>8</v>
      </c>
      <c r="H578" s="7">
        <v>380.48</v>
      </c>
      <c r="I578" s="7">
        <f>_A*F578*F578+_B*F578+_C</f>
        <v>382.15788626398847</v>
      </c>
      <c r="J578" s="7">
        <f t="shared" si="34"/>
        <v>-1.6778862639884551</v>
      </c>
      <c r="K578" s="7" cm="1">
        <f t="array" ref="K578">INDEX(Sm,G578)</f>
        <v>-1.2372810548909516</v>
      </c>
      <c r="L578" s="7">
        <f t="shared" si="35"/>
        <v>380.92060520909752</v>
      </c>
      <c r="M578" s="7">
        <f t="shared" si="36"/>
        <v>-0.44060520909749812</v>
      </c>
    </row>
    <row r="579" spans="6:13" ht="18.75" customHeight="1">
      <c r="F579" s="1">
        <v>38961</v>
      </c>
      <c r="G579">
        <f t="shared" ref="G579:G642" si="37">MONTH(F579)</f>
        <v>9</v>
      </c>
      <c r="H579" s="7">
        <v>378.81</v>
      </c>
      <c r="I579" s="7">
        <f>_A*F579*F579+_B*F579+_C</f>
        <v>382.32837722995805</v>
      </c>
      <c r="J579" s="7">
        <f t="shared" ref="J579:J642" si="38">H579-I579</f>
        <v>-3.5183772299580482</v>
      </c>
      <c r="K579" s="7" cm="1">
        <f t="array" ref="K579">INDEX(Sm,G579)</f>
        <v>-3.0811738821107677</v>
      </c>
      <c r="L579" s="7">
        <f t="shared" ref="L579:L642" si="39">I579+K579</f>
        <v>379.24720334784729</v>
      </c>
      <c r="M579" s="7">
        <f t="shared" ref="M579:M642" si="40">H579-L579</f>
        <v>-0.4372033478472872</v>
      </c>
    </row>
    <row r="580" spans="6:13" ht="18.75" customHeight="1">
      <c r="F580" s="1">
        <v>38991</v>
      </c>
      <c r="G580">
        <f t="shared" si="37"/>
        <v>10</v>
      </c>
      <c r="H580" s="7">
        <v>379.06</v>
      </c>
      <c r="I580" s="7">
        <f>_A*F580*F580+_B*F580+_C</f>
        <v>382.49354040432712</v>
      </c>
      <c r="J580" s="7">
        <f t="shared" si="38"/>
        <v>-3.4335404043271183</v>
      </c>
      <c r="K580" s="7" cm="1">
        <f t="array" ref="K580">INDEX(Sm,G580)</f>
        <v>-3.2770720300056544</v>
      </c>
      <c r="L580" s="7">
        <f t="shared" si="39"/>
        <v>379.21646837432149</v>
      </c>
      <c r="M580" s="7">
        <f t="shared" si="40"/>
        <v>-0.15646837432149141</v>
      </c>
    </row>
    <row r="581" spans="6:13" ht="18.75" customHeight="1">
      <c r="F581" s="1">
        <v>39022</v>
      </c>
      <c r="G581">
        <f t="shared" si="37"/>
        <v>11</v>
      </c>
      <c r="H581" s="7">
        <v>380.14</v>
      </c>
      <c r="I581" s="7">
        <f>_A*F581*F581+_B*F581+_C</f>
        <v>382.66438666538698</v>
      </c>
      <c r="J581" s="7">
        <f t="shared" si="38"/>
        <v>-2.5243866653869986</v>
      </c>
      <c r="K581" s="7" cm="1">
        <f t="array" ref="K581">INDEX(Sm,G581)</f>
        <v>-2.0734932780028581</v>
      </c>
      <c r="L581" s="7">
        <f t="shared" si="39"/>
        <v>380.59089338738414</v>
      </c>
      <c r="M581" s="7">
        <f t="shared" si="40"/>
        <v>-0.45089338738415563</v>
      </c>
    </row>
    <row r="582" spans="6:13" ht="18.75" customHeight="1">
      <c r="F582" s="1">
        <v>39052</v>
      </c>
      <c r="G582">
        <f t="shared" si="37"/>
        <v>12</v>
      </c>
      <c r="H582" s="7">
        <v>381.66</v>
      </c>
      <c r="I582" s="7">
        <f>_A*F582*F582+_B*F582+_C</f>
        <v>382.82989367371431</v>
      </c>
      <c r="J582" s="7">
        <f t="shared" si="38"/>
        <v>-1.1698936737142844</v>
      </c>
      <c r="K582" s="7" cm="1">
        <f t="array" ref="K582">INDEX(Sm,G582)</f>
        <v>-0.94500362363844403</v>
      </c>
      <c r="L582" s="7">
        <f t="shared" si="39"/>
        <v>381.88489005007585</v>
      </c>
      <c r="M582" s="7">
        <f t="shared" si="40"/>
        <v>-0.22489005007582819</v>
      </c>
    </row>
    <row r="583" spans="6:13" ht="18.75" customHeight="1">
      <c r="F583" s="1">
        <v>39083</v>
      </c>
      <c r="G583">
        <f t="shared" si="37"/>
        <v>1</v>
      </c>
      <c r="H583" s="7">
        <v>382.58</v>
      </c>
      <c r="I583" s="7">
        <f>_A*F583*F583+_B*F583+_C</f>
        <v>383.0010952298644</v>
      </c>
      <c r="J583" s="7">
        <f t="shared" si="38"/>
        <v>-0.42109522986442016</v>
      </c>
      <c r="K583" s="7" cm="1">
        <f t="array" ref="K583">INDEX(Sm,G583)</f>
        <v>-3.1273707705410173E-2</v>
      </c>
      <c r="L583" s="7">
        <f t="shared" si="39"/>
        <v>382.96982152215901</v>
      </c>
      <c r="M583" s="7">
        <f t="shared" si="40"/>
        <v>-0.38982152215902488</v>
      </c>
    </row>
    <row r="584" spans="6:13" ht="18.75" customHeight="1">
      <c r="F584" s="1">
        <v>39114</v>
      </c>
      <c r="G584">
        <f t="shared" si="37"/>
        <v>2</v>
      </c>
      <c r="H584" s="7">
        <v>383.71</v>
      </c>
      <c r="I584" s="7">
        <f>_A*F584*F584+_B*F584+_C</f>
        <v>383.17247734581446</v>
      </c>
      <c r="J584" s="7">
        <f t="shared" si="38"/>
        <v>0.5375226541855227</v>
      </c>
      <c r="K584" s="7" cm="1">
        <f t="array" ref="K584">INDEX(Sm,G584)</f>
        <v>0.60795807352328612</v>
      </c>
      <c r="L584" s="7">
        <f t="shared" si="39"/>
        <v>383.78043541933772</v>
      </c>
      <c r="M584" s="7">
        <f t="shared" si="40"/>
        <v>-7.0435419337741223E-2</v>
      </c>
    </row>
    <row r="585" spans="6:13" ht="18.75" customHeight="1">
      <c r="F585" s="1">
        <v>39142</v>
      </c>
      <c r="G585">
        <f t="shared" si="37"/>
        <v>3</v>
      </c>
      <c r="H585" s="7">
        <v>384.34</v>
      </c>
      <c r="I585" s="7">
        <f>_A*F585*F585+_B*F585+_C</f>
        <v>383.32742929070457</v>
      </c>
      <c r="J585" s="7">
        <f t="shared" si="38"/>
        <v>1.012570709295403</v>
      </c>
      <c r="K585" s="7" cm="1">
        <f t="array" ref="K585">INDEX(Sm,G585)</f>
        <v>1.368171928762181</v>
      </c>
      <c r="L585" s="7">
        <f t="shared" si="39"/>
        <v>384.69560121946677</v>
      </c>
      <c r="M585" s="7">
        <f t="shared" si="40"/>
        <v>-0.35560121946679146</v>
      </c>
    </row>
    <row r="586" spans="6:13" ht="18.75" customHeight="1">
      <c r="F586" s="1">
        <v>39173</v>
      </c>
      <c r="G586">
        <f t="shared" si="37"/>
        <v>4</v>
      </c>
      <c r="H586" s="7">
        <v>386.23</v>
      </c>
      <c r="I586" s="7">
        <f>_A*F586*F586+_B*F586+_C</f>
        <v>383.49915505272554</v>
      </c>
      <c r="J586" s="7">
        <f t="shared" si="38"/>
        <v>2.7308449472744769</v>
      </c>
      <c r="K586" s="7" cm="1">
        <f t="array" ref="K586">INDEX(Sm,G586)</f>
        <v>2.5295372401482399</v>
      </c>
      <c r="L586" s="7">
        <f t="shared" si="39"/>
        <v>386.02869229287376</v>
      </c>
      <c r="M586" s="7">
        <f t="shared" si="40"/>
        <v>0.20130770712626145</v>
      </c>
    </row>
    <row r="587" spans="6:13" ht="18.75" customHeight="1">
      <c r="F587" s="1">
        <v>39203</v>
      </c>
      <c r="G587">
        <f t="shared" si="37"/>
        <v>5</v>
      </c>
      <c r="H587" s="7">
        <v>386.41</v>
      </c>
      <c r="I587" s="7">
        <f>_A*F587*F587+_B*F587+_C</f>
        <v>383.66551319101524</v>
      </c>
      <c r="J587" s="7">
        <f t="shared" si="38"/>
        <v>2.7444868089847887</v>
      </c>
      <c r="K587" s="7" cm="1">
        <f t="array" ref="K587">INDEX(Sm,G587)</f>
        <v>2.9925789844300432</v>
      </c>
      <c r="L587" s="7">
        <f t="shared" si="39"/>
        <v>386.65809217544529</v>
      </c>
      <c r="M587" s="7">
        <f t="shared" si="40"/>
        <v>-0.24809217544526518</v>
      </c>
    </row>
    <row r="588" spans="6:13" ht="18.75" customHeight="1">
      <c r="F588" s="1">
        <v>39234</v>
      </c>
      <c r="G588">
        <f t="shared" si="37"/>
        <v>6</v>
      </c>
      <c r="H588" s="7">
        <v>385.87</v>
      </c>
      <c r="I588" s="7">
        <f>_A*F588*F588+_B*F588+_C</f>
        <v>383.83759424812644</v>
      </c>
      <c r="J588" s="7">
        <f t="shared" si="38"/>
        <v>2.0324057518735685</v>
      </c>
      <c r="K588" s="7" cm="1">
        <f t="array" ref="K588">INDEX(Sm,G588)</f>
        <v>2.3204129706322356</v>
      </c>
      <c r="L588" s="7">
        <f t="shared" si="39"/>
        <v>386.15800721875866</v>
      </c>
      <c r="M588" s="7">
        <f t="shared" si="40"/>
        <v>-0.28800721875865065</v>
      </c>
    </row>
    <row r="589" spans="6:13" ht="18.75" customHeight="1">
      <c r="F589" s="1">
        <v>39264</v>
      </c>
      <c r="G589">
        <f t="shared" si="37"/>
        <v>7</v>
      </c>
      <c r="H589" s="7">
        <v>384.44</v>
      </c>
      <c r="I589" s="7">
        <f>_A*F589*F589+_B*F589+_C</f>
        <v>384.0042962203745</v>
      </c>
      <c r="J589" s="7">
        <f t="shared" si="38"/>
        <v>0.43570377962549856</v>
      </c>
      <c r="K589" s="7" cm="1">
        <f t="array" ref="K589">INDEX(Sm,G589)</f>
        <v>0.81833597443365613</v>
      </c>
      <c r="L589" s="7">
        <f t="shared" si="39"/>
        <v>384.82263219480814</v>
      </c>
      <c r="M589" s="7">
        <f t="shared" si="40"/>
        <v>-0.38263219480813859</v>
      </c>
    </row>
    <row r="590" spans="6:13" ht="18.75" customHeight="1">
      <c r="F590" s="1">
        <v>39295</v>
      </c>
      <c r="G590">
        <f t="shared" si="37"/>
        <v>8</v>
      </c>
      <c r="H590" s="7">
        <v>381.84</v>
      </c>
      <c r="I590" s="7">
        <f>_A*F590*F590+_B*F590+_C</f>
        <v>384.17673257257593</v>
      </c>
      <c r="J590" s="7">
        <f t="shared" si="38"/>
        <v>-2.3367325725759542</v>
      </c>
      <c r="K590" s="7" cm="1">
        <f t="array" ref="K590">INDEX(Sm,G590)</f>
        <v>-1.2372810548909516</v>
      </c>
      <c r="L590" s="7">
        <f t="shared" si="39"/>
        <v>382.93945151768497</v>
      </c>
      <c r="M590" s="7">
        <f t="shared" si="40"/>
        <v>-1.0994515176849973</v>
      </c>
    </row>
    <row r="591" spans="6:13" ht="18.75" customHeight="1">
      <c r="F591" s="1">
        <v>39326</v>
      </c>
      <c r="G591">
        <f t="shared" si="37"/>
        <v>9</v>
      </c>
      <c r="H591" s="7">
        <v>380.86</v>
      </c>
      <c r="I591" s="7">
        <f>_A*F591*F591+_B*F591+_C</f>
        <v>384.34934948457732</v>
      </c>
      <c r="J591" s="7">
        <f t="shared" si="38"/>
        <v>-3.4893494845773034</v>
      </c>
      <c r="K591" s="7" cm="1">
        <f t="array" ref="K591">INDEX(Sm,G591)</f>
        <v>-3.0811738821107677</v>
      </c>
      <c r="L591" s="7">
        <f t="shared" si="39"/>
        <v>381.26817560246656</v>
      </c>
      <c r="M591" s="7">
        <f t="shared" si="40"/>
        <v>-0.40817560246654239</v>
      </c>
    </row>
    <row r="592" spans="6:13" ht="18.75" customHeight="1">
      <c r="F592" s="1">
        <v>39356</v>
      </c>
      <c r="G592">
        <f t="shared" si="37"/>
        <v>10</v>
      </c>
      <c r="H592" s="7">
        <v>380.86</v>
      </c>
      <c r="I592" s="7">
        <f>_A*F592*F592+_B*F592+_C</f>
        <v>384.51657002607396</v>
      </c>
      <c r="J592" s="7">
        <f t="shared" si="38"/>
        <v>-3.6565700260739504</v>
      </c>
      <c r="K592" s="7" cm="1">
        <f t="array" ref="K592">INDEX(Sm,G592)</f>
        <v>-3.2770720300056544</v>
      </c>
      <c r="L592" s="7">
        <f t="shared" si="39"/>
        <v>381.23949799606834</v>
      </c>
      <c r="M592" s="7">
        <f t="shared" si="40"/>
        <v>-0.37949799606832357</v>
      </c>
    </row>
    <row r="593" spans="6:13" ht="18.75" customHeight="1">
      <c r="F593" s="1">
        <v>39387</v>
      </c>
      <c r="G593">
        <f t="shared" si="37"/>
        <v>11</v>
      </c>
      <c r="H593" s="7">
        <v>382.36</v>
      </c>
      <c r="I593" s="7">
        <f>_A*F593*F593+_B*F593+_C</f>
        <v>384.68954223316558</v>
      </c>
      <c r="J593" s="7">
        <f t="shared" si="38"/>
        <v>-2.3295422331655686</v>
      </c>
      <c r="K593" s="7" cm="1">
        <f t="array" ref="K593">INDEX(Sm,G593)</f>
        <v>-2.0734932780028581</v>
      </c>
      <c r="L593" s="7">
        <f t="shared" si="39"/>
        <v>382.61604895516274</v>
      </c>
      <c r="M593" s="7">
        <f t="shared" si="40"/>
        <v>-0.25604895516272563</v>
      </c>
    </row>
    <row r="594" spans="6:13" ht="18.75" customHeight="1">
      <c r="F594" s="1">
        <v>39417</v>
      </c>
      <c r="G594">
        <f t="shared" si="37"/>
        <v>12</v>
      </c>
      <c r="H594" s="7">
        <v>383.61</v>
      </c>
      <c r="I594" s="7">
        <f>_A*F594*F594+_B*F594+_C</f>
        <v>384.85710660862054</v>
      </c>
      <c r="J594" s="7">
        <f t="shared" si="38"/>
        <v>-1.2471066086205269</v>
      </c>
      <c r="K594" s="7" cm="1">
        <f t="array" ref="K594">INDEX(Sm,G594)</f>
        <v>-0.94500362363844403</v>
      </c>
      <c r="L594" s="7">
        <f t="shared" si="39"/>
        <v>383.91210298498208</v>
      </c>
      <c r="M594" s="7">
        <f t="shared" si="40"/>
        <v>-0.30210298498207067</v>
      </c>
    </row>
    <row r="595" spans="6:13" ht="18.75" customHeight="1">
      <c r="F595" s="1">
        <v>39448</v>
      </c>
      <c r="G595">
        <f t="shared" si="37"/>
        <v>1</v>
      </c>
      <c r="H595" s="7">
        <v>385.07</v>
      </c>
      <c r="I595" s="7">
        <f>_A*F595*F595+_B*F595+_C</f>
        <v>385.03043411080239</v>
      </c>
      <c r="J595" s="7">
        <f t="shared" si="38"/>
        <v>3.9565889197604065E-2</v>
      </c>
      <c r="K595" s="7" cm="1">
        <f t="array" ref="K595">INDEX(Sm,G595)</f>
        <v>-3.1273707705410173E-2</v>
      </c>
      <c r="L595" s="7">
        <f t="shared" si="39"/>
        <v>384.99916040309699</v>
      </c>
      <c r="M595" s="7">
        <f t="shared" si="40"/>
        <v>7.0839596902999347E-2</v>
      </c>
    </row>
    <row r="596" spans="6:13" ht="18.75" customHeight="1">
      <c r="F596" s="1">
        <v>39479</v>
      </c>
      <c r="G596">
        <f t="shared" si="37"/>
        <v>2</v>
      </c>
      <c r="H596" s="7">
        <v>385.84</v>
      </c>
      <c r="I596" s="7">
        <f>_A*F596*F596+_B*F596+_C</f>
        <v>385.20394217278431</v>
      </c>
      <c r="J596" s="7">
        <f t="shared" si="38"/>
        <v>0.63605782721566584</v>
      </c>
      <c r="K596" s="7" cm="1">
        <f t="array" ref="K596">INDEX(Sm,G596)</f>
        <v>0.60795807352328612</v>
      </c>
      <c r="L596" s="7">
        <f t="shared" si="39"/>
        <v>385.81190024630757</v>
      </c>
      <c r="M596" s="7">
        <f t="shared" si="40"/>
        <v>2.8099753692401919E-2</v>
      </c>
    </row>
    <row r="597" spans="6:13" ht="18.75" customHeight="1">
      <c r="F597" s="1">
        <v>39508</v>
      </c>
      <c r="G597">
        <f t="shared" si="37"/>
        <v>3</v>
      </c>
      <c r="H597" s="7">
        <v>385.83</v>
      </c>
      <c r="I597" s="7">
        <f>_A*F597*F597+_B*F597+_C</f>
        <v>385.36641962829691</v>
      </c>
      <c r="J597" s="7">
        <f t="shared" si="38"/>
        <v>0.46358037170307398</v>
      </c>
      <c r="K597" s="7" cm="1">
        <f t="array" ref="K597">INDEX(Sm,G597)</f>
        <v>1.368171928762181</v>
      </c>
      <c r="L597" s="7">
        <f t="shared" si="39"/>
        <v>386.7345915570591</v>
      </c>
      <c r="M597" s="7">
        <f t="shared" si="40"/>
        <v>-0.90459155705912053</v>
      </c>
    </row>
    <row r="598" spans="6:13" ht="18.75" customHeight="1">
      <c r="F598" s="1">
        <v>39539</v>
      </c>
      <c r="G598">
        <f t="shared" si="37"/>
        <v>4</v>
      </c>
      <c r="H598" s="7">
        <v>386.77</v>
      </c>
      <c r="I598" s="7">
        <f>_A*F598*F598+_B*F598+_C</f>
        <v>385.54027716085938</v>
      </c>
      <c r="J598" s="7">
        <f t="shared" si="38"/>
        <v>1.2297228391406065</v>
      </c>
      <c r="K598" s="7" cm="1">
        <f t="array" ref="K598">INDEX(Sm,G598)</f>
        <v>2.5295372401482399</v>
      </c>
      <c r="L598" s="7">
        <f t="shared" si="39"/>
        <v>388.06981440100759</v>
      </c>
      <c r="M598" s="7">
        <f t="shared" si="40"/>
        <v>-1.2998144010076089</v>
      </c>
    </row>
    <row r="599" spans="6:13" ht="18.75" customHeight="1">
      <c r="F599" s="1">
        <v>39569</v>
      </c>
      <c r="G599">
        <f t="shared" si="37"/>
        <v>5</v>
      </c>
      <c r="H599" s="7">
        <v>388.51</v>
      </c>
      <c r="I599" s="7">
        <f>_A*F599*F599+_B*F599+_C</f>
        <v>385.70869830289894</v>
      </c>
      <c r="J599" s="7">
        <f t="shared" si="38"/>
        <v>2.8013016971010529</v>
      </c>
      <c r="K599" s="7" cm="1">
        <f t="array" ref="K599">INDEX(Sm,G599)</f>
        <v>2.9925789844300432</v>
      </c>
      <c r="L599" s="7">
        <f t="shared" si="39"/>
        <v>388.70127728732899</v>
      </c>
      <c r="M599" s="7">
        <f t="shared" si="40"/>
        <v>-0.19127728732900096</v>
      </c>
    </row>
    <row r="600" spans="6:13" ht="18.75" customHeight="1">
      <c r="F600" s="1">
        <v>39600</v>
      </c>
      <c r="G600">
        <f t="shared" si="37"/>
        <v>6</v>
      </c>
      <c r="H600" s="7">
        <v>388.05</v>
      </c>
      <c r="I600" s="7">
        <f>_A*F600*F600+_B*F600+_C</f>
        <v>385.88291113055163</v>
      </c>
      <c r="J600" s="7">
        <f t="shared" si="38"/>
        <v>2.1670888694483779</v>
      </c>
      <c r="K600" s="7" cm="1">
        <f t="array" ref="K600">INDEX(Sm,G600)</f>
        <v>2.3204129706322356</v>
      </c>
      <c r="L600" s="7">
        <f t="shared" si="39"/>
        <v>388.20332410118385</v>
      </c>
      <c r="M600" s="7">
        <f t="shared" si="40"/>
        <v>-0.15332410118384132</v>
      </c>
    </row>
    <row r="601" spans="6:13" ht="18.75" customHeight="1">
      <c r="F601" s="1">
        <v>39630</v>
      </c>
      <c r="G601">
        <f t="shared" si="37"/>
        <v>7</v>
      </c>
      <c r="H601" s="7">
        <v>386.25</v>
      </c>
      <c r="I601" s="7">
        <f>_A*F601*F601+_B*F601+_C</f>
        <v>386.05167610654945</v>
      </c>
      <c r="J601" s="7">
        <f t="shared" si="38"/>
        <v>0.19832389345054935</v>
      </c>
      <c r="K601" s="7" cm="1">
        <f t="array" ref="K601">INDEX(Sm,G601)</f>
        <v>0.81833597443365613</v>
      </c>
      <c r="L601" s="7">
        <f t="shared" si="39"/>
        <v>386.87001208098309</v>
      </c>
      <c r="M601" s="7">
        <f t="shared" si="40"/>
        <v>-0.6200120809830878</v>
      </c>
    </row>
    <row r="602" spans="6:13" ht="18.75" customHeight="1">
      <c r="F602" s="1">
        <v>39661</v>
      </c>
      <c r="G602">
        <f t="shared" si="37"/>
        <v>8</v>
      </c>
      <c r="H602" s="7">
        <v>384.08</v>
      </c>
      <c r="I602" s="7">
        <f>_A*F602*F602+_B*F602+_C</f>
        <v>386.22624422929243</v>
      </c>
      <c r="J602" s="7">
        <f t="shared" si="38"/>
        <v>-2.1462442292924493</v>
      </c>
      <c r="K602" s="7" cm="1">
        <f t="array" ref="K602">INDEX(Sm,G602)</f>
        <v>-1.2372810548909516</v>
      </c>
      <c r="L602" s="7">
        <f t="shared" si="39"/>
        <v>384.98896317440148</v>
      </c>
      <c r="M602" s="7">
        <f t="shared" si="40"/>
        <v>-0.90896317440149232</v>
      </c>
    </row>
    <row r="603" spans="6:13" ht="18.75" customHeight="1">
      <c r="F603" s="1">
        <v>39692</v>
      </c>
      <c r="G603">
        <f t="shared" si="37"/>
        <v>9</v>
      </c>
      <c r="H603" s="7">
        <v>383.09</v>
      </c>
      <c r="I603" s="7">
        <f>_A*F603*F603+_B*F603+_C</f>
        <v>386.40099291183526</v>
      </c>
      <c r="J603" s="7">
        <f t="shared" si="38"/>
        <v>-3.3109929118352852</v>
      </c>
      <c r="K603" s="7" cm="1">
        <f t="array" ref="K603">INDEX(Sm,G603)</f>
        <v>-3.0811738821107677</v>
      </c>
      <c r="L603" s="7">
        <f t="shared" si="39"/>
        <v>383.3198190297245</v>
      </c>
      <c r="M603" s="7">
        <f t="shared" si="40"/>
        <v>-0.22981902972452417</v>
      </c>
    </row>
    <row r="604" spans="6:13" ht="18.75" customHeight="1">
      <c r="F604" s="1">
        <v>39722</v>
      </c>
      <c r="G604">
        <f t="shared" si="37"/>
        <v>10</v>
      </c>
      <c r="H604" s="7">
        <v>382.78</v>
      </c>
      <c r="I604" s="7">
        <f>_A*F604*F604+_B*F604+_C</f>
        <v>386.57027645708172</v>
      </c>
      <c r="J604" s="7">
        <f t="shared" si="38"/>
        <v>-3.7902764570817453</v>
      </c>
      <c r="K604" s="7" cm="1">
        <f t="array" ref="K604">INDEX(Sm,G604)</f>
        <v>-3.2770720300056544</v>
      </c>
      <c r="L604" s="7">
        <f t="shared" si="39"/>
        <v>383.29320442707609</v>
      </c>
      <c r="M604" s="7">
        <f t="shared" si="40"/>
        <v>-0.51320442707611846</v>
      </c>
    </row>
    <row r="605" spans="6:13" ht="18.75" customHeight="1">
      <c r="F605" s="1">
        <v>39753</v>
      </c>
      <c r="G605">
        <f t="shared" si="37"/>
        <v>11</v>
      </c>
      <c r="H605" s="7">
        <v>384.01</v>
      </c>
      <c r="I605" s="7">
        <f>_A*F605*F605+_B*F605+_C</f>
        <v>386.74538043471489</v>
      </c>
      <c r="J605" s="7">
        <f t="shared" si="38"/>
        <v>-2.735380434714898</v>
      </c>
      <c r="K605" s="7" cm="1">
        <f t="array" ref="K605">INDEX(Sm,G605)</f>
        <v>-2.0734932780028581</v>
      </c>
      <c r="L605" s="7">
        <f t="shared" si="39"/>
        <v>384.67188715671205</v>
      </c>
      <c r="M605" s="7">
        <f t="shared" si="40"/>
        <v>-0.661887156712055</v>
      </c>
    </row>
    <row r="606" spans="6:13" ht="18.75" customHeight="1">
      <c r="F606" s="1">
        <v>39783</v>
      </c>
      <c r="G606">
        <f t="shared" si="37"/>
        <v>12</v>
      </c>
      <c r="H606" s="7">
        <v>385.11</v>
      </c>
      <c r="I606" s="7">
        <f>_A*F606*F606+_B*F606+_C</f>
        <v>386.91500781391966</v>
      </c>
      <c r="J606" s="7">
        <f t="shared" si="38"/>
        <v>-1.8050078139196444</v>
      </c>
      <c r="K606" s="7" cm="1">
        <f t="array" ref="K606">INDEX(Sm,G606)</f>
        <v>-0.94500362363844403</v>
      </c>
      <c r="L606" s="7">
        <f t="shared" si="39"/>
        <v>385.9700041902812</v>
      </c>
      <c r="M606" s="7">
        <f t="shared" si="40"/>
        <v>-0.86000419028118813</v>
      </c>
    </row>
    <row r="607" spans="6:13" ht="18.75" customHeight="1">
      <c r="F607" s="1">
        <v>39814</v>
      </c>
      <c r="G607">
        <f t="shared" si="37"/>
        <v>1</v>
      </c>
      <c r="H607" s="7">
        <v>386.65</v>
      </c>
      <c r="I607" s="7">
        <f>_A*F607*F607+_B*F607+_C</f>
        <v>387.090467086643</v>
      </c>
      <c r="J607" s="7">
        <f t="shared" si="38"/>
        <v>-0.44046708664302514</v>
      </c>
      <c r="K607" s="7" cm="1">
        <f t="array" ref="K607">INDEX(Sm,G607)</f>
        <v>-3.1273707705410173E-2</v>
      </c>
      <c r="L607" s="7">
        <f t="shared" si="39"/>
        <v>387.05919337893761</v>
      </c>
      <c r="M607" s="7">
        <f t="shared" si="40"/>
        <v>-0.40919337893762986</v>
      </c>
    </row>
    <row r="608" spans="6:13" ht="18.75" customHeight="1">
      <c r="F608" s="1">
        <v>39845</v>
      </c>
      <c r="G608">
        <f t="shared" si="37"/>
        <v>2</v>
      </c>
      <c r="H608" s="7">
        <v>387.12</v>
      </c>
      <c r="I608" s="7">
        <f>_A*F608*F608+_B*F608+_C</f>
        <v>387.26610691916636</v>
      </c>
      <c r="J608" s="7">
        <f t="shared" si="38"/>
        <v>-0.14610691916635687</v>
      </c>
      <c r="K608" s="7" cm="1">
        <f t="array" ref="K608">INDEX(Sm,G608)</f>
        <v>0.60795807352328612</v>
      </c>
      <c r="L608" s="7">
        <f t="shared" si="39"/>
        <v>387.87406499268963</v>
      </c>
      <c r="M608" s="7">
        <f t="shared" si="40"/>
        <v>-0.75406499268962079</v>
      </c>
    </row>
    <row r="609" spans="6:13" ht="18.75" customHeight="1">
      <c r="F609" s="1">
        <v>39873</v>
      </c>
      <c r="G609">
        <f t="shared" si="37"/>
        <v>3</v>
      </c>
      <c r="H609" s="7">
        <v>388.52</v>
      </c>
      <c r="I609" s="7">
        <f>_A*F609*F609+_B*F609+_C</f>
        <v>387.42490454354203</v>
      </c>
      <c r="J609" s="7">
        <f t="shared" si="38"/>
        <v>1.0950954564579547</v>
      </c>
      <c r="K609" s="7" cm="1">
        <f t="array" ref="K609">INDEX(Sm,G609)</f>
        <v>1.368171928762181</v>
      </c>
      <c r="L609" s="7">
        <f t="shared" si="39"/>
        <v>388.79307647230422</v>
      </c>
      <c r="M609" s="7">
        <f t="shared" si="40"/>
        <v>-0.27307647230423981</v>
      </c>
    </row>
    <row r="610" spans="6:13" ht="18.75" customHeight="1">
      <c r="F610" s="1">
        <v>39904</v>
      </c>
      <c r="G610">
        <f t="shared" si="37"/>
        <v>4</v>
      </c>
      <c r="H610" s="7">
        <v>389.57</v>
      </c>
      <c r="I610" s="7">
        <f>_A*F610*F610+_B*F610+_C</f>
        <v>387.6008880221363</v>
      </c>
      <c r="J610" s="7">
        <f t="shared" si="38"/>
        <v>1.9691119778636903</v>
      </c>
      <c r="K610" s="7" cm="1">
        <f t="array" ref="K610">INDEX(Sm,G610)</f>
        <v>2.5295372401482399</v>
      </c>
      <c r="L610" s="7">
        <f t="shared" si="39"/>
        <v>390.13042526228452</v>
      </c>
      <c r="M610" s="7">
        <f t="shared" si="40"/>
        <v>-0.56042526228452516</v>
      </c>
    </row>
    <row r="611" spans="6:13" ht="18.75" customHeight="1">
      <c r="F611" s="1">
        <v>39934</v>
      </c>
      <c r="G611">
        <f t="shared" si="37"/>
        <v>5</v>
      </c>
      <c r="H611" s="7">
        <v>390.17</v>
      </c>
      <c r="I611" s="7">
        <f>_A*F611*F611+_B*F611+_C</f>
        <v>387.77136653130344</v>
      </c>
      <c r="J611" s="7">
        <f t="shared" si="38"/>
        <v>2.3986334686965733</v>
      </c>
      <c r="K611" s="7" cm="1">
        <f t="array" ref="K611">INDEX(Sm,G611)</f>
        <v>2.9925789844300432</v>
      </c>
      <c r="L611" s="7">
        <f t="shared" si="39"/>
        <v>390.7639455157335</v>
      </c>
      <c r="M611" s="7">
        <f t="shared" si="40"/>
        <v>-0.59394551573348053</v>
      </c>
    </row>
    <row r="612" spans="6:13" ht="18.75" customHeight="1">
      <c r="F612" s="1">
        <v>39965</v>
      </c>
      <c r="G612">
        <f t="shared" si="37"/>
        <v>6</v>
      </c>
      <c r="H612" s="7">
        <v>389.62</v>
      </c>
      <c r="I612" s="7">
        <f>_A*F612*F612+_B*F612+_C</f>
        <v>387.94770530498789</v>
      </c>
      <c r="J612" s="7">
        <f t="shared" si="38"/>
        <v>1.6722946950121127</v>
      </c>
      <c r="K612" s="7" cm="1">
        <f t="array" ref="K612">INDEX(Sm,G612)</f>
        <v>2.3204129706322356</v>
      </c>
      <c r="L612" s="7">
        <f t="shared" si="39"/>
        <v>390.26811827562011</v>
      </c>
      <c r="M612" s="7">
        <f t="shared" si="40"/>
        <v>-0.64811827562010649</v>
      </c>
    </row>
    <row r="613" spans="6:13" ht="18.75" customHeight="1">
      <c r="F613" s="1">
        <v>39995</v>
      </c>
      <c r="G613">
        <f t="shared" si="37"/>
        <v>7</v>
      </c>
      <c r="H613" s="7">
        <v>388.07</v>
      </c>
      <c r="I613" s="7">
        <f>_A*F613*F613+_B*F613+_C</f>
        <v>388.11852764811334</v>
      </c>
      <c r="J613" s="7">
        <f t="shared" si="38"/>
        <v>-4.8527648113349642E-2</v>
      </c>
      <c r="K613" s="7" cm="1">
        <f t="array" ref="K613">INDEX(Sm,G613)</f>
        <v>0.81833597443365613</v>
      </c>
      <c r="L613" s="7">
        <f t="shared" si="39"/>
        <v>388.93686362254698</v>
      </c>
      <c r="M613" s="7">
        <f t="shared" si="40"/>
        <v>-0.86686362254698679</v>
      </c>
    </row>
    <row r="614" spans="6:13" ht="18.75" customHeight="1">
      <c r="F614" s="1">
        <v>40026</v>
      </c>
      <c r="G614">
        <f t="shared" si="37"/>
        <v>8</v>
      </c>
      <c r="H614" s="7">
        <v>386.08</v>
      </c>
      <c r="I614" s="7">
        <f>_A*F614*F614+_B*F614+_C</f>
        <v>388.29522171688808</v>
      </c>
      <c r="J614" s="7">
        <f t="shared" si="38"/>
        <v>-2.2152217168880952</v>
      </c>
      <c r="K614" s="7" cm="1">
        <f t="array" ref="K614">INDEX(Sm,G614)</f>
        <v>-1.2372810548909516</v>
      </c>
      <c r="L614" s="7">
        <f t="shared" si="39"/>
        <v>387.05794066199712</v>
      </c>
      <c r="M614" s="7">
        <f t="shared" si="40"/>
        <v>-0.97794066199713825</v>
      </c>
    </row>
    <row r="615" spans="6:13" ht="18.75" customHeight="1">
      <c r="F615" s="1">
        <v>40057</v>
      </c>
      <c r="G615">
        <f t="shared" si="37"/>
        <v>9</v>
      </c>
      <c r="H615" s="7">
        <v>384.65</v>
      </c>
      <c r="I615" s="7">
        <f>_A*F615*F615+_B*F615+_C</f>
        <v>388.47209634546277</v>
      </c>
      <c r="J615" s="7">
        <f t="shared" si="38"/>
        <v>-3.8220963454627963</v>
      </c>
      <c r="K615" s="7" cm="1">
        <f t="array" ref="K615">INDEX(Sm,G615)</f>
        <v>-3.0811738821107677</v>
      </c>
      <c r="L615" s="7">
        <f t="shared" si="39"/>
        <v>385.39092246335201</v>
      </c>
      <c r="M615" s="7">
        <f t="shared" si="40"/>
        <v>-0.74092246335203527</v>
      </c>
    </row>
    <row r="616" spans="6:13" ht="18.75" customHeight="1">
      <c r="F616" s="1">
        <v>40087</v>
      </c>
      <c r="G616">
        <f t="shared" si="37"/>
        <v>10</v>
      </c>
      <c r="H616" s="7">
        <v>384.33</v>
      </c>
      <c r="I616" s="7">
        <f>_A*F616*F616+_B*F616+_C</f>
        <v>388.64343725783675</v>
      </c>
      <c r="J616" s="7">
        <f t="shared" si="38"/>
        <v>-4.3134372578367675</v>
      </c>
      <c r="K616" s="7" cm="1">
        <f t="array" ref="K616">INDEX(Sm,G616)</f>
        <v>-3.2770720300056544</v>
      </c>
      <c r="L616" s="7">
        <f t="shared" si="39"/>
        <v>385.36636522783112</v>
      </c>
      <c r="M616" s="7">
        <f t="shared" si="40"/>
        <v>-1.0363652278311406</v>
      </c>
    </row>
    <row r="617" spans="6:13" ht="18.75" customHeight="1">
      <c r="F617" s="1">
        <v>40118</v>
      </c>
      <c r="G617">
        <f t="shared" si="37"/>
        <v>11</v>
      </c>
      <c r="H617" s="7">
        <v>386.05</v>
      </c>
      <c r="I617" s="7">
        <f>_A*F617*F617+_B*F617+_C</f>
        <v>388.82066718150173</v>
      </c>
      <c r="J617" s="7">
        <f t="shared" si="38"/>
        <v>-2.7706671815017216</v>
      </c>
      <c r="K617" s="7" cm="1">
        <f t="array" ref="K617">INDEX(Sm,G617)</f>
        <v>-2.0734932780028581</v>
      </c>
      <c r="L617" s="7">
        <f t="shared" si="39"/>
        <v>386.74717390349889</v>
      </c>
      <c r="M617" s="7">
        <f t="shared" si="40"/>
        <v>-0.69717390349887864</v>
      </c>
    </row>
    <row r="618" spans="6:13" ht="18.75" customHeight="1">
      <c r="F618" s="1">
        <v>40148</v>
      </c>
      <c r="G618">
        <f t="shared" si="37"/>
        <v>12</v>
      </c>
      <c r="H618" s="7">
        <v>387.49</v>
      </c>
      <c r="I618" s="7">
        <f>_A*F618*F618+_B*F618+_C</f>
        <v>388.99235192783402</v>
      </c>
      <c r="J618" s="7">
        <f t="shared" si="38"/>
        <v>-1.5023519278340132</v>
      </c>
      <c r="K618" s="7" cm="1">
        <f t="array" ref="K618">INDEX(Sm,G618)</f>
        <v>-0.94500362363844403</v>
      </c>
      <c r="L618" s="7">
        <f t="shared" si="39"/>
        <v>388.04734830419557</v>
      </c>
      <c r="M618" s="7">
        <f t="shared" si="40"/>
        <v>-0.55734830419555692</v>
      </c>
    </row>
    <row r="619" spans="6:13" ht="18.75" customHeight="1">
      <c r="F619" s="1">
        <v>40179</v>
      </c>
      <c r="G619">
        <f t="shared" si="37"/>
        <v>1</v>
      </c>
      <c r="H619" s="7">
        <v>388.55</v>
      </c>
      <c r="I619" s="7">
        <f>_A*F619*F619+_B*F619+_C</f>
        <v>389.16993714658923</v>
      </c>
      <c r="J619" s="7">
        <f t="shared" si="38"/>
        <v>-0.61993714658922272</v>
      </c>
      <c r="K619" s="7" cm="1">
        <f t="array" ref="K619">INDEX(Sm,G619)</f>
        <v>-3.1273707705410173E-2</v>
      </c>
      <c r="L619" s="7">
        <f t="shared" si="39"/>
        <v>389.13866343888384</v>
      </c>
      <c r="M619" s="7">
        <f t="shared" si="40"/>
        <v>-0.58866343888382744</v>
      </c>
    </row>
    <row r="620" spans="6:13" ht="18.75" customHeight="1">
      <c r="F620" s="1">
        <v>40210</v>
      </c>
      <c r="G620">
        <f t="shared" si="37"/>
        <v>2</v>
      </c>
      <c r="H620" s="7">
        <v>390.08</v>
      </c>
      <c r="I620" s="7">
        <f>_A*F620*F620+_B*F620+_C</f>
        <v>389.3477029251444</v>
      </c>
      <c r="J620" s="7">
        <f t="shared" si="38"/>
        <v>0.73229707485558038</v>
      </c>
      <c r="K620" s="7" cm="1">
        <f t="array" ref="K620">INDEX(Sm,G620)</f>
        <v>0.60795807352328612</v>
      </c>
      <c r="L620" s="7">
        <f t="shared" si="39"/>
        <v>389.95566099866767</v>
      </c>
      <c r="M620" s="7">
        <f t="shared" si="40"/>
        <v>0.12433900133231646</v>
      </c>
    </row>
    <row r="621" spans="6:13" ht="18.75" customHeight="1">
      <c r="F621" s="1">
        <v>40238</v>
      </c>
      <c r="G621">
        <f t="shared" si="37"/>
        <v>3</v>
      </c>
      <c r="H621" s="7">
        <v>391.01</v>
      </c>
      <c r="I621" s="7">
        <f>_A*F621*F621+_B*F621+_C</f>
        <v>389.50842075883912</v>
      </c>
      <c r="J621" s="7">
        <f t="shared" si="38"/>
        <v>1.5015792411608686</v>
      </c>
      <c r="K621" s="7" cm="1">
        <f t="array" ref="K621">INDEX(Sm,G621)</f>
        <v>1.368171928762181</v>
      </c>
      <c r="L621" s="7">
        <f t="shared" si="39"/>
        <v>390.87659268760132</v>
      </c>
      <c r="M621" s="7">
        <f t="shared" si="40"/>
        <v>0.13340731239867409</v>
      </c>
    </row>
    <row r="622" spans="6:13" ht="18.75" customHeight="1">
      <c r="F622" s="1">
        <v>40269</v>
      </c>
      <c r="G622">
        <f t="shared" si="37"/>
        <v>4</v>
      </c>
      <c r="H622" s="7">
        <v>392.38</v>
      </c>
      <c r="I622" s="7">
        <f>_A*F622*F622+_B*F622+_C</f>
        <v>389.68653018346515</v>
      </c>
      <c r="J622" s="7">
        <f t="shared" si="38"/>
        <v>2.6934698165348436</v>
      </c>
      <c r="K622" s="7" cm="1">
        <f t="array" ref="K622">INDEX(Sm,G622)</f>
        <v>2.5295372401482399</v>
      </c>
      <c r="L622" s="7">
        <f t="shared" si="39"/>
        <v>392.21606742361337</v>
      </c>
      <c r="M622" s="7">
        <f t="shared" si="40"/>
        <v>0.16393257638662817</v>
      </c>
    </row>
    <row r="623" spans="6:13" ht="18.75" customHeight="1">
      <c r="F623" s="1">
        <v>40299</v>
      </c>
      <c r="G623">
        <f t="shared" si="37"/>
        <v>5</v>
      </c>
      <c r="H623" s="7">
        <v>393.22</v>
      </c>
      <c r="I623" s="7">
        <f>_A*F623*F623+_B*F623+_C</f>
        <v>389.85906605975987</v>
      </c>
      <c r="J623" s="7">
        <f t="shared" si="38"/>
        <v>3.3609339402401588</v>
      </c>
      <c r="K623" s="7" cm="1">
        <f t="array" ref="K623">INDEX(Sm,G623)</f>
        <v>2.9925789844300432</v>
      </c>
      <c r="L623" s="7">
        <f t="shared" si="39"/>
        <v>392.85164504418992</v>
      </c>
      <c r="M623" s="7">
        <f t="shared" si="40"/>
        <v>0.36835495581010491</v>
      </c>
    </row>
    <row r="624" spans="6:13" ht="18.75" customHeight="1">
      <c r="F624" s="1">
        <v>40330</v>
      </c>
      <c r="G624">
        <f t="shared" si="37"/>
        <v>6</v>
      </c>
      <c r="H624" s="7">
        <v>392.24</v>
      </c>
      <c r="I624" s="7">
        <f>_A*F624*F624+_B*F624+_C</f>
        <v>390.03753077947613</v>
      </c>
      <c r="J624" s="7">
        <f t="shared" si="38"/>
        <v>2.2024692205238807</v>
      </c>
      <c r="K624" s="7" cm="1">
        <f t="array" ref="K624">INDEX(Sm,G624)</f>
        <v>2.3204129706322356</v>
      </c>
      <c r="L624" s="7">
        <f t="shared" si="39"/>
        <v>392.35794375010835</v>
      </c>
      <c r="M624" s="7">
        <f t="shared" si="40"/>
        <v>-0.11794375010833846</v>
      </c>
    </row>
    <row r="625" spans="6:13" ht="18.75" customHeight="1">
      <c r="F625" s="1">
        <v>40360</v>
      </c>
      <c r="G625">
        <f t="shared" si="37"/>
        <v>7</v>
      </c>
      <c r="H625" s="7">
        <v>390.33</v>
      </c>
      <c r="I625" s="7">
        <f>_A*F625*F625+_B*F625+_C</f>
        <v>390.21041048972916</v>
      </c>
      <c r="J625" s="7">
        <f t="shared" si="38"/>
        <v>0.11958951027082776</v>
      </c>
      <c r="K625" s="7" cm="1">
        <f t="array" ref="K625">INDEX(Sm,G625)</f>
        <v>0.81833597443365613</v>
      </c>
      <c r="L625" s="7">
        <f t="shared" si="39"/>
        <v>391.02874646416279</v>
      </c>
      <c r="M625" s="7">
        <f t="shared" si="40"/>
        <v>-0.69874646416280939</v>
      </c>
    </row>
    <row r="626" spans="6:13" ht="18.75" customHeight="1">
      <c r="F626" s="1">
        <v>40391</v>
      </c>
      <c r="G626">
        <f t="shared" si="37"/>
        <v>8</v>
      </c>
      <c r="H626" s="7">
        <v>388.52</v>
      </c>
      <c r="I626" s="7">
        <f>_A*F626*F626+_B*F626+_C</f>
        <v>390.3892305045357</v>
      </c>
      <c r="J626" s="7">
        <f t="shared" si="38"/>
        <v>-1.8692305045357216</v>
      </c>
      <c r="K626" s="7" cm="1">
        <f t="array" ref="K626">INDEX(Sm,G626)</f>
        <v>-1.2372810548909516</v>
      </c>
      <c r="L626" s="7">
        <f t="shared" si="39"/>
        <v>389.15194944964475</v>
      </c>
      <c r="M626" s="7">
        <f t="shared" si="40"/>
        <v>-0.63194944964476463</v>
      </c>
    </row>
    <row r="627" spans="6:13" ht="18.75" customHeight="1">
      <c r="F627" s="1">
        <v>40422</v>
      </c>
      <c r="G627">
        <f t="shared" si="37"/>
        <v>9</v>
      </c>
      <c r="H627" s="7">
        <v>386.84</v>
      </c>
      <c r="I627" s="7">
        <f>_A*F627*F627+_B*F627+_C</f>
        <v>390.56823107914221</v>
      </c>
      <c r="J627" s="7">
        <f t="shared" si="38"/>
        <v>-3.7282310791422333</v>
      </c>
      <c r="K627" s="7" cm="1">
        <f t="array" ref="K627">INDEX(Sm,G627)</f>
        <v>-3.0811738821107677</v>
      </c>
      <c r="L627" s="7">
        <f t="shared" si="39"/>
        <v>387.48705719703145</v>
      </c>
      <c r="M627" s="7">
        <f t="shared" si="40"/>
        <v>-0.64705719703147224</v>
      </c>
    </row>
    <row r="628" spans="6:13" ht="18.75" customHeight="1">
      <c r="F628" s="1">
        <v>40452</v>
      </c>
      <c r="G628">
        <f t="shared" si="37"/>
        <v>10</v>
      </c>
      <c r="H628" s="7">
        <v>387.16</v>
      </c>
      <c r="I628" s="7">
        <f>_A*F628*F628+_B*F628+_C</f>
        <v>390.74162935864376</v>
      </c>
      <c r="J628" s="7">
        <f t="shared" si="38"/>
        <v>-3.5816293586437382</v>
      </c>
      <c r="K628" s="7" cm="1">
        <f t="array" ref="K628">INDEX(Sm,G628)</f>
        <v>-3.2770720300056544</v>
      </c>
      <c r="L628" s="7">
        <f t="shared" si="39"/>
        <v>387.46455732863814</v>
      </c>
      <c r="M628" s="7">
        <f t="shared" si="40"/>
        <v>-0.30455732863811136</v>
      </c>
    </row>
    <row r="629" spans="6:13" ht="18.75" customHeight="1">
      <c r="F629" s="1">
        <v>40483</v>
      </c>
      <c r="G629">
        <f t="shared" si="37"/>
        <v>11</v>
      </c>
      <c r="H629" s="7">
        <v>388.67</v>
      </c>
      <c r="I629" s="7">
        <f>_A*F629*F629+_B*F629+_C</f>
        <v>390.92098522834056</v>
      </c>
      <c r="J629" s="7">
        <f t="shared" si="38"/>
        <v>-2.2509852283405394</v>
      </c>
      <c r="K629" s="7" cm="1">
        <f t="array" ref="K629">INDEX(Sm,G629)</f>
        <v>-2.0734932780028581</v>
      </c>
      <c r="L629" s="7">
        <f t="shared" si="39"/>
        <v>388.84749195033771</v>
      </c>
      <c r="M629" s="7">
        <f t="shared" si="40"/>
        <v>-0.17749195033769638</v>
      </c>
    </row>
    <row r="630" spans="6:13" ht="18.75" customHeight="1">
      <c r="F630" s="1">
        <v>40513</v>
      </c>
      <c r="G630">
        <f t="shared" si="37"/>
        <v>12</v>
      </c>
      <c r="H630" s="7">
        <v>389.81</v>
      </c>
      <c r="I630" s="7">
        <f>_A*F630*F630+_B*F630+_C</f>
        <v>391.09472734180042</v>
      </c>
      <c r="J630" s="7">
        <f t="shared" si="38"/>
        <v>-1.2847273418004193</v>
      </c>
      <c r="K630" s="7" cm="1">
        <f t="array" ref="K630">INDEX(Sm,G630)</f>
        <v>-0.94500362363844403</v>
      </c>
      <c r="L630" s="7">
        <f t="shared" si="39"/>
        <v>390.14972371816197</v>
      </c>
      <c r="M630" s="7">
        <f t="shared" si="40"/>
        <v>-0.33972371816196301</v>
      </c>
    </row>
    <row r="631" spans="6:13" ht="18.75" customHeight="1">
      <c r="F631" s="1">
        <v>40544</v>
      </c>
      <c r="G631">
        <f t="shared" si="37"/>
        <v>1</v>
      </c>
      <c r="H631" s="7">
        <v>391.3</v>
      </c>
      <c r="I631" s="7">
        <f>_A*F631*F631+_B*F631+_C</f>
        <v>391.27443850658744</v>
      </c>
      <c r="J631" s="7">
        <f t="shared" si="38"/>
        <v>2.5561493412567415E-2</v>
      </c>
      <c r="K631" s="7" cm="1">
        <f t="array" ref="K631">INDEX(Sm,G631)</f>
        <v>-3.1273707705410173E-2</v>
      </c>
      <c r="L631" s="7">
        <f t="shared" si="39"/>
        <v>391.24316479888205</v>
      </c>
      <c r="M631" s="7">
        <f t="shared" si="40"/>
        <v>5.6835201117962697E-2</v>
      </c>
    </row>
    <row r="632" spans="6:13" ht="18.75" customHeight="1">
      <c r="F632" s="1">
        <v>40575</v>
      </c>
      <c r="G632">
        <f t="shared" si="37"/>
        <v>2</v>
      </c>
      <c r="H632" s="7">
        <v>391.92</v>
      </c>
      <c r="I632" s="7">
        <f>_A*F632*F632+_B*F632+_C</f>
        <v>391.45433023117442</v>
      </c>
      <c r="J632" s="7">
        <f t="shared" si="38"/>
        <v>0.46566976882559175</v>
      </c>
      <c r="K632" s="7" cm="1">
        <f t="array" ref="K632">INDEX(Sm,G632)</f>
        <v>0.60795807352328612</v>
      </c>
      <c r="L632" s="7">
        <f t="shared" si="39"/>
        <v>392.06228830469769</v>
      </c>
      <c r="M632" s="7">
        <f t="shared" si="40"/>
        <v>-0.14228830469767217</v>
      </c>
    </row>
    <row r="633" spans="6:13" ht="18.75" customHeight="1">
      <c r="F633" s="1">
        <v>40603</v>
      </c>
      <c r="G633">
        <f t="shared" si="37"/>
        <v>3</v>
      </c>
      <c r="H633" s="7">
        <v>392.45</v>
      </c>
      <c r="I633" s="7">
        <f>_A*F633*F633+_B*F633+_C</f>
        <v>391.6169682741882</v>
      </c>
      <c r="J633" s="7">
        <f t="shared" si="38"/>
        <v>0.83303172581179297</v>
      </c>
      <c r="K633" s="7" cm="1">
        <f t="array" ref="K633">INDEX(Sm,G633)</f>
        <v>1.368171928762181</v>
      </c>
      <c r="L633" s="7">
        <f t="shared" si="39"/>
        <v>392.98514020295039</v>
      </c>
      <c r="M633" s="7">
        <f t="shared" si="40"/>
        <v>-0.53514020295040154</v>
      </c>
    </row>
    <row r="634" spans="6:13" ht="18.75" customHeight="1">
      <c r="F634" s="1">
        <v>40634</v>
      </c>
      <c r="G634">
        <f t="shared" si="37"/>
        <v>4</v>
      </c>
      <c r="H634" s="7">
        <v>393.37</v>
      </c>
      <c r="I634" s="7">
        <f>_A*F634*F634+_B*F634+_C</f>
        <v>391.79720364484604</v>
      </c>
      <c r="J634" s="7">
        <f t="shared" si="38"/>
        <v>1.5727963551539688</v>
      </c>
      <c r="K634" s="7" cm="1">
        <f t="array" ref="K634">INDEX(Sm,G634)</f>
        <v>2.5295372401482399</v>
      </c>
      <c r="L634" s="7">
        <f t="shared" si="39"/>
        <v>394.32674088499425</v>
      </c>
      <c r="M634" s="7">
        <f t="shared" si="40"/>
        <v>-0.9567408849942467</v>
      </c>
    </row>
    <row r="635" spans="6:13" ht="18.75" customHeight="1">
      <c r="F635" s="1">
        <v>40664</v>
      </c>
      <c r="G635">
        <f t="shared" si="37"/>
        <v>5</v>
      </c>
      <c r="H635" s="7">
        <v>394.28</v>
      </c>
      <c r="I635" s="7">
        <f>_A*F635*F635+_B*F635+_C</f>
        <v>391.97179688826827</v>
      </c>
      <c r="J635" s="7">
        <f t="shared" si="38"/>
        <v>2.3082031117317001</v>
      </c>
      <c r="K635" s="7" cm="1">
        <f t="array" ref="K635">INDEX(Sm,G635)</f>
        <v>2.9925789844300432</v>
      </c>
      <c r="L635" s="7">
        <f t="shared" si="39"/>
        <v>394.96437587269833</v>
      </c>
      <c r="M635" s="7">
        <f t="shared" si="40"/>
        <v>-0.68437587269835376</v>
      </c>
    </row>
    <row r="636" spans="6:13" ht="18.75" customHeight="1">
      <c r="F636" s="1">
        <v>40695</v>
      </c>
      <c r="G636">
        <f t="shared" si="37"/>
        <v>6</v>
      </c>
      <c r="H636" s="7">
        <v>393.69</v>
      </c>
      <c r="I636" s="7">
        <f>_A*F636*F636+_B*F636+_C</f>
        <v>392.1523875540164</v>
      </c>
      <c r="J636" s="7">
        <f t="shared" si="38"/>
        <v>1.5376124459835978</v>
      </c>
      <c r="K636" s="7" cm="1">
        <f t="array" ref="K636">INDEX(Sm,G636)</f>
        <v>2.3204129706322356</v>
      </c>
      <c r="L636" s="7">
        <f t="shared" si="39"/>
        <v>394.47280052464862</v>
      </c>
      <c r="M636" s="7">
        <f t="shared" si="40"/>
        <v>-0.78280052464862138</v>
      </c>
    </row>
    <row r="637" spans="6:13" ht="18.75" customHeight="1">
      <c r="F637" s="1">
        <v>40725</v>
      </c>
      <c r="G637">
        <f t="shared" si="37"/>
        <v>7</v>
      </c>
      <c r="H637" s="7">
        <v>392.59</v>
      </c>
      <c r="I637" s="7">
        <f>_A*F637*F637+_B*F637+_C</f>
        <v>392.32732463139695</v>
      </c>
      <c r="J637" s="7">
        <f t="shared" si="38"/>
        <v>0.26267536860302698</v>
      </c>
      <c r="K637" s="7" cm="1">
        <f t="array" ref="K637">INDEX(Sm,G637)</f>
        <v>0.81833597443365613</v>
      </c>
      <c r="L637" s="7">
        <f t="shared" si="39"/>
        <v>393.14566060583059</v>
      </c>
      <c r="M637" s="7">
        <f t="shared" si="40"/>
        <v>-0.55566060583061017</v>
      </c>
    </row>
    <row r="638" spans="6:13" ht="18.75" customHeight="1">
      <c r="F638" s="1">
        <v>40756</v>
      </c>
      <c r="G638">
        <f t="shared" si="37"/>
        <v>8</v>
      </c>
      <c r="H638" s="7">
        <v>390.21</v>
      </c>
      <c r="I638" s="7">
        <f>_A*F638*F638+_B*F638+_C</f>
        <v>392.50827059223536</v>
      </c>
      <c r="J638" s="7">
        <f t="shared" si="38"/>
        <v>-2.298270592235383</v>
      </c>
      <c r="K638" s="7" cm="1">
        <f t="array" ref="K638">INDEX(Sm,G638)</f>
        <v>-1.2372810548909516</v>
      </c>
      <c r="L638" s="7">
        <f t="shared" si="39"/>
        <v>391.27098953734441</v>
      </c>
      <c r="M638" s="7">
        <f t="shared" si="40"/>
        <v>-1.060989537344426</v>
      </c>
    </row>
    <row r="639" spans="6:13" ht="18.75" customHeight="1">
      <c r="F639" s="1">
        <v>40787</v>
      </c>
      <c r="G639">
        <f t="shared" si="37"/>
        <v>9</v>
      </c>
      <c r="H639" s="7">
        <v>389</v>
      </c>
      <c r="I639" s="7">
        <f>_A*F639*F639+_B*F639+_C</f>
        <v>392.68939711287362</v>
      </c>
      <c r="J639" s="7">
        <f t="shared" si="38"/>
        <v>-3.6893971128736212</v>
      </c>
      <c r="K639" s="7" cm="1">
        <f t="array" ref="K639">INDEX(Sm,G639)</f>
        <v>-3.0811738821107677</v>
      </c>
      <c r="L639" s="7">
        <f t="shared" si="39"/>
        <v>389.60822323076286</v>
      </c>
      <c r="M639" s="7">
        <f t="shared" si="40"/>
        <v>-0.60822323076286011</v>
      </c>
    </row>
    <row r="640" spans="6:13" ht="18.75" customHeight="1">
      <c r="F640" s="1">
        <v>40817</v>
      </c>
      <c r="G640">
        <f t="shared" si="37"/>
        <v>10</v>
      </c>
      <c r="H640" s="7">
        <v>388.93</v>
      </c>
      <c r="I640" s="7">
        <f>_A*F640*F640+_B*F640+_C</f>
        <v>392.86485275950281</v>
      </c>
      <c r="J640" s="7">
        <f t="shared" si="38"/>
        <v>-3.9348527595028031</v>
      </c>
      <c r="K640" s="7" cm="1">
        <f t="array" ref="K640">INDEX(Sm,G640)</f>
        <v>-3.2770720300056544</v>
      </c>
      <c r="L640" s="7">
        <f t="shared" si="39"/>
        <v>389.58778072949718</v>
      </c>
      <c r="M640" s="7">
        <f t="shared" si="40"/>
        <v>-0.65778072949717625</v>
      </c>
    </row>
    <row r="641" spans="6:13" ht="18.75" customHeight="1">
      <c r="F641" s="1">
        <v>40848</v>
      </c>
      <c r="G641">
        <f t="shared" si="37"/>
        <v>11</v>
      </c>
      <c r="H641" s="7">
        <v>390.24</v>
      </c>
      <c r="I641" s="7">
        <f>_A*F641*F641+_B*F641+_C</f>
        <v>393.0463345752313</v>
      </c>
      <c r="J641" s="7">
        <f t="shared" si="38"/>
        <v>-2.8063345752312898</v>
      </c>
      <c r="K641" s="7" cm="1">
        <f t="array" ref="K641">INDEX(Sm,G641)</f>
        <v>-2.0734932780028581</v>
      </c>
      <c r="L641" s="7">
        <f t="shared" si="39"/>
        <v>390.97284129722846</v>
      </c>
      <c r="M641" s="7">
        <f t="shared" si="40"/>
        <v>-0.73284129722844682</v>
      </c>
    </row>
    <row r="642" spans="6:13" ht="18.75" customHeight="1">
      <c r="F642" s="1">
        <v>40878</v>
      </c>
      <c r="G642">
        <f t="shared" si="37"/>
        <v>12</v>
      </c>
      <c r="H642" s="7">
        <v>391.8</v>
      </c>
      <c r="I642" s="7">
        <f>_A*F642*F642+_B*F642+_C</f>
        <v>393.2221340558188</v>
      </c>
      <c r="J642" s="7">
        <f t="shared" si="38"/>
        <v>-1.4221340558187876</v>
      </c>
      <c r="K642" s="7" cm="1">
        <f t="array" ref="K642">INDEX(Sm,G642)</f>
        <v>-0.94500362363844403</v>
      </c>
      <c r="L642" s="7">
        <f t="shared" si="39"/>
        <v>392.27713043218034</v>
      </c>
      <c r="M642" s="7">
        <f t="shared" si="40"/>
        <v>-0.47713043218033135</v>
      </c>
    </row>
    <row r="643" spans="6:13" ht="18.75" customHeight="1">
      <c r="F643" s="1">
        <v>40909</v>
      </c>
      <c r="G643">
        <f t="shared" ref="G643:G706" si="41">MONTH(F643)</f>
        <v>1</v>
      </c>
      <c r="H643" s="7">
        <v>393.07</v>
      </c>
      <c r="I643" s="7">
        <f>_A*F643*F643+_B*F643+_C</f>
        <v>393.40397116663758</v>
      </c>
      <c r="J643" s="7">
        <f t="shared" ref="J643:J706" si="42">H643-I643</f>
        <v>-0.33397116663758197</v>
      </c>
      <c r="K643" s="7" cm="1">
        <f t="array" ref="K643">INDEX(Sm,G643)</f>
        <v>-3.1273707705410173E-2</v>
      </c>
      <c r="L643" s="7">
        <f t="shared" ref="L643:L706" si="43">I643+K643</f>
        <v>393.37269745893218</v>
      </c>
      <c r="M643" s="7">
        <f t="shared" ref="M643:M706" si="44">H643-L643</f>
        <v>-0.30269745893218669</v>
      </c>
    </row>
    <row r="644" spans="6:13" ht="18.75" customHeight="1">
      <c r="F644" s="1">
        <v>40940</v>
      </c>
      <c r="G644">
        <f t="shared" si="41"/>
        <v>2</v>
      </c>
      <c r="H644" s="7">
        <v>393.35</v>
      </c>
      <c r="I644" s="7">
        <f>_A*F644*F644+_B*F644+_C</f>
        <v>393.58598883725642</v>
      </c>
      <c r="J644" s="7">
        <f t="shared" si="42"/>
        <v>-0.23598883725640007</v>
      </c>
      <c r="K644" s="7" cm="1">
        <f t="array" ref="K644">INDEX(Sm,G644)</f>
        <v>0.60795807352328612</v>
      </c>
      <c r="L644" s="7">
        <f t="shared" si="43"/>
        <v>394.19394691077969</v>
      </c>
      <c r="M644" s="7">
        <f t="shared" si="44"/>
        <v>-0.84394691077966399</v>
      </c>
    </row>
    <row r="645" spans="6:13" ht="18.75" customHeight="1">
      <c r="F645" s="1">
        <v>40969</v>
      </c>
      <c r="G645">
        <f t="shared" si="41"/>
        <v>3</v>
      </c>
      <c r="H645" s="7">
        <v>394.36</v>
      </c>
      <c r="I645" s="7">
        <f>_A*F645*F645+_B*F645+_C</f>
        <v>393.75642689439712</v>
      </c>
      <c r="J645" s="7">
        <f t="shared" si="42"/>
        <v>0.60357310560289079</v>
      </c>
      <c r="K645" s="7" cm="1">
        <f t="array" ref="K645">INDEX(Sm,G645)</f>
        <v>1.368171928762181</v>
      </c>
      <c r="L645" s="7">
        <f t="shared" si="43"/>
        <v>395.12459882315932</v>
      </c>
      <c r="M645" s="7">
        <f t="shared" si="44"/>
        <v>-0.76459882315930372</v>
      </c>
    </row>
    <row r="646" spans="6:13" ht="18.75" customHeight="1">
      <c r="F646" s="1">
        <v>41000</v>
      </c>
      <c r="G646">
        <f t="shared" si="41"/>
        <v>4</v>
      </c>
      <c r="H646" s="7">
        <v>396.43</v>
      </c>
      <c r="I646" s="7">
        <f>_A*F646*F646+_B*F646+_C</f>
        <v>393.93879403559646</v>
      </c>
      <c r="J646" s="7">
        <f t="shared" si="42"/>
        <v>2.491205964403548</v>
      </c>
      <c r="K646" s="7" cm="1">
        <f t="array" ref="K646">INDEX(Sm,G646)</f>
        <v>2.5295372401482399</v>
      </c>
      <c r="L646" s="7">
        <f t="shared" si="43"/>
        <v>396.46833127574467</v>
      </c>
      <c r="M646" s="7">
        <f t="shared" si="44"/>
        <v>-3.8331275744667437E-2</v>
      </c>
    </row>
    <row r="647" spans="6:13" ht="18.75" customHeight="1">
      <c r="F647" s="1">
        <v>41030</v>
      </c>
      <c r="G647">
        <f t="shared" si="41"/>
        <v>5</v>
      </c>
      <c r="H647" s="7">
        <v>396.87</v>
      </c>
      <c r="I647" s="7">
        <f>_A*F647*F647+_B*F647+_C</f>
        <v>394.11545028276856</v>
      </c>
      <c r="J647" s="7">
        <f t="shared" si="42"/>
        <v>2.7545497172314413</v>
      </c>
      <c r="K647" s="7" cm="1">
        <f t="array" ref="K647">INDEX(Sm,G647)</f>
        <v>2.9925789844300432</v>
      </c>
      <c r="L647" s="7">
        <f t="shared" si="43"/>
        <v>397.10802926719862</v>
      </c>
      <c r="M647" s="7">
        <f t="shared" si="44"/>
        <v>-0.23802926719861262</v>
      </c>
    </row>
    <row r="648" spans="6:13" ht="18.75" customHeight="1">
      <c r="F648" s="1">
        <v>41061</v>
      </c>
      <c r="G648">
        <f t="shared" si="41"/>
        <v>6</v>
      </c>
      <c r="H648" s="7">
        <v>395.88</v>
      </c>
      <c r="I648" s="7">
        <f>_A*F648*F648+_B*F648+_C</f>
        <v>394.29817271905813</v>
      </c>
      <c r="J648" s="7">
        <f t="shared" si="42"/>
        <v>1.5818272809418659</v>
      </c>
      <c r="K648" s="7" cm="1">
        <f t="array" ref="K648">INDEX(Sm,G648)</f>
        <v>2.3204129706322356</v>
      </c>
      <c r="L648" s="7">
        <f t="shared" si="43"/>
        <v>396.61858568969035</v>
      </c>
      <c r="M648" s="7">
        <f t="shared" si="44"/>
        <v>-0.73858568969035332</v>
      </c>
    </row>
    <row r="649" spans="6:13" ht="18.75" customHeight="1">
      <c r="F649" s="1">
        <v>41091</v>
      </c>
      <c r="G649">
        <f t="shared" si="41"/>
        <v>7</v>
      </c>
      <c r="H649" s="7">
        <v>394.52</v>
      </c>
      <c r="I649" s="7">
        <f>_A*F649*F649+_B*F649+_C</f>
        <v>394.47517280018855</v>
      </c>
      <c r="J649" s="7">
        <f t="shared" si="42"/>
        <v>4.4827199811436458E-2</v>
      </c>
      <c r="K649" s="7" cm="1">
        <f t="array" ref="K649">INDEX(Sm,G649)</f>
        <v>0.81833597443365613</v>
      </c>
      <c r="L649" s="7">
        <f t="shared" si="43"/>
        <v>395.29350877462218</v>
      </c>
      <c r="M649" s="7">
        <f t="shared" si="44"/>
        <v>-0.77350877462220069</v>
      </c>
    </row>
    <row r="650" spans="6:13" ht="18.75" customHeight="1">
      <c r="F650" s="1">
        <v>41122</v>
      </c>
      <c r="G650">
        <f t="shared" si="41"/>
        <v>8</v>
      </c>
      <c r="H650" s="7">
        <v>392.54</v>
      </c>
      <c r="I650" s="7">
        <f>_A*F650*F650+_B*F650+_C</f>
        <v>394.65825053156834</v>
      </c>
      <c r="J650" s="7">
        <f t="shared" si="42"/>
        <v>-2.1182505315683215</v>
      </c>
      <c r="K650" s="7" cm="1">
        <f t="array" ref="K650">INDEX(Sm,G650)</f>
        <v>-1.2372810548909516</v>
      </c>
      <c r="L650" s="7">
        <f t="shared" si="43"/>
        <v>393.42096947667739</v>
      </c>
      <c r="M650" s="7">
        <f t="shared" si="44"/>
        <v>-0.88096947667736458</v>
      </c>
    </row>
    <row r="651" spans="6:13" ht="18.75" customHeight="1">
      <c r="F651" s="1">
        <v>41153</v>
      </c>
      <c r="G651">
        <f t="shared" si="41"/>
        <v>9</v>
      </c>
      <c r="H651" s="7">
        <v>391.13</v>
      </c>
      <c r="I651" s="7">
        <f>_A*F651*F651+_B*F651+_C</f>
        <v>394.84150882274821</v>
      </c>
      <c r="J651" s="7">
        <f t="shared" si="42"/>
        <v>-3.7115088227482147</v>
      </c>
      <c r="K651" s="7" cm="1">
        <f t="array" ref="K651">INDEX(Sm,G651)</f>
        <v>-3.0811738821107677</v>
      </c>
      <c r="L651" s="7">
        <f t="shared" si="43"/>
        <v>391.76033494063745</v>
      </c>
      <c r="M651" s="7">
        <f t="shared" si="44"/>
        <v>-0.63033494063745366</v>
      </c>
    </row>
    <row r="652" spans="6:13" ht="18.75" customHeight="1">
      <c r="F652" s="1">
        <v>41183</v>
      </c>
      <c r="G652">
        <f t="shared" si="41"/>
        <v>10</v>
      </c>
      <c r="H652" s="7">
        <v>391.01</v>
      </c>
      <c r="I652" s="7">
        <f>_A*F652*F652+_B*F652+_C</f>
        <v>395.01902747312715</v>
      </c>
      <c r="J652" s="7">
        <f t="shared" si="42"/>
        <v>-4.009027473127162</v>
      </c>
      <c r="K652" s="7" cm="1">
        <f t="array" ref="K652">INDEX(Sm,G652)</f>
        <v>-3.2770720300056544</v>
      </c>
      <c r="L652" s="7">
        <f t="shared" si="43"/>
        <v>391.74195544312153</v>
      </c>
      <c r="M652" s="7">
        <f t="shared" si="44"/>
        <v>-0.73195544312153515</v>
      </c>
    </row>
    <row r="653" spans="6:13" ht="18.75" customHeight="1">
      <c r="F653" s="1">
        <v>41214</v>
      </c>
      <c r="G653">
        <f t="shared" si="41"/>
        <v>11</v>
      </c>
      <c r="H653" s="7">
        <v>392.95</v>
      </c>
      <c r="I653" s="7">
        <f>_A*F653*F653+_B*F653+_C</f>
        <v>395.20264105939719</v>
      </c>
      <c r="J653" s="7">
        <f t="shared" si="42"/>
        <v>-2.2526410593972059</v>
      </c>
      <c r="K653" s="7" cm="1">
        <f t="array" ref="K653">INDEX(Sm,G653)</f>
        <v>-2.0734932780028581</v>
      </c>
      <c r="L653" s="7">
        <f t="shared" si="43"/>
        <v>393.12914778139435</v>
      </c>
      <c r="M653" s="7">
        <f t="shared" si="44"/>
        <v>-0.17914778139436294</v>
      </c>
    </row>
    <row r="654" spans="6:13" ht="18.75" customHeight="1">
      <c r="F654" s="1">
        <v>41244</v>
      </c>
      <c r="G654">
        <f t="shared" si="41"/>
        <v>12</v>
      </c>
      <c r="H654" s="7">
        <v>394.33</v>
      </c>
      <c r="I654" s="7">
        <f>_A*F654*F654+_B*F654+_C</f>
        <v>395.38050354373445</v>
      </c>
      <c r="J654" s="7">
        <f t="shared" si="42"/>
        <v>-1.0505035437344645</v>
      </c>
      <c r="K654" s="7" cm="1">
        <f t="array" ref="K654">INDEX(Sm,G654)</f>
        <v>-0.94500362363844403</v>
      </c>
      <c r="L654" s="7">
        <f t="shared" si="43"/>
        <v>394.43549992009599</v>
      </c>
      <c r="M654" s="7">
        <f t="shared" si="44"/>
        <v>-0.10549992009600828</v>
      </c>
    </row>
    <row r="655" spans="6:13" ht="18.75" customHeight="1">
      <c r="F655" s="1">
        <v>41275</v>
      </c>
      <c r="G655">
        <f t="shared" si="41"/>
        <v>1</v>
      </c>
      <c r="H655" s="7">
        <v>395.61</v>
      </c>
      <c r="I655" s="7">
        <f>_A*F655*F655+_B*F655+_C</f>
        <v>395.56447242509478</v>
      </c>
      <c r="J655" s="7">
        <f t="shared" si="42"/>
        <v>4.5527574905236179E-2</v>
      </c>
      <c r="K655" s="7" cm="1">
        <f t="array" ref="K655">INDEX(Sm,G655)</f>
        <v>-3.1273707705410173E-2</v>
      </c>
      <c r="L655" s="7">
        <f t="shared" si="43"/>
        <v>395.53319871738938</v>
      </c>
      <c r="M655" s="7">
        <f t="shared" si="44"/>
        <v>7.6801282610631461E-2</v>
      </c>
    </row>
    <row r="656" spans="6:13" ht="18.75" customHeight="1">
      <c r="F656" s="1">
        <v>41306</v>
      </c>
      <c r="G656">
        <f t="shared" si="41"/>
        <v>2</v>
      </c>
      <c r="H656" s="7">
        <v>396.85</v>
      </c>
      <c r="I656" s="7">
        <f>_A*F656*F656+_B*F656+_C</f>
        <v>395.74862186625501</v>
      </c>
      <c r="J656" s="7">
        <f t="shared" si="42"/>
        <v>1.1013781337450155</v>
      </c>
      <c r="K656" s="7" cm="1">
        <f t="array" ref="K656">INDEX(Sm,G656)</f>
        <v>0.60795807352328612</v>
      </c>
      <c r="L656" s="7">
        <f t="shared" si="43"/>
        <v>396.35657993977827</v>
      </c>
      <c r="M656" s="7">
        <f t="shared" si="44"/>
        <v>0.49342006022175156</v>
      </c>
    </row>
    <row r="657" spans="6:13" ht="18.75" customHeight="1">
      <c r="F657" s="1">
        <v>41334</v>
      </c>
      <c r="G657">
        <f t="shared" si="41"/>
        <v>3</v>
      </c>
      <c r="H657" s="7">
        <v>397.26</v>
      </c>
      <c r="I657" s="7">
        <f>_A*F657*F657+_B*F657+_C</f>
        <v>395.91510558875439</v>
      </c>
      <c r="J657" s="7">
        <f t="shared" si="42"/>
        <v>1.3448944112456047</v>
      </c>
      <c r="K657" s="7" cm="1">
        <f t="array" ref="K657">INDEX(Sm,G657)</f>
        <v>1.368171928762181</v>
      </c>
      <c r="L657" s="7">
        <f t="shared" si="43"/>
        <v>397.28327751751658</v>
      </c>
      <c r="M657" s="7">
        <f t="shared" si="44"/>
        <v>-2.3277517516589796E-2</v>
      </c>
    </row>
    <row r="658" spans="6:13" ht="18.75" customHeight="1">
      <c r="F658" s="1">
        <v>41365</v>
      </c>
      <c r="G658">
        <f t="shared" si="41"/>
        <v>4</v>
      </c>
      <c r="H658" s="7">
        <v>398.35</v>
      </c>
      <c r="I658" s="7">
        <f>_A*F658*F658+_B*F658+_C</f>
        <v>396.09959867598553</v>
      </c>
      <c r="J658" s="7">
        <f t="shared" si="42"/>
        <v>2.25040132401449</v>
      </c>
      <c r="K658" s="7" cm="1">
        <f t="array" ref="K658">INDEX(Sm,G658)</f>
        <v>2.5295372401482399</v>
      </c>
      <c r="L658" s="7">
        <f t="shared" si="43"/>
        <v>398.62913591613375</v>
      </c>
      <c r="M658" s="7">
        <f t="shared" si="44"/>
        <v>-0.27913591613372546</v>
      </c>
    </row>
    <row r="659" spans="6:13" ht="18.75" customHeight="1">
      <c r="F659" s="1">
        <v>41395</v>
      </c>
      <c r="G659">
        <f t="shared" si="41"/>
        <v>5</v>
      </c>
      <c r="H659" s="7">
        <v>399.98</v>
      </c>
      <c r="I659" s="7">
        <f>_A*F659*F659+_B*F659+_C</f>
        <v>396.27831229028521</v>
      </c>
      <c r="J659" s="7">
        <f t="shared" si="42"/>
        <v>3.701687709714804</v>
      </c>
      <c r="K659" s="7" cm="1">
        <f t="array" ref="K659">INDEX(Sm,G659)</f>
        <v>2.9925789844300432</v>
      </c>
      <c r="L659" s="7">
        <f t="shared" si="43"/>
        <v>399.27089127471527</v>
      </c>
      <c r="M659" s="7">
        <f t="shared" si="44"/>
        <v>0.70910872528475011</v>
      </c>
    </row>
    <row r="660" spans="6:13" ht="18.75" customHeight="1">
      <c r="F660" s="1">
        <v>41426</v>
      </c>
      <c r="G660">
        <f t="shared" si="41"/>
        <v>6</v>
      </c>
      <c r="H660" s="7">
        <v>398.87</v>
      </c>
      <c r="I660" s="7">
        <f>_A*F660*F660+_B*F660+_C</f>
        <v>396.46316067260659</v>
      </c>
      <c r="J660" s="7">
        <f t="shared" si="42"/>
        <v>2.4068393273934134</v>
      </c>
      <c r="K660" s="7" cm="1">
        <f t="array" ref="K660">INDEX(Sm,G660)</f>
        <v>2.3204129706322356</v>
      </c>
      <c r="L660" s="7">
        <f t="shared" si="43"/>
        <v>398.78357364323881</v>
      </c>
      <c r="M660" s="7">
        <f t="shared" si="44"/>
        <v>8.6426356761194256E-2</v>
      </c>
    </row>
    <row r="661" spans="6:13" ht="18.75" customHeight="1">
      <c r="F661" s="1">
        <v>41456</v>
      </c>
      <c r="G661">
        <f t="shared" si="41"/>
        <v>7</v>
      </c>
      <c r="H661" s="7">
        <v>397.37</v>
      </c>
      <c r="I661" s="7">
        <f>_A*F661*F661+_B*F661+_C</f>
        <v>396.64221812086453</v>
      </c>
      <c r="J661" s="7">
        <f t="shared" si="42"/>
        <v>0.72778187913547754</v>
      </c>
      <c r="K661" s="7" cm="1">
        <f t="array" ref="K661">INDEX(Sm,G661)</f>
        <v>0.81833597443365613</v>
      </c>
      <c r="L661" s="7">
        <f t="shared" si="43"/>
        <v>397.46055409529816</v>
      </c>
      <c r="M661" s="7">
        <f t="shared" si="44"/>
        <v>-9.0554095298159609E-2</v>
      </c>
    </row>
    <row r="662" spans="6:13" ht="18.75" customHeight="1">
      <c r="F662" s="1">
        <v>41487</v>
      </c>
      <c r="G662">
        <f t="shared" si="41"/>
        <v>8</v>
      </c>
      <c r="H662" s="7">
        <v>395.41</v>
      </c>
      <c r="I662" s="7">
        <f>_A*F662*F662+_B*F662+_C</f>
        <v>396.82742179827619</v>
      </c>
      <c r="J662" s="7">
        <f t="shared" si="42"/>
        <v>-1.4174217982761661</v>
      </c>
      <c r="K662" s="7" cm="1">
        <f t="array" ref="K662">INDEX(Sm,G662)</f>
        <v>-1.2372810548909516</v>
      </c>
      <c r="L662" s="7">
        <f t="shared" si="43"/>
        <v>395.59014074338523</v>
      </c>
      <c r="M662" s="7">
        <f t="shared" si="44"/>
        <v>-0.18014074338520913</v>
      </c>
    </row>
    <row r="663" spans="6:13" ht="18.75" customHeight="1">
      <c r="F663" s="1">
        <v>41518</v>
      </c>
      <c r="G663">
        <f t="shared" si="41"/>
        <v>9</v>
      </c>
      <c r="H663" s="7">
        <v>393.39</v>
      </c>
      <c r="I663" s="7">
        <f>_A*F663*F663+_B*F663+_C</f>
        <v>397.01280603548781</v>
      </c>
      <c r="J663" s="7">
        <f t="shared" si="42"/>
        <v>-3.6228060354878266</v>
      </c>
      <c r="K663" s="7" cm="1">
        <f t="array" ref="K663">INDEX(Sm,G663)</f>
        <v>-3.0811738821107677</v>
      </c>
      <c r="L663" s="7">
        <f t="shared" si="43"/>
        <v>393.93163215337705</v>
      </c>
      <c r="M663" s="7">
        <f t="shared" si="44"/>
        <v>-0.54163215337706561</v>
      </c>
    </row>
    <row r="664" spans="6:13" ht="18.75" customHeight="1">
      <c r="F664" s="1">
        <v>41548</v>
      </c>
      <c r="G664">
        <f t="shared" si="41"/>
        <v>10</v>
      </c>
      <c r="H664" s="7">
        <v>393.7</v>
      </c>
      <c r="I664" s="7">
        <f>_A*F664*F664+_B*F664+_C</f>
        <v>397.19238205299433</v>
      </c>
      <c r="J664" s="7">
        <f t="shared" si="42"/>
        <v>-3.4923820529943441</v>
      </c>
      <c r="K664" s="7" cm="1">
        <f t="array" ref="K664">INDEX(Sm,G664)</f>
        <v>-3.2770720300056544</v>
      </c>
      <c r="L664" s="7">
        <f t="shared" si="43"/>
        <v>393.91531002298871</v>
      </c>
      <c r="M664" s="7">
        <f t="shared" si="44"/>
        <v>-0.21531002298871726</v>
      </c>
    </row>
    <row r="665" spans="6:13" ht="18.75" customHeight="1">
      <c r="F665" s="1">
        <v>41579</v>
      </c>
      <c r="G665">
        <f t="shared" si="41"/>
        <v>11</v>
      </c>
      <c r="H665" s="7">
        <v>395.19</v>
      </c>
      <c r="I665" s="7">
        <f>_A*F665*F665+_B*F665+_C</f>
        <v>397.37812158529619</v>
      </c>
      <c r="J665" s="7">
        <f t="shared" si="42"/>
        <v>-2.1881215852961873</v>
      </c>
      <c r="K665" s="7" cm="1">
        <f t="array" ref="K665">INDEX(Sm,G665)</f>
        <v>-2.0734932780028581</v>
      </c>
      <c r="L665" s="7">
        <f t="shared" si="43"/>
        <v>395.30462830729334</v>
      </c>
      <c r="M665" s="7">
        <f t="shared" si="44"/>
        <v>-0.11462830729334428</v>
      </c>
    </row>
    <row r="666" spans="6:13" ht="18.75" customHeight="1">
      <c r="F666" s="1">
        <v>41609</v>
      </c>
      <c r="G666">
        <f t="shared" si="41"/>
        <v>12</v>
      </c>
      <c r="H666" s="7">
        <v>396.82</v>
      </c>
      <c r="I666" s="7">
        <f>_A*F666*F666+_B*F666+_C</f>
        <v>397.55804143676102</v>
      </c>
      <c r="J666" s="7">
        <f t="shared" si="42"/>
        <v>-0.73804143676102285</v>
      </c>
      <c r="K666" s="7" cm="1">
        <f t="array" ref="K666">INDEX(Sm,G666)</f>
        <v>-0.94500362363844403</v>
      </c>
      <c r="L666" s="7">
        <f t="shared" si="43"/>
        <v>396.61303781312256</v>
      </c>
      <c r="M666" s="7">
        <f t="shared" si="44"/>
        <v>0.2069621868774334</v>
      </c>
    </row>
    <row r="667" spans="6:13" ht="18.75" customHeight="1">
      <c r="F667" s="1">
        <v>41640</v>
      </c>
      <c r="G667">
        <f t="shared" si="41"/>
        <v>1</v>
      </c>
      <c r="H667" s="7">
        <v>397.93</v>
      </c>
      <c r="I667" s="7">
        <f>_A*F667*F667+_B*F667+_C</f>
        <v>397.74413626415316</v>
      </c>
      <c r="J667" s="7">
        <f t="shared" si="42"/>
        <v>0.18586373584685134</v>
      </c>
      <c r="K667" s="7" cm="1">
        <f t="array" ref="K667">INDEX(Sm,G667)</f>
        <v>-3.1273707705410173E-2</v>
      </c>
      <c r="L667" s="7">
        <f t="shared" si="43"/>
        <v>397.71286255644776</v>
      </c>
      <c r="M667" s="7">
        <f t="shared" si="44"/>
        <v>0.21713744355224662</v>
      </c>
    </row>
    <row r="668" spans="6:13" ht="18.75" customHeight="1">
      <c r="F668" s="1">
        <v>41671</v>
      </c>
      <c r="G668">
        <f t="shared" si="41"/>
        <v>2</v>
      </c>
      <c r="H668" s="7">
        <v>398.1</v>
      </c>
      <c r="I668" s="7">
        <f>_A*F668*F668+_B*F668+_C</f>
        <v>397.9304116513452</v>
      </c>
      <c r="J668" s="7">
        <f t="shared" si="42"/>
        <v>0.16958834865482686</v>
      </c>
      <c r="K668" s="7" cm="1">
        <f t="array" ref="K668">INDEX(Sm,G668)</f>
        <v>0.60795807352328612</v>
      </c>
      <c r="L668" s="7">
        <f t="shared" si="43"/>
        <v>398.53836972486846</v>
      </c>
      <c r="M668" s="7">
        <f t="shared" si="44"/>
        <v>-0.43836972486843706</v>
      </c>
    </row>
    <row r="669" spans="6:13" ht="18.75" customHeight="1">
      <c r="F669" s="1">
        <v>41699</v>
      </c>
      <c r="G669">
        <f t="shared" si="41"/>
        <v>3</v>
      </c>
      <c r="H669" s="7">
        <v>399.47</v>
      </c>
      <c r="I669" s="7">
        <f>_A*F669*F669+_B*F669+_C</f>
        <v>398.09881558316363</v>
      </c>
      <c r="J669" s="7">
        <f t="shared" si="42"/>
        <v>1.3711844168363996</v>
      </c>
      <c r="K669" s="7" cm="1">
        <f t="array" ref="K669">INDEX(Sm,G669)</f>
        <v>1.368171928762181</v>
      </c>
      <c r="L669" s="7">
        <f t="shared" si="43"/>
        <v>399.46698751192582</v>
      </c>
      <c r="M669" s="7">
        <f t="shared" si="44"/>
        <v>3.0124880742050664E-3</v>
      </c>
    </row>
    <row r="670" spans="6:13" ht="18.75" customHeight="1">
      <c r="F670" s="1">
        <v>41730</v>
      </c>
      <c r="G670">
        <f t="shared" si="41"/>
        <v>4</v>
      </c>
      <c r="H670" s="7">
        <v>401.33</v>
      </c>
      <c r="I670" s="7">
        <f>_A*F670*F670+_B*F670+_C</f>
        <v>398.28543461642664</v>
      </c>
      <c r="J670" s="7">
        <f t="shared" si="42"/>
        <v>3.0445653835733424</v>
      </c>
      <c r="K670" s="7" cm="1">
        <f t="array" ref="K670">INDEX(Sm,G670)</f>
        <v>2.5295372401482399</v>
      </c>
      <c r="L670" s="7">
        <f t="shared" si="43"/>
        <v>400.81497185657486</v>
      </c>
      <c r="M670" s="7">
        <f t="shared" si="44"/>
        <v>0.51502814342512693</v>
      </c>
    </row>
    <row r="671" spans="6:13" ht="18.75" customHeight="1">
      <c r="F671" s="1">
        <v>41760</v>
      </c>
      <c r="G671">
        <f t="shared" si="41"/>
        <v>5</v>
      </c>
      <c r="H671" s="7">
        <v>401.88</v>
      </c>
      <c r="I671" s="7">
        <f>_A*F671*F671+_B*F671+_C</f>
        <v>398.46620559785379</v>
      </c>
      <c r="J671" s="7">
        <f t="shared" si="42"/>
        <v>3.413794402146209</v>
      </c>
      <c r="K671" s="7" cm="1">
        <f t="array" ref="K671">INDEX(Sm,G671)</f>
        <v>2.9925789844300432</v>
      </c>
      <c r="L671" s="7">
        <f t="shared" si="43"/>
        <v>401.45878458228384</v>
      </c>
      <c r="M671" s="7">
        <f t="shared" si="44"/>
        <v>0.42121541771615512</v>
      </c>
    </row>
    <row r="672" spans="6:13" ht="18.75" customHeight="1">
      <c r="F672" s="1">
        <v>41791</v>
      </c>
      <c r="G672">
        <f t="shared" si="41"/>
        <v>6</v>
      </c>
      <c r="H672" s="7">
        <v>401.31</v>
      </c>
      <c r="I672" s="7">
        <f>_A*F672*F672+_B*F672+_C</f>
        <v>398.65317992620703</v>
      </c>
      <c r="J672" s="7">
        <f t="shared" si="42"/>
        <v>2.6568200737929715</v>
      </c>
      <c r="K672" s="7" cm="1">
        <f t="array" ref="K672">INDEX(Sm,G672)</f>
        <v>2.3204129706322356</v>
      </c>
      <c r="L672" s="7">
        <f t="shared" si="43"/>
        <v>400.97359289683925</v>
      </c>
      <c r="M672" s="7">
        <f t="shared" si="44"/>
        <v>0.33640710316075229</v>
      </c>
    </row>
    <row r="673" spans="6:13" ht="18.75" customHeight="1">
      <c r="F673" s="1">
        <v>41821</v>
      </c>
      <c r="G673">
        <f t="shared" si="41"/>
        <v>7</v>
      </c>
      <c r="H673" s="7">
        <v>399.07</v>
      </c>
      <c r="I673" s="7">
        <f>_A*F673*F673+_B*F673+_C</f>
        <v>398.83429474159254</v>
      </c>
      <c r="J673" s="7">
        <f t="shared" si="42"/>
        <v>0.23570525840744949</v>
      </c>
      <c r="K673" s="7" cm="1">
        <f t="array" ref="K673">INDEX(Sm,G673)</f>
        <v>0.81833597443365613</v>
      </c>
      <c r="L673" s="7">
        <f t="shared" si="43"/>
        <v>399.65263071602618</v>
      </c>
      <c r="M673" s="7">
        <f t="shared" si="44"/>
        <v>-0.58263071602618766</v>
      </c>
    </row>
    <row r="674" spans="6:13" ht="18.75" customHeight="1">
      <c r="F674" s="1">
        <v>41852</v>
      </c>
      <c r="G674">
        <f t="shared" si="41"/>
        <v>8</v>
      </c>
      <c r="H674" s="7">
        <v>397.21</v>
      </c>
      <c r="I674" s="7">
        <f>_A*F674*F674+_B*F674+_C</f>
        <v>399.02162436503596</v>
      </c>
      <c r="J674" s="7">
        <f t="shared" si="42"/>
        <v>-1.811624365035982</v>
      </c>
      <c r="K674" s="7" cm="1">
        <f t="array" ref="K674">INDEX(Sm,G674)</f>
        <v>-1.2372810548909516</v>
      </c>
      <c r="L674" s="7">
        <f t="shared" si="43"/>
        <v>397.784343310145</v>
      </c>
      <c r="M674" s="7">
        <f t="shared" si="44"/>
        <v>-0.57434331014502504</v>
      </c>
    </row>
    <row r="675" spans="6:13" ht="18.75" customHeight="1">
      <c r="F675" s="1">
        <v>41883</v>
      </c>
      <c r="G675">
        <f t="shared" si="41"/>
        <v>9</v>
      </c>
      <c r="H675" s="7">
        <v>395.4</v>
      </c>
      <c r="I675" s="7">
        <f>_A*F675*F675+_B*F675+_C</f>
        <v>399.20913454827939</v>
      </c>
      <c r="J675" s="7">
        <f t="shared" si="42"/>
        <v>-3.8091345482794168</v>
      </c>
      <c r="K675" s="7" cm="1">
        <f t="array" ref="K675">INDEX(Sm,G675)</f>
        <v>-3.0811738821107677</v>
      </c>
      <c r="L675" s="7">
        <f t="shared" si="43"/>
        <v>396.12796066616863</v>
      </c>
      <c r="M675" s="7">
        <f t="shared" si="44"/>
        <v>-0.72796066616865573</v>
      </c>
    </row>
    <row r="676" spans="6:13" ht="18.75" customHeight="1">
      <c r="F676" s="1">
        <v>41913</v>
      </c>
      <c r="G676">
        <f t="shared" si="41"/>
        <v>10</v>
      </c>
      <c r="H676" s="7">
        <v>395.65</v>
      </c>
      <c r="I676" s="7">
        <f>_A*F676*F676+_B*F676+_C</f>
        <v>399.39076793291349</v>
      </c>
      <c r="J676" s="7">
        <f t="shared" si="42"/>
        <v>-3.7407679329135135</v>
      </c>
      <c r="K676" s="7" cm="1">
        <f t="array" ref="K676">INDEX(Sm,G676)</f>
        <v>-3.2770720300056544</v>
      </c>
      <c r="L676" s="7">
        <f t="shared" si="43"/>
        <v>396.11369590290786</v>
      </c>
      <c r="M676" s="7">
        <f t="shared" si="44"/>
        <v>-0.46369590290788665</v>
      </c>
    </row>
    <row r="677" spans="6:13" ht="18.75" customHeight="1">
      <c r="F677" s="1">
        <v>41944</v>
      </c>
      <c r="G677">
        <f t="shared" si="41"/>
        <v>11</v>
      </c>
      <c r="H677" s="7">
        <v>397.23</v>
      </c>
      <c r="I677" s="7">
        <f>_A*F677*F677+_B*F677+_C</f>
        <v>399.57863341124721</v>
      </c>
      <c r="J677" s="7">
        <f t="shared" si="42"/>
        <v>-2.3486334112471923</v>
      </c>
      <c r="K677" s="7" cm="1">
        <f t="array" ref="K677">INDEX(Sm,G677)</f>
        <v>-2.0734932780028581</v>
      </c>
      <c r="L677" s="7">
        <f t="shared" si="43"/>
        <v>397.50514013324437</v>
      </c>
      <c r="M677" s="7">
        <f t="shared" si="44"/>
        <v>-0.27514013324434927</v>
      </c>
    </row>
    <row r="678" spans="6:13" ht="18.75" customHeight="1">
      <c r="F678" s="1">
        <v>41974</v>
      </c>
      <c r="G678">
        <f t="shared" si="41"/>
        <v>12</v>
      </c>
      <c r="H678" s="7">
        <v>398.79</v>
      </c>
      <c r="I678" s="7">
        <f>_A*F678*F678+_B*F678+_C</f>
        <v>399.76061062983956</v>
      </c>
      <c r="J678" s="7">
        <f t="shared" si="42"/>
        <v>-0.97061062983954116</v>
      </c>
      <c r="K678" s="7" cm="1">
        <f t="array" ref="K678">INDEX(Sm,G678)</f>
        <v>-0.94500362363844403</v>
      </c>
      <c r="L678" s="7">
        <f t="shared" si="43"/>
        <v>398.81560700620111</v>
      </c>
      <c r="M678" s="7">
        <f t="shared" si="44"/>
        <v>-2.5607006201084914E-2</v>
      </c>
    </row>
    <row r="679" spans="6:13" ht="18.75" customHeight="1">
      <c r="F679" s="1">
        <v>42005</v>
      </c>
      <c r="G679">
        <f t="shared" si="41"/>
        <v>1</v>
      </c>
      <c r="H679" s="7">
        <v>399.85</v>
      </c>
      <c r="I679" s="7">
        <f>_A*F679*F679+_B*F679+_C</f>
        <v>399.94883140326351</v>
      </c>
      <c r="J679" s="7">
        <f t="shared" si="42"/>
        <v>-9.8831403263488937E-2</v>
      </c>
      <c r="K679" s="7" cm="1">
        <f t="array" ref="K679">INDEX(Sm,G679)</f>
        <v>-3.1273707705410173E-2</v>
      </c>
      <c r="L679" s="7">
        <f t="shared" si="43"/>
        <v>399.91755769555812</v>
      </c>
      <c r="M679" s="7">
        <f t="shared" si="44"/>
        <v>-6.7557695558093656E-2</v>
      </c>
    </row>
    <row r="680" spans="6:13" ht="18.75" customHeight="1">
      <c r="F680" s="1">
        <v>42036</v>
      </c>
      <c r="G680">
        <f t="shared" si="41"/>
        <v>2</v>
      </c>
      <c r="H680" s="7">
        <v>400.31</v>
      </c>
      <c r="I680" s="7">
        <f>_A*F680*F680+_B*F680+_C</f>
        <v>400.13723273648742</v>
      </c>
      <c r="J680" s="7">
        <f t="shared" si="42"/>
        <v>0.17276726351258276</v>
      </c>
      <c r="K680" s="7" cm="1">
        <f t="array" ref="K680">INDEX(Sm,G680)</f>
        <v>0.60795807352328612</v>
      </c>
      <c r="L680" s="7">
        <f t="shared" si="43"/>
        <v>400.74519081001068</v>
      </c>
      <c r="M680" s="7">
        <f t="shared" si="44"/>
        <v>-0.43519081001068116</v>
      </c>
    </row>
    <row r="681" spans="6:13" ht="18.75" customHeight="1">
      <c r="F681" s="1">
        <v>42064</v>
      </c>
      <c r="G681">
        <f t="shared" si="41"/>
        <v>3</v>
      </c>
      <c r="H681" s="7">
        <v>401.51</v>
      </c>
      <c r="I681" s="7">
        <f>_A*F681*F681+_B*F681+_C</f>
        <v>400.30755687762485</v>
      </c>
      <c r="J681" s="7">
        <f t="shared" si="42"/>
        <v>1.2024431223751435</v>
      </c>
      <c r="K681" s="7" cm="1">
        <f t="array" ref="K681">INDEX(Sm,G681)</f>
        <v>1.368171928762181</v>
      </c>
      <c r="L681" s="7">
        <f t="shared" si="43"/>
        <v>401.67572880638704</v>
      </c>
      <c r="M681" s="7">
        <f t="shared" si="44"/>
        <v>-0.16572880638705101</v>
      </c>
    </row>
    <row r="682" spans="6:13" ht="18.75" customHeight="1">
      <c r="F682" s="1">
        <v>42095</v>
      </c>
      <c r="G682">
        <f t="shared" si="41"/>
        <v>4</v>
      </c>
      <c r="H682" s="7">
        <v>403.45</v>
      </c>
      <c r="I682" s="7">
        <f>_A*F682*F682+_B*F682+_C</f>
        <v>400.49630185691967</v>
      </c>
      <c r="J682" s="7">
        <f t="shared" si="42"/>
        <v>2.9536981430803166</v>
      </c>
      <c r="K682" s="7" cm="1">
        <f t="array" ref="K682">INDEX(Sm,G682)</f>
        <v>2.5295372401482399</v>
      </c>
      <c r="L682" s="7">
        <f t="shared" si="43"/>
        <v>403.02583909706789</v>
      </c>
      <c r="M682" s="7">
        <f t="shared" si="44"/>
        <v>0.42416090293210118</v>
      </c>
    </row>
    <row r="683" spans="6:13" ht="18.75" customHeight="1">
      <c r="F683" s="1">
        <v>42125</v>
      </c>
      <c r="G683">
        <f t="shared" si="41"/>
        <v>5</v>
      </c>
      <c r="H683" s="7">
        <v>404.1</v>
      </c>
      <c r="I683" s="7">
        <f>_A*F683*F683+_B*F683+_C</f>
        <v>400.67913020547439</v>
      </c>
      <c r="J683" s="7">
        <f t="shared" si="42"/>
        <v>3.420869794525629</v>
      </c>
      <c r="K683" s="7" cm="1">
        <f t="array" ref="K683">INDEX(Sm,G683)</f>
        <v>2.9925789844300432</v>
      </c>
      <c r="L683" s="7">
        <f t="shared" si="43"/>
        <v>403.67170918990445</v>
      </c>
      <c r="M683" s="7">
        <f t="shared" si="44"/>
        <v>0.42829081009557513</v>
      </c>
    </row>
    <row r="684" spans="6:13" ht="18.75" customHeight="1">
      <c r="F684" s="1">
        <v>42156</v>
      </c>
      <c r="G684">
        <f t="shared" si="41"/>
        <v>6</v>
      </c>
      <c r="H684" s="7">
        <v>402.88</v>
      </c>
      <c r="I684" s="7">
        <f>_A*F684*F684+_B*F684+_C</f>
        <v>400.86823047985945</v>
      </c>
      <c r="J684" s="7">
        <f t="shared" si="42"/>
        <v>2.0117695201405468</v>
      </c>
      <c r="K684" s="7" cm="1">
        <f t="array" ref="K684">INDEX(Sm,G684)</f>
        <v>2.3204129706322356</v>
      </c>
      <c r="L684" s="7">
        <f t="shared" si="43"/>
        <v>403.18864345049167</v>
      </c>
      <c r="M684" s="7">
        <f t="shared" si="44"/>
        <v>-0.30864345049167241</v>
      </c>
    </row>
    <row r="685" spans="6:13" ht="18.75" customHeight="1">
      <c r="F685" s="1">
        <v>42186</v>
      </c>
      <c r="G685">
        <f t="shared" si="41"/>
        <v>7</v>
      </c>
      <c r="H685" s="7">
        <v>401.61</v>
      </c>
      <c r="I685" s="7">
        <f>_A*F685*F685+_B*F685+_C</f>
        <v>401.05140266237248</v>
      </c>
      <c r="J685" s="7">
        <f t="shared" si="42"/>
        <v>0.55859733762753194</v>
      </c>
      <c r="K685" s="7" cm="1">
        <f t="array" ref="K685">INDEX(Sm,G685)</f>
        <v>0.81833597443365613</v>
      </c>
      <c r="L685" s="7">
        <f t="shared" si="43"/>
        <v>401.86973863680612</v>
      </c>
      <c r="M685" s="7">
        <f t="shared" si="44"/>
        <v>-0.25973863680610521</v>
      </c>
    </row>
    <row r="686" spans="6:13" ht="18.75" customHeight="1">
      <c r="F686" s="1">
        <v>42217</v>
      </c>
      <c r="G686">
        <f t="shared" si="41"/>
        <v>8</v>
      </c>
      <c r="H686" s="7">
        <v>399</v>
      </c>
      <c r="I686" s="7">
        <f>_A*F686*F686+_B*F686+_C</f>
        <v>401.24085823184777</v>
      </c>
      <c r="J686" s="7">
        <f t="shared" si="42"/>
        <v>-2.240858231847767</v>
      </c>
      <c r="K686" s="7" cm="1">
        <f t="array" ref="K686">INDEX(Sm,G686)</f>
        <v>-1.2372810548909516</v>
      </c>
      <c r="L686" s="7">
        <f t="shared" si="43"/>
        <v>400.00357717695681</v>
      </c>
      <c r="M686" s="7">
        <f t="shared" si="44"/>
        <v>-1.00357717695681</v>
      </c>
    </row>
    <row r="687" spans="6:13" ht="18.75" customHeight="1">
      <c r="F687" s="1">
        <v>42248</v>
      </c>
      <c r="G687">
        <f t="shared" si="41"/>
        <v>9</v>
      </c>
      <c r="H687" s="7">
        <v>397.5</v>
      </c>
      <c r="I687" s="7">
        <f>_A*F687*F687+_B*F687+_C</f>
        <v>401.43049436112301</v>
      </c>
      <c r="J687" s="7">
        <f t="shared" si="42"/>
        <v>-3.9304943611230101</v>
      </c>
      <c r="K687" s="7" cm="1">
        <f t="array" ref="K687">INDEX(Sm,G687)</f>
        <v>-3.0811738821107677</v>
      </c>
      <c r="L687" s="7">
        <f t="shared" si="43"/>
        <v>398.34932047901225</v>
      </c>
      <c r="M687" s="7">
        <f t="shared" si="44"/>
        <v>-0.84932047901224905</v>
      </c>
    </row>
    <row r="688" spans="6:13" ht="18.75" customHeight="1">
      <c r="F688" s="1">
        <v>42278</v>
      </c>
      <c r="G688">
        <f t="shared" si="41"/>
        <v>10</v>
      </c>
      <c r="H688" s="7">
        <v>398.28</v>
      </c>
      <c r="I688" s="7">
        <f>_A*F688*F688+_B*F688+_C</f>
        <v>401.61418511288468</v>
      </c>
      <c r="J688" s="7">
        <f t="shared" si="42"/>
        <v>-3.3341851128847111</v>
      </c>
      <c r="K688" s="7" cm="1">
        <f t="array" ref="K688">INDEX(Sm,G688)</f>
        <v>-3.2770720300056544</v>
      </c>
      <c r="L688" s="7">
        <f t="shared" si="43"/>
        <v>398.33711308287906</v>
      </c>
      <c r="M688" s="7">
        <f t="shared" si="44"/>
        <v>-5.7113082879084232E-2</v>
      </c>
    </row>
    <row r="689" spans="6:13" ht="18.75" customHeight="1">
      <c r="F689" s="1">
        <v>42309</v>
      </c>
      <c r="G689">
        <f t="shared" si="41"/>
        <v>11</v>
      </c>
      <c r="H689" s="7">
        <v>400.24</v>
      </c>
      <c r="I689" s="7">
        <f>_A*F689*F689+_B*F689+_C</f>
        <v>401.80417653725016</v>
      </c>
      <c r="J689" s="7">
        <f t="shared" si="42"/>
        <v>-1.5641765372501482</v>
      </c>
      <c r="K689" s="7" cm="1">
        <f t="array" ref="K689">INDEX(Sm,G689)</f>
        <v>-2.0734932780028581</v>
      </c>
      <c r="L689" s="7">
        <f t="shared" si="43"/>
        <v>399.73068325924731</v>
      </c>
      <c r="M689" s="7">
        <f t="shared" si="44"/>
        <v>0.50931674075269484</v>
      </c>
    </row>
    <row r="690" spans="6:13" ht="18.75" customHeight="1">
      <c r="F690" s="1">
        <v>42339</v>
      </c>
      <c r="G690">
        <f t="shared" si="41"/>
        <v>12</v>
      </c>
      <c r="H690" s="7">
        <v>401.89</v>
      </c>
      <c r="I690" s="7">
        <f>_A*F690*F690+_B*F690+_C</f>
        <v>401.98821112297009</v>
      </c>
      <c r="J690" s="7">
        <f t="shared" si="42"/>
        <v>-9.8211122970099041E-2</v>
      </c>
      <c r="K690" s="7" cm="1">
        <f t="array" ref="K690">INDEX(Sm,G690)</f>
        <v>-0.94500362363844403</v>
      </c>
      <c r="L690" s="7">
        <f t="shared" si="43"/>
        <v>401.04320749933163</v>
      </c>
      <c r="M690" s="7">
        <f t="shared" si="44"/>
        <v>0.84679250066835721</v>
      </c>
    </row>
    <row r="691" spans="6:13" ht="18.75" customHeight="1">
      <c r="F691" s="1">
        <v>42370</v>
      </c>
      <c r="G691">
        <f t="shared" si="41"/>
        <v>1</v>
      </c>
      <c r="H691" s="7">
        <v>402.65</v>
      </c>
      <c r="I691" s="7">
        <f>_A*F691*F691+_B*F691+_C</f>
        <v>402.17855784242585</v>
      </c>
      <c r="J691" s="7">
        <f t="shared" si="42"/>
        <v>0.47144215757413122</v>
      </c>
      <c r="K691" s="7" cm="1">
        <f t="array" ref="K691">INDEX(Sm,G691)</f>
        <v>-3.1273707705410173E-2</v>
      </c>
      <c r="L691" s="7">
        <f t="shared" si="43"/>
        <v>402.14728413472045</v>
      </c>
      <c r="M691" s="7">
        <f t="shared" si="44"/>
        <v>0.5027158652795265</v>
      </c>
    </row>
    <row r="692" spans="6:13" ht="18.75" customHeight="1">
      <c r="F692" s="1">
        <v>42401</v>
      </c>
      <c r="G692">
        <f t="shared" si="41"/>
        <v>2</v>
      </c>
      <c r="H692" s="7">
        <v>404.16</v>
      </c>
      <c r="I692" s="7">
        <f>_A*F692*F692+_B*F692+_C</f>
        <v>402.36908512168156</v>
      </c>
      <c r="J692" s="7">
        <f t="shared" si="42"/>
        <v>1.7909148783184605</v>
      </c>
      <c r="K692" s="7" cm="1">
        <f t="array" ref="K692">INDEX(Sm,G692)</f>
        <v>0.60795807352328612</v>
      </c>
      <c r="L692" s="7">
        <f t="shared" si="43"/>
        <v>402.97704319520483</v>
      </c>
      <c r="M692" s="7">
        <f t="shared" si="44"/>
        <v>1.1829568047951966</v>
      </c>
    </row>
    <row r="693" spans="6:13" ht="18.75" customHeight="1">
      <c r="F693" s="1">
        <v>42430</v>
      </c>
      <c r="G693">
        <f t="shared" si="41"/>
        <v>3</v>
      </c>
      <c r="H693" s="7">
        <v>404.85</v>
      </c>
      <c r="I693" s="7">
        <f>_A*F693*F693+_B*F693+_C</f>
        <v>402.54748378045036</v>
      </c>
      <c r="J693" s="7">
        <f t="shared" si="42"/>
        <v>2.3025162195496591</v>
      </c>
      <c r="K693" s="7" cm="1">
        <f t="array" ref="K693">INDEX(Sm,G693)</f>
        <v>1.368171928762181</v>
      </c>
      <c r="L693" s="7">
        <f t="shared" si="43"/>
        <v>403.91565570921256</v>
      </c>
      <c r="M693" s="7">
        <f t="shared" si="44"/>
        <v>0.93434429078746462</v>
      </c>
    </row>
    <row r="694" spans="6:13" ht="18.75" customHeight="1">
      <c r="F694" s="1">
        <v>42461</v>
      </c>
      <c r="G694">
        <f t="shared" si="41"/>
        <v>4</v>
      </c>
      <c r="H694" s="7">
        <v>407.57</v>
      </c>
      <c r="I694" s="7">
        <f>_A*F694*F694+_B*F694+_C</f>
        <v>402.73836053028663</v>
      </c>
      <c r="J694" s="7">
        <f t="shared" si="42"/>
        <v>4.831639469713366</v>
      </c>
      <c r="K694" s="7" cm="1">
        <f t="array" ref="K694">INDEX(Sm,G694)</f>
        <v>2.5295372401482399</v>
      </c>
      <c r="L694" s="7">
        <f t="shared" si="43"/>
        <v>405.26789777043484</v>
      </c>
      <c r="M694" s="7">
        <f t="shared" si="44"/>
        <v>2.3021022295651505</v>
      </c>
    </row>
    <row r="695" spans="6:13" ht="18.75" customHeight="1">
      <c r="F695" s="1">
        <v>42491</v>
      </c>
      <c r="G695">
        <f t="shared" si="41"/>
        <v>5</v>
      </c>
      <c r="H695" s="7">
        <v>407.66</v>
      </c>
      <c r="I695" s="7">
        <f>_A*F695*F695+_B*F695+_C</f>
        <v>402.92325188259122</v>
      </c>
      <c r="J695" s="7">
        <f t="shared" si="42"/>
        <v>4.7367481174088084</v>
      </c>
      <c r="K695" s="7" cm="1">
        <f t="array" ref="K695">INDEX(Sm,G695)</f>
        <v>2.9925789844300432</v>
      </c>
      <c r="L695" s="7">
        <f t="shared" si="43"/>
        <v>405.91583086702127</v>
      </c>
      <c r="M695" s="7">
        <f t="shared" si="44"/>
        <v>1.7441691329787545</v>
      </c>
    </row>
    <row r="696" spans="6:13" ht="18.75" customHeight="1">
      <c r="F696" s="1">
        <v>42522</v>
      </c>
      <c r="G696">
        <f t="shared" si="41"/>
        <v>6</v>
      </c>
      <c r="H696" s="7">
        <v>407</v>
      </c>
      <c r="I696" s="7">
        <f>_A*F696*F696+_B*F696+_C</f>
        <v>403.11448392751771</v>
      </c>
      <c r="J696" s="7">
        <f t="shared" si="42"/>
        <v>3.8855160724822895</v>
      </c>
      <c r="K696" s="7" cm="1">
        <f t="array" ref="K696">INDEX(Sm,G696)</f>
        <v>2.3204129706322356</v>
      </c>
      <c r="L696" s="7">
        <f t="shared" si="43"/>
        <v>405.43489689814993</v>
      </c>
      <c r="M696" s="7">
        <f t="shared" si="44"/>
        <v>1.5651031018500703</v>
      </c>
    </row>
    <row r="697" spans="6:13" ht="18.75" customHeight="1">
      <c r="F697" s="1">
        <v>42552</v>
      </c>
      <c r="G697">
        <f t="shared" si="41"/>
        <v>7</v>
      </c>
      <c r="H697" s="7">
        <v>404.5</v>
      </c>
      <c r="I697" s="7">
        <f>_A*F697*F697+_B*F697+_C</f>
        <v>403.29971911378061</v>
      </c>
      <c r="J697" s="7">
        <f t="shared" si="42"/>
        <v>1.2002808862193888</v>
      </c>
      <c r="K697" s="7" cm="1">
        <f t="array" ref="K697">INDEX(Sm,G697)</f>
        <v>0.81833597443365613</v>
      </c>
      <c r="L697" s="7">
        <f t="shared" si="43"/>
        <v>404.11805508821425</v>
      </c>
      <c r="M697" s="7">
        <f t="shared" si="44"/>
        <v>0.38194491178575163</v>
      </c>
    </row>
    <row r="698" spans="6:13" ht="18.75" customHeight="1">
      <c r="F698" s="1">
        <v>42583</v>
      </c>
      <c r="G698">
        <f t="shared" si="41"/>
        <v>8</v>
      </c>
      <c r="H698" s="7">
        <v>402.24</v>
      </c>
      <c r="I698" s="7">
        <f>_A*F698*F698+_B*F698+_C</f>
        <v>403.49130645379739</v>
      </c>
      <c r="J698" s="7">
        <f t="shared" si="42"/>
        <v>-1.2513064537973833</v>
      </c>
      <c r="K698" s="7" cm="1">
        <f t="array" ref="K698">INDEX(Sm,G698)</f>
        <v>-1.2372810548909516</v>
      </c>
      <c r="L698" s="7">
        <f t="shared" si="43"/>
        <v>402.25402539890644</v>
      </c>
      <c r="M698" s="7">
        <f t="shared" si="44"/>
        <v>-1.402539890642629E-2</v>
      </c>
    </row>
    <row r="699" spans="6:13" ht="18.75" customHeight="1">
      <c r="F699" s="1">
        <v>42614</v>
      </c>
      <c r="G699">
        <f t="shared" si="41"/>
        <v>9</v>
      </c>
      <c r="H699" s="7">
        <v>401.01</v>
      </c>
      <c r="I699" s="7">
        <f>_A*F699*F699+_B*F699+_C</f>
        <v>403.68307435361407</v>
      </c>
      <c r="J699" s="7">
        <f t="shared" si="42"/>
        <v>-2.6730743536140835</v>
      </c>
      <c r="K699" s="7" cm="1">
        <f t="array" ref="K699">INDEX(Sm,G699)</f>
        <v>-3.0811738821107677</v>
      </c>
      <c r="L699" s="7">
        <f t="shared" si="43"/>
        <v>400.60190047150331</v>
      </c>
      <c r="M699" s="7">
        <f t="shared" si="44"/>
        <v>0.40809952849667752</v>
      </c>
    </row>
    <row r="700" spans="6:13" ht="18.75" customHeight="1">
      <c r="F700" s="1">
        <v>42644</v>
      </c>
      <c r="G700">
        <f t="shared" si="41"/>
        <v>10</v>
      </c>
      <c r="H700" s="7">
        <v>401.5</v>
      </c>
      <c r="I700" s="7">
        <f>_A*F700*F700+_B*F700+_C</f>
        <v>403.86882810912562</v>
      </c>
      <c r="J700" s="7">
        <f t="shared" si="42"/>
        <v>-2.3688281091256158</v>
      </c>
      <c r="K700" s="7" cm="1">
        <f t="array" ref="K700">INDEX(Sm,G700)</f>
        <v>-3.2770720300056544</v>
      </c>
      <c r="L700" s="7">
        <f t="shared" si="43"/>
        <v>400.59175607911999</v>
      </c>
      <c r="M700" s="7">
        <f t="shared" si="44"/>
        <v>0.90824392088001105</v>
      </c>
    </row>
    <row r="701" spans="6:13" ht="18.75" customHeight="1">
      <c r="F701" s="1">
        <v>42675</v>
      </c>
      <c r="G701">
        <f t="shared" si="41"/>
        <v>11</v>
      </c>
      <c r="H701" s="7">
        <v>403.64</v>
      </c>
      <c r="I701" s="7">
        <f>_A*F701*F701+_B*F701+_C</f>
        <v>404.06095130403259</v>
      </c>
      <c r="J701" s="7">
        <f t="shared" si="42"/>
        <v>-0.42095130403259873</v>
      </c>
      <c r="K701" s="7" cm="1">
        <f t="array" ref="K701">INDEX(Sm,G701)</f>
        <v>-2.0734932780028581</v>
      </c>
      <c r="L701" s="7">
        <f t="shared" si="43"/>
        <v>401.98745802602974</v>
      </c>
      <c r="M701" s="7">
        <f t="shared" si="44"/>
        <v>1.6525419739702443</v>
      </c>
    </row>
    <row r="702" spans="6:13" ht="18.75" customHeight="1">
      <c r="F702" s="1">
        <v>42705</v>
      </c>
      <c r="G702">
        <f t="shared" si="41"/>
        <v>12</v>
      </c>
      <c r="H702" s="7">
        <v>404.55</v>
      </c>
      <c r="I702" s="7">
        <f>_A*F702*F702+_B*F702+_C</f>
        <v>404.24704889350232</v>
      </c>
      <c r="J702" s="7">
        <f t="shared" si="42"/>
        <v>0.30295110649768731</v>
      </c>
      <c r="K702" s="7" cm="1">
        <f t="array" ref="K702">INDEX(Sm,G702)</f>
        <v>-0.94500362363844403</v>
      </c>
      <c r="L702" s="7">
        <f t="shared" si="43"/>
        <v>403.30204526986387</v>
      </c>
      <c r="M702" s="7">
        <f t="shared" si="44"/>
        <v>1.2479547301361436</v>
      </c>
    </row>
    <row r="703" spans="6:13" ht="18.75" customHeight="1">
      <c r="F703" s="1">
        <v>42736</v>
      </c>
      <c r="G703">
        <f t="shared" si="41"/>
        <v>1</v>
      </c>
      <c r="H703" s="7">
        <v>406.07</v>
      </c>
      <c r="I703" s="7">
        <f>_A*F703*F703+_B*F703+_C</f>
        <v>404.43952738349958</v>
      </c>
      <c r="J703" s="7">
        <f t="shared" si="42"/>
        <v>1.6304726165004126</v>
      </c>
      <c r="K703" s="7" cm="1">
        <f t="array" ref="K703">INDEX(Sm,G703)</f>
        <v>-3.1273707705410173E-2</v>
      </c>
      <c r="L703" s="7">
        <f t="shared" si="43"/>
        <v>404.40825367579419</v>
      </c>
      <c r="M703" s="7">
        <f t="shared" si="44"/>
        <v>1.6617463242058079</v>
      </c>
    </row>
    <row r="704" spans="6:13" ht="18.75" customHeight="1">
      <c r="F704" s="1">
        <v>42767</v>
      </c>
      <c r="G704">
        <f t="shared" si="41"/>
        <v>2</v>
      </c>
      <c r="H704" s="7">
        <v>406.64</v>
      </c>
      <c r="I704" s="7">
        <f>_A*F704*F704+_B*F704+_C</f>
        <v>404.63218643329674</v>
      </c>
      <c r="J704" s="7">
        <f t="shared" si="42"/>
        <v>2.0078135667032484</v>
      </c>
      <c r="K704" s="7" cm="1">
        <f t="array" ref="K704">INDEX(Sm,G704)</f>
        <v>0.60795807352328612</v>
      </c>
      <c r="L704" s="7">
        <f t="shared" si="43"/>
        <v>405.24014450682</v>
      </c>
      <c r="M704" s="7">
        <f t="shared" si="44"/>
        <v>1.3998554931799845</v>
      </c>
    </row>
    <row r="705" spans="6:13" ht="18.75" customHeight="1">
      <c r="F705" s="1">
        <v>42795</v>
      </c>
      <c r="G705">
        <f t="shared" si="41"/>
        <v>3</v>
      </c>
      <c r="H705" s="7">
        <v>407.05</v>
      </c>
      <c r="I705" s="7">
        <f>_A*F705*F705+_B*F705+_C</f>
        <v>404.80635625391983</v>
      </c>
      <c r="J705" s="7">
        <f t="shared" si="42"/>
        <v>2.2436437460801812</v>
      </c>
      <c r="K705" s="7" cm="1">
        <f t="array" ref="K705">INDEX(Sm,G705)</f>
        <v>1.368171928762181</v>
      </c>
      <c r="L705" s="7">
        <f t="shared" si="43"/>
        <v>406.17452818268202</v>
      </c>
      <c r="M705" s="7">
        <f t="shared" si="44"/>
        <v>0.87547181731798673</v>
      </c>
    </row>
    <row r="706" spans="6:13" ht="18.75" customHeight="1">
      <c r="F706" s="1">
        <v>42826</v>
      </c>
      <c r="G706">
        <f t="shared" si="41"/>
        <v>4</v>
      </c>
      <c r="H706" s="7">
        <v>408.95</v>
      </c>
      <c r="I706" s="7">
        <f>_A*F706*F706+_B*F706+_C</f>
        <v>404.9993589497879</v>
      </c>
      <c r="J706" s="7">
        <f t="shared" si="42"/>
        <v>3.9506410502120843</v>
      </c>
      <c r="K706" s="7" cm="1">
        <f t="array" ref="K706">INDEX(Sm,G706)</f>
        <v>2.5295372401482399</v>
      </c>
      <c r="L706" s="7">
        <f t="shared" si="43"/>
        <v>407.52889618993612</v>
      </c>
      <c r="M706" s="7">
        <f t="shared" si="44"/>
        <v>1.4211038100638689</v>
      </c>
    </row>
    <row r="707" spans="6:13" ht="18.75" customHeight="1">
      <c r="F707" s="1">
        <v>42856</v>
      </c>
      <c r="G707">
        <f t="shared" ref="G707:G770" si="45">MONTH(F707)</f>
        <v>5</v>
      </c>
      <c r="H707" s="7">
        <v>409.91</v>
      </c>
      <c r="I707" s="7">
        <f>_A*F707*F707+_B*F707+_C</f>
        <v>405.18630766922001</v>
      </c>
      <c r="J707" s="7">
        <f t="shared" ref="J707:J742" si="46">H707-I707</f>
        <v>4.7236923307800112</v>
      </c>
      <c r="K707" s="7" cm="1">
        <f t="array" ref="K707">INDEX(Sm,G707)</f>
        <v>2.9925789844300432</v>
      </c>
      <c r="L707" s="7">
        <f t="shared" ref="L707:L742" si="47">I707+K707</f>
        <v>408.17888665365007</v>
      </c>
      <c r="M707" s="7">
        <f t="shared" ref="M707:M742" si="48">H707-L707</f>
        <v>1.7311133463499573</v>
      </c>
    </row>
    <row r="708" spans="6:13" ht="18.75" customHeight="1">
      <c r="F708" s="1">
        <v>42887</v>
      </c>
      <c r="G708">
        <f t="shared" si="45"/>
        <v>6</v>
      </c>
      <c r="H708" s="7">
        <v>409.12</v>
      </c>
      <c r="I708" s="7">
        <f>_A*F708*F708+_B*F708+_C</f>
        <v>405.37966566017838</v>
      </c>
      <c r="J708" s="7">
        <f t="shared" si="46"/>
        <v>3.7403343398216293</v>
      </c>
      <c r="K708" s="7" cm="1">
        <f t="array" ref="K708">INDEX(Sm,G708)</f>
        <v>2.3204129706322356</v>
      </c>
      <c r="L708" s="7">
        <f t="shared" si="47"/>
        <v>407.70007863081059</v>
      </c>
      <c r="M708" s="7">
        <f t="shared" si="48"/>
        <v>1.4199213691894101</v>
      </c>
    </row>
    <row r="709" spans="6:13" ht="18.75" customHeight="1">
      <c r="F709" s="1">
        <v>42917</v>
      </c>
      <c r="G709">
        <f t="shared" si="45"/>
        <v>7</v>
      </c>
      <c r="H709" s="7">
        <v>407.2</v>
      </c>
      <c r="I709" s="7">
        <f>_A*F709*F709+_B*F709+_C</f>
        <v>405.5669582135688</v>
      </c>
      <c r="J709" s="7">
        <f t="shared" si="46"/>
        <v>1.6330417864311926</v>
      </c>
      <c r="K709" s="7" cm="1">
        <f t="array" ref="K709">INDEX(Sm,G709)</f>
        <v>0.81833597443365613</v>
      </c>
      <c r="L709" s="7">
        <f t="shared" si="47"/>
        <v>406.38529418800243</v>
      </c>
      <c r="M709" s="7">
        <f t="shared" si="48"/>
        <v>0.81470581199755543</v>
      </c>
    </row>
    <row r="710" spans="6:13" ht="18.75" customHeight="1">
      <c r="F710" s="1">
        <v>42948</v>
      </c>
      <c r="G710">
        <f t="shared" si="45"/>
        <v>8</v>
      </c>
      <c r="H710" s="7">
        <v>405.24</v>
      </c>
      <c r="I710" s="7">
        <f>_A*F710*F710+_B*F710+_C</f>
        <v>405.76067149961733</v>
      </c>
      <c r="J710" s="7">
        <f t="shared" si="46"/>
        <v>-0.52067149961732184</v>
      </c>
      <c r="K710" s="7" cm="1">
        <f t="array" ref="K710">INDEX(Sm,G710)</f>
        <v>-1.2372810548909516</v>
      </c>
      <c r="L710" s="7">
        <f t="shared" si="47"/>
        <v>404.52339044472637</v>
      </c>
      <c r="M710" s="7">
        <f t="shared" si="48"/>
        <v>0.71660955527363512</v>
      </c>
    </row>
    <row r="711" spans="6:13" ht="18.75" customHeight="1">
      <c r="F711" s="1">
        <v>42979</v>
      </c>
      <c r="G711">
        <f t="shared" si="45"/>
        <v>9</v>
      </c>
      <c r="H711" s="7">
        <v>403.27</v>
      </c>
      <c r="I711" s="7">
        <f>_A*F711*F711+_B*F711+_C</f>
        <v>405.95456534546588</v>
      </c>
      <c r="J711" s="7">
        <f t="shared" si="46"/>
        <v>-2.6845653454658986</v>
      </c>
      <c r="K711" s="7" cm="1">
        <f t="array" ref="K711">INDEX(Sm,G711)</f>
        <v>-3.0811738821107677</v>
      </c>
      <c r="L711" s="7">
        <f t="shared" si="47"/>
        <v>402.87339146335512</v>
      </c>
      <c r="M711" s="7">
        <f t="shared" si="48"/>
        <v>0.3966085366448624</v>
      </c>
    </row>
    <row r="712" spans="6:13" ht="18.75" customHeight="1">
      <c r="F712" s="1">
        <v>43009</v>
      </c>
      <c r="G712">
        <f t="shared" si="45"/>
        <v>10</v>
      </c>
      <c r="H712" s="7">
        <v>403.64</v>
      </c>
      <c r="I712" s="7">
        <f>_A*F712*F712+_B*F712+_C</f>
        <v>406.14237646810494</v>
      </c>
      <c r="J712" s="7">
        <f t="shared" si="46"/>
        <v>-2.5023764681049556</v>
      </c>
      <c r="K712" s="7" cm="1">
        <f t="array" ref="K712">INDEX(Sm,G712)</f>
        <v>-3.2770720300056544</v>
      </c>
      <c r="L712" s="7">
        <f t="shared" si="47"/>
        <v>402.86530443809932</v>
      </c>
      <c r="M712" s="7">
        <f t="shared" si="48"/>
        <v>0.77469556190067124</v>
      </c>
    </row>
    <row r="713" spans="6:13" ht="18.75" customHeight="1">
      <c r="F713" s="1">
        <v>43040</v>
      </c>
      <c r="G713">
        <f t="shared" si="45"/>
        <v>11</v>
      </c>
      <c r="H713" s="7">
        <v>405.17</v>
      </c>
      <c r="I713" s="7">
        <f>_A*F713*F713+_B*F713+_C</f>
        <v>406.33662560904378</v>
      </c>
      <c r="J713" s="7">
        <f t="shared" si="46"/>
        <v>-1.1666256090437628</v>
      </c>
      <c r="K713" s="7" cm="1">
        <f t="array" ref="K713">INDEX(Sm,G713)</f>
        <v>-2.0734932780028581</v>
      </c>
      <c r="L713" s="7">
        <f t="shared" si="47"/>
        <v>404.26313233104094</v>
      </c>
      <c r="M713" s="7">
        <f t="shared" si="48"/>
        <v>0.90686766895908022</v>
      </c>
    </row>
    <row r="714" spans="6:13" ht="18.75" customHeight="1">
      <c r="F714" s="1">
        <v>43070</v>
      </c>
      <c r="G714">
        <f t="shared" si="45"/>
        <v>12</v>
      </c>
      <c r="H714" s="7">
        <v>406.75</v>
      </c>
      <c r="I714" s="7">
        <f>_A*F714*F714+_B*F714+_C</f>
        <v>406.52478056564109</v>
      </c>
      <c r="J714" s="7">
        <f t="shared" si="46"/>
        <v>0.22521943435890535</v>
      </c>
      <c r="K714" s="7" cm="1">
        <f t="array" ref="K714">INDEX(Sm,G714)</f>
        <v>-0.94500362363844403</v>
      </c>
      <c r="L714" s="7">
        <f t="shared" si="47"/>
        <v>405.57977694200264</v>
      </c>
      <c r="M714" s="7">
        <f t="shared" si="48"/>
        <v>1.1702230579973616</v>
      </c>
    </row>
    <row r="715" spans="6:13" ht="18.75" customHeight="1">
      <c r="F715" s="1">
        <v>43101</v>
      </c>
      <c r="G715">
        <f t="shared" si="45"/>
        <v>1</v>
      </c>
      <c r="H715" s="7">
        <v>408.05</v>
      </c>
      <c r="I715" s="7">
        <f>_A*F715*F715+_B*F715+_C</f>
        <v>406.7193850016701</v>
      </c>
      <c r="J715" s="7">
        <f t="shared" si="46"/>
        <v>1.3306149983299065</v>
      </c>
      <c r="K715" s="7" cm="1">
        <f t="array" ref="K715">INDEX(Sm,G715)</f>
        <v>-3.1273707705410173E-2</v>
      </c>
      <c r="L715" s="7">
        <f t="shared" si="47"/>
        <v>406.68811129396471</v>
      </c>
      <c r="M715" s="7">
        <f t="shared" si="48"/>
        <v>1.3618887060353018</v>
      </c>
    </row>
    <row r="716" spans="6:13" ht="18.75" customHeight="1">
      <c r="F716" s="1">
        <v>43132</v>
      </c>
      <c r="G716">
        <f t="shared" si="45"/>
        <v>2</v>
      </c>
      <c r="H716" s="7">
        <v>408.34</v>
      </c>
      <c r="I716" s="7">
        <f>_A*F716*F716+_B*F716+_C</f>
        <v>406.91416999749913</v>
      </c>
      <c r="J716" s="7">
        <f t="shared" si="46"/>
        <v>1.4258300025008452</v>
      </c>
      <c r="K716" s="7" cm="1">
        <f t="array" ref="K716">INDEX(Sm,G716)</f>
        <v>0.60795807352328612</v>
      </c>
      <c r="L716" s="7">
        <f t="shared" si="47"/>
        <v>407.52212807102239</v>
      </c>
      <c r="M716" s="7">
        <f t="shared" si="48"/>
        <v>0.81787192897758132</v>
      </c>
    </row>
    <row r="717" spans="6:13" ht="18.75" customHeight="1">
      <c r="F717" s="1">
        <v>43160</v>
      </c>
      <c r="G717">
        <f t="shared" si="45"/>
        <v>3</v>
      </c>
      <c r="H717" s="7">
        <v>409.25</v>
      </c>
      <c r="I717" s="7">
        <f>_A*F717*F717+_B*F717+_C</f>
        <v>407.09026002744122</v>
      </c>
      <c r="J717" s="7">
        <f t="shared" si="46"/>
        <v>2.159739972558782</v>
      </c>
      <c r="K717" s="7" cm="1">
        <f t="array" ref="K717">INDEX(Sm,G717)</f>
        <v>1.368171928762181</v>
      </c>
      <c r="L717" s="7">
        <f t="shared" si="47"/>
        <v>408.45843195620341</v>
      </c>
      <c r="M717" s="7">
        <f t="shared" si="48"/>
        <v>0.79156804379658752</v>
      </c>
    </row>
    <row r="718" spans="6:13" ht="18.75" customHeight="1">
      <c r="F718" s="1">
        <v>43191</v>
      </c>
      <c r="G718">
        <f t="shared" si="45"/>
        <v>4</v>
      </c>
      <c r="H718" s="7">
        <v>410.3</v>
      </c>
      <c r="I718" s="7">
        <f>_A*F718*F718+_B*F718+_C</f>
        <v>407.2853886693411</v>
      </c>
      <c r="J718" s="7">
        <f t="shared" si="46"/>
        <v>3.0146113306589086</v>
      </c>
      <c r="K718" s="7" cm="1">
        <f t="array" ref="K718">INDEX(Sm,G718)</f>
        <v>2.5295372401482399</v>
      </c>
      <c r="L718" s="7">
        <f t="shared" si="47"/>
        <v>409.81492590948932</v>
      </c>
      <c r="M718" s="7">
        <f t="shared" si="48"/>
        <v>0.48507409051069317</v>
      </c>
    </row>
    <row r="719" spans="6:13" ht="18.75" customHeight="1">
      <c r="F719" s="1">
        <v>43221</v>
      </c>
      <c r="G719">
        <f t="shared" si="45"/>
        <v>5</v>
      </c>
      <c r="H719" s="7">
        <v>411.3</v>
      </c>
      <c r="I719" s="7">
        <f>_A*F719*F719+_B*F719+_C</f>
        <v>407.47439475590079</v>
      </c>
      <c r="J719" s="7">
        <f t="shared" si="46"/>
        <v>3.8256052440992221</v>
      </c>
      <c r="K719" s="7" cm="1">
        <f t="array" ref="K719">INDEX(Sm,G719)</f>
        <v>2.9925789844300432</v>
      </c>
      <c r="L719" s="7">
        <f t="shared" si="47"/>
        <v>410.46697374033084</v>
      </c>
      <c r="M719" s="7">
        <f t="shared" si="48"/>
        <v>0.83302625966916821</v>
      </c>
    </row>
    <row r="720" spans="6:13" ht="18.75" customHeight="1">
      <c r="F720" s="1">
        <v>43252</v>
      </c>
      <c r="G720">
        <f t="shared" si="45"/>
        <v>6</v>
      </c>
      <c r="H720" s="7">
        <v>410.88</v>
      </c>
      <c r="I720" s="7">
        <f>_A*F720*F720+_B*F720+_C</f>
        <v>407.66987869289096</v>
      </c>
      <c r="J720" s="7">
        <f t="shared" si="46"/>
        <v>3.2101213071090342</v>
      </c>
      <c r="K720" s="7" cm="1">
        <f t="array" ref="K720">INDEX(Sm,G720)</f>
        <v>2.3204129706322356</v>
      </c>
      <c r="L720" s="7">
        <f t="shared" si="47"/>
        <v>409.99029166352318</v>
      </c>
      <c r="M720" s="7">
        <f t="shared" si="48"/>
        <v>0.88970833647681502</v>
      </c>
    </row>
    <row r="721" spans="6:13" ht="18.75" customHeight="1">
      <c r="F721" s="1">
        <v>43282</v>
      </c>
      <c r="G721">
        <f t="shared" si="45"/>
        <v>7</v>
      </c>
      <c r="H721" s="7">
        <v>408.9</v>
      </c>
      <c r="I721" s="7">
        <f>_A*F721*F721+_B*F721+_C</f>
        <v>407.85922861340896</v>
      </c>
      <c r="J721" s="7">
        <f t="shared" si="46"/>
        <v>1.0407713865910182</v>
      </c>
      <c r="K721" s="7" cm="1">
        <f t="array" ref="K721">INDEX(Sm,G721)</f>
        <v>0.81833597443365613</v>
      </c>
      <c r="L721" s="7">
        <f t="shared" si="47"/>
        <v>408.6775645878426</v>
      </c>
      <c r="M721" s="7">
        <f t="shared" si="48"/>
        <v>0.22243541215738105</v>
      </c>
    </row>
    <row r="722" spans="6:13" ht="18.75" customHeight="1">
      <c r="F722" s="1">
        <v>43313</v>
      </c>
      <c r="G722">
        <f t="shared" si="45"/>
        <v>8</v>
      </c>
      <c r="H722" s="7">
        <v>407.1</v>
      </c>
      <c r="I722" s="7">
        <f>_A*F722*F722+_B*F722+_C</f>
        <v>408.05506784548936</v>
      </c>
      <c r="J722" s="7">
        <f t="shared" si="46"/>
        <v>-0.95506784548933865</v>
      </c>
      <c r="K722" s="7" cm="1">
        <f t="array" ref="K722">INDEX(Sm,G722)</f>
        <v>-1.2372810548909516</v>
      </c>
      <c r="L722" s="7">
        <f t="shared" si="47"/>
        <v>406.8177867905984</v>
      </c>
      <c r="M722" s="7">
        <f t="shared" si="48"/>
        <v>0.28221320940161831</v>
      </c>
    </row>
    <row r="723" spans="6:13" ht="18.75" customHeight="1">
      <c r="F723" s="1">
        <v>43344</v>
      </c>
      <c r="G723">
        <f t="shared" si="45"/>
        <v>9</v>
      </c>
      <c r="H723" s="7">
        <v>405.59</v>
      </c>
      <c r="I723" s="7">
        <f>_A*F723*F723+_B*F723+_C</f>
        <v>408.25108763736966</v>
      </c>
      <c r="J723" s="7">
        <f t="shared" si="46"/>
        <v>-2.6610876373696897</v>
      </c>
      <c r="K723" s="7" cm="1">
        <f t="array" ref="K723">INDEX(Sm,G723)</f>
        <v>-3.0811738821107677</v>
      </c>
      <c r="L723" s="7">
        <f t="shared" si="47"/>
        <v>405.1699137552589</v>
      </c>
      <c r="M723" s="7">
        <f t="shared" si="48"/>
        <v>0.42008624474107137</v>
      </c>
    </row>
    <row r="724" spans="6:13" ht="18.75" customHeight="1">
      <c r="F724" s="1">
        <v>43374</v>
      </c>
      <c r="G724">
        <f t="shared" si="45"/>
        <v>10</v>
      </c>
      <c r="H724" s="7">
        <v>405.99</v>
      </c>
      <c r="I724" s="7">
        <f>_A*F724*F724+_B*F724+_C</f>
        <v>408.4409561271363</v>
      </c>
      <c r="J724" s="7">
        <f t="shared" si="46"/>
        <v>-2.4509561271362941</v>
      </c>
      <c r="K724" s="7" cm="1">
        <f t="array" ref="K724">INDEX(Sm,G724)</f>
        <v>-3.2770720300056544</v>
      </c>
      <c r="L724" s="7">
        <f t="shared" si="47"/>
        <v>405.16388409713068</v>
      </c>
      <c r="M724" s="7">
        <f t="shared" si="48"/>
        <v>0.82611590286933279</v>
      </c>
    </row>
    <row r="725" spans="6:13" ht="18.75" customHeight="1">
      <c r="F725" s="1">
        <v>43405</v>
      </c>
      <c r="G725">
        <f t="shared" si="45"/>
        <v>11</v>
      </c>
      <c r="H725" s="7">
        <v>408.12</v>
      </c>
      <c r="I725" s="7">
        <f>_A*F725*F725+_B*F725+_C</f>
        <v>408.63733121410689</v>
      </c>
      <c r="J725" s="7">
        <f t="shared" si="46"/>
        <v>-0.51733121410688909</v>
      </c>
      <c r="K725" s="7" cm="1">
        <f t="array" ref="K725">INDEX(Sm,G725)</f>
        <v>-2.0734932780028581</v>
      </c>
      <c r="L725" s="7">
        <f t="shared" si="47"/>
        <v>406.56383793610405</v>
      </c>
      <c r="M725" s="7">
        <f t="shared" si="48"/>
        <v>1.5561620638959539</v>
      </c>
    </row>
    <row r="726" spans="6:13" ht="18.75" customHeight="1">
      <c r="F726" s="1">
        <v>43435</v>
      </c>
      <c r="G726">
        <f t="shared" si="45"/>
        <v>12</v>
      </c>
      <c r="H726" s="7">
        <v>409.23</v>
      </c>
      <c r="I726" s="7">
        <f>_A*F726*F726+_B*F726+_C</f>
        <v>408.82754353783179</v>
      </c>
      <c r="J726" s="7">
        <f t="shared" si="46"/>
        <v>0.40245646216823161</v>
      </c>
      <c r="K726" s="7" cm="1">
        <f t="array" ref="K726">INDEX(Sm,G726)</f>
        <v>-0.94500362363844403</v>
      </c>
      <c r="L726" s="7">
        <f t="shared" si="47"/>
        <v>407.88253991419333</v>
      </c>
      <c r="M726" s="7">
        <f t="shared" si="48"/>
        <v>1.3474600858066879</v>
      </c>
    </row>
    <row r="727" spans="6:13" ht="18.75" customHeight="1">
      <c r="F727" s="1">
        <v>43466</v>
      </c>
      <c r="G727">
        <f t="shared" si="45"/>
        <v>1</v>
      </c>
      <c r="H727" s="7">
        <v>410.92</v>
      </c>
      <c r="I727" s="7">
        <f>_A*F727*F727+_B*F727+_C</f>
        <v>409.02427391989261</v>
      </c>
      <c r="J727" s="7">
        <f t="shared" si="46"/>
        <v>1.8957260801074085</v>
      </c>
      <c r="K727" s="7" cm="1">
        <f t="array" ref="K727">INDEX(Sm,G727)</f>
        <v>-3.1273707705410173E-2</v>
      </c>
      <c r="L727" s="7">
        <f t="shared" si="47"/>
        <v>408.99300021218721</v>
      </c>
      <c r="M727" s="7">
        <f t="shared" si="48"/>
        <v>1.9269997878128038</v>
      </c>
    </row>
    <row r="728" spans="6:13" ht="18.75" customHeight="1">
      <c r="F728" s="1">
        <v>43497</v>
      </c>
      <c r="G728">
        <f t="shared" si="45"/>
        <v>2</v>
      </c>
      <c r="H728" s="7">
        <v>411.66</v>
      </c>
      <c r="I728" s="7">
        <f>_A*F728*F728+_B*F728+_C</f>
        <v>409.22118486175344</v>
      </c>
      <c r="J728" s="7">
        <f t="shared" si="46"/>
        <v>2.4388151382465821</v>
      </c>
      <c r="K728" s="7" cm="1">
        <f t="array" ref="K728">INDEX(Sm,G728)</f>
        <v>0.60795807352328612</v>
      </c>
      <c r="L728" s="7">
        <f t="shared" si="47"/>
        <v>409.82914293527671</v>
      </c>
      <c r="M728" s="7">
        <f t="shared" si="48"/>
        <v>1.8308570647233182</v>
      </c>
    </row>
    <row r="729" spans="6:13" ht="18.75" customHeight="1">
      <c r="F729" s="1">
        <v>43525</v>
      </c>
      <c r="G729">
        <f t="shared" si="45"/>
        <v>3</v>
      </c>
      <c r="H729" s="7">
        <v>412</v>
      </c>
      <c r="I729" s="7">
        <f>_A*F729*F729+_B*F729+_C</f>
        <v>409.39919510101458</v>
      </c>
      <c r="J729" s="7">
        <f t="shared" si="46"/>
        <v>2.600804898985416</v>
      </c>
      <c r="K729" s="7" cm="1">
        <f t="array" ref="K729">INDEX(Sm,G729)</f>
        <v>1.368171928762181</v>
      </c>
      <c r="L729" s="7">
        <f t="shared" si="47"/>
        <v>410.76736702977678</v>
      </c>
      <c r="M729" s="7">
        <f t="shared" si="48"/>
        <v>1.2326329702232215</v>
      </c>
    </row>
    <row r="730" spans="6:13" ht="18.75" customHeight="1">
      <c r="F730" s="1">
        <v>43556</v>
      </c>
      <c r="G730">
        <f t="shared" si="45"/>
        <v>4</v>
      </c>
      <c r="H730" s="7">
        <v>413.52</v>
      </c>
      <c r="I730" s="7">
        <f>_A*F730*F730+_B*F730+_C</f>
        <v>409.59644968894628</v>
      </c>
      <c r="J730" s="7">
        <f t="shared" si="46"/>
        <v>3.9235503110537024</v>
      </c>
      <c r="K730" s="7" cm="1">
        <f t="array" ref="K730">INDEX(Sm,G730)</f>
        <v>2.5295372401482399</v>
      </c>
      <c r="L730" s="7">
        <f t="shared" si="47"/>
        <v>412.12598692909449</v>
      </c>
      <c r="M730" s="7">
        <f t="shared" si="48"/>
        <v>1.394013070905487</v>
      </c>
    </row>
    <row r="731" spans="6:13" ht="18.75" customHeight="1">
      <c r="F731" s="1">
        <v>43586</v>
      </c>
      <c r="G731">
        <f t="shared" si="45"/>
        <v>5</v>
      </c>
      <c r="H731" s="7">
        <v>414.83</v>
      </c>
      <c r="I731" s="7">
        <f>_A*F731*F731+_B*F731+_C</f>
        <v>409.78751314263354</v>
      </c>
      <c r="J731" s="7">
        <f t="shared" si="46"/>
        <v>5.0424868573664412</v>
      </c>
      <c r="K731" s="7" cm="1">
        <f t="array" ref="K731">INDEX(Sm,G731)</f>
        <v>2.9925789844300432</v>
      </c>
      <c r="L731" s="7">
        <f t="shared" si="47"/>
        <v>412.7800921270636</v>
      </c>
      <c r="M731" s="7">
        <f t="shared" si="48"/>
        <v>2.0499078729363873</v>
      </c>
    </row>
    <row r="732" spans="6:13" ht="18.75" customHeight="1">
      <c r="F732" s="1">
        <v>43617</v>
      </c>
      <c r="G732">
        <f t="shared" si="45"/>
        <v>6</v>
      </c>
      <c r="H732" s="7">
        <v>413.96</v>
      </c>
      <c r="I732" s="7">
        <f>_A*F732*F732+_B*F732+_C</f>
        <v>409.98512302565553</v>
      </c>
      <c r="J732" s="7">
        <f t="shared" si="46"/>
        <v>3.9748769743444541</v>
      </c>
      <c r="K732" s="7" cm="1">
        <f t="array" ref="K732">INDEX(Sm,G732)</f>
        <v>2.3204129706322356</v>
      </c>
      <c r="L732" s="7">
        <f t="shared" si="47"/>
        <v>412.30553599628774</v>
      </c>
      <c r="M732" s="7">
        <f t="shared" si="48"/>
        <v>1.6544640037122349</v>
      </c>
    </row>
    <row r="733" spans="6:13" ht="18.75" customHeight="1">
      <c r="F733" s="1">
        <v>43647</v>
      </c>
      <c r="G733">
        <f t="shared" si="45"/>
        <v>7</v>
      </c>
      <c r="H733" s="7">
        <v>411.85</v>
      </c>
      <c r="I733" s="7">
        <f>_A*F733*F733+_B*F733+_C</f>
        <v>410.17653031330104</v>
      </c>
      <c r="J733" s="7">
        <f t="shared" si="46"/>
        <v>1.6734696866989793</v>
      </c>
      <c r="K733" s="7" cm="1">
        <f t="array" ref="K733">INDEX(Sm,G733)</f>
        <v>0.81833597443365613</v>
      </c>
      <c r="L733" s="7">
        <f t="shared" si="47"/>
        <v>410.99486628773468</v>
      </c>
      <c r="M733" s="7">
        <f t="shared" si="48"/>
        <v>0.85513371226534218</v>
      </c>
    </row>
    <row r="734" spans="6:13" ht="18.75" customHeight="1">
      <c r="F734" s="1">
        <v>43678</v>
      </c>
      <c r="G734">
        <f t="shared" si="45"/>
        <v>8</v>
      </c>
      <c r="H734" s="7">
        <v>410.08</v>
      </c>
      <c r="I734" s="7">
        <f>_A*F734*F734+_B*F734+_C</f>
        <v>410.37449549141326</v>
      </c>
      <c r="J734" s="7">
        <f t="shared" si="46"/>
        <v>-0.29449549141327225</v>
      </c>
      <c r="K734" s="7" cm="1">
        <f t="array" ref="K734">INDEX(Sm,G734)</f>
        <v>-1.2372810548909516</v>
      </c>
      <c r="L734" s="7">
        <f t="shared" si="47"/>
        <v>409.1372144365223</v>
      </c>
      <c r="M734" s="7">
        <f t="shared" si="48"/>
        <v>0.94278556347768472</v>
      </c>
    </row>
    <row r="735" spans="6:13" ht="18.75" customHeight="1">
      <c r="F735" s="1">
        <v>43709</v>
      </c>
      <c r="G735">
        <f t="shared" si="45"/>
        <v>9</v>
      </c>
      <c r="H735" s="7">
        <v>408.55</v>
      </c>
      <c r="I735" s="7">
        <f>_A*F735*F735+_B*F735+_C</f>
        <v>410.57264122932543</v>
      </c>
      <c r="J735" s="7">
        <f t="shared" si="46"/>
        <v>-2.0226412293254157</v>
      </c>
      <c r="K735" s="7" cm="1">
        <f t="array" ref="K735">INDEX(Sm,G735)</f>
        <v>-3.0811738821107677</v>
      </c>
      <c r="L735" s="7">
        <f t="shared" si="47"/>
        <v>407.49146734721467</v>
      </c>
      <c r="M735" s="7">
        <f t="shared" si="48"/>
        <v>1.0585326527853454</v>
      </c>
    </row>
    <row r="736" spans="6:13" ht="18.75" customHeight="1">
      <c r="F736" s="1">
        <v>43739</v>
      </c>
      <c r="G736">
        <f t="shared" si="45"/>
        <v>10</v>
      </c>
      <c r="H736" s="7">
        <v>408.43</v>
      </c>
      <c r="I736" s="7">
        <f>_A*F736*F736+_B*F736+_C</f>
        <v>410.76456708621959</v>
      </c>
      <c r="J736" s="7">
        <f t="shared" si="46"/>
        <v>-2.3345670862195789</v>
      </c>
      <c r="K736" s="7" cm="1">
        <f t="array" ref="K736">INDEX(Sm,G736)</f>
        <v>-3.2770720300056544</v>
      </c>
      <c r="L736" s="7">
        <f t="shared" si="47"/>
        <v>407.48749505621396</v>
      </c>
      <c r="M736" s="7">
        <f t="shared" si="48"/>
        <v>0.94250494378604799</v>
      </c>
    </row>
    <row r="737" spans="6:13" ht="18.75" customHeight="1">
      <c r="F737" s="1">
        <v>43770</v>
      </c>
      <c r="G737">
        <f t="shared" si="45"/>
        <v>11</v>
      </c>
      <c r="H737" s="7">
        <v>410.29</v>
      </c>
      <c r="I737" s="7">
        <f>_A*F737*F737+_B*F737+_C</f>
        <v>410.96306811922199</v>
      </c>
      <c r="J737" s="7">
        <f t="shared" si="46"/>
        <v>-0.6730681192219663</v>
      </c>
      <c r="K737" s="7" cm="1">
        <f t="array" ref="K737">INDEX(Sm,G737)</f>
        <v>-2.0734932780028581</v>
      </c>
      <c r="L737" s="7">
        <f t="shared" si="47"/>
        <v>408.88957484121914</v>
      </c>
      <c r="M737" s="7">
        <f t="shared" si="48"/>
        <v>1.4004251587808767</v>
      </c>
    </row>
    <row r="738" spans="6:13" ht="18.75" customHeight="1">
      <c r="F738" s="1">
        <v>43800</v>
      </c>
      <c r="G738">
        <f t="shared" si="45"/>
        <v>12</v>
      </c>
      <c r="H738" s="7">
        <v>411.85</v>
      </c>
      <c r="I738" s="7">
        <f>_A*F738*F738+_B*F738+_C</f>
        <v>411.15533781007446</v>
      </c>
      <c r="J738" s="7">
        <f t="shared" si="46"/>
        <v>0.69466218992556605</v>
      </c>
      <c r="K738" s="7" cm="1">
        <f t="array" ref="K738">INDEX(Sm,G738)</f>
        <v>-0.94500362363844403</v>
      </c>
      <c r="L738" s="7">
        <f t="shared" si="47"/>
        <v>410.210334186436</v>
      </c>
      <c r="M738" s="7">
        <f t="shared" si="48"/>
        <v>1.6396658135640223</v>
      </c>
    </row>
    <row r="739" spans="6:13" ht="18.75" customHeight="1">
      <c r="F739" s="1">
        <v>43831</v>
      </c>
      <c r="G739">
        <f t="shared" si="45"/>
        <v>1</v>
      </c>
      <c r="H739" s="7">
        <v>413.37</v>
      </c>
      <c r="I739" s="7">
        <f>_A*F739*F739+_B*F739+_C</f>
        <v>411.35419413816714</v>
      </c>
      <c r="J739" s="7">
        <f t="shared" si="46"/>
        <v>2.0158058618328596</v>
      </c>
      <c r="K739" s="7" cm="1">
        <f t="array" ref="K739">INDEX(Sm,G739)</f>
        <v>-3.1273707705410173E-2</v>
      </c>
      <c r="L739" s="7">
        <f t="shared" si="47"/>
        <v>411.32292043046175</v>
      </c>
      <c r="M739" s="7">
        <f t="shared" si="48"/>
        <v>2.0470795695382549</v>
      </c>
    </row>
    <row r="740" spans="6:13" ht="18.75" customHeight="1">
      <c r="F740" s="1">
        <v>43862</v>
      </c>
      <c r="G740">
        <f t="shared" si="45"/>
        <v>2</v>
      </c>
      <c r="H740" s="7">
        <v>414.09</v>
      </c>
      <c r="I740" s="7">
        <f>_A*F740*F740+_B*F740+_C</f>
        <v>411.55323102605973</v>
      </c>
      <c r="J740" s="7">
        <f t="shared" si="46"/>
        <v>2.5367689739402408</v>
      </c>
      <c r="K740" s="7" cm="1">
        <f t="array" ref="K740">INDEX(Sm,G740)</f>
        <v>0.60795807352328612</v>
      </c>
      <c r="L740" s="7">
        <f t="shared" si="47"/>
        <v>412.161189099583</v>
      </c>
      <c r="M740" s="7">
        <f t="shared" si="48"/>
        <v>1.9288109004169769</v>
      </c>
    </row>
    <row r="741" spans="6:13" ht="18.75" customHeight="1">
      <c r="F741" s="1">
        <v>43891</v>
      </c>
      <c r="G741">
        <f t="shared" si="45"/>
        <v>3</v>
      </c>
      <c r="H741" s="7">
        <v>414.51</v>
      </c>
      <c r="I741" s="7">
        <f>_A*F741*F741+_B*F741+_C</f>
        <v>411.73959028645669</v>
      </c>
      <c r="J741" s="7">
        <f t="shared" si="46"/>
        <v>2.7704097135433017</v>
      </c>
      <c r="K741" s="7" cm="1">
        <f t="array" ref="K741">INDEX(Sm,G741)</f>
        <v>1.368171928762181</v>
      </c>
      <c r="L741" s="7">
        <f t="shared" si="47"/>
        <v>413.10776221521888</v>
      </c>
      <c r="M741" s="7">
        <f t="shared" si="48"/>
        <v>1.4022377847811072</v>
      </c>
    </row>
    <row r="742" spans="6:13" ht="18.75" customHeight="1">
      <c r="F742" s="16">
        <v>43922</v>
      </c>
      <c r="G742" s="17">
        <f t="shared" si="45"/>
        <v>4</v>
      </c>
      <c r="H742" s="18">
        <v>416.18</v>
      </c>
      <c r="I742" s="7">
        <f>_A*F742*F742+_B*F742+_C</f>
        <v>411.93897664492988</v>
      </c>
      <c r="J742" s="7">
        <f t="shared" si="46"/>
        <v>4.2410233550701264</v>
      </c>
      <c r="K742" s="7" cm="1">
        <f t="array" ref="K742">INDEX(Sm,G742)</f>
        <v>2.5295372401482399</v>
      </c>
      <c r="L742" s="7">
        <f t="shared" si="47"/>
        <v>414.4685138850781</v>
      </c>
      <c r="M742" s="7">
        <f t="shared" si="48"/>
        <v>1.7114861149219109</v>
      </c>
    </row>
    <row r="743" spans="6:13" ht="18.75" customHeight="1">
      <c r="F743" s="1">
        <v>43952</v>
      </c>
      <c r="G743">
        <f t="shared" si="45"/>
        <v>5</v>
      </c>
      <c r="I743" s="7">
        <f>_A*F743*F743+_B*F743+_C</f>
        <v>412.13210310236695</v>
      </c>
      <c r="J743" s="7"/>
      <c r="K743" s="7" cm="1">
        <f t="array" ref="K743">INDEX(Sm,G743)</f>
        <v>2.9925789844300432</v>
      </c>
      <c r="L743" s="7">
        <f t="shared" ref="L743" si="49">I743+K743</f>
        <v>415.12468208679701</v>
      </c>
    </row>
    <row r="744" spans="6:13" ht="18.75" customHeight="1">
      <c r="F744" s="1">
        <v>43983</v>
      </c>
      <c r="G744">
        <f t="shared" si="45"/>
        <v>6</v>
      </c>
      <c r="I744" s="7">
        <f>_A*F744*F744+_B*F744+_C</f>
        <v>412.33184475593038</v>
      </c>
      <c r="J744" s="7"/>
      <c r="K744" s="7" cm="1">
        <f t="array" ref="K744">INDEX(Sm,G744)</f>
        <v>2.3204129706322356</v>
      </c>
      <c r="L744" s="7">
        <f t="shared" ref="L744:L807" si="50">I744+K744</f>
        <v>414.6522577265626</v>
      </c>
    </row>
    <row r="745" spans="6:13" ht="18.75" customHeight="1">
      <c r="F745" s="1">
        <v>44013</v>
      </c>
      <c r="G745">
        <f t="shared" si="45"/>
        <v>7</v>
      </c>
      <c r="I745" s="7">
        <f>_A*F745*F745+_B*F745+_C</f>
        <v>412.52531504732582</v>
      </c>
      <c r="J745" s="7"/>
      <c r="K745" s="7" cm="1">
        <f t="array" ref="K745">INDEX(Sm,G745)</f>
        <v>0.81833597443365613</v>
      </c>
      <c r="L745" s="7">
        <f t="shared" si="50"/>
        <v>413.34365102175946</v>
      </c>
    </row>
    <row r="746" spans="6:13" ht="18.75" customHeight="1">
      <c r="F746" s="1">
        <v>44044</v>
      </c>
      <c r="G746">
        <f t="shared" si="45"/>
        <v>8</v>
      </c>
      <c r="I746" s="7">
        <f>_A*F746*F746+_B*F746+_C</f>
        <v>412.72541199597947</v>
      </c>
      <c r="J746" s="7"/>
      <c r="K746" s="7" cm="1">
        <f t="array" ref="K746">INDEX(Sm,G746)</f>
        <v>-1.2372810548909516</v>
      </c>
      <c r="L746" s="7">
        <f t="shared" si="50"/>
        <v>411.48813094108851</v>
      </c>
    </row>
    <row r="747" spans="6:13" ht="18.75" customHeight="1">
      <c r="F747" s="1">
        <v>44075</v>
      </c>
      <c r="G747">
        <f t="shared" si="45"/>
        <v>9</v>
      </c>
      <c r="I747" s="7">
        <f>_A*F747*F747+_B*F747+_C</f>
        <v>412.92568950443308</v>
      </c>
      <c r="J747" s="7"/>
      <c r="K747" s="7" cm="1">
        <f t="array" ref="K747">INDEX(Sm,G747)</f>
        <v>-3.0811738821107677</v>
      </c>
      <c r="L747" s="7">
        <f t="shared" si="50"/>
        <v>409.84451562232232</v>
      </c>
    </row>
    <row r="748" spans="6:13" ht="18.75" customHeight="1">
      <c r="F748" s="1">
        <v>44105</v>
      </c>
      <c r="G748">
        <f t="shared" si="45"/>
        <v>10</v>
      </c>
      <c r="I748" s="7">
        <f>_A*F748*F748+_B*F748+_C</f>
        <v>413.11967836507711</v>
      </c>
      <c r="J748" s="7"/>
      <c r="K748" s="7" cm="1">
        <f t="array" ref="K748">INDEX(Sm,G748)</f>
        <v>-3.2770720300056544</v>
      </c>
      <c r="L748" s="7">
        <f t="shared" si="50"/>
        <v>409.84260633507148</v>
      </c>
    </row>
    <row r="749" spans="6:13" ht="18.75" customHeight="1">
      <c r="F749" s="1">
        <v>44136</v>
      </c>
      <c r="G749">
        <f t="shared" si="45"/>
        <v>11</v>
      </c>
      <c r="I749" s="7">
        <f>_A*F749*F749+_B*F749+_C</f>
        <v>413.320311168621</v>
      </c>
      <c r="J749" s="7"/>
      <c r="K749" s="7" cm="1">
        <f t="array" ref="K749">INDEX(Sm,G749)</f>
        <v>-2.0734932780028581</v>
      </c>
      <c r="L749" s="7">
        <f t="shared" si="50"/>
        <v>411.24681789061816</v>
      </c>
    </row>
    <row r="750" spans="6:13" ht="18.75" customHeight="1">
      <c r="F750" s="1">
        <v>44166</v>
      </c>
      <c r="G750">
        <f t="shared" si="45"/>
        <v>12</v>
      </c>
      <c r="I750" s="7">
        <f>_A*F750*F750+_B*F750+_C</f>
        <v>413.51464386322328</v>
      </c>
      <c r="J750" s="7"/>
      <c r="K750" s="7" cm="1">
        <f t="array" ref="K750">INDEX(Sm,G750)</f>
        <v>-0.94500362363844403</v>
      </c>
      <c r="L750" s="7">
        <f t="shared" si="50"/>
        <v>412.56964023958483</v>
      </c>
    </row>
    <row r="751" spans="6:13" ht="18.75" customHeight="1">
      <c r="F751" s="1">
        <v>44197</v>
      </c>
      <c r="G751">
        <f t="shared" si="45"/>
        <v>1</v>
      </c>
      <c r="I751" s="7">
        <f>_A*F751*F751+_B*F751+_C</f>
        <v>413.71563196185741</v>
      </c>
      <c r="J751" s="7"/>
      <c r="K751" s="7" cm="1">
        <f t="array" ref="K751">INDEX(Sm,G751)</f>
        <v>-3.1273707705410173E-2</v>
      </c>
      <c r="L751" s="7">
        <f t="shared" si="50"/>
        <v>413.68435825415202</v>
      </c>
    </row>
    <row r="752" spans="6:13" ht="18.75" customHeight="1">
      <c r="F752" s="1">
        <v>44228</v>
      </c>
      <c r="G752">
        <f t="shared" si="45"/>
        <v>2</v>
      </c>
      <c r="I752" s="7">
        <f>_A*F752*F752+_B*F752+_C</f>
        <v>413.91680062029155</v>
      </c>
      <c r="J752" s="7"/>
      <c r="K752" s="7" cm="1">
        <f t="array" ref="K752">INDEX(Sm,G752)</f>
        <v>0.60795807352328612</v>
      </c>
      <c r="L752" s="7">
        <f t="shared" si="50"/>
        <v>414.52475869381482</v>
      </c>
    </row>
    <row r="753" spans="6:12" ht="18.75" customHeight="1">
      <c r="F753" s="1">
        <v>44256</v>
      </c>
      <c r="G753">
        <f t="shared" si="45"/>
        <v>3</v>
      </c>
      <c r="I753" s="7">
        <f>_A*F753*F753+_B*F753+_C</f>
        <v>414.0986565390383</v>
      </c>
      <c r="J753" s="7"/>
      <c r="K753" s="7" cm="1">
        <f t="array" ref="K753">INDEX(Sm,G753)</f>
        <v>1.368171928762181</v>
      </c>
      <c r="L753" s="7">
        <f t="shared" si="50"/>
        <v>415.4668284678005</v>
      </c>
    </row>
    <row r="754" spans="6:12" ht="18.75" customHeight="1">
      <c r="F754" s="1">
        <v>44287</v>
      </c>
      <c r="G754">
        <f t="shared" si="45"/>
        <v>4</v>
      </c>
      <c r="I754" s="7">
        <f>_A*F754*F754+_B*F754+_C</f>
        <v>414.3001688435433</v>
      </c>
      <c r="J754" s="7"/>
      <c r="K754" s="7" cm="1">
        <f t="array" ref="K754">INDEX(Sm,G754)</f>
        <v>2.5295372401482399</v>
      </c>
      <c r="L754" s="7">
        <f t="shared" si="50"/>
        <v>416.82970608369152</v>
      </c>
    </row>
    <row r="755" spans="6:12" ht="18.75" customHeight="1">
      <c r="F755" s="1">
        <v>44317</v>
      </c>
      <c r="G755">
        <f t="shared" si="45"/>
        <v>5</v>
      </c>
      <c r="I755" s="7">
        <f>_A*F755*F755+_B*F755+_C</f>
        <v>414.4953526681079</v>
      </c>
      <c r="J755" s="7"/>
      <c r="K755" s="7" cm="1">
        <f t="array" ref="K755">INDEX(Sm,G755)</f>
        <v>2.9925789844300432</v>
      </c>
      <c r="L755" s="7">
        <f t="shared" si="50"/>
        <v>417.48793165253795</v>
      </c>
    </row>
    <row r="756" spans="6:12" ht="18.75" customHeight="1">
      <c r="F756" s="1">
        <v>44348</v>
      </c>
      <c r="G756">
        <f t="shared" si="45"/>
        <v>6</v>
      </c>
      <c r="I756" s="7">
        <f>_A*F756*F756+_B*F756+_C</f>
        <v>414.69722026770319</v>
      </c>
      <c r="J756" s="7"/>
      <c r="K756" s="7" cm="1">
        <f t="array" ref="K756">INDEX(Sm,G756)</f>
        <v>2.3204129706322356</v>
      </c>
      <c r="L756" s="7">
        <f t="shared" si="50"/>
        <v>417.01763323833541</v>
      </c>
    </row>
    <row r="757" spans="6:12" ht="18.75" customHeight="1">
      <c r="F757" s="1">
        <v>44378</v>
      </c>
      <c r="G757">
        <f t="shared" si="45"/>
        <v>7</v>
      </c>
      <c r="I757" s="7">
        <f>_A*F757*F757+_B*F757+_C</f>
        <v>414.89274792622609</v>
      </c>
      <c r="J757" s="7"/>
      <c r="K757" s="7" cm="1">
        <f t="array" ref="K757">INDEX(Sm,G757)</f>
        <v>0.81833597443365613</v>
      </c>
      <c r="L757" s="7">
        <f t="shared" si="50"/>
        <v>415.71108390065973</v>
      </c>
    </row>
    <row r="758" spans="6:12" ht="18.75" customHeight="1">
      <c r="F758" s="1">
        <v>44409</v>
      </c>
      <c r="G758">
        <f t="shared" si="45"/>
        <v>8</v>
      </c>
      <c r="I758" s="7">
        <f>_A*F758*F758+_B*F758+_C</f>
        <v>415.09497082091161</v>
      </c>
      <c r="J758" s="7"/>
      <c r="K758" s="7" cm="1">
        <f t="array" ref="K758">INDEX(Sm,G758)</f>
        <v>-1.2372810548909516</v>
      </c>
      <c r="L758" s="7">
        <f t="shared" si="50"/>
        <v>413.85768976602066</v>
      </c>
    </row>
    <row r="759" spans="6:12" ht="18.75" customHeight="1">
      <c r="F759" s="1">
        <v>44440</v>
      </c>
      <c r="G759">
        <f t="shared" si="45"/>
        <v>9</v>
      </c>
      <c r="I759" s="7">
        <f>_A*F759*F759+_B*F759+_C</f>
        <v>415.29737427539709</v>
      </c>
      <c r="J759" s="7"/>
      <c r="K759" s="7" cm="1">
        <f t="array" ref="K759">INDEX(Sm,G759)</f>
        <v>-3.0811738821107677</v>
      </c>
      <c r="L759" s="7">
        <f t="shared" si="50"/>
        <v>412.21620039328633</v>
      </c>
    </row>
    <row r="760" spans="6:12" ht="18.75" customHeight="1">
      <c r="F760" s="1">
        <v>44470</v>
      </c>
      <c r="G760">
        <f t="shared" si="45"/>
        <v>10</v>
      </c>
      <c r="I760" s="7">
        <f>_A*F760*F760+_B*F760+_C</f>
        <v>415.49342050316864</v>
      </c>
      <c r="J760" s="7"/>
      <c r="K760" s="7" cm="1">
        <f t="array" ref="K760">INDEX(Sm,G760)</f>
        <v>-3.2770720300056544</v>
      </c>
      <c r="L760" s="7">
        <f t="shared" si="50"/>
        <v>412.21634847316301</v>
      </c>
    </row>
    <row r="761" spans="6:12" ht="18.75" customHeight="1">
      <c r="F761" s="1">
        <v>44501</v>
      </c>
      <c r="G761">
        <f t="shared" si="45"/>
        <v>11</v>
      </c>
      <c r="I761" s="7">
        <f>_A*F761*F761+_B*F761+_C</f>
        <v>415.69617925274434</v>
      </c>
      <c r="J761" s="7"/>
      <c r="K761" s="7" cm="1">
        <f t="array" ref="K761">INDEX(Sm,G761)</f>
        <v>-2.0734932780028581</v>
      </c>
      <c r="L761" s="7">
        <f t="shared" si="50"/>
        <v>413.6226859747415</v>
      </c>
    </row>
    <row r="762" spans="6:12" ht="18.75" customHeight="1">
      <c r="F762" s="1">
        <v>44531</v>
      </c>
      <c r="G762">
        <f t="shared" si="45"/>
        <v>12</v>
      </c>
      <c r="I762" s="7">
        <f>_A*F762*F762+_B*F762+_C</f>
        <v>415.8925693144742</v>
      </c>
      <c r="J762" s="7"/>
      <c r="K762" s="7" cm="1">
        <f t="array" ref="K762">INDEX(Sm,G762)</f>
        <v>-0.94500362363844403</v>
      </c>
      <c r="L762" s="7">
        <f t="shared" si="50"/>
        <v>414.94756569083575</v>
      </c>
    </row>
    <row r="763" spans="6:12" ht="18.75" customHeight="1">
      <c r="F763" s="1">
        <v>44562</v>
      </c>
      <c r="G763">
        <f t="shared" si="45"/>
        <v>1</v>
      </c>
      <c r="I763" s="7">
        <f>_A*F763*F763+_B*F763+_C</f>
        <v>416.09568335914014</v>
      </c>
      <c r="J763" s="7"/>
      <c r="K763" s="7" cm="1">
        <f t="array" ref="K763">INDEX(Sm,G763)</f>
        <v>-3.1273707705410173E-2</v>
      </c>
      <c r="L763" s="7">
        <f t="shared" si="50"/>
        <v>416.06440965143474</v>
      </c>
    </row>
    <row r="764" spans="6:12" ht="18.75" customHeight="1">
      <c r="F764" s="1">
        <v>44593</v>
      </c>
      <c r="G764">
        <f t="shared" si="45"/>
        <v>2</v>
      </c>
      <c r="I764" s="7">
        <f>_A*F764*F764+_B*F764+_C</f>
        <v>416.29897796360609</v>
      </c>
      <c r="J764" s="7"/>
      <c r="K764" s="7" cm="1">
        <f t="array" ref="K764">INDEX(Sm,G764)</f>
        <v>0.60795807352328612</v>
      </c>
      <c r="L764" s="7">
        <f t="shared" si="50"/>
        <v>416.90693603712936</v>
      </c>
    </row>
    <row r="765" spans="6:12" ht="18.75" customHeight="1">
      <c r="F765" s="1">
        <v>44621</v>
      </c>
      <c r="G765">
        <f t="shared" si="45"/>
        <v>3</v>
      </c>
      <c r="I765" s="7">
        <f>_A*F765*F765+_B*F765+_C</f>
        <v>416.48275409167184</v>
      </c>
      <c r="J765" s="7"/>
      <c r="K765" s="7" cm="1">
        <f t="array" ref="K765">INDEX(Sm,G765)</f>
        <v>1.368171928762181</v>
      </c>
      <c r="L765" s="7">
        <f t="shared" si="50"/>
        <v>417.85092602043403</v>
      </c>
    </row>
    <row r="766" spans="6:12" ht="18.75" customHeight="1">
      <c r="F766" s="1">
        <v>44652</v>
      </c>
      <c r="G766">
        <f t="shared" si="45"/>
        <v>4</v>
      </c>
      <c r="I766" s="7">
        <f>_A*F766*F766+_B*F766+_C</f>
        <v>416.68639234220871</v>
      </c>
      <c r="J766" s="7"/>
      <c r="K766" s="7" cm="1">
        <f t="array" ref="K766">INDEX(Sm,G766)</f>
        <v>2.5295372401482399</v>
      </c>
      <c r="L766" s="7">
        <f t="shared" si="50"/>
        <v>419.21592958235692</v>
      </c>
    </row>
    <row r="767" spans="6:12" ht="18.75" customHeight="1">
      <c r="F767" s="1">
        <v>44682</v>
      </c>
      <c r="G767">
        <f t="shared" si="45"/>
        <v>5</v>
      </c>
      <c r="I767" s="7">
        <f>_A*F767*F767+_B*F767+_C</f>
        <v>416.88363353390082</v>
      </c>
      <c r="J767" s="7"/>
      <c r="K767" s="7" cm="1">
        <f t="array" ref="K767">INDEX(Sm,G767)</f>
        <v>2.9925789844300432</v>
      </c>
      <c r="L767" s="7">
        <f t="shared" si="50"/>
        <v>419.87621251833087</v>
      </c>
    </row>
    <row r="768" spans="6:12" ht="18.75" customHeight="1">
      <c r="F768" s="1">
        <v>44713</v>
      </c>
      <c r="G768">
        <f t="shared" si="45"/>
        <v>6</v>
      </c>
      <c r="I768" s="7">
        <f>_A*F768*F768+_B*F768+_C</f>
        <v>417.08762707952792</v>
      </c>
      <c r="J768" s="7"/>
      <c r="K768" s="7" cm="1">
        <f t="array" ref="K768">INDEX(Sm,G768)</f>
        <v>2.3204129706322356</v>
      </c>
      <c r="L768" s="7">
        <f t="shared" si="50"/>
        <v>419.40804005016014</v>
      </c>
    </row>
    <row r="769" spans="6:12" ht="18.75" customHeight="1">
      <c r="F769" s="1">
        <v>44743</v>
      </c>
      <c r="G769">
        <f t="shared" si="45"/>
        <v>7</v>
      </c>
      <c r="I769" s="7">
        <f>_A*F769*F769+_B*F769+_C</f>
        <v>417.2852121051784</v>
      </c>
      <c r="J769" s="7"/>
      <c r="K769" s="7" cm="1">
        <f t="array" ref="K769">INDEX(Sm,G769)</f>
        <v>0.81833597443365613</v>
      </c>
      <c r="L769" s="7">
        <f t="shared" si="50"/>
        <v>418.10354807961204</v>
      </c>
    </row>
    <row r="770" spans="6:12" ht="18.75" customHeight="1">
      <c r="F770" s="1">
        <v>44774</v>
      </c>
      <c r="G770">
        <f t="shared" si="45"/>
        <v>8</v>
      </c>
      <c r="I770" s="7">
        <f>_A*F770*F770+_B*F770+_C</f>
        <v>417.48956094589573</v>
      </c>
      <c r="J770" s="7"/>
      <c r="K770" s="7" cm="1">
        <f t="array" ref="K770">INDEX(Sm,G770)</f>
        <v>-1.2372810548909516</v>
      </c>
      <c r="L770" s="7">
        <f t="shared" si="50"/>
        <v>416.25227989100478</v>
      </c>
    </row>
    <row r="771" spans="6:12" ht="18.75" customHeight="1">
      <c r="F771" s="1">
        <v>44805</v>
      </c>
      <c r="G771">
        <f t="shared" ref="G771:G834" si="51">MONTH(F771)</f>
        <v>9</v>
      </c>
      <c r="I771" s="7">
        <f>_A*F771*F771+_B*F771+_C</f>
        <v>417.69409034641302</v>
      </c>
      <c r="J771" s="7"/>
      <c r="K771" s="7" cm="1">
        <f t="array" ref="K771">INDEX(Sm,G771)</f>
        <v>-3.0811738821107677</v>
      </c>
      <c r="L771" s="7">
        <f t="shared" si="50"/>
        <v>414.61291646430226</v>
      </c>
    </row>
    <row r="772" spans="6:12" ht="18.75" customHeight="1">
      <c r="F772" s="1">
        <v>44835</v>
      </c>
      <c r="G772">
        <f t="shared" si="51"/>
        <v>10</v>
      </c>
      <c r="I772" s="7">
        <f>_A*F772*F772+_B*F772+_C</f>
        <v>417.89219394131214</v>
      </c>
      <c r="J772" s="7"/>
      <c r="K772" s="7" cm="1">
        <f t="array" ref="K772">INDEX(Sm,G772)</f>
        <v>-3.2770720300056544</v>
      </c>
      <c r="L772" s="7">
        <f t="shared" si="50"/>
        <v>414.61512191130652</v>
      </c>
    </row>
    <row r="773" spans="6:12" ht="18.75" customHeight="1">
      <c r="F773" s="1">
        <v>44866</v>
      </c>
      <c r="G773">
        <f t="shared" si="51"/>
        <v>11</v>
      </c>
      <c r="I773" s="7">
        <f>_A*F773*F773+_B*F773+_C</f>
        <v>418.0970786369196</v>
      </c>
      <c r="J773" s="7"/>
      <c r="K773" s="7" cm="1">
        <f t="array" ref="K773">INDEX(Sm,G773)</f>
        <v>-2.0734932780028581</v>
      </c>
      <c r="L773" s="7">
        <f t="shared" si="50"/>
        <v>416.02358535891676</v>
      </c>
    </row>
    <row r="774" spans="6:12" ht="18.75" customHeight="1">
      <c r="F774" s="1">
        <v>44896</v>
      </c>
      <c r="G774">
        <f t="shared" si="51"/>
        <v>12</v>
      </c>
      <c r="I774" s="7">
        <f>_A*F774*F774+_B*F774+_C</f>
        <v>418.29552606577704</v>
      </c>
      <c r="J774" s="7"/>
      <c r="K774" s="7" cm="1">
        <f t="array" ref="K774">INDEX(Sm,G774)</f>
        <v>-0.94500362363844403</v>
      </c>
      <c r="L774" s="7">
        <f t="shared" si="50"/>
        <v>417.35052244213858</v>
      </c>
    </row>
    <row r="775" spans="6:12" ht="18.75" customHeight="1">
      <c r="F775" s="1">
        <v>44927</v>
      </c>
      <c r="G775">
        <f t="shared" si="51"/>
        <v>1</v>
      </c>
      <c r="I775" s="7">
        <f>_A*F775*F775+_B*F775+_C</f>
        <v>418.50076605647484</v>
      </c>
      <c r="J775" s="7"/>
      <c r="K775" s="7" cm="1">
        <f t="array" ref="K775">INDEX(Sm,G775)</f>
        <v>-3.1273707705410173E-2</v>
      </c>
      <c r="L775" s="7">
        <f t="shared" si="50"/>
        <v>418.46949234876945</v>
      </c>
    </row>
    <row r="776" spans="6:12" ht="18.75" customHeight="1">
      <c r="F776" s="1">
        <v>44958</v>
      </c>
      <c r="G776">
        <f t="shared" si="51"/>
        <v>2</v>
      </c>
      <c r="I776" s="7">
        <f>_A*F776*F776+_B*F776+_C</f>
        <v>418.70618660697255</v>
      </c>
      <c r="J776" s="7"/>
      <c r="K776" s="7" cm="1">
        <f t="array" ref="K776">INDEX(Sm,G776)</f>
        <v>0.60795807352328612</v>
      </c>
      <c r="L776" s="7">
        <f t="shared" si="50"/>
        <v>419.31414468049582</v>
      </c>
    </row>
    <row r="777" spans="6:12" ht="18.75" customHeight="1">
      <c r="F777" s="1">
        <v>44986</v>
      </c>
      <c r="G777">
        <f t="shared" si="51"/>
        <v>3</v>
      </c>
      <c r="I777" s="7">
        <f>_A*F777*F777+_B*F777+_C</f>
        <v>418.89188294435741</v>
      </c>
      <c r="J777" s="7"/>
      <c r="K777" s="7" cm="1">
        <f t="array" ref="K777">INDEX(Sm,G777)</f>
        <v>1.368171928762181</v>
      </c>
      <c r="L777" s="7">
        <f t="shared" si="50"/>
        <v>420.2600548731196</v>
      </c>
    </row>
    <row r="778" spans="6:12" ht="18.75" customHeight="1">
      <c r="F778" s="1">
        <v>45017</v>
      </c>
      <c r="G778">
        <f t="shared" si="51"/>
        <v>4</v>
      </c>
      <c r="I778" s="7">
        <f>_A*F778*F778+_B*F778+_C</f>
        <v>419.09764714092597</v>
      </c>
      <c r="J778" s="7"/>
      <c r="K778" s="7" cm="1">
        <f t="array" ref="K778">INDEX(Sm,G778)</f>
        <v>2.5295372401482399</v>
      </c>
      <c r="L778" s="7">
        <f t="shared" si="50"/>
        <v>421.62718438107419</v>
      </c>
    </row>
    <row r="779" spans="6:12" ht="18.75" customHeight="1">
      <c r="F779" s="1">
        <v>45047</v>
      </c>
      <c r="G779">
        <f t="shared" si="51"/>
        <v>5</v>
      </c>
      <c r="I779" s="7">
        <f>_A*F779*F779+_B*F779+_C</f>
        <v>419.29694569974578</v>
      </c>
      <c r="J779" s="7"/>
      <c r="K779" s="7" cm="1">
        <f t="array" ref="K779">INDEX(Sm,G779)</f>
        <v>2.9925789844300432</v>
      </c>
      <c r="L779" s="7">
        <f t="shared" si="50"/>
        <v>422.28952468417583</v>
      </c>
    </row>
    <row r="780" spans="6:12" ht="18.75" customHeight="1">
      <c r="F780" s="1">
        <v>45078</v>
      </c>
      <c r="G780">
        <f t="shared" si="51"/>
        <v>6</v>
      </c>
      <c r="I780" s="7">
        <f>_A*F780*F780+_B*F780+_C</f>
        <v>419.50306519140463</v>
      </c>
      <c r="J780" s="7"/>
      <c r="K780" s="7" cm="1">
        <f t="array" ref="K780">INDEX(Sm,G780)</f>
        <v>2.3204129706322356</v>
      </c>
      <c r="L780" s="7">
        <f t="shared" si="50"/>
        <v>421.82347816203685</v>
      </c>
    </row>
    <row r="781" spans="6:12" ht="18.75" customHeight="1">
      <c r="F781" s="1">
        <v>45108</v>
      </c>
      <c r="G781">
        <f t="shared" si="51"/>
        <v>7</v>
      </c>
      <c r="I781" s="7">
        <f>_A*F781*F781+_B*F781+_C</f>
        <v>419.70270758418269</v>
      </c>
      <c r="J781" s="7"/>
      <c r="K781" s="7" cm="1">
        <f t="array" ref="K781">INDEX(Sm,G781)</f>
        <v>0.81833597443365613</v>
      </c>
      <c r="L781" s="7">
        <f t="shared" si="50"/>
        <v>420.52104355861633</v>
      </c>
    </row>
    <row r="782" spans="6:12" ht="18.75" customHeight="1">
      <c r="F782" s="1">
        <v>45139</v>
      </c>
      <c r="G782">
        <f t="shared" si="51"/>
        <v>8</v>
      </c>
      <c r="I782" s="7">
        <f>_A*F782*F782+_B*F782+_C</f>
        <v>419.90918237093183</v>
      </c>
      <c r="J782" s="7"/>
      <c r="K782" s="7" cm="1">
        <f t="array" ref="K782">INDEX(Sm,G782)</f>
        <v>-1.2372810548909516</v>
      </c>
      <c r="L782" s="7">
        <f t="shared" si="50"/>
        <v>418.67190131604087</v>
      </c>
    </row>
    <row r="783" spans="6:12" ht="18.75" customHeight="1">
      <c r="F783" s="1">
        <v>45170</v>
      </c>
      <c r="G783">
        <f t="shared" si="51"/>
        <v>9</v>
      </c>
      <c r="I783" s="7">
        <f>_A*F783*F783+_B*F783+_C</f>
        <v>420.11583771748093</v>
      </c>
      <c r="J783" s="7"/>
      <c r="K783" s="7" cm="1">
        <f t="array" ref="K783">INDEX(Sm,G783)</f>
        <v>-3.0811738821107677</v>
      </c>
      <c r="L783" s="7">
        <f t="shared" si="50"/>
        <v>417.03466383537017</v>
      </c>
    </row>
    <row r="784" spans="6:12" ht="18.75" customHeight="1">
      <c r="F784" s="1">
        <v>45200</v>
      </c>
      <c r="G784">
        <f t="shared" si="51"/>
        <v>10</v>
      </c>
      <c r="I784" s="7">
        <f>_A*F784*F784+_B*F784+_C</f>
        <v>420.31599867950763</v>
      </c>
      <c r="J784" s="7"/>
      <c r="K784" s="7" cm="1">
        <f t="array" ref="K784">INDEX(Sm,G784)</f>
        <v>-3.2770720300056544</v>
      </c>
      <c r="L784" s="7">
        <f t="shared" si="50"/>
        <v>417.038926649502</v>
      </c>
    </row>
    <row r="785" spans="6:12" ht="18.75" customHeight="1">
      <c r="F785" s="1">
        <v>45231</v>
      </c>
      <c r="G785">
        <f t="shared" si="51"/>
        <v>11</v>
      </c>
      <c r="I785" s="7">
        <f>_A*F785*F785+_B*F785+_C</f>
        <v>420.5230093211469</v>
      </c>
      <c r="J785" s="7"/>
      <c r="K785" s="7" cm="1">
        <f t="array" ref="K785">INDEX(Sm,G785)</f>
        <v>-2.0734932780028581</v>
      </c>
      <c r="L785" s="7">
        <f t="shared" si="50"/>
        <v>418.44951604314406</v>
      </c>
    </row>
    <row r="786" spans="6:12" ht="18.75" customHeight="1">
      <c r="F786" s="1">
        <v>45261</v>
      </c>
      <c r="G786">
        <f t="shared" si="51"/>
        <v>12</v>
      </c>
      <c r="I786" s="7">
        <f>_A*F786*F786+_B*F786+_C</f>
        <v>420.72351411713191</v>
      </c>
      <c r="J786" s="7"/>
      <c r="K786" s="7" cm="1">
        <f t="array" ref="K786">INDEX(Sm,G786)</f>
        <v>-0.94500362363844403</v>
      </c>
      <c r="L786" s="7">
        <f t="shared" si="50"/>
        <v>419.77851049349346</v>
      </c>
    </row>
    <row r="787" spans="6:12" ht="18.75" customHeight="1">
      <c r="F787" s="1">
        <v>45292</v>
      </c>
      <c r="G787">
        <f t="shared" si="51"/>
        <v>1</v>
      </c>
      <c r="I787" s="7">
        <f>_A*F787*F787+_B*F787+_C</f>
        <v>420.93088005386147</v>
      </c>
      <c r="J787" s="7"/>
      <c r="K787" s="7" cm="1">
        <f t="array" ref="K787">INDEX(Sm,G787)</f>
        <v>-3.1273707705410173E-2</v>
      </c>
      <c r="L787" s="7">
        <f t="shared" si="50"/>
        <v>420.89960634615608</v>
      </c>
    </row>
    <row r="788" spans="6:12" ht="18.75" customHeight="1">
      <c r="F788" s="1">
        <v>45323</v>
      </c>
      <c r="G788">
        <f t="shared" si="51"/>
        <v>2</v>
      </c>
      <c r="I788" s="7">
        <f>_A*F788*F788+_B*F788+_C</f>
        <v>421.13842655039105</v>
      </c>
      <c r="J788" s="7"/>
      <c r="K788" s="7" cm="1">
        <f t="array" ref="K788">INDEX(Sm,G788)</f>
        <v>0.60795807352328612</v>
      </c>
      <c r="L788" s="7">
        <f t="shared" si="50"/>
        <v>421.74638462391431</v>
      </c>
    </row>
    <row r="789" spans="6:12" ht="18.75" customHeight="1">
      <c r="F789" s="1">
        <v>45352</v>
      </c>
      <c r="G789">
        <f t="shared" si="51"/>
        <v>3</v>
      </c>
      <c r="I789" s="7">
        <f>_A*F789*F789+_B*F789+_C</f>
        <v>421.33274641241604</v>
      </c>
      <c r="J789" s="7"/>
      <c r="K789" s="7" cm="1">
        <f t="array" ref="K789">INDEX(Sm,G789)</f>
        <v>1.368171928762181</v>
      </c>
      <c r="L789" s="7">
        <f t="shared" si="50"/>
        <v>422.70091834117824</v>
      </c>
    </row>
    <row r="790" spans="6:12" ht="18.75" customHeight="1">
      <c r="F790" s="1">
        <v>45383</v>
      </c>
      <c r="G790">
        <f t="shared" si="51"/>
        <v>4</v>
      </c>
      <c r="I790" s="7">
        <f>_A*F790*F790+_B*F790+_C</f>
        <v>421.54064237952616</v>
      </c>
      <c r="J790" s="7"/>
      <c r="K790" s="7" cm="1">
        <f t="array" ref="K790">INDEX(Sm,G790)</f>
        <v>2.5295372401482399</v>
      </c>
      <c r="L790" s="7">
        <f t="shared" si="50"/>
        <v>424.07017961967438</v>
      </c>
    </row>
    <row r="791" spans="6:12" ht="18.75" customHeight="1">
      <c r="F791" s="1">
        <v>45413</v>
      </c>
      <c r="G791">
        <f t="shared" si="51"/>
        <v>5</v>
      </c>
      <c r="I791" s="7">
        <f>_A*F791*F791+_B*F791+_C</f>
        <v>421.74200394209572</v>
      </c>
      <c r="J791" s="7"/>
      <c r="K791" s="7" cm="1">
        <f t="array" ref="K791">INDEX(Sm,G791)</f>
        <v>2.9925789844300432</v>
      </c>
      <c r="L791" s="7">
        <f t="shared" si="50"/>
        <v>424.73458292652577</v>
      </c>
    </row>
    <row r="792" spans="6:12" ht="18.75" customHeight="1">
      <c r="F792" s="1">
        <v>45444</v>
      </c>
      <c r="G792">
        <f t="shared" si="51"/>
        <v>6</v>
      </c>
      <c r="I792" s="7">
        <f>_A*F792*F792+_B*F792+_C</f>
        <v>421.95025520429613</v>
      </c>
      <c r="J792" s="7"/>
      <c r="K792" s="7" cm="1">
        <f t="array" ref="K792">INDEX(Sm,G792)</f>
        <v>2.3204129706322356</v>
      </c>
      <c r="L792" s="7">
        <f t="shared" si="50"/>
        <v>424.27066817492835</v>
      </c>
    </row>
    <row r="793" spans="6:12" ht="18.75" customHeight="1">
      <c r="F793" s="1">
        <v>45474</v>
      </c>
      <c r="G793">
        <f t="shared" si="51"/>
        <v>7</v>
      </c>
      <c r="I793" s="7">
        <f>_A*F793*F793+_B*F793+_C</f>
        <v>422.151960600824</v>
      </c>
      <c r="J793" s="7"/>
      <c r="K793" s="7" cm="1">
        <f t="array" ref="K793">INDEX(Sm,G793)</f>
        <v>0.81833597443365613</v>
      </c>
      <c r="L793" s="7">
        <f t="shared" si="50"/>
        <v>422.97029657525763</v>
      </c>
    </row>
    <row r="794" spans="6:12" ht="18.75" customHeight="1">
      <c r="F794" s="1">
        <v>45505</v>
      </c>
      <c r="G794">
        <f t="shared" si="51"/>
        <v>8</v>
      </c>
      <c r="I794" s="7">
        <f>_A*F794*F794+_B*F794+_C</f>
        <v>422.36056715811458</v>
      </c>
      <c r="J794" s="7"/>
      <c r="K794" s="7" cm="1">
        <f t="array" ref="K794">INDEX(Sm,G794)</f>
        <v>-1.2372810548909516</v>
      </c>
      <c r="L794" s="7">
        <f t="shared" si="50"/>
        <v>421.12328610322362</v>
      </c>
    </row>
    <row r="795" spans="6:12" ht="18.75" customHeight="1">
      <c r="F795" s="1">
        <v>45536</v>
      </c>
      <c r="G795">
        <f t="shared" si="51"/>
        <v>9</v>
      </c>
      <c r="I795" s="7">
        <f>_A*F795*F795+_B*F795+_C</f>
        <v>422.56935427520517</v>
      </c>
      <c r="J795" s="7"/>
      <c r="K795" s="7" cm="1">
        <f t="array" ref="K795">INDEX(Sm,G795)</f>
        <v>-3.0811738821107677</v>
      </c>
      <c r="L795" s="7">
        <f t="shared" si="50"/>
        <v>419.48818039309441</v>
      </c>
    </row>
    <row r="796" spans="6:12" ht="18.75" customHeight="1">
      <c r="F796" s="1">
        <v>45566</v>
      </c>
      <c r="G796">
        <f t="shared" si="51"/>
        <v>10</v>
      </c>
      <c r="I796" s="7">
        <f>_A*F796*F796+_B*F796+_C</f>
        <v>422.77157824098168</v>
      </c>
      <c r="J796" s="7"/>
      <c r="K796" s="7" cm="1">
        <f t="array" ref="K796">INDEX(Sm,G796)</f>
        <v>-3.2770720300056544</v>
      </c>
      <c r="L796" s="7">
        <f t="shared" si="50"/>
        <v>419.49450621097606</v>
      </c>
    </row>
    <row r="797" spans="6:12" ht="18.75" customHeight="1">
      <c r="F797" s="1">
        <v>45597</v>
      </c>
      <c r="G797">
        <f t="shared" si="51"/>
        <v>11</v>
      </c>
      <c r="I797" s="7">
        <f>_A*F797*F797+_B*F797+_C</f>
        <v>422.98072065316251</v>
      </c>
      <c r="J797" s="7"/>
      <c r="K797" s="7" cm="1">
        <f t="array" ref="K797">INDEX(Sm,G797)</f>
        <v>-2.0734932780028581</v>
      </c>
      <c r="L797" s="7">
        <f t="shared" si="50"/>
        <v>420.90722737515966</v>
      </c>
    </row>
    <row r="798" spans="6:12" ht="18.75" customHeight="1">
      <c r="F798" s="1">
        <v>45627</v>
      </c>
      <c r="G798">
        <f t="shared" si="51"/>
        <v>12</v>
      </c>
      <c r="I798" s="7">
        <f>_A*F798*F798+_B*F798+_C</f>
        <v>423.18328845289727</v>
      </c>
      <c r="J798" s="7"/>
      <c r="K798" s="7" cm="1">
        <f t="array" ref="K798">INDEX(Sm,G798)</f>
        <v>-0.94500362363844403</v>
      </c>
      <c r="L798" s="7">
        <f t="shared" si="50"/>
        <v>422.23828482925882</v>
      </c>
    </row>
    <row r="799" spans="6:12" ht="18.75" customHeight="1">
      <c r="F799" s="1">
        <v>45658</v>
      </c>
      <c r="G799">
        <f t="shared" si="51"/>
        <v>1</v>
      </c>
      <c r="I799" s="7">
        <f>_A*F799*F799+_B*F799+_C</f>
        <v>423.39278616016838</v>
      </c>
      <c r="J799" s="7"/>
      <c r="K799" s="7" cm="1">
        <f t="array" ref="K799">INDEX(Sm,G799)</f>
        <v>-3.1273707705410173E-2</v>
      </c>
      <c r="L799" s="7">
        <f t="shared" si="50"/>
        <v>423.36151245246299</v>
      </c>
    </row>
    <row r="800" spans="6:12" ht="18.75" customHeight="1">
      <c r="F800" s="1">
        <v>45689</v>
      </c>
      <c r="G800">
        <f t="shared" si="51"/>
        <v>2</v>
      </c>
      <c r="I800" s="7">
        <f>_A*F800*F800+_B*F800+_C</f>
        <v>423.6024644272394</v>
      </c>
      <c r="J800" s="7"/>
      <c r="K800" s="7" cm="1">
        <f t="array" ref="K800">INDEX(Sm,G800)</f>
        <v>0.60795807352328612</v>
      </c>
      <c r="L800" s="7">
        <f t="shared" si="50"/>
        <v>424.21042250076266</v>
      </c>
    </row>
    <row r="801" spans="6:12" ht="18.75" customHeight="1">
      <c r="F801" s="1">
        <v>45717</v>
      </c>
      <c r="G801">
        <f t="shared" si="51"/>
        <v>3</v>
      </c>
      <c r="I801" s="7">
        <f>_A*F801*F801+_B*F801+_C</f>
        <v>423.7920064441098</v>
      </c>
      <c r="J801" s="7"/>
      <c r="K801" s="7" cm="1">
        <f t="array" ref="K801">INDEX(Sm,G801)</f>
        <v>1.368171928762181</v>
      </c>
      <c r="L801" s="7">
        <f t="shared" si="50"/>
        <v>425.160178372872</v>
      </c>
    </row>
    <row r="802" spans="6:12" ht="18.75" customHeight="1">
      <c r="F802" s="1">
        <v>45748</v>
      </c>
      <c r="G802">
        <f t="shared" si="51"/>
        <v>4</v>
      </c>
      <c r="I802" s="7">
        <f>_A*F802*F802+_B*F802+_C</f>
        <v>424.00202835725173</v>
      </c>
      <c r="J802" s="7"/>
      <c r="K802" s="7" cm="1">
        <f t="array" ref="K802">INDEX(Sm,G802)</f>
        <v>2.5295372401482399</v>
      </c>
      <c r="L802" s="7">
        <f t="shared" si="50"/>
        <v>426.53156559739995</v>
      </c>
    </row>
    <row r="803" spans="6:12" ht="18.75" customHeight="1">
      <c r="F803" s="1">
        <v>45778</v>
      </c>
      <c r="G803">
        <f t="shared" si="51"/>
        <v>5</v>
      </c>
      <c r="I803" s="7">
        <f>_A*F803*F803+_B*F803+_C</f>
        <v>424.20544728694887</v>
      </c>
      <c r="J803" s="7"/>
      <c r="K803" s="7" cm="1">
        <f t="array" ref="K803">INDEX(Sm,G803)</f>
        <v>2.9925789844300432</v>
      </c>
      <c r="L803" s="7">
        <f t="shared" si="50"/>
        <v>427.19802627137892</v>
      </c>
    </row>
    <row r="804" spans="6:12" ht="18.75" customHeight="1">
      <c r="F804" s="1">
        <v>45809</v>
      </c>
      <c r="G804">
        <f t="shared" si="51"/>
        <v>6</v>
      </c>
      <c r="I804" s="7">
        <f>_A*F804*F804+_B*F804+_C</f>
        <v>424.41582449518103</v>
      </c>
      <c r="J804" s="7"/>
      <c r="K804" s="7" cm="1">
        <f t="array" ref="K804">INDEX(Sm,G804)</f>
        <v>2.3204129706322356</v>
      </c>
      <c r="L804" s="7">
        <f t="shared" si="50"/>
        <v>426.73623746581325</v>
      </c>
    </row>
    <row r="805" spans="6:12" ht="18.75" customHeight="1">
      <c r="F805" s="1">
        <v>45839</v>
      </c>
      <c r="G805">
        <f t="shared" si="51"/>
        <v>7</v>
      </c>
      <c r="I805" s="7">
        <f>_A*F805*F805+_B*F805+_C</f>
        <v>424.61958725883648</v>
      </c>
      <c r="J805" s="7"/>
      <c r="K805" s="7" cm="1">
        <f t="array" ref="K805">INDEX(Sm,G805)</f>
        <v>0.81833597443365613</v>
      </c>
      <c r="L805" s="7">
        <f t="shared" si="50"/>
        <v>425.43792323327011</v>
      </c>
    </row>
    <row r="806" spans="6:12" ht="18.75" customHeight="1">
      <c r="F806" s="1">
        <v>45870</v>
      </c>
      <c r="G806">
        <f t="shared" si="51"/>
        <v>8</v>
      </c>
      <c r="I806" s="7">
        <f>_A*F806*F806+_B*F806+_C</f>
        <v>424.83031976215887</v>
      </c>
      <c r="J806" s="7"/>
      <c r="K806" s="7" cm="1">
        <f t="array" ref="K806">INDEX(Sm,G806)</f>
        <v>-1.2372810548909516</v>
      </c>
      <c r="L806" s="7">
        <f t="shared" si="50"/>
        <v>423.59303870726791</v>
      </c>
    </row>
    <row r="807" spans="6:12" ht="18.75" customHeight="1">
      <c r="F807" s="1">
        <v>45901</v>
      </c>
      <c r="G807">
        <f t="shared" si="51"/>
        <v>9</v>
      </c>
      <c r="I807" s="7">
        <f>_A*F807*F807+_B*F807+_C</f>
        <v>425.04123282528133</v>
      </c>
      <c r="J807" s="7"/>
      <c r="K807" s="7" cm="1">
        <f t="array" ref="K807">INDEX(Sm,G807)</f>
        <v>-3.0811738821107677</v>
      </c>
      <c r="L807" s="7">
        <f t="shared" si="50"/>
        <v>421.96005894317057</v>
      </c>
    </row>
    <row r="808" spans="6:12" ht="18.75" customHeight="1">
      <c r="F808" s="1">
        <v>45931</v>
      </c>
      <c r="G808">
        <f t="shared" si="51"/>
        <v>10</v>
      </c>
      <c r="I808" s="7">
        <f>_A*F808*F808+_B*F808+_C</f>
        <v>425.24551415818536</v>
      </c>
      <c r="J808" s="7"/>
      <c r="K808" s="7" cm="1">
        <f t="array" ref="K808">INDEX(Sm,G808)</f>
        <v>-3.2770720300056544</v>
      </c>
      <c r="L808" s="7">
        <f t="shared" ref="L808:L871" si="52">I808+K808</f>
        <v>421.96844212817973</v>
      </c>
    </row>
    <row r="809" spans="6:12" ht="18.75" customHeight="1">
      <c r="F809" s="1">
        <v>45962</v>
      </c>
      <c r="G809">
        <f t="shared" si="51"/>
        <v>11</v>
      </c>
      <c r="I809" s="7">
        <f>_A*F809*F809+_B*F809+_C</f>
        <v>425.45678251639799</v>
      </c>
      <c r="J809" s="7"/>
      <c r="K809" s="7" cm="1">
        <f t="array" ref="K809">INDEX(Sm,G809)</f>
        <v>-2.0734932780028581</v>
      </c>
      <c r="L809" s="7">
        <f t="shared" si="52"/>
        <v>423.38328923839515</v>
      </c>
    </row>
    <row r="810" spans="6:12" ht="18.75" customHeight="1">
      <c r="F810" s="1">
        <v>45992</v>
      </c>
      <c r="G810">
        <f t="shared" si="51"/>
        <v>12</v>
      </c>
      <c r="I810" s="7">
        <f>_A*F810*F810+_B*F810+_C</f>
        <v>425.66140768326034</v>
      </c>
      <c r="J810" s="7"/>
      <c r="K810" s="7" cm="1">
        <f t="array" ref="K810">INDEX(Sm,G810)</f>
        <v>-0.94500362363844403</v>
      </c>
      <c r="L810" s="7">
        <f t="shared" si="52"/>
        <v>424.71640405962188</v>
      </c>
    </row>
    <row r="811" spans="6:12" ht="18.75" customHeight="1">
      <c r="F811" s="1">
        <v>46023</v>
      </c>
      <c r="G811">
        <f t="shared" si="51"/>
        <v>1</v>
      </c>
      <c r="I811" s="7">
        <f>_A*F811*F811+_B*F811+_C</f>
        <v>425.87303133656326</v>
      </c>
      <c r="J811" s="7"/>
      <c r="K811" s="7" cm="1">
        <f t="array" ref="K811">INDEX(Sm,G811)</f>
        <v>-3.1273707705410173E-2</v>
      </c>
      <c r="L811" s="7">
        <f t="shared" si="52"/>
        <v>425.84175762885786</v>
      </c>
    </row>
    <row r="812" spans="6:12" ht="18.75" customHeight="1">
      <c r="F812" s="1">
        <v>46054</v>
      </c>
      <c r="G812">
        <f t="shared" si="51"/>
        <v>2</v>
      </c>
      <c r="I812" s="7">
        <f>_A*F812*F812+_B*F812+_C</f>
        <v>426.08483554966608</v>
      </c>
      <c r="J812" s="7"/>
      <c r="K812" s="7" cm="1">
        <f t="array" ref="K812">INDEX(Sm,G812)</f>
        <v>0.60795807352328612</v>
      </c>
      <c r="L812" s="7">
        <f t="shared" si="52"/>
        <v>426.69279362318935</v>
      </c>
    </row>
    <row r="813" spans="6:12" ht="18.75" customHeight="1">
      <c r="F813" s="1">
        <v>46082</v>
      </c>
      <c r="G813">
        <f t="shared" si="51"/>
        <v>3</v>
      </c>
      <c r="I813" s="7">
        <f>_A*F813*F813+_B*F813+_C</f>
        <v>426.27629777585554</v>
      </c>
      <c r="J813" s="7"/>
      <c r="K813" s="7" cm="1">
        <f t="array" ref="K813">INDEX(Sm,G813)</f>
        <v>1.368171928762181</v>
      </c>
      <c r="L813" s="7">
        <f t="shared" si="52"/>
        <v>427.64446970461773</v>
      </c>
    </row>
    <row r="814" spans="6:12" ht="18.75" customHeight="1">
      <c r="F814" s="1">
        <v>46113</v>
      </c>
      <c r="G814">
        <f t="shared" si="51"/>
        <v>4</v>
      </c>
      <c r="I814" s="7">
        <f>_A*F814*F814+_B*F814+_C</f>
        <v>426.48844563502922</v>
      </c>
      <c r="J814" s="7"/>
      <c r="K814" s="7" cm="1">
        <f t="array" ref="K814">INDEX(Sm,G814)</f>
        <v>2.5295372401482399</v>
      </c>
      <c r="L814" s="7">
        <f t="shared" si="52"/>
        <v>429.01798287517744</v>
      </c>
    </row>
    <row r="815" spans="6:12" ht="18.75" customHeight="1">
      <c r="F815" s="1">
        <v>46143</v>
      </c>
      <c r="G815">
        <f t="shared" si="51"/>
        <v>5</v>
      </c>
      <c r="I815" s="7">
        <f>_A*F815*F815+_B*F815+_C</f>
        <v>426.69392193185399</v>
      </c>
      <c r="J815" s="7"/>
      <c r="K815" s="7" cm="1">
        <f t="array" ref="K815">INDEX(Sm,G815)</f>
        <v>2.9925789844300432</v>
      </c>
      <c r="L815" s="7">
        <f t="shared" si="52"/>
        <v>429.68650091628405</v>
      </c>
    </row>
    <row r="816" spans="6:12" ht="18.75" customHeight="1">
      <c r="F816" s="1">
        <v>46174</v>
      </c>
      <c r="G816">
        <f t="shared" si="51"/>
        <v>6</v>
      </c>
      <c r="I816" s="7">
        <f>_A*F816*F816+_B*F816+_C</f>
        <v>426.90642508611796</v>
      </c>
      <c r="J816" s="7"/>
      <c r="K816" s="7" cm="1">
        <f t="array" ref="K816">INDEX(Sm,G816)</f>
        <v>2.3204129706322356</v>
      </c>
      <c r="L816" s="7">
        <f t="shared" si="52"/>
        <v>429.22683805675018</v>
      </c>
    </row>
    <row r="817" spans="6:12" ht="18.75" customHeight="1">
      <c r="F817" s="1">
        <v>46204</v>
      </c>
      <c r="G817">
        <f t="shared" si="51"/>
        <v>7</v>
      </c>
      <c r="I817" s="7">
        <f>_A*F817*F817+_B*F817+_C</f>
        <v>427.11224521690099</v>
      </c>
      <c r="J817" s="7"/>
      <c r="K817" s="7" cm="1">
        <f t="array" ref="K817">INDEX(Sm,G817)</f>
        <v>0.81833597443365613</v>
      </c>
      <c r="L817" s="7">
        <f t="shared" si="52"/>
        <v>427.93058119133462</v>
      </c>
    </row>
    <row r="818" spans="6:12" ht="18.75" customHeight="1">
      <c r="F818" s="1">
        <v>46235</v>
      </c>
      <c r="G818">
        <f t="shared" si="51"/>
        <v>8</v>
      </c>
      <c r="I818" s="7">
        <f>_A*F818*F818+_B*F818+_C</f>
        <v>427.32510366625525</v>
      </c>
      <c r="J818" s="7"/>
      <c r="K818" s="7" cm="1">
        <f t="array" ref="K818">INDEX(Sm,G818)</f>
        <v>-1.2372810548909516</v>
      </c>
      <c r="L818" s="7">
        <f t="shared" si="52"/>
        <v>426.08782261136429</v>
      </c>
    </row>
    <row r="819" spans="6:12" ht="18.75" customHeight="1">
      <c r="F819" s="1">
        <v>46266</v>
      </c>
      <c r="G819">
        <f t="shared" si="51"/>
        <v>9</v>
      </c>
      <c r="I819" s="7">
        <f>_A*F819*F819+_B*F819+_C</f>
        <v>427.5381426754094</v>
      </c>
      <c r="J819" s="7"/>
      <c r="K819" s="7" cm="1">
        <f t="array" ref="K819">INDEX(Sm,G819)</f>
        <v>-3.0811738821107677</v>
      </c>
      <c r="L819" s="7">
        <f t="shared" si="52"/>
        <v>424.45696879329864</v>
      </c>
    </row>
    <row r="820" spans="6:12" ht="18.75" customHeight="1">
      <c r="F820" s="1">
        <v>46296</v>
      </c>
      <c r="G820">
        <f t="shared" si="51"/>
        <v>10</v>
      </c>
      <c r="I820" s="7">
        <f>_A*F820*F820+_B*F820+_C</f>
        <v>427.74448137544107</v>
      </c>
      <c r="J820" s="7"/>
      <c r="K820" s="7" cm="1">
        <f t="array" ref="K820">INDEX(Sm,G820)</f>
        <v>-3.2770720300056544</v>
      </c>
      <c r="L820" s="7">
        <f t="shared" si="52"/>
        <v>424.46740934543544</v>
      </c>
    </row>
    <row r="821" spans="6:12" ht="18.75" customHeight="1">
      <c r="F821" s="1">
        <v>46327</v>
      </c>
      <c r="G821">
        <f t="shared" si="51"/>
        <v>11</v>
      </c>
      <c r="I821" s="7">
        <f>_A*F821*F821+_B*F821+_C</f>
        <v>427.95787567968546</v>
      </c>
      <c r="J821" s="7"/>
      <c r="K821" s="7" cm="1">
        <f t="array" ref="K821">INDEX(Sm,G821)</f>
        <v>-2.0734932780028581</v>
      </c>
      <c r="L821" s="7">
        <f t="shared" si="52"/>
        <v>425.88438240168261</v>
      </c>
    </row>
    <row r="822" spans="6:12" ht="18.75" customHeight="1">
      <c r="F822" s="1">
        <v>46357</v>
      </c>
      <c r="G822">
        <f t="shared" si="51"/>
        <v>12</v>
      </c>
      <c r="I822" s="7">
        <f>_A*F822*F822+_B*F822+_C</f>
        <v>428.16455821367538</v>
      </c>
      <c r="J822" s="7"/>
      <c r="K822" s="7" cm="1">
        <f t="array" ref="K822">INDEX(Sm,G822)</f>
        <v>-0.94500362363844403</v>
      </c>
      <c r="L822" s="7">
        <f t="shared" si="52"/>
        <v>427.21955459003692</v>
      </c>
    </row>
    <row r="823" spans="6:12" ht="18.75" customHeight="1">
      <c r="F823" s="1">
        <v>46388</v>
      </c>
      <c r="G823">
        <f t="shared" si="51"/>
        <v>1</v>
      </c>
      <c r="I823" s="7">
        <f>_A*F823*F823+_B*F823+_C</f>
        <v>428.37830781301011</v>
      </c>
      <c r="J823" s="7"/>
      <c r="K823" s="7" cm="1">
        <f t="array" ref="K823">INDEX(Sm,G823)</f>
        <v>-3.1273707705410173E-2</v>
      </c>
      <c r="L823" s="7">
        <f t="shared" si="52"/>
        <v>428.34703410530472</v>
      </c>
    </row>
    <row r="824" spans="6:12" ht="18.75" customHeight="1">
      <c r="F824" s="1">
        <v>46419</v>
      </c>
      <c r="G824">
        <f t="shared" si="51"/>
        <v>2</v>
      </c>
      <c r="I824" s="7">
        <f>_A*F824*F824+_B*F824+_C</f>
        <v>428.59223797214474</v>
      </c>
      <c r="J824" s="7"/>
      <c r="K824" s="7" cm="1">
        <f t="array" ref="K824">INDEX(Sm,G824)</f>
        <v>0.60795807352328612</v>
      </c>
      <c r="L824" s="7">
        <f t="shared" si="52"/>
        <v>429.20019604566801</v>
      </c>
    </row>
    <row r="825" spans="6:12" ht="18.75" customHeight="1">
      <c r="F825" s="1">
        <v>46447</v>
      </c>
      <c r="G825">
        <f t="shared" si="51"/>
        <v>3</v>
      </c>
      <c r="I825" s="7">
        <f>_A*F825*F825+_B*F825+_C</f>
        <v>428.7856204076532</v>
      </c>
      <c r="J825" s="7"/>
      <c r="K825" s="7" cm="1">
        <f t="array" ref="K825">INDEX(Sm,G825)</f>
        <v>1.368171928762181</v>
      </c>
      <c r="L825" s="7">
        <f t="shared" si="52"/>
        <v>430.15379233641539</v>
      </c>
    </row>
    <row r="826" spans="6:12" ht="18.75" customHeight="1">
      <c r="F826" s="1">
        <v>46478</v>
      </c>
      <c r="G826">
        <f t="shared" si="51"/>
        <v>4</v>
      </c>
      <c r="I826" s="7">
        <f>_A*F826*F826+_B*F826+_C</f>
        <v>428.99989421285875</v>
      </c>
      <c r="J826" s="7"/>
      <c r="K826" s="7" cm="1">
        <f t="array" ref="K826">INDEX(Sm,G826)</f>
        <v>2.5295372401482399</v>
      </c>
      <c r="L826" s="7">
        <f t="shared" si="52"/>
        <v>431.52943145300696</v>
      </c>
    </row>
    <row r="827" spans="6:12" ht="18.75" customHeight="1">
      <c r="F827" s="1">
        <v>46508</v>
      </c>
      <c r="G827">
        <f t="shared" si="51"/>
        <v>5</v>
      </c>
      <c r="I827" s="7">
        <f>_A*F827*F827+_B*F827+_C</f>
        <v>429.20742787681104</v>
      </c>
      <c r="J827" s="7"/>
      <c r="K827" s="7" cm="1">
        <f t="array" ref="K827">INDEX(Sm,G827)</f>
        <v>2.9925789844300432</v>
      </c>
      <c r="L827" s="7">
        <f t="shared" si="52"/>
        <v>432.20000686124109</v>
      </c>
    </row>
    <row r="828" spans="6:12" ht="18.75" customHeight="1">
      <c r="F828" s="1">
        <v>46539</v>
      </c>
      <c r="G828">
        <f t="shared" si="51"/>
        <v>6</v>
      </c>
      <c r="I828" s="7">
        <f>_A*F828*F828+_B*F828+_C</f>
        <v>429.42205697710688</v>
      </c>
      <c r="J828" s="7"/>
      <c r="K828" s="7" cm="1">
        <f t="array" ref="K828">INDEX(Sm,G828)</f>
        <v>2.3204129706322356</v>
      </c>
      <c r="L828" s="7">
        <f t="shared" si="52"/>
        <v>431.7424699477391</v>
      </c>
    </row>
    <row r="829" spans="6:12" ht="18.75" customHeight="1">
      <c r="F829" s="1">
        <v>46569</v>
      </c>
      <c r="G829">
        <f t="shared" si="51"/>
        <v>7</v>
      </c>
      <c r="I829" s="7">
        <f>_A*F829*F829+_B*F829+_C</f>
        <v>429.62993447501742</v>
      </c>
      <c r="J829" s="7"/>
      <c r="K829" s="7" cm="1">
        <f t="array" ref="K829">INDEX(Sm,G829)</f>
        <v>0.81833597443365613</v>
      </c>
      <c r="L829" s="7">
        <f t="shared" si="52"/>
        <v>430.44827044945106</v>
      </c>
    </row>
    <row r="830" spans="6:12" ht="18.75" customHeight="1">
      <c r="F830" s="1">
        <v>46600</v>
      </c>
      <c r="G830">
        <f t="shared" si="51"/>
        <v>8</v>
      </c>
      <c r="I830" s="7">
        <f>_A*F830*F830+_B*F830+_C</f>
        <v>429.84491887040349</v>
      </c>
      <c r="J830" s="7"/>
      <c r="K830" s="7" cm="1">
        <f t="array" ref="K830">INDEX(Sm,G830)</f>
        <v>-1.2372810548909516</v>
      </c>
      <c r="L830" s="7">
        <f t="shared" si="52"/>
        <v>428.60763781551253</v>
      </c>
    </row>
    <row r="831" spans="6:12" ht="18.75" customHeight="1">
      <c r="F831" s="1">
        <v>46631</v>
      </c>
      <c r="G831">
        <f t="shared" si="51"/>
        <v>9</v>
      </c>
      <c r="I831" s="7">
        <f>_A*F831*F831+_B*F831+_C</f>
        <v>430.06008382558946</v>
      </c>
      <c r="J831" s="7"/>
      <c r="K831" s="7" cm="1">
        <f t="array" ref="K831">INDEX(Sm,G831)</f>
        <v>-3.0811738821107677</v>
      </c>
      <c r="L831" s="7">
        <f t="shared" si="52"/>
        <v>426.9789099434787</v>
      </c>
    </row>
    <row r="832" spans="6:12" ht="18.75" customHeight="1">
      <c r="F832" s="1">
        <v>46661</v>
      </c>
      <c r="G832">
        <f t="shared" si="51"/>
        <v>10</v>
      </c>
      <c r="I832" s="7">
        <f>_A*F832*F832+_B*F832+_C</f>
        <v>430.26847989274864</v>
      </c>
      <c r="J832" s="7"/>
      <c r="K832" s="7" cm="1">
        <f t="array" ref="K832">INDEX(Sm,G832)</f>
        <v>-3.2770720300056544</v>
      </c>
      <c r="L832" s="7">
        <f t="shared" si="52"/>
        <v>426.99140786274302</v>
      </c>
    </row>
    <row r="833" spans="6:12" ht="18.75" customHeight="1">
      <c r="F833" s="1">
        <v>46692</v>
      </c>
      <c r="G833">
        <f t="shared" si="51"/>
        <v>11</v>
      </c>
      <c r="I833" s="7">
        <f>_A*F833*F833+_B*F833+_C</f>
        <v>430.4840001430249</v>
      </c>
      <c r="J833" s="7"/>
      <c r="K833" s="7" cm="1">
        <f t="array" ref="K833">INDEX(Sm,G833)</f>
        <v>-2.0734932780028581</v>
      </c>
      <c r="L833" s="7">
        <f t="shared" si="52"/>
        <v>428.41050686502206</v>
      </c>
    </row>
    <row r="834" spans="6:12" ht="18.75" customHeight="1">
      <c r="F834" s="1">
        <v>46722</v>
      </c>
      <c r="G834">
        <f t="shared" si="51"/>
        <v>12</v>
      </c>
      <c r="I834" s="7">
        <f>_A*F834*F834+_B*F834+_C</f>
        <v>430.6927400441424</v>
      </c>
      <c r="J834" s="7"/>
      <c r="K834" s="7" cm="1">
        <f t="array" ref="K834">INDEX(Sm,G834)</f>
        <v>-0.94500362363844403</v>
      </c>
      <c r="L834" s="7">
        <f t="shared" si="52"/>
        <v>429.74773642050394</v>
      </c>
    </row>
    <row r="835" spans="6:12" ht="18.75" customHeight="1">
      <c r="F835" s="1">
        <v>46753</v>
      </c>
      <c r="G835">
        <f t="shared" ref="G835:G898" si="53">MONTH(F835)</f>
        <v>1</v>
      </c>
      <c r="I835" s="7">
        <f>_A*F835*F835+_B*F835+_C</f>
        <v>430.90861558950888</v>
      </c>
      <c r="J835" s="7"/>
      <c r="K835" s="7" cm="1">
        <f t="array" ref="K835">INDEX(Sm,G835)</f>
        <v>-3.1273707705410173E-2</v>
      </c>
      <c r="L835" s="7">
        <f t="shared" si="52"/>
        <v>430.87734188180349</v>
      </c>
    </row>
    <row r="836" spans="6:12" ht="18.75" customHeight="1">
      <c r="F836" s="1">
        <v>46784</v>
      </c>
      <c r="G836">
        <f t="shared" si="53"/>
        <v>2</v>
      </c>
      <c r="I836" s="7">
        <f>_A*F836*F836+_B*F836+_C</f>
        <v>431.12467169467538</v>
      </c>
      <c r="J836" s="7"/>
      <c r="K836" s="7" cm="1">
        <f t="array" ref="K836">INDEX(Sm,G836)</f>
        <v>0.60795807352328612</v>
      </c>
      <c r="L836" s="7">
        <f t="shared" si="52"/>
        <v>431.73262976819865</v>
      </c>
    </row>
    <row r="837" spans="6:12" ht="18.75" customHeight="1">
      <c r="F837" s="1">
        <v>46813</v>
      </c>
      <c r="G837">
        <f t="shared" si="53"/>
        <v>3</v>
      </c>
      <c r="I837" s="7">
        <f>_A*F837*F837+_B*F837+_C</f>
        <v>431.32695215832848</v>
      </c>
      <c r="J837" s="7"/>
      <c r="K837" s="7" cm="1">
        <f t="array" ref="K837">INDEX(Sm,G837)</f>
        <v>1.368171928762181</v>
      </c>
      <c r="L837" s="7">
        <f t="shared" si="52"/>
        <v>432.69512408709068</v>
      </c>
    </row>
    <row r="838" spans="6:12" ht="18.75" customHeight="1">
      <c r="F838" s="1">
        <v>46844</v>
      </c>
      <c r="G838">
        <f t="shared" si="53"/>
        <v>4</v>
      </c>
      <c r="I838" s="7">
        <f>_A*F838*F838+_B*F838+_C</f>
        <v>431.54335773407553</v>
      </c>
      <c r="J838" s="7"/>
      <c r="K838" s="7" cm="1">
        <f t="array" ref="K838">INDEX(Sm,G838)</f>
        <v>2.5295372401482399</v>
      </c>
      <c r="L838" s="7">
        <f t="shared" si="52"/>
        <v>434.07289497422374</v>
      </c>
    </row>
    <row r="839" spans="6:12" ht="18.75" customHeight="1">
      <c r="F839" s="1">
        <v>46874</v>
      </c>
      <c r="G839">
        <f t="shared" si="53"/>
        <v>5</v>
      </c>
      <c r="I839" s="7">
        <f>_A*F839*F839+_B*F839+_C</f>
        <v>431.75295440177757</v>
      </c>
      <c r="J839" s="7"/>
      <c r="K839" s="7" cm="1">
        <f t="array" ref="K839">INDEX(Sm,G839)</f>
        <v>2.9925789844300432</v>
      </c>
      <c r="L839" s="7">
        <f t="shared" si="52"/>
        <v>434.74553338620763</v>
      </c>
    </row>
    <row r="840" spans="6:12" ht="18.75" customHeight="1">
      <c r="F840" s="1">
        <v>46905</v>
      </c>
      <c r="G840">
        <f t="shared" si="53"/>
        <v>6</v>
      </c>
      <c r="I840" s="7">
        <f>_A*F840*F840+_B*F840+_C</f>
        <v>431.96971527261491</v>
      </c>
      <c r="J840" s="7"/>
      <c r="K840" s="7" cm="1">
        <f t="array" ref="K840">INDEX(Sm,G840)</f>
        <v>2.3204129706322356</v>
      </c>
      <c r="L840" s="7">
        <f t="shared" si="52"/>
        <v>434.29012824324712</v>
      </c>
    </row>
    <row r="841" spans="6:12" ht="18.75" customHeight="1">
      <c r="F841" s="1">
        <v>46935</v>
      </c>
      <c r="G841">
        <f t="shared" si="53"/>
        <v>7</v>
      </c>
      <c r="I841" s="7">
        <f>_A*F841*F841+_B*F841+_C</f>
        <v>432.17965577427526</v>
      </c>
      <c r="J841" s="7"/>
      <c r="K841" s="7" cm="1">
        <f t="array" ref="K841">INDEX(Sm,G841)</f>
        <v>0.81833597443365613</v>
      </c>
      <c r="L841" s="7">
        <f t="shared" si="52"/>
        <v>432.9979917487089</v>
      </c>
    </row>
    <row r="842" spans="6:12" ht="18.75" customHeight="1">
      <c r="F842" s="1">
        <v>46966</v>
      </c>
      <c r="G842">
        <f t="shared" si="53"/>
        <v>8</v>
      </c>
      <c r="I842" s="7">
        <f>_A*F842*F842+_B*F842+_C</f>
        <v>432.39677194020283</v>
      </c>
      <c r="J842" s="7"/>
      <c r="K842" s="7" cm="1">
        <f t="array" ref="K842">INDEX(Sm,G842)</f>
        <v>-1.2372810548909516</v>
      </c>
      <c r="L842" s="7">
        <f t="shared" si="52"/>
        <v>431.15949088531187</v>
      </c>
    </row>
    <row r="843" spans="6:12" ht="18.75" customHeight="1">
      <c r="F843" s="1">
        <v>46997</v>
      </c>
      <c r="G843">
        <f t="shared" si="53"/>
        <v>9</v>
      </c>
      <c r="I843" s="7">
        <f>_A*F843*F843+_B*F843+_C</f>
        <v>432.61406866593029</v>
      </c>
      <c r="J843" s="7"/>
      <c r="K843" s="7" cm="1">
        <f t="array" ref="K843">INDEX(Sm,G843)</f>
        <v>-3.0811738821107677</v>
      </c>
      <c r="L843" s="7">
        <f t="shared" si="52"/>
        <v>429.53289478381953</v>
      </c>
    </row>
    <row r="844" spans="6:12" ht="18.75" customHeight="1">
      <c r="F844" s="1">
        <v>47027</v>
      </c>
      <c r="G844">
        <f t="shared" si="53"/>
        <v>10</v>
      </c>
      <c r="I844" s="7">
        <f>_A*F844*F844+_B*F844+_C</f>
        <v>432.82452773683934</v>
      </c>
      <c r="J844" s="7"/>
      <c r="K844" s="7" cm="1">
        <f t="array" ref="K844">INDEX(Sm,G844)</f>
        <v>-3.2770720300056544</v>
      </c>
      <c r="L844" s="7">
        <f t="shared" si="52"/>
        <v>429.54745570683372</v>
      </c>
    </row>
    <row r="845" spans="6:12" ht="18.75" customHeight="1">
      <c r="F845" s="1">
        <v>47058</v>
      </c>
      <c r="G845">
        <f t="shared" si="53"/>
        <v>11</v>
      </c>
      <c r="I845" s="7">
        <f>_A*F845*F845+_B*F845+_C</f>
        <v>433.0421797576571</v>
      </c>
      <c r="J845" s="7"/>
      <c r="K845" s="7" cm="1">
        <f t="array" ref="K845">INDEX(Sm,G845)</f>
        <v>-2.0734932780028581</v>
      </c>
      <c r="L845" s="7">
        <f t="shared" si="52"/>
        <v>430.96868647965425</v>
      </c>
    </row>
    <row r="846" spans="6:12" ht="18.75" customHeight="1">
      <c r="F846" s="1">
        <v>47088</v>
      </c>
      <c r="G846">
        <f t="shared" si="53"/>
        <v>12</v>
      </c>
      <c r="I846" s="7">
        <f>_A*F846*F846+_B*F846+_C</f>
        <v>433.25298266252435</v>
      </c>
      <c r="J846" s="7"/>
      <c r="K846" s="7" cm="1">
        <f t="array" ref="K846">INDEX(Sm,G846)</f>
        <v>-0.94500362363844403</v>
      </c>
      <c r="L846" s="7">
        <f t="shared" si="52"/>
        <v>432.30797903888589</v>
      </c>
    </row>
    <row r="847" spans="6:12" ht="18.75" customHeight="1">
      <c r="F847" s="1">
        <v>47119</v>
      </c>
      <c r="G847">
        <f t="shared" si="53"/>
        <v>1</v>
      </c>
      <c r="I847" s="7">
        <f>_A*F847*F847+_B*F847+_C</f>
        <v>433.47098997843239</v>
      </c>
      <c r="J847" s="7"/>
      <c r="K847" s="7" cm="1">
        <f t="array" ref="K847">INDEX(Sm,G847)</f>
        <v>-3.1273707705410173E-2</v>
      </c>
      <c r="L847" s="7">
        <f t="shared" si="52"/>
        <v>433.43971627072699</v>
      </c>
    </row>
    <row r="848" spans="6:12" ht="18.75" customHeight="1">
      <c r="F848" s="1">
        <v>47150</v>
      </c>
      <c r="G848">
        <f t="shared" si="53"/>
        <v>2</v>
      </c>
      <c r="I848" s="7">
        <f>_A*F848*F848+_B*F848+_C</f>
        <v>433.68917785414033</v>
      </c>
      <c r="J848" s="7"/>
      <c r="K848" s="7" cm="1">
        <f t="array" ref="K848">INDEX(Sm,G848)</f>
        <v>0.60795807352328612</v>
      </c>
      <c r="L848" s="7">
        <f t="shared" si="52"/>
        <v>434.29713592766359</v>
      </c>
    </row>
    <row r="849" spans="6:12" ht="18.75" customHeight="1">
      <c r="F849" s="1">
        <v>47178</v>
      </c>
      <c r="G849">
        <f t="shared" si="53"/>
        <v>3</v>
      </c>
      <c r="I849" s="7">
        <f>_A*F849*F849+_B*F849+_C</f>
        <v>433.88640596913439</v>
      </c>
      <c r="J849" s="7"/>
      <c r="K849" s="7" cm="1">
        <f t="array" ref="K849">INDEX(Sm,G849)</f>
        <v>1.368171928762181</v>
      </c>
      <c r="L849" s="7">
        <f t="shared" si="52"/>
        <v>435.25457789789658</v>
      </c>
    </row>
    <row r="850" spans="6:12" ht="18.75" customHeight="1">
      <c r="F850" s="1">
        <v>47209</v>
      </c>
      <c r="G850">
        <f t="shared" si="53"/>
        <v>4</v>
      </c>
      <c r="I850" s="7">
        <f>_A*F850*F850+_B*F850+_C</f>
        <v>434.10493749091319</v>
      </c>
      <c r="J850" s="7"/>
      <c r="K850" s="7" cm="1">
        <f t="array" ref="K850">INDEX(Sm,G850)</f>
        <v>2.5295372401482399</v>
      </c>
      <c r="L850" s="7">
        <f t="shared" si="52"/>
        <v>436.6344747310614</v>
      </c>
    </row>
    <row r="851" spans="6:12" ht="18.75" customHeight="1">
      <c r="F851" s="1">
        <v>47239</v>
      </c>
      <c r="G851">
        <f t="shared" si="53"/>
        <v>5</v>
      </c>
      <c r="I851" s="7">
        <f>_A*F851*F851+_B*F851+_C</f>
        <v>434.31659152574287</v>
      </c>
      <c r="J851" s="7"/>
      <c r="K851" s="7" cm="1">
        <f t="array" ref="K851">INDEX(Sm,G851)</f>
        <v>2.9925789844300432</v>
      </c>
      <c r="L851" s="7">
        <f t="shared" si="52"/>
        <v>437.30917051017292</v>
      </c>
    </row>
    <row r="852" spans="6:12" ht="18.75" customHeight="1">
      <c r="F852" s="1">
        <v>47270</v>
      </c>
      <c r="G852">
        <f t="shared" si="53"/>
        <v>6</v>
      </c>
      <c r="I852" s="7">
        <f>_A*F852*F852+_B*F852+_C</f>
        <v>434.53547834261201</v>
      </c>
      <c r="J852" s="7"/>
      <c r="K852" s="7" cm="1">
        <f t="array" ref="K852">INDEX(Sm,G852)</f>
        <v>2.3204129706322356</v>
      </c>
      <c r="L852" s="7">
        <f t="shared" si="52"/>
        <v>436.85589131324423</v>
      </c>
    </row>
    <row r="853" spans="6:12" ht="18.75" customHeight="1">
      <c r="F853" s="1">
        <v>47300</v>
      </c>
      <c r="G853">
        <f t="shared" si="53"/>
        <v>7</v>
      </c>
      <c r="I853" s="7">
        <f>_A*F853*F853+_B*F853+_C</f>
        <v>434.74747621139988</v>
      </c>
      <c r="J853" s="7"/>
      <c r="K853" s="7" cm="1">
        <f t="array" ref="K853">INDEX(Sm,G853)</f>
        <v>0.81833597443365613</v>
      </c>
      <c r="L853" s="7">
        <f t="shared" si="52"/>
        <v>435.56581218583352</v>
      </c>
    </row>
    <row r="854" spans="6:12" ht="18.75" customHeight="1">
      <c r="F854" s="1">
        <v>47331</v>
      </c>
      <c r="G854">
        <f t="shared" si="53"/>
        <v>8</v>
      </c>
      <c r="I854" s="7">
        <f>_A*F854*F854+_B*F854+_C</f>
        <v>434.96671832335926</v>
      </c>
      <c r="J854" s="7"/>
      <c r="K854" s="7" cm="1">
        <f t="array" ref="K854">INDEX(Sm,G854)</f>
        <v>-1.2372810548909516</v>
      </c>
      <c r="L854" s="7">
        <f t="shared" si="52"/>
        <v>433.7294372684683</v>
      </c>
    </row>
    <row r="855" spans="6:12" ht="18.75" customHeight="1">
      <c r="F855" s="1">
        <v>47362</v>
      </c>
      <c r="G855">
        <f t="shared" si="53"/>
        <v>9</v>
      </c>
      <c r="I855" s="7">
        <f>_A*F855*F855+_B*F855+_C</f>
        <v>435.18614099511859</v>
      </c>
      <c r="J855" s="7"/>
      <c r="K855" s="7" cm="1">
        <f t="array" ref="K855">INDEX(Sm,G855)</f>
        <v>-3.0811738821107677</v>
      </c>
      <c r="L855" s="7">
        <f t="shared" si="52"/>
        <v>432.10496711300783</v>
      </c>
    </row>
    <row r="856" spans="6:12" ht="18.75" customHeight="1">
      <c r="F856" s="1">
        <v>47392</v>
      </c>
      <c r="G856">
        <f t="shared" si="53"/>
        <v>10</v>
      </c>
      <c r="I856" s="7">
        <f>_A*F856*F856+_B*F856+_C</f>
        <v>435.39865743315517</v>
      </c>
      <c r="J856" s="7"/>
      <c r="K856" s="7" cm="1">
        <f t="array" ref="K856">INDEX(Sm,G856)</f>
        <v>-3.2770720300056544</v>
      </c>
      <c r="L856" s="7">
        <f t="shared" si="52"/>
        <v>432.12158540314954</v>
      </c>
    </row>
    <row r="857" spans="6:12" ht="18.75" customHeight="1">
      <c r="F857" s="1">
        <v>47423</v>
      </c>
      <c r="G857">
        <f t="shared" si="53"/>
        <v>11</v>
      </c>
      <c r="I857" s="7">
        <f>_A*F857*F857+_B*F857+_C</f>
        <v>435.61843540000473</v>
      </c>
      <c r="J857" s="7"/>
      <c r="K857" s="7" cm="1">
        <f t="array" ref="K857">INDEX(Sm,G857)</f>
        <v>-2.0734932780028581</v>
      </c>
      <c r="L857" s="7">
        <f t="shared" si="52"/>
        <v>433.54494212200188</v>
      </c>
    </row>
    <row r="858" spans="6:12" ht="18.75" customHeight="1">
      <c r="F858" s="1">
        <v>47453</v>
      </c>
      <c r="G858">
        <f t="shared" si="53"/>
        <v>12</v>
      </c>
      <c r="I858" s="7">
        <f>_A*F858*F858+_B*F858+_C</f>
        <v>435.83129567199956</v>
      </c>
      <c r="J858" s="7"/>
      <c r="K858" s="7" cm="1">
        <f t="array" ref="K858">INDEX(Sm,G858)</f>
        <v>-0.94500362363844403</v>
      </c>
      <c r="L858" s="7">
        <f t="shared" si="52"/>
        <v>434.8862920483611</v>
      </c>
    </row>
    <row r="859" spans="6:12" ht="18.75" customHeight="1">
      <c r="F859" s="1">
        <v>47484</v>
      </c>
      <c r="G859">
        <f t="shared" si="53"/>
        <v>1</v>
      </c>
      <c r="I859" s="7">
        <f>_A*F859*F859+_B*F859+_C</f>
        <v>436.05142893393941</v>
      </c>
      <c r="J859" s="7"/>
      <c r="K859" s="7" cm="1">
        <f t="array" ref="K859">INDEX(Sm,G859)</f>
        <v>-3.1273707705410173E-2</v>
      </c>
      <c r="L859" s="7">
        <f t="shared" si="52"/>
        <v>436.02015522623401</v>
      </c>
    </row>
    <row r="860" spans="6:12" ht="18.75" customHeight="1">
      <c r="F860" s="1">
        <v>47515</v>
      </c>
      <c r="G860">
        <f t="shared" si="53"/>
        <v>2</v>
      </c>
      <c r="I860" s="7">
        <f>_A*F860*F860+_B*F860+_C</f>
        <v>436.27174275567916</v>
      </c>
      <c r="J860" s="7"/>
      <c r="K860" s="7" cm="1">
        <f t="array" ref="K860">INDEX(Sm,G860)</f>
        <v>0.60795807352328612</v>
      </c>
      <c r="L860" s="7">
        <f t="shared" si="52"/>
        <v>436.87970082920242</v>
      </c>
    </row>
    <row r="861" spans="6:12" ht="18.75" customHeight="1">
      <c r="F861" s="1">
        <v>47543</v>
      </c>
      <c r="G861">
        <f t="shared" si="53"/>
        <v>3</v>
      </c>
      <c r="I861" s="7">
        <f>_A*F861*F861+_B*F861+_C</f>
        <v>436.47089107999227</v>
      </c>
      <c r="J861" s="7"/>
      <c r="K861" s="7" cm="1">
        <f t="array" ref="K861">INDEX(Sm,G861)</f>
        <v>1.368171928762181</v>
      </c>
      <c r="L861" s="7">
        <f t="shared" si="52"/>
        <v>437.83906300875447</v>
      </c>
    </row>
    <row r="862" spans="6:12" ht="18.75" customHeight="1">
      <c r="F862" s="1">
        <v>47574</v>
      </c>
      <c r="G862">
        <f t="shared" si="53"/>
        <v>4</v>
      </c>
      <c r="I862" s="7">
        <f>_A*F862*F862+_B*F862+_C</f>
        <v>436.69154854780288</v>
      </c>
      <c r="J862" s="7"/>
      <c r="K862" s="7" cm="1">
        <f t="array" ref="K862">INDEX(Sm,G862)</f>
        <v>2.5295372401482399</v>
      </c>
      <c r="L862" s="7">
        <f t="shared" si="52"/>
        <v>439.2210857879511</v>
      </c>
    </row>
    <row r="863" spans="6:12" ht="18.75" customHeight="1">
      <c r="F863" s="1">
        <v>47604</v>
      </c>
      <c r="G863">
        <f t="shared" si="53"/>
        <v>5</v>
      </c>
      <c r="I863" s="7">
        <f>_A*F863*F863+_B*F863+_C</f>
        <v>436.90525994976014</v>
      </c>
      <c r="J863" s="7"/>
      <c r="K863" s="7" cm="1">
        <f t="array" ref="K863">INDEX(Sm,G863)</f>
        <v>2.9925789844300432</v>
      </c>
      <c r="L863" s="7">
        <f t="shared" si="52"/>
        <v>439.89783893419019</v>
      </c>
    </row>
    <row r="864" spans="6:12" ht="18.75" customHeight="1">
      <c r="F864" s="1">
        <v>47635</v>
      </c>
      <c r="G864">
        <f t="shared" si="53"/>
        <v>6</v>
      </c>
      <c r="I864" s="7">
        <f>_A*F864*F864+_B*F864+_C</f>
        <v>437.12627271266103</v>
      </c>
      <c r="J864" s="7"/>
      <c r="K864" s="7" cm="1">
        <f t="array" ref="K864">INDEX(Sm,G864)</f>
        <v>2.3204129706322356</v>
      </c>
      <c r="L864" s="7">
        <f t="shared" si="52"/>
        <v>439.44668568329325</v>
      </c>
    </row>
    <row r="865" spans="6:12" ht="18.75" customHeight="1">
      <c r="F865" s="1">
        <v>47665</v>
      </c>
      <c r="G865">
        <f t="shared" si="53"/>
        <v>7</v>
      </c>
      <c r="I865" s="7">
        <f>_A*F865*F865+_B*F865+_C</f>
        <v>437.34032794857654</v>
      </c>
      <c r="J865" s="7"/>
      <c r="K865" s="7" cm="1">
        <f t="array" ref="K865">INDEX(Sm,G865)</f>
        <v>0.81833597443365613</v>
      </c>
      <c r="L865" s="7">
        <f t="shared" si="52"/>
        <v>438.15866392301018</v>
      </c>
    </row>
    <row r="866" spans="6:12" ht="18.75" customHeight="1">
      <c r="F866" s="1">
        <v>47696</v>
      </c>
      <c r="G866">
        <f t="shared" si="53"/>
        <v>8</v>
      </c>
      <c r="I866" s="7">
        <f>_A*F866*F866+_B*F866+_C</f>
        <v>437.56169600656773</v>
      </c>
      <c r="J866" s="7"/>
      <c r="K866" s="7" cm="1">
        <f t="array" ref="K866">INDEX(Sm,G866)</f>
        <v>-1.2372810548909516</v>
      </c>
      <c r="L866" s="7">
        <f t="shared" si="52"/>
        <v>436.32441495167677</v>
      </c>
    </row>
    <row r="867" spans="6:12" ht="18.75" customHeight="1">
      <c r="F867" s="1">
        <v>47727</v>
      </c>
      <c r="G867">
        <f t="shared" si="53"/>
        <v>9</v>
      </c>
      <c r="I867" s="7">
        <f>_A*F867*F867+_B*F867+_C</f>
        <v>437.78324462435887</v>
      </c>
      <c r="J867" s="7"/>
      <c r="K867" s="7" cm="1">
        <f t="array" ref="K867">INDEX(Sm,G867)</f>
        <v>-3.0811738821107677</v>
      </c>
      <c r="L867" s="7">
        <f t="shared" si="52"/>
        <v>434.70207074224811</v>
      </c>
    </row>
    <row r="868" spans="6:12" ht="18.75" customHeight="1">
      <c r="F868" s="1">
        <v>47757</v>
      </c>
      <c r="G868">
        <f t="shared" si="53"/>
        <v>10</v>
      </c>
      <c r="I868" s="7">
        <f>_A*F868*F868+_B*F868+_C</f>
        <v>437.99781842952297</v>
      </c>
      <c r="J868" s="7"/>
      <c r="K868" s="7" cm="1">
        <f t="array" ref="K868">INDEX(Sm,G868)</f>
        <v>-3.2770720300056544</v>
      </c>
      <c r="L868" s="7">
        <f t="shared" si="52"/>
        <v>434.72074639951734</v>
      </c>
    </row>
    <row r="869" spans="6:12" ht="18.75" customHeight="1">
      <c r="F869" s="1">
        <v>47788</v>
      </c>
      <c r="G869">
        <f t="shared" si="53"/>
        <v>11</v>
      </c>
      <c r="I869" s="7">
        <f>_A*F869*F869+_B*F869+_C</f>
        <v>438.21972234240434</v>
      </c>
      <c r="J869" s="7"/>
      <c r="K869" s="7" cm="1">
        <f t="array" ref="K869">INDEX(Sm,G869)</f>
        <v>-2.0734932780028581</v>
      </c>
      <c r="L869" s="7">
        <f t="shared" si="52"/>
        <v>436.1462290644015</v>
      </c>
    </row>
    <row r="870" spans="6:12" ht="18.75" customHeight="1">
      <c r="F870" s="1">
        <v>47818</v>
      </c>
      <c r="G870">
        <f t="shared" si="53"/>
        <v>12</v>
      </c>
      <c r="I870" s="7">
        <f>_A*F870*F870+_B*F870+_C</f>
        <v>438.43463998152674</v>
      </c>
      <c r="J870" s="7"/>
      <c r="K870" s="7" cm="1">
        <f t="array" ref="K870">INDEX(Sm,G870)</f>
        <v>-0.94500362363844403</v>
      </c>
      <c r="L870" s="7">
        <f t="shared" si="52"/>
        <v>437.48963635788829</v>
      </c>
    </row>
    <row r="871" spans="6:12" ht="18.75" customHeight="1">
      <c r="F871" s="1">
        <v>47849</v>
      </c>
      <c r="G871">
        <f t="shared" si="53"/>
        <v>1</v>
      </c>
      <c r="I871" s="7">
        <f>_A*F871*F871+_B*F871+_C</f>
        <v>438.6568991894984</v>
      </c>
      <c r="J871" s="7"/>
      <c r="K871" s="7" cm="1">
        <f t="array" ref="K871">INDEX(Sm,G871)</f>
        <v>-3.1273707705410173E-2</v>
      </c>
      <c r="L871" s="7">
        <f t="shared" si="52"/>
        <v>438.62562548179301</v>
      </c>
    </row>
    <row r="872" spans="6:12" ht="18.75" customHeight="1">
      <c r="F872" s="1">
        <v>47880</v>
      </c>
      <c r="G872">
        <f t="shared" si="53"/>
        <v>2</v>
      </c>
      <c r="I872" s="7">
        <f>_A*F872*F872+_B*F872+_C</f>
        <v>438.87933895726997</v>
      </c>
      <c r="J872" s="7"/>
      <c r="K872" s="7" cm="1">
        <f t="array" ref="K872">INDEX(Sm,G872)</f>
        <v>0.60795807352328612</v>
      </c>
      <c r="L872" s="7">
        <f t="shared" ref="L872:L935" si="54">I872+K872</f>
        <v>439.48729703079323</v>
      </c>
    </row>
    <row r="873" spans="6:12" ht="18.75" customHeight="1">
      <c r="F873" s="1">
        <v>47908</v>
      </c>
      <c r="G873">
        <f t="shared" si="53"/>
        <v>3</v>
      </c>
      <c r="I873" s="7">
        <f>_A*F873*F873+_B*F873+_C</f>
        <v>439.08040749090213</v>
      </c>
      <c r="J873" s="7"/>
      <c r="K873" s="7" cm="1">
        <f t="array" ref="K873">INDEX(Sm,G873)</f>
        <v>1.368171928762181</v>
      </c>
      <c r="L873" s="7">
        <f t="shared" si="54"/>
        <v>440.44857941966433</v>
      </c>
    </row>
    <row r="874" spans="6:12" ht="18.75" customHeight="1">
      <c r="F874" s="1">
        <v>47939</v>
      </c>
      <c r="G874">
        <f t="shared" si="53"/>
        <v>4</v>
      </c>
      <c r="I874" s="7">
        <f>_A*F874*F874+_B*F874+_C</f>
        <v>439.30319090474461</v>
      </c>
      <c r="J874" s="7"/>
      <c r="K874" s="7" cm="1">
        <f t="array" ref="K874">INDEX(Sm,G874)</f>
        <v>2.5295372401482399</v>
      </c>
      <c r="L874" s="7">
        <f t="shared" si="54"/>
        <v>441.83272814489283</v>
      </c>
    </row>
    <row r="875" spans="6:12" ht="18.75" customHeight="1">
      <c r="F875" s="1">
        <v>47969</v>
      </c>
      <c r="G875">
        <f t="shared" si="53"/>
        <v>5</v>
      </c>
      <c r="I875" s="7">
        <f>_A*F875*F875+_B*F875+_C</f>
        <v>439.51895967382939</v>
      </c>
      <c r="J875" s="7"/>
      <c r="K875" s="7" cm="1">
        <f t="array" ref="K875">INDEX(Sm,G875)</f>
        <v>2.9925789844300432</v>
      </c>
      <c r="L875" s="7">
        <f t="shared" si="54"/>
        <v>442.51153865825944</v>
      </c>
    </row>
    <row r="876" spans="6:12" ht="18.75" customHeight="1">
      <c r="F876" s="1">
        <v>48000</v>
      </c>
      <c r="G876">
        <f t="shared" si="53"/>
        <v>6</v>
      </c>
      <c r="I876" s="7">
        <f>_A*F876*F876+_B*F876+_C</f>
        <v>439.74209838276209</v>
      </c>
      <c r="J876" s="7"/>
      <c r="K876" s="7" cm="1">
        <f t="array" ref="K876">INDEX(Sm,G876)</f>
        <v>2.3204129706322356</v>
      </c>
      <c r="L876" s="7">
        <f t="shared" si="54"/>
        <v>442.06251135339431</v>
      </c>
    </row>
    <row r="877" spans="6:12" ht="18.75" customHeight="1">
      <c r="F877" s="1">
        <v>48030</v>
      </c>
      <c r="G877">
        <f t="shared" si="53"/>
        <v>7</v>
      </c>
      <c r="I877" s="7">
        <f>_A*F877*F877+_B*F877+_C</f>
        <v>439.95821098580518</v>
      </c>
      <c r="J877" s="7"/>
      <c r="K877" s="7" cm="1">
        <f t="array" ref="K877">INDEX(Sm,G877)</f>
        <v>0.81833597443365613</v>
      </c>
      <c r="L877" s="7">
        <f t="shared" si="54"/>
        <v>440.77654696023882</v>
      </c>
    </row>
    <row r="878" spans="6:12" ht="18.75" customHeight="1">
      <c r="F878" s="1">
        <v>48061</v>
      </c>
      <c r="G878">
        <f t="shared" si="53"/>
        <v>8</v>
      </c>
      <c r="I878" s="7">
        <f>_A*F878*F878+_B*F878+_C</f>
        <v>440.18170498982818</v>
      </c>
      <c r="J878" s="7"/>
      <c r="K878" s="7" cm="1">
        <f t="array" ref="K878">INDEX(Sm,G878)</f>
        <v>-1.2372810548909516</v>
      </c>
      <c r="L878" s="7">
        <f t="shared" si="54"/>
        <v>438.94442393493722</v>
      </c>
    </row>
    <row r="879" spans="6:12" ht="18.75" customHeight="1">
      <c r="F879" s="1">
        <v>48092</v>
      </c>
      <c r="G879">
        <f t="shared" si="53"/>
        <v>9</v>
      </c>
      <c r="I879" s="7">
        <f>_A*F879*F879+_B*F879+_C</f>
        <v>440.40537955365107</v>
      </c>
      <c r="J879" s="7"/>
      <c r="K879" s="7" cm="1">
        <f t="array" ref="K879">INDEX(Sm,G879)</f>
        <v>-3.0811738821107677</v>
      </c>
      <c r="L879" s="7">
        <f t="shared" si="54"/>
        <v>437.32420567154031</v>
      </c>
    </row>
    <row r="880" spans="6:12" ht="18.75" customHeight="1">
      <c r="F880" s="1">
        <v>48122</v>
      </c>
      <c r="G880">
        <f t="shared" si="53"/>
        <v>10</v>
      </c>
      <c r="I880" s="7">
        <f>_A*F880*F880+_B*F880+_C</f>
        <v>440.62201072594274</v>
      </c>
      <c r="J880" s="7"/>
      <c r="K880" s="7" cm="1">
        <f t="array" ref="K880">INDEX(Sm,G880)</f>
        <v>-3.2770720300056544</v>
      </c>
      <c r="L880" s="7">
        <f t="shared" si="54"/>
        <v>437.34493869593712</v>
      </c>
    </row>
    <row r="881" spans="6:12" ht="18.75" customHeight="1">
      <c r="F881" s="1">
        <v>48153</v>
      </c>
      <c r="G881">
        <f t="shared" si="53"/>
        <v>11</v>
      </c>
      <c r="I881" s="7">
        <f>_A*F881*F881+_B*F881+_C</f>
        <v>440.84604058485593</v>
      </c>
      <c r="J881" s="7"/>
      <c r="K881" s="7" cm="1">
        <f t="array" ref="K881">INDEX(Sm,G881)</f>
        <v>-2.0734932780028581</v>
      </c>
      <c r="L881" s="7">
        <f t="shared" si="54"/>
        <v>438.77254730685308</v>
      </c>
    </row>
    <row r="882" spans="6:12" ht="18.75" customHeight="1">
      <c r="F882" s="1">
        <v>48183</v>
      </c>
      <c r="G882">
        <f t="shared" si="53"/>
        <v>12</v>
      </c>
      <c r="I882" s="7">
        <f>_A*F882*F882+_B*F882+_C</f>
        <v>441.06301559110591</v>
      </c>
      <c r="J882" s="7"/>
      <c r="K882" s="7" cm="1">
        <f t="array" ref="K882">INDEX(Sm,G882)</f>
        <v>-0.94500362363844403</v>
      </c>
      <c r="L882" s="7">
        <f t="shared" si="54"/>
        <v>440.11801196746745</v>
      </c>
    </row>
    <row r="883" spans="6:12" ht="18.75" customHeight="1">
      <c r="F883" s="1">
        <v>48214</v>
      </c>
      <c r="G883">
        <f t="shared" si="53"/>
        <v>1</v>
      </c>
      <c r="I883" s="7">
        <f>_A*F883*F883+_B*F883+_C</f>
        <v>441.28740074510938</v>
      </c>
      <c r="J883" s="7"/>
      <c r="K883" s="7" cm="1">
        <f t="array" ref="K883">INDEX(Sm,G883)</f>
        <v>-3.1273707705410173E-2</v>
      </c>
      <c r="L883" s="7">
        <f t="shared" si="54"/>
        <v>441.25612703740399</v>
      </c>
    </row>
    <row r="884" spans="6:12" ht="18.75" customHeight="1">
      <c r="F884" s="1">
        <v>48245</v>
      </c>
      <c r="G884">
        <f t="shared" si="53"/>
        <v>2</v>
      </c>
      <c r="I884" s="7">
        <f>_A*F884*F884+_B*F884+_C</f>
        <v>441.51196645891275</v>
      </c>
      <c r="J884" s="7"/>
      <c r="K884" s="7" cm="1">
        <f t="array" ref="K884">INDEX(Sm,G884)</f>
        <v>0.60795807352328612</v>
      </c>
      <c r="L884" s="7">
        <f t="shared" si="54"/>
        <v>442.11992453243602</v>
      </c>
    </row>
    <row r="885" spans="6:12" ht="18.75" customHeight="1">
      <c r="F885" s="1">
        <v>48274</v>
      </c>
      <c r="G885">
        <f t="shared" si="53"/>
        <v>3</v>
      </c>
      <c r="I885" s="7">
        <f>_A*F885*F885+_B*F885+_C</f>
        <v>441.72220752419395</v>
      </c>
      <c r="J885" s="7"/>
      <c r="K885" s="7" cm="1">
        <f t="array" ref="K885">INDEX(Sm,G885)</f>
        <v>1.368171928762181</v>
      </c>
      <c r="L885" s="7">
        <f t="shared" si="54"/>
        <v>443.09037945295614</v>
      </c>
    </row>
    <row r="886" spans="6:12" ht="18.75" customHeight="1">
      <c r="F886" s="1">
        <v>48305</v>
      </c>
      <c r="G886">
        <f t="shared" si="53"/>
        <v>4</v>
      </c>
      <c r="I886" s="7">
        <f>_A*F886*F886+_B*F886+_C</f>
        <v>441.94712270857787</v>
      </c>
      <c r="J886" s="7"/>
      <c r="K886" s="7" cm="1">
        <f t="array" ref="K886">INDEX(Sm,G886)</f>
        <v>2.5295372401482399</v>
      </c>
      <c r="L886" s="7">
        <f t="shared" si="54"/>
        <v>444.47665994872608</v>
      </c>
    </row>
    <row r="887" spans="6:12" ht="18.75" customHeight="1">
      <c r="F887" s="1">
        <v>48335</v>
      </c>
      <c r="G887">
        <f t="shared" si="53"/>
        <v>5</v>
      </c>
      <c r="I887" s="7">
        <f>_A*F887*F887+_B*F887+_C</f>
        <v>442.16495448141251</v>
      </c>
      <c r="J887" s="7"/>
      <c r="K887" s="7" cm="1">
        <f t="array" ref="K887">INDEX(Sm,G887)</f>
        <v>2.9925789844300432</v>
      </c>
      <c r="L887" s="7">
        <f t="shared" si="54"/>
        <v>445.15753346584256</v>
      </c>
    </row>
    <row r="888" spans="6:12" ht="18.75" customHeight="1">
      <c r="F888" s="1">
        <v>48366</v>
      </c>
      <c r="G888">
        <f t="shared" si="53"/>
        <v>6</v>
      </c>
      <c r="I888" s="7">
        <f>_A*F888*F888+_B*F888+_C</f>
        <v>442.39022496088671</v>
      </c>
      <c r="J888" s="7"/>
      <c r="K888" s="7" cm="1">
        <f t="array" ref="K888">INDEX(Sm,G888)</f>
        <v>2.3204129706322356</v>
      </c>
      <c r="L888" s="7">
        <f t="shared" si="54"/>
        <v>444.71063793151893</v>
      </c>
    </row>
    <row r="889" spans="6:12" ht="18.75" customHeight="1">
      <c r="F889" s="1">
        <v>48396</v>
      </c>
      <c r="G889">
        <f t="shared" si="53"/>
        <v>7</v>
      </c>
      <c r="I889" s="7">
        <f>_A*F889*F889+_B*F889+_C</f>
        <v>442.60840056767961</v>
      </c>
      <c r="J889" s="7"/>
      <c r="K889" s="7" cm="1">
        <f t="array" ref="K889">INDEX(Sm,G889)</f>
        <v>0.81833597443365613</v>
      </c>
      <c r="L889" s="7">
        <f t="shared" si="54"/>
        <v>443.42673654211325</v>
      </c>
    </row>
    <row r="890" spans="6:12" ht="18.75" customHeight="1">
      <c r="F890" s="1">
        <v>48427</v>
      </c>
      <c r="G890">
        <f t="shared" si="53"/>
        <v>8</v>
      </c>
      <c r="I890" s="7">
        <f>_A*F890*F890+_B*F890+_C</f>
        <v>442.8340263422441</v>
      </c>
      <c r="J890" s="7"/>
      <c r="K890" s="7" cm="1">
        <f t="array" ref="K890">INDEX(Sm,G890)</f>
        <v>-1.2372810548909516</v>
      </c>
      <c r="L890" s="7">
        <f t="shared" si="54"/>
        <v>441.59674528735314</v>
      </c>
    </row>
    <row r="891" spans="6:12" ht="18.75" customHeight="1">
      <c r="F891" s="1">
        <v>48458</v>
      </c>
      <c r="G891">
        <f t="shared" si="53"/>
        <v>9</v>
      </c>
      <c r="I891" s="7">
        <f>_A*F891*F891+_B*F891+_C</f>
        <v>443.05983267660849</v>
      </c>
      <c r="J891" s="7"/>
      <c r="K891" s="7" cm="1">
        <f t="array" ref="K891">INDEX(Sm,G891)</f>
        <v>-3.0811738821107677</v>
      </c>
      <c r="L891" s="7">
        <f t="shared" si="54"/>
        <v>439.97865879449773</v>
      </c>
    </row>
    <row r="892" spans="6:12" ht="18.75" customHeight="1">
      <c r="F892" s="1">
        <v>48488</v>
      </c>
      <c r="G892">
        <f t="shared" si="53"/>
        <v>10</v>
      </c>
      <c r="I892" s="7">
        <f>_A*F892*F892+_B*F892+_C</f>
        <v>443.27852685265003</v>
      </c>
      <c r="J892" s="7"/>
      <c r="K892" s="7" cm="1">
        <f t="array" ref="K892">INDEX(Sm,G892)</f>
        <v>-3.2770720300056544</v>
      </c>
      <c r="L892" s="7">
        <f t="shared" si="54"/>
        <v>440.0014548226444</v>
      </c>
    </row>
    <row r="893" spans="6:12" ht="18.75" customHeight="1">
      <c r="F893" s="1">
        <v>48519</v>
      </c>
      <c r="G893">
        <f t="shared" si="53"/>
        <v>11</v>
      </c>
      <c r="I893" s="7">
        <f>_A*F893*F893+_B*F893+_C</f>
        <v>443.50468848210465</v>
      </c>
      <c r="J893" s="7"/>
      <c r="K893" s="7" cm="1">
        <f t="array" ref="K893">INDEX(Sm,G893)</f>
        <v>-2.0734932780028581</v>
      </c>
      <c r="L893" s="7">
        <f t="shared" si="54"/>
        <v>441.43119520410181</v>
      </c>
    </row>
    <row r="894" spans="6:12" ht="18.75" customHeight="1">
      <c r="F894" s="1">
        <v>48549</v>
      </c>
      <c r="G894">
        <f t="shared" si="53"/>
        <v>12</v>
      </c>
      <c r="I894" s="7">
        <f>_A*F894*F894+_B*F894+_C</f>
        <v>443.7237264921045</v>
      </c>
      <c r="J894" s="7"/>
      <c r="K894" s="7" cm="1">
        <f t="array" ref="K894">INDEX(Sm,G894)</f>
        <v>-0.94500362363844403</v>
      </c>
      <c r="L894" s="7">
        <f t="shared" si="54"/>
        <v>442.77872286846605</v>
      </c>
    </row>
    <row r="895" spans="6:12" ht="18.75" customHeight="1">
      <c r="F895" s="1">
        <v>48580</v>
      </c>
      <c r="G895">
        <f t="shared" si="53"/>
        <v>1</v>
      </c>
      <c r="I895" s="7">
        <f>_A*F895*F895+_B*F895+_C</f>
        <v>443.95024341664941</v>
      </c>
      <c r="J895" s="7"/>
      <c r="K895" s="7" cm="1">
        <f t="array" ref="K895">INDEX(Sm,G895)</f>
        <v>-3.1273707705410173E-2</v>
      </c>
      <c r="L895" s="7">
        <f t="shared" si="54"/>
        <v>443.91896970894402</v>
      </c>
    </row>
    <row r="896" spans="6:12" ht="18.75" customHeight="1">
      <c r="F896" s="1">
        <v>48611</v>
      </c>
      <c r="G896">
        <f t="shared" si="53"/>
        <v>2</v>
      </c>
      <c r="I896" s="7">
        <f>_A*F896*F896+_B*F896+_C</f>
        <v>444.17694090099428</v>
      </c>
      <c r="J896" s="7"/>
      <c r="K896" s="7" cm="1">
        <f t="array" ref="K896">INDEX(Sm,G896)</f>
        <v>0.60795807352328612</v>
      </c>
      <c r="L896" s="7">
        <f t="shared" si="54"/>
        <v>444.78489897451755</v>
      </c>
    </row>
    <row r="897" spans="6:12" ht="18.75" customHeight="1">
      <c r="F897" s="1">
        <v>48639</v>
      </c>
      <c r="G897">
        <f t="shared" si="53"/>
        <v>3</v>
      </c>
      <c r="I897" s="7">
        <f>_A*F897*F897+_B*F897+_C</f>
        <v>444.381855114112</v>
      </c>
      <c r="J897" s="7"/>
      <c r="K897" s="7" cm="1">
        <f t="array" ref="K897">INDEX(Sm,G897)</f>
        <v>1.368171928762181</v>
      </c>
      <c r="L897" s="7">
        <f t="shared" si="54"/>
        <v>445.75002704287419</v>
      </c>
    </row>
    <row r="898" spans="6:12" ht="18.75" customHeight="1">
      <c r="F898" s="1">
        <v>48670</v>
      </c>
      <c r="G898">
        <f t="shared" si="53"/>
        <v>4</v>
      </c>
      <c r="I898" s="7">
        <f>_A*F898*F898+_B*F898+_C</f>
        <v>444.60889624452773</v>
      </c>
      <c r="J898" s="7"/>
      <c r="K898" s="7" cm="1">
        <f t="array" ref="K898">INDEX(Sm,G898)</f>
        <v>2.5295372401482399</v>
      </c>
      <c r="L898" s="7">
        <f t="shared" si="54"/>
        <v>447.13843348467594</v>
      </c>
    </row>
    <row r="899" spans="6:12" ht="18.75" customHeight="1">
      <c r="F899" s="1">
        <v>48700</v>
      </c>
      <c r="G899">
        <f t="shared" ref="G899:G962" si="55">MONTH(F899)</f>
        <v>5</v>
      </c>
      <c r="I899" s="7">
        <f>_A*F899*F899+_B*F899+_C</f>
        <v>444.82878538448995</v>
      </c>
      <c r="J899" s="7"/>
      <c r="K899" s="7" cm="1">
        <f t="array" ref="K899">INDEX(Sm,G899)</f>
        <v>2.9925789844300432</v>
      </c>
      <c r="L899" s="7">
        <f t="shared" si="54"/>
        <v>447.82136436892</v>
      </c>
    </row>
    <row r="900" spans="6:12" ht="18.75" customHeight="1">
      <c r="F900" s="1">
        <v>48731</v>
      </c>
      <c r="G900">
        <f t="shared" si="55"/>
        <v>6</v>
      </c>
      <c r="I900" s="7">
        <f>_A*F900*F900+_B*F900+_C</f>
        <v>445.05618180999602</v>
      </c>
      <c r="J900" s="7"/>
      <c r="K900" s="7" cm="1">
        <f t="array" ref="K900">INDEX(Sm,G900)</f>
        <v>2.3204129706322356</v>
      </c>
      <c r="L900" s="7">
        <f t="shared" si="54"/>
        <v>447.37659478062824</v>
      </c>
    </row>
    <row r="901" spans="6:12" ht="18.75" customHeight="1">
      <c r="F901" s="1">
        <v>48761</v>
      </c>
      <c r="G901">
        <f t="shared" si="55"/>
        <v>7</v>
      </c>
      <c r="I901" s="7">
        <f>_A*F901*F901+_B*F901+_C</f>
        <v>445.27641478391644</v>
      </c>
      <c r="J901" s="7"/>
      <c r="K901" s="7" cm="1">
        <f t="array" ref="K901">INDEX(Sm,G901)</f>
        <v>0.81833597443365613</v>
      </c>
      <c r="L901" s="7">
        <f t="shared" si="54"/>
        <v>446.09475075835007</v>
      </c>
    </row>
    <row r="902" spans="6:12" ht="18.75" customHeight="1">
      <c r="F902" s="1">
        <v>48792</v>
      </c>
      <c r="G902">
        <f t="shared" si="55"/>
        <v>8</v>
      </c>
      <c r="I902" s="7">
        <f>_A*F902*F902+_B*F902+_C</f>
        <v>445.50416650451268</v>
      </c>
      <c r="J902" s="7"/>
      <c r="K902" s="7" cm="1">
        <f t="array" ref="K902">INDEX(Sm,G902)</f>
        <v>-1.2372810548909516</v>
      </c>
      <c r="L902" s="7">
        <f t="shared" si="54"/>
        <v>444.26688544962173</v>
      </c>
    </row>
    <row r="903" spans="6:12" ht="18.75" customHeight="1">
      <c r="F903" s="1">
        <v>48823</v>
      </c>
      <c r="G903">
        <f t="shared" si="55"/>
        <v>9</v>
      </c>
      <c r="I903" s="7">
        <f>_A*F903*F903+_B*F903+_C</f>
        <v>445.73209878490894</v>
      </c>
      <c r="J903" s="7"/>
      <c r="K903" s="7" cm="1">
        <f t="array" ref="K903">INDEX(Sm,G903)</f>
        <v>-3.0811738821107677</v>
      </c>
      <c r="L903" s="7">
        <f t="shared" si="54"/>
        <v>442.65092490279818</v>
      </c>
    </row>
    <row r="904" spans="6:12" ht="18.75" customHeight="1">
      <c r="F904" s="1">
        <v>48853</v>
      </c>
      <c r="G904">
        <f t="shared" si="55"/>
        <v>10</v>
      </c>
      <c r="I904" s="7">
        <f>_A*F904*F904+_B*F904+_C</f>
        <v>445.95285032807794</v>
      </c>
      <c r="J904" s="7"/>
      <c r="K904" s="7" cm="1">
        <f t="array" ref="K904">INDEX(Sm,G904)</f>
        <v>-3.2770720300056544</v>
      </c>
      <c r="L904" s="7">
        <f t="shared" si="54"/>
        <v>442.67577829807232</v>
      </c>
    </row>
    <row r="905" spans="6:12" ht="18.75" customHeight="1">
      <c r="F905" s="1">
        <v>48884</v>
      </c>
      <c r="G905">
        <f t="shared" si="55"/>
        <v>11</v>
      </c>
      <c r="I905" s="7">
        <f>_A*F905*F905+_B*F905+_C</f>
        <v>446.18113790356449</v>
      </c>
      <c r="J905" s="7"/>
      <c r="K905" s="7" cm="1">
        <f t="array" ref="K905">INDEX(Sm,G905)</f>
        <v>-2.0734932780028581</v>
      </c>
      <c r="L905" s="7">
        <f t="shared" si="54"/>
        <v>444.10764462556165</v>
      </c>
    </row>
    <row r="906" spans="6:12" ht="18.75" customHeight="1">
      <c r="F906" s="1">
        <v>48914</v>
      </c>
      <c r="G906">
        <f t="shared" si="55"/>
        <v>12</v>
      </c>
      <c r="I906" s="7">
        <f>_A*F906*F906+_B*F906+_C</f>
        <v>446.40223328069186</v>
      </c>
      <c r="J906" s="7"/>
      <c r="K906" s="7" cm="1">
        <f t="array" ref="K906">INDEX(Sm,G906)</f>
        <v>-0.94500362363844403</v>
      </c>
      <c r="L906" s="7">
        <f t="shared" si="54"/>
        <v>445.4572296570534</v>
      </c>
    </row>
    <row r="907" spans="6:12" ht="18.75" customHeight="1">
      <c r="F907" s="1">
        <v>48945</v>
      </c>
      <c r="G907">
        <f t="shared" si="55"/>
        <v>1</v>
      </c>
      <c r="I907" s="7">
        <f>_A*F907*F907+_B*F907+_C</f>
        <v>446.63087615126858</v>
      </c>
      <c r="J907" s="7"/>
      <c r="K907" s="7" cm="1">
        <f t="array" ref="K907">INDEX(Sm,G907)</f>
        <v>-3.1273707705410173E-2</v>
      </c>
      <c r="L907" s="7">
        <f t="shared" si="54"/>
        <v>446.59960244356319</v>
      </c>
    </row>
    <row r="908" spans="6:12" ht="18.75" customHeight="1">
      <c r="F908" s="1">
        <v>48976</v>
      </c>
      <c r="G908">
        <f t="shared" si="55"/>
        <v>2</v>
      </c>
      <c r="I908" s="7">
        <f>_A*F908*F908+_B*F908+_C</f>
        <v>446.85969958164532</v>
      </c>
      <c r="J908" s="7"/>
      <c r="K908" s="7" cm="1">
        <f t="array" ref="K908">INDEX(Sm,G908)</f>
        <v>0.60795807352328612</v>
      </c>
      <c r="L908" s="7">
        <f t="shared" si="54"/>
        <v>447.46765765516858</v>
      </c>
    </row>
    <row r="909" spans="6:12" ht="18.75" customHeight="1">
      <c r="F909" s="1">
        <v>49004</v>
      </c>
      <c r="G909">
        <f t="shared" si="55"/>
        <v>3</v>
      </c>
      <c r="I909" s="7">
        <f>_A*F909*F909+_B*F909+_C</f>
        <v>447.06653400408203</v>
      </c>
      <c r="J909" s="7"/>
      <c r="K909" s="7" cm="1">
        <f t="array" ref="K909">INDEX(Sm,G909)</f>
        <v>1.368171928762181</v>
      </c>
      <c r="L909" s="7">
        <f t="shared" si="54"/>
        <v>448.43470593284422</v>
      </c>
    </row>
    <row r="910" spans="6:12" ht="18.75" customHeight="1">
      <c r="F910" s="1">
        <v>49035</v>
      </c>
      <c r="G910">
        <f t="shared" si="55"/>
        <v>4</v>
      </c>
      <c r="I910" s="7">
        <f>_A*F910*F910+_B*F910+_C</f>
        <v>447.29570108052962</v>
      </c>
      <c r="J910" s="7"/>
      <c r="K910" s="7" cm="1">
        <f t="array" ref="K910">INDEX(Sm,G910)</f>
        <v>2.5295372401482399</v>
      </c>
      <c r="L910" s="7">
        <f t="shared" si="54"/>
        <v>449.82523832067784</v>
      </c>
    </row>
    <row r="911" spans="6:12" ht="18.75" customHeight="1">
      <c r="F911" s="1">
        <v>49065</v>
      </c>
      <c r="G911">
        <f t="shared" si="55"/>
        <v>5</v>
      </c>
      <c r="I911" s="7">
        <f>_A*F911*F911+_B*F911+_C</f>
        <v>447.51764758761936</v>
      </c>
      <c r="J911" s="7"/>
      <c r="K911" s="7" cm="1">
        <f t="array" ref="K911">INDEX(Sm,G911)</f>
        <v>2.9925789844300432</v>
      </c>
      <c r="L911" s="7">
        <f t="shared" si="54"/>
        <v>450.51022657204942</v>
      </c>
    </row>
    <row r="912" spans="6:12" ht="18.75" customHeight="1">
      <c r="F912" s="1">
        <v>49096</v>
      </c>
      <c r="G912">
        <f t="shared" si="55"/>
        <v>6</v>
      </c>
      <c r="I912" s="7">
        <f>_A*F912*F912+_B*F912+_C</f>
        <v>447.74716995915719</v>
      </c>
      <c r="J912" s="7"/>
      <c r="K912" s="7" cm="1">
        <f t="array" ref="K912">INDEX(Sm,G912)</f>
        <v>2.3204129706322356</v>
      </c>
      <c r="L912" s="7">
        <f t="shared" si="54"/>
        <v>450.06758292978941</v>
      </c>
    </row>
    <row r="913" spans="6:12" ht="18.75" customHeight="1">
      <c r="F913" s="1">
        <v>49126</v>
      </c>
      <c r="G913">
        <f t="shared" si="55"/>
        <v>7</v>
      </c>
      <c r="I913" s="7">
        <f>_A*F913*F913+_B*F913+_C</f>
        <v>447.96946030020524</v>
      </c>
      <c r="J913" s="7"/>
      <c r="K913" s="7" cm="1">
        <f t="array" ref="K913">INDEX(Sm,G913)</f>
        <v>0.81833597443365613</v>
      </c>
      <c r="L913" s="7">
        <f t="shared" si="54"/>
        <v>448.78779627463888</v>
      </c>
    </row>
    <row r="914" spans="6:12" ht="18.75" customHeight="1">
      <c r="F914" s="1">
        <v>49157</v>
      </c>
      <c r="G914">
        <f t="shared" si="55"/>
        <v>8</v>
      </c>
      <c r="I914" s="7">
        <f>_A*F914*F914+_B*F914+_C</f>
        <v>448.19933796683335</v>
      </c>
      <c r="J914" s="7"/>
      <c r="K914" s="7" cm="1">
        <f t="array" ref="K914">INDEX(Sm,G914)</f>
        <v>-1.2372810548909516</v>
      </c>
      <c r="L914" s="7">
        <f t="shared" si="54"/>
        <v>446.9620569119424</v>
      </c>
    </row>
    <row r="915" spans="6:12" ht="18.75" customHeight="1">
      <c r="F915" s="1">
        <v>49188</v>
      </c>
      <c r="G915">
        <f t="shared" si="55"/>
        <v>9</v>
      </c>
      <c r="I915" s="7">
        <f>_A*F915*F915+_B*F915+_C</f>
        <v>448.42939619326137</v>
      </c>
      <c r="J915" s="7"/>
      <c r="K915" s="7" cm="1">
        <f t="array" ref="K915">INDEX(Sm,G915)</f>
        <v>-3.0811738821107677</v>
      </c>
      <c r="L915" s="7">
        <f t="shared" si="54"/>
        <v>445.34822231115061</v>
      </c>
    </row>
    <row r="916" spans="6:12" ht="18.75" customHeight="1">
      <c r="F916" s="1">
        <v>49218</v>
      </c>
      <c r="G916">
        <f t="shared" si="55"/>
        <v>10</v>
      </c>
      <c r="I916" s="7">
        <f>_A*F916*F916+_B*F916+_C</f>
        <v>448.652205103558</v>
      </c>
      <c r="J916" s="7"/>
      <c r="K916" s="7" cm="1">
        <f t="array" ref="K916">INDEX(Sm,G916)</f>
        <v>-3.2770720300056544</v>
      </c>
      <c r="L916" s="7">
        <f t="shared" si="54"/>
        <v>445.37513307355238</v>
      </c>
    </row>
    <row r="917" spans="6:12" ht="18.75" customHeight="1">
      <c r="F917" s="1">
        <v>49249</v>
      </c>
      <c r="G917">
        <f t="shared" si="55"/>
        <v>11</v>
      </c>
      <c r="I917" s="7">
        <f>_A*F917*F917+_B*F917+_C</f>
        <v>448.88261862507625</v>
      </c>
      <c r="J917" s="7"/>
      <c r="K917" s="7" cm="1">
        <f t="array" ref="K917">INDEX(Sm,G917)</f>
        <v>-2.0734932780028581</v>
      </c>
      <c r="L917" s="7">
        <f t="shared" si="54"/>
        <v>446.8091253470734</v>
      </c>
    </row>
    <row r="918" spans="6:12" ht="18.75" customHeight="1">
      <c r="F918" s="1">
        <v>49279</v>
      </c>
      <c r="G918">
        <f t="shared" si="55"/>
        <v>12</v>
      </c>
      <c r="I918" s="7">
        <f>_A*F918*F918+_B*F918+_C</f>
        <v>449.10577136933125</v>
      </c>
      <c r="J918" s="7"/>
      <c r="K918" s="7" cm="1">
        <f t="array" ref="K918">INDEX(Sm,G918)</f>
        <v>-0.94500362363844403</v>
      </c>
      <c r="L918" s="7">
        <f t="shared" si="54"/>
        <v>448.16076774569279</v>
      </c>
    </row>
    <row r="919" spans="6:12" ht="18.75" customHeight="1">
      <c r="F919" s="1">
        <v>49310</v>
      </c>
      <c r="G919">
        <f t="shared" si="55"/>
        <v>1</v>
      </c>
      <c r="I919" s="7">
        <f>_A*F919*F919+_B*F919+_C</f>
        <v>449.33654018593973</v>
      </c>
      <c r="J919" s="7"/>
      <c r="K919" s="7" cm="1">
        <f t="array" ref="K919">INDEX(Sm,G919)</f>
        <v>-3.1273707705410173E-2</v>
      </c>
      <c r="L919" s="7">
        <f t="shared" si="54"/>
        <v>449.30526647823433</v>
      </c>
    </row>
    <row r="920" spans="6:12" ht="18.75" customHeight="1">
      <c r="F920" s="1">
        <v>49341</v>
      </c>
      <c r="G920">
        <f t="shared" si="55"/>
        <v>2</v>
      </c>
      <c r="I920" s="7">
        <f>_A*F920*F920+_B*F920+_C</f>
        <v>449.56748956234821</v>
      </c>
      <c r="J920" s="7"/>
      <c r="K920" s="7" cm="1">
        <f t="array" ref="K920">INDEX(Sm,G920)</f>
        <v>0.60795807352328612</v>
      </c>
      <c r="L920" s="7">
        <f t="shared" si="54"/>
        <v>450.17544763587148</v>
      </c>
    </row>
    <row r="921" spans="6:12" ht="18.75" customHeight="1">
      <c r="F921" s="1">
        <v>49369</v>
      </c>
      <c r="G921">
        <f t="shared" si="55"/>
        <v>3</v>
      </c>
      <c r="I921" s="7">
        <f>_A*F921*F921+_B*F921+_C</f>
        <v>449.77624419410409</v>
      </c>
      <c r="J921" s="7"/>
      <c r="K921" s="7" cm="1">
        <f t="array" ref="K921">INDEX(Sm,G921)</f>
        <v>1.368171928762181</v>
      </c>
      <c r="L921" s="7">
        <f t="shared" si="54"/>
        <v>451.14441612286629</v>
      </c>
    </row>
    <row r="922" spans="6:12" ht="18.75" customHeight="1">
      <c r="F922" s="1">
        <v>49400</v>
      </c>
      <c r="G922">
        <f t="shared" si="55"/>
        <v>4</v>
      </c>
      <c r="I922" s="7">
        <f>_A*F922*F922+_B*F922+_C</f>
        <v>450.0075372165835</v>
      </c>
      <c r="J922" s="7"/>
      <c r="K922" s="7" cm="1">
        <f t="array" ref="K922">INDEX(Sm,G922)</f>
        <v>2.5295372401482399</v>
      </c>
      <c r="L922" s="7">
        <f t="shared" si="54"/>
        <v>452.53707445673172</v>
      </c>
    </row>
    <row r="923" spans="6:12" ht="18.75" customHeight="1">
      <c r="F923" s="1">
        <v>49430</v>
      </c>
      <c r="G923">
        <f t="shared" si="55"/>
        <v>5</v>
      </c>
      <c r="I923" s="7">
        <f>_A*F923*F923+_B*F923+_C</f>
        <v>450.23154109080076</v>
      </c>
      <c r="J923" s="7"/>
      <c r="K923" s="7" cm="1">
        <f t="array" ref="K923">INDEX(Sm,G923)</f>
        <v>2.9925789844300432</v>
      </c>
      <c r="L923" s="7">
        <f t="shared" si="54"/>
        <v>453.22412007523081</v>
      </c>
    </row>
    <row r="924" spans="6:12" ht="18.75" customHeight="1">
      <c r="F924" s="1">
        <v>49461</v>
      </c>
      <c r="G924">
        <f t="shared" si="55"/>
        <v>6</v>
      </c>
      <c r="I924" s="7">
        <f>_A*F924*F924+_B*F924+_C</f>
        <v>450.46318940837045</v>
      </c>
      <c r="J924" s="7"/>
      <c r="K924" s="7" cm="1">
        <f t="array" ref="K924">INDEX(Sm,G924)</f>
        <v>2.3204129706322356</v>
      </c>
      <c r="L924" s="7">
        <f t="shared" si="54"/>
        <v>452.78360237900267</v>
      </c>
    </row>
    <row r="925" spans="6:12" ht="18.75" customHeight="1">
      <c r="F925" s="1">
        <v>49491</v>
      </c>
      <c r="G925">
        <f t="shared" si="55"/>
        <v>7</v>
      </c>
      <c r="I925" s="7">
        <f>_A*F925*F925+_B*F925+_C</f>
        <v>450.68753711654603</v>
      </c>
      <c r="J925" s="7"/>
      <c r="K925" s="7" cm="1">
        <f t="array" ref="K925">INDEX(Sm,G925)</f>
        <v>0.81833597443365613</v>
      </c>
      <c r="L925" s="7">
        <f t="shared" si="54"/>
        <v>451.50587309097966</v>
      </c>
    </row>
    <row r="926" spans="6:12" ht="18.75" customHeight="1">
      <c r="F926" s="1">
        <v>49522</v>
      </c>
      <c r="G926">
        <f t="shared" si="55"/>
        <v>8</v>
      </c>
      <c r="I926" s="7">
        <f>_A*F926*F926+_B*F926+_C</f>
        <v>450.91954072920589</v>
      </c>
      <c r="J926" s="7"/>
      <c r="K926" s="7" cm="1">
        <f t="array" ref="K926">INDEX(Sm,G926)</f>
        <v>-1.2372810548909516</v>
      </c>
      <c r="L926" s="7">
        <f t="shared" si="54"/>
        <v>449.68225967431493</v>
      </c>
    </row>
    <row r="927" spans="6:12" ht="18.75" customHeight="1">
      <c r="F927" s="1">
        <v>49553</v>
      </c>
      <c r="G927">
        <f t="shared" si="55"/>
        <v>9</v>
      </c>
      <c r="I927" s="7">
        <f>_A*F927*F927+_B*F927+_C</f>
        <v>451.15172490166577</v>
      </c>
      <c r="J927" s="7"/>
      <c r="K927" s="7" cm="1">
        <f t="array" ref="K927">INDEX(Sm,G927)</f>
        <v>-3.0811738821107677</v>
      </c>
      <c r="L927" s="7">
        <f t="shared" si="54"/>
        <v>448.07055101955501</v>
      </c>
    </row>
    <row r="928" spans="6:12" ht="18.75" customHeight="1">
      <c r="F928" s="1">
        <v>49583</v>
      </c>
      <c r="G928">
        <f t="shared" si="55"/>
        <v>10</v>
      </c>
      <c r="I928" s="7">
        <f>_A*F928*F928+_B*F928+_C</f>
        <v>451.37659117908993</v>
      </c>
      <c r="J928" s="7"/>
      <c r="K928" s="7" cm="1">
        <f t="array" ref="K928">INDEX(Sm,G928)</f>
        <v>-3.2770720300056544</v>
      </c>
      <c r="L928" s="7">
        <f t="shared" si="54"/>
        <v>448.0995191490843</v>
      </c>
    </row>
    <row r="929" spans="6:12" ht="18.75" customHeight="1">
      <c r="F929" s="1">
        <v>49614</v>
      </c>
      <c r="G929">
        <f t="shared" si="55"/>
        <v>11</v>
      </c>
      <c r="I929" s="7">
        <f>_A*F929*F929+_B*F929+_C</f>
        <v>451.60913064664004</v>
      </c>
      <c r="J929" s="7"/>
      <c r="K929" s="7" cm="1">
        <f t="array" ref="K929">INDEX(Sm,G929)</f>
        <v>-2.0734932780028581</v>
      </c>
      <c r="L929" s="7">
        <f t="shared" si="54"/>
        <v>449.5356373686372</v>
      </c>
    </row>
    <row r="930" spans="6:12" ht="18.75" customHeight="1">
      <c r="F930" s="1">
        <v>49644</v>
      </c>
      <c r="G930">
        <f t="shared" si="55"/>
        <v>12</v>
      </c>
      <c r="I930" s="7">
        <f>_A*F930*F930+_B*F930+_C</f>
        <v>451.83434075802256</v>
      </c>
      <c r="J930" s="7"/>
      <c r="K930" s="7" cm="1">
        <f t="array" ref="K930">INDEX(Sm,G930)</f>
        <v>-0.94500362363844403</v>
      </c>
      <c r="L930" s="7">
        <f t="shared" si="54"/>
        <v>450.88933713438411</v>
      </c>
    </row>
    <row r="931" spans="6:12" ht="18.75" customHeight="1">
      <c r="F931" s="1">
        <v>49675</v>
      </c>
      <c r="G931">
        <f t="shared" si="55"/>
        <v>1</v>
      </c>
      <c r="I931" s="7">
        <f>_A*F931*F931+_B*F931+_C</f>
        <v>452.0672355206629</v>
      </c>
      <c r="J931" s="7"/>
      <c r="K931" s="7" cm="1">
        <f t="array" ref="K931">INDEX(Sm,G931)</f>
        <v>-3.1273707705410173E-2</v>
      </c>
      <c r="L931" s="7">
        <f t="shared" si="54"/>
        <v>452.03596181295751</v>
      </c>
    </row>
    <row r="932" spans="6:12" ht="18.75" customHeight="1">
      <c r="F932" s="1">
        <v>49706</v>
      </c>
      <c r="G932">
        <f t="shared" si="55"/>
        <v>2</v>
      </c>
      <c r="I932" s="7">
        <f>_A*F932*F932+_B*F932+_C</f>
        <v>452.3003108431032</v>
      </c>
      <c r="J932" s="7"/>
      <c r="K932" s="7" cm="1">
        <f t="array" ref="K932">INDEX(Sm,G932)</f>
        <v>0.60795807352328612</v>
      </c>
      <c r="L932" s="7">
        <f t="shared" si="54"/>
        <v>452.90826891662647</v>
      </c>
    </row>
    <row r="933" spans="6:12" ht="18.75" customHeight="1">
      <c r="F933" s="1">
        <v>49735</v>
      </c>
      <c r="G933">
        <f t="shared" si="55"/>
        <v>3</v>
      </c>
      <c r="I933" s="7">
        <f>_A*F933*F933+_B*F933+_C</f>
        <v>452.5185125100125</v>
      </c>
      <c r="J933" s="7"/>
      <c r="K933" s="7" cm="1">
        <f t="array" ref="K933">INDEX(Sm,G933)</f>
        <v>1.368171928762181</v>
      </c>
      <c r="L933" s="7">
        <f t="shared" si="54"/>
        <v>453.88668443877469</v>
      </c>
    </row>
    <row r="934" spans="6:12" ht="18.75" customHeight="1">
      <c r="F934" s="1">
        <v>49766</v>
      </c>
      <c r="G934">
        <f t="shared" si="55"/>
        <v>4</v>
      </c>
      <c r="I934" s="7">
        <f>_A*F934*F934+_B*F934+_C</f>
        <v>452.75193730303334</v>
      </c>
      <c r="J934" s="7"/>
      <c r="K934" s="7" cm="1">
        <f t="array" ref="K934">INDEX(Sm,G934)</f>
        <v>2.5295372401482399</v>
      </c>
      <c r="L934" s="7">
        <f t="shared" si="54"/>
        <v>455.28147454318156</v>
      </c>
    </row>
    <row r="935" spans="6:12" ht="18.75" customHeight="1">
      <c r="F935" s="1">
        <v>49796</v>
      </c>
      <c r="G935">
        <f t="shared" si="55"/>
        <v>5</v>
      </c>
      <c r="I935" s="7">
        <f>_A*F935*F935+_B*F935+_C</f>
        <v>452.97800418100047</v>
      </c>
      <c r="J935" s="7"/>
      <c r="K935" s="7" cm="1">
        <f t="array" ref="K935">INDEX(Sm,G935)</f>
        <v>2.9925789844300432</v>
      </c>
      <c r="L935" s="7">
        <f t="shared" si="54"/>
        <v>455.97058316543053</v>
      </c>
    </row>
    <row r="936" spans="6:12" ht="18.75" customHeight="1">
      <c r="F936" s="1">
        <v>49827</v>
      </c>
      <c r="G936">
        <f t="shared" si="55"/>
        <v>6</v>
      </c>
      <c r="I936" s="7">
        <f>_A*F936*F936+_B*F936+_C</f>
        <v>453.2117842691116</v>
      </c>
      <c r="J936" s="7"/>
      <c r="K936" s="7" cm="1">
        <f t="array" ref="K936">INDEX(Sm,G936)</f>
        <v>2.3204129706322356</v>
      </c>
      <c r="L936" s="7">
        <f t="shared" ref="L936:L982" si="56">I936+K936</f>
        <v>455.53219723974382</v>
      </c>
    </row>
    <row r="937" spans="6:12" ht="18.75" customHeight="1">
      <c r="F937" s="1">
        <v>49857</v>
      </c>
      <c r="G937">
        <f t="shared" si="55"/>
        <v>7</v>
      </c>
      <c r="I937" s="7">
        <f>_A*F937*F937+_B*F937+_C</f>
        <v>453.43819498103704</v>
      </c>
      <c r="J937" s="7"/>
      <c r="K937" s="7" cm="1">
        <f t="array" ref="K937">INDEX(Sm,G937)</f>
        <v>0.81833597443365613</v>
      </c>
      <c r="L937" s="7">
        <f t="shared" si="56"/>
        <v>454.25653095547068</v>
      </c>
    </row>
    <row r="938" spans="6:12" ht="18.75" customHeight="1">
      <c r="F938" s="1">
        <v>49888</v>
      </c>
      <c r="G938">
        <f t="shared" si="55"/>
        <v>8</v>
      </c>
      <c r="I938" s="7">
        <f>_A*F938*F938+_B*F938+_C</f>
        <v>453.67233036423841</v>
      </c>
      <c r="J938" s="7"/>
      <c r="K938" s="7" cm="1">
        <f t="array" ref="K938">INDEX(Sm,G938)</f>
        <v>-1.2372810548909516</v>
      </c>
      <c r="L938" s="7">
        <f t="shared" si="56"/>
        <v>452.43504930934745</v>
      </c>
    </row>
    <row r="939" spans="6:12" ht="18.75" customHeight="1">
      <c r="F939" s="1">
        <v>49919</v>
      </c>
      <c r="G939">
        <f t="shared" si="55"/>
        <v>9</v>
      </c>
      <c r="I939" s="7">
        <f>_A*F939*F939+_B*F939+_C</f>
        <v>453.90664630723978</v>
      </c>
      <c r="J939" s="7"/>
      <c r="K939" s="7" cm="1">
        <f t="array" ref="K939">INDEX(Sm,G939)</f>
        <v>-3.0811738821107677</v>
      </c>
      <c r="L939" s="7">
        <f t="shared" si="56"/>
        <v>450.82547242512902</v>
      </c>
    </row>
    <row r="940" spans="6:12" ht="18.75" customHeight="1">
      <c r="F940" s="1">
        <v>49949</v>
      </c>
      <c r="G940">
        <f t="shared" si="55"/>
        <v>10</v>
      </c>
      <c r="I940" s="7">
        <f>_A*F940*F940+_B*F940+_C</f>
        <v>454.13357558841381</v>
      </c>
      <c r="J940" s="7"/>
      <c r="K940" s="7" cm="1">
        <f t="array" ref="K940">INDEX(Sm,G940)</f>
        <v>-3.2770720300056544</v>
      </c>
      <c r="L940" s="7">
        <f t="shared" si="56"/>
        <v>450.85650355840818</v>
      </c>
    </row>
    <row r="941" spans="6:12" ht="18.75" customHeight="1">
      <c r="F941" s="1">
        <v>49980</v>
      </c>
      <c r="G941">
        <f t="shared" si="55"/>
        <v>11</v>
      </c>
      <c r="I941" s="7">
        <f>_A*F941*F941+_B*F941+_C</f>
        <v>454.36824682650536</v>
      </c>
      <c r="J941" s="7"/>
      <c r="K941" s="7" cm="1">
        <f t="array" ref="K941">INDEX(Sm,G941)</f>
        <v>-2.0734932780028581</v>
      </c>
      <c r="L941" s="7">
        <f t="shared" si="56"/>
        <v>452.29475354850251</v>
      </c>
    </row>
    <row r="942" spans="6:12" ht="18.75" customHeight="1">
      <c r="F942" s="1">
        <v>50010</v>
      </c>
      <c r="G942">
        <f t="shared" si="55"/>
        <v>12</v>
      </c>
      <c r="I942" s="7">
        <f>_A*F942*F942+_B*F942+_C</f>
        <v>454.59551994163769</v>
      </c>
      <c r="J942" s="7"/>
      <c r="K942" s="7" cm="1">
        <f t="array" ref="K942">INDEX(Sm,G942)</f>
        <v>-0.94500362363844403</v>
      </c>
      <c r="L942" s="7">
        <f t="shared" si="56"/>
        <v>453.65051631799923</v>
      </c>
    </row>
    <row r="943" spans="6:12" ht="18.75" customHeight="1">
      <c r="F943" s="1">
        <v>50041</v>
      </c>
      <c r="G943">
        <f t="shared" si="55"/>
        <v>1</v>
      </c>
      <c r="I943" s="7">
        <f>_A*F943*F943+_B*F943+_C</f>
        <v>454.83054647481953</v>
      </c>
      <c r="J943" s="7"/>
      <c r="K943" s="7" cm="1">
        <f t="array" ref="K943">INDEX(Sm,G943)</f>
        <v>-3.1273707705410173E-2</v>
      </c>
      <c r="L943" s="7">
        <f t="shared" si="56"/>
        <v>454.79927276711413</v>
      </c>
    </row>
    <row r="944" spans="6:12" ht="18.75" customHeight="1">
      <c r="F944" s="1">
        <v>50072</v>
      </c>
      <c r="G944">
        <f t="shared" si="55"/>
        <v>2</v>
      </c>
      <c r="I944" s="7">
        <f>_A*F944*F944+_B*F944+_C</f>
        <v>455.06575356780132</v>
      </c>
      <c r="J944" s="7"/>
      <c r="K944" s="7" cm="1">
        <f t="array" ref="K944">INDEX(Sm,G944)</f>
        <v>0.60795807352328612</v>
      </c>
      <c r="L944" s="7">
        <f t="shared" si="56"/>
        <v>455.67371164132459</v>
      </c>
    </row>
    <row r="945" spans="6:12" ht="18.75" customHeight="1">
      <c r="F945" s="1">
        <v>50100</v>
      </c>
      <c r="G945">
        <f t="shared" si="55"/>
        <v>3</v>
      </c>
      <c r="I945" s="7">
        <f>_A*F945*F945+_B*F945+_C</f>
        <v>455.2783538790427</v>
      </c>
      <c r="J945" s="7"/>
      <c r="K945" s="7" cm="1">
        <f t="array" ref="K945">INDEX(Sm,G945)</f>
        <v>1.368171928762181</v>
      </c>
      <c r="L945" s="7">
        <f t="shared" si="56"/>
        <v>456.64652580780489</v>
      </c>
    </row>
    <row r="946" spans="6:12" ht="18.75" customHeight="1">
      <c r="F946" s="1">
        <v>50131</v>
      </c>
      <c r="G946">
        <f t="shared" si="55"/>
        <v>4</v>
      </c>
      <c r="I946" s="7">
        <f>_A*F946*F946+_B*F946+_C</f>
        <v>455.51390461809535</v>
      </c>
      <c r="J946" s="7"/>
      <c r="K946" s="7" cm="1">
        <f t="array" ref="K946">INDEX(Sm,G946)</f>
        <v>2.5295372401482399</v>
      </c>
      <c r="L946" s="7">
        <f t="shared" si="56"/>
        <v>458.04344185824357</v>
      </c>
    </row>
    <row r="947" spans="6:12" ht="18.75" customHeight="1">
      <c r="F947" s="1">
        <v>50161</v>
      </c>
      <c r="G947">
        <f t="shared" si="55"/>
        <v>5</v>
      </c>
      <c r="I947" s="7">
        <f>_A*F947*F947+_B*F947+_C</f>
        <v>455.74202886319006</v>
      </c>
      <c r="J947" s="7"/>
      <c r="K947" s="7" cm="1">
        <f t="array" ref="K947">INDEX(Sm,G947)</f>
        <v>2.9925789844300432</v>
      </c>
      <c r="L947" s="7">
        <f t="shared" si="56"/>
        <v>458.73460784762011</v>
      </c>
    </row>
    <row r="948" spans="6:12" ht="18.75" customHeight="1">
      <c r="F948" s="1">
        <v>50192</v>
      </c>
      <c r="G948">
        <f t="shared" si="55"/>
        <v>6</v>
      </c>
      <c r="I948" s="7">
        <f>_A*F948*F948+_B*F948+_C</f>
        <v>455.97793489733306</v>
      </c>
      <c r="J948" s="7"/>
      <c r="K948" s="7" cm="1">
        <f t="array" ref="K948">INDEX(Sm,G948)</f>
        <v>2.3204129706322356</v>
      </c>
      <c r="L948" s="7">
        <f t="shared" si="56"/>
        <v>458.29834786796528</v>
      </c>
    </row>
    <row r="949" spans="6:12" ht="18.75" customHeight="1">
      <c r="F949" s="1">
        <v>50222</v>
      </c>
      <c r="G949">
        <f t="shared" si="55"/>
        <v>7</v>
      </c>
      <c r="I949" s="7">
        <f>_A*F949*F949+_B*F949+_C</f>
        <v>456.20640297638602</v>
      </c>
      <c r="J949" s="7"/>
      <c r="K949" s="7" cm="1">
        <f t="array" ref="K949">INDEX(Sm,G949)</f>
        <v>0.81833597443365613</v>
      </c>
      <c r="L949" s="7">
        <f t="shared" si="56"/>
        <v>457.02473895081965</v>
      </c>
    </row>
    <row r="950" spans="6:12" ht="18.75" customHeight="1">
      <c r="F950" s="1">
        <v>50253</v>
      </c>
      <c r="G950">
        <f t="shared" si="55"/>
        <v>8</v>
      </c>
      <c r="I950" s="7">
        <f>_A*F950*F950+_B*F950+_C</f>
        <v>456.44266430561919</v>
      </c>
      <c r="J950" s="7"/>
      <c r="K950" s="7" cm="1">
        <f t="array" ref="K950">INDEX(Sm,G950)</f>
        <v>-1.2372810548909516</v>
      </c>
      <c r="L950" s="7">
        <f t="shared" si="56"/>
        <v>455.20538325072823</v>
      </c>
    </row>
    <row r="951" spans="6:12" ht="18.75" customHeight="1">
      <c r="F951" s="1">
        <v>50284</v>
      </c>
      <c r="G951">
        <f t="shared" si="55"/>
        <v>9</v>
      </c>
      <c r="I951" s="7">
        <f>_A*F951*F951+_B*F951+_C</f>
        <v>456.67910619465238</v>
      </c>
      <c r="J951" s="7"/>
      <c r="K951" s="7" cm="1">
        <f t="array" ref="K951">INDEX(Sm,G951)</f>
        <v>-3.0811738821107677</v>
      </c>
      <c r="L951" s="7">
        <f t="shared" si="56"/>
        <v>453.59793231254162</v>
      </c>
    </row>
    <row r="952" spans="6:12" ht="18.75" customHeight="1">
      <c r="F952" s="1">
        <v>50314</v>
      </c>
      <c r="G952">
        <f t="shared" si="55"/>
        <v>10</v>
      </c>
      <c r="I952" s="7">
        <f>_A*F952*F952+_B*F952+_C</f>
        <v>456.90809284295392</v>
      </c>
      <c r="J952" s="7"/>
      <c r="K952" s="7" cm="1">
        <f t="array" ref="K952">INDEX(Sm,G952)</f>
        <v>-3.2770720300056544</v>
      </c>
      <c r="L952" s="7">
        <f t="shared" si="56"/>
        <v>453.63102081294829</v>
      </c>
    </row>
    <row r="953" spans="6:12" ht="18.75" customHeight="1">
      <c r="F953" s="1">
        <v>50345</v>
      </c>
      <c r="G953">
        <f t="shared" si="55"/>
        <v>11</v>
      </c>
      <c r="I953" s="7">
        <f>_A*F953*F953+_B*F953+_C</f>
        <v>457.14489002707728</v>
      </c>
      <c r="J953" s="7"/>
      <c r="K953" s="7" cm="1">
        <f t="array" ref="K953">INDEX(Sm,G953)</f>
        <v>-2.0734932780028581</v>
      </c>
      <c r="L953" s="7">
        <f t="shared" si="56"/>
        <v>455.07139674907444</v>
      </c>
    </row>
    <row r="954" spans="6:12" ht="18.75" customHeight="1">
      <c r="F954" s="1">
        <v>50375</v>
      </c>
      <c r="G954">
        <f t="shared" si="55"/>
        <v>12</v>
      </c>
      <c r="I954" s="7">
        <f>_A*F954*F954+_B*F954+_C</f>
        <v>457.37422050933719</v>
      </c>
      <c r="J954" s="7"/>
      <c r="K954" s="7" cm="1">
        <f t="array" ref="K954">INDEX(Sm,G954)</f>
        <v>-0.94500362363844403</v>
      </c>
      <c r="L954" s="7">
        <f t="shared" si="56"/>
        <v>456.42921688569874</v>
      </c>
    </row>
    <row r="955" spans="6:12" ht="18.75" customHeight="1">
      <c r="F955" s="1">
        <v>50406</v>
      </c>
      <c r="G955">
        <f t="shared" si="55"/>
        <v>1</v>
      </c>
      <c r="I955" s="7">
        <f>_A*F955*F955+_B*F955+_C</f>
        <v>457.6113729885509</v>
      </c>
      <c r="J955" s="7"/>
      <c r="K955" s="7" cm="1">
        <f t="array" ref="K955">INDEX(Sm,G955)</f>
        <v>-3.1273707705410173E-2</v>
      </c>
      <c r="L955" s="7">
        <f t="shared" si="56"/>
        <v>457.5800992808455</v>
      </c>
    </row>
    <row r="956" spans="6:12" ht="18.75" customHeight="1">
      <c r="F956" s="1">
        <v>50437</v>
      </c>
      <c r="G956">
        <f t="shared" si="55"/>
        <v>2</v>
      </c>
      <c r="I956" s="7">
        <f>_A*F956*F956+_B*F956+_C</f>
        <v>457.84870602756445</v>
      </c>
      <c r="J956" s="7"/>
      <c r="K956" s="7" cm="1">
        <f t="array" ref="K956">INDEX(Sm,G956)</f>
        <v>0.60795807352328612</v>
      </c>
      <c r="L956" s="7">
        <f t="shared" si="56"/>
        <v>458.45666410108771</v>
      </c>
    </row>
    <row r="957" spans="6:12" ht="18.75" customHeight="1">
      <c r="F957" s="1">
        <v>50465</v>
      </c>
      <c r="G957">
        <f t="shared" si="55"/>
        <v>3</v>
      </c>
      <c r="I957" s="7">
        <f>_A*F957*F957+_B*F957+_C</f>
        <v>458.06322654812487</v>
      </c>
      <c r="J957" s="7"/>
      <c r="K957" s="7" cm="1">
        <f t="array" ref="K957">INDEX(Sm,G957)</f>
        <v>1.368171928762181</v>
      </c>
      <c r="L957" s="7">
        <f t="shared" si="56"/>
        <v>459.43139847688707</v>
      </c>
    </row>
    <row r="958" spans="6:12" ht="18.75" customHeight="1">
      <c r="F958" s="1">
        <v>50496</v>
      </c>
      <c r="G958">
        <f t="shared" si="55"/>
        <v>4</v>
      </c>
      <c r="I958" s="7">
        <f>_A*F958*F958+_B*F958+_C</f>
        <v>458.3009032332094</v>
      </c>
      <c r="J958" s="7"/>
      <c r="K958" s="7" cm="1">
        <f t="array" ref="K958">INDEX(Sm,G958)</f>
        <v>2.5295372401482399</v>
      </c>
      <c r="L958" s="7">
        <f t="shared" si="56"/>
        <v>460.83044047335761</v>
      </c>
    </row>
    <row r="959" spans="6:12" ht="18.75" customHeight="1">
      <c r="F959" s="1">
        <v>50526</v>
      </c>
      <c r="G959">
        <f t="shared" si="55"/>
        <v>5</v>
      </c>
      <c r="I959" s="7">
        <f>_A*F959*F959+_B*F959+_C</f>
        <v>458.53108484543168</v>
      </c>
      <c r="J959" s="7"/>
      <c r="K959" s="7" cm="1">
        <f t="array" ref="K959">INDEX(Sm,G959)</f>
        <v>2.9925789844300432</v>
      </c>
      <c r="L959" s="7">
        <f t="shared" si="56"/>
        <v>461.52366382986173</v>
      </c>
    </row>
    <row r="960" spans="6:12" ht="18.75" customHeight="1">
      <c r="F960" s="1">
        <v>50557</v>
      </c>
      <c r="G960">
        <f t="shared" si="55"/>
        <v>6</v>
      </c>
      <c r="I960" s="7">
        <f>_A*F960*F960+_B*F960+_C</f>
        <v>458.76911682560649</v>
      </c>
      <c r="J960" s="7"/>
      <c r="K960" s="7" cm="1">
        <f t="array" ref="K960">INDEX(Sm,G960)</f>
        <v>2.3204129706322356</v>
      </c>
      <c r="L960" s="7">
        <f t="shared" si="56"/>
        <v>461.08952979623871</v>
      </c>
    </row>
    <row r="961" spans="6:12" ht="18.75" customHeight="1">
      <c r="F961" s="1">
        <v>50587</v>
      </c>
      <c r="G961">
        <f t="shared" si="55"/>
        <v>7</v>
      </c>
      <c r="I961" s="7">
        <f>_A*F961*F961+_B*F961+_C</f>
        <v>458.99964227178697</v>
      </c>
      <c r="J961" s="7"/>
      <c r="K961" s="7" cm="1">
        <f t="array" ref="K961">INDEX(Sm,G961)</f>
        <v>0.81833597443365613</v>
      </c>
      <c r="L961" s="7">
        <f t="shared" si="56"/>
        <v>459.8179782462206</v>
      </c>
    </row>
    <row r="962" spans="6:12" ht="18.75" customHeight="1">
      <c r="F962" s="1">
        <v>50618</v>
      </c>
      <c r="G962">
        <f t="shared" si="55"/>
        <v>8</v>
      </c>
      <c r="I962" s="7">
        <f>_A*F962*F962+_B*F962+_C</f>
        <v>459.23802954705195</v>
      </c>
      <c r="J962" s="7"/>
      <c r="K962" s="7" cm="1">
        <f t="array" ref="K962">INDEX(Sm,G962)</f>
        <v>-1.2372810548909516</v>
      </c>
      <c r="L962" s="7">
        <f t="shared" si="56"/>
        <v>458.00074849216099</v>
      </c>
    </row>
    <row r="963" spans="6:12" ht="18.75" customHeight="1">
      <c r="F963" s="1">
        <v>50649</v>
      </c>
      <c r="G963">
        <f t="shared" ref="G963:G982" si="57">MONTH(F963)</f>
        <v>9</v>
      </c>
      <c r="I963" s="7">
        <f>_A*F963*F963+_B*F963+_C</f>
        <v>459.47659738211695</v>
      </c>
      <c r="J963" s="7"/>
      <c r="K963" s="7" cm="1">
        <f t="array" ref="K963">INDEX(Sm,G963)</f>
        <v>-3.0811738821107677</v>
      </c>
      <c r="L963" s="7">
        <f t="shared" si="56"/>
        <v>456.39542350000619</v>
      </c>
    </row>
    <row r="964" spans="6:12" ht="18.75" customHeight="1">
      <c r="F964" s="1">
        <v>50679</v>
      </c>
      <c r="G964">
        <f t="shared" si="57"/>
        <v>10</v>
      </c>
      <c r="I964" s="7">
        <f>_A*F964*F964+_B*F964+_C</f>
        <v>459.70764139754601</v>
      </c>
      <c r="J964" s="7"/>
      <c r="K964" s="7" cm="1">
        <f t="array" ref="K964">INDEX(Sm,G964)</f>
        <v>-3.2770720300056544</v>
      </c>
      <c r="L964" s="7">
        <f t="shared" si="56"/>
        <v>456.43056936754039</v>
      </c>
    </row>
    <row r="965" spans="6:12" ht="18.75" customHeight="1">
      <c r="F965" s="1">
        <v>50710</v>
      </c>
      <c r="G965">
        <f t="shared" si="57"/>
        <v>11</v>
      </c>
      <c r="I965" s="7">
        <f>_A*F965*F965+_B*F965+_C</f>
        <v>459.9465645277013</v>
      </c>
      <c r="J965" s="7"/>
      <c r="K965" s="7" cm="1">
        <f t="array" ref="K965">INDEX(Sm,G965)</f>
        <v>-2.0734932780028581</v>
      </c>
      <c r="L965" s="7">
        <f t="shared" si="56"/>
        <v>457.87307124969846</v>
      </c>
    </row>
    <row r="966" spans="6:12" ht="18.75" customHeight="1">
      <c r="F966" s="1">
        <v>50740</v>
      </c>
      <c r="G966">
        <f t="shared" si="57"/>
        <v>12</v>
      </c>
      <c r="I966" s="7">
        <f>_A*F966*F966+_B*F966+_C</f>
        <v>460.17795237708873</v>
      </c>
      <c r="J966" s="7"/>
      <c r="K966" s="7" cm="1">
        <f t="array" ref="K966">INDEX(Sm,G966)</f>
        <v>-0.94500362363844403</v>
      </c>
      <c r="L966" s="7">
        <f t="shared" si="56"/>
        <v>459.23294875345027</v>
      </c>
    </row>
    <row r="967" spans="6:12" ht="18.75" customHeight="1">
      <c r="F967" s="1">
        <v>50771</v>
      </c>
      <c r="G967">
        <f t="shared" si="57"/>
        <v>1</v>
      </c>
      <c r="I967" s="7">
        <f>_A*F967*F967+_B*F967+_C</f>
        <v>460.41723080233419</v>
      </c>
      <c r="J967" s="7"/>
      <c r="K967" s="7" cm="1">
        <f t="array" ref="K967">INDEX(Sm,G967)</f>
        <v>-3.1273707705410173E-2</v>
      </c>
      <c r="L967" s="7">
        <f t="shared" si="56"/>
        <v>460.38595709462879</v>
      </c>
    </row>
    <row r="968" spans="6:12" ht="18.75" customHeight="1">
      <c r="F968" s="1">
        <v>50802</v>
      </c>
      <c r="G968">
        <f t="shared" si="57"/>
        <v>2</v>
      </c>
      <c r="I968" s="7">
        <f>_A*F968*F968+_B*F968+_C</f>
        <v>460.65668978737961</v>
      </c>
      <c r="J968" s="7"/>
      <c r="K968" s="7" cm="1">
        <f t="array" ref="K968">INDEX(Sm,G968)</f>
        <v>0.60795807352328612</v>
      </c>
      <c r="L968" s="7">
        <f t="shared" si="56"/>
        <v>461.26464786090287</v>
      </c>
    </row>
    <row r="969" spans="6:12" ht="18.75" customHeight="1">
      <c r="F969" s="1">
        <v>50830</v>
      </c>
      <c r="G969">
        <f t="shared" si="57"/>
        <v>3</v>
      </c>
      <c r="I969" s="7">
        <f>_A*F969*F969+_B*F969+_C</f>
        <v>460.87313051725909</v>
      </c>
      <c r="J969" s="7"/>
      <c r="K969" s="7" cm="1">
        <f t="array" ref="K969">INDEX(Sm,G969)</f>
        <v>1.368171928762181</v>
      </c>
      <c r="L969" s="7">
        <f t="shared" si="56"/>
        <v>462.24130244602128</v>
      </c>
    </row>
    <row r="970" spans="6:12" ht="18.75" customHeight="1">
      <c r="F970" s="1">
        <v>50861</v>
      </c>
      <c r="G970">
        <f t="shared" si="57"/>
        <v>4</v>
      </c>
      <c r="I970" s="7">
        <f>_A*F970*F970+_B*F970+_C</f>
        <v>461.11293314837542</v>
      </c>
      <c r="J970" s="7"/>
      <c r="K970" s="7" cm="1">
        <f t="array" ref="K970">INDEX(Sm,G970)</f>
        <v>2.5295372401482399</v>
      </c>
      <c r="L970" s="7">
        <f t="shared" si="56"/>
        <v>463.64247038852363</v>
      </c>
    </row>
    <row r="971" spans="6:12" ht="18.75" customHeight="1">
      <c r="F971" s="1">
        <v>50891</v>
      </c>
      <c r="G971">
        <f t="shared" si="57"/>
        <v>5</v>
      </c>
      <c r="I971" s="7">
        <f>_A*F971*F971+_B*F971+_C</f>
        <v>461.34517212772522</v>
      </c>
      <c r="J971" s="7"/>
      <c r="K971" s="7" cm="1">
        <f t="array" ref="K971">INDEX(Sm,G971)</f>
        <v>2.9925789844300432</v>
      </c>
      <c r="L971" s="7">
        <f t="shared" si="56"/>
        <v>464.33775111215527</v>
      </c>
    </row>
    <row r="972" spans="6:12" ht="18.75" customHeight="1">
      <c r="F972" s="1">
        <v>50922</v>
      </c>
      <c r="G972">
        <f t="shared" si="57"/>
        <v>6</v>
      </c>
      <c r="I972" s="7">
        <f>_A*F972*F972+_B*F972+_C</f>
        <v>461.58533005393178</v>
      </c>
      <c r="J972" s="7"/>
      <c r="K972" s="7" cm="1">
        <f t="array" ref="K972">INDEX(Sm,G972)</f>
        <v>2.3204129706322356</v>
      </c>
      <c r="L972" s="7">
        <f t="shared" si="56"/>
        <v>463.905743024564</v>
      </c>
    </row>
    <row r="973" spans="6:12" ht="18.75" customHeight="1">
      <c r="F973" s="1">
        <v>50952</v>
      </c>
      <c r="G973">
        <f t="shared" si="57"/>
        <v>7</v>
      </c>
      <c r="I973" s="7">
        <f>_A*F973*F973+_B*F973+_C</f>
        <v>461.8179128672399</v>
      </c>
      <c r="J973" s="7"/>
      <c r="K973" s="7" cm="1">
        <f t="array" ref="K973">INDEX(Sm,G973)</f>
        <v>0.81833597443365613</v>
      </c>
      <c r="L973" s="7">
        <f t="shared" si="56"/>
        <v>462.63624884167353</v>
      </c>
    </row>
    <row r="974" spans="6:12" ht="18.75" customHeight="1">
      <c r="F974" s="1">
        <v>50983</v>
      </c>
      <c r="G974">
        <f t="shared" si="57"/>
        <v>8</v>
      </c>
      <c r="I974" s="7">
        <f>_A*F974*F974+_B*F974+_C</f>
        <v>462.05842608853669</v>
      </c>
      <c r="J974" s="7"/>
      <c r="K974" s="7" cm="1">
        <f t="array" ref="K974">INDEX(Sm,G974)</f>
        <v>-1.2372810548909516</v>
      </c>
      <c r="L974" s="7">
        <f t="shared" si="56"/>
        <v>460.82114503364573</v>
      </c>
    </row>
    <row r="975" spans="6:12" ht="18.75" customHeight="1">
      <c r="F975" s="1">
        <v>51014</v>
      </c>
      <c r="G975">
        <f t="shared" si="57"/>
        <v>9</v>
      </c>
      <c r="I975" s="7">
        <f>_A*F975*F975+_B*F975+_C</f>
        <v>462.2991198696335</v>
      </c>
      <c r="J975" s="7"/>
      <c r="K975" s="7" cm="1">
        <f t="array" ref="K975">INDEX(Sm,G975)</f>
        <v>-3.0811738821107677</v>
      </c>
      <c r="L975" s="7">
        <f t="shared" si="56"/>
        <v>459.21794598752274</v>
      </c>
    </row>
    <row r="976" spans="6:12" ht="18.75" customHeight="1">
      <c r="F976" s="1">
        <v>51044</v>
      </c>
      <c r="G976">
        <f t="shared" si="57"/>
        <v>10</v>
      </c>
      <c r="I976" s="7">
        <f>_A*F976*F976+_B*F976+_C</f>
        <v>462.53222125219014</v>
      </c>
      <c r="J976" s="7"/>
      <c r="K976" s="7" cm="1">
        <f t="array" ref="K976">INDEX(Sm,G976)</f>
        <v>-3.2770720300056544</v>
      </c>
      <c r="L976" s="7">
        <f t="shared" si="56"/>
        <v>459.25514922218451</v>
      </c>
    </row>
    <row r="977" spans="6:12" ht="18.75" customHeight="1">
      <c r="F977" s="1">
        <v>51075</v>
      </c>
      <c r="G977">
        <f t="shared" si="57"/>
        <v>11</v>
      </c>
      <c r="I977" s="7">
        <f>_A*F977*F977+_B*F977+_C</f>
        <v>462.77327032837718</v>
      </c>
      <c r="J977" s="7"/>
      <c r="K977" s="7" cm="1">
        <f t="array" ref="K977">INDEX(Sm,G977)</f>
        <v>-2.0734932780028581</v>
      </c>
      <c r="L977" s="7">
        <f t="shared" si="56"/>
        <v>460.69977705037434</v>
      </c>
    </row>
    <row r="978" spans="6:12" ht="18.75" customHeight="1">
      <c r="F978" s="1">
        <v>51105</v>
      </c>
      <c r="G978">
        <f t="shared" si="57"/>
        <v>12</v>
      </c>
      <c r="I978" s="7">
        <f>_A*F978*F978+_B*F978+_C</f>
        <v>463.00671554489219</v>
      </c>
      <c r="J978" s="7"/>
      <c r="K978" s="7" cm="1">
        <f t="array" ref="K978">INDEX(Sm,G978)</f>
        <v>-0.94500362363844403</v>
      </c>
      <c r="L978" s="7">
        <f t="shared" si="56"/>
        <v>462.06171192125373</v>
      </c>
    </row>
    <row r="979" spans="6:12" ht="18.75" customHeight="1">
      <c r="F979" s="1">
        <v>51136</v>
      </c>
      <c r="G979">
        <f t="shared" si="57"/>
        <v>1</v>
      </c>
      <c r="I979" s="7">
        <f>_A*F979*F979+_B*F979+_C</f>
        <v>463.24811991616946</v>
      </c>
      <c r="J979" s="7"/>
      <c r="K979" s="7" cm="1">
        <f t="array" ref="K979">INDEX(Sm,G979)</f>
        <v>-3.1273707705410173E-2</v>
      </c>
      <c r="L979" s="7">
        <f t="shared" si="56"/>
        <v>463.21684620846406</v>
      </c>
    </row>
    <row r="980" spans="6:12" ht="18.75" customHeight="1">
      <c r="F980" s="1">
        <v>51167</v>
      </c>
      <c r="G980">
        <f t="shared" si="57"/>
        <v>2</v>
      </c>
      <c r="I980" s="7">
        <f>_A*F980*F980+_B*F980+_C</f>
        <v>463.48970484724668</v>
      </c>
      <c r="J980" s="7"/>
      <c r="K980" s="7" cm="1">
        <f t="array" ref="K980">INDEX(Sm,G980)</f>
        <v>0.60795807352328612</v>
      </c>
      <c r="L980" s="7">
        <f t="shared" si="56"/>
        <v>464.09766292076995</v>
      </c>
    </row>
    <row r="981" spans="6:12" ht="18.75" customHeight="1">
      <c r="F981" s="1">
        <v>51196</v>
      </c>
      <c r="G981">
        <f t="shared" si="57"/>
        <v>3</v>
      </c>
      <c r="I981" s="7">
        <f>_A*F981*F981+_B*F981+_C</f>
        <v>463.71586711578408</v>
      </c>
      <c r="J981" s="7"/>
      <c r="K981" s="7" cm="1">
        <f t="array" ref="K981">INDEX(Sm,G981)</f>
        <v>1.368171928762181</v>
      </c>
      <c r="L981" s="7">
        <f t="shared" si="56"/>
        <v>465.08403904454627</v>
      </c>
    </row>
    <row r="982" spans="6:12" ht="18.75" customHeight="1">
      <c r="F982" s="16">
        <v>51227</v>
      </c>
      <c r="G982" s="17">
        <f t="shared" si="57"/>
        <v>4</v>
      </c>
      <c r="H982" s="18"/>
      <c r="I982" s="7">
        <f>_A*F982*F982+_B*F982+_C</f>
        <v>463.95780151744185</v>
      </c>
      <c r="J982" s="7"/>
      <c r="K982" s="7" cm="1">
        <f t="array" ref="K982">INDEX(Sm,G982)</f>
        <v>2.5295372401482399</v>
      </c>
      <c r="L982" s="7">
        <f t="shared" si="56"/>
        <v>466.48733875759007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6C60-50E6-4B0D-8668-2BE976734B25}">
  <dimension ref="A1:M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</cols>
  <sheetData>
    <row r="1" spans="1:13" ht="18.75" customHeight="1">
      <c r="A1" s="2" t="s">
        <v>9</v>
      </c>
      <c r="B1" s="8" t="s">
        <v>15</v>
      </c>
      <c r="D1" t="s">
        <v>16</v>
      </c>
      <c r="F1" s="3" t="s">
        <v>46</v>
      </c>
      <c r="G1" s="3" t="s">
        <v>22</v>
      </c>
      <c r="H1" s="6" t="s">
        <v>47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48</v>
      </c>
    </row>
    <row r="2" spans="1:13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 t="shared" ref="I2:I65" si="0">_A*F2*F2+_B*F2+_C</f>
        <v>314.61155003735519</v>
      </c>
      <c r="J2" s="7">
        <f>H2-I2</f>
        <v>1.0884499626448019</v>
      </c>
      <c r="K2" s="7" cm="1">
        <f t="array" ref="K2">INDEX(Sm,G2)</f>
        <v>1.3733706304072995</v>
      </c>
      <c r="L2" s="7">
        <f>I2+K2</f>
        <v>315.98492066776248</v>
      </c>
      <c r="M2" s="7">
        <f>H2-L2</f>
        <v>-0.28492066776249203</v>
      </c>
    </row>
    <row r="3" spans="1:13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1">MONTH(F3)</f>
        <v>4</v>
      </c>
      <c r="H3" s="7">
        <v>317.45999999999998</v>
      </c>
      <c r="I3" s="7">
        <f t="shared" si="0"/>
        <v>314.67624382141679</v>
      </c>
      <c r="J3" s="7">
        <f t="shared" ref="J3:J66" si="2">H3-I3</f>
        <v>2.7837561785831895</v>
      </c>
      <c r="K3" s="7" cm="1">
        <f t="array" ref="K3">INDEX(Sm,G3)</f>
        <v>2.6099183412742755</v>
      </c>
      <c r="L3" s="7">
        <f t="shared" ref="L3:L66" si="3">I3+K3</f>
        <v>317.28616216269108</v>
      </c>
      <c r="M3" s="7">
        <f t="shared" ref="M3:M66" si="4">H3-L3</f>
        <v>0.1738378373088949</v>
      </c>
    </row>
    <row r="4" spans="1:13" ht="18.75" customHeight="1">
      <c r="F4" s="1">
        <v>21306</v>
      </c>
      <c r="G4">
        <f t="shared" si="1"/>
        <v>5</v>
      </c>
      <c r="H4" s="7">
        <v>317.51</v>
      </c>
      <c r="I4" s="7">
        <f t="shared" si="0"/>
        <v>314.73903013579707</v>
      </c>
      <c r="J4" s="7">
        <f t="shared" si="2"/>
        <v>2.7709698642029252</v>
      </c>
      <c r="K4" s="7" cm="1">
        <f t="array" ref="K4">INDEX(Sm,G4)</f>
        <v>3.065291801195754</v>
      </c>
      <c r="L4" s="7">
        <f t="shared" si="3"/>
        <v>317.80432193699284</v>
      </c>
      <c r="M4" s="7">
        <f t="shared" si="4"/>
        <v>-0.29432193699284426</v>
      </c>
    </row>
    <row r="5" spans="1:13" ht="18.75" customHeight="1">
      <c r="A5" t="s">
        <v>50</v>
      </c>
      <c r="F5" s="1">
        <v>21367</v>
      </c>
      <c r="G5">
        <f t="shared" si="1"/>
        <v>7</v>
      </c>
      <c r="H5" s="7">
        <v>315.86</v>
      </c>
      <c r="I5" s="7">
        <f t="shared" si="0"/>
        <v>314.86723990232565</v>
      </c>
      <c r="J5" s="7">
        <f t="shared" si="2"/>
        <v>0.99276009767436335</v>
      </c>
      <c r="K5" s="7" cm="1">
        <f t="array" ref="K5">INDEX(Sm,G5)</f>
        <v>0.72334113060077332</v>
      </c>
      <c r="L5" s="7">
        <f t="shared" si="3"/>
        <v>315.59058103292642</v>
      </c>
      <c r="M5" s="7">
        <f t="shared" si="4"/>
        <v>0.26941896707359092</v>
      </c>
    </row>
    <row r="6" spans="1:13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1"/>
        <v>8</v>
      </c>
      <c r="H6" s="7">
        <v>314.93</v>
      </c>
      <c r="I6" s="7">
        <f t="shared" si="0"/>
        <v>314.93267531624593</v>
      </c>
      <c r="J6" s="7">
        <f t="shared" si="2"/>
        <v>-2.6753162459272062E-3</v>
      </c>
      <c r="K6" s="7" cm="1">
        <f t="array" ref="K6">INDEX(Sm,G6)</f>
        <v>-1.3975570061157723</v>
      </c>
      <c r="L6" s="7">
        <f t="shared" si="3"/>
        <v>313.53511831013014</v>
      </c>
      <c r="M6" s="7">
        <f t="shared" si="4"/>
        <v>1.3948816898698624</v>
      </c>
    </row>
    <row r="7" spans="1:13" ht="18.75" customHeight="1">
      <c r="B7" s="21">
        <f t="array" ref="B7:D7">LINEST($H$2:$H$742,$F$2:$F$742^{1,2})</f>
        <v>9.8047310770192954E-8</v>
      </c>
      <c r="C7" s="21">
        <v>-2.0821734412079227E-3</v>
      </c>
      <c r="D7" s="21">
        <v>314.59366862850817</v>
      </c>
      <c r="E7" t="s">
        <v>51</v>
      </c>
      <c r="F7" s="1">
        <v>21429</v>
      </c>
      <c r="G7">
        <f t="shared" si="1"/>
        <v>9</v>
      </c>
      <c r="H7" s="7">
        <v>313.20999999999998</v>
      </c>
      <c r="I7" s="7">
        <f t="shared" si="0"/>
        <v>314.99829917709746</v>
      </c>
      <c r="J7" s="7">
        <f t="shared" si="2"/>
        <v>-1.7882991770974854</v>
      </c>
      <c r="K7" s="7" cm="1">
        <f t="array" ref="K7">INDEX(Sm,G7)</f>
        <v>-3.1934822994410497</v>
      </c>
      <c r="L7" s="7">
        <f t="shared" si="3"/>
        <v>311.80481687765644</v>
      </c>
      <c r="M7" s="7">
        <f t="shared" si="4"/>
        <v>1.4051831223435443</v>
      </c>
    </row>
    <row r="8" spans="1:13" ht="18.75" customHeight="1">
      <c r="B8" t="s">
        <v>52</v>
      </c>
      <c r="F8" s="1">
        <v>21490</v>
      </c>
      <c r="G8">
        <f t="shared" si="1"/>
        <v>11</v>
      </c>
      <c r="H8" s="7">
        <v>313.33</v>
      </c>
      <c r="I8" s="7">
        <f t="shared" si="0"/>
        <v>315.12798024157149</v>
      </c>
      <c r="J8" s="7">
        <f t="shared" si="2"/>
        <v>-1.7979802415715085</v>
      </c>
      <c r="K8" s="7" cm="1">
        <f t="array" ref="K8">INDEX(Sm,G8)</f>
        <v>-2.0591623324975612</v>
      </c>
      <c r="L8" s="7">
        <f t="shared" si="3"/>
        <v>313.06881790907391</v>
      </c>
      <c r="M8" s="7">
        <f t="shared" si="4"/>
        <v>0.26118209092607003</v>
      </c>
    </row>
    <row r="9" spans="1:13" ht="18.75" customHeight="1">
      <c r="F9" s="1">
        <v>21520</v>
      </c>
      <c r="G9">
        <f t="shared" si="1"/>
        <v>12</v>
      </c>
      <c r="H9" s="7">
        <v>314.67</v>
      </c>
      <c r="I9" s="7">
        <f t="shared" si="0"/>
        <v>315.19202548342207</v>
      </c>
      <c r="J9" s="7">
        <f t="shared" si="2"/>
        <v>-0.52202548342205546</v>
      </c>
      <c r="K9" s="7" cm="1">
        <f t="array" ref="K9">INDEX(Sm,G9)</f>
        <v>-0.89132446529561371</v>
      </c>
      <c r="L9" s="7">
        <f t="shared" si="3"/>
        <v>314.30070101812646</v>
      </c>
      <c r="M9" s="7">
        <f t="shared" si="4"/>
        <v>0.36929898187355548</v>
      </c>
    </row>
    <row r="10" spans="1:13" ht="18.75" customHeight="1">
      <c r="A10" t="s">
        <v>54</v>
      </c>
      <c r="F10" s="1">
        <v>21551</v>
      </c>
      <c r="G10">
        <f t="shared" si="1"/>
        <v>1</v>
      </c>
      <c r="H10" s="7">
        <v>315.58</v>
      </c>
      <c r="I10" s="7">
        <f t="shared" si="0"/>
        <v>315.25839097413228</v>
      </c>
      <c r="J10" s="7">
        <f t="shared" si="2"/>
        <v>0.32160902586770135</v>
      </c>
      <c r="K10" s="7" cm="1">
        <f t="array" ref="K10">INDEX(Sm,G10)</f>
        <v>6.1040869584970889E-2</v>
      </c>
      <c r="L10" s="7">
        <f t="shared" si="3"/>
        <v>315.31943184371727</v>
      </c>
      <c r="M10" s="7">
        <f t="shared" si="4"/>
        <v>0.26056815628271579</v>
      </c>
    </row>
    <row r="11" spans="1:13" ht="18.75" customHeight="1">
      <c r="A11" s="2" t="s">
        <v>6</v>
      </c>
      <c r="B11" s="3" t="s">
        <v>8</v>
      </c>
      <c r="F11" s="1">
        <v>21582</v>
      </c>
      <c r="G11">
        <f t="shared" si="1"/>
        <v>2</v>
      </c>
      <c r="H11" s="7">
        <v>316.49</v>
      </c>
      <c r="I11" s="7">
        <f t="shared" si="0"/>
        <v>315.3249449117738</v>
      </c>
      <c r="J11" s="7">
        <f t="shared" si="2"/>
        <v>1.165055088226211</v>
      </c>
      <c r="K11" s="7" cm="1">
        <f t="array" ref="K11">INDEX(Sm,G11)</f>
        <v>0.69421564520236412</v>
      </c>
      <c r="L11" s="7">
        <f t="shared" si="3"/>
        <v>316.01916055697615</v>
      </c>
      <c r="M11" s="7">
        <f t="shared" si="4"/>
        <v>0.47083944302386271</v>
      </c>
    </row>
    <row r="12" spans="1:13" ht="18.75" customHeight="1">
      <c r="A12" s="2">
        <v>1</v>
      </c>
      <c r="B12" s="13">
        <f>AVERAGEIF($G$2:$G$742,A12,$J$2:$J$742)</f>
        <v>6.1040869584970889E-2</v>
      </c>
      <c r="C12" t="s">
        <v>53</v>
      </c>
      <c r="F12" s="1">
        <v>21610</v>
      </c>
      <c r="G12">
        <f t="shared" si="1"/>
        <v>3</v>
      </c>
      <c r="H12" s="7">
        <v>316.64999999999998</v>
      </c>
      <c r="I12" s="7">
        <f t="shared" si="0"/>
        <v>315.38522011993001</v>
      </c>
      <c r="J12" s="7">
        <f t="shared" si="2"/>
        <v>1.2647798800699661</v>
      </c>
      <c r="K12" s="7" cm="1">
        <f t="array" ref="K12">INDEX(Sm,G12)</f>
        <v>1.3733706304072995</v>
      </c>
      <c r="L12" s="7">
        <f t="shared" si="3"/>
        <v>316.75859075033731</v>
      </c>
      <c r="M12" s="7">
        <f t="shared" si="4"/>
        <v>-0.10859075033732779</v>
      </c>
    </row>
    <row r="13" spans="1:13" ht="18.75" customHeight="1">
      <c r="A13" s="2">
        <v>2</v>
      </c>
      <c r="B13" s="14">
        <f t="shared" ref="B13:B23" si="5">AVERAGEIF($G$2:$G$742,A13,$J$2:$J$742)</f>
        <v>0.69421564520236412</v>
      </c>
      <c r="F13" s="1">
        <v>21641</v>
      </c>
      <c r="G13">
        <f t="shared" si="1"/>
        <v>4</v>
      </c>
      <c r="H13" s="7">
        <v>317.72000000000003</v>
      </c>
      <c r="I13" s="7">
        <f t="shared" si="0"/>
        <v>315.45213271463433</v>
      </c>
      <c r="J13" s="7">
        <f t="shared" si="2"/>
        <v>2.2678672853656963</v>
      </c>
      <c r="K13" s="7" cm="1">
        <f t="array" ref="K13">INDEX(Sm,G13)</f>
        <v>2.6099183412742755</v>
      </c>
      <c r="L13" s="7">
        <f t="shared" si="3"/>
        <v>318.06205105590863</v>
      </c>
      <c r="M13" s="7">
        <f t="shared" si="4"/>
        <v>-0.3420510559085983</v>
      </c>
    </row>
    <row r="14" spans="1:13" ht="18.75" customHeight="1">
      <c r="A14" s="2">
        <v>3</v>
      </c>
      <c r="B14" s="14">
        <f t="shared" si="5"/>
        <v>1.3733706304072995</v>
      </c>
      <c r="F14" s="1">
        <v>21671</v>
      </c>
      <c r="G14">
        <f t="shared" si="1"/>
        <v>5</v>
      </c>
      <c r="H14" s="7">
        <v>318.29000000000002</v>
      </c>
      <c r="I14" s="7">
        <f t="shared" si="0"/>
        <v>315.51706626512043</v>
      </c>
      <c r="J14" s="7">
        <f t="shared" si="2"/>
        <v>2.7729337348795866</v>
      </c>
      <c r="K14" s="7" cm="1">
        <f t="array" ref="K14">INDEX(Sm,G14)</f>
        <v>3.065291801195754</v>
      </c>
      <c r="L14" s="7">
        <f t="shared" si="3"/>
        <v>318.5823580663162</v>
      </c>
      <c r="M14" s="7">
        <f t="shared" si="4"/>
        <v>-0.29235806631618289</v>
      </c>
    </row>
    <row r="15" spans="1:13" ht="18.75" customHeight="1">
      <c r="A15" s="2">
        <v>4</v>
      </c>
      <c r="B15" s="14">
        <f t="shared" si="5"/>
        <v>2.6099183412742755</v>
      </c>
      <c r="F15" s="1">
        <v>21702</v>
      </c>
      <c r="G15">
        <f t="shared" si="1"/>
        <v>6</v>
      </c>
      <c r="H15" s="7">
        <v>318.14999999999998</v>
      </c>
      <c r="I15" s="7">
        <f t="shared" si="0"/>
        <v>315.58434967475409</v>
      </c>
      <c r="J15" s="7">
        <f t="shared" si="2"/>
        <v>2.5656503252458833</v>
      </c>
      <c r="K15" s="7" cm="1">
        <f t="array" ref="K15">INDEX(Sm,G15)</f>
        <v>2.3463851222642056</v>
      </c>
      <c r="L15" s="7">
        <f t="shared" si="3"/>
        <v>317.93073479701832</v>
      </c>
      <c r="M15" s="7">
        <f t="shared" si="4"/>
        <v>0.21926520298165997</v>
      </c>
    </row>
    <row r="16" spans="1:13" ht="18.75" customHeight="1">
      <c r="A16" s="2">
        <v>5</v>
      </c>
      <c r="B16" s="14">
        <f t="shared" si="5"/>
        <v>3.065291801195754</v>
      </c>
      <c r="F16" s="1">
        <v>21732</v>
      </c>
      <c r="G16">
        <f t="shared" si="1"/>
        <v>7</v>
      </c>
      <c r="H16" s="7">
        <v>316.54000000000002</v>
      </c>
      <c r="I16" s="7">
        <f t="shared" si="0"/>
        <v>315.64964207839762</v>
      </c>
      <c r="J16" s="7">
        <f t="shared" si="2"/>
        <v>0.89035792160240135</v>
      </c>
      <c r="K16" s="7" cm="1">
        <f t="array" ref="K16">INDEX(Sm,G16)</f>
        <v>0.72334113060077332</v>
      </c>
      <c r="L16" s="7">
        <f t="shared" si="3"/>
        <v>316.37298320899839</v>
      </c>
      <c r="M16" s="7">
        <f t="shared" si="4"/>
        <v>0.16701679100162892</v>
      </c>
    </row>
    <row r="17" spans="1:13" ht="18.75" customHeight="1">
      <c r="A17" s="2">
        <v>6</v>
      </c>
      <c r="B17" s="14">
        <f t="shared" si="5"/>
        <v>2.3463851222642056</v>
      </c>
      <c r="F17" s="1">
        <v>21763</v>
      </c>
      <c r="G17">
        <f t="shared" si="1"/>
        <v>8</v>
      </c>
      <c r="H17" s="7">
        <v>314.8</v>
      </c>
      <c r="I17" s="7">
        <f t="shared" si="0"/>
        <v>315.71729630296062</v>
      </c>
      <c r="J17" s="7">
        <f t="shared" si="2"/>
        <v>-0.91729630296060805</v>
      </c>
      <c r="K17" s="7" cm="1">
        <f t="array" ref="K17">INDEX(Sm,G17)</f>
        <v>-1.3975570061157723</v>
      </c>
      <c r="L17" s="7">
        <f t="shared" si="3"/>
        <v>314.31973929684483</v>
      </c>
      <c r="M17" s="7">
        <f t="shared" si="4"/>
        <v>0.48026070315518155</v>
      </c>
    </row>
    <row r="18" spans="1:13" ht="18.75" customHeight="1">
      <c r="A18" s="2">
        <v>7</v>
      </c>
      <c r="B18" s="14">
        <f t="shared" si="5"/>
        <v>0.72334113060077332</v>
      </c>
      <c r="F18" s="1">
        <v>21794</v>
      </c>
      <c r="G18">
        <f t="shared" si="1"/>
        <v>9</v>
      </c>
      <c r="H18" s="7">
        <v>313.83999999999997</v>
      </c>
      <c r="I18" s="7">
        <f t="shared" si="0"/>
        <v>315.78513897445492</v>
      </c>
      <c r="J18" s="7">
        <f t="shared" si="2"/>
        <v>-1.9451389744549488</v>
      </c>
      <c r="K18" s="7" cm="1">
        <f t="array" ref="K18">INDEX(Sm,G18)</f>
        <v>-3.1934822994410497</v>
      </c>
      <c r="L18" s="7">
        <f t="shared" si="3"/>
        <v>312.59165667501389</v>
      </c>
      <c r="M18" s="7">
        <f t="shared" si="4"/>
        <v>1.2483433249860809</v>
      </c>
    </row>
    <row r="19" spans="1:13" ht="18.75" customHeight="1">
      <c r="A19" s="2">
        <v>8</v>
      </c>
      <c r="B19" s="14">
        <f t="shared" si="5"/>
        <v>-1.3975570061157723</v>
      </c>
      <c r="F19" s="1">
        <v>21824</v>
      </c>
      <c r="G19">
        <f t="shared" si="1"/>
        <v>10</v>
      </c>
      <c r="H19" s="7">
        <v>313.33</v>
      </c>
      <c r="I19" s="7">
        <f t="shared" si="0"/>
        <v>315.85097259925391</v>
      </c>
      <c r="J19" s="7">
        <f t="shared" si="2"/>
        <v>-2.5209725992539234</v>
      </c>
      <c r="K19" s="7" cm="1">
        <f t="array" ref="K19">INDEX(Sm,G19)</f>
        <v>-3.3368150874962788</v>
      </c>
      <c r="L19" s="7">
        <f t="shared" si="3"/>
        <v>312.51415751175762</v>
      </c>
      <c r="M19" s="7">
        <f t="shared" si="4"/>
        <v>0.81584248824236738</v>
      </c>
    </row>
    <row r="20" spans="1:13" ht="18.75" customHeight="1">
      <c r="A20" s="2">
        <v>9</v>
      </c>
      <c r="B20" s="14">
        <f t="shared" si="5"/>
        <v>-3.1934822994410497</v>
      </c>
      <c r="F20" s="1">
        <v>21855</v>
      </c>
      <c r="G20">
        <f t="shared" si="1"/>
        <v>11</v>
      </c>
      <c r="H20" s="7">
        <v>314.81</v>
      </c>
      <c r="I20" s="7">
        <f t="shared" si="0"/>
        <v>315.91918608567755</v>
      </c>
      <c r="J20" s="7">
        <f t="shared" si="2"/>
        <v>-1.1091860856775497</v>
      </c>
      <c r="K20" s="7" cm="1">
        <f t="array" ref="K20">INDEX(Sm,G20)</f>
        <v>-2.0591623324975612</v>
      </c>
      <c r="L20" s="7">
        <f t="shared" si="3"/>
        <v>313.86002375317997</v>
      </c>
      <c r="M20" s="7">
        <f t="shared" si="4"/>
        <v>0.94997624682002879</v>
      </c>
    </row>
    <row r="21" spans="1:13" ht="18.75" customHeight="1">
      <c r="A21" s="2">
        <v>10</v>
      </c>
      <c r="B21" s="14">
        <f t="shared" si="5"/>
        <v>-3.3368150874962788</v>
      </c>
      <c r="F21" s="1">
        <v>21885</v>
      </c>
      <c r="G21">
        <f t="shared" si="1"/>
        <v>12</v>
      </c>
      <c r="H21" s="7">
        <v>315.58</v>
      </c>
      <c r="I21" s="7">
        <f t="shared" si="0"/>
        <v>315.98537856363396</v>
      </c>
      <c r="J21" s="7">
        <f t="shared" si="2"/>
        <v>-0.40537856363397395</v>
      </c>
      <c r="K21" s="7" cm="1">
        <f t="array" ref="K21">INDEX(Sm,G21)</f>
        <v>-0.89132446529561371</v>
      </c>
      <c r="L21" s="7">
        <f t="shared" si="3"/>
        <v>315.09405409833835</v>
      </c>
      <c r="M21" s="7">
        <f t="shared" si="4"/>
        <v>0.48594590166163698</v>
      </c>
    </row>
    <row r="22" spans="1:13" ht="18.75" customHeight="1">
      <c r="A22" s="2">
        <v>11</v>
      </c>
      <c r="B22" s="14">
        <f t="shared" si="5"/>
        <v>-2.0591623324975612</v>
      </c>
      <c r="F22" s="1">
        <v>21916</v>
      </c>
      <c r="G22">
        <f t="shared" si="1"/>
        <v>1</v>
      </c>
      <c r="H22" s="7">
        <v>316.43</v>
      </c>
      <c r="I22" s="7">
        <f t="shared" si="0"/>
        <v>316.05396286498689</v>
      </c>
      <c r="J22" s="7">
        <f t="shared" si="2"/>
        <v>0.37603713501312086</v>
      </c>
      <c r="K22" s="7" cm="1">
        <f t="array" ref="K22">INDEX(Sm,G22)</f>
        <v>6.1040869584970889E-2</v>
      </c>
      <c r="L22" s="7">
        <f t="shared" si="3"/>
        <v>316.11500373457187</v>
      </c>
      <c r="M22" s="7">
        <f t="shared" si="4"/>
        <v>0.3149962654281353</v>
      </c>
    </row>
    <row r="23" spans="1:13" ht="18.75" customHeight="1">
      <c r="A23" s="2">
        <v>12</v>
      </c>
      <c r="B23" s="15">
        <f t="shared" si="5"/>
        <v>-0.89132446529561371</v>
      </c>
      <c r="F23" s="1">
        <v>21947</v>
      </c>
      <c r="G23">
        <f t="shared" si="1"/>
        <v>2</v>
      </c>
      <c r="H23" s="7">
        <v>316.98</v>
      </c>
      <c r="I23" s="7">
        <f t="shared" si="0"/>
        <v>316.12273561327112</v>
      </c>
      <c r="J23" s="7">
        <f t="shared" si="2"/>
        <v>0.85726438672890026</v>
      </c>
      <c r="K23" s="7" cm="1">
        <f t="array" ref="K23">INDEX(Sm,G23)</f>
        <v>0.69421564520236412</v>
      </c>
      <c r="L23" s="7">
        <f t="shared" si="3"/>
        <v>316.81695125847347</v>
      </c>
      <c r="M23" s="7">
        <f t="shared" si="4"/>
        <v>0.16304874152655202</v>
      </c>
    </row>
    <row r="24" spans="1:13" ht="18.75" customHeight="1">
      <c r="A24" s="4">
        <v>13</v>
      </c>
      <c r="B24" s="20">
        <f>B12</f>
        <v>6.1040869584970889E-2</v>
      </c>
      <c r="C24" s="19" t="s">
        <v>36</v>
      </c>
      <c r="D24" s="5"/>
      <c r="F24" s="1">
        <v>21976</v>
      </c>
      <c r="G24">
        <f t="shared" si="1"/>
        <v>3</v>
      </c>
      <c r="H24" s="7">
        <v>317.58</v>
      </c>
      <c r="I24" s="7">
        <f t="shared" si="0"/>
        <v>316.18724201237393</v>
      </c>
      <c r="J24" s="7">
        <f t="shared" si="2"/>
        <v>1.3927579876260552</v>
      </c>
      <c r="K24" s="7" cm="1">
        <f t="array" ref="K24">INDEX(Sm,G24)</f>
        <v>1.3733706304072995</v>
      </c>
      <c r="L24" s="7">
        <f t="shared" si="3"/>
        <v>317.56061264278122</v>
      </c>
      <c r="M24" s="7">
        <f t="shared" si="4"/>
        <v>1.9387357218761281E-2</v>
      </c>
    </row>
    <row r="25" spans="1:13" ht="18.75" customHeight="1">
      <c r="A25" s="2" t="s">
        <v>7</v>
      </c>
      <c r="B25" s="12">
        <f>SUM(B12:B23)</f>
        <v>-4.7776503166333528E-3</v>
      </c>
      <c r="C25" s="11"/>
      <c r="F25" s="1">
        <v>22007</v>
      </c>
      <c r="G25">
        <f t="shared" si="1"/>
        <v>4</v>
      </c>
      <c r="H25" s="7">
        <v>319.02999999999997</v>
      </c>
      <c r="I25" s="7">
        <f t="shared" si="0"/>
        <v>316.25637949665423</v>
      </c>
      <c r="J25" s="7">
        <f t="shared" si="2"/>
        <v>2.7736205033457395</v>
      </c>
      <c r="K25" s="7" cm="1">
        <f t="array" ref="K25">INDEX(Sm,G25)</f>
        <v>2.6099183412742755</v>
      </c>
      <c r="L25" s="7">
        <f t="shared" si="3"/>
        <v>318.86629783792853</v>
      </c>
      <c r="M25" s="7">
        <f t="shared" si="4"/>
        <v>0.16370216207144495</v>
      </c>
    </row>
    <row r="26" spans="1:13" ht="18.75" customHeight="1">
      <c r="F26" s="1">
        <v>22037</v>
      </c>
      <c r="G26">
        <f t="shared" si="1"/>
        <v>5</v>
      </c>
      <c r="H26" s="7">
        <v>320.04000000000002</v>
      </c>
      <c r="I26" s="7">
        <f t="shared" si="0"/>
        <v>316.32346616608487</v>
      </c>
      <c r="J26" s="7">
        <f t="shared" si="2"/>
        <v>3.7165338339151504</v>
      </c>
      <c r="K26" s="7" cm="1">
        <f t="array" ref="K26">INDEX(Sm,G26)</f>
        <v>3.065291801195754</v>
      </c>
      <c r="L26" s="7">
        <f t="shared" si="3"/>
        <v>319.38875796728064</v>
      </c>
      <c r="M26" s="7">
        <f t="shared" si="4"/>
        <v>0.65124203271938086</v>
      </c>
    </row>
    <row r="27" spans="1:13" ht="18.75" customHeight="1">
      <c r="A27" s="2" t="s">
        <v>11</v>
      </c>
      <c r="B27" s="12">
        <f>SUMSQ(M2:M742)/COUNT(M2:M742)</f>
        <v>0.55576320751653274</v>
      </c>
      <c r="F27" s="1">
        <v>22068</v>
      </c>
      <c r="G27">
        <f t="shared" si="1"/>
        <v>6</v>
      </c>
      <c r="H27" s="7">
        <v>319.58</v>
      </c>
      <c r="I27" s="7">
        <f t="shared" si="0"/>
        <v>316.39297446529451</v>
      </c>
      <c r="J27" s="7">
        <f t="shared" si="2"/>
        <v>3.1870255347054695</v>
      </c>
      <c r="K27" s="7" cm="1">
        <f t="array" ref="K27">INDEX(Sm,G27)</f>
        <v>2.3463851222642056</v>
      </c>
      <c r="L27" s="7">
        <f t="shared" si="3"/>
        <v>318.73935958755874</v>
      </c>
      <c r="M27" s="7">
        <f t="shared" si="4"/>
        <v>0.8406404124412461</v>
      </c>
    </row>
    <row r="28" spans="1:13" ht="18.75" customHeight="1">
      <c r="F28" s="1">
        <v>22098</v>
      </c>
      <c r="G28">
        <f t="shared" si="1"/>
        <v>7</v>
      </c>
      <c r="H28" s="7">
        <v>318.18</v>
      </c>
      <c r="I28" s="7">
        <f t="shared" si="0"/>
        <v>316.46041998788257</v>
      </c>
      <c r="J28" s="7">
        <f t="shared" si="2"/>
        <v>1.7195800121174329</v>
      </c>
      <c r="K28" s="7" cm="1">
        <f t="array" ref="K28">INDEX(Sm,G28)</f>
        <v>0.72334113060077332</v>
      </c>
      <c r="L28" s="7">
        <f t="shared" si="3"/>
        <v>317.18376111848335</v>
      </c>
      <c r="M28" s="7">
        <f t="shared" si="4"/>
        <v>0.99623888151666051</v>
      </c>
    </row>
    <row r="29" spans="1:13" ht="18.75" customHeight="1">
      <c r="F29" s="1">
        <v>22129</v>
      </c>
      <c r="G29">
        <f t="shared" si="1"/>
        <v>8</v>
      </c>
      <c r="H29" s="7">
        <v>315.89999999999998</v>
      </c>
      <c r="I29" s="7">
        <f t="shared" si="0"/>
        <v>316.53029910202156</v>
      </c>
      <c r="J29" s="7">
        <f t="shared" si="2"/>
        <v>-0.63029910202158135</v>
      </c>
      <c r="K29" s="7" cm="1">
        <f t="array" ref="K29">INDEX(Sm,G29)</f>
        <v>-1.3975570061157723</v>
      </c>
      <c r="L29" s="7">
        <f t="shared" si="3"/>
        <v>315.13274209590577</v>
      </c>
      <c r="M29" s="7">
        <f t="shared" si="4"/>
        <v>0.76725790409420824</v>
      </c>
    </row>
    <row r="30" spans="1:13" ht="18.75" customHeight="1">
      <c r="F30" s="1">
        <v>22160</v>
      </c>
      <c r="G30">
        <f t="shared" si="1"/>
        <v>9</v>
      </c>
      <c r="H30" s="7">
        <v>314.17</v>
      </c>
      <c r="I30" s="7">
        <f t="shared" si="0"/>
        <v>316.60036666309185</v>
      </c>
      <c r="J30" s="7">
        <f t="shared" si="2"/>
        <v>-2.4303666630918315</v>
      </c>
      <c r="K30" s="7" cm="1">
        <f t="array" ref="K30">INDEX(Sm,G30)</f>
        <v>-3.1934822994410497</v>
      </c>
      <c r="L30" s="7">
        <f t="shared" si="3"/>
        <v>313.40688436365082</v>
      </c>
      <c r="M30" s="7">
        <f t="shared" si="4"/>
        <v>0.76311563634919821</v>
      </c>
    </row>
    <row r="31" spans="1:13" ht="18.75" customHeight="1">
      <c r="F31" s="1">
        <v>22190</v>
      </c>
      <c r="G31">
        <f t="shared" si="1"/>
        <v>10</v>
      </c>
      <c r="H31" s="7">
        <v>313.83</v>
      </c>
      <c r="I31" s="7">
        <f t="shared" si="0"/>
        <v>316.66835340683537</v>
      </c>
      <c r="J31" s="7">
        <f t="shared" si="2"/>
        <v>-2.8383534068353811</v>
      </c>
      <c r="K31" s="7" cm="1">
        <f t="array" ref="K31">INDEX(Sm,G31)</f>
        <v>-3.3368150874962788</v>
      </c>
      <c r="L31" s="7">
        <f t="shared" si="3"/>
        <v>313.33153831933907</v>
      </c>
      <c r="M31" s="7">
        <f t="shared" si="4"/>
        <v>0.49846168066090968</v>
      </c>
    </row>
    <row r="32" spans="1:13" ht="18.75" customHeight="1">
      <c r="F32" s="1">
        <v>22221</v>
      </c>
      <c r="G32">
        <f t="shared" si="1"/>
        <v>11</v>
      </c>
      <c r="H32" s="7">
        <v>315</v>
      </c>
      <c r="I32" s="7">
        <f t="shared" si="0"/>
        <v>316.73879178283499</v>
      </c>
      <c r="J32" s="7">
        <f t="shared" si="2"/>
        <v>-1.7387917828349941</v>
      </c>
      <c r="K32" s="7" cm="1">
        <f t="array" ref="K32">INDEX(Sm,G32)</f>
        <v>-2.0591623324975612</v>
      </c>
      <c r="L32" s="7">
        <f t="shared" si="3"/>
        <v>314.67962945033742</v>
      </c>
      <c r="M32" s="7">
        <f t="shared" si="4"/>
        <v>0.32037054966258438</v>
      </c>
    </row>
    <row r="33" spans="6:13" ht="18.75" customHeight="1">
      <c r="F33" s="1">
        <v>22251</v>
      </c>
      <c r="G33">
        <f t="shared" si="1"/>
        <v>12</v>
      </c>
      <c r="H33" s="7">
        <v>316.19</v>
      </c>
      <c r="I33" s="7">
        <f t="shared" si="0"/>
        <v>316.80713737973588</v>
      </c>
      <c r="J33" s="7">
        <f t="shared" si="2"/>
        <v>-0.61713737973587968</v>
      </c>
      <c r="K33" s="7" cm="1">
        <f t="array" ref="K33">INDEX(Sm,G33)</f>
        <v>-0.89132446529561371</v>
      </c>
      <c r="L33" s="7">
        <f t="shared" si="3"/>
        <v>315.91581291444027</v>
      </c>
      <c r="M33" s="7">
        <f t="shared" si="4"/>
        <v>0.27418708555973126</v>
      </c>
    </row>
    <row r="34" spans="6:13" ht="18.75" customHeight="1">
      <c r="F34" s="1">
        <v>22282</v>
      </c>
      <c r="G34">
        <f t="shared" si="1"/>
        <v>1</v>
      </c>
      <c r="H34" s="7">
        <v>316.89999999999998</v>
      </c>
      <c r="I34" s="7">
        <f t="shared" si="0"/>
        <v>316.87794657066485</v>
      </c>
      <c r="J34" s="7">
        <f t="shared" si="2"/>
        <v>2.2053429335130659E-2</v>
      </c>
      <c r="K34" s="7" cm="1">
        <f t="array" ref="K34">INDEX(Sm,G34)</f>
        <v>6.1040869584970889E-2</v>
      </c>
      <c r="L34" s="7">
        <f t="shared" si="3"/>
        <v>316.93898744024983</v>
      </c>
      <c r="M34" s="7">
        <f t="shared" si="4"/>
        <v>-3.8987440249854899E-2</v>
      </c>
    </row>
    <row r="35" spans="6:13" ht="18.75" customHeight="1">
      <c r="F35" s="1">
        <v>22313</v>
      </c>
      <c r="G35">
        <f t="shared" si="1"/>
        <v>2</v>
      </c>
      <c r="H35" s="7">
        <v>317.7</v>
      </c>
      <c r="I35" s="7">
        <f t="shared" si="0"/>
        <v>316.94894420852512</v>
      </c>
      <c r="J35" s="7">
        <f t="shared" si="2"/>
        <v>0.75105579147486878</v>
      </c>
      <c r="K35" s="7" cm="1">
        <f t="array" ref="K35">INDEX(Sm,G35)</f>
        <v>0.69421564520236412</v>
      </c>
      <c r="L35" s="7">
        <f t="shared" si="3"/>
        <v>317.64315985372747</v>
      </c>
      <c r="M35" s="7">
        <f t="shared" si="4"/>
        <v>5.6840146272520542E-2</v>
      </c>
    </row>
    <row r="36" spans="6:13" ht="18.75" customHeight="1">
      <c r="F36" s="1">
        <v>22341</v>
      </c>
      <c r="G36">
        <f t="shared" si="1"/>
        <v>3</v>
      </c>
      <c r="H36" s="7">
        <v>318.54000000000002</v>
      </c>
      <c r="I36" s="7">
        <f t="shared" si="0"/>
        <v>317.01323308139501</v>
      </c>
      <c r="J36" s="7">
        <f t="shared" si="2"/>
        <v>1.5267669186050057</v>
      </c>
      <c r="K36" s="7" cm="1">
        <f t="array" ref="K36">INDEX(Sm,G36)</f>
        <v>1.3733706304072995</v>
      </c>
      <c r="L36" s="7">
        <f t="shared" si="3"/>
        <v>318.38660371180231</v>
      </c>
      <c r="M36" s="7">
        <f t="shared" si="4"/>
        <v>0.15339628819771178</v>
      </c>
    </row>
    <row r="37" spans="6:13" ht="18.75" customHeight="1">
      <c r="F37" s="1">
        <v>22372</v>
      </c>
      <c r="G37">
        <f t="shared" si="1"/>
        <v>4</v>
      </c>
      <c r="H37" s="7">
        <v>319.48</v>
      </c>
      <c r="I37" s="7">
        <f t="shared" si="0"/>
        <v>317.08458937631804</v>
      </c>
      <c r="J37" s="7">
        <f t="shared" si="2"/>
        <v>2.3954106236819825</v>
      </c>
      <c r="K37" s="7" cm="1">
        <f t="array" ref="K37">INDEX(Sm,G37)</f>
        <v>2.6099183412742755</v>
      </c>
      <c r="L37" s="7">
        <f t="shared" si="3"/>
        <v>319.69450771759233</v>
      </c>
      <c r="M37" s="7">
        <f t="shared" si="4"/>
        <v>-0.21450771759231202</v>
      </c>
    </row>
    <row r="38" spans="6:13" ht="18.75" customHeight="1">
      <c r="F38" s="1">
        <v>22402</v>
      </c>
      <c r="G38">
        <f t="shared" si="1"/>
        <v>5</v>
      </c>
      <c r="H38" s="7">
        <v>320.58</v>
      </c>
      <c r="I38" s="7">
        <f t="shared" si="0"/>
        <v>317.15382328185456</v>
      </c>
      <c r="J38" s="7">
        <f t="shared" si="2"/>
        <v>3.4261767181454275</v>
      </c>
      <c r="K38" s="7" cm="1">
        <f t="array" ref="K38">INDEX(Sm,G38)</f>
        <v>3.065291801195754</v>
      </c>
      <c r="L38" s="7">
        <f t="shared" si="3"/>
        <v>320.21911508305033</v>
      </c>
      <c r="M38" s="7">
        <f t="shared" si="4"/>
        <v>0.36088491694965796</v>
      </c>
    </row>
    <row r="39" spans="6:13" ht="18.75" customHeight="1">
      <c r="F39" s="1">
        <v>22433</v>
      </c>
      <c r="G39">
        <f t="shared" si="1"/>
        <v>6</v>
      </c>
      <c r="H39" s="7">
        <v>319.77</v>
      </c>
      <c r="I39" s="7">
        <f t="shared" si="0"/>
        <v>317.22555039170692</v>
      </c>
      <c r="J39" s="7">
        <f t="shared" si="2"/>
        <v>2.5444496082930641</v>
      </c>
      <c r="K39" s="7" cm="1">
        <f t="array" ref="K39">INDEX(Sm,G39)</f>
        <v>2.3463851222642056</v>
      </c>
      <c r="L39" s="7">
        <f t="shared" si="3"/>
        <v>319.57193551397114</v>
      </c>
      <c r="M39" s="7">
        <f t="shared" si="4"/>
        <v>0.19806448602884075</v>
      </c>
    </row>
    <row r="40" spans="6:13" ht="18.75" customHeight="1">
      <c r="F40" s="1">
        <v>22463</v>
      </c>
      <c r="G40">
        <f t="shared" si="1"/>
        <v>7</v>
      </c>
      <c r="H40" s="7">
        <v>318.57</v>
      </c>
      <c r="I40" s="7">
        <f t="shared" si="0"/>
        <v>317.29514315040086</v>
      </c>
      <c r="J40" s="7">
        <f t="shared" si="2"/>
        <v>1.2748568495991321</v>
      </c>
      <c r="K40" s="7" cm="1">
        <f t="array" ref="K40">INDEX(Sm,G40)</f>
        <v>0.72334113060077332</v>
      </c>
      <c r="L40" s="7">
        <f t="shared" si="3"/>
        <v>318.01848428100163</v>
      </c>
      <c r="M40" s="7">
        <f t="shared" si="4"/>
        <v>0.55151571899835972</v>
      </c>
    </row>
    <row r="41" spans="6:13" ht="18.75" customHeight="1">
      <c r="F41" s="1">
        <v>22494</v>
      </c>
      <c r="G41">
        <f t="shared" si="1"/>
        <v>8</v>
      </c>
      <c r="H41" s="7">
        <v>316.79000000000002</v>
      </c>
      <c r="I41" s="7">
        <f t="shared" si="0"/>
        <v>317.36724107518256</v>
      </c>
      <c r="J41" s="7">
        <f t="shared" si="2"/>
        <v>-0.57724107518254186</v>
      </c>
      <c r="K41" s="7" cm="1">
        <f t="array" ref="K41">INDEX(Sm,G41)</f>
        <v>-1.3975570061157723</v>
      </c>
      <c r="L41" s="7">
        <f t="shared" si="3"/>
        <v>315.96968406906677</v>
      </c>
      <c r="M41" s="7">
        <f t="shared" si="4"/>
        <v>0.82031593093324773</v>
      </c>
    </row>
    <row r="42" spans="6:13" ht="18.75" customHeight="1">
      <c r="F42" s="1">
        <v>22525</v>
      </c>
      <c r="G42">
        <f t="shared" si="1"/>
        <v>9</v>
      </c>
      <c r="H42" s="7">
        <v>314.99</v>
      </c>
      <c r="I42" s="7">
        <f t="shared" si="0"/>
        <v>317.43952744689557</v>
      </c>
      <c r="J42" s="7">
        <f t="shared" si="2"/>
        <v>-2.4495274468955586</v>
      </c>
      <c r="K42" s="7" cm="1">
        <f t="array" ref="K42">INDEX(Sm,G42)</f>
        <v>-3.1934822994410497</v>
      </c>
      <c r="L42" s="7">
        <f t="shared" si="3"/>
        <v>314.24604514745454</v>
      </c>
      <c r="M42" s="7">
        <f t="shared" si="4"/>
        <v>0.74395485254547111</v>
      </c>
    </row>
    <row r="43" spans="6:13" ht="18.75" customHeight="1">
      <c r="F43" s="1">
        <v>22555</v>
      </c>
      <c r="G43">
        <f t="shared" si="1"/>
        <v>10</v>
      </c>
      <c r="H43" s="7">
        <v>315.31</v>
      </c>
      <c r="I43" s="7">
        <f t="shared" si="0"/>
        <v>317.50966142674497</v>
      </c>
      <c r="J43" s="7">
        <f t="shared" si="2"/>
        <v>-2.1996614267449672</v>
      </c>
      <c r="K43" s="7" cm="1">
        <f t="array" ref="K43">INDEX(Sm,G43)</f>
        <v>-3.3368150874962788</v>
      </c>
      <c r="L43" s="7">
        <f t="shared" si="3"/>
        <v>314.17284633924868</v>
      </c>
      <c r="M43" s="7">
        <f t="shared" si="4"/>
        <v>1.1371536607513235</v>
      </c>
    </row>
    <row r="44" spans="6:13" ht="18.75" customHeight="1">
      <c r="F44" s="1">
        <v>22586</v>
      </c>
      <c r="G44">
        <f t="shared" si="1"/>
        <v>11</v>
      </c>
      <c r="H44" s="7">
        <v>316.10000000000002</v>
      </c>
      <c r="I44" s="7">
        <f t="shared" si="0"/>
        <v>317.58231861338732</v>
      </c>
      <c r="J44" s="7">
        <f t="shared" si="2"/>
        <v>-1.4823186133872923</v>
      </c>
      <c r="K44" s="7" cm="1">
        <f t="array" ref="K44">INDEX(Sm,G44)</f>
        <v>-2.0591623324975612</v>
      </c>
      <c r="L44" s="7">
        <f t="shared" si="3"/>
        <v>315.52315628088974</v>
      </c>
      <c r="M44" s="7">
        <f t="shared" si="4"/>
        <v>0.5768437191102862</v>
      </c>
    </row>
    <row r="45" spans="6:13" ht="18.75" customHeight="1">
      <c r="F45" s="1">
        <v>22616</v>
      </c>
      <c r="G45">
        <f t="shared" si="1"/>
        <v>12</v>
      </c>
      <c r="H45" s="7">
        <v>317.01</v>
      </c>
      <c r="I45" s="7">
        <f t="shared" si="0"/>
        <v>317.65281144639408</v>
      </c>
      <c r="J45" s="7">
        <f t="shared" si="2"/>
        <v>-0.64281144639409149</v>
      </c>
      <c r="K45" s="7" cm="1">
        <f t="array" ref="K45">INDEX(Sm,G45)</f>
        <v>-0.89132446529561371</v>
      </c>
      <c r="L45" s="7">
        <f t="shared" si="3"/>
        <v>316.76148698109847</v>
      </c>
      <c r="M45" s="7">
        <f t="shared" si="4"/>
        <v>0.24851301890151944</v>
      </c>
    </row>
    <row r="46" spans="6:13" ht="18.75" customHeight="1">
      <c r="F46" s="1">
        <v>22647</v>
      </c>
      <c r="G46">
        <f t="shared" si="1"/>
        <v>1</v>
      </c>
      <c r="H46" s="7">
        <v>317.94</v>
      </c>
      <c r="I46" s="7">
        <f t="shared" si="0"/>
        <v>317.72583944796577</v>
      </c>
      <c r="J46" s="7">
        <f t="shared" si="2"/>
        <v>0.21416055203422957</v>
      </c>
      <c r="K46" s="7" cm="1">
        <f t="array" ref="K46">INDEX(Sm,G46)</f>
        <v>6.1040869584970889E-2</v>
      </c>
      <c r="L46" s="7">
        <f t="shared" si="3"/>
        <v>317.78688031755075</v>
      </c>
      <c r="M46" s="7">
        <f t="shared" si="4"/>
        <v>0.15311968244924401</v>
      </c>
    </row>
    <row r="47" spans="6:13" ht="18.75" customHeight="1">
      <c r="F47" s="1">
        <v>22678</v>
      </c>
      <c r="G47">
        <f t="shared" si="1"/>
        <v>2</v>
      </c>
      <c r="H47" s="7">
        <v>318.55</v>
      </c>
      <c r="I47" s="7">
        <f t="shared" si="0"/>
        <v>317.79905589646876</v>
      </c>
      <c r="J47" s="7">
        <f t="shared" si="2"/>
        <v>0.7509441035312534</v>
      </c>
      <c r="K47" s="7" cm="1">
        <f t="array" ref="K47">INDEX(Sm,G47)</f>
        <v>0.69421564520236412</v>
      </c>
      <c r="L47" s="7">
        <f t="shared" si="3"/>
        <v>318.49327154167111</v>
      </c>
      <c r="M47" s="7">
        <f t="shared" si="4"/>
        <v>5.6728458328905162E-2</v>
      </c>
    </row>
    <row r="48" spans="6:13" ht="18.75" customHeight="1">
      <c r="F48" s="1">
        <v>22706</v>
      </c>
      <c r="G48">
        <f t="shared" si="1"/>
        <v>3</v>
      </c>
      <c r="H48" s="7">
        <v>319.68</v>
      </c>
      <c r="I48" s="7">
        <f t="shared" si="0"/>
        <v>317.86534885637082</v>
      </c>
      <c r="J48" s="7">
        <f t="shared" si="2"/>
        <v>1.8146511436291917</v>
      </c>
      <c r="K48" s="7" cm="1">
        <f t="array" ref="K48">INDEX(Sm,G48)</f>
        <v>1.3733706304072995</v>
      </c>
      <c r="L48" s="7">
        <f t="shared" si="3"/>
        <v>319.23871948677811</v>
      </c>
      <c r="M48" s="7">
        <f t="shared" si="4"/>
        <v>0.44128051322189776</v>
      </c>
    </row>
    <row r="49" spans="6:13" ht="18.75" customHeight="1">
      <c r="F49" s="1">
        <v>22737</v>
      </c>
      <c r="G49">
        <f t="shared" si="1"/>
        <v>4</v>
      </c>
      <c r="H49" s="7">
        <v>320.57</v>
      </c>
      <c r="I49" s="7">
        <f t="shared" si="0"/>
        <v>317.93892396193655</v>
      </c>
      <c r="J49" s="7">
        <f t="shared" si="2"/>
        <v>2.6310760380634406</v>
      </c>
      <c r="K49" s="7" cm="1">
        <f t="array" ref="K49">INDEX(Sm,G49)</f>
        <v>2.6099183412742755</v>
      </c>
      <c r="L49" s="7">
        <f t="shared" si="3"/>
        <v>320.54884230321085</v>
      </c>
      <c r="M49" s="7">
        <f t="shared" si="4"/>
        <v>2.115769678914603E-2</v>
      </c>
    </row>
    <row r="50" spans="6:13" ht="18.75" customHeight="1">
      <c r="F50" s="1">
        <v>22767</v>
      </c>
      <c r="G50">
        <f t="shared" si="1"/>
        <v>5</v>
      </c>
      <c r="H50" s="7">
        <v>321.02</v>
      </c>
      <c r="I50" s="7">
        <f t="shared" si="0"/>
        <v>318.01030510357896</v>
      </c>
      <c r="J50" s="7">
        <f t="shared" si="2"/>
        <v>3.0096948964210242</v>
      </c>
      <c r="K50" s="7" cm="1">
        <f t="array" ref="K50">INDEX(Sm,G50)</f>
        <v>3.065291801195754</v>
      </c>
      <c r="L50" s="7">
        <f t="shared" si="3"/>
        <v>321.07559690477473</v>
      </c>
      <c r="M50" s="7">
        <f t="shared" si="4"/>
        <v>-5.5596904774745326E-2</v>
      </c>
    </row>
    <row r="51" spans="6:13" ht="18.75" customHeight="1">
      <c r="F51" s="1">
        <v>22798</v>
      </c>
      <c r="G51">
        <f t="shared" si="1"/>
        <v>6</v>
      </c>
      <c r="H51" s="7">
        <v>320.62</v>
      </c>
      <c r="I51" s="7">
        <f t="shared" si="0"/>
        <v>318.08425102407404</v>
      </c>
      <c r="J51" s="7">
        <f t="shared" si="2"/>
        <v>2.5357489759259693</v>
      </c>
      <c r="K51" s="7" cm="1">
        <f t="array" ref="K51">INDEX(Sm,G51)</f>
        <v>2.3463851222642056</v>
      </c>
      <c r="L51" s="7">
        <f t="shared" si="3"/>
        <v>320.43063614633826</v>
      </c>
      <c r="M51" s="7">
        <f t="shared" si="4"/>
        <v>0.18936385366174591</v>
      </c>
    </row>
    <row r="52" spans="6:13" ht="18.75" customHeight="1">
      <c r="F52" s="1">
        <v>22828</v>
      </c>
      <c r="G52">
        <f t="shared" si="1"/>
        <v>7</v>
      </c>
      <c r="H52" s="7">
        <v>319.61</v>
      </c>
      <c r="I52" s="7">
        <f t="shared" si="0"/>
        <v>318.15599101887386</v>
      </c>
      <c r="J52" s="7">
        <f t="shared" si="2"/>
        <v>1.454008981126151</v>
      </c>
      <c r="K52" s="7" cm="1">
        <f t="array" ref="K52">INDEX(Sm,G52)</f>
        <v>0.72334113060077332</v>
      </c>
      <c r="L52" s="7">
        <f t="shared" si="3"/>
        <v>318.87933214947464</v>
      </c>
      <c r="M52" s="7">
        <f t="shared" si="4"/>
        <v>0.73066785052537853</v>
      </c>
    </row>
    <row r="53" spans="6:13" ht="18.75" customHeight="1">
      <c r="F53" s="1">
        <v>22859</v>
      </c>
      <c r="G53">
        <f t="shared" si="1"/>
        <v>8</v>
      </c>
      <c r="H53" s="7">
        <v>317.39999999999998</v>
      </c>
      <c r="I53" s="7">
        <f t="shared" si="0"/>
        <v>318.23030775429828</v>
      </c>
      <c r="J53" s="7">
        <f t="shared" si="2"/>
        <v>-0.83030775429830328</v>
      </c>
      <c r="K53" s="7" cm="1">
        <f t="array" ref="K53">INDEX(Sm,G53)</f>
        <v>-1.3975570061157723</v>
      </c>
      <c r="L53" s="7">
        <f t="shared" si="3"/>
        <v>316.83275074818249</v>
      </c>
      <c r="M53" s="7">
        <f t="shared" si="4"/>
        <v>0.56724925181748631</v>
      </c>
    </row>
    <row r="54" spans="6:13" ht="18.75" customHeight="1">
      <c r="F54" s="1">
        <v>22890</v>
      </c>
      <c r="G54">
        <f t="shared" si="1"/>
        <v>9</v>
      </c>
      <c r="H54" s="7">
        <v>316.25</v>
      </c>
      <c r="I54" s="7">
        <f t="shared" si="0"/>
        <v>318.304812936654</v>
      </c>
      <c r="J54" s="7">
        <f t="shared" si="2"/>
        <v>-2.0548129366540024</v>
      </c>
      <c r="K54" s="7" cm="1">
        <f t="array" ref="K54">INDEX(Sm,G54)</f>
        <v>-3.1934822994410497</v>
      </c>
      <c r="L54" s="7">
        <f t="shared" si="3"/>
        <v>315.11133063721297</v>
      </c>
      <c r="M54" s="7">
        <f t="shared" si="4"/>
        <v>1.1386693627870272</v>
      </c>
    </row>
    <row r="55" spans="6:13" ht="18.75" customHeight="1">
      <c r="F55" s="1">
        <v>22920</v>
      </c>
      <c r="G55">
        <f t="shared" si="1"/>
        <v>10</v>
      </c>
      <c r="H55" s="7">
        <v>315.42</v>
      </c>
      <c r="I55" s="7">
        <f t="shared" si="0"/>
        <v>318.37709415260929</v>
      </c>
      <c r="J55" s="7">
        <f t="shared" si="2"/>
        <v>-2.9570941526092724</v>
      </c>
      <c r="K55" s="7" cm="1">
        <f t="array" ref="K55">INDEX(Sm,G55)</f>
        <v>-3.3368150874962788</v>
      </c>
      <c r="L55" s="7">
        <f t="shared" si="3"/>
        <v>315.040279065113</v>
      </c>
      <c r="M55" s="7">
        <f t="shared" si="4"/>
        <v>0.3797209348870183</v>
      </c>
    </row>
    <row r="56" spans="6:13" ht="18.75" customHeight="1">
      <c r="F56" s="1">
        <v>22951</v>
      </c>
      <c r="G56">
        <f t="shared" si="1"/>
        <v>11</v>
      </c>
      <c r="H56" s="7">
        <v>316.69</v>
      </c>
      <c r="I56" s="7">
        <f t="shared" si="0"/>
        <v>318.45197014989435</v>
      </c>
      <c r="J56" s="7">
        <f t="shared" si="2"/>
        <v>-1.7619701498943527</v>
      </c>
      <c r="K56" s="7" cm="1">
        <f t="array" ref="K56">INDEX(Sm,G56)</f>
        <v>-2.0591623324975612</v>
      </c>
      <c r="L56" s="7">
        <f t="shared" si="3"/>
        <v>316.39280781739677</v>
      </c>
      <c r="M56" s="7">
        <f t="shared" si="4"/>
        <v>0.29719218260322577</v>
      </c>
    </row>
    <row r="57" spans="6:13" ht="18.75" customHeight="1">
      <c r="F57" s="1">
        <v>22981</v>
      </c>
      <c r="G57">
        <f t="shared" si="1"/>
        <v>12</v>
      </c>
      <c r="H57" s="7">
        <v>317.7</v>
      </c>
      <c r="I57" s="7">
        <f t="shared" si="0"/>
        <v>318.524610219007</v>
      </c>
      <c r="J57" s="7">
        <f t="shared" si="2"/>
        <v>-0.82461021900701326</v>
      </c>
      <c r="K57" s="7" cm="1">
        <f t="array" ref="K57">INDEX(Sm,G57)</f>
        <v>-0.89132446529561371</v>
      </c>
      <c r="L57" s="7">
        <f t="shared" si="3"/>
        <v>317.63328575371139</v>
      </c>
      <c r="M57" s="7">
        <f t="shared" si="4"/>
        <v>6.6714246288597678E-2</v>
      </c>
    </row>
    <row r="58" spans="6:13" ht="18.75" customHeight="1">
      <c r="F58" s="1">
        <v>23012</v>
      </c>
      <c r="G58">
        <f t="shared" si="1"/>
        <v>1</v>
      </c>
      <c r="H58" s="7">
        <v>318.74</v>
      </c>
      <c r="I58" s="7">
        <f t="shared" si="0"/>
        <v>318.5998570312214</v>
      </c>
      <c r="J58" s="7">
        <f t="shared" si="2"/>
        <v>0.14014296877860488</v>
      </c>
      <c r="K58" s="7" cm="1">
        <f t="array" ref="K58">INDEX(Sm,G58)</f>
        <v>6.1040869584970889E-2</v>
      </c>
      <c r="L58" s="7">
        <f t="shared" si="3"/>
        <v>318.66089790080639</v>
      </c>
      <c r="M58" s="7">
        <f t="shared" si="4"/>
        <v>7.9102099193619324E-2</v>
      </c>
    </row>
    <row r="59" spans="6:13" ht="18.75" customHeight="1">
      <c r="F59" s="1">
        <v>23043</v>
      </c>
      <c r="G59">
        <f t="shared" si="1"/>
        <v>2</v>
      </c>
      <c r="H59" s="7">
        <v>319.07</v>
      </c>
      <c r="I59" s="7">
        <f t="shared" si="0"/>
        <v>318.67529229036711</v>
      </c>
      <c r="J59" s="7">
        <f t="shared" si="2"/>
        <v>0.3947077096328826</v>
      </c>
      <c r="K59" s="7" cm="1">
        <f t="array" ref="K59">INDEX(Sm,G59)</f>
        <v>0.69421564520236412</v>
      </c>
      <c r="L59" s="7">
        <f t="shared" si="3"/>
        <v>319.36950793556946</v>
      </c>
      <c r="M59" s="7">
        <f t="shared" si="4"/>
        <v>-0.29950793556946564</v>
      </c>
    </row>
    <row r="60" spans="6:13" ht="18.75" customHeight="1">
      <c r="F60" s="1">
        <v>23071</v>
      </c>
      <c r="G60">
        <f t="shared" si="1"/>
        <v>3</v>
      </c>
      <c r="H60" s="7">
        <v>319.86</v>
      </c>
      <c r="I60" s="7">
        <f t="shared" si="0"/>
        <v>318.74358933730127</v>
      </c>
      <c r="J60" s="7">
        <f t="shared" si="2"/>
        <v>1.1164106626987405</v>
      </c>
      <c r="K60" s="7" cm="1">
        <f t="array" ref="K60">INDEX(Sm,G60)</f>
        <v>1.3733706304072995</v>
      </c>
      <c r="L60" s="7">
        <f t="shared" si="3"/>
        <v>320.11695996770857</v>
      </c>
      <c r="M60" s="7">
        <f t="shared" si="4"/>
        <v>-0.25695996770855345</v>
      </c>
    </row>
    <row r="61" spans="6:13" ht="18.75" customHeight="1">
      <c r="F61" s="1">
        <v>23102</v>
      </c>
      <c r="G61">
        <f t="shared" si="1"/>
        <v>4</v>
      </c>
      <c r="H61" s="7">
        <v>321.38</v>
      </c>
      <c r="I61" s="7">
        <f t="shared" si="0"/>
        <v>318.81938325350978</v>
      </c>
      <c r="J61" s="7">
        <f t="shared" si="2"/>
        <v>2.5606167464902114</v>
      </c>
      <c r="K61" s="7" cm="1">
        <f t="array" ref="K61">INDEX(Sm,G61)</f>
        <v>2.6099183412742755</v>
      </c>
      <c r="L61" s="7">
        <f t="shared" si="3"/>
        <v>321.42930159478408</v>
      </c>
      <c r="M61" s="7">
        <f t="shared" si="4"/>
        <v>-4.9301594784083136E-2</v>
      </c>
    </row>
    <row r="62" spans="6:13" ht="18.75" customHeight="1">
      <c r="F62" s="1">
        <v>23132</v>
      </c>
      <c r="G62">
        <f t="shared" si="1"/>
        <v>5</v>
      </c>
      <c r="H62" s="7">
        <v>322.25</v>
      </c>
      <c r="I62" s="7">
        <f t="shared" si="0"/>
        <v>318.89291163125802</v>
      </c>
      <c r="J62" s="7">
        <f t="shared" si="2"/>
        <v>3.3570883687419837</v>
      </c>
      <c r="K62" s="7" cm="1">
        <f t="array" ref="K62">INDEX(Sm,G62)</f>
        <v>3.065291801195754</v>
      </c>
      <c r="L62" s="7">
        <f t="shared" si="3"/>
        <v>321.95820343245379</v>
      </c>
      <c r="M62" s="7">
        <f t="shared" si="4"/>
        <v>0.29179656754621419</v>
      </c>
    </row>
    <row r="63" spans="6:13" ht="18.75" customHeight="1">
      <c r="F63" s="1">
        <v>23163</v>
      </c>
      <c r="G63">
        <f t="shared" si="1"/>
        <v>6</v>
      </c>
      <c r="H63" s="7">
        <v>321.48</v>
      </c>
      <c r="I63" s="7">
        <f t="shared" si="0"/>
        <v>318.96907636239587</v>
      </c>
      <c r="J63" s="7">
        <f t="shared" si="2"/>
        <v>2.5109236376041508</v>
      </c>
      <c r="K63" s="7" cm="1">
        <f t="array" ref="K63">INDEX(Sm,G63)</f>
        <v>2.3463851222642056</v>
      </c>
      <c r="L63" s="7">
        <f t="shared" si="3"/>
        <v>321.31546148466009</v>
      </c>
      <c r="M63" s="7">
        <f t="shared" si="4"/>
        <v>0.16453851533992747</v>
      </c>
    </row>
    <row r="64" spans="6:13" ht="18.75" customHeight="1">
      <c r="F64" s="1">
        <v>23193</v>
      </c>
      <c r="G64">
        <f t="shared" si="1"/>
        <v>7</v>
      </c>
      <c r="H64" s="7">
        <v>319.74</v>
      </c>
      <c r="I64" s="7">
        <f t="shared" si="0"/>
        <v>319.04296359330158</v>
      </c>
      <c r="J64" s="7">
        <f t="shared" si="2"/>
        <v>0.69703640669843026</v>
      </c>
      <c r="K64" s="7" cm="1">
        <f t="array" ref="K64">INDEX(Sm,G64)</f>
        <v>0.72334113060077332</v>
      </c>
      <c r="L64" s="7">
        <f t="shared" si="3"/>
        <v>319.76630472390235</v>
      </c>
      <c r="M64" s="7">
        <f t="shared" si="4"/>
        <v>-2.6304723902342175E-2</v>
      </c>
    </row>
    <row r="65" spans="6:13" ht="18.75" customHeight="1">
      <c r="F65" s="1">
        <v>23224</v>
      </c>
      <c r="G65">
        <f t="shared" si="1"/>
        <v>8</v>
      </c>
      <c r="H65" s="7">
        <v>317.77</v>
      </c>
      <c r="I65" s="7">
        <f t="shared" si="0"/>
        <v>319.11949913936871</v>
      </c>
      <c r="J65" s="7">
        <f t="shared" si="2"/>
        <v>-1.3494991393687314</v>
      </c>
      <c r="K65" s="7" cm="1">
        <f t="array" ref="K65">INDEX(Sm,G65)</f>
        <v>-1.3975570061157723</v>
      </c>
      <c r="L65" s="7">
        <f t="shared" si="3"/>
        <v>317.72194213325292</v>
      </c>
      <c r="M65" s="7">
        <f t="shared" si="4"/>
        <v>4.8057866747058142E-2</v>
      </c>
    </row>
    <row r="66" spans="6:13" ht="18.75" customHeight="1">
      <c r="F66" s="1">
        <v>23255</v>
      </c>
      <c r="G66">
        <f t="shared" si="1"/>
        <v>9</v>
      </c>
      <c r="H66" s="7">
        <v>316.20999999999998</v>
      </c>
      <c r="I66" s="7">
        <f t="shared" ref="I66:I129" si="6">_A*F66*F66+_B*F66+_C</f>
        <v>319.19622313236721</v>
      </c>
      <c r="J66" s="7">
        <f t="shared" si="2"/>
        <v>-2.986223132367229</v>
      </c>
      <c r="K66" s="7" cm="1">
        <f t="array" ref="K66">INDEX(Sm,G66)</f>
        <v>-3.1934822994410497</v>
      </c>
      <c r="L66" s="7">
        <f t="shared" si="3"/>
        <v>316.00274083292618</v>
      </c>
      <c r="M66" s="7">
        <f t="shared" si="4"/>
        <v>0.20725916707380065</v>
      </c>
    </row>
    <row r="67" spans="6:13" ht="18.75" customHeight="1">
      <c r="F67" s="1">
        <v>23285</v>
      </c>
      <c r="G67">
        <f t="shared" ref="G67:G130" si="7">MONTH(F67)</f>
        <v>10</v>
      </c>
      <c r="H67" s="7">
        <v>315.99</v>
      </c>
      <c r="I67" s="7">
        <f t="shared" si="6"/>
        <v>319.27065158442832</v>
      </c>
      <c r="J67" s="7">
        <f t="shared" ref="J67:J130" si="8">H67-I67</f>
        <v>-3.2806515844283126</v>
      </c>
      <c r="K67" s="7" cm="1">
        <f t="array" ref="K67">INDEX(Sm,G67)</f>
        <v>-3.3368150874962788</v>
      </c>
      <c r="L67" s="7">
        <f t="shared" ref="L67:L130" si="9">I67+K67</f>
        <v>315.93383649693203</v>
      </c>
      <c r="M67" s="7">
        <f t="shared" ref="M67:M130" si="10">H67-L67</f>
        <v>5.6163503067978127E-2</v>
      </c>
    </row>
    <row r="68" spans="6:13" ht="18.75" customHeight="1">
      <c r="F68" s="1">
        <v>23316</v>
      </c>
      <c r="G68">
        <f t="shared" si="7"/>
        <v>11</v>
      </c>
      <c r="H68" s="7">
        <v>317.07</v>
      </c>
      <c r="I68" s="7">
        <f t="shared" si="6"/>
        <v>319.3477463923561</v>
      </c>
      <c r="J68" s="7">
        <f t="shared" si="8"/>
        <v>-2.2777463923561072</v>
      </c>
      <c r="K68" s="7" cm="1">
        <f t="array" ref="K68">INDEX(Sm,G68)</f>
        <v>-2.0591623324975612</v>
      </c>
      <c r="L68" s="7">
        <f t="shared" si="9"/>
        <v>317.28858405985852</v>
      </c>
      <c r="M68" s="7">
        <f t="shared" si="10"/>
        <v>-0.21858405985852869</v>
      </c>
    </row>
    <row r="69" spans="6:13" ht="18.75" customHeight="1">
      <c r="F69" s="1">
        <v>23346</v>
      </c>
      <c r="G69">
        <f t="shared" si="7"/>
        <v>12</v>
      </c>
      <c r="H69" s="7">
        <v>318.35000000000002</v>
      </c>
      <c r="I69" s="7">
        <f t="shared" si="6"/>
        <v>319.42253369757464</v>
      </c>
      <c r="J69" s="7">
        <f t="shared" si="8"/>
        <v>-1.0725336975746131</v>
      </c>
      <c r="K69" s="7" cm="1">
        <f t="array" ref="K69">INDEX(Sm,G69)</f>
        <v>-0.89132446529561371</v>
      </c>
      <c r="L69" s="7">
        <f t="shared" si="9"/>
        <v>318.53120923227902</v>
      </c>
      <c r="M69" s="7">
        <f t="shared" si="10"/>
        <v>-0.18120923227900221</v>
      </c>
    </row>
    <row r="70" spans="6:13" ht="18.75" customHeight="1">
      <c r="F70" s="1">
        <v>23377</v>
      </c>
      <c r="G70">
        <f t="shared" si="7"/>
        <v>1</v>
      </c>
      <c r="H70" s="7">
        <v>319.57</v>
      </c>
      <c r="I70" s="7">
        <f t="shared" si="6"/>
        <v>319.49999932043181</v>
      </c>
      <c r="J70" s="7">
        <f t="shared" si="8"/>
        <v>7.0000679568181567E-2</v>
      </c>
      <c r="K70" s="7" cm="1">
        <f t="array" ref="K70">INDEX(Sm,G70)</f>
        <v>6.1040869584970889E-2</v>
      </c>
      <c r="L70" s="7">
        <f t="shared" si="9"/>
        <v>319.5610401900168</v>
      </c>
      <c r="M70" s="7">
        <f t="shared" si="10"/>
        <v>8.9598099831960099E-3</v>
      </c>
    </row>
    <row r="71" spans="6:13" ht="18.75" customHeight="1">
      <c r="F71" s="1">
        <v>23498</v>
      </c>
      <c r="G71">
        <f t="shared" si="7"/>
        <v>5</v>
      </c>
      <c r="H71" s="7">
        <v>322.26</v>
      </c>
      <c r="I71" s="7">
        <f t="shared" si="6"/>
        <v>319.80416842482032</v>
      </c>
      <c r="J71" s="7">
        <f t="shared" si="8"/>
        <v>2.4558315751796727</v>
      </c>
      <c r="K71" s="7" cm="1">
        <f t="array" ref="K71">INDEX(Sm,G71)</f>
        <v>3.065291801195754</v>
      </c>
      <c r="L71" s="7">
        <f t="shared" si="9"/>
        <v>322.86946022601609</v>
      </c>
      <c r="M71" s="7">
        <f t="shared" si="10"/>
        <v>-0.60946022601609684</v>
      </c>
    </row>
    <row r="72" spans="6:13" ht="18.75" customHeight="1">
      <c r="F72" s="1">
        <v>23529</v>
      </c>
      <c r="G72">
        <f t="shared" si="7"/>
        <v>6</v>
      </c>
      <c r="H72" s="7">
        <v>321.89</v>
      </c>
      <c r="I72" s="7">
        <f t="shared" si="6"/>
        <v>319.88255804553415</v>
      </c>
      <c r="J72" s="7">
        <f t="shared" si="8"/>
        <v>2.0074419544658326</v>
      </c>
      <c r="K72" s="7" cm="1">
        <f t="array" ref="K72">INDEX(Sm,G72)</f>
        <v>2.3463851222642056</v>
      </c>
      <c r="L72" s="7">
        <f t="shared" si="9"/>
        <v>322.22894316779838</v>
      </c>
      <c r="M72" s="7">
        <f t="shared" si="10"/>
        <v>-0.33894316779839073</v>
      </c>
    </row>
    <row r="73" spans="6:13" ht="18.75" customHeight="1">
      <c r="F73" s="1">
        <v>23559</v>
      </c>
      <c r="G73">
        <f t="shared" si="7"/>
        <v>7</v>
      </c>
      <c r="H73" s="7">
        <v>320.44</v>
      </c>
      <c r="I73" s="7">
        <f t="shared" si="6"/>
        <v>319.95859839538434</v>
      </c>
      <c r="J73" s="7">
        <f t="shared" si="8"/>
        <v>0.48140160461565529</v>
      </c>
      <c r="K73" s="7" cm="1">
        <f t="array" ref="K73">INDEX(Sm,G73)</f>
        <v>0.72334113060077332</v>
      </c>
      <c r="L73" s="7">
        <f t="shared" si="9"/>
        <v>320.68193952598511</v>
      </c>
      <c r="M73" s="7">
        <f t="shared" si="10"/>
        <v>-0.24193952598511714</v>
      </c>
    </row>
    <row r="74" spans="6:13" ht="18.75" customHeight="1">
      <c r="F74" s="1">
        <v>23590</v>
      </c>
      <c r="G74">
        <f t="shared" si="7"/>
        <v>8</v>
      </c>
      <c r="H74" s="7">
        <v>318.69</v>
      </c>
      <c r="I74" s="7">
        <f t="shared" si="6"/>
        <v>320.03735883102746</v>
      </c>
      <c r="J74" s="7">
        <f t="shared" si="8"/>
        <v>-1.3473588310274636</v>
      </c>
      <c r="K74" s="7" cm="1">
        <f t="array" ref="K74">INDEX(Sm,G74)</f>
        <v>-1.3975570061157723</v>
      </c>
      <c r="L74" s="7">
        <f t="shared" si="9"/>
        <v>318.63980182491167</v>
      </c>
      <c r="M74" s="7">
        <f t="shared" si="10"/>
        <v>5.0198175088326025E-2</v>
      </c>
    </row>
    <row r="75" spans="6:13" ht="18.75" customHeight="1">
      <c r="F75" s="1">
        <v>23621</v>
      </c>
      <c r="G75">
        <f t="shared" si="7"/>
        <v>9</v>
      </c>
      <c r="H75" s="7">
        <v>316.7</v>
      </c>
      <c r="I75" s="7">
        <f t="shared" si="6"/>
        <v>320.11630771360194</v>
      </c>
      <c r="J75" s="7">
        <f t="shared" si="8"/>
        <v>-3.4163077136019524</v>
      </c>
      <c r="K75" s="7" cm="1">
        <f t="array" ref="K75">INDEX(Sm,G75)</f>
        <v>-3.1934822994410497</v>
      </c>
      <c r="L75" s="7">
        <f t="shared" si="9"/>
        <v>316.92282541416091</v>
      </c>
      <c r="M75" s="7">
        <f t="shared" si="10"/>
        <v>-0.22282541416092272</v>
      </c>
    </row>
    <row r="76" spans="6:13" ht="18.75" customHeight="1">
      <c r="F76" s="1">
        <v>23651</v>
      </c>
      <c r="G76">
        <f t="shared" si="7"/>
        <v>10</v>
      </c>
      <c r="H76" s="7">
        <v>316.87</v>
      </c>
      <c r="I76" s="7">
        <f t="shared" si="6"/>
        <v>320.19288928460759</v>
      </c>
      <c r="J76" s="7">
        <f t="shared" si="8"/>
        <v>-3.3228892846075837</v>
      </c>
      <c r="K76" s="7" cm="1">
        <f t="array" ref="K76">INDEX(Sm,G76)</f>
        <v>-3.3368150874962788</v>
      </c>
      <c r="L76" s="7">
        <f t="shared" si="9"/>
        <v>316.8560741971113</v>
      </c>
      <c r="M76" s="7">
        <f t="shared" si="10"/>
        <v>1.392580288870704E-2</v>
      </c>
    </row>
    <row r="77" spans="6:13" ht="18.75" customHeight="1">
      <c r="F77" s="1">
        <v>23682</v>
      </c>
      <c r="G77">
        <f t="shared" si="7"/>
        <v>11</v>
      </c>
      <c r="H77" s="7">
        <v>317.68</v>
      </c>
      <c r="I77" s="7">
        <f t="shared" si="6"/>
        <v>320.27220898211135</v>
      </c>
      <c r="J77" s="7">
        <f t="shared" si="8"/>
        <v>-2.5922089821113445</v>
      </c>
      <c r="K77" s="7" cm="1">
        <f t="array" ref="K77">INDEX(Sm,G77)</f>
        <v>-2.0591623324975612</v>
      </c>
      <c r="L77" s="7">
        <f t="shared" si="9"/>
        <v>318.21304664961377</v>
      </c>
      <c r="M77" s="7">
        <f t="shared" si="10"/>
        <v>-0.53304664961376602</v>
      </c>
    </row>
    <row r="78" spans="6:13" ht="18.75" customHeight="1">
      <c r="F78" s="1">
        <v>23712</v>
      </c>
      <c r="G78">
        <f t="shared" si="7"/>
        <v>12</v>
      </c>
      <c r="H78" s="7">
        <v>318.70999999999998</v>
      </c>
      <c r="I78" s="7">
        <f t="shared" si="6"/>
        <v>320.34914940627442</v>
      </c>
      <c r="J78" s="7">
        <f t="shared" si="8"/>
        <v>-1.6391494062744414</v>
      </c>
      <c r="K78" s="7" cm="1">
        <f t="array" ref="K78">INDEX(Sm,G78)</f>
        <v>-0.89132446529561371</v>
      </c>
      <c r="L78" s="7">
        <f t="shared" si="9"/>
        <v>319.45782494097881</v>
      </c>
      <c r="M78" s="7">
        <f t="shared" si="10"/>
        <v>-0.74782494097883045</v>
      </c>
    </row>
    <row r="79" spans="6:13" ht="18.75" customHeight="1">
      <c r="F79" s="1">
        <v>23743</v>
      </c>
      <c r="G79">
        <f t="shared" si="7"/>
        <v>1</v>
      </c>
      <c r="H79" s="7">
        <v>319.44</v>
      </c>
      <c r="I79" s="7">
        <f t="shared" si="6"/>
        <v>320.42883991870758</v>
      </c>
      <c r="J79" s="7">
        <f t="shared" si="8"/>
        <v>-0.98883991870758337</v>
      </c>
      <c r="K79" s="7" cm="1">
        <f t="array" ref="K79">INDEX(Sm,G79)</f>
        <v>6.1040869584970889E-2</v>
      </c>
      <c r="L79" s="7">
        <f t="shared" si="9"/>
        <v>320.48988078829257</v>
      </c>
      <c r="M79" s="7">
        <f t="shared" si="10"/>
        <v>-1.0498807882925689</v>
      </c>
    </row>
    <row r="80" spans="6:13" ht="18.75" customHeight="1">
      <c r="F80" s="1">
        <v>23774</v>
      </c>
      <c r="G80">
        <f t="shared" si="7"/>
        <v>2</v>
      </c>
      <c r="H80" s="7">
        <v>320.44</v>
      </c>
      <c r="I80" s="7">
        <f t="shared" si="6"/>
        <v>320.50871887807199</v>
      </c>
      <c r="J80" s="7">
        <f t="shared" si="8"/>
        <v>-6.871887807199073E-2</v>
      </c>
      <c r="K80" s="7" cm="1">
        <f t="array" ref="K80">INDEX(Sm,G80)</f>
        <v>0.69421564520236412</v>
      </c>
      <c r="L80" s="7">
        <f t="shared" si="9"/>
        <v>321.20293452327434</v>
      </c>
      <c r="M80" s="7">
        <f t="shared" si="10"/>
        <v>-0.76293452327433897</v>
      </c>
    </row>
    <row r="81" spans="6:13" ht="18.75" customHeight="1">
      <c r="F81" s="1">
        <v>23802</v>
      </c>
      <c r="G81">
        <f t="shared" si="7"/>
        <v>3</v>
      </c>
      <c r="H81" s="7">
        <v>320.89</v>
      </c>
      <c r="I81" s="7">
        <f t="shared" si="6"/>
        <v>320.58102958971983</v>
      </c>
      <c r="J81" s="7">
        <f t="shared" si="8"/>
        <v>0.30897041028015337</v>
      </c>
      <c r="K81" s="7" cm="1">
        <f t="array" ref="K81">INDEX(Sm,G81)</f>
        <v>1.3733706304072995</v>
      </c>
      <c r="L81" s="7">
        <f t="shared" si="9"/>
        <v>321.95440022012713</v>
      </c>
      <c r="M81" s="7">
        <f t="shared" si="10"/>
        <v>-1.0644002201271405</v>
      </c>
    </row>
    <row r="82" spans="6:13" ht="18.75" customHeight="1">
      <c r="F82" s="1">
        <v>23833</v>
      </c>
      <c r="G82">
        <f t="shared" si="7"/>
        <v>4</v>
      </c>
      <c r="H82" s="7">
        <v>322.14</v>
      </c>
      <c r="I82" s="7">
        <f t="shared" si="6"/>
        <v>320.6612672061471</v>
      </c>
      <c r="J82" s="7">
        <f t="shared" si="8"/>
        <v>1.4787327938528847</v>
      </c>
      <c r="K82" s="7" cm="1">
        <f t="array" ref="K82">INDEX(Sm,G82)</f>
        <v>2.6099183412742755</v>
      </c>
      <c r="L82" s="7">
        <f t="shared" si="9"/>
        <v>323.2711855474214</v>
      </c>
      <c r="M82" s="7">
        <f t="shared" si="10"/>
        <v>-1.1311855474214099</v>
      </c>
    </row>
    <row r="83" spans="6:13" ht="18.75" customHeight="1">
      <c r="F83" s="1">
        <v>23863</v>
      </c>
      <c r="G83">
        <f t="shared" si="7"/>
        <v>5</v>
      </c>
      <c r="H83" s="7">
        <v>322.17</v>
      </c>
      <c r="I83" s="7">
        <f t="shared" si="6"/>
        <v>320.7390959389457</v>
      </c>
      <c r="J83" s="7">
        <f t="shared" si="8"/>
        <v>1.4309040610543207</v>
      </c>
      <c r="K83" s="7" cm="1">
        <f t="array" ref="K83">INDEX(Sm,G83)</f>
        <v>3.065291801195754</v>
      </c>
      <c r="L83" s="7">
        <f t="shared" si="9"/>
        <v>323.80438774014146</v>
      </c>
      <c r="M83" s="7">
        <f t="shared" si="10"/>
        <v>-1.6343877401414488</v>
      </c>
    </row>
    <row r="84" spans="6:13" ht="18.75" customHeight="1">
      <c r="F84" s="1">
        <v>23894</v>
      </c>
      <c r="G84">
        <f t="shared" si="7"/>
        <v>6</v>
      </c>
      <c r="H84" s="7">
        <v>321.87</v>
      </c>
      <c r="I84" s="7">
        <f t="shared" si="6"/>
        <v>320.8197043703023</v>
      </c>
      <c r="J84" s="7">
        <f t="shared" si="8"/>
        <v>1.0502956296977004</v>
      </c>
      <c r="K84" s="7" cm="1">
        <f t="array" ref="K84">INDEX(Sm,G84)</f>
        <v>2.3463851222642056</v>
      </c>
      <c r="L84" s="7">
        <f t="shared" si="9"/>
        <v>323.16608949256653</v>
      </c>
      <c r="M84" s="7">
        <f t="shared" si="10"/>
        <v>-1.2960894925665229</v>
      </c>
    </row>
    <row r="85" spans="6:13" ht="18.75" customHeight="1">
      <c r="F85" s="1">
        <v>23924</v>
      </c>
      <c r="G85">
        <f t="shared" si="7"/>
        <v>7</v>
      </c>
      <c r="H85" s="7">
        <v>321.20999999999998</v>
      </c>
      <c r="I85" s="7">
        <f t="shared" si="6"/>
        <v>320.89789195625832</v>
      </c>
      <c r="J85" s="7">
        <f t="shared" si="8"/>
        <v>0.31210804374165946</v>
      </c>
      <c r="K85" s="7" cm="1">
        <f t="array" ref="K85">INDEX(Sm,G85)</f>
        <v>0.72334113060077332</v>
      </c>
      <c r="L85" s="7">
        <f t="shared" si="9"/>
        <v>321.62123308685909</v>
      </c>
      <c r="M85" s="7">
        <f t="shared" si="10"/>
        <v>-0.41123308685911297</v>
      </c>
    </row>
    <row r="86" spans="6:13" ht="18.75" customHeight="1">
      <c r="F86" s="1">
        <v>23955</v>
      </c>
      <c r="G86">
        <f t="shared" si="7"/>
        <v>8</v>
      </c>
      <c r="H86" s="7">
        <v>318.87</v>
      </c>
      <c r="I86" s="7">
        <f t="shared" si="6"/>
        <v>320.97887120254421</v>
      </c>
      <c r="J86" s="7">
        <f t="shared" si="8"/>
        <v>-2.1088712025442078</v>
      </c>
      <c r="K86" s="7" cm="1">
        <f t="array" ref="K86">INDEX(Sm,G86)</f>
        <v>-1.3975570061157723</v>
      </c>
      <c r="L86" s="7">
        <f t="shared" si="9"/>
        <v>319.58131419642842</v>
      </c>
      <c r="M86" s="7">
        <f t="shared" si="10"/>
        <v>-0.7113141964284182</v>
      </c>
    </row>
    <row r="87" spans="6:13" ht="18.75" customHeight="1">
      <c r="F87" s="1">
        <v>23986</v>
      </c>
      <c r="G87">
        <f t="shared" si="7"/>
        <v>9</v>
      </c>
      <c r="H87" s="7">
        <v>317.81</v>
      </c>
      <c r="I87" s="7">
        <f t="shared" si="6"/>
        <v>321.06003889576141</v>
      </c>
      <c r="J87" s="7">
        <f t="shared" si="8"/>
        <v>-3.2500388957614064</v>
      </c>
      <c r="K87" s="7" cm="1">
        <f t="array" ref="K87">INDEX(Sm,G87)</f>
        <v>-3.1934822994410497</v>
      </c>
      <c r="L87" s="7">
        <f t="shared" si="9"/>
        <v>317.86655659632038</v>
      </c>
      <c r="M87" s="7">
        <f t="shared" si="10"/>
        <v>-5.6556596320376684E-2</v>
      </c>
    </row>
    <row r="88" spans="6:13" ht="18.75" customHeight="1">
      <c r="F88" s="1">
        <v>24016</v>
      </c>
      <c r="G88">
        <f t="shared" si="7"/>
        <v>10</v>
      </c>
      <c r="H88" s="7">
        <v>317.3</v>
      </c>
      <c r="I88" s="7">
        <f t="shared" si="6"/>
        <v>321.13876770287288</v>
      </c>
      <c r="J88" s="7">
        <f t="shared" si="8"/>
        <v>-3.8387677028728717</v>
      </c>
      <c r="K88" s="7" cm="1">
        <f t="array" ref="K88">INDEX(Sm,G88)</f>
        <v>-3.3368150874962788</v>
      </c>
      <c r="L88" s="7">
        <f t="shared" si="9"/>
        <v>317.80195261537659</v>
      </c>
      <c r="M88" s="7">
        <f t="shared" si="10"/>
        <v>-0.50195261537658098</v>
      </c>
    </row>
    <row r="89" spans="6:13" ht="18.75" customHeight="1">
      <c r="F89" s="1">
        <v>24047</v>
      </c>
      <c r="G89">
        <f t="shared" si="7"/>
        <v>11</v>
      </c>
      <c r="H89" s="7">
        <v>318.87</v>
      </c>
      <c r="I89" s="7">
        <f t="shared" si="6"/>
        <v>321.22030621101942</v>
      </c>
      <c r="J89" s="7">
        <f t="shared" si="8"/>
        <v>-2.3503062110194151</v>
      </c>
      <c r="K89" s="7" cm="1">
        <f t="array" ref="K89">INDEX(Sm,G89)</f>
        <v>-2.0591623324975612</v>
      </c>
      <c r="L89" s="7">
        <f t="shared" si="9"/>
        <v>319.16114387852184</v>
      </c>
      <c r="M89" s="7">
        <f t="shared" si="10"/>
        <v>-0.29114387852183654</v>
      </c>
    </row>
    <row r="90" spans="6:13" ht="18.75" customHeight="1">
      <c r="F90" s="1">
        <v>24077</v>
      </c>
      <c r="G90">
        <f t="shared" si="7"/>
        <v>12</v>
      </c>
      <c r="H90" s="7">
        <v>319.42</v>
      </c>
      <c r="I90" s="7">
        <f t="shared" si="6"/>
        <v>321.29939387128832</v>
      </c>
      <c r="J90" s="7">
        <f t="shared" si="8"/>
        <v>-1.8793938712883005</v>
      </c>
      <c r="K90" s="7" cm="1">
        <f t="array" ref="K90">INDEX(Sm,G90)</f>
        <v>-0.89132446529561371</v>
      </c>
      <c r="L90" s="7">
        <f t="shared" si="9"/>
        <v>320.40806940599271</v>
      </c>
      <c r="M90" s="7">
        <f t="shared" si="10"/>
        <v>-0.98806940599268955</v>
      </c>
    </row>
    <row r="91" spans="6:13" ht="18.75" customHeight="1">
      <c r="F91" s="1">
        <v>24108</v>
      </c>
      <c r="G91">
        <f t="shared" si="7"/>
        <v>1</v>
      </c>
      <c r="H91" s="7">
        <v>320.62</v>
      </c>
      <c r="I91" s="7">
        <f t="shared" si="6"/>
        <v>321.38130319436419</v>
      </c>
      <c r="J91" s="7">
        <f t="shared" si="8"/>
        <v>-0.76130319436418858</v>
      </c>
      <c r="K91" s="7" cm="1">
        <f t="array" ref="K91">INDEX(Sm,G91)</f>
        <v>6.1040869584970889E-2</v>
      </c>
      <c r="L91" s="7">
        <f t="shared" si="9"/>
        <v>321.44234406394918</v>
      </c>
      <c r="M91" s="7">
        <f t="shared" si="10"/>
        <v>-0.82234406394917414</v>
      </c>
    </row>
    <row r="92" spans="6:13" ht="18.75" customHeight="1">
      <c r="F92" s="1">
        <v>24139</v>
      </c>
      <c r="G92">
        <f t="shared" si="7"/>
        <v>2</v>
      </c>
      <c r="H92" s="7">
        <v>321.60000000000002</v>
      </c>
      <c r="I92" s="7">
        <f t="shared" si="6"/>
        <v>321.46340096437137</v>
      </c>
      <c r="J92" s="7">
        <f t="shared" si="8"/>
        <v>0.13659903562864883</v>
      </c>
      <c r="K92" s="7" cm="1">
        <f t="array" ref="K92">INDEX(Sm,G92)</f>
        <v>0.69421564520236412</v>
      </c>
      <c r="L92" s="7">
        <f t="shared" si="9"/>
        <v>322.15761660957372</v>
      </c>
      <c r="M92" s="7">
        <f t="shared" si="10"/>
        <v>-0.55761660957369941</v>
      </c>
    </row>
    <row r="93" spans="6:13" ht="18.75" customHeight="1">
      <c r="F93" s="1">
        <v>24167</v>
      </c>
      <c r="G93">
        <f t="shared" si="7"/>
        <v>3</v>
      </c>
      <c r="H93" s="7">
        <v>322.39</v>
      </c>
      <c r="I93" s="7">
        <f t="shared" si="6"/>
        <v>321.53771576305138</v>
      </c>
      <c r="J93" s="7">
        <f t="shared" si="8"/>
        <v>0.85228423694860567</v>
      </c>
      <c r="K93" s="7" cm="1">
        <f t="array" ref="K93">INDEX(Sm,G93)</f>
        <v>1.3733706304072995</v>
      </c>
      <c r="L93" s="7">
        <f t="shared" si="9"/>
        <v>322.91108639345867</v>
      </c>
      <c r="M93" s="7">
        <f t="shared" si="10"/>
        <v>-0.52108639345868824</v>
      </c>
    </row>
    <row r="94" spans="6:13" ht="18.75" customHeight="1">
      <c r="F94" s="1">
        <v>24198</v>
      </c>
      <c r="G94">
        <f t="shared" si="7"/>
        <v>4</v>
      </c>
      <c r="H94" s="7">
        <v>323.7</v>
      </c>
      <c r="I94" s="7">
        <f t="shared" si="6"/>
        <v>321.62017219012137</v>
      </c>
      <c r="J94" s="7">
        <f t="shared" si="8"/>
        <v>2.0798278098786227</v>
      </c>
      <c r="K94" s="7" cm="1">
        <f t="array" ref="K94">INDEX(Sm,G94)</f>
        <v>2.6099183412742755</v>
      </c>
      <c r="L94" s="7">
        <f t="shared" si="9"/>
        <v>324.23009053139566</v>
      </c>
      <c r="M94" s="7">
        <f t="shared" si="10"/>
        <v>-0.53009053139567186</v>
      </c>
    </row>
    <row r="95" spans="6:13" ht="18.75" customHeight="1">
      <c r="F95" s="1">
        <v>24228</v>
      </c>
      <c r="G95">
        <f t="shared" si="7"/>
        <v>5</v>
      </c>
      <c r="H95" s="7">
        <v>324.08</v>
      </c>
      <c r="I95" s="7">
        <f t="shared" si="6"/>
        <v>321.70014815902584</v>
      </c>
      <c r="J95" s="7">
        <f t="shared" si="8"/>
        <v>2.3798518409741405</v>
      </c>
      <c r="K95" s="7" cm="1">
        <f t="array" ref="K95">INDEX(Sm,G95)</f>
        <v>3.065291801195754</v>
      </c>
      <c r="L95" s="7">
        <f t="shared" si="9"/>
        <v>324.76543996022161</v>
      </c>
      <c r="M95" s="7">
        <f t="shared" si="10"/>
        <v>-0.68543996022162901</v>
      </c>
    </row>
    <row r="96" spans="6:13" ht="18.75" customHeight="1">
      <c r="F96" s="1">
        <v>24259</v>
      </c>
      <c r="G96">
        <f t="shared" si="7"/>
        <v>6</v>
      </c>
      <c r="H96" s="7">
        <v>323.75</v>
      </c>
      <c r="I96" s="7">
        <f t="shared" si="6"/>
        <v>321.78297540102511</v>
      </c>
      <c r="J96" s="7">
        <f t="shared" si="8"/>
        <v>1.9670245989748878</v>
      </c>
      <c r="K96" s="7" cm="1">
        <f t="array" ref="K96">INDEX(Sm,G96)</f>
        <v>2.3463851222642056</v>
      </c>
      <c r="L96" s="7">
        <f t="shared" si="9"/>
        <v>324.12936052328934</v>
      </c>
      <c r="M96" s="7">
        <f t="shared" si="10"/>
        <v>-0.37936052328933556</v>
      </c>
    </row>
    <row r="97" spans="6:13" ht="18.75" customHeight="1">
      <c r="F97" s="1">
        <v>24289</v>
      </c>
      <c r="G97">
        <f t="shared" si="7"/>
        <v>7</v>
      </c>
      <c r="H97" s="7">
        <v>322.38</v>
      </c>
      <c r="I97" s="7">
        <f t="shared" si="6"/>
        <v>321.86331022308701</v>
      </c>
      <c r="J97" s="7">
        <f t="shared" si="8"/>
        <v>0.51668977691298323</v>
      </c>
      <c r="K97" s="7" cm="1">
        <f t="array" ref="K97">INDEX(Sm,G97)</f>
        <v>0.72334113060077332</v>
      </c>
      <c r="L97" s="7">
        <f t="shared" si="9"/>
        <v>322.58665135368778</v>
      </c>
      <c r="M97" s="7">
        <f t="shared" si="10"/>
        <v>-0.2066513536877892</v>
      </c>
    </row>
    <row r="98" spans="6:13" ht="18.75" customHeight="1">
      <c r="F98" s="1">
        <v>24320</v>
      </c>
      <c r="G98">
        <f t="shared" si="7"/>
        <v>8</v>
      </c>
      <c r="H98" s="7">
        <v>320.36</v>
      </c>
      <c r="I98" s="7">
        <f t="shared" si="6"/>
        <v>321.94650828001568</v>
      </c>
      <c r="J98" s="7">
        <f t="shared" si="8"/>
        <v>-1.5865082800156642</v>
      </c>
      <c r="K98" s="7" cm="1">
        <f t="array" ref="K98">INDEX(Sm,G98)</f>
        <v>-1.3975570061157723</v>
      </c>
      <c r="L98" s="7">
        <f t="shared" si="9"/>
        <v>320.54895127389989</v>
      </c>
      <c r="M98" s="7">
        <f t="shared" si="10"/>
        <v>-0.18895127389987465</v>
      </c>
    </row>
    <row r="99" spans="6:13" ht="18.75" customHeight="1">
      <c r="F99" s="1">
        <v>24351</v>
      </c>
      <c r="G99">
        <f t="shared" si="7"/>
        <v>9</v>
      </c>
      <c r="H99" s="7">
        <v>318.64</v>
      </c>
      <c r="I99" s="7">
        <f t="shared" si="6"/>
        <v>322.02989478387559</v>
      </c>
      <c r="J99" s="7">
        <f t="shared" si="8"/>
        <v>-3.3898947838756044</v>
      </c>
      <c r="K99" s="7" cm="1">
        <f t="array" ref="K99">INDEX(Sm,G99)</f>
        <v>-3.1934822994410497</v>
      </c>
      <c r="L99" s="7">
        <f t="shared" si="9"/>
        <v>318.83641248443456</v>
      </c>
      <c r="M99" s="7">
        <f t="shared" si="10"/>
        <v>-0.19641248443457471</v>
      </c>
    </row>
    <row r="100" spans="6:13" ht="18.75" customHeight="1">
      <c r="F100" s="1">
        <v>24381</v>
      </c>
      <c r="G100">
        <f t="shared" si="7"/>
        <v>10</v>
      </c>
      <c r="H100" s="7">
        <v>318.10000000000002</v>
      </c>
      <c r="I100" s="7">
        <f t="shared" si="6"/>
        <v>322.11077082709295</v>
      </c>
      <c r="J100" s="7">
        <f t="shared" si="8"/>
        <v>-4.0107708270929265</v>
      </c>
      <c r="K100" s="7" cm="1">
        <f t="array" ref="K100">INDEX(Sm,G100)</f>
        <v>-3.3368150874962788</v>
      </c>
      <c r="L100" s="7">
        <f t="shared" si="9"/>
        <v>318.77395573959666</v>
      </c>
      <c r="M100" s="7">
        <f t="shared" si="10"/>
        <v>-0.67395573959663579</v>
      </c>
    </row>
    <row r="101" spans="6:13" ht="18.75" customHeight="1">
      <c r="F101" s="1">
        <v>24412</v>
      </c>
      <c r="G101">
        <f t="shared" si="7"/>
        <v>11</v>
      </c>
      <c r="H101" s="7">
        <v>319.77999999999997</v>
      </c>
      <c r="I101" s="7">
        <f t="shared" si="6"/>
        <v>322.1945281458822</v>
      </c>
      <c r="J101" s="7">
        <f t="shared" si="8"/>
        <v>-2.4145281458822296</v>
      </c>
      <c r="K101" s="7" cm="1">
        <f t="array" ref="K101">INDEX(Sm,G101)</f>
        <v>-2.0591623324975612</v>
      </c>
      <c r="L101" s="7">
        <f t="shared" si="9"/>
        <v>320.13536581338462</v>
      </c>
      <c r="M101" s="7">
        <f t="shared" si="10"/>
        <v>-0.35536581338465112</v>
      </c>
    </row>
    <row r="102" spans="6:13" ht="18.75" customHeight="1">
      <c r="F102" s="1">
        <v>24442</v>
      </c>
      <c r="G102">
        <f t="shared" si="7"/>
        <v>12</v>
      </c>
      <c r="H102" s="7">
        <v>321.02999999999997</v>
      </c>
      <c r="I102" s="7">
        <f t="shared" si="6"/>
        <v>322.27576304225698</v>
      </c>
      <c r="J102" s="7">
        <f t="shared" si="8"/>
        <v>-1.2457630422570105</v>
      </c>
      <c r="K102" s="7" cm="1">
        <f t="array" ref="K102">INDEX(Sm,G102)</f>
        <v>-0.89132446529561371</v>
      </c>
      <c r="L102" s="7">
        <f t="shared" si="9"/>
        <v>321.38443857696137</v>
      </c>
      <c r="M102" s="7">
        <f t="shared" si="10"/>
        <v>-0.35443857696139958</v>
      </c>
    </row>
    <row r="103" spans="6:13" ht="18.75" customHeight="1">
      <c r="F103" s="1">
        <v>24473</v>
      </c>
      <c r="G103">
        <f t="shared" si="7"/>
        <v>1</v>
      </c>
      <c r="H103" s="7">
        <v>322.33</v>
      </c>
      <c r="I103" s="7">
        <f t="shared" si="6"/>
        <v>322.35989117597558</v>
      </c>
      <c r="J103" s="7">
        <f t="shared" si="8"/>
        <v>-2.9891175975592432E-2</v>
      </c>
      <c r="K103" s="7" cm="1">
        <f t="array" ref="K103">INDEX(Sm,G103)</f>
        <v>6.1040869584970889E-2</v>
      </c>
      <c r="L103" s="7">
        <f t="shared" si="9"/>
        <v>322.42093204556056</v>
      </c>
      <c r="M103" s="7">
        <f t="shared" si="10"/>
        <v>-9.093204556057799E-2</v>
      </c>
    </row>
    <row r="104" spans="6:13" ht="18.75" customHeight="1">
      <c r="F104" s="1">
        <v>24504</v>
      </c>
      <c r="G104">
        <f t="shared" si="7"/>
        <v>2</v>
      </c>
      <c r="H104" s="7">
        <v>322.5</v>
      </c>
      <c r="I104" s="7">
        <f t="shared" si="6"/>
        <v>322.44420775662547</v>
      </c>
      <c r="J104" s="7">
        <f t="shared" si="8"/>
        <v>5.5792243374526151E-2</v>
      </c>
      <c r="K104" s="7" cm="1">
        <f t="array" ref="K104">INDEX(Sm,G104)</f>
        <v>0.69421564520236412</v>
      </c>
      <c r="L104" s="7">
        <f t="shared" si="9"/>
        <v>323.13842340182782</v>
      </c>
      <c r="M104" s="7">
        <f t="shared" si="10"/>
        <v>-0.63842340182782209</v>
      </c>
    </row>
    <row r="105" spans="6:13" ht="18.75" customHeight="1">
      <c r="F105" s="1">
        <v>24532</v>
      </c>
      <c r="G105">
        <f t="shared" si="7"/>
        <v>3</v>
      </c>
      <c r="H105" s="7">
        <v>323.04000000000002</v>
      </c>
      <c r="I105" s="7">
        <f t="shared" si="6"/>
        <v>322.52052664233764</v>
      </c>
      <c r="J105" s="7">
        <f t="shared" si="8"/>
        <v>0.51947335766237757</v>
      </c>
      <c r="K105" s="7" cm="1">
        <f t="array" ref="K105">INDEX(Sm,G105)</f>
        <v>1.3733706304072995</v>
      </c>
      <c r="L105" s="7">
        <f t="shared" si="9"/>
        <v>323.89389727274494</v>
      </c>
      <c r="M105" s="7">
        <f t="shared" si="10"/>
        <v>-0.85389727274491634</v>
      </c>
    </row>
    <row r="106" spans="6:13" ht="18.75" customHeight="1">
      <c r="F106" s="1">
        <v>24563</v>
      </c>
      <c r="G106">
        <f t="shared" si="7"/>
        <v>4</v>
      </c>
      <c r="H106" s="7">
        <v>324.42</v>
      </c>
      <c r="I106" s="7">
        <f t="shared" si="6"/>
        <v>322.60520188005034</v>
      </c>
      <c r="J106" s="7">
        <f t="shared" si="8"/>
        <v>1.8147981199496712</v>
      </c>
      <c r="K106" s="7" cm="1">
        <f t="array" ref="K106">INDEX(Sm,G106)</f>
        <v>2.6099183412742755</v>
      </c>
      <c r="L106" s="7">
        <f t="shared" si="9"/>
        <v>325.21512022132464</v>
      </c>
      <c r="M106" s="7">
        <f t="shared" si="10"/>
        <v>-0.79512022132462334</v>
      </c>
    </row>
    <row r="107" spans="6:13" ht="18.75" customHeight="1">
      <c r="F107" s="1">
        <v>24593</v>
      </c>
      <c r="G107">
        <f t="shared" si="7"/>
        <v>5</v>
      </c>
      <c r="H107" s="7">
        <v>325</v>
      </c>
      <c r="I107" s="7">
        <f t="shared" si="6"/>
        <v>322.68732508506065</v>
      </c>
      <c r="J107" s="7">
        <f t="shared" si="8"/>
        <v>2.3126749149393504</v>
      </c>
      <c r="K107" s="7" cm="1">
        <f t="array" ref="K107">INDEX(Sm,G107)</f>
        <v>3.065291801195754</v>
      </c>
      <c r="L107" s="7">
        <f t="shared" si="9"/>
        <v>325.75261688625642</v>
      </c>
      <c r="M107" s="7">
        <f t="shared" si="10"/>
        <v>-0.75261688625641909</v>
      </c>
    </row>
    <row r="108" spans="6:13" ht="18.75" customHeight="1">
      <c r="F108" s="1">
        <v>24624</v>
      </c>
      <c r="G108">
        <f t="shared" si="7"/>
        <v>6</v>
      </c>
      <c r="H108" s="7">
        <v>324.08999999999997</v>
      </c>
      <c r="I108" s="7">
        <f t="shared" si="6"/>
        <v>322.77237113770269</v>
      </c>
      <c r="J108" s="7">
        <f t="shared" si="8"/>
        <v>1.3176288622972834</v>
      </c>
      <c r="K108" s="7" cm="1">
        <f t="array" ref="K108">INDEX(Sm,G108)</f>
        <v>2.3463851222642056</v>
      </c>
      <c r="L108" s="7">
        <f t="shared" si="9"/>
        <v>325.11875625996691</v>
      </c>
      <c r="M108" s="7">
        <f t="shared" si="10"/>
        <v>-1.02875625996694</v>
      </c>
    </row>
    <row r="109" spans="6:13" ht="18.75" customHeight="1">
      <c r="F109" s="1">
        <v>24654</v>
      </c>
      <c r="G109">
        <f t="shared" si="7"/>
        <v>7</v>
      </c>
      <c r="H109" s="7">
        <v>322.54000000000002</v>
      </c>
      <c r="I109" s="7">
        <f t="shared" si="6"/>
        <v>322.85485319587048</v>
      </c>
      <c r="J109" s="7">
        <f t="shared" si="8"/>
        <v>-0.31485319587045524</v>
      </c>
      <c r="K109" s="7" cm="1">
        <f t="array" ref="K109">INDEX(Sm,G109)</f>
        <v>0.72334113060077332</v>
      </c>
      <c r="L109" s="7">
        <f t="shared" si="9"/>
        <v>323.57819432647125</v>
      </c>
      <c r="M109" s="7">
        <f t="shared" si="10"/>
        <v>-1.0381943264712277</v>
      </c>
    </row>
    <row r="110" spans="6:13" ht="18.75" customHeight="1">
      <c r="F110" s="1">
        <v>24685</v>
      </c>
      <c r="G110">
        <f t="shared" si="7"/>
        <v>8</v>
      </c>
      <c r="H110" s="7">
        <v>320.92</v>
      </c>
      <c r="I110" s="7">
        <f t="shared" si="6"/>
        <v>322.9402700634418</v>
      </c>
      <c r="J110" s="7">
        <f t="shared" si="8"/>
        <v>-2.0202700634417852</v>
      </c>
      <c r="K110" s="7" cm="1">
        <f t="array" ref="K110">INDEX(Sm,G110)</f>
        <v>-1.3975570061157723</v>
      </c>
      <c r="L110" s="7">
        <f t="shared" si="9"/>
        <v>321.54271305732601</v>
      </c>
      <c r="M110" s="7">
        <f t="shared" si="10"/>
        <v>-0.62271305732599558</v>
      </c>
    </row>
    <row r="111" spans="6:13" ht="18.75" customHeight="1">
      <c r="F111" s="1">
        <v>24716</v>
      </c>
      <c r="G111">
        <f t="shared" si="7"/>
        <v>9</v>
      </c>
      <c r="H111" s="7">
        <v>319.25</v>
      </c>
      <c r="I111" s="7">
        <f t="shared" si="6"/>
        <v>323.02587537794449</v>
      </c>
      <c r="J111" s="7">
        <f t="shared" si="8"/>
        <v>-3.7758753779444874</v>
      </c>
      <c r="K111" s="7" cm="1">
        <f t="array" ref="K111">INDEX(Sm,G111)</f>
        <v>-3.1934822994410497</v>
      </c>
      <c r="L111" s="7">
        <f t="shared" si="9"/>
        <v>319.83239307850346</v>
      </c>
      <c r="M111" s="7">
        <f t="shared" si="10"/>
        <v>-0.58239307850345767</v>
      </c>
    </row>
    <row r="112" spans="6:13" ht="18.75" customHeight="1">
      <c r="F112" s="1">
        <v>24746</v>
      </c>
      <c r="G112">
        <f t="shared" si="7"/>
        <v>10</v>
      </c>
      <c r="H112" s="7">
        <v>319.39</v>
      </c>
      <c r="I112" s="7">
        <f t="shared" si="6"/>
        <v>323.10889865726773</v>
      </c>
      <c r="J112" s="7">
        <f t="shared" si="8"/>
        <v>-3.7188986572677436</v>
      </c>
      <c r="K112" s="7" cm="1">
        <f t="array" ref="K112">INDEX(Sm,G112)</f>
        <v>-3.3368150874962788</v>
      </c>
      <c r="L112" s="7">
        <f t="shared" si="9"/>
        <v>319.77208356977144</v>
      </c>
      <c r="M112" s="7">
        <f t="shared" si="10"/>
        <v>-0.38208356977145286</v>
      </c>
    </row>
    <row r="113" spans="6:13" ht="18.75" customHeight="1">
      <c r="F113" s="1">
        <v>24777</v>
      </c>
      <c r="G113">
        <f t="shared" si="7"/>
        <v>11</v>
      </c>
      <c r="H113" s="7">
        <v>320.73</v>
      </c>
      <c r="I113" s="7">
        <f t="shared" si="6"/>
        <v>323.1948747866997</v>
      </c>
      <c r="J113" s="7">
        <f t="shared" si="8"/>
        <v>-2.4648747866996814</v>
      </c>
      <c r="K113" s="7" cm="1">
        <f t="array" ref="K113">INDEX(Sm,G113)</f>
        <v>-2.0591623324975612</v>
      </c>
      <c r="L113" s="7">
        <f t="shared" si="9"/>
        <v>321.13571245420212</v>
      </c>
      <c r="M113" s="7">
        <f t="shared" si="10"/>
        <v>-0.40571245420210289</v>
      </c>
    </row>
    <row r="114" spans="6:13" ht="18.75" customHeight="1">
      <c r="F114" s="1">
        <v>24807</v>
      </c>
      <c r="G114">
        <f t="shared" si="7"/>
        <v>12</v>
      </c>
      <c r="H114" s="7">
        <v>321.95999999999998</v>
      </c>
      <c r="I114" s="7">
        <f t="shared" si="6"/>
        <v>323.27825691918036</v>
      </c>
      <c r="J114" s="7">
        <f t="shared" si="8"/>
        <v>-1.318256919180385</v>
      </c>
      <c r="K114" s="7" cm="1">
        <f t="array" ref="K114">INDEX(Sm,G114)</f>
        <v>-0.89132446529561371</v>
      </c>
      <c r="L114" s="7">
        <f t="shared" si="9"/>
        <v>322.38693245388475</v>
      </c>
      <c r="M114" s="7">
        <f t="shared" si="10"/>
        <v>-0.42693245388477408</v>
      </c>
    </row>
    <row r="115" spans="6:13" ht="18.75" customHeight="1">
      <c r="F115" s="1">
        <v>24838</v>
      </c>
      <c r="G115">
        <f t="shared" si="7"/>
        <v>1</v>
      </c>
      <c r="H115" s="7">
        <v>322.57</v>
      </c>
      <c r="I115" s="7">
        <f t="shared" si="6"/>
        <v>323.36460386354167</v>
      </c>
      <c r="J115" s="7">
        <f t="shared" si="8"/>
        <v>-0.79460386354168122</v>
      </c>
      <c r="K115" s="7" cm="1">
        <f t="array" ref="K115">INDEX(Sm,G115)</f>
        <v>6.1040869584970889E-2</v>
      </c>
      <c r="L115" s="7">
        <f t="shared" si="9"/>
        <v>323.42564473312666</v>
      </c>
      <c r="M115" s="7">
        <f t="shared" si="10"/>
        <v>-0.85564473312666678</v>
      </c>
    </row>
    <row r="116" spans="6:13" ht="18.75" customHeight="1">
      <c r="F116" s="1">
        <v>24869</v>
      </c>
      <c r="G116">
        <f t="shared" si="7"/>
        <v>2</v>
      </c>
      <c r="H116" s="7">
        <v>323.14999999999998</v>
      </c>
      <c r="I116" s="7">
        <f t="shared" si="6"/>
        <v>323.45113925483429</v>
      </c>
      <c r="J116" s="7">
        <f t="shared" si="8"/>
        <v>-0.30113925483431103</v>
      </c>
      <c r="K116" s="7" cm="1">
        <f t="array" ref="K116">INDEX(Sm,G116)</f>
        <v>0.69421564520236412</v>
      </c>
      <c r="L116" s="7">
        <f t="shared" si="9"/>
        <v>324.14535490003664</v>
      </c>
      <c r="M116" s="7">
        <f t="shared" si="10"/>
        <v>-0.99535490003665927</v>
      </c>
    </row>
    <row r="117" spans="6:13" ht="18.75" customHeight="1">
      <c r="F117" s="1">
        <v>24898</v>
      </c>
      <c r="G117">
        <f t="shared" si="7"/>
        <v>3</v>
      </c>
      <c r="H117" s="7">
        <v>323.89</v>
      </c>
      <c r="I117" s="7">
        <f t="shared" si="6"/>
        <v>323.53226231997718</v>
      </c>
      <c r="J117" s="7">
        <f t="shared" si="8"/>
        <v>0.35773768002280804</v>
      </c>
      <c r="K117" s="7" cm="1">
        <f t="array" ref="K117">INDEX(Sm,G117)</f>
        <v>1.3733706304072995</v>
      </c>
      <c r="L117" s="7">
        <f t="shared" si="9"/>
        <v>324.90563295038447</v>
      </c>
      <c r="M117" s="7">
        <f t="shared" si="10"/>
        <v>-1.0156329503844859</v>
      </c>
    </row>
    <row r="118" spans="6:13" ht="18.75" customHeight="1">
      <c r="F118" s="1">
        <v>24929</v>
      </c>
      <c r="G118">
        <f t="shared" si="7"/>
        <v>4</v>
      </c>
      <c r="H118" s="7">
        <v>325.02</v>
      </c>
      <c r="I118" s="7">
        <f t="shared" si="6"/>
        <v>323.61916244726586</v>
      </c>
      <c r="J118" s="7">
        <f t="shared" si="8"/>
        <v>1.4008375527341173</v>
      </c>
      <c r="K118" s="7" cm="1">
        <f t="array" ref="K118">INDEX(Sm,G118)</f>
        <v>2.6099183412742755</v>
      </c>
      <c r="L118" s="7">
        <f t="shared" si="9"/>
        <v>326.22908078854016</v>
      </c>
      <c r="M118" s="7">
        <f t="shared" si="10"/>
        <v>-1.2090807885401773</v>
      </c>
    </row>
    <row r="119" spans="6:13" ht="18.75" customHeight="1">
      <c r="F119" s="1">
        <v>24959</v>
      </c>
      <c r="G119">
        <f t="shared" si="7"/>
        <v>5</v>
      </c>
      <c r="H119" s="7">
        <v>325.57</v>
      </c>
      <c r="I119" s="7">
        <f t="shared" si="6"/>
        <v>323.7034387712207</v>
      </c>
      <c r="J119" s="7">
        <f t="shared" si="8"/>
        <v>1.8665612287792896</v>
      </c>
      <c r="K119" s="7" cm="1">
        <f t="array" ref="K119">INDEX(Sm,G119)</f>
        <v>3.065291801195754</v>
      </c>
      <c r="L119" s="7">
        <f t="shared" si="9"/>
        <v>326.76873057241647</v>
      </c>
      <c r="M119" s="7">
        <f t="shared" si="10"/>
        <v>-1.1987305724164798</v>
      </c>
    </row>
    <row r="120" spans="6:13" ht="18.75" customHeight="1">
      <c r="F120" s="1">
        <v>24990</v>
      </c>
      <c r="G120">
        <f t="shared" si="7"/>
        <v>6</v>
      </c>
      <c r="H120" s="7">
        <v>325.36</v>
      </c>
      <c r="I120" s="7">
        <f t="shared" si="6"/>
        <v>323.79070971343873</v>
      </c>
      <c r="J120" s="7">
        <f t="shared" si="8"/>
        <v>1.5692902865612837</v>
      </c>
      <c r="K120" s="7" cm="1">
        <f t="array" ref="K120">INDEX(Sm,G120)</f>
        <v>2.3463851222642056</v>
      </c>
      <c r="L120" s="7">
        <f t="shared" si="9"/>
        <v>326.13709483570295</v>
      </c>
      <c r="M120" s="7">
        <f t="shared" si="10"/>
        <v>-0.77709483570293969</v>
      </c>
    </row>
    <row r="121" spans="6:13" ht="18.75" customHeight="1">
      <c r="F121" s="1">
        <v>25020</v>
      </c>
      <c r="G121">
        <f t="shared" si="7"/>
        <v>7</v>
      </c>
      <c r="H121" s="7">
        <v>324.14</v>
      </c>
      <c r="I121" s="7">
        <f t="shared" si="6"/>
        <v>323.87534489055105</v>
      </c>
      <c r="J121" s="7">
        <f t="shared" si="8"/>
        <v>0.26465510944893822</v>
      </c>
      <c r="K121" s="7" cm="1">
        <f t="array" ref="K121">INDEX(Sm,G121)</f>
        <v>0.72334113060077332</v>
      </c>
      <c r="L121" s="7">
        <f t="shared" si="9"/>
        <v>324.59868602115182</v>
      </c>
      <c r="M121" s="7">
        <f t="shared" si="10"/>
        <v>-0.45868602115183421</v>
      </c>
    </row>
    <row r="122" spans="6:13" ht="18.75" customHeight="1">
      <c r="F122" s="1">
        <v>25051</v>
      </c>
      <c r="G122">
        <f t="shared" si="7"/>
        <v>8</v>
      </c>
      <c r="H122" s="7">
        <v>322.11</v>
      </c>
      <c r="I122" s="7">
        <f t="shared" si="6"/>
        <v>323.96298664769841</v>
      </c>
      <c r="J122" s="7">
        <f t="shared" si="8"/>
        <v>-1.8529866476984012</v>
      </c>
      <c r="K122" s="7" cm="1">
        <f t="array" ref="K122">INDEX(Sm,G122)</f>
        <v>-1.3975570061157723</v>
      </c>
      <c r="L122" s="7">
        <f t="shared" si="9"/>
        <v>322.56542964158263</v>
      </c>
      <c r="M122" s="7">
        <f t="shared" si="10"/>
        <v>-0.45542964158261157</v>
      </c>
    </row>
    <row r="123" spans="6:13" ht="18.75" customHeight="1">
      <c r="F123" s="1">
        <v>25082</v>
      </c>
      <c r="G123">
        <f t="shared" si="7"/>
        <v>9</v>
      </c>
      <c r="H123" s="7">
        <v>320.33</v>
      </c>
      <c r="I123" s="7">
        <f t="shared" si="6"/>
        <v>324.05081685177709</v>
      </c>
      <c r="J123" s="7">
        <f t="shared" si="8"/>
        <v>-3.7208168517771014</v>
      </c>
      <c r="K123" s="7" cm="1">
        <f t="array" ref="K123">INDEX(Sm,G123)</f>
        <v>-3.1934822994410497</v>
      </c>
      <c r="L123" s="7">
        <f t="shared" si="9"/>
        <v>320.85733455233606</v>
      </c>
      <c r="M123" s="7">
        <f t="shared" si="10"/>
        <v>-0.52733455233607174</v>
      </c>
    </row>
    <row r="124" spans="6:13" ht="18.75" customHeight="1">
      <c r="F124" s="1">
        <v>25112</v>
      </c>
      <c r="G124">
        <f t="shared" si="7"/>
        <v>10</v>
      </c>
      <c r="H124" s="7">
        <v>320.25</v>
      </c>
      <c r="I124" s="7">
        <f t="shared" si="6"/>
        <v>324.13599325004481</v>
      </c>
      <c r="J124" s="7">
        <f t="shared" si="8"/>
        <v>-3.8859932500448053</v>
      </c>
      <c r="K124" s="7" cm="1">
        <f t="array" ref="K124">INDEX(Sm,G124)</f>
        <v>-3.3368150874962788</v>
      </c>
      <c r="L124" s="7">
        <f t="shared" si="9"/>
        <v>320.79917816254851</v>
      </c>
      <c r="M124" s="7">
        <f t="shared" si="10"/>
        <v>-0.54917816254851459</v>
      </c>
    </row>
    <row r="125" spans="6:13" ht="18.75" customHeight="1">
      <c r="F125" s="1">
        <v>25143</v>
      </c>
      <c r="G125">
        <f t="shared" si="7"/>
        <v>11</v>
      </c>
      <c r="H125" s="7">
        <v>321.32</v>
      </c>
      <c r="I125" s="7">
        <f t="shared" si="6"/>
        <v>324.22419426905276</v>
      </c>
      <c r="J125" s="7">
        <f t="shared" si="8"/>
        <v>-2.9041942690527662</v>
      </c>
      <c r="K125" s="7" cm="1">
        <f t="array" ref="K125">INDEX(Sm,G125)</f>
        <v>-2.0591623324975612</v>
      </c>
      <c r="L125" s="7">
        <f t="shared" si="9"/>
        <v>322.16503193655518</v>
      </c>
      <c r="M125" s="7">
        <f t="shared" si="10"/>
        <v>-0.84503193655518771</v>
      </c>
    </row>
    <row r="126" spans="6:13" ht="18.75" customHeight="1">
      <c r="F126" s="1">
        <v>25173</v>
      </c>
      <c r="G126">
        <f t="shared" si="7"/>
        <v>12</v>
      </c>
      <c r="H126" s="7">
        <v>322.89</v>
      </c>
      <c r="I126" s="7">
        <f t="shared" si="6"/>
        <v>324.30972952047796</v>
      </c>
      <c r="J126" s="7">
        <f t="shared" si="8"/>
        <v>-1.4197295204779721</v>
      </c>
      <c r="K126" s="7" cm="1">
        <f t="array" ref="K126">INDEX(Sm,G126)</f>
        <v>-0.89132446529561371</v>
      </c>
      <c r="L126" s="7">
        <f t="shared" si="9"/>
        <v>323.41840505518235</v>
      </c>
      <c r="M126" s="7">
        <f t="shared" si="10"/>
        <v>-0.52840505518236114</v>
      </c>
    </row>
    <row r="127" spans="6:13" ht="18.75" customHeight="1">
      <c r="F127" s="1">
        <v>25204</v>
      </c>
      <c r="G127">
        <f t="shared" si="7"/>
        <v>1</v>
      </c>
      <c r="H127" s="7">
        <v>324</v>
      </c>
      <c r="I127" s="7">
        <f t="shared" si="6"/>
        <v>324.39830135441525</v>
      </c>
      <c r="J127" s="7">
        <f t="shared" si="8"/>
        <v>-0.39830135441525272</v>
      </c>
      <c r="K127" s="7" cm="1">
        <f t="array" ref="K127">INDEX(Sm,G127)</f>
        <v>6.1040869584970889E-2</v>
      </c>
      <c r="L127" s="7">
        <f t="shared" si="9"/>
        <v>324.45934222400024</v>
      </c>
      <c r="M127" s="7">
        <f t="shared" si="10"/>
        <v>-0.45934222400023828</v>
      </c>
    </row>
    <row r="128" spans="6:13" ht="18.75" customHeight="1">
      <c r="F128" s="1">
        <v>25235</v>
      </c>
      <c r="G128">
        <f t="shared" si="7"/>
        <v>2</v>
      </c>
      <c r="H128" s="7">
        <v>324.41000000000003</v>
      </c>
      <c r="I128" s="7">
        <f t="shared" si="6"/>
        <v>324.48706163528391</v>
      </c>
      <c r="J128" s="7">
        <f t="shared" si="8"/>
        <v>-7.7061635283882879E-2</v>
      </c>
      <c r="K128" s="7" cm="1">
        <f t="array" ref="K128">INDEX(Sm,G128)</f>
        <v>0.69421564520236412</v>
      </c>
      <c r="L128" s="7">
        <f t="shared" si="9"/>
        <v>325.18127728048626</v>
      </c>
      <c r="M128" s="7">
        <f t="shared" si="10"/>
        <v>-0.77127728048623112</v>
      </c>
    </row>
    <row r="129" spans="6:13" ht="18.75" customHeight="1">
      <c r="F129" s="1">
        <v>25263</v>
      </c>
      <c r="G129">
        <f t="shared" si="7"/>
        <v>3</v>
      </c>
      <c r="H129" s="7">
        <v>325.63</v>
      </c>
      <c r="I129" s="7">
        <f t="shared" si="6"/>
        <v>324.5673941857097</v>
      </c>
      <c r="J129" s="7">
        <f t="shared" si="8"/>
        <v>1.0626058142902934</v>
      </c>
      <c r="K129" s="7" cm="1">
        <f t="array" ref="K129">INDEX(Sm,G129)</f>
        <v>1.3733706304072995</v>
      </c>
      <c r="L129" s="7">
        <f t="shared" si="9"/>
        <v>325.940764816117</v>
      </c>
      <c r="M129" s="7">
        <f t="shared" si="10"/>
        <v>-0.31076481611700046</v>
      </c>
    </row>
    <row r="130" spans="6:13" ht="18.75" customHeight="1">
      <c r="F130" s="1">
        <v>25294</v>
      </c>
      <c r="G130">
        <f t="shared" si="7"/>
        <v>4</v>
      </c>
      <c r="H130" s="7">
        <v>326.66000000000003</v>
      </c>
      <c r="I130" s="7">
        <f t="shared" ref="I130:I193" si="11">_A*F130*F130+_B*F130+_C</f>
        <v>324.65651312364116</v>
      </c>
      <c r="J130" s="7">
        <f t="shared" si="8"/>
        <v>2.0034868763588634</v>
      </c>
      <c r="K130" s="7" cm="1">
        <f t="array" ref="K130">INDEX(Sm,G130)</f>
        <v>2.6099183412742755</v>
      </c>
      <c r="L130" s="7">
        <f t="shared" si="9"/>
        <v>327.26643146491546</v>
      </c>
      <c r="M130" s="7">
        <f t="shared" si="10"/>
        <v>-0.60643146491543121</v>
      </c>
    </row>
    <row r="131" spans="6:13" ht="18.75" customHeight="1">
      <c r="F131" s="1">
        <v>25324</v>
      </c>
      <c r="G131">
        <f t="shared" ref="G131:G194" si="12">MONTH(F131)</f>
        <v>5</v>
      </c>
      <c r="H131" s="7">
        <v>327.38</v>
      </c>
      <c r="I131" s="7">
        <f t="shared" si="11"/>
        <v>324.74293668370188</v>
      </c>
      <c r="J131" s="7">
        <f t="shared" ref="J131:J194" si="13">H131-I131</f>
        <v>2.6370633162981107</v>
      </c>
      <c r="K131" s="7" cm="1">
        <f t="array" ref="K131">INDEX(Sm,G131)</f>
        <v>3.065291801195754</v>
      </c>
      <c r="L131" s="7">
        <f t="shared" ref="L131:L194" si="14">I131+K131</f>
        <v>327.80822848489765</v>
      </c>
      <c r="M131" s="7">
        <f t="shared" ref="M131:M194" si="15">H131-L131</f>
        <v>-0.42822848489765875</v>
      </c>
    </row>
    <row r="132" spans="6:13" ht="18.75" customHeight="1">
      <c r="F132" s="1">
        <v>25355</v>
      </c>
      <c r="G132">
        <f t="shared" si="12"/>
        <v>6</v>
      </c>
      <c r="H132" s="7">
        <v>326.70999999999998</v>
      </c>
      <c r="I132" s="7">
        <f t="shared" si="11"/>
        <v>324.83242643656263</v>
      </c>
      <c r="J132" s="7">
        <f t="shared" si="13"/>
        <v>1.8775735634373518</v>
      </c>
      <c r="K132" s="7" cm="1">
        <f t="array" ref="K132">INDEX(Sm,G132)</f>
        <v>2.3463851222642056</v>
      </c>
      <c r="L132" s="7">
        <f t="shared" si="14"/>
        <v>327.17881155882685</v>
      </c>
      <c r="M132" s="7">
        <f t="shared" si="15"/>
        <v>-0.46881155882687153</v>
      </c>
    </row>
    <row r="133" spans="6:13" ht="18.75" customHeight="1">
      <c r="F133" s="1">
        <v>25385</v>
      </c>
      <c r="G133">
        <f t="shared" si="12"/>
        <v>7</v>
      </c>
      <c r="H133" s="7">
        <v>325.88</v>
      </c>
      <c r="I133" s="7">
        <f t="shared" si="11"/>
        <v>324.91920884978077</v>
      </c>
      <c r="J133" s="7">
        <f t="shared" si="13"/>
        <v>0.96079115021922235</v>
      </c>
      <c r="K133" s="7" cm="1">
        <f t="array" ref="K133">INDEX(Sm,G133)</f>
        <v>0.72334113060077332</v>
      </c>
      <c r="L133" s="7">
        <f t="shared" si="14"/>
        <v>325.64254998038155</v>
      </c>
      <c r="M133" s="7">
        <f t="shared" si="15"/>
        <v>0.23745001961844991</v>
      </c>
    </row>
    <row r="134" spans="6:13" ht="18.75" customHeight="1">
      <c r="F134" s="1">
        <v>25416</v>
      </c>
      <c r="G134">
        <f t="shared" si="12"/>
        <v>8</v>
      </c>
      <c r="H134" s="7">
        <v>323.66000000000003</v>
      </c>
      <c r="I134" s="7">
        <f t="shared" si="11"/>
        <v>325.00906941757086</v>
      </c>
      <c r="J134" s="7">
        <f t="shared" si="13"/>
        <v>-1.3490694175708313</v>
      </c>
      <c r="K134" s="7" cm="1">
        <f t="array" ref="K134">INDEX(Sm,G134)</f>
        <v>-1.3975570061157723</v>
      </c>
      <c r="L134" s="7">
        <f t="shared" si="14"/>
        <v>323.61151241145507</v>
      </c>
      <c r="M134" s="7">
        <f t="shared" si="15"/>
        <v>4.8487588544958271E-2</v>
      </c>
    </row>
    <row r="135" spans="6:13" ht="18.75" customHeight="1">
      <c r="F135" s="1">
        <v>25447</v>
      </c>
      <c r="G135">
        <f t="shared" si="12"/>
        <v>9</v>
      </c>
      <c r="H135" s="7">
        <v>322.38</v>
      </c>
      <c r="I135" s="7">
        <f t="shared" si="11"/>
        <v>325.09911843229224</v>
      </c>
      <c r="J135" s="7">
        <f t="shared" si="13"/>
        <v>-2.7191184322922481</v>
      </c>
      <c r="K135" s="7" cm="1">
        <f t="array" ref="K135">INDEX(Sm,G135)</f>
        <v>-3.1934822994410497</v>
      </c>
      <c r="L135" s="7">
        <f t="shared" si="14"/>
        <v>321.90563613285121</v>
      </c>
      <c r="M135" s="7">
        <f t="shared" si="15"/>
        <v>0.47436386714878154</v>
      </c>
    </row>
    <row r="136" spans="6:13" ht="18.75" customHeight="1">
      <c r="F136" s="1">
        <v>25477</v>
      </c>
      <c r="G136">
        <f t="shared" si="12"/>
        <v>10</v>
      </c>
      <c r="H136" s="7">
        <v>321.77999999999997</v>
      </c>
      <c r="I136" s="7">
        <f t="shared" si="11"/>
        <v>325.18644206666585</v>
      </c>
      <c r="J136" s="7">
        <f t="shared" si="13"/>
        <v>-3.4064420666658748</v>
      </c>
      <c r="K136" s="7" cm="1">
        <f t="array" ref="K136">INDEX(Sm,G136)</f>
        <v>-3.3368150874962788</v>
      </c>
      <c r="L136" s="7">
        <f t="shared" si="14"/>
        <v>321.84962697916956</v>
      </c>
      <c r="M136" s="7">
        <f t="shared" si="15"/>
        <v>-6.9626979169584047E-2</v>
      </c>
    </row>
    <row r="137" spans="6:13" ht="18.75" customHeight="1">
      <c r="F137" s="1">
        <v>25508</v>
      </c>
      <c r="G137">
        <f t="shared" si="12"/>
        <v>11</v>
      </c>
      <c r="H137" s="7">
        <v>322.85000000000002</v>
      </c>
      <c r="I137" s="7">
        <f t="shared" si="11"/>
        <v>325.27686189631657</v>
      </c>
      <c r="J137" s="7">
        <f t="shared" si="13"/>
        <v>-2.4268618963165522</v>
      </c>
      <c r="K137" s="7" cm="1">
        <f t="array" ref="K137">INDEX(Sm,G137)</f>
        <v>-2.0591623324975612</v>
      </c>
      <c r="L137" s="7">
        <f t="shared" si="14"/>
        <v>323.217699563819</v>
      </c>
      <c r="M137" s="7">
        <f t="shared" si="15"/>
        <v>-0.36769956381897373</v>
      </c>
    </row>
    <row r="138" spans="6:13" ht="18.75" customHeight="1">
      <c r="F138" s="1">
        <v>25538</v>
      </c>
      <c r="G138">
        <f t="shared" si="12"/>
        <v>12</v>
      </c>
      <c r="H138" s="7">
        <v>324.12</v>
      </c>
      <c r="I138" s="7">
        <f t="shared" si="11"/>
        <v>325.3645443838476</v>
      </c>
      <c r="J138" s="7">
        <f t="shared" si="13"/>
        <v>-1.2445443838475967</v>
      </c>
      <c r="K138" s="7" cm="1">
        <f t="array" ref="K138">INDEX(Sm,G138)</f>
        <v>-0.89132446529561371</v>
      </c>
      <c r="L138" s="7">
        <f t="shared" si="14"/>
        <v>324.47321991855199</v>
      </c>
      <c r="M138" s="7">
        <f t="shared" si="15"/>
        <v>-0.35321991855198576</v>
      </c>
    </row>
    <row r="139" spans="6:13" ht="18.75" customHeight="1">
      <c r="F139" s="1">
        <v>25569</v>
      </c>
      <c r="G139">
        <f t="shared" si="12"/>
        <v>1</v>
      </c>
      <c r="H139" s="7">
        <v>325.06</v>
      </c>
      <c r="I139" s="7">
        <f t="shared" si="11"/>
        <v>325.45533502842767</v>
      </c>
      <c r="J139" s="7">
        <f t="shared" si="13"/>
        <v>-0.39533502842766666</v>
      </c>
      <c r="K139" s="7" cm="1">
        <f t="array" ref="K139">INDEX(Sm,G139)</f>
        <v>6.1040869584970889E-2</v>
      </c>
      <c r="L139" s="7">
        <f t="shared" si="14"/>
        <v>325.51637589801265</v>
      </c>
      <c r="M139" s="7">
        <f t="shared" si="15"/>
        <v>-0.45637589801265221</v>
      </c>
    </row>
    <row r="140" spans="6:13" ht="18.75" customHeight="1">
      <c r="F140" s="1">
        <v>25600</v>
      </c>
      <c r="G140">
        <f t="shared" si="12"/>
        <v>2</v>
      </c>
      <c r="H140" s="7">
        <v>325.98</v>
      </c>
      <c r="I140" s="7">
        <f t="shared" si="11"/>
        <v>325.54631411993898</v>
      </c>
      <c r="J140" s="7">
        <f t="shared" si="13"/>
        <v>0.43368588006103437</v>
      </c>
      <c r="K140" s="7" cm="1">
        <f t="array" ref="K140">INDEX(Sm,G140)</f>
        <v>0.69421564520236412</v>
      </c>
      <c r="L140" s="7">
        <f t="shared" si="14"/>
        <v>326.24052976514133</v>
      </c>
      <c r="M140" s="7">
        <f t="shared" si="15"/>
        <v>-0.26052976514131387</v>
      </c>
    </row>
    <row r="141" spans="6:13" ht="18.75" customHeight="1">
      <c r="F141" s="1">
        <v>25628</v>
      </c>
      <c r="G141">
        <f t="shared" si="12"/>
        <v>3</v>
      </c>
      <c r="H141" s="7">
        <v>326.93</v>
      </c>
      <c r="I141" s="7">
        <f t="shared" si="11"/>
        <v>325.628650757397</v>
      </c>
      <c r="J141" s="7">
        <f t="shared" si="13"/>
        <v>1.3013492426030098</v>
      </c>
      <c r="K141" s="7" cm="1">
        <f t="array" ref="K141">INDEX(Sm,G141)</f>
        <v>1.3733706304072995</v>
      </c>
      <c r="L141" s="7">
        <f t="shared" si="14"/>
        <v>327.00202138780429</v>
      </c>
      <c r="M141" s="7">
        <f t="shared" si="15"/>
        <v>-7.2021387804284132E-2</v>
      </c>
    </row>
    <row r="142" spans="6:13" ht="18.75" customHeight="1">
      <c r="F142" s="1">
        <v>25659</v>
      </c>
      <c r="G142">
        <f t="shared" si="12"/>
        <v>4</v>
      </c>
      <c r="H142" s="7">
        <v>328.13</v>
      </c>
      <c r="I142" s="7">
        <f t="shared" si="11"/>
        <v>325.71998850597112</v>
      </c>
      <c r="J142" s="7">
        <f t="shared" si="13"/>
        <v>2.410011494028879</v>
      </c>
      <c r="K142" s="7" cm="1">
        <f t="array" ref="K142">INDEX(Sm,G142)</f>
        <v>2.6099183412742755</v>
      </c>
      <c r="L142" s="7">
        <f t="shared" si="14"/>
        <v>328.32990684724541</v>
      </c>
      <c r="M142" s="7">
        <f t="shared" si="15"/>
        <v>-0.19990684724541552</v>
      </c>
    </row>
    <row r="143" spans="6:13" ht="18.75" customHeight="1">
      <c r="F143" s="1">
        <v>25689</v>
      </c>
      <c r="G143">
        <f t="shared" si="12"/>
        <v>5</v>
      </c>
      <c r="H143" s="7">
        <v>328.08</v>
      </c>
      <c r="I143" s="7">
        <f t="shared" si="11"/>
        <v>325.80855930213772</v>
      </c>
      <c r="J143" s="7">
        <f t="shared" si="13"/>
        <v>2.2714406978622605</v>
      </c>
      <c r="K143" s="7" cm="1">
        <f t="array" ref="K143">INDEX(Sm,G143)</f>
        <v>3.065291801195754</v>
      </c>
      <c r="L143" s="7">
        <f t="shared" si="14"/>
        <v>328.87385110333349</v>
      </c>
      <c r="M143" s="7">
        <f t="shared" si="15"/>
        <v>-0.79385110333350895</v>
      </c>
    </row>
    <row r="144" spans="6:13" ht="18.75" customHeight="1">
      <c r="F144" s="1">
        <v>25720</v>
      </c>
      <c r="G144">
        <f t="shared" si="12"/>
        <v>6</v>
      </c>
      <c r="H144" s="7">
        <v>327.67</v>
      </c>
      <c r="I144" s="7">
        <f t="shared" si="11"/>
        <v>325.90026786564124</v>
      </c>
      <c r="J144" s="7">
        <f t="shared" si="13"/>
        <v>1.769732134358776</v>
      </c>
      <c r="K144" s="7" cm="1">
        <f t="array" ref="K144">INDEX(Sm,G144)</f>
        <v>2.3463851222642056</v>
      </c>
      <c r="L144" s="7">
        <f t="shared" si="14"/>
        <v>328.24665298790546</v>
      </c>
      <c r="M144" s="7">
        <f t="shared" si="15"/>
        <v>-0.57665298790544739</v>
      </c>
    </row>
    <row r="145" spans="6:13" ht="18.75" customHeight="1">
      <c r="F145" s="1">
        <v>25750</v>
      </c>
      <c r="G145">
        <f t="shared" si="12"/>
        <v>7</v>
      </c>
      <c r="H145" s="7">
        <v>326.33999999999997</v>
      </c>
      <c r="I145" s="7">
        <f t="shared" si="11"/>
        <v>325.98919751496521</v>
      </c>
      <c r="J145" s="7">
        <f t="shared" si="13"/>
        <v>0.35080248503476241</v>
      </c>
      <c r="K145" s="7" cm="1">
        <f t="array" ref="K145">INDEX(Sm,G145)</f>
        <v>0.72334113060077332</v>
      </c>
      <c r="L145" s="7">
        <f t="shared" si="14"/>
        <v>326.71253864556599</v>
      </c>
      <c r="M145" s="7">
        <f t="shared" si="15"/>
        <v>-0.37253864556601002</v>
      </c>
    </row>
    <row r="146" spans="6:13" ht="18.75" customHeight="1">
      <c r="F146" s="1">
        <v>25781</v>
      </c>
      <c r="G146">
        <f t="shared" si="12"/>
        <v>8</v>
      </c>
      <c r="H146" s="7">
        <v>324.69</v>
      </c>
      <c r="I146" s="7">
        <f t="shared" si="11"/>
        <v>326.08127689339801</v>
      </c>
      <c r="J146" s="7">
        <f t="shared" si="13"/>
        <v>-1.3912768933980146</v>
      </c>
      <c r="K146" s="7" cm="1">
        <f t="array" ref="K146">INDEX(Sm,G146)</f>
        <v>-1.3975570061157723</v>
      </c>
      <c r="L146" s="7">
        <f t="shared" si="14"/>
        <v>324.68371988728222</v>
      </c>
      <c r="M146" s="7">
        <f t="shared" si="15"/>
        <v>6.2801127177749549E-3</v>
      </c>
    </row>
    <row r="147" spans="6:13" ht="18.75" customHeight="1">
      <c r="F147" s="1">
        <v>25812</v>
      </c>
      <c r="G147">
        <f t="shared" si="12"/>
        <v>9</v>
      </c>
      <c r="H147" s="7">
        <v>323.10000000000002</v>
      </c>
      <c r="I147" s="7">
        <f t="shared" si="11"/>
        <v>326.17354471876217</v>
      </c>
      <c r="J147" s="7">
        <f t="shared" si="13"/>
        <v>-3.0735447187621503</v>
      </c>
      <c r="K147" s="7" cm="1">
        <f t="array" ref="K147">INDEX(Sm,G147)</f>
        <v>-3.1934822994410497</v>
      </c>
      <c r="L147" s="7">
        <f t="shared" si="14"/>
        <v>322.98006241932114</v>
      </c>
      <c r="M147" s="7">
        <f t="shared" si="15"/>
        <v>0.11993758067887939</v>
      </c>
    </row>
    <row r="148" spans="6:13" ht="18.75" customHeight="1">
      <c r="F148" s="1">
        <v>25842</v>
      </c>
      <c r="G148">
        <f t="shared" si="12"/>
        <v>10</v>
      </c>
      <c r="H148" s="7">
        <v>323.06</v>
      </c>
      <c r="I148" s="7">
        <f t="shared" si="11"/>
        <v>326.2630155892416</v>
      </c>
      <c r="J148" s="7">
        <f t="shared" si="13"/>
        <v>-3.2030155892416019</v>
      </c>
      <c r="K148" s="7" cm="1">
        <f t="array" ref="K148">INDEX(Sm,G148)</f>
        <v>-3.3368150874962788</v>
      </c>
      <c r="L148" s="7">
        <f t="shared" si="14"/>
        <v>322.92620050174531</v>
      </c>
      <c r="M148" s="7">
        <f t="shared" si="15"/>
        <v>0.13379949825468884</v>
      </c>
    </row>
    <row r="149" spans="6:13" ht="18.75" customHeight="1">
      <c r="F149" s="1">
        <v>25873</v>
      </c>
      <c r="G149">
        <f t="shared" si="12"/>
        <v>11</v>
      </c>
      <c r="H149" s="7">
        <v>324.01</v>
      </c>
      <c r="I149" s="7">
        <f t="shared" si="11"/>
        <v>326.35565422953511</v>
      </c>
      <c r="J149" s="7">
        <f t="shared" si="13"/>
        <v>-2.3456542295351142</v>
      </c>
      <c r="K149" s="7" cm="1">
        <f t="array" ref="K149">INDEX(Sm,G149)</f>
        <v>-2.0591623324975612</v>
      </c>
      <c r="L149" s="7">
        <f t="shared" si="14"/>
        <v>324.29649189703753</v>
      </c>
      <c r="M149" s="7">
        <f t="shared" si="15"/>
        <v>-0.28649189703753564</v>
      </c>
    </row>
    <row r="150" spans="6:13" ht="18.75" customHeight="1">
      <c r="F150" s="1">
        <v>25903</v>
      </c>
      <c r="G150">
        <f t="shared" si="12"/>
        <v>12</v>
      </c>
      <c r="H150" s="7">
        <v>325.13</v>
      </c>
      <c r="I150" s="7">
        <f t="shared" si="11"/>
        <v>326.44548395317196</v>
      </c>
      <c r="J150" s="7">
        <f t="shared" si="13"/>
        <v>-1.3154839531719631</v>
      </c>
      <c r="K150" s="7" cm="1">
        <f t="array" ref="K150">INDEX(Sm,G150)</f>
        <v>-0.89132446529561371</v>
      </c>
      <c r="L150" s="7">
        <f t="shared" si="14"/>
        <v>325.55415948787635</v>
      </c>
      <c r="M150" s="7">
        <f t="shared" si="15"/>
        <v>-0.42415948787635216</v>
      </c>
    </row>
    <row r="151" spans="6:13" ht="18.75" customHeight="1">
      <c r="F151" s="1">
        <v>25934</v>
      </c>
      <c r="G151">
        <f t="shared" si="12"/>
        <v>1</v>
      </c>
      <c r="H151" s="7">
        <v>326.17</v>
      </c>
      <c r="I151" s="7">
        <f t="shared" si="11"/>
        <v>326.53849340839474</v>
      </c>
      <c r="J151" s="7">
        <f t="shared" si="13"/>
        <v>-0.36849340839472688</v>
      </c>
      <c r="K151" s="7" cm="1">
        <f t="array" ref="K151">INDEX(Sm,G151)</f>
        <v>6.1040869584970889E-2</v>
      </c>
      <c r="L151" s="7">
        <f t="shared" si="14"/>
        <v>326.59953427797973</v>
      </c>
      <c r="M151" s="7">
        <f t="shared" si="15"/>
        <v>-0.42953427797971244</v>
      </c>
    </row>
    <row r="152" spans="6:13" ht="18.75" customHeight="1">
      <c r="F152" s="1">
        <v>25965</v>
      </c>
      <c r="G152">
        <f t="shared" si="12"/>
        <v>2</v>
      </c>
      <c r="H152" s="7">
        <v>326.68</v>
      </c>
      <c r="I152" s="7">
        <f t="shared" si="11"/>
        <v>326.63169131054883</v>
      </c>
      <c r="J152" s="7">
        <f t="shared" si="13"/>
        <v>4.8308689451175724E-2</v>
      </c>
      <c r="K152" s="7" cm="1">
        <f t="array" ref="K152">INDEX(Sm,G152)</f>
        <v>0.69421564520236412</v>
      </c>
      <c r="L152" s="7">
        <f t="shared" si="14"/>
        <v>327.32590695575118</v>
      </c>
      <c r="M152" s="7">
        <f t="shared" si="15"/>
        <v>-0.64590695575117252</v>
      </c>
    </row>
    <row r="153" spans="6:13" ht="18.75" customHeight="1">
      <c r="F153" s="1">
        <v>25993</v>
      </c>
      <c r="G153">
        <f t="shared" si="12"/>
        <v>3</v>
      </c>
      <c r="H153" s="7">
        <v>327.17</v>
      </c>
      <c r="I153" s="7">
        <f t="shared" si="11"/>
        <v>326.71603203503895</v>
      </c>
      <c r="J153" s="7">
        <f t="shared" si="13"/>
        <v>0.45396796496106617</v>
      </c>
      <c r="K153" s="7" cm="1">
        <f t="array" ref="K153">INDEX(Sm,G153)</f>
        <v>1.3733706304072995</v>
      </c>
      <c r="L153" s="7">
        <f t="shared" si="14"/>
        <v>328.08940266544624</v>
      </c>
      <c r="M153" s="7">
        <f t="shared" si="15"/>
        <v>-0.91940266544622773</v>
      </c>
    </row>
    <row r="154" spans="6:13" ht="18.75" customHeight="1">
      <c r="F154" s="1">
        <v>26024</v>
      </c>
      <c r="G154">
        <f t="shared" si="12"/>
        <v>4</v>
      </c>
      <c r="H154" s="7">
        <v>327.79</v>
      </c>
      <c r="I154" s="7">
        <f t="shared" si="11"/>
        <v>326.80958859425584</v>
      </c>
      <c r="J154" s="7">
        <f t="shared" si="13"/>
        <v>0.98041140574417796</v>
      </c>
      <c r="K154" s="7" cm="1">
        <f t="array" ref="K154">INDEX(Sm,G154)</f>
        <v>2.6099183412742755</v>
      </c>
      <c r="L154" s="7">
        <f t="shared" si="14"/>
        <v>329.41950693553014</v>
      </c>
      <c r="M154" s="7">
        <f t="shared" si="15"/>
        <v>-1.6295069355301166</v>
      </c>
    </row>
    <row r="155" spans="6:13" ht="18.75" customHeight="1">
      <c r="F155" s="1">
        <v>26054</v>
      </c>
      <c r="G155">
        <f t="shared" si="12"/>
        <v>5</v>
      </c>
      <c r="H155" s="7">
        <v>328.93</v>
      </c>
      <c r="I155" s="7">
        <f t="shared" si="11"/>
        <v>326.90030662652828</v>
      </c>
      <c r="J155" s="7">
        <f t="shared" si="13"/>
        <v>2.02969337347173</v>
      </c>
      <c r="K155" s="7" cm="1">
        <f t="array" ref="K155">INDEX(Sm,G155)</f>
        <v>3.065291801195754</v>
      </c>
      <c r="L155" s="7">
        <f t="shared" si="14"/>
        <v>329.96559842772405</v>
      </c>
      <c r="M155" s="7">
        <f t="shared" si="15"/>
        <v>-1.0355984277240395</v>
      </c>
    </row>
    <row r="156" spans="6:13" ht="18.75" customHeight="1">
      <c r="F156" s="1">
        <v>26085</v>
      </c>
      <c r="G156">
        <f t="shared" si="12"/>
        <v>6</v>
      </c>
      <c r="H156" s="7">
        <v>328.57</v>
      </c>
      <c r="I156" s="7">
        <f t="shared" si="11"/>
        <v>326.99423400067451</v>
      </c>
      <c r="J156" s="7">
        <f t="shared" si="13"/>
        <v>1.5757659993254833</v>
      </c>
      <c r="K156" s="7" cm="1">
        <f t="array" ref="K156">INDEX(Sm,G156)</f>
        <v>2.3463851222642056</v>
      </c>
      <c r="L156" s="7">
        <f t="shared" si="14"/>
        <v>329.34061912293873</v>
      </c>
      <c r="M156" s="7">
        <f t="shared" si="15"/>
        <v>-0.77061912293874002</v>
      </c>
    </row>
    <row r="157" spans="6:13" ht="18.75" customHeight="1">
      <c r="F157" s="1">
        <v>26115</v>
      </c>
      <c r="G157">
        <f t="shared" si="12"/>
        <v>7</v>
      </c>
      <c r="H157" s="7">
        <v>327.36</v>
      </c>
      <c r="I157" s="7">
        <f t="shared" si="11"/>
        <v>327.08531088610442</v>
      </c>
      <c r="J157" s="7">
        <f t="shared" si="13"/>
        <v>0.27468911389559025</v>
      </c>
      <c r="K157" s="7" cm="1">
        <f t="array" ref="K157">INDEX(Sm,G157)</f>
        <v>0.72334113060077332</v>
      </c>
      <c r="L157" s="7">
        <f t="shared" si="14"/>
        <v>327.8086520167052</v>
      </c>
      <c r="M157" s="7">
        <f t="shared" si="15"/>
        <v>-0.44865201670518218</v>
      </c>
    </row>
    <row r="158" spans="6:13" ht="18.75" customHeight="1">
      <c r="F158" s="1">
        <v>26146</v>
      </c>
      <c r="G158">
        <f t="shared" si="12"/>
        <v>8</v>
      </c>
      <c r="H158" s="7">
        <v>325.43</v>
      </c>
      <c r="I158" s="7">
        <f t="shared" si="11"/>
        <v>327.17960907517994</v>
      </c>
      <c r="J158" s="7">
        <f t="shared" si="13"/>
        <v>-1.7496090751799329</v>
      </c>
      <c r="K158" s="7" cm="1">
        <f t="array" ref="K158">INDEX(Sm,G158)</f>
        <v>-1.3975570061157723</v>
      </c>
      <c r="L158" s="7">
        <f t="shared" si="14"/>
        <v>325.78205206906415</v>
      </c>
      <c r="M158" s="7">
        <f t="shared" si="15"/>
        <v>-0.35205206906414332</v>
      </c>
    </row>
    <row r="159" spans="6:13" ht="18.75" customHeight="1">
      <c r="F159" s="1">
        <v>26177</v>
      </c>
      <c r="G159">
        <f t="shared" si="12"/>
        <v>9</v>
      </c>
      <c r="H159" s="7">
        <v>323.36</v>
      </c>
      <c r="I159" s="7">
        <f t="shared" si="11"/>
        <v>327.27409571118676</v>
      </c>
      <c r="J159" s="7">
        <f t="shared" si="13"/>
        <v>-3.9140957111867465</v>
      </c>
      <c r="K159" s="7" cm="1">
        <f t="array" ref="K159">INDEX(Sm,G159)</f>
        <v>-3.1934822994410497</v>
      </c>
      <c r="L159" s="7">
        <f t="shared" si="14"/>
        <v>324.08061341174573</v>
      </c>
      <c r="M159" s="7">
        <f t="shared" si="15"/>
        <v>-0.7206134117457168</v>
      </c>
    </row>
    <row r="160" spans="6:13" ht="18.75" customHeight="1">
      <c r="F160" s="1">
        <v>26207</v>
      </c>
      <c r="G160">
        <f t="shared" si="12"/>
        <v>10</v>
      </c>
      <c r="H160" s="7">
        <v>323.56</v>
      </c>
      <c r="I160" s="7">
        <f t="shared" si="11"/>
        <v>327.36571381777213</v>
      </c>
      <c r="J160" s="7">
        <f t="shared" si="13"/>
        <v>-3.8057138177721299</v>
      </c>
      <c r="K160" s="7" cm="1">
        <f t="array" ref="K160">INDEX(Sm,G160)</f>
        <v>-3.3368150874962788</v>
      </c>
      <c r="L160" s="7">
        <f t="shared" si="14"/>
        <v>324.02889873027584</v>
      </c>
      <c r="M160" s="7">
        <f t="shared" si="15"/>
        <v>-0.46889873027583917</v>
      </c>
    </row>
    <row r="161" spans="6:13" ht="18.75" customHeight="1">
      <c r="F161" s="1">
        <v>26238</v>
      </c>
      <c r="G161">
        <f t="shared" si="12"/>
        <v>11</v>
      </c>
      <c r="H161" s="7">
        <v>324.8</v>
      </c>
      <c r="I161" s="7">
        <f t="shared" si="11"/>
        <v>327.46057126870829</v>
      </c>
      <c r="J161" s="7">
        <f t="shared" si="13"/>
        <v>-2.6605712687082814</v>
      </c>
      <c r="K161" s="7" cm="1">
        <f t="array" ref="K161">INDEX(Sm,G161)</f>
        <v>-2.0591623324975612</v>
      </c>
      <c r="L161" s="7">
        <f t="shared" si="14"/>
        <v>325.40140893621071</v>
      </c>
      <c r="M161" s="7">
        <f t="shared" si="15"/>
        <v>-0.6014089362107029</v>
      </c>
    </row>
    <row r="162" spans="6:13" ht="18.75" customHeight="1">
      <c r="F162" s="1">
        <v>26268</v>
      </c>
      <c r="G162">
        <f t="shared" si="12"/>
        <v>12</v>
      </c>
      <c r="H162" s="7">
        <v>326.01</v>
      </c>
      <c r="I162" s="7">
        <f t="shared" si="11"/>
        <v>327.55254822845109</v>
      </c>
      <c r="J162" s="7">
        <f t="shared" si="13"/>
        <v>-1.5425482284510963</v>
      </c>
      <c r="K162" s="7" cm="1">
        <f t="array" ref="K162">INDEX(Sm,G162)</f>
        <v>-0.89132446529561371</v>
      </c>
      <c r="L162" s="7">
        <f t="shared" si="14"/>
        <v>326.66122376315548</v>
      </c>
      <c r="M162" s="7">
        <f t="shared" si="15"/>
        <v>-0.65122376315548536</v>
      </c>
    </row>
    <row r="163" spans="6:13" ht="18.75" customHeight="1">
      <c r="F163" s="1">
        <v>26299</v>
      </c>
      <c r="G163">
        <f t="shared" si="12"/>
        <v>1</v>
      </c>
      <c r="H163" s="7">
        <v>326.77</v>
      </c>
      <c r="I163" s="7">
        <f t="shared" si="11"/>
        <v>327.64777649431659</v>
      </c>
      <c r="J163" s="7">
        <f t="shared" si="13"/>
        <v>-0.8777764943166062</v>
      </c>
      <c r="K163" s="7" cm="1">
        <f t="array" ref="K163">INDEX(Sm,G163)</f>
        <v>6.1040869584970889E-2</v>
      </c>
      <c r="L163" s="7">
        <f t="shared" si="14"/>
        <v>327.70881736390157</v>
      </c>
      <c r="M163" s="7">
        <f t="shared" si="15"/>
        <v>-0.93881736390159176</v>
      </c>
    </row>
    <row r="164" spans="6:13" ht="18.75" customHeight="1">
      <c r="F164" s="1">
        <v>26330</v>
      </c>
      <c r="G164">
        <f t="shared" si="12"/>
        <v>2</v>
      </c>
      <c r="H164" s="7">
        <v>327.63</v>
      </c>
      <c r="I164" s="7">
        <f t="shared" si="11"/>
        <v>327.74319320711339</v>
      </c>
      <c r="J164" s="7">
        <f t="shared" si="13"/>
        <v>-0.11319320711339742</v>
      </c>
      <c r="K164" s="7" cm="1">
        <f t="array" ref="K164">INDEX(Sm,G164)</f>
        <v>0.69421564520236412</v>
      </c>
      <c r="L164" s="7">
        <f t="shared" si="14"/>
        <v>328.43740885231574</v>
      </c>
      <c r="M164" s="7">
        <f t="shared" si="15"/>
        <v>-0.80740885231574566</v>
      </c>
    </row>
    <row r="165" spans="6:13" ht="18.75" customHeight="1">
      <c r="F165" s="1">
        <v>26359</v>
      </c>
      <c r="G165">
        <f t="shared" si="12"/>
        <v>3</v>
      </c>
      <c r="H165" s="7">
        <v>327.75</v>
      </c>
      <c r="I165" s="7">
        <f t="shared" si="11"/>
        <v>327.83262460527629</v>
      </c>
      <c r="J165" s="7">
        <f t="shared" si="13"/>
        <v>-8.2624605276294005E-2</v>
      </c>
      <c r="K165" s="7" cm="1">
        <f t="array" ref="K165">INDEX(Sm,G165)</f>
        <v>1.3733706304072995</v>
      </c>
      <c r="L165" s="7">
        <f t="shared" si="14"/>
        <v>329.20599523568359</v>
      </c>
      <c r="M165" s="7">
        <f t="shared" si="15"/>
        <v>-1.4559952356835879</v>
      </c>
    </row>
    <row r="166" spans="6:13" ht="18.75" customHeight="1">
      <c r="F166" s="1">
        <v>26390</v>
      </c>
      <c r="G166">
        <f t="shared" si="12"/>
        <v>4</v>
      </c>
      <c r="H166" s="7">
        <v>329.72</v>
      </c>
      <c r="I166" s="7">
        <f t="shared" si="11"/>
        <v>327.92840605406917</v>
      </c>
      <c r="J166" s="7">
        <f t="shared" si="13"/>
        <v>1.7915939459308561</v>
      </c>
      <c r="K166" s="7" cm="1">
        <f t="array" ref="K166">INDEX(Sm,G166)</f>
        <v>2.6099183412742755</v>
      </c>
      <c r="L166" s="7">
        <f t="shared" si="14"/>
        <v>330.53832439534347</v>
      </c>
      <c r="M166" s="7">
        <f t="shared" si="15"/>
        <v>-0.81832439534343848</v>
      </c>
    </row>
    <row r="167" spans="6:13" ht="18.75" customHeight="1">
      <c r="F167" s="1">
        <v>26420</v>
      </c>
      <c r="G167">
        <f t="shared" si="12"/>
        <v>5</v>
      </c>
      <c r="H167" s="7">
        <v>330.07</v>
      </c>
      <c r="I167" s="7">
        <f t="shared" si="11"/>
        <v>328.02127720528614</v>
      </c>
      <c r="J167" s="7">
        <f t="shared" si="13"/>
        <v>2.0487227947138535</v>
      </c>
      <c r="K167" s="7" cm="1">
        <f t="array" ref="K167">INDEX(Sm,G167)</f>
        <v>3.065291801195754</v>
      </c>
      <c r="L167" s="7">
        <f t="shared" si="14"/>
        <v>331.08656900648191</v>
      </c>
      <c r="M167" s="7">
        <f t="shared" si="15"/>
        <v>-1.0165690064819159</v>
      </c>
    </row>
    <row r="168" spans="6:13" ht="18.75" customHeight="1">
      <c r="F168" s="1">
        <v>26451</v>
      </c>
      <c r="G168">
        <f t="shared" si="12"/>
        <v>6</v>
      </c>
      <c r="H168" s="7">
        <v>329.09</v>
      </c>
      <c r="I168" s="7">
        <f t="shared" si="11"/>
        <v>328.11742946900836</v>
      </c>
      <c r="J168" s="7">
        <f t="shared" si="13"/>
        <v>0.97257053099161794</v>
      </c>
      <c r="K168" s="7" cm="1">
        <f t="array" ref="K168">INDEX(Sm,G168)</f>
        <v>2.3463851222642056</v>
      </c>
      <c r="L168" s="7">
        <f t="shared" si="14"/>
        <v>330.46381459127258</v>
      </c>
      <c r="M168" s="7">
        <f t="shared" si="15"/>
        <v>-1.3738145912726054</v>
      </c>
    </row>
    <row r="169" spans="6:13" ht="18.75" customHeight="1">
      <c r="F169" s="1">
        <v>26481</v>
      </c>
      <c r="G169">
        <f t="shared" si="12"/>
        <v>7</v>
      </c>
      <c r="H169" s="7">
        <v>328.04</v>
      </c>
      <c r="I169" s="7">
        <f t="shared" si="11"/>
        <v>328.21065947338275</v>
      </c>
      <c r="J169" s="7">
        <f t="shared" si="13"/>
        <v>-0.17065947338272736</v>
      </c>
      <c r="K169" s="7" cm="1">
        <f t="array" ref="K169">INDEX(Sm,G169)</f>
        <v>0.72334113060077332</v>
      </c>
      <c r="L169" s="7">
        <f t="shared" si="14"/>
        <v>328.93400060398352</v>
      </c>
      <c r="M169" s="7">
        <f t="shared" si="15"/>
        <v>-0.89400060398349979</v>
      </c>
    </row>
    <row r="170" spans="6:13" ht="18.75" customHeight="1">
      <c r="F170" s="1">
        <v>26512</v>
      </c>
      <c r="G170">
        <f t="shared" si="12"/>
        <v>8</v>
      </c>
      <c r="H170" s="7">
        <v>326.32</v>
      </c>
      <c r="I170" s="7">
        <f t="shared" si="11"/>
        <v>328.30718255203431</v>
      </c>
      <c r="J170" s="7">
        <f t="shared" si="13"/>
        <v>-1.9871825520343123</v>
      </c>
      <c r="K170" s="7" cm="1">
        <f t="array" ref="K170">INDEX(Sm,G170)</f>
        <v>-1.3975570061157723</v>
      </c>
      <c r="L170" s="7">
        <f t="shared" si="14"/>
        <v>326.90962554591852</v>
      </c>
      <c r="M170" s="7">
        <f t="shared" si="15"/>
        <v>-0.58962554591852268</v>
      </c>
    </row>
    <row r="171" spans="6:13" ht="18.75" customHeight="1">
      <c r="F171" s="1">
        <v>26543</v>
      </c>
      <c r="G171">
        <f t="shared" si="12"/>
        <v>9</v>
      </c>
      <c r="H171" s="7">
        <v>324.83999999999997</v>
      </c>
      <c r="I171" s="7">
        <f t="shared" si="11"/>
        <v>328.40389407761717</v>
      </c>
      <c r="J171" s="7">
        <f t="shared" si="13"/>
        <v>-3.5638940776171921</v>
      </c>
      <c r="K171" s="7" cm="1">
        <f t="array" ref="K171">INDEX(Sm,G171)</f>
        <v>-3.1934822994410497</v>
      </c>
      <c r="L171" s="7">
        <f t="shared" si="14"/>
        <v>325.21041177817614</v>
      </c>
      <c r="M171" s="7">
        <f t="shared" si="15"/>
        <v>-0.37041177817616244</v>
      </c>
    </row>
    <row r="172" spans="6:13" ht="18.75" customHeight="1">
      <c r="F172" s="1">
        <v>26573</v>
      </c>
      <c r="G172">
        <f t="shared" si="12"/>
        <v>10</v>
      </c>
      <c r="H172" s="7">
        <v>325.2</v>
      </c>
      <c r="I172" s="7">
        <f t="shared" si="11"/>
        <v>328.49766530314702</v>
      </c>
      <c r="J172" s="7">
        <f t="shared" si="13"/>
        <v>-3.2976653031470278</v>
      </c>
      <c r="K172" s="7" cm="1">
        <f t="array" ref="K172">INDEX(Sm,G172)</f>
        <v>-3.3368150874962788</v>
      </c>
      <c r="L172" s="7">
        <f t="shared" si="14"/>
        <v>325.16085021565073</v>
      </c>
      <c r="M172" s="7">
        <f t="shared" si="15"/>
        <v>3.9149784349262973E-2</v>
      </c>
    </row>
    <row r="173" spans="6:13" ht="18.75" customHeight="1">
      <c r="F173" s="1">
        <v>26604</v>
      </c>
      <c r="G173">
        <f t="shared" si="12"/>
        <v>11</v>
      </c>
      <c r="H173" s="7">
        <v>326.5</v>
      </c>
      <c r="I173" s="7">
        <f t="shared" si="11"/>
        <v>328.59474764365916</v>
      </c>
      <c r="J173" s="7">
        <f t="shared" si="13"/>
        <v>-2.0947476436591614</v>
      </c>
      <c r="K173" s="7" cm="1">
        <f t="array" ref="K173">INDEX(Sm,G173)</f>
        <v>-2.0591623324975612</v>
      </c>
      <c r="L173" s="7">
        <f t="shared" si="14"/>
        <v>326.53558531116158</v>
      </c>
      <c r="M173" s="7">
        <f t="shared" si="15"/>
        <v>-3.5585311161582922E-2</v>
      </c>
    </row>
    <row r="174" spans="6:13" ht="18.75" customHeight="1">
      <c r="F174" s="1">
        <v>26634</v>
      </c>
      <c r="G174">
        <f t="shared" si="12"/>
        <v>12</v>
      </c>
      <c r="H174" s="7">
        <v>327.55</v>
      </c>
      <c r="I174" s="7">
        <f t="shared" si="11"/>
        <v>328.68887772234643</v>
      </c>
      <c r="J174" s="7">
        <f t="shared" si="13"/>
        <v>-1.1388777223464217</v>
      </c>
      <c r="K174" s="7" cm="1">
        <f t="array" ref="K174">INDEX(Sm,G174)</f>
        <v>-0.89132446529561371</v>
      </c>
      <c r="L174" s="7">
        <f t="shared" si="14"/>
        <v>327.79755325705082</v>
      </c>
      <c r="M174" s="7">
        <f t="shared" si="15"/>
        <v>-0.24755325705081077</v>
      </c>
    </row>
    <row r="175" spans="6:13" ht="18.75" customHeight="1">
      <c r="F175" s="1">
        <v>26665</v>
      </c>
      <c r="G175">
        <f t="shared" si="12"/>
        <v>1</v>
      </c>
      <c r="H175" s="7">
        <v>328.55</v>
      </c>
      <c r="I175" s="7">
        <f t="shared" si="11"/>
        <v>328.78633087778798</v>
      </c>
      <c r="J175" s="7">
        <f t="shared" si="13"/>
        <v>-0.2363308777879638</v>
      </c>
      <c r="K175" s="7" cm="1">
        <f t="array" ref="K175">INDEX(Sm,G175)</f>
        <v>6.1040869584970889E-2</v>
      </c>
      <c r="L175" s="7">
        <f t="shared" si="14"/>
        <v>328.84737174737296</v>
      </c>
      <c r="M175" s="7">
        <f t="shared" si="15"/>
        <v>-0.29737174737294936</v>
      </c>
    </row>
    <row r="176" spans="6:13" ht="18.75" customHeight="1">
      <c r="F176" s="1">
        <v>26696</v>
      </c>
      <c r="G176">
        <f t="shared" si="12"/>
        <v>2</v>
      </c>
      <c r="H176" s="7">
        <v>329.56</v>
      </c>
      <c r="I176" s="7">
        <f t="shared" si="11"/>
        <v>328.88397248016076</v>
      </c>
      <c r="J176" s="7">
        <f t="shared" si="13"/>
        <v>0.67602751983923781</v>
      </c>
      <c r="K176" s="7" cm="1">
        <f t="array" ref="K176">INDEX(Sm,G176)</f>
        <v>0.69421564520236412</v>
      </c>
      <c r="L176" s="7">
        <f t="shared" si="14"/>
        <v>329.57818812536311</v>
      </c>
      <c r="M176" s="7">
        <f t="shared" si="15"/>
        <v>-1.818812536311043E-2</v>
      </c>
    </row>
    <row r="177" spans="6:13" ht="18.75" customHeight="1">
      <c r="F177" s="1">
        <v>26724</v>
      </c>
      <c r="G177">
        <f t="shared" si="12"/>
        <v>3</v>
      </c>
      <c r="H177" s="7">
        <v>330.3</v>
      </c>
      <c r="I177" s="7">
        <f t="shared" si="11"/>
        <v>328.97232686936457</v>
      </c>
      <c r="J177" s="7">
        <f t="shared" si="13"/>
        <v>1.3276731306354463</v>
      </c>
      <c r="K177" s="7" cm="1">
        <f t="array" ref="K177">INDEX(Sm,G177)</f>
        <v>1.3733706304072995</v>
      </c>
      <c r="L177" s="7">
        <f t="shared" si="14"/>
        <v>330.34569749977186</v>
      </c>
      <c r="M177" s="7">
        <f t="shared" si="15"/>
        <v>-4.5697499771847561E-2</v>
      </c>
    </row>
    <row r="178" spans="6:13" ht="18.75" customHeight="1">
      <c r="F178" s="1">
        <v>26755</v>
      </c>
      <c r="G178">
        <f t="shared" si="12"/>
        <v>4</v>
      </c>
      <c r="H178" s="7">
        <v>331.5</v>
      </c>
      <c r="I178" s="7">
        <f t="shared" si="11"/>
        <v>329.07032712880022</v>
      </c>
      <c r="J178" s="7">
        <f t="shared" si="13"/>
        <v>2.4296728711997844</v>
      </c>
      <c r="K178" s="7" cm="1">
        <f t="array" ref="K178">INDEX(Sm,G178)</f>
        <v>2.6099183412742755</v>
      </c>
      <c r="L178" s="7">
        <f t="shared" si="14"/>
        <v>331.68024547007451</v>
      </c>
      <c r="M178" s="7">
        <f t="shared" si="15"/>
        <v>-0.18024547007451019</v>
      </c>
    </row>
    <row r="179" spans="6:13" ht="18.75" customHeight="1">
      <c r="F179" s="1">
        <v>26785</v>
      </c>
      <c r="G179">
        <f t="shared" si="12"/>
        <v>5</v>
      </c>
      <c r="H179" s="7">
        <v>332.48</v>
      </c>
      <c r="I179" s="7">
        <f t="shared" si="11"/>
        <v>329.16534551612301</v>
      </c>
      <c r="J179" s="7">
        <f t="shared" si="13"/>
        <v>3.3146544838770069</v>
      </c>
      <c r="K179" s="7" cm="1">
        <f t="array" ref="K179">INDEX(Sm,G179)</f>
        <v>3.065291801195754</v>
      </c>
      <c r="L179" s="7">
        <f t="shared" si="14"/>
        <v>332.23063731731878</v>
      </c>
      <c r="M179" s="7">
        <f t="shared" si="15"/>
        <v>0.2493626826812374</v>
      </c>
    </row>
    <row r="180" spans="6:13" ht="18.75" customHeight="1">
      <c r="F180" s="1">
        <v>26816</v>
      </c>
      <c r="G180">
        <f t="shared" si="12"/>
        <v>6</v>
      </c>
      <c r="H180" s="7">
        <v>332.07</v>
      </c>
      <c r="I180" s="7">
        <f t="shared" si="11"/>
        <v>329.263716590488</v>
      </c>
      <c r="J180" s="7">
        <f t="shared" si="13"/>
        <v>2.8062834095119911</v>
      </c>
      <c r="K180" s="7" cm="1">
        <f t="array" ref="K180">INDEX(Sm,G180)</f>
        <v>2.3463851222642056</v>
      </c>
      <c r="L180" s="7">
        <f t="shared" si="14"/>
        <v>331.61010171275223</v>
      </c>
      <c r="M180" s="7">
        <f t="shared" si="15"/>
        <v>0.45989828724776771</v>
      </c>
    </row>
    <row r="181" spans="6:13" ht="18.75" customHeight="1">
      <c r="F181" s="1">
        <v>26846</v>
      </c>
      <c r="G181">
        <f t="shared" si="12"/>
        <v>7</v>
      </c>
      <c r="H181" s="7">
        <v>330.87</v>
      </c>
      <c r="I181" s="7">
        <f t="shared" si="11"/>
        <v>329.35909383096822</v>
      </c>
      <c r="J181" s="7">
        <f t="shared" si="13"/>
        <v>1.5109061690317844</v>
      </c>
      <c r="K181" s="7" cm="1">
        <f t="array" ref="K181">INDEX(Sm,G181)</f>
        <v>0.72334113060077332</v>
      </c>
      <c r="L181" s="7">
        <f t="shared" si="14"/>
        <v>330.08243496156899</v>
      </c>
      <c r="M181" s="7">
        <f t="shared" si="15"/>
        <v>0.787565038431012</v>
      </c>
    </row>
    <row r="182" spans="6:13" ht="18.75" customHeight="1">
      <c r="F182" s="1">
        <v>26877</v>
      </c>
      <c r="G182">
        <f t="shared" si="12"/>
        <v>8</v>
      </c>
      <c r="H182" s="7">
        <v>329.31</v>
      </c>
      <c r="I182" s="7">
        <f t="shared" si="11"/>
        <v>329.45783572026249</v>
      </c>
      <c r="J182" s="7">
        <f t="shared" si="13"/>
        <v>-0.14783572026249203</v>
      </c>
      <c r="K182" s="7" cm="1">
        <f t="array" ref="K182">INDEX(Sm,G182)</f>
        <v>-1.3975570061157723</v>
      </c>
      <c r="L182" s="7">
        <f t="shared" si="14"/>
        <v>328.0602787141467</v>
      </c>
      <c r="M182" s="7">
        <f t="shared" si="15"/>
        <v>1.2497212858532976</v>
      </c>
    </row>
    <row r="183" spans="6:13" ht="18.75" customHeight="1">
      <c r="F183" s="1">
        <v>26908</v>
      </c>
      <c r="G183">
        <f t="shared" si="12"/>
        <v>9</v>
      </c>
      <c r="H183" s="7">
        <v>327.51</v>
      </c>
      <c r="I183" s="7">
        <f t="shared" si="11"/>
        <v>329.55676605648807</v>
      </c>
      <c r="J183" s="7">
        <f t="shared" si="13"/>
        <v>-2.0467660564880816</v>
      </c>
      <c r="K183" s="7" cm="1">
        <f t="array" ref="K183">INDEX(Sm,G183)</f>
        <v>-3.1934822994410497</v>
      </c>
      <c r="L183" s="7">
        <f t="shared" si="14"/>
        <v>326.36328375704704</v>
      </c>
      <c r="M183" s="7">
        <f t="shared" si="15"/>
        <v>1.1467162429529481</v>
      </c>
    </row>
    <row r="184" spans="6:13" ht="18.75" customHeight="1">
      <c r="F184" s="1">
        <v>26938</v>
      </c>
      <c r="G184">
        <f t="shared" si="12"/>
        <v>10</v>
      </c>
      <c r="H184" s="7">
        <v>327.18</v>
      </c>
      <c r="I184" s="7">
        <f t="shared" si="11"/>
        <v>329.65268451812381</v>
      </c>
      <c r="J184" s="7">
        <f t="shared" si="13"/>
        <v>-2.4726845181237991</v>
      </c>
      <c r="K184" s="7" cm="1">
        <f t="array" ref="K184">INDEX(Sm,G184)</f>
        <v>-3.3368150874962788</v>
      </c>
      <c r="L184" s="7">
        <f t="shared" si="14"/>
        <v>326.31586943062752</v>
      </c>
      <c r="M184" s="7">
        <f t="shared" si="15"/>
        <v>0.86413056937249166</v>
      </c>
    </row>
    <row r="185" spans="6:13" ht="18.75" customHeight="1">
      <c r="F185" s="1">
        <v>26969</v>
      </c>
      <c r="G185">
        <f t="shared" si="12"/>
        <v>11</v>
      </c>
      <c r="H185" s="7">
        <v>328.16</v>
      </c>
      <c r="I185" s="7">
        <f t="shared" si="11"/>
        <v>329.75198566927872</v>
      </c>
      <c r="J185" s="7">
        <f t="shared" si="13"/>
        <v>-1.5919856692786993</v>
      </c>
      <c r="K185" s="7" cm="1">
        <f t="array" ref="K185">INDEX(Sm,G185)</f>
        <v>-2.0591623324975612</v>
      </c>
      <c r="L185" s="7">
        <f t="shared" si="14"/>
        <v>327.69282333678115</v>
      </c>
      <c r="M185" s="7">
        <f t="shared" si="15"/>
        <v>0.46717666321887918</v>
      </c>
    </row>
    <row r="186" spans="6:13" ht="18.75" customHeight="1">
      <c r="F186" s="1">
        <v>26999</v>
      </c>
      <c r="G186">
        <f t="shared" si="12"/>
        <v>12</v>
      </c>
      <c r="H186" s="7">
        <v>328.64</v>
      </c>
      <c r="I186" s="7">
        <f t="shared" si="11"/>
        <v>329.84826298407188</v>
      </c>
      <c r="J186" s="7">
        <f t="shared" si="13"/>
        <v>-1.2082629840718937</v>
      </c>
      <c r="K186" s="7" cm="1">
        <f t="array" ref="K186">INDEX(Sm,G186)</f>
        <v>-0.89132446529561371</v>
      </c>
      <c r="L186" s="7">
        <f t="shared" si="14"/>
        <v>328.95693851877627</v>
      </c>
      <c r="M186" s="7">
        <f t="shared" si="15"/>
        <v>-0.31693851877628276</v>
      </c>
    </row>
    <row r="187" spans="6:13" ht="18.75" customHeight="1">
      <c r="F187" s="1">
        <v>27030</v>
      </c>
      <c r="G187">
        <f t="shared" si="12"/>
        <v>1</v>
      </c>
      <c r="H187" s="7">
        <v>329.35</v>
      </c>
      <c r="I187" s="7">
        <f t="shared" si="11"/>
        <v>329.94793495015608</v>
      </c>
      <c r="J187" s="7">
        <f t="shared" si="13"/>
        <v>-0.59793495015605913</v>
      </c>
      <c r="K187" s="7" cm="1">
        <f t="array" ref="K187">INDEX(Sm,G187)</f>
        <v>6.1040869584970889E-2</v>
      </c>
      <c r="L187" s="7">
        <f t="shared" si="14"/>
        <v>330.00897581974107</v>
      </c>
      <c r="M187" s="7">
        <f t="shared" si="15"/>
        <v>-0.65897581974104469</v>
      </c>
    </row>
    <row r="188" spans="6:13" ht="18.75" customHeight="1">
      <c r="F188" s="1">
        <v>27061</v>
      </c>
      <c r="G188">
        <f t="shared" si="12"/>
        <v>2</v>
      </c>
      <c r="H188" s="7">
        <v>330.71</v>
      </c>
      <c r="I188" s="7">
        <f t="shared" si="11"/>
        <v>330.04779536317164</v>
      </c>
      <c r="J188" s="7">
        <f t="shared" si="13"/>
        <v>0.66220463682833497</v>
      </c>
      <c r="K188" s="7" cm="1">
        <f t="array" ref="K188">INDEX(Sm,G188)</f>
        <v>0.69421564520236412</v>
      </c>
      <c r="L188" s="7">
        <f t="shared" si="14"/>
        <v>330.74201100837399</v>
      </c>
      <c r="M188" s="7">
        <f t="shared" si="15"/>
        <v>-3.2011008374013272E-2</v>
      </c>
    </row>
    <row r="189" spans="6:13" ht="18.75" customHeight="1">
      <c r="F189" s="1">
        <v>27089</v>
      </c>
      <c r="G189">
        <f t="shared" si="12"/>
        <v>3</v>
      </c>
      <c r="H189" s="7">
        <v>331.48</v>
      </c>
      <c r="I189" s="7">
        <f t="shared" si="11"/>
        <v>330.13815383940755</v>
      </c>
      <c r="J189" s="7">
        <f t="shared" si="13"/>
        <v>1.3418461605924676</v>
      </c>
      <c r="K189" s="7" cm="1">
        <f t="array" ref="K189">INDEX(Sm,G189)</f>
        <v>1.3733706304072995</v>
      </c>
      <c r="L189" s="7">
        <f t="shared" si="14"/>
        <v>331.51152446981484</v>
      </c>
      <c r="M189" s="7">
        <f t="shared" si="15"/>
        <v>-3.1524469814826261E-2</v>
      </c>
    </row>
    <row r="190" spans="6:13" ht="18.75" customHeight="1">
      <c r="F190" s="1">
        <v>27120</v>
      </c>
      <c r="G190">
        <f t="shared" si="12"/>
        <v>4</v>
      </c>
      <c r="H190" s="7">
        <v>332.65</v>
      </c>
      <c r="I190" s="7">
        <f t="shared" si="11"/>
        <v>330.23837290948592</v>
      </c>
      <c r="J190" s="7">
        <f t="shared" si="13"/>
        <v>2.4116270905140595</v>
      </c>
      <c r="K190" s="7" cm="1">
        <f t="array" ref="K190">INDEX(Sm,G190)</f>
        <v>2.6099183412742755</v>
      </c>
      <c r="L190" s="7">
        <f t="shared" si="14"/>
        <v>332.84829125076021</v>
      </c>
      <c r="M190" s="7">
        <f t="shared" si="15"/>
        <v>-0.19829125076023502</v>
      </c>
    </row>
    <row r="191" spans="6:13" ht="18.75" customHeight="1">
      <c r="F191" s="1">
        <v>27150</v>
      </c>
      <c r="G191">
        <f t="shared" si="12"/>
        <v>5</v>
      </c>
      <c r="H191" s="7">
        <v>333.09</v>
      </c>
      <c r="I191" s="7">
        <f t="shared" si="11"/>
        <v>330.3355385329146</v>
      </c>
      <c r="J191" s="7">
        <f t="shared" si="13"/>
        <v>2.7544614670853775</v>
      </c>
      <c r="K191" s="7" cm="1">
        <f t="array" ref="K191">INDEX(Sm,G191)</f>
        <v>3.065291801195754</v>
      </c>
      <c r="L191" s="7">
        <f t="shared" si="14"/>
        <v>333.40083033411037</v>
      </c>
      <c r="M191" s="7">
        <f t="shared" si="15"/>
        <v>-0.31083033411039196</v>
      </c>
    </row>
    <row r="192" spans="6:13" ht="18.75" customHeight="1">
      <c r="F192" s="1">
        <v>27181</v>
      </c>
      <c r="G192">
        <f t="shared" si="12"/>
        <v>6</v>
      </c>
      <c r="H192" s="7">
        <v>332.25</v>
      </c>
      <c r="I192" s="7">
        <f t="shared" si="11"/>
        <v>330.4361284179223</v>
      </c>
      <c r="J192" s="7">
        <f t="shared" si="13"/>
        <v>1.8138715820776952</v>
      </c>
      <c r="K192" s="7" cm="1">
        <f t="array" ref="K192">INDEX(Sm,G192)</f>
        <v>2.3463851222642056</v>
      </c>
      <c r="L192" s="7">
        <f t="shared" si="14"/>
        <v>332.78251354018653</v>
      </c>
      <c r="M192" s="7">
        <f t="shared" si="15"/>
        <v>-0.53251354018652819</v>
      </c>
    </row>
    <row r="193" spans="6:13" ht="18.75" customHeight="1">
      <c r="F193" s="1">
        <v>27211</v>
      </c>
      <c r="G193">
        <f t="shared" si="12"/>
        <v>7</v>
      </c>
      <c r="H193" s="7">
        <v>331.18</v>
      </c>
      <c r="I193" s="7">
        <f t="shared" si="11"/>
        <v>330.53365289450841</v>
      </c>
      <c r="J193" s="7">
        <f t="shared" si="13"/>
        <v>0.6463471054915999</v>
      </c>
      <c r="K193" s="7" cm="1">
        <f t="array" ref="K193">INDEX(Sm,G193)</f>
        <v>0.72334113060077332</v>
      </c>
      <c r="L193" s="7">
        <f t="shared" si="14"/>
        <v>331.25699402510918</v>
      </c>
      <c r="M193" s="7">
        <f t="shared" si="15"/>
        <v>-7.6994025109172526E-2</v>
      </c>
    </row>
    <row r="194" spans="6:13" ht="18.75" customHeight="1">
      <c r="F194" s="1">
        <v>27242</v>
      </c>
      <c r="G194">
        <f t="shared" si="12"/>
        <v>8</v>
      </c>
      <c r="H194" s="7">
        <v>329.39</v>
      </c>
      <c r="I194" s="7">
        <f t="shared" ref="I194:I257" si="16">_A*F194*F194+_B*F194+_C</f>
        <v>330.6346135944454</v>
      </c>
      <c r="J194" s="7">
        <f t="shared" si="13"/>
        <v>-1.2446135944454113</v>
      </c>
      <c r="K194" s="7" cm="1">
        <f t="array" ref="K194">INDEX(Sm,G194)</f>
        <v>-1.3975570061157723</v>
      </c>
      <c r="L194" s="7">
        <f t="shared" si="14"/>
        <v>329.23705658832961</v>
      </c>
      <c r="M194" s="7">
        <f t="shared" si="15"/>
        <v>0.15294341167037828</v>
      </c>
    </row>
    <row r="195" spans="6:13" ht="18.75" customHeight="1">
      <c r="F195" s="1">
        <v>27273</v>
      </c>
      <c r="G195">
        <f t="shared" ref="G195:G258" si="17">MONTH(F195)</f>
        <v>9</v>
      </c>
      <c r="H195" s="7">
        <v>327.43</v>
      </c>
      <c r="I195" s="7">
        <f t="shared" si="16"/>
        <v>330.73576274131375</v>
      </c>
      <c r="J195" s="7">
        <f t="shared" ref="J195:J258" si="18">H195-I195</f>
        <v>-3.3057627413137425</v>
      </c>
      <c r="K195" s="7" cm="1">
        <f t="array" ref="K195">INDEX(Sm,G195)</f>
        <v>-3.1934822994410497</v>
      </c>
      <c r="L195" s="7">
        <f t="shared" ref="L195:L258" si="19">I195+K195</f>
        <v>327.54228044187272</v>
      </c>
      <c r="M195" s="7">
        <f t="shared" ref="M195:M258" si="20">H195-L195</f>
        <v>-0.1122804418727128</v>
      </c>
    </row>
    <row r="196" spans="6:13" ht="18.75" customHeight="1">
      <c r="F196" s="1">
        <v>27303</v>
      </c>
      <c r="G196">
        <f t="shared" si="17"/>
        <v>10</v>
      </c>
      <c r="H196" s="7">
        <v>327.37</v>
      </c>
      <c r="I196" s="7">
        <f t="shared" si="16"/>
        <v>330.83382843905531</v>
      </c>
      <c r="J196" s="7">
        <f t="shared" si="18"/>
        <v>-3.4638284390553054</v>
      </c>
      <c r="K196" s="7" cm="1">
        <f t="array" ref="K196">INDEX(Sm,G196)</f>
        <v>-3.3368150874962788</v>
      </c>
      <c r="L196" s="7">
        <f t="shared" si="19"/>
        <v>327.49701335155902</v>
      </c>
      <c r="M196" s="7">
        <f t="shared" si="20"/>
        <v>-0.12701335155901461</v>
      </c>
    </row>
    <row r="197" spans="6:13" ht="18.75" customHeight="1">
      <c r="F197" s="1">
        <v>27334</v>
      </c>
      <c r="G197">
        <f t="shared" si="17"/>
        <v>11</v>
      </c>
      <c r="H197" s="7">
        <v>328.46</v>
      </c>
      <c r="I197" s="7">
        <f t="shared" si="16"/>
        <v>330.93534840085294</v>
      </c>
      <c r="J197" s="7">
        <f t="shared" si="18"/>
        <v>-2.4753484008529654</v>
      </c>
      <c r="K197" s="7" cm="1">
        <f t="array" ref="K197">INDEX(Sm,G197)</f>
        <v>-2.0591623324975612</v>
      </c>
      <c r="L197" s="7">
        <f t="shared" si="19"/>
        <v>328.87618606835537</v>
      </c>
      <c r="M197" s="7">
        <f t="shared" si="20"/>
        <v>-0.41618606835538685</v>
      </c>
    </row>
    <row r="198" spans="6:13" ht="18.75" customHeight="1">
      <c r="F198" s="1">
        <v>27364</v>
      </c>
      <c r="G198">
        <f t="shared" si="17"/>
        <v>12</v>
      </c>
      <c r="H198" s="7">
        <v>329.57</v>
      </c>
      <c r="I198" s="7">
        <f t="shared" si="16"/>
        <v>331.03377295175198</v>
      </c>
      <c r="J198" s="7">
        <f t="shared" si="18"/>
        <v>-1.4637729517519915</v>
      </c>
      <c r="K198" s="7" cm="1">
        <f t="array" ref="K198">INDEX(Sm,G198)</f>
        <v>-0.89132446529561371</v>
      </c>
      <c r="L198" s="7">
        <f t="shared" si="19"/>
        <v>330.14244848645637</v>
      </c>
      <c r="M198" s="7">
        <f t="shared" si="20"/>
        <v>-0.57244848645638058</v>
      </c>
    </row>
    <row r="199" spans="6:13" ht="18.75" customHeight="1">
      <c r="F199" s="1">
        <v>27395</v>
      </c>
      <c r="G199">
        <f t="shared" si="17"/>
        <v>1</v>
      </c>
      <c r="H199" s="7">
        <v>330.4</v>
      </c>
      <c r="I199" s="7">
        <f t="shared" si="16"/>
        <v>331.1356637284789</v>
      </c>
      <c r="J199" s="7">
        <f t="shared" si="18"/>
        <v>-0.7356637284789258</v>
      </c>
      <c r="K199" s="7" cm="1">
        <f t="array" ref="K199">INDEX(Sm,G199)</f>
        <v>6.1040869584970889E-2</v>
      </c>
      <c r="L199" s="7">
        <f t="shared" si="19"/>
        <v>331.19670459806389</v>
      </c>
      <c r="M199" s="7">
        <f t="shared" si="20"/>
        <v>-0.79670459806391136</v>
      </c>
    </row>
    <row r="200" spans="6:13" ht="18.75" customHeight="1">
      <c r="F200" s="1">
        <v>27426</v>
      </c>
      <c r="G200">
        <f t="shared" si="17"/>
        <v>2</v>
      </c>
      <c r="H200" s="7">
        <v>331.4</v>
      </c>
      <c r="I200" s="7">
        <f t="shared" si="16"/>
        <v>331.23774295213718</v>
      </c>
      <c r="J200" s="7">
        <f t="shared" si="18"/>
        <v>0.16225704786279493</v>
      </c>
      <c r="K200" s="7" cm="1">
        <f t="array" ref="K200">INDEX(Sm,G200)</f>
        <v>0.69421564520236412</v>
      </c>
      <c r="L200" s="7">
        <f t="shared" si="19"/>
        <v>331.93195859733953</v>
      </c>
      <c r="M200" s="7">
        <f t="shared" si="20"/>
        <v>-0.53195859733955331</v>
      </c>
    </row>
    <row r="201" spans="6:13" ht="18.75" customHeight="1">
      <c r="F201" s="1">
        <v>27454</v>
      </c>
      <c r="G201">
        <f t="shared" si="17"/>
        <v>3</v>
      </c>
      <c r="H201" s="7">
        <v>332.04</v>
      </c>
      <c r="I201" s="7">
        <f t="shared" si="16"/>
        <v>331.33010551540531</v>
      </c>
      <c r="J201" s="7">
        <f t="shared" si="18"/>
        <v>0.70989448459471305</v>
      </c>
      <c r="K201" s="7" cm="1">
        <f t="array" ref="K201">INDEX(Sm,G201)</f>
        <v>1.3733706304072995</v>
      </c>
      <c r="L201" s="7">
        <f t="shared" si="19"/>
        <v>332.7034761458126</v>
      </c>
      <c r="M201" s="7">
        <f t="shared" si="20"/>
        <v>-0.66347614581258085</v>
      </c>
    </row>
    <row r="202" spans="6:13" ht="18.75" customHeight="1">
      <c r="F202" s="1">
        <v>27485</v>
      </c>
      <c r="G202">
        <f t="shared" si="17"/>
        <v>4</v>
      </c>
      <c r="H202" s="7">
        <v>333.31</v>
      </c>
      <c r="I202" s="7">
        <f t="shared" si="16"/>
        <v>331.43254339612633</v>
      </c>
      <c r="J202" s="7">
        <f t="shared" si="18"/>
        <v>1.877456603873668</v>
      </c>
      <c r="K202" s="7" cm="1">
        <f t="array" ref="K202">INDEX(Sm,G202)</f>
        <v>2.6099183412742755</v>
      </c>
      <c r="L202" s="7">
        <f t="shared" si="19"/>
        <v>334.04246173740063</v>
      </c>
      <c r="M202" s="7">
        <f t="shared" si="20"/>
        <v>-0.73246173740062659</v>
      </c>
    </row>
    <row r="203" spans="6:13" ht="18.75" customHeight="1">
      <c r="F203" s="1">
        <v>27515</v>
      </c>
      <c r="G203">
        <f t="shared" si="17"/>
        <v>5</v>
      </c>
      <c r="H203" s="7">
        <v>333.97</v>
      </c>
      <c r="I203" s="7">
        <f t="shared" si="16"/>
        <v>331.53185625566095</v>
      </c>
      <c r="J203" s="7">
        <f t="shared" si="18"/>
        <v>2.4381437443390723</v>
      </c>
      <c r="K203" s="7" cm="1">
        <f t="array" ref="K203">INDEX(Sm,G203)</f>
        <v>3.065291801195754</v>
      </c>
      <c r="L203" s="7">
        <f t="shared" si="19"/>
        <v>334.59714805685672</v>
      </c>
      <c r="M203" s="7">
        <f t="shared" si="20"/>
        <v>-0.62714805685669717</v>
      </c>
    </row>
    <row r="204" spans="6:13" ht="18.75" customHeight="1">
      <c r="F204" s="1">
        <v>27546</v>
      </c>
      <c r="G204">
        <f t="shared" si="17"/>
        <v>6</v>
      </c>
      <c r="H204" s="7">
        <v>333.6</v>
      </c>
      <c r="I204" s="7">
        <f t="shared" si="16"/>
        <v>331.63466495131132</v>
      </c>
      <c r="J204" s="7">
        <f t="shared" si="18"/>
        <v>1.9653350486887007</v>
      </c>
      <c r="K204" s="7" cm="1">
        <f t="array" ref="K204">INDEX(Sm,G204)</f>
        <v>2.3463851222642056</v>
      </c>
      <c r="L204" s="7">
        <f t="shared" si="19"/>
        <v>333.98105007357555</v>
      </c>
      <c r="M204" s="7">
        <f t="shared" si="20"/>
        <v>-0.38105007357552267</v>
      </c>
    </row>
    <row r="205" spans="6:13" ht="18.75" customHeight="1">
      <c r="F205" s="1">
        <v>27576</v>
      </c>
      <c r="G205">
        <f t="shared" si="17"/>
        <v>7</v>
      </c>
      <c r="H205" s="7">
        <v>331.9</v>
      </c>
      <c r="I205" s="7">
        <f t="shared" si="16"/>
        <v>331.73433666400331</v>
      </c>
      <c r="J205" s="7">
        <f t="shared" si="18"/>
        <v>0.16566333599666905</v>
      </c>
      <c r="K205" s="7" cm="1">
        <f t="array" ref="K205">INDEX(Sm,G205)</f>
        <v>0.72334113060077332</v>
      </c>
      <c r="L205" s="7">
        <f t="shared" si="19"/>
        <v>332.45767779460408</v>
      </c>
      <c r="M205" s="7">
        <f t="shared" si="20"/>
        <v>-0.55767779460410338</v>
      </c>
    </row>
    <row r="206" spans="6:13" ht="18.75" customHeight="1">
      <c r="F206" s="1">
        <v>27607</v>
      </c>
      <c r="G206">
        <f t="shared" si="17"/>
        <v>8</v>
      </c>
      <c r="H206" s="7">
        <v>330.06</v>
      </c>
      <c r="I206" s="7">
        <f t="shared" si="16"/>
        <v>331.83751617458307</v>
      </c>
      <c r="J206" s="7">
        <f t="shared" si="18"/>
        <v>-1.7775161745830701</v>
      </c>
      <c r="K206" s="7" cm="1">
        <f t="array" ref="K206">INDEX(Sm,G206)</f>
        <v>-1.3975570061157723</v>
      </c>
      <c r="L206" s="7">
        <f t="shared" si="19"/>
        <v>330.43995916846728</v>
      </c>
      <c r="M206" s="7">
        <f t="shared" si="20"/>
        <v>-0.37995916846728051</v>
      </c>
    </row>
    <row r="207" spans="6:13" ht="18.75" customHeight="1">
      <c r="F207" s="1">
        <v>27638</v>
      </c>
      <c r="G207">
        <f t="shared" si="17"/>
        <v>9</v>
      </c>
      <c r="H207" s="7">
        <v>328.56</v>
      </c>
      <c r="I207" s="7">
        <f t="shared" si="16"/>
        <v>331.94088413209408</v>
      </c>
      <c r="J207" s="7">
        <f t="shared" si="18"/>
        <v>-3.3808841320940815</v>
      </c>
      <c r="K207" s="7" cm="1">
        <f t="array" ref="K207">INDEX(Sm,G207)</f>
        <v>-3.1934822994410497</v>
      </c>
      <c r="L207" s="7">
        <f t="shared" si="19"/>
        <v>328.74740183265305</v>
      </c>
      <c r="M207" s="7">
        <f t="shared" si="20"/>
        <v>-0.18740183265305177</v>
      </c>
    </row>
    <row r="208" spans="6:13" ht="18.75" customHeight="1">
      <c r="F208" s="1">
        <v>27668</v>
      </c>
      <c r="G208">
        <f t="shared" si="17"/>
        <v>10</v>
      </c>
      <c r="H208" s="7">
        <v>328.34</v>
      </c>
      <c r="I208" s="7">
        <f t="shared" si="16"/>
        <v>332.04109706594153</v>
      </c>
      <c r="J208" s="7">
        <f t="shared" si="18"/>
        <v>-3.7010970659415534</v>
      </c>
      <c r="K208" s="7" cm="1">
        <f t="array" ref="K208">INDEX(Sm,G208)</f>
        <v>-3.3368150874962788</v>
      </c>
      <c r="L208" s="7">
        <f t="shared" si="19"/>
        <v>328.70428197844524</v>
      </c>
      <c r="M208" s="7">
        <f t="shared" si="20"/>
        <v>-0.36428197844526267</v>
      </c>
    </row>
    <row r="209" spans="6:13" ht="18.75" customHeight="1">
      <c r="F209" s="1">
        <v>27699</v>
      </c>
      <c r="G209">
        <f t="shared" si="17"/>
        <v>11</v>
      </c>
      <c r="H209" s="7">
        <v>329.49</v>
      </c>
      <c r="I209" s="7">
        <f t="shared" si="16"/>
        <v>332.14483583838194</v>
      </c>
      <c r="J209" s="7">
        <f t="shared" si="18"/>
        <v>-2.6548358383819277</v>
      </c>
      <c r="K209" s="7" cm="1">
        <f t="array" ref="K209">INDEX(Sm,G209)</f>
        <v>-2.0591623324975612</v>
      </c>
      <c r="L209" s="7">
        <f t="shared" si="19"/>
        <v>330.08567350588436</v>
      </c>
      <c r="M209" s="7">
        <f t="shared" si="20"/>
        <v>-0.5956735058843492</v>
      </c>
    </row>
    <row r="210" spans="6:13" ht="18.75" customHeight="1">
      <c r="F210" s="1">
        <v>27729</v>
      </c>
      <c r="G210">
        <f t="shared" si="17"/>
        <v>12</v>
      </c>
      <c r="H210" s="7">
        <v>330.76</v>
      </c>
      <c r="I210" s="7">
        <f t="shared" si="16"/>
        <v>332.2454076253868</v>
      </c>
      <c r="J210" s="7">
        <f t="shared" si="18"/>
        <v>-1.4854076253868129</v>
      </c>
      <c r="K210" s="7" cm="1">
        <f t="array" ref="K210">INDEX(Sm,G210)</f>
        <v>-0.89132446529561371</v>
      </c>
      <c r="L210" s="7">
        <f t="shared" si="19"/>
        <v>331.35408316009119</v>
      </c>
      <c r="M210" s="7">
        <f t="shared" si="20"/>
        <v>-0.59408316009120199</v>
      </c>
    </row>
    <row r="211" spans="6:13" ht="18.75" customHeight="1">
      <c r="F211" s="1">
        <v>27760</v>
      </c>
      <c r="G211">
        <f t="shared" si="17"/>
        <v>1</v>
      </c>
      <c r="H211" s="7">
        <v>331.75</v>
      </c>
      <c r="I211" s="7">
        <f t="shared" si="16"/>
        <v>332.3495172127565</v>
      </c>
      <c r="J211" s="7">
        <f t="shared" si="18"/>
        <v>-0.59951721275649561</v>
      </c>
      <c r="K211" s="7" cm="1">
        <f t="array" ref="K211">INDEX(Sm,G211)</f>
        <v>6.1040869584970889E-2</v>
      </c>
      <c r="L211" s="7">
        <f t="shared" si="19"/>
        <v>332.41055808234148</v>
      </c>
      <c r="M211" s="7">
        <f t="shared" si="20"/>
        <v>-0.66055808234148117</v>
      </c>
    </row>
    <row r="212" spans="6:13" ht="18.75" customHeight="1">
      <c r="F212" s="1">
        <v>27791</v>
      </c>
      <c r="G212">
        <f t="shared" si="17"/>
        <v>2</v>
      </c>
      <c r="H212" s="7">
        <v>332.57</v>
      </c>
      <c r="I212" s="7">
        <f t="shared" si="16"/>
        <v>332.45381524705749</v>
      </c>
      <c r="J212" s="7">
        <f t="shared" si="18"/>
        <v>0.11618475294250175</v>
      </c>
      <c r="K212" s="7" cm="1">
        <f t="array" ref="K212">INDEX(Sm,G212)</f>
        <v>0.69421564520236412</v>
      </c>
      <c r="L212" s="7">
        <f t="shared" si="19"/>
        <v>333.14803089225984</v>
      </c>
      <c r="M212" s="7">
        <f t="shared" si="20"/>
        <v>-0.5780308922598465</v>
      </c>
    </row>
    <row r="213" spans="6:13" ht="18.75" customHeight="1">
      <c r="F213" s="1">
        <v>27820</v>
      </c>
      <c r="G213">
        <f t="shared" si="17"/>
        <v>3</v>
      </c>
      <c r="H213" s="7">
        <v>333.5</v>
      </c>
      <c r="I213" s="7">
        <f t="shared" si="16"/>
        <v>332.55155497824046</v>
      </c>
      <c r="J213" s="7">
        <f t="shared" si="18"/>
        <v>0.94844502175953949</v>
      </c>
      <c r="K213" s="7" cm="1">
        <f t="array" ref="K213">INDEX(Sm,G213)</f>
        <v>1.3733706304072995</v>
      </c>
      <c r="L213" s="7">
        <f t="shared" si="19"/>
        <v>333.92492560864775</v>
      </c>
      <c r="M213" s="7">
        <f t="shared" si="20"/>
        <v>-0.42492560864775442</v>
      </c>
    </row>
    <row r="214" spans="6:13" ht="18.75" customHeight="1">
      <c r="F214" s="1">
        <v>27851</v>
      </c>
      <c r="G214">
        <f t="shared" si="17"/>
        <v>4</v>
      </c>
      <c r="H214" s="7">
        <v>334.58</v>
      </c>
      <c r="I214" s="7">
        <f t="shared" si="16"/>
        <v>332.65621774853753</v>
      </c>
      <c r="J214" s="7">
        <f t="shared" si="18"/>
        <v>1.9237822514624554</v>
      </c>
      <c r="K214" s="7" cm="1">
        <f t="array" ref="K214">INDEX(Sm,G214)</f>
        <v>2.6099183412742755</v>
      </c>
      <c r="L214" s="7">
        <f t="shared" si="19"/>
        <v>335.26613608981182</v>
      </c>
      <c r="M214" s="7">
        <f t="shared" si="20"/>
        <v>-0.68613608981183916</v>
      </c>
    </row>
    <row r="215" spans="6:13" ht="18.75" customHeight="1">
      <c r="F215" s="1">
        <v>27881</v>
      </c>
      <c r="G215">
        <f t="shared" si="17"/>
        <v>5</v>
      </c>
      <c r="H215" s="7">
        <v>334.88</v>
      </c>
      <c r="I215" s="7">
        <f t="shared" si="16"/>
        <v>332.75768372701657</v>
      </c>
      <c r="J215" s="7">
        <f t="shared" si="18"/>
        <v>2.1223162729834257</v>
      </c>
      <c r="K215" s="7" cm="1">
        <f t="array" ref="K215">INDEX(Sm,G215)</f>
        <v>3.065291801195754</v>
      </c>
      <c r="L215" s="7">
        <f t="shared" si="19"/>
        <v>335.82297552821234</v>
      </c>
      <c r="M215" s="7">
        <f t="shared" si="20"/>
        <v>-0.94297552821234376</v>
      </c>
    </row>
    <row r="216" spans="6:13" ht="18.75" customHeight="1">
      <c r="F216" s="1">
        <v>27912</v>
      </c>
      <c r="G216">
        <f t="shared" si="17"/>
        <v>6</v>
      </c>
      <c r="H216" s="7">
        <v>334.33</v>
      </c>
      <c r="I216" s="7">
        <f t="shared" si="16"/>
        <v>332.86271731224298</v>
      </c>
      <c r="J216" s="7">
        <f t="shared" si="18"/>
        <v>1.467282687757006</v>
      </c>
      <c r="K216" s="7" cm="1">
        <f t="array" ref="K216">INDEX(Sm,G216)</f>
        <v>2.3463851222642056</v>
      </c>
      <c r="L216" s="7">
        <f t="shared" si="19"/>
        <v>335.2091024345072</v>
      </c>
      <c r="M216" s="7">
        <f t="shared" si="20"/>
        <v>-0.87910243450721737</v>
      </c>
    </row>
    <row r="217" spans="6:13" ht="18.75" customHeight="1">
      <c r="F217" s="1">
        <v>27942</v>
      </c>
      <c r="G217">
        <f t="shared" si="17"/>
        <v>7</v>
      </c>
      <c r="H217" s="7">
        <v>333.05</v>
      </c>
      <c r="I217" s="7">
        <f t="shared" si="16"/>
        <v>332.9645421438795</v>
      </c>
      <c r="J217" s="7">
        <f t="shared" si="18"/>
        <v>8.5457856120513043E-2</v>
      </c>
      <c r="K217" s="7" cm="1">
        <f t="array" ref="K217">INDEX(Sm,G217)</f>
        <v>0.72334113060077332</v>
      </c>
      <c r="L217" s="7">
        <f t="shared" si="19"/>
        <v>333.68788327448027</v>
      </c>
      <c r="M217" s="7">
        <f t="shared" si="20"/>
        <v>-0.63788327448025939</v>
      </c>
    </row>
    <row r="218" spans="6:13" ht="18.75" customHeight="1">
      <c r="F218" s="1">
        <v>27973</v>
      </c>
      <c r="G218">
        <f t="shared" si="17"/>
        <v>8</v>
      </c>
      <c r="H218" s="7">
        <v>330.94</v>
      </c>
      <c r="I218" s="7">
        <f t="shared" si="16"/>
        <v>333.06994654403525</v>
      </c>
      <c r="J218" s="7">
        <f t="shared" si="18"/>
        <v>-2.1299465440352492</v>
      </c>
      <c r="K218" s="7" cm="1">
        <f t="array" ref="K218">INDEX(Sm,G218)</f>
        <v>-1.3975570061157723</v>
      </c>
      <c r="L218" s="7">
        <f t="shared" si="19"/>
        <v>331.67238953791946</v>
      </c>
      <c r="M218" s="7">
        <f t="shared" si="20"/>
        <v>-0.7323895379194596</v>
      </c>
    </row>
    <row r="219" spans="6:13" ht="18.75" customHeight="1">
      <c r="F219" s="1">
        <v>28004</v>
      </c>
      <c r="G219">
        <f t="shared" si="17"/>
        <v>9</v>
      </c>
      <c r="H219" s="7">
        <v>329.3</v>
      </c>
      <c r="I219" s="7">
        <f t="shared" si="16"/>
        <v>333.17553939112224</v>
      </c>
      <c r="J219" s="7">
        <f t="shared" si="18"/>
        <v>-3.8755393911222313</v>
      </c>
      <c r="K219" s="7" cm="1">
        <f t="array" ref="K219">INDEX(Sm,G219)</f>
        <v>-3.1934822994410497</v>
      </c>
      <c r="L219" s="7">
        <f t="shared" si="19"/>
        <v>329.98205709168121</v>
      </c>
      <c r="M219" s="7">
        <f t="shared" si="20"/>
        <v>-0.68205709168120165</v>
      </c>
    </row>
    <row r="220" spans="6:13" ht="18.75" customHeight="1">
      <c r="F220" s="1">
        <v>28034</v>
      </c>
      <c r="G220">
        <f t="shared" si="17"/>
        <v>10</v>
      </c>
      <c r="H220" s="7">
        <v>328.94</v>
      </c>
      <c r="I220" s="7">
        <f t="shared" si="16"/>
        <v>333.27790544391422</v>
      </c>
      <c r="J220" s="7">
        <f t="shared" si="18"/>
        <v>-4.3379054439142237</v>
      </c>
      <c r="K220" s="7" cm="1">
        <f t="array" ref="K220">INDEX(Sm,G220)</f>
        <v>-3.3368150874962788</v>
      </c>
      <c r="L220" s="7">
        <f t="shared" si="19"/>
        <v>329.94109035641793</v>
      </c>
      <c r="M220" s="7">
        <f t="shared" si="20"/>
        <v>-1.001090356417933</v>
      </c>
    </row>
    <row r="221" spans="6:13" ht="18.75" customHeight="1">
      <c r="F221" s="1">
        <v>28065</v>
      </c>
      <c r="G221">
        <f t="shared" si="17"/>
        <v>11</v>
      </c>
      <c r="H221" s="7">
        <v>330.31</v>
      </c>
      <c r="I221" s="7">
        <f t="shared" si="16"/>
        <v>333.38386910593061</v>
      </c>
      <c r="J221" s="7">
        <f t="shared" si="18"/>
        <v>-3.073869105930612</v>
      </c>
      <c r="K221" s="7" cm="1">
        <f t="array" ref="K221">INDEX(Sm,G221)</f>
        <v>-2.0591623324975612</v>
      </c>
      <c r="L221" s="7">
        <f t="shared" si="19"/>
        <v>331.32470677343304</v>
      </c>
      <c r="M221" s="7">
        <f t="shared" si="20"/>
        <v>-1.0147067734330335</v>
      </c>
    </row>
    <row r="222" spans="6:13" ht="18.75" customHeight="1">
      <c r="F222" s="1">
        <v>28095</v>
      </c>
      <c r="G222">
        <f t="shared" si="17"/>
        <v>12</v>
      </c>
      <c r="H222" s="7">
        <v>331.68</v>
      </c>
      <c r="I222" s="7">
        <f t="shared" si="16"/>
        <v>333.48659401187996</v>
      </c>
      <c r="J222" s="7">
        <f t="shared" si="18"/>
        <v>-1.8065940118799517</v>
      </c>
      <c r="K222" s="7" cm="1">
        <f t="array" ref="K222">INDEX(Sm,G222)</f>
        <v>-0.89132446529561371</v>
      </c>
      <c r="L222" s="7">
        <f t="shared" si="19"/>
        <v>332.59526954658435</v>
      </c>
      <c r="M222" s="7">
        <f t="shared" si="20"/>
        <v>-0.91526954658434079</v>
      </c>
    </row>
    <row r="223" spans="6:13" ht="18.75" customHeight="1">
      <c r="F223" s="1">
        <v>28126</v>
      </c>
      <c r="G223">
        <f t="shared" si="17"/>
        <v>1</v>
      </c>
      <c r="H223" s="7">
        <v>332.93</v>
      </c>
      <c r="I223" s="7">
        <f t="shared" si="16"/>
        <v>333.59292848882569</v>
      </c>
      <c r="J223" s="7">
        <f t="shared" si="18"/>
        <v>-0.66292848882568478</v>
      </c>
      <c r="K223" s="7" cm="1">
        <f t="array" ref="K223">INDEX(Sm,G223)</f>
        <v>6.1040869584970889E-2</v>
      </c>
      <c r="L223" s="7">
        <f t="shared" si="19"/>
        <v>333.65396935841068</v>
      </c>
      <c r="M223" s="7">
        <f t="shared" si="20"/>
        <v>-0.72396935841067034</v>
      </c>
    </row>
    <row r="224" spans="6:13" ht="18.75" customHeight="1">
      <c r="F224" s="1">
        <v>28157</v>
      </c>
      <c r="G224">
        <f t="shared" si="17"/>
        <v>2</v>
      </c>
      <c r="H224" s="7">
        <v>333.42</v>
      </c>
      <c r="I224" s="7">
        <f t="shared" si="16"/>
        <v>333.69945141270267</v>
      </c>
      <c r="J224" s="7">
        <f t="shared" si="18"/>
        <v>-0.27945141270265594</v>
      </c>
      <c r="K224" s="7" cm="1">
        <f t="array" ref="K224">INDEX(Sm,G224)</f>
        <v>0.69421564520236412</v>
      </c>
      <c r="L224" s="7">
        <f t="shared" si="19"/>
        <v>334.39366705790502</v>
      </c>
      <c r="M224" s="7">
        <f t="shared" si="20"/>
        <v>-0.97366705790500419</v>
      </c>
    </row>
    <row r="225" spans="6:13" ht="18.75" customHeight="1">
      <c r="F225" s="1">
        <v>28185</v>
      </c>
      <c r="G225">
        <f t="shared" si="17"/>
        <v>3</v>
      </c>
      <c r="H225" s="7">
        <v>334.7</v>
      </c>
      <c r="I225" s="7">
        <f t="shared" si="16"/>
        <v>333.79582764068448</v>
      </c>
      <c r="J225" s="7">
        <f t="shared" si="18"/>
        <v>0.90417235931550977</v>
      </c>
      <c r="K225" s="7" cm="1">
        <f t="array" ref="K225">INDEX(Sm,G225)</f>
        <v>1.3733706304072995</v>
      </c>
      <c r="L225" s="7">
        <f t="shared" si="19"/>
        <v>335.16919827109177</v>
      </c>
      <c r="M225" s="7">
        <f t="shared" si="20"/>
        <v>-0.46919827109178414</v>
      </c>
    </row>
    <row r="226" spans="6:13" ht="18.75" customHeight="1">
      <c r="F226" s="1">
        <v>28216</v>
      </c>
      <c r="G226">
        <f t="shared" si="17"/>
        <v>4</v>
      </c>
      <c r="H226" s="7">
        <v>336.07</v>
      </c>
      <c r="I226" s="7">
        <f t="shared" si="16"/>
        <v>333.90270922162426</v>
      </c>
      <c r="J226" s="7">
        <f t="shared" si="18"/>
        <v>2.1672907783757296</v>
      </c>
      <c r="K226" s="7" cm="1">
        <f t="array" ref="K226">INDEX(Sm,G226)</f>
        <v>2.6099183412742755</v>
      </c>
      <c r="L226" s="7">
        <f t="shared" si="19"/>
        <v>336.51262756289856</v>
      </c>
      <c r="M226" s="7">
        <f t="shared" si="20"/>
        <v>-0.44262756289856497</v>
      </c>
    </row>
    <row r="227" spans="6:13" ht="18.75" customHeight="1">
      <c r="F227" s="1">
        <v>28246</v>
      </c>
      <c r="G227">
        <f t="shared" si="17"/>
        <v>5</v>
      </c>
      <c r="H227" s="7">
        <v>336.75</v>
      </c>
      <c r="I227" s="7">
        <f t="shared" si="16"/>
        <v>334.00632243620919</v>
      </c>
      <c r="J227" s="7">
        <f t="shared" si="18"/>
        <v>2.7436775637908113</v>
      </c>
      <c r="K227" s="7" cm="1">
        <f t="array" ref="K227">INDEX(Sm,G227)</f>
        <v>3.065291801195754</v>
      </c>
      <c r="L227" s="7">
        <f t="shared" si="19"/>
        <v>337.07161423740496</v>
      </c>
      <c r="M227" s="7">
        <f t="shared" si="20"/>
        <v>-0.3216142374049582</v>
      </c>
    </row>
    <row r="228" spans="6:13" ht="18.75" customHeight="1">
      <c r="F228" s="1">
        <v>28277</v>
      </c>
      <c r="G228">
        <f t="shared" si="17"/>
        <v>6</v>
      </c>
      <c r="H228" s="7">
        <v>336.27</v>
      </c>
      <c r="I228" s="7">
        <f t="shared" si="16"/>
        <v>334.11357483207831</v>
      </c>
      <c r="J228" s="7">
        <f t="shared" si="18"/>
        <v>2.1564251679216682</v>
      </c>
      <c r="K228" s="7" cm="1">
        <f t="array" ref="K228">INDEX(Sm,G228)</f>
        <v>2.3463851222642056</v>
      </c>
      <c r="L228" s="7">
        <f t="shared" si="19"/>
        <v>336.45995995434254</v>
      </c>
      <c r="M228" s="7">
        <f t="shared" si="20"/>
        <v>-0.18995995434255519</v>
      </c>
    </row>
    <row r="229" spans="6:13" ht="18.75" customHeight="1">
      <c r="F229" s="1">
        <v>28307</v>
      </c>
      <c r="G229">
        <f t="shared" si="17"/>
        <v>7</v>
      </c>
      <c r="H229" s="7">
        <v>334.92</v>
      </c>
      <c r="I229" s="7">
        <f t="shared" si="16"/>
        <v>334.21754689982072</v>
      </c>
      <c r="J229" s="7">
        <f t="shared" si="18"/>
        <v>0.70245310017929796</v>
      </c>
      <c r="K229" s="7" cm="1">
        <f t="array" ref="K229">INDEX(Sm,G229)</f>
        <v>0.72334113060077332</v>
      </c>
      <c r="L229" s="7">
        <f t="shared" si="19"/>
        <v>334.94088803042149</v>
      </c>
      <c r="M229" s="7">
        <f t="shared" si="20"/>
        <v>-2.0888030421474468E-2</v>
      </c>
    </row>
    <row r="230" spans="6:13" ht="18.75" customHeight="1">
      <c r="F230" s="1">
        <v>28338</v>
      </c>
      <c r="G230">
        <f t="shared" si="17"/>
        <v>8</v>
      </c>
      <c r="H230" s="7">
        <v>332.75</v>
      </c>
      <c r="I230" s="7">
        <f t="shared" si="16"/>
        <v>334.32517011061918</v>
      </c>
      <c r="J230" s="7">
        <f t="shared" si="18"/>
        <v>-1.5751701106191831</v>
      </c>
      <c r="K230" s="7" cm="1">
        <f t="array" ref="K230">INDEX(Sm,G230)</f>
        <v>-1.3975570061157723</v>
      </c>
      <c r="L230" s="7">
        <f t="shared" si="19"/>
        <v>332.92761310450339</v>
      </c>
      <c r="M230" s="7">
        <f t="shared" si="20"/>
        <v>-0.17761310450339352</v>
      </c>
    </row>
    <row r="231" spans="6:13" ht="18.75" customHeight="1">
      <c r="F231" s="1">
        <v>28369</v>
      </c>
      <c r="G231">
        <f t="shared" si="17"/>
        <v>9</v>
      </c>
      <c r="H231" s="7">
        <v>331.59</v>
      </c>
      <c r="I231" s="7">
        <f t="shared" si="16"/>
        <v>334.43298176834895</v>
      </c>
      <c r="J231" s="7">
        <f t="shared" si="18"/>
        <v>-2.8429817683489773</v>
      </c>
      <c r="K231" s="7" cm="1">
        <f t="array" ref="K231">INDEX(Sm,G231)</f>
        <v>-3.1934822994410497</v>
      </c>
      <c r="L231" s="7">
        <f t="shared" si="19"/>
        <v>331.23949946890792</v>
      </c>
      <c r="M231" s="7">
        <f t="shared" si="20"/>
        <v>0.35050053109205237</v>
      </c>
    </row>
    <row r="232" spans="6:13" ht="18.75" customHeight="1">
      <c r="F232" s="1">
        <v>28399</v>
      </c>
      <c r="G232">
        <f t="shared" si="17"/>
        <v>10</v>
      </c>
      <c r="H232" s="7">
        <v>331.16</v>
      </c>
      <c r="I232" s="7">
        <f t="shared" si="16"/>
        <v>334.53749505724676</v>
      </c>
      <c r="J232" s="7">
        <f t="shared" si="18"/>
        <v>-3.3774950572467333</v>
      </c>
      <c r="K232" s="7" cm="1">
        <f t="array" ref="K232">INDEX(Sm,G232)</f>
        <v>-3.3368150874962788</v>
      </c>
      <c r="L232" s="7">
        <f t="shared" si="19"/>
        <v>331.20067996975047</v>
      </c>
      <c r="M232" s="7">
        <f t="shared" si="20"/>
        <v>-4.0679969750442524E-2</v>
      </c>
    </row>
    <row r="233" spans="6:13" ht="18.75" customHeight="1">
      <c r="F233" s="1">
        <v>28430</v>
      </c>
      <c r="G233">
        <f t="shared" si="17"/>
        <v>11</v>
      </c>
      <c r="H233" s="7">
        <v>332.4</v>
      </c>
      <c r="I233" s="7">
        <f t="shared" si="16"/>
        <v>334.64567752990587</v>
      </c>
      <c r="J233" s="7">
        <f t="shared" si="18"/>
        <v>-2.2456775299058904</v>
      </c>
      <c r="K233" s="7" cm="1">
        <f t="array" ref="K233">INDEX(Sm,G233)</f>
        <v>-2.0591623324975612</v>
      </c>
      <c r="L233" s="7">
        <f t="shared" si="19"/>
        <v>332.58651519740829</v>
      </c>
      <c r="M233" s="7">
        <f t="shared" si="20"/>
        <v>-0.18651519740831191</v>
      </c>
    </row>
    <row r="234" spans="6:13" ht="18.75" customHeight="1">
      <c r="F234" s="1">
        <v>28460</v>
      </c>
      <c r="G234">
        <f t="shared" si="17"/>
        <v>12</v>
      </c>
      <c r="H234" s="7">
        <v>333.85</v>
      </c>
      <c r="I234" s="7">
        <f t="shared" si="16"/>
        <v>334.7505496719611</v>
      </c>
      <c r="J234" s="7">
        <f t="shared" si="18"/>
        <v>-0.90054967196107327</v>
      </c>
      <c r="K234" s="7" cm="1">
        <f t="array" ref="K234">INDEX(Sm,G234)</f>
        <v>-0.89132446529561371</v>
      </c>
      <c r="L234" s="7">
        <f t="shared" si="19"/>
        <v>333.85922520666549</v>
      </c>
      <c r="M234" s="7">
        <f t="shared" si="20"/>
        <v>-9.2252066654623377E-3</v>
      </c>
    </row>
    <row r="235" spans="6:13" ht="18.75" customHeight="1">
      <c r="F235" s="1">
        <v>28491</v>
      </c>
      <c r="G235">
        <f t="shared" si="17"/>
        <v>1</v>
      </c>
      <c r="H235" s="7">
        <v>334.97</v>
      </c>
      <c r="I235" s="7">
        <f t="shared" si="16"/>
        <v>334.85910295954955</v>
      </c>
      <c r="J235" s="7">
        <f t="shared" si="18"/>
        <v>0.11089704045048165</v>
      </c>
      <c r="K235" s="7" cm="1">
        <f t="array" ref="K235">INDEX(Sm,G235)</f>
        <v>6.1040869584970889E-2</v>
      </c>
      <c r="L235" s="7">
        <f t="shared" si="19"/>
        <v>334.92014382913453</v>
      </c>
      <c r="M235" s="7">
        <f t="shared" si="20"/>
        <v>4.9856170865496097E-2</v>
      </c>
    </row>
    <row r="236" spans="6:13" ht="18.75" customHeight="1">
      <c r="F236" s="1">
        <v>28522</v>
      </c>
      <c r="G236">
        <f t="shared" si="17"/>
        <v>2</v>
      </c>
      <c r="H236" s="7">
        <v>335.39</v>
      </c>
      <c r="I236" s="7">
        <f t="shared" si="16"/>
        <v>334.96784469406924</v>
      </c>
      <c r="J236" s="7">
        <f t="shared" si="18"/>
        <v>0.42215530593074391</v>
      </c>
      <c r="K236" s="7" cm="1">
        <f t="array" ref="K236">INDEX(Sm,G236)</f>
        <v>0.69421564520236412</v>
      </c>
      <c r="L236" s="7">
        <f t="shared" si="19"/>
        <v>335.66206033927159</v>
      </c>
      <c r="M236" s="7">
        <f t="shared" si="20"/>
        <v>-0.27206033927160433</v>
      </c>
    </row>
    <row r="237" spans="6:13" ht="18.75" customHeight="1">
      <c r="F237" s="1">
        <v>28550</v>
      </c>
      <c r="G237">
        <f t="shared" si="17"/>
        <v>3</v>
      </c>
      <c r="H237" s="7">
        <v>336.64</v>
      </c>
      <c r="I237" s="7">
        <f t="shared" si="16"/>
        <v>335.06622500908315</v>
      </c>
      <c r="J237" s="7">
        <f t="shared" si="18"/>
        <v>1.5737749909168315</v>
      </c>
      <c r="K237" s="7" cm="1">
        <f t="array" ref="K237">INDEX(Sm,G237)</f>
        <v>1.3733706304072995</v>
      </c>
      <c r="L237" s="7">
        <f t="shared" si="19"/>
        <v>336.43959563949045</v>
      </c>
      <c r="M237" s="7">
        <f t="shared" si="20"/>
        <v>0.20040436050953758</v>
      </c>
    </row>
    <row r="238" spans="6:13" ht="18.75" customHeight="1">
      <c r="F238" s="1">
        <v>28581</v>
      </c>
      <c r="G238">
        <f t="shared" si="17"/>
        <v>4</v>
      </c>
      <c r="H238" s="7">
        <v>337.76</v>
      </c>
      <c r="I238" s="7">
        <f t="shared" si="16"/>
        <v>335.17532540066571</v>
      </c>
      <c r="J238" s="7">
        <f t="shared" si="18"/>
        <v>2.5846745993342779</v>
      </c>
      <c r="K238" s="7" cm="1">
        <f t="array" ref="K238">INDEX(Sm,G238)</f>
        <v>2.6099183412742755</v>
      </c>
      <c r="L238" s="7">
        <f t="shared" si="19"/>
        <v>337.78524374194001</v>
      </c>
      <c r="M238" s="7">
        <f t="shared" si="20"/>
        <v>-2.5243741940016662E-2</v>
      </c>
    </row>
    <row r="239" spans="6:13" ht="18.75" customHeight="1">
      <c r="F239" s="1">
        <v>28611</v>
      </c>
      <c r="G239">
        <f t="shared" si="17"/>
        <v>5</v>
      </c>
      <c r="H239" s="7">
        <v>338.01</v>
      </c>
      <c r="I239" s="7">
        <f t="shared" si="16"/>
        <v>335.28108585135652</v>
      </c>
      <c r="J239" s="7">
        <f t="shared" si="18"/>
        <v>2.7289141486434687</v>
      </c>
      <c r="K239" s="7" cm="1">
        <f t="array" ref="K239">INDEX(Sm,G239)</f>
        <v>3.065291801195754</v>
      </c>
      <c r="L239" s="7">
        <f t="shared" si="19"/>
        <v>338.34637765255229</v>
      </c>
      <c r="M239" s="7">
        <f t="shared" si="20"/>
        <v>-0.33637765255230079</v>
      </c>
    </row>
    <row r="240" spans="6:13" ht="18.75" customHeight="1">
      <c r="F240" s="1">
        <v>28642</v>
      </c>
      <c r="G240">
        <f t="shared" si="17"/>
        <v>6</v>
      </c>
      <c r="H240" s="7">
        <v>337.9</v>
      </c>
      <c r="I240" s="7">
        <f t="shared" si="16"/>
        <v>335.39055705786836</v>
      </c>
      <c r="J240" s="7">
        <f t="shared" si="18"/>
        <v>2.5094429421316136</v>
      </c>
      <c r="K240" s="7" cm="1">
        <f t="array" ref="K240">INDEX(Sm,G240)</f>
        <v>2.3463851222642056</v>
      </c>
      <c r="L240" s="7">
        <f t="shared" si="19"/>
        <v>337.73694218013259</v>
      </c>
      <c r="M240" s="7">
        <f t="shared" si="20"/>
        <v>0.16305781986739021</v>
      </c>
    </row>
    <row r="241" spans="6:13" ht="18.75" customHeight="1">
      <c r="F241" s="1">
        <v>28672</v>
      </c>
      <c r="G241">
        <f t="shared" si="17"/>
        <v>7</v>
      </c>
      <c r="H241" s="7">
        <v>336.54</v>
      </c>
      <c r="I241" s="7">
        <f t="shared" si="16"/>
        <v>335.49667636171665</v>
      </c>
      <c r="J241" s="7">
        <f t="shared" si="18"/>
        <v>1.0433236382833684</v>
      </c>
      <c r="K241" s="7" cm="1">
        <f t="array" ref="K241">INDEX(Sm,G241)</f>
        <v>0.72334113060077332</v>
      </c>
      <c r="L241" s="7">
        <f t="shared" si="19"/>
        <v>336.22001749231742</v>
      </c>
      <c r="M241" s="7">
        <f t="shared" si="20"/>
        <v>0.31998250768259595</v>
      </c>
    </row>
    <row r="242" spans="6:13" ht="18.75" customHeight="1">
      <c r="F242" s="1">
        <v>28703</v>
      </c>
      <c r="G242">
        <f t="shared" si="17"/>
        <v>8</v>
      </c>
      <c r="H242" s="7">
        <v>334.68</v>
      </c>
      <c r="I242" s="7">
        <f t="shared" si="16"/>
        <v>335.60651838315783</v>
      </c>
      <c r="J242" s="7">
        <f t="shared" si="18"/>
        <v>-0.92651838315782697</v>
      </c>
      <c r="K242" s="7" cm="1">
        <f t="array" ref="K242">INDEX(Sm,G242)</f>
        <v>-1.3975570061157723</v>
      </c>
      <c r="L242" s="7">
        <f t="shared" si="19"/>
        <v>334.20896137704204</v>
      </c>
      <c r="M242" s="7">
        <f t="shared" si="20"/>
        <v>0.47103862295796262</v>
      </c>
    </row>
    <row r="243" spans="6:13" ht="18.75" customHeight="1">
      <c r="F243" s="1">
        <v>28734</v>
      </c>
      <c r="G243">
        <f t="shared" si="17"/>
        <v>9</v>
      </c>
      <c r="H243" s="7">
        <v>332.76</v>
      </c>
      <c r="I243" s="7">
        <f t="shared" si="16"/>
        <v>335.71654885153032</v>
      </c>
      <c r="J243" s="7">
        <f t="shared" si="18"/>
        <v>-2.9565488515303286</v>
      </c>
      <c r="K243" s="7" cm="1">
        <f t="array" ref="K243">INDEX(Sm,G243)</f>
        <v>-3.1934822994410497</v>
      </c>
      <c r="L243" s="7">
        <f t="shared" si="19"/>
        <v>332.52306655208929</v>
      </c>
      <c r="M243" s="7">
        <f t="shared" si="20"/>
        <v>0.23693344791070103</v>
      </c>
    </row>
    <row r="244" spans="6:13" ht="18.75" customHeight="1">
      <c r="F244" s="1">
        <v>28764</v>
      </c>
      <c r="G244">
        <f t="shared" si="17"/>
        <v>10</v>
      </c>
      <c r="H244" s="7">
        <v>332.55</v>
      </c>
      <c r="I244" s="7">
        <f t="shared" si="16"/>
        <v>335.82320937653401</v>
      </c>
      <c r="J244" s="7">
        <f t="shared" si="18"/>
        <v>-3.2732093765339982</v>
      </c>
      <c r="K244" s="7" cm="1">
        <f t="array" ref="K244">INDEX(Sm,G244)</f>
        <v>-3.3368150874962788</v>
      </c>
      <c r="L244" s="7">
        <f t="shared" si="19"/>
        <v>332.48639428903772</v>
      </c>
      <c r="M244" s="7">
        <f t="shared" si="20"/>
        <v>6.3605710962292505E-2</v>
      </c>
    </row>
    <row r="245" spans="6:13" ht="18.75" customHeight="1">
      <c r="F245" s="1">
        <v>28795</v>
      </c>
      <c r="G245">
        <f t="shared" si="17"/>
        <v>11</v>
      </c>
      <c r="H245" s="7">
        <v>333.92</v>
      </c>
      <c r="I245" s="7">
        <f t="shared" si="16"/>
        <v>335.93361065983584</v>
      </c>
      <c r="J245" s="7">
        <f t="shared" si="18"/>
        <v>-2.0136106598358197</v>
      </c>
      <c r="K245" s="7" cm="1">
        <f t="array" ref="K245">INDEX(Sm,G245)</f>
        <v>-2.0591623324975612</v>
      </c>
      <c r="L245" s="7">
        <f t="shared" si="19"/>
        <v>333.87444832733826</v>
      </c>
      <c r="M245" s="7">
        <f t="shared" si="20"/>
        <v>4.5551672661758857E-2</v>
      </c>
    </row>
    <row r="246" spans="6:13" ht="18.75" customHeight="1">
      <c r="F246" s="1">
        <v>28825</v>
      </c>
      <c r="G246">
        <f t="shared" si="17"/>
        <v>12</v>
      </c>
      <c r="H246" s="7">
        <v>334.95</v>
      </c>
      <c r="I246" s="7">
        <f t="shared" si="16"/>
        <v>336.04063003799695</v>
      </c>
      <c r="J246" s="7">
        <f t="shared" si="18"/>
        <v>-1.0906300379969593</v>
      </c>
      <c r="K246" s="7" cm="1">
        <f t="array" ref="K246">INDEX(Sm,G246)</f>
        <v>-0.89132446529561371</v>
      </c>
      <c r="L246" s="7">
        <f t="shared" si="19"/>
        <v>335.14930557270134</v>
      </c>
      <c r="M246" s="7">
        <f t="shared" si="20"/>
        <v>-0.19930557270134841</v>
      </c>
    </row>
    <row r="247" spans="6:13" ht="18.75" customHeight="1">
      <c r="F247" s="1">
        <v>28856</v>
      </c>
      <c r="G247">
        <f t="shared" si="17"/>
        <v>1</v>
      </c>
      <c r="H247" s="7">
        <v>336.23</v>
      </c>
      <c r="I247" s="7">
        <f t="shared" si="16"/>
        <v>336.15140213622811</v>
      </c>
      <c r="J247" s="7">
        <f t="shared" si="18"/>
        <v>7.8597863771904031E-2</v>
      </c>
      <c r="K247" s="7" cm="1">
        <f t="array" ref="K247">INDEX(Sm,G247)</f>
        <v>6.1040869584970889E-2</v>
      </c>
      <c r="L247" s="7">
        <f t="shared" si="19"/>
        <v>336.2124430058131</v>
      </c>
      <c r="M247" s="7">
        <f t="shared" si="20"/>
        <v>1.7556994186918473E-2</v>
      </c>
    </row>
    <row r="248" spans="6:13" ht="18.75" customHeight="1">
      <c r="F248" s="1">
        <v>28887</v>
      </c>
      <c r="G248">
        <f t="shared" si="17"/>
        <v>2</v>
      </c>
      <c r="H248" s="7">
        <v>336.76</v>
      </c>
      <c r="I248" s="7">
        <f t="shared" si="16"/>
        <v>336.26236268139053</v>
      </c>
      <c r="J248" s="7">
        <f t="shared" si="18"/>
        <v>0.49763731860946336</v>
      </c>
      <c r="K248" s="7" cm="1">
        <f t="array" ref="K248">INDEX(Sm,G248)</f>
        <v>0.69421564520236412</v>
      </c>
      <c r="L248" s="7">
        <f t="shared" si="19"/>
        <v>336.95657832659288</v>
      </c>
      <c r="M248" s="7">
        <f t="shared" si="20"/>
        <v>-0.19657832659288488</v>
      </c>
    </row>
    <row r="249" spans="6:13" ht="18.75" customHeight="1">
      <c r="F249" s="1">
        <v>28915</v>
      </c>
      <c r="G249">
        <f t="shared" si="17"/>
        <v>3</v>
      </c>
      <c r="H249" s="7">
        <v>337.96</v>
      </c>
      <c r="I249" s="7">
        <f t="shared" si="16"/>
        <v>336.3627470834366</v>
      </c>
      <c r="J249" s="7">
        <f t="shared" si="18"/>
        <v>1.5972529165633773</v>
      </c>
      <c r="K249" s="7" cm="1">
        <f t="array" ref="K249">INDEX(Sm,G249)</f>
        <v>1.3733706304072995</v>
      </c>
      <c r="L249" s="7">
        <f t="shared" si="19"/>
        <v>337.7361177138439</v>
      </c>
      <c r="M249" s="7">
        <f t="shared" si="20"/>
        <v>0.22388228615608341</v>
      </c>
    </row>
    <row r="250" spans="6:13" ht="18.75" customHeight="1">
      <c r="F250" s="1">
        <v>28946</v>
      </c>
      <c r="G250">
        <f t="shared" si="17"/>
        <v>4</v>
      </c>
      <c r="H250" s="7">
        <v>338.88</v>
      </c>
      <c r="I250" s="7">
        <f t="shared" si="16"/>
        <v>336.47406628566188</v>
      </c>
      <c r="J250" s="7">
        <f t="shared" si="18"/>
        <v>2.4059337143381185</v>
      </c>
      <c r="K250" s="7" cm="1">
        <f t="array" ref="K250">INDEX(Sm,G250)</f>
        <v>2.6099183412742755</v>
      </c>
      <c r="L250" s="7">
        <f t="shared" si="19"/>
        <v>339.08398462693617</v>
      </c>
      <c r="M250" s="7">
        <f t="shared" si="20"/>
        <v>-0.20398462693617603</v>
      </c>
    </row>
    <row r="251" spans="6:13" ht="18.75" customHeight="1">
      <c r="F251" s="1">
        <v>28976</v>
      </c>
      <c r="G251">
        <f t="shared" si="17"/>
        <v>5</v>
      </c>
      <c r="H251" s="7">
        <v>339.47</v>
      </c>
      <c r="I251" s="7">
        <f t="shared" si="16"/>
        <v>336.58197397245857</v>
      </c>
      <c r="J251" s="7">
        <f t="shared" si="18"/>
        <v>2.8880260275414571</v>
      </c>
      <c r="K251" s="7" cm="1">
        <f t="array" ref="K251">INDEX(Sm,G251)</f>
        <v>3.065291801195754</v>
      </c>
      <c r="L251" s="7">
        <f t="shared" si="19"/>
        <v>339.64726577365434</v>
      </c>
      <c r="M251" s="7">
        <f t="shared" si="20"/>
        <v>-0.1772657736543124</v>
      </c>
    </row>
    <row r="252" spans="6:13" ht="18.75" customHeight="1">
      <c r="F252" s="1">
        <v>29007</v>
      </c>
      <c r="G252">
        <f t="shared" si="17"/>
        <v>6</v>
      </c>
      <c r="H252" s="7">
        <v>339.29</v>
      </c>
      <c r="I252" s="7">
        <f t="shared" si="16"/>
        <v>336.69366398961313</v>
      </c>
      <c r="J252" s="7">
        <f t="shared" si="18"/>
        <v>2.5963360103868922</v>
      </c>
      <c r="K252" s="7" cm="1">
        <f t="array" ref="K252">INDEX(Sm,G252)</f>
        <v>2.3463851222642056</v>
      </c>
      <c r="L252" s="7">
        <f t="shared" si="19"/>
        <v>339.04004911187735</v>
      </c>
      <c r="M252" s="7">
        <f t="shared" si="20"/>
        <v>0.24995088812266886</v>
      </c>
    </row>
    <row r="253" spans="6:13" ht="18.75" customHeight="1">
      <c r="F253" s="1">
        <v>29037</v>
      </c>
      <c r="G253">
        <f t="shared" si="17"/>
        <v>7</v>
      </c>
      <c r="H253" s="7">
        <v>337.73</v>
      </c>
      <c r="I253" s="7">
        <f t="shared" si="16"/>
        <v>336.80193052956724</v>
      </c>
      <c r="J253" s="7">
        <f t="shared" si="18"/>
        <v>0.92806947043277432</v>
      </c>
      <c r="K253" s="7" cm="1">
        <f t="array" ref="K253">INDEX(Sm,G253)</f>
        <v>0.72334113060077332</v>
      </c>
      <c r="L253" s="7">
        <f t="shared" si="19"/>
        <v>337.52527166016802</v>
      </c>
      <c r="M253" s="7">
        <f t="shared" si="20"/>
        <v>0.20472833983200189</v>
      </c>
    </row>
    <row r="254" spans="6:13" ht="18.75" customHeight="1">
      <c r="F254" s="1">
        <v>29068</v>
      </c>
      <c r="G254">
        <f t="shared" si="17"/>
        <v>8</v>
      </c>
      <c r="H254" s="7">
        <v>336.09</v>
      </c>
      <c r="I254" s="7">
        <f t="shared" si="16"/>
        <v>336.9139913616512</v>
      </c>
      <c r="J254" s="7">
        <f t="shared" si="18"/>
        <v>-0.823991361651224</v>
      </c>
      <c r="K254" s="7" cm="1">
        <f t="array" ref="K254">INDEX(Sm,G254)</f>
        <v>-1.3975570061157723</v>
      </c>
      <c r="L254" s="7">
        <f t="shared" si="19"/>
        <v>335.51643435553541</v>
      </c>
      <c r="M254" s="7">
        <f t="shared" si="20"/>
        <v>0.57356564446456559</v>
      </c>
    </row>
    <row r="255" spans="6:13" ht="18.75" customHeight="1">
      <c r="F255" s="1">
        <v>29099</v>
      </c>
      <c r="G255">
        <f t="shared" si="17"/>
        <v>9</v>
      </c>
      <c r="H255" s="7">
        <v>333.92</v>
      </c>
      <c r="I255" s="7">
        <f t="shared" si="16"/>
        <v>337.0262406406664</v>
      </c>
      <c r="J255" s="7">
        <f t="shared" si="18"/>
        <v>-3.1062406406663854</v>
      </c>
      <c r="K255" s="7" cm="1">
        <f t="array" ref="K255">INDEX(Sm,G255)</f>
        <v>-3.1934822994410497</v>
      </c>
      <c r="L255" s="7">
        <f t="shared" si="19"/>
        <v>333.83275834122537</v>
      </c>
      <c r="M255" s="7">
        <f t="shared" si="20"/>
        <v>8.7241658774644293E-2</v>
      </c>
    </row>
    <row r="256" spans="6:13" ht="18.75" customHeight="1">
      <c r="F256" s="1">
        <v>29129</v>
      </c>
      <c r="G256">
        <f t="shared" si="17"/>
        <v>10</v>
      </c>
      <c r="H256" s="7">
        <v>333.86</v>
      </c>
      <c r="I256" s="7">
        <f t="shared" si="16"/>
        <v>337.13504840177598</v>
      </c>
      <c r="J256" s="7">
        <f t="shared" si="18"/>
        <v>-3.2750484017759618</v>
      </c>
      <c r="K256" s="7" cm="1">
        <f t="array" ref="K256">INDEX(Sm,G256)</f>
        <v>-3.3368150874962788</v>
      </c>
      <c r="L256" s="7">
        <f t="shared" si="19"/>
        <v>333.79823331427968</v>
      </c>
      <c r="M256" s="7">
        <f t="shared" si="20"/>
        <v>6.1766685720328951E-2</v>
      </c>
    </row>
    <row r="257" spans="6:13" ht="18.75" customHeight="1">
      <c r="F257" s="1">
        <v>29160</v>
      </c>
      <c r="G257">
        <f t="shared" si="17"/>
        <v>11</v>
      </c>
      <c r="H257" s="7">
        <v>335.29</v>
      </c>
      <c r="I257" s="7">
        <f t="shared" si="16"/>
        <v>337.24766849572052</v>
      </c>
      <c r="J257" s="7">
        <f t="shared" si="18"/>
        <v>-1.9576684957204975</v>
      </c>
      <c r="K257" s="7" cm="1">
        <f t="array" ref="K257">INDEX(Sm,G257)</f>
        <v>-2.0591623324975612</v>
      </c>
      <c r="L257" s="7">
        <f t="shared" si="19"/>
        <v>335.18850616322294</v>
      </c>
      <c r="M257" s="7">
        <f t="shared" si="20"/>
        <v>0.10149383677708101</v>
      </c>
    </row>
    <row r="258" spans="6:13" ht="18.75" customHeight="1">
      <c r="F258" s="1">
        <v>29190</v>
      </c>
      <c r="G258">
        <f t="shared" si="17"/>
        <v>12</v>
      </c>
      <c r="H258" s="7">
        <v>336.73</v>
      </c>
      <c r="I258" s="7">
        <f t="shared" ref="I258:I321" si="21">_A*F258*F258+_B*F258+_C</f>
        <v>337.35683510998751</v>
      </c>
      <c r="J258" s="7">
        <f t="shared" si="18"/>
        <v>-0.62683510998749625</v>
      </c>
      <c r="K258" s="7" cm="1">
        <f t="array" ref="K258">INDEX(Sm,G258)</f>
        <v>-0.89132446529561371</v>
      </c>
      <c r="L258" s="7">
        <f t="shared" si="19"/>
        <v>336.4655106446919</v>
      </c>
      <c r="M258" s="7">
        <f t="shared" si="20"/>
        <v>0.26448935530811468</v>
      </c>
    </row>
    <row r="259" spans="6:13" ht="18.75" customHeight="1">
      <c r="F259" s="1">
        <v>29221</v>
      </c>
      <c r="G259">
        <f t="shared" ref="G259:G322" si="22">MONTH(F259)</f>
        <v>1</v>
      </c>
      <c r="H259" s="7">
        <v>338.01</v>
      </c>
      <c r="I259" s="7">
        <f t="shared" si="21"/>
        <v>337.4698260188614</v>
      </c>
      <c r="J259" s="7">
        <f t="shared" ref="J259:J322" si="23">H259-I259</f>
        <v>0.54017398113859372</v>
      </c>
      <c r="K259" s="7" cm="1">
        <f t="array" ref="K259">INDEX(Sm,G259)</f>
        <v>6.1040869584970889E-2</v>
      </c>
      <c r="L259" s="7">
        <f t="shared" ref="L259:L322" si="24">I259+K259</f>
        <v>337.53086688844638</v>
      </c>
      <c r="M259" s="7">
        <f t="shared" ref="M259:M322" si="25">H259-L259</f>
        <v>0.47913311155360816</v>
      </c>
    </row>
    <row r="260" spans="6:13" ht="18.75" customHeight="1">
      <c r="F260" s="1">
        <v>29252</v>
      </c>
      <c r="G260">
        <f t="shared" si="22"/>
        <v>2</v>
      </c>
      <c r="H260" s="7">
        <v>338.36</v>
      </c>
      <c r="I260" s="7">
        <f t="shared" si="21"/>
        <v>337.58300537466658</v>
      </c>
      <c r="J260" s="7">
        <f t="shared" si="23"/>
        <v>0.77699462533342967</v>
      </c>
      <c r="K260" s="7" cm="1">
        <f t="array" ref="K260">INDEX(Sm,G260)</f>
        <v>0.69421564520236412</v>
      </c>
      <c r="L260" s="7">
        <f t="shared" si="24"/>
        <v>338.27722101986893</v>
      </c>
      <c r="M260" s="7">
        <f t="shared" si="25"/>
        <v>8.2778980131081425E-2</v>
      </c>
    </row>
    <row r="261" spans="6:13" ht="18.75" customHeight="1">
      <c r="F261" s="1">
        <v>29281</v>
      </c>
      <c r="G261">
        <f t="shared" si="22"/>
        <v>3</v>
      </c>
      <c r="H261" s="7">
        <v>340.07</v>
      </c>
      <c r="I261" s="7">
        <f t="shared" si="21"/>
        <v>337.68905343886956</v>
      </c>
      <c r="J261" s="7">
        <f t="shared" si="23"/>
        <v>2.380946561130429</v>
      </c>
      <c r="K261" s="7" cm="1">
        <f t="array" ref="K261">INDEX(Sm,G261)</f>
        <v>1.3733706304072995</v>
      </c>
      <c r="L261" s="7">
        <f t="shared" si="24"/>
        <v>339.06242406927686</v>
      </c>
      <c r="M261" s="7">
        <f t="shared" si="25"/>
        <v>1.0075759307231351</v>
      </c>
    </row>
    <row r="262" spans="6:13" ht="18.75" customHeight="1">
      <c r="F262" s="1">
        <v>29312</v>
      </c>
      <c r="G262">
        <f t="shared" si="22"/>
        <v>4</v>
      </c>
      <c r="H262" s="7">
        <v>340.76</v>
      </c>
      <c r="I262" s="7">
        <f t="shared" si="21"/>
        <v>337.80259753067082</v>
      </c>
      <c r="J262" s="7">
        <f t="shared" si="23"/>
        <v>2.9574024693291676</v>
      </c>
      <c r="K262" s="7" cm="1">
        <f t="array" ref="K262">INDEX(Sm,G262)</f>
        <v>2.6099183412742755</v>
      </c>
      <c r="L262" s="7">
        <f t="shared" si="24"/>
        <v>340.41251587194512</v>
      </c>
      <c r="M262" s="7">
        <f t="shared" si="25"/>
        <v>0.34748412805487305</v>
      </c>
    </row>
    <row r="263" spans="6:13" ht="18.75" customHeight="1">
      <c r="F263" s="1">
        <v>29342</v>
      </c>
      <c r="G263">
        <f t="shared" si="22"/>
        <v>5</v>
      </c>
      <c r="H263" s="7">
        <v>341.47</v>
      </c>
      <c r="I263" s="7">
        <f t="shared" si="21"/>
        <v>337.91265833641205</v>
      </c>
      <c r="J263" s="7">
        <f t="shared" si="23"/>
        <v>3.5573416635879767</v>
      </c>
      <c r="K263" s="7" cm="1">
        <f t="array" ref="K263">INDEX(Sm,G263)</f>
        <v>3.065291801195754</v>
      </c>
      <c r="L263" s="7">
        <f t="shared" si="24"/>
        <v>340.97795013760782</v>
      </c>
      <c r="M263" s="7">
        <f t="shared" si="25"/>
        <v>0.49204986239220716</v>
      </c>
    </row>
    <row r="264" spans="6:13" ht="18.75" customHeight="1">
      <c r="F264" s="1">
        <v>29373</v>
      </c>
      <c r="G264">
        <f t="shared" si="22"/>
        <v>6</v>
      </c>
      <c r="H264" s="7">
        <v>341.17</v>
      </c>
      <c r="I264" s="7">
        <f t="shared" si="21"/>
        <v>338.02657324314265</v>
      </c>
      <c r="J264" s="7">
        <f t="shared" si="23"/>
        <v>3.1434267568573659</v>
      </c>
      <c r="K264" s="7" cm="1">
        <f t="array" ref="K264">INDEX(Sm,G264)</f>
        <v>2.3463851222642056</v>
      </c>
      <c r="L264" s="7">
        <f t="shared" si="24"/>
        <v>340.37295836540687</v>
      </c>
      <c r="M264" s="7">
        <f t="shared" si="25"/>
        <v>0.79704163459314259</v>
      </c>
    </row>
    <row r="265" spans="6:13" ht="18.75" customHeight="1">
      <c r="F265" s="1">
        <v>29403</v>
      </c>
      <c r="G265">
        <f t="shared" si="22"/>
        <v>7</v>
      </c>
      <c r="H265" s="7">
        <v>339.56</v>
      </c>
      <c r="I265" s="7">
        <f t="shared" si="21"/>
        <v>338.13699290204124</v>
      </c>
      <c r="J265" s="7">
        <f t="shared" si="23"/>
        <v>1.4230070979587595</v>
      </c>
      <c r="K265" s="7" cm="1">
        <f t="array" ref="K265">INDEX(Sm,G265)</f>
        <v>0.72334113060077332</v>
      </c>
      <c r="L265" s="7">
        <f t="shared" si="24"/>
        <v>338.86033403264202</v>
      </c>
      <c r="M265" s="7">
        <f t="shared" si="25"/>
        <v>0.69966596735798703</v>
      </c>
    </row>
    <row r="266" spans="6:13" ht="18.75" customHeight="1">
      <c r="F266" s="1">
        <v>29434</v>
      </c>
      <c r="G266">
        <f t="shared" si="22"/>
        <v>8</v>
      </c>
      <c r="H266" s="7">
        <v>337.6</v>
      </c>
      <c r="I266" s="7">
        <f t="shared" si="21"/>
        <v>338.25127862370118</v>
      </c>
      <c r="J266" s="7">
        <f t="shared" si="23"/>
        <v>-0.65127862370115963</v>
      </c>
      <c r="K266" s="7" cm="1">
        <f t="array" ref="K266">INDEX(Sm,G266)</f>
        <v>-1.3975570061157723</v>
      </c>
      <c r="L266" s="7">
        <f t="shared" si="24"/>
        <v>336.85372161758539</v>
      </c>
      <c r="M266" s="7">
        <f t="shared" si="25"/>
        <v>0.74627838241462996</v>
      </c>
    </row>
    <row r="267" spans="6:13" ht="18.75" customHeight="1">
      <c r="F267" s="1">
        <v>29465</v>
      </c>
      <c r="G267">
        <f t="shared" si="22"/>
        <v>9</v>
      </c>
      <c r="H267" s="7">
        <v>335.88</v>
      </c>
      <c r="I267" s="7">
        <f t="shared" si="21"/>
        <v>338.36575279229237</v>
      </c>
      <c r="J267" s="7">
        <f t="shared" si="23"/>
        <v>-2.4857527922923737</v>
      </c>
      <c r="K267" s="7" cm="1">
        <f t="array" ref="K267">INDEX(Sm,G267)</f>
        <v>-3.1934822994410497</v>
      </c>
      <c r="L267" s="7">
        <f t="shared" si="24"/>
        <v>335.17227049285134</v>
      </c>
      <c r="M267" s="7">
        <f t="shared" si="25"/>
        <v>0.70772950714865601</v>
      </c>
    </row>
    <row r="268" spans="6:13" ht="18.75" customHeight="1">
      <c r="F268" s="1">
        <v>29495</v>
      </c>
      <c r="G268">
        <f t="shared" si="22"/>
        <v>10</v>
      </c>
      <c r="H268" s="7">
        <v>336.02</v>
      </c>
      <c r="I268" s="7">
        <f t="shared" si="21"/>
        <v>338.47671367234648</v>
      </c>
      <c r="J268" s="7">
        <f t="shared" si="23"/>
        <v>-2.4567136723464955</v>
      </c>
      <c r="K268" s="7" cm="1">
        <f t="array" ref="K268">INDEX(Sm,G268)</f>
        <v>-3.3368150874962788</v>
      </c>
      <c r="L268" s="7">
        <f t="shared" si="24"/>
        <v>335.13989858485019</v>
      </c>
      <c r="M268" s="7">
        <f t="shared" si="25"/>
        <v>0.88010141514979523</v>
      </c>
    </row>
    <row r="269" spans="6:13" ht="18.75" customHeight="1">
      <c r="F269" s="1">
        <v>29526</v>
      </c>
      <c r="G269">
        <f t="shared" si="22"/>
        <v>11</v>
      </c>
      <c r="H269" s="7">
        <v>337.1</v>
      </c>
      <c r="I269" s="7">
        <f t="shared" si="21"/>
        <v>338.591558655867</v>
      </c>
      <c r="J269" s="7">
        <f t="shared" si="23"/>
        <v>-1.4915586558669816</v>
      </c>
      <c r="K269" s="7" cm="1">
        <f t="array" ref="K269">INDEX(Sm,G269)</f>
        <v>-2.0591623324975612</v>
      </c>
      <c r="L269" s="7">
        <f t="shared" si="24"/>
        <v>336.53239632336943</v>
      </c>
      <c r="M269" s="7">
        <f t="shared" si="25"/>
        <v>0.56760367663059696</v>
      </c>
    </row>
    <row r="270" spans="6:13" ht="18.75" customHeight="1">
      <c r="F270" s="1">
        <v>29556</v>
      </c>
      <c r="G270">
        <f t="shared" si="22"/>
        <v>12</v>
      </c>
      <c r="H270" s="7">
        <v>338.21</v>
      </c>
      <c r="I270" s="7">
        <f t="shared" si="21"/>
        <v>338.70287838907853</v>
      </c>
      <c r="J270" s="7">
        <f t="shared" si="23"/>
        <v>-0.4928783890785553</v>
      </c>
      <c r="K270" s="7" cm="1">
        <f t="array" ref="K270">INDEX(Sm,G270)</f>
        <v>-0.89132446529561371</v>
      </c>
      <c r="L270" s="7">
        <f t="shared" si="24"/>
        <v>337.81155392378292</v>
      </c>
      <c r="M270" s="7">
        <f t="shared" si="25"/>
        <v>0.39844607621705563</v>
      </c>
    </row>
    <row r="271" spans="6:13" ht="18.75" customHeight="1">
      <c r="F271" s="1">
        <v>29587</v>
      </c>
      <c r="G271">
        <f t="shared" si="22"/>
        <v>1</v>
      </c>
      <c r="H271" s="7">
        <v>339.24</v>
      </c>
      <c r="I271" s="7">
        <f t="shared" si="21"/>
        <v>338.8180941875284</v>
      </c>
      <c r="J271" s="7">
        <f t="shared" si="23"/>
        <v>0.42190581247160708</v>
      </c>
      <c r="K271" s="7" cm="1">
        <f t="array" ref="K271">INDEX(Sm,G271)</f>
        <v>6.1040869584970889E-2</v>
      </c>
      <c r="L271" s="7">
        <f t="shared" si="24"/>
        <v>338.87913505711339</v>
      </c>
      <c r="M271" s="7">
        <f t="shared" si="25"/>
        <v>0.36086494288662152</v>
      </c>
    </row>
    <row r="272" spans="6:13" ht="18.75" customHeight="1">
      <c r="F272" s="1">
        <v>29618</v>
      </c>
      <c r="G272">
        <f t="shared" si="22"/>
        <v>2</v>
      </c>
      <c r="H272" s="7">
        <v>340.48</v>
      </c>
      <c r="I272" s="7">
        <f t="shared" si="21"/>
        <v>338.93349843290957</v>
      </c>
      <c r="J272" s="7">
        <f t="shared" si="23"/>
        <v>1.546501567090445</v>
      </c>
      <c r="K272" s="7" cm="1">
        <f t="array" ref="K272">INDEX(Sm,G272)</f>
        <v>0.69421564520236412</v>
      </c>
      <c r="L272" s="7">
        <f t="shared" si="24"/>
        <v>339.62771407811192</v>
      </c>
      <c r="M272" s="7">
        <f t="shared" si="25"/>
        <v>0.85228592188809671</v>
      </c>
    </row>
    <row r="273" spans="6:13" ht="18.75" customHeight="1">
      <c r="F273" s="1">
        <v>29646</v>
      </c>
      <c r="G273">
        <f t="shared" si="22"/>
        <v>3</v>
      </c>
      <c r="H273" s="7">
        <v>341.38</v>
      </c>
      <c r="I273" s="7">
        <f t="shared" si="21"/>
        <v>339.03789649966933</v>
      </c>
      <c r="J273" s="7">
        <f t="shared" si="23"/>
        <v>2.3421035003306656</v>
      </c>
      <c r="K273" s="7" cm="1">
        <f t="array" ref="K273">INDEX(Sm,G273)</f>
        <v>1.3733706304072995</v>
      </c>
      <c r="L273" s="7">
        <f t="shared" si="24"/>
        <v>340.41126713007662</v>
      </c>
      <c r="M273" s="7">
        <f t="shared" si="25"/>
        <v>0.96873286992337171</v>
      </c>
    </row>
    <row r="274" spans="6:13" ht="18.75" customHeight="1">
      <c r="F274" s="1">
        <v>29677</v>
      </c>
      <c r="G274">
        <f t="shared" si="22"/>
        <v>4</v>
      </c>
      <c r="H274" s="7">
        <v>342.5</v>
      </c>
      <c r="I274" s="7">
        <f t="shared" si="21"/>
        <v>339.15365940211331</v>
      </c>
      <c r="J274" s="7">
        <f t="shared" si="23"/>
        <v>3.3463405978866945</v>
      </c>
      <c r="K274" s="7" cm="1">
        <f t="array" ref="K274">INDEX(Sm,G274)</f>
        <v>2.6099183412742755</v>
      </c>
      <c r="L274" s="7">
        <f t="shared" si="24"/>
        <v>341.7635777433876</v>
      </c>
      <c r="M274" s="7">
        <f t="shared" si="25"/>
        <v>0.73642225661239991</v>
      </c>
    </row>
    <row r="275" spans="6:13" ht="18.75" customHeight="1">
      <c r="F275" s="1">
        <v>29707</v>
      </c>
      <c r="G275">
        <f t="shared" si="22"/>
        <v>5</v>
      </c>
      <c r="H275" s="7">
        <v>342.91</v>
      </c>
      <c r="I275" s="7">
        <f t="shared" si="21"/>
        <v>339.26586744396036</v>
      </c>
      <c r="J275" s="7">
        <f t="shared" si="23"/>
        <v>3.6441325560396649</v>
      </c>
      <c r="K275" s="7" cm="1">
        <f t="array" ref="K275">INDEX(Sm,G275)</f>
        <v>3.065291801195754</v>
      </c>
      <c r="L275" s="7">
        <f t="shared" si="24"/>
        <v>342.33115924515613</v>
      </c>
      <c r="M275" s="7">
        <f t="shared" si="25"/>
        <v>0.57884075484389541</v>
      </c>
    </row>
    <row r="276" spans="6:13" ht="18.75" customHeight="1">
      <c r="F276" s="1">
        <v>29738</v>
      </c>
      <c r="G276">
        <f t="shared" si="22"/>
        <v>6</v>
      </c>
      <c r="H276" s="7">
        <v>342.25</v>
      </c>
      <c r="I276" s="7">
        <f t="shared" si="21"/>
        <v>339.38200116133368</v>
      </c>
      <c r="J276" s="7">
        <f t="shared" si="23"/>
        <v>2.867998838666324</v>
      </c>
      <c r="K276" s="7" cm="1">
        <f t="array" ref="K276">INDEX(Sm,G276)</f>
        <v>2.3463851222642056</v>
      </c>
      <c r="L276" s="7">
        <f t="shared" si="24"/>
        <v>341.7283862835979</v>
      </c>
      <c r="M276" s="7">
        <f t="shared" si="25"/>
        <v>0.52161371640210064</v>
      </c>
    </row>
    <row r="277" spans="6:13" ht="18.75" customHeight="1">
      <c r="F277" s="1">
        <v>29768</v>
      </c>
      <c r="G277">
        <f t="shared" si="22"/>
        <v>7</v>
      </c>
      <c r="H277" s="7">
        <v>340.49</v>
      </c>
      <c r="I277" s="7">
        <f t="shared" si="21"/>
        <v>339.49456805633821</v>
      </c>
      <c r="J277" s="7">
        <f t="shared" si="23"/>
        <v>0.99543194366179932</v>
      </c>
      <c r="K277" s="7" cm="1">
        <f t="array" ref="K277">INDEX(Sm,G277)</f>
        <v>0.72334113060077332</v>
      </c>
      <c r="L277" s="7">
        <f t="shared" si="24"/>
        <v>340.21790918693898</v>
      </c>
      <c r="M277" s="7">
        <f t="shared" si="25"/>
        <v>0.27209081306102689</v>
      </c>
    </row>
    <row r="278" spans="6:13" ht="18.75" customHeight="1">
      <c r="F278" s="1">
        <v>29799</v>
      </c>
      <c r="G278">
        <f t="shared" si="22"/>
        <v>8</v>
      </c>
      <c r="H278" s="7">
        <v>338.43</v>
      </c>
      <c r="I278" s="7">
        <f t="shared" si="21"/>
        <v>339.61107258864081</v>
      </c>
      <c r="J278" s="7">
        <f t="shared" si="23"/>
        <v>-1.1810725886408022</v>
      </c>
      <c r="K278" s="7" cm="1">
        <f t="array" ref="K278">INDEX(Sm,G278)</f>
        <v>-1.3975570061157723</v>
      </c>
      <c r="L278" s="7">
        <f t="shared" si="24"/>
        <v>338.21351558252502</v>
      </c>
      <c r="M278" s="7">
        <f t="shared" si="25"/>
        <v>0.21648441747498737</v>
      </c>
    </row>
    <row r="279" spans="6:13" ht="18.75" customHeight="1">
      <c r="F279" s="1">
        <v>29830</v>
      </c>
      <c r="G279">
        <f t="shared" si="22"/>
        <v>9</v>
      </c>
      <c r="H279" s="7">
        <v>336.69</v>
      </c>
      <c r="I279" s="7">
        <f t="shared" si="21"/>
        <v>339.72776556787477</v>
      </c>
      <c r="J279" s="7">
        <f t="shared" si="23"/>
        <v>-3.0377655678747715</v>
      </c>
      <c r="K279" s="7" cm="1">
        <f t="array" ref="K279">INDEX(Sm,G279)</f>
        <v>-3.1934822994410497</v>
      </c>
      <c r="L279" s="7">
        <f t="shared" si="24"/>
        <v>336.53428326843374</v>
      </c>
      <c r="M279" s="7">
        <f t="shared" si="25"/>
        <v>0.1557167315662582</v>
      </c>
    </row>
    <row r="280" spans="6:13" ht="18.75" customHeight="1">
      <c r="F280" s="1">
        <v>29860</v>
      </c>
      <c r="G280">
        <f t="shared" si="22"/>
        <v>10</v>
      </c>
      <c r="H280" s="7">
        <v>336.86</v>
      </c>
      <c r="I280" s="7">
        <f t="shared" si="21"/>
        <v>339.8408736840347</v>
      </c>
      <c r="J280" s="7">
        <f t="shared" si="23"/>
        <v>-2.980873684034691</v>
      </c>
      <c r="K280" s="7" cm="1">
        <f t="array" ref="K280">INDEX(Sm,G280)</f>
        <v>-3.3368150874962788</v>
      </c>
      <c r="L280" s="7">
        <f t="shared" si="24"/>
        <v>336.50405859653841</v>
      </c>
      <c r="M280" s="7">
        <f t="shared" si="25"/>
        <v>0.35594140346159975</v>
      </c>
    </row>
    <row r="281" spans="6:13" ht="18.75" customHeight="1">
      <c r="F281" s="1">
        <v>29891</v>
      </c>
      <c r="G281">
        <f t="shared" si="22"/>
        <v>11</v>
      </c>
      <c r="H281" s="7">
        <v>338.36</v>
      </c>
      <c r="I281" s="7">
        <f t="shared" si="21"/>
        <v>339.95793747819801</v>
      </c>
      <c r="J281" s="7">
        <f t="shared" si="23"/>
        <v>-1.5979374781979914</v>
      </c>
      <c r="K281" s="7" cm="1">
        <f t="array" ref="K281">INDEX(Sm,G281)</f>
        <v>-2.0591623324975612</v>
      </c>
      <c r="L281" s="7">
        <f t="shared" si="24"/>
        <v>337.89877514570043</v>
      </c>
      <c r="M281" s="7">
        <f t="shared" si="25"/>
        <v>0.46122485429958715</v>
      </c>
    </row>
    <row r="282" spans="6:13" ht="18.75" customHeight="1">
      <c r="F282" s="1">
        <v>29921</v>
      </c>
      <c r="G282">
        <f t="shared" si="22"/>
        <v>12</v>
      </c>
      <c r="H282" s="7">
        <v>339.61</v>
      </c>
      <c r="I282" s="7">
        <f t="shared" si="21"/>
        <v>340.07140444751536</v>
      </c>
      <c r="J282" s="7">
        <f t="shared" si="23"/>
        <v>-0.46140444751534915</v>
      </c>
      <c r="K282" s="7" cm="1">
        <f t="array" ref="K282">INDEX(Sm,G282)</f>
        <v>-0.89132446529561371</v>
      </c>
      <c r="L282" s="7">
        <f t="shared" si="24"/>
        <v>339.18007998221975</v>
      </c>
      <c r="M282" s="7">
        <f t="shared" si="25"/>
        <v>0.42992001778026179</v>
      </c>
    </row>
    <row r="283" spans="6:13" ht="18.75" customHeight="1">
      <c r="F283" s="1">
        <v>29952</v>
      </c>
      <c r="G283">
        <f t="shared" si="22"/>
        <v>1</v>
      </c>
      <c r="H283" s="7">
        <v>340.75</v>
      </c>
      <c r="I283" s="7">
        <f t="shared" si="21"/>
        <v>340.188839056608</v>
      </c>
      <c r="J283" s="7">
        <f t="shared" si="23"/>
        <v>0.56116094339199662</v>
      </c>
      <c r="K283" s="7" cm="1">
        <f t="array" ref="K283">INDEX(Sm,G283)</f>
        <v>6.1040869584970889E-2</v>
      </c>
      <c r="L283" s="7">
        <f t="shared" si="24"/>
        <v>340.24987992619299</v>
      </c>
      <c r="M283" s="7">
        <f t="shared" si="25"/>
        <v>0.50012007380701107</v>
      </c>
    </row>
    <row r="284" spans="6:13" ht="18.75" customHeight="1">
      <c r="F284" s="1">
        <v>29983</v>
      </c>
      <c r="G284">
        <f t="shared" si="22"/>
        <v>2</v>
      </c>
      <c r="H284" s="7">
        <v>341.61</v>
      </c>
      <c r="I284" s="7">
        <f t="shared" si="21"/>
        <v>340.30646211263189</v>
      </c>
      <c r="J284" s="7">
        <f t="shared" si="23"/>
        <v>1.3035378873681225</v>
      </c>
      <c r="K284" s="7" cm="1">
        <f t="array" ref="K284">INDEX(Sm,G284)</f>
        <v>0.69421564520236412</v>
      </c>
      <c r="L284" s="7">
        <f t="shared" si="24"/>
        <v>341.00067775783424</v>
      </c>
      <c r="M284" s="7">
        <f t="shared" si="25"/>
        <v>0.60932224216577424</v>
      </c>
    </row>
    <row r="285" spans="6:13" ht="18.75" customHeight="1">
      <c r="F285" s="1">
        <v>30011</v>
      </c>
      <c r="G285">
        <f t="shared" si="22"/>
        <v>3</v>
      </c>
      <c r="H285" s="7">
        <v>342.7</v>
      </c>
      <c r="I285" s="7">
        <f t="shared" si="21"/>
        <v>340.41286426642381</v>
      </c>
      <c r="J285" s="7">
        <f t="shared" si="23"/>
        <v>2.2871357335761786</v>
      </c>
      <c r="K285" s="7" cm="1">
        <f t="array" ref="K285">INDEX(Sm,G285)</f>
        <v>1.3733706304072995</v>
      </c>
      <c r="L285" s="7">
        <f t="shared" si="24"/>
        <v>341.7862348968311</v>
      </c>
      <c r="M285" s="7">
        <f t="shared" si="25"/>
        <v>0.91376510316888471</v>
      </c>
    </row>
    <row r="286" spans="6:13" ht="18.75" customHeight="1">
      <c r="F286" s="1">
        <v>30042</v>
      </c>
      <c r="G286">
        <f t="shared" si="22"/>
        <v>4</v>
      </c>
      <c r="H286" s="7">
        <v>343.57</v>
      </c>
      <c r="I286" s="7">
        <f t="shared" si="21"/>
        <v>340.5308459795105</v>
      </c>
      <c r="J286" s="7">
        <f t="shared" si="23"/>
        <v>3.0391540204894909</v>
      </c>
      <c r="K286" s="7" cm="1">
        <f t="array" ref="K286">INDEX(Sm,G286)</f>
        <v>2.6099183412742755</v>
      </c>
      <c r="L286" s="7">
        <f t="shared" si="24"/>
        <v>343.1407643207848</v>
      </c>
      <c r="M286" s="7">
        <f t="shared" si="25"/>
        <v>0.42923567921519634</v>
      </c>
    </row>
    <row r="287" spans="6:13" ht="18.75" customHeight="1">
      <c r="F287" s="1">
        <v>30072</v>
      </c>
      <c r="G287">
        <f t="shared" si="22"/>
        <v>5</v>
      </c>
      <c r="H287" s="7">
        <v>344.14</v>
      </c>
      <c r="I287" s="7">
        <f t="shared" si="21"/>
        <v>340.64520125746344</v>
      </c>
      <c r="J287" s="7">
        <f t="shared" si="23"/>
        <v>3.4947987425365454</v>
      </c>
      <c r="K287" s="7" cm="1">
        <f t="array" ref="K287">INDEX(Sm,G287)</f>
        <v>3.065291801195754</v>
      </c>
      <c r="L287" s="7">
        <f t="shared" si="24"/>
        <v>343.71049305865921</v>
      </c>
      <c r="M287" s="7">
        <f t="shared" si="25"/>
        <v>0.42950694134077594</v>
      </c>
    </row>
    <row r="288" spans="6:13" ht="18.75" customHeight="1">
      <c r="F288" s="1">
        <v>30103</v>
      </c>
      <c r="G288">
        <f t="shared" si="22"/>
        <v>6</v>
      </c>
      <c r="H288" s="7">
        <v>343.35</v>
      </c>
      <c r="I288" s="7">
        <f t="shared" si="21"/>
        <v>340.76355378547947</v>
      </c>
      <c r="J288" s="7">
        <f t="shared" si="23"/>
        <v>2.5864462145205493</v>
      </c>
      <c r="K288" s="7" cm="1">
        <f t="array" ref="K288">INDEX(Sm,G288)</f>
        <v>2.3463851222642056</v>
      </c>
      <c r="L288" s="7">
        <f t="shared" si="24"/>
        <v>343.1099389077437</v>
      </c>
      <c r="M288" s="7">
        <f t="shared" si="25"/>
        <v>0.24006109225632599</v>
      </c>
    </row>
    <row r="289" spans="6:13" ht="18.75" customHeight="1">
      <c r="F289" s="1">
        <v>30133</v>
      </c>
      <c r="G289">
        <f t="shared" si="22"/>
        <v>7</v>
      </c>
      <c r="H289" s="7">
        <v>342.06</v>
      </c>
      <c r="I289" s="7">
        <f t="shared" si="21"/>
        <v>340.87826791658983</v>
      </c>
      <c r="J289" s="7">
        <f t="shared" si="23"/>
        <v>1.1817320834101679</v>
      </c>
      <c r="K289" s="7" cm="1">
        <f t="array" ref="K289">INDEX(Sm,G289)</f>
        <v>0.72334113060077332</v>
      </c>
      <c r="L289" s="7">
        <f t="shared" si="24"/>
        <v>341.60160904719061</v>
      </c>
      <c r="M289" s="7">
        <f t="shared" si="25"/>
        <v>0.45839095280939546</v>
      </c>
    </row>
    <row r="290" spans="6:13" ht="18.75" customHeight="1">
      <c r="F290" s="1">
        <v>30164</v>
      </c>
      <c r="G290">
        <f t="shared" si="22"/>
        <v>8</v>
      </c>
      <c r="H290" s="7">
        <v>339.81</v>
      </c>
      <c r="I290" s="7">
        <f t="shared" si="21"/>
        <v>340.99699125953521</v>
      </c>
      <c r="J290" s="7">
        <f t="shared" si="23"/>
        <v>-1.1869912595352048</v>
      </c>
      <c r="K290" s="7" cm="1">
        <f t="array" ref="K290">INDEX(Sm,G290)</f>
        <v>-1.3975570061157723</v>
      </c>
      <c r="L290" s="7">
        <f t="shared" si="24"/>
        <v>339.59943425341942</v>
      </c>
      <c r="M290" s="7">
        <f t="shared" si="25"/>
        <v>0.2105657465805848</v>
      </c>
    </row>
    <row r="291" spans="6:13" ht="18.75" customHeight="1">
      <c r="F291" s="1">
        <v>30195</v>
      </c>
      <c r="G291">
        <f t="shared" si="22"/>
        <v>9</v>
      </c>
      <c r="H291" s="7">
        <v>337.98</v>
      </c>
      <c r="I291" s="7">
        <f t="shared" si="21"/>
        <v>341.11590304941188</v>
      </c>
      <c r="J291" s="7">
        <f t="shared" si="23"/>
        <v>-3.1359030494118656</v>
      </c>
      <c r="K291" s="7" cm="1">
        <f t="array" ref="K291">INDEX(Sm,G291)</f>
        <v>-3.1934822994410497</v>
      </c>
      <c r="L291" s="7">
        <f t="shared" si="24"/>
        <v>337.92242074997085</v>
      </c>
      <c r="M291" s="7">
        <f t="shared" si="25"/>
        <v>5.7579250029164086E-2</v>
      </c>
    </row>
    <row r="292" spans="6:13" ht="18.75" customHeight="1">
      <c r="F292" s="1">
        <v>30225</v>
      </c>
      <c r="G292">
        <f t="shared" si="22"/>
        <v>10</v>
      </c>
      <c r="H292" s="7">
        <v>337.86</v>
      </c>
      <c r="I292" s="7">
        <f t="shared" si="21"/>
        <v>341.2311584016777</v>
      </c>
      <c r="J292" s="7">
        <f t="shared" si="23"/>
        <v>-3.3711584016776897</v>
      </c>
      <c r="K292" s="7" cm="1">
        <f t="array" ref="K292">INDEX(Sm,G292)</f>
        <v>-3.3368150874962788</v>
      </c>
      <c r="L292" s="7">
        <f t="shared" si="24"/>
        <v>337.89434331418141</v>
      </c>
      <c r="M292" s="7">
        <f t="shared" si="25"/>
        <v>-3.434331418139891E-2</v>
      </c>
    </row>
    <row r="293" spans="6:13" ht="18.75" customHeight="1">
      <c r="F293" s="1">
        <v>30256</v>
      </c>
      <c r="G293">
        <f t="shared" si="22"/>
        <v>11</v>
      </c>
      <c r="H293" s="7">
        <v>339.26</v>
      </c>
      <c r="I293" s="7">
        <f t="shared" si="21"/>
        <v>341.35044100648372</v>
      </c>
      <c r="J293" s="7">
        <f t="shared" si="23"/>
        <v>-2.0904410064837293</v>
      </c>
      <c r="K293" s="7" cm="1">
        <f t="array" ref="K293">INDEX(Sm,G293)</f>
        <v>-2.0591623324975612</v>
      </c>
      <c r="L293" s="7">
        <f t="shared" si="24"/>
        <v>339.29127867398614</v>
      </c>
      <c r="M293" s="7">
        <f t="shared" si="25"/>
        <v>-3.1278673986150807E-2</v>
      </c>
    </row>
    <row r="294" spans="6:13" ht="18.75" customHeight="1">
      <c r="F294" s="1">
        <v>30286</v>
      </c>
      <c r="G294">
        <f t="shared" si="22"/>
        <v>12</v>
      </c>
      <c r="H294" s="7">
        <v>340.49</v>
      </c>
      <c r="I294" s="7">
        <f t="shared" si="21"/>
        <v>341.46605521190696</v>
      </c>
      <c r="J294" s="7">
        <f t="shared" si="23"/>
        <v>-0.97605521190695299</v>
      </c>
      <c r="K294" s="7" cm="1">
        <f t="array" ref="K294">INDEX(Sm,G294)</f>
        <v>-0.89132446529561371</v>
      </c>
      <c r="L294" s="7">
        <f t="shared" si="24"/>
        <v>340.57473074661135</v>
      </c>
      <c r="M294" s="7">
        <f t="shared" si="25"/>
        <v>-8.4730746611342056E-2</v>
      </c>
    </row>
    <row r="295" spans="6:13" ht="18.75" customHeight="1">
      <c r="F295" s="1">
        <v>30317</v>
      </c>
      <c r="G295">
        <f t="shared" si="22"/>
        <v>1</v>
      </c>
      <c r="H295" s="7">
        <v>341.38</v>
      </c>
      <c r="I295" s="7">
        <f t="shared" si="21"/>
        <v>341.58570863164232</v>
      </c>
      <c r="J295" s="7">
        <f t="shared" si="23"/>
        <v>-0.20570863164232378</v>
      </c>
      <c r="K295" s="7" cm="1">
        <f t="array" ref="K295">INDEX(Sm,G295)</f>
        <v>6.1040869584970889E-2</v>
      </c>
      <c r="L295" s="7">
        <f t="shared" si="24"/>
        <v>341.6467495012273</v>
      </c>
      <c r="M295" s="7">
        <f t="shared" si="25"/>
        <v>-0.26674950122730934</v>
      </c>
    </row>
    <row r="296" spans="6:13" ht="18.75" customHeight="1">
      <c r="F296" s="1">
        <v>30348</v>
      </c>
      <c r="G296">
        <f t="shared" si="22"/>
        <v>2</v>
      </c>
      <c r="H296" s="7">
        <v>342.52</v>
      </c>
      <c r="I296" s="7">
        <f t="shared" si="21"/>
        <v>341.70555049830892</v>
      </c>
      <c r="J296" s="7">
        <f t="shared" si="23"/>
        <v>0.81444950169105823</v>
      </c>
      <c r="K296" s="7" cm="1">
        <f t="array" ref="K296">INDEX(Sm,G296)</f>
        <v>0.69421564520236412</v>
      </c>
      <c r="L296" s="7">
        <f t="shared" si="24"/>
        <v>342.39976614351127</v>
      </c>
      <c r="M296" s="7">
        <f t="shared" si="25"/>
        <v>0.12023385648870999</v>
      </c>
    </row>
    <row r="297" spans="6:13" ht="18.75" customHeight="1">
      <c r="F297" s="1">
        <v>30376</v>
      </c>
      <c r="G297">
        <f t="shared" si="22"/>
        <v>3</v>
      </c>
      <c r="H297" s="7">
        <v>343.1</v>
      </c>
      <c r="I297" s="7">
        <f t="shared" si="21"/>
        <v>341.813956739133</v>
      </c>
      <c r="J297" s="7">
        <f t="shared" si="23"/>
        <v>1.286043260867018</v>
      </c>
      <c r="K297" s="7" cm="1">
        <f t="array" ref="K297">INDEX(Sm,G297)</f>
        <v>1.3733706304072995</v>
      </c>
      <c r="L297" s="7">
        <f t="shared" si="24"/>
        <v>343.1873273695403</v>
      </c>
      <c r="M297" s="7">
        <f t="shared" si="25"/>
        <v>-8.7327369540275868E-2</v>
      </c>
    </row>
    <row r="298" spans="6:13" ht="18.75" customHeight="1">
      <c r="F298" s="1">
        <v>30407</v>
      </c>
      <c r="G298">
        <f t="shared" si="22"/>
        <v>4</v>
      </c>
      <c r="H298" s="7">
        <v>344.94</v>
      </c>
      <c r="I298" s="7">
        <f t="shared" si="21"/>
        <v>341.93415726286241</v>
      </c>
      <c r="J298" s="7">
        <f t="shared" si="23"/>
        <v>3.0058427371375842</v>
      </c>
      <c r="K298" s="7" cm="1">
        <f t="array" ref="K298">INDEX(Sm,G298)</f>
        <v>2.6099183412742755</v>
      </c>
      <c r="L298" s="7">
        <f t="shared" si="24"/>
        <v>344.54407560413671</v>
      </c>
      <c r="M298" s="7">
        <f t="shared" si="25"/>
        <v>0.39592439586328965</v>
      </c>
    </row>
    <row r="299" spans="6:13" ht="18.75" customHeight="1">
      <c r="F299" s="1">
        <v>30437</v>
      </c>
      <c r="G299">
        <f t="shared" si="22"/>
        <v>5</v>
      </c>
      <c r="H299" s="7">
        <v>345.76</v>
      </c>
      <c r="I299" s="7">
        <f t="shared" si="21"/>
        <v>342.05065977692124</v>
      </c>
      <c r="J299" s="7">
        <f t="shared" si="23"/>
        <v>3.7093402230787547</v>
      </c>
      <c r="K299" s="7" cm="1">
        <f t="array" ref="K299">INDEX(Sm,G299)</f>
        <v>3.065291801195754</v>
      </c>
      <c r="L299" s="7">
        <f t="shared" si="24"/>
        <v>345.11595157811701</v>
      </c>
      <c r="M299" s="7">
        <f t="shared" si="25"/>
        <v>0.64404842188298517</v>
      </c>
    </row>
    <row r="300" spans="6:13" ht="18.75" customHeight="1">
      <c r="F300" s="1">
        <v>30468</v>
      </c>
      <c r="G300">
        <f t="shared" si="22"/>
        <v>6</v>
      </c>
      <c r="H300" s="7">
        <v>345.32</v>
      </c>
      <c r="I300" s="7">
        <f t="shared" si="21"/>
        <v>342.17123111557999</v>
      </c>
      <c r="J300" s="7">
        <f t="shared" si="23"/>
        <v>3.1487688844200079</v>
      </c>
      <c r="K300" s="7" cm="1">
        <f t="array" ref="K300">INDEX(Sm,G300)</f>
        <v>2.3463851222642056</v>
      </c>
      <c r="L300" s="7">
        <f t="shared" si="24"/>
        <v>344.51761623784421</v>
      </c>
      <c r="M300" s="7">
        <f t="shared" si="25"/>
        <v>0.80238376215578455</v>
      </c>
    </row>
    <row r="301" spans="6:13" ht="18.75" customHeight="1">
      <c r="F301" s="1">
        <v>30498</v>
      </c>
      <c r="G301">
        <f t="shared" si="22"/>
        <v>7</v>
      </c>
      <c r="H301" s="7">
        <v>343.98</v>
      </c>
      <c r="I301" s="7">
        <f t="shared" si="21"/>
        <v>342.28809248279623</v>
      </c>
      <c r="J301" s="7">
        <f t="shared" si="23"/>
        <v>1.6919075172037878</v>
      </c>
      <c r="K301" s="7" cm="1">
        <f t="array" ref="K301">INDEX(Sm,G301)</f>
        <v>0.72334113060077332</v>
      </c>
      <c r="L301" s="7">
        <f t="shared" si="24"/>
        <v>343.011433613397</v>
      </c>
      <c r="M301" s="7">
        <f t="shared" si="25"/>
        <v>0.96856638660301542</v>
      </c>
    </row>
    <row r="302" spans="6:13" ht="18.75" customHeight="1">
      <c r="F302" s="1">
        <v>30529</v>
      </c>
      <c r="G302">
        <f t="shared" si="22"/>
        <v>8</v>
      </c>
      <c r="H302" s="7">
        <v>342.38</v>
      </c>
      <c r="I302" s="7">
        <f t="shared" si="21"/>
        <v>342.40903463638432</v>
      </c>
      <c r="J302" s="7">
        <f t="shared" si="23"/>
        <v>-2.9034636384324131E-2</v>
      </c>
      <c r="K302" s="7" cm="1">
        <f t="array" ref="K302">INDEX(Sm,G302)</f>
        <v>-1.3975570061157723</v>
      </c>
      <c r="L302" s="7">
        <f t="shared" si="24"/>
        <v>341.01147763026853</v>
      </c>
      <c r="M302" s="7">
        <f t="shared" si="25"/>
        <v>1.3685223697314655</v>
      </c>
    </row>
    <row r="303" spans="6:13" ht="18.75" customHeight="1">
      <c r="F303" s="1">
        <v>30560</v>
      </c>
      <c r="G303">
        <f t="shared" si="22"/>
        <v>9</v>
      </c>
      <c r="H303" s="7">
        <v>339.87</v>
      </c>
      <c r="I303" s="7">
        <f t="shared" si="21"/>
        <v>342.53016523690371</v>
      </c>
      <c r="J303" s="7">
        <f t="shared" si="23"/>
        <v>-2.6601652369037083</v>
      </c>
      <c r="K303" s="7" cm="1">
        <f t="array" ref="K303">INDEX(Sm,G303)</f>
        <v>-3.1934822994410497</v>
      </c>
      <c r="L303" s="7">
        <f t="shared" si="24"/>
        <v>339.33668293746268</v>
      </c>
      <c r="M303" s="7">
        <f t="shared" si="25"/>
        <v>0.53331706253732136</v>
      </c>
    </row>
    <row r="304" spans="6:13" ht="18.75" customHeight="1">
      <c r="F304" s="1">
        <v>30590</v>
      </c>
      <c r="G304">
        <f t="shared" si="22"/>
        <v>10</v>
      </c>
      <c r="H304" s="7">
        <v>339.99</v>
      </c>
      <c r="I304" s="7">
        <f t="shared" si="21"/>
        <v>342.64756782527542</v>
      </c>
      <c r="J304" s="7">
        <f t="shared" si="23"/>
        <v>-2.6575678252754074</v>
      </c>
      <c r="K304" s="7" cm="1">
        <f t="array" ref="K304">INDEX(Sm,G304)</f>
        <v>-3.3368150874962788</v>
      </c>
      <c r="L304" s="7">
        <f t="shared" si="24"/>
        <v>339.31075273777913</v>
      </c>
      <c r="M304" s="7">
        <f t="shared" si="25"/>
        <v>0.67924726222088339</v>
      </c>
    </row>
    <row r="305" spans="6:13" ht="18.75" customHeight="1">
      <c r="F305" s="1">
        <v>30621</v>
      </c>
      <c r="G305">
        <f t="shared" si="22"/>
        <v>11</v>
      </c>
      <c r="H305" s="7">
        <v>341.15</v>
      </c>
      <c r="I305" s="7">
        <f t="shared" si="21"/>
        <v>342.76906924072415</v>
      </c>
      <c r="J305" s="7">
        <f t="shared" si="23"/>
        <v>-1.6190692407241727</v>
      </c>
      <c r="K305" s="7" cm="1">
        <f t="array" ref="K305">INDEX(Sm,G305)</f>
        <v>-2.0591623324975612</v>
      </c>
      <c r="L305" s="7">
        <f t="shared" si="24"/>
        <v>340.70990690822657</v>
      </c>
      <c r="M305" s="7">
        <f t="shared" si="25"/>
        <v>0.44009309177340583</v>
      </c>
    </row>
    <row r="306" spans="6:13" ht="18.75" customHeight="1">
      <c r="F306" s="1">
        <v>30651</v>
      </c>
      <c r="G306">
        <f t="shared" si="22"/>
        <v>12</v>
      </c>
      <c r="H306" s="7">
        <v>342.99</v>
      </c>
      <c r="I306" s="7">
        <f t="shared" si="21"/>
        <v>342.88683068225328</v>
      </c>
      <c r="J306" s="7">
        <f t="shared" si="23"/>
        <v>0.10316931774673321</v>
      </c>
      <c r="K306" s="7" cm="1">
        <f t="array" ref="K306">INDEX(Sm,G306)</f>
        <v>-0.89132446529561371</v>
      </c>
      <c r="L306" s="7">
        <f t="shared" si="24"/>
        <v>341.99550621695766</v>
      </c>
      <c r="M306" s="7">
        <f t="shared" si="25"/>
        <v>0.99449378304234415</v>
      </c>
    </row>
    <row r="307" spans="6:13" ht="18.75" customHeight="1">
      <c r="F307" s="1">
        <v>30682</v>
      </c>
      <c r="G307">
        <f t="shared" si="22"/>
        <v>1</v>
      </c>
      <c r="H307" s="7">
        <v>343.7</v>
      </c>
      <c r="I307" s="7">
        <f t="shared" si="21"/>
        <v>343.00870291263129</v>
      </c>
      <c r="J307" s="7">
        <f t="shared" si="23"/>
        <v>0.69129708736869588</v>
      </c>
      <c r="K307" s="7" cm="1">
        <f t="array" ref="K307">INDEX(Sm,G307)</f>
        <v>6.1040869584970889E-2</v>
      </c>
      <c r="L307" s="7">
        <f t="shared" si="24"/>
        <v>343.06974378221628</v>
      </c>
      <c r="M307" s="7">
        <f t="shared" si="25"/>
        <v>0.63025621778371033</v>
      </c>
    </row>
    <row r="308" spans="6:13" ht="18.75" customHeight="1">
      <c r="F308" s="1">
        <v>30713</v>
      </c>
      <c r="G308">
        <f t="shared" si="22"/>
        <v>2</v>
      </c>
      <c r="H308" s="7">
        <v>344.5</v>
      </c>
      <c r="I308" s="7">
        <f t="shared" si="21"/>
        <v>343.13076358994067</v>
      </c>
      <c r="J308" s="7">
        <f t="shared" si="23"/>
        <v>1.3692364100593295</v>
      </c>
      <c r="K308" s="7" cm="1">
        <f t="array" ref="K308">INDEX(Sm,G308)</f>
        <v>0.69421564520236412</v>
      </c>
      <c r="L308" s="7">
        <f t="shared" si="24"/>
        <v>343.82497923514302</v>
      </c>
      <c r="M308" s="7">
        <f t="shared" si="25"/>
        <v>0.67502076485698126</v>
      </c>
    </row>
    <row r="309" spans="6:13" ht="18.75" customHeight="1">
      <c r="F309" s="1">
        <v>30742</v>
      </c>
      <c r="G309">
        <f t="shared" si="22"/>
        <v>3</v>
      </c>
      <c r="H309" s="7">
        <v>345.28</v>
      </c>
      <c r="I309" s="7">
        <f t="shared" si="21"/>
        <v>343.24511998716372</v>
      </c>
      <c r="J309" s="7">
        <f t="shared" si="23"/>
        <v>2.0348800128362541</v>
      </c>
      <c r="K309" s="7" cm="1">
        <f t="array" ref="K309">INDEX(Sm,G309)</f>
        <v>1.3733706304072995</v>
      </c>
      <c r="L309" s="7">
        <f t="shared" si="24"/>
        <v>344.61849061757101</v>
      </c>
      <c r="M309" s="7">
        <f t="shared" si="25"/>
        <v>0.66150938242896018</v>
      </c>
    </row>
    <row r="310" spans="6:13" ht="18.75" customHeight="1">
      <c r="F310" s="1">
        <v>30773</v>
      </c>
      <c r="G310">
        <f t="shared" si="22"/>
        <v>4</v>
      </c>
      <c r="H310" s="7">
        <v>347.05</v>
      </c>
      <c r="I310" s="7">
        <f t="shared" si="21"/>
        <v>343.36754540046917</v>
      </c>
      <c r="J310" s="7">
        <f t="shared" si="23"/>
        <v>3.6824545995308426</v>
      </c>
      <c r="K310" s="7" cm="1">
        <f t="array" ref="K310">INDEX(Sm,G310)</f>
        <v>2.6099183412742755</v>
      </c>
      <c r="L310" s="7">
        <f t="shared" si="24"/>
        <v>345.97746374174346</v>
      </c>
      <c r="M310" s="7">
        <f t="shared" si="25"/>
        <v>1.0725362582565481</v>
      </c>
    </row>
    <row r="311" spans="6:13" ht="18.75" customHeight="1">
      <c r="F311" s="1">
        <v>30803</v>
      </c>
      <c r="G311">
        <f t="shared" si="22"/>
        <v>5</v>
      </c>
      <c r="H311" s="7">
        <v>347.43</v>
      </c>
      <c r="I311" s="7">
        <f t="shared" si="21"/>
        <v>343.48620103347253</v>
      </c>
      <c r="J311" s="7">
        <f t="shared" si="23"/>
        <v>3.9437989665274813</v>
      </c>
      <c r="K311" s="7" cm="1">
        <f t="array" ref="K311">INDEX(Sm,G311)</f>
        <v>3.065291801195754</v>
      </c>
      <c r="L311" s="7">
        <f t="shared" si="24"/>
        <v>346.5514928346683</v>
      </c>
      <c r="M311" s="7">
        <f t="shared" si="25"/>
        <v>0.8785071653317118</v>
      </c>
    </row>
    <row r="312" spans="6:13" ht="18.75" customHeight="1">
      <c r="F312" s="1">
        <v>30834</v>
      </c>
      <c r="G312">
        <f t="shared" si="22"/>
        <v>6</v>
      </c>
      <c r="H312" s="7">
        <v>346.8</v>
      </c>
      <c r="I312" s="7">
        <f t="shared" si="21"/>
        <v>343.60899726170726</v>
      </c>
      <c r="J312" s="7">
        <f t="shared" si="23"/>
        <v>3.1910027382927524</v>
      </c>
      <c r="K312" s="7" cm="1">
        <f t="array" ref="K312">INDEX(Sm,G312)</f>
        <v>2.3463851222642056</v>
      </c>
      <c r="L312" s="7">
        <f t="shared" si="24"/>
        <v>345.95538238397148</v>
      </c>
      <c r="M312" s="7">
        <f t="shared" si="25"/>
        <v>0.84461761602852903</v>
      </c>
    </row>
    <row r="313" spans="6:13" ht="18.75" customHeight="1">
      <c r="F313" s="1">
        <v>30864</v>
      </c>
      <c r="G313">
        <f t="shared" si="22"/>
        <v>7</v>
      </c>
      <c r="H313" s="7">
        <v>345.39</v>
      </c>
      <c r="I313" s="7">
        <f t="shared" si="21"/>
        <v>343.72801174786798</v>
      </c>
      <c r="J313" s="7">
        <f t="shared" si="23"/>
        <v>1.6619882521320051</v>
      </c>
      <c r="K313" s="7" cm="1">
        <f t="array" ref="K313">INDEX(Sm,G313)</f>
        <v>0.72334113060077332</v>
      </c>
      <c r="L313" s="7">
        <f t="shared" si="24"/>
        <v>344.45135287846875</v>
      </c>
      <c r="M313" s="7">
        <f t="shared" si="25"/>
        <v>0.93864712153123264</v>
      </c>
    </row>
    <row r="314" spans="6:13" ht="18.75" customHeight="1">
      <c r="F314" s="1">
        <v>30895</v>
      </c>
      <c r="G314">
        <f t="shared" si="22"/>
        <v>8</v>
      </c>
      <c r="H314" s="7">
        <v>343.28</v>
      </c>
      <c r="I314" s="7">
        <f t="shared" si="21"/>
        <v>343.85117879103211</v>
      </c>
      <c r="J314" s="7">
        <f t="shared" si="23"/>
        <v>-0.57117879103213909</v>
      </c>
      <c r="K314" s="7" cm="1">
        <f t="array" ref="K314">INDEX(Sm,G314)</f>
        <v>-1.3975570061157723</v>
      </c>
      <c r="L314" s="7">
        <f t="shared" si="24"/>
        <v>342.45362178491632</v>
      </c>
      <c r="M314" s="7">
        <f t="shared" si="25"/>
        <v>0.8263782150836505</v>
      </c>
    </row>
    <row r="315" spans="6:13" ht="18.75" customHeight="1">
      <c r="F315" s="1">
        <v>30926</v>
      </c>
      <c r="G315">
        <f t="shared" si="22"/>
        <v>9</v>
      </c>
      <c r="H315" s="7">
        <v>341.07</v>
      </c>
      <c r="I315" s="7">
        <f t="shared" si="21"/>
        <v>343.97453428112749</v>
      </c>
      <c r="J315" s="7">
        <f t="shared" si="23"/>
        <v>-2.9045342811274963</v>
      </c>
      <c r="K315" s="7" cm="1">
        <f t="array" ref="K315">INDEX(Sm,G315)</f>
        <v>-3.1934822994410497</v>
      </c>
      <c r="L315" s="7">
        <f t="shared" si="24"/>
        <v>340.78105198168646</v>
      </c>
      <c r="M315" s="7">
        <f t="shared" si="25"/>
        <v>0.28894801831353334</v>
      </c>
    </row>
    <row r="316" spans="6:13" ht="18.75" customHeight="1">
      <c r="F316" s="1">
        <v>30956</v>
      </c>
      <c r="G316">
        <f t="shared" si="22"/>
        <v>10</v>
      </c>
      <c r="H316" s="7">
        <v>341.35</v>
      </c>
      <c r="I316" s="7">
        <f t="shared" si="21"/>
        <v>344.09408998844373</v>
      </c>
      <c r="J316" s="7">
        <f t="shared" si="23"/>
        <v>-2.7440899884437044</v>
      </c>
      <c r="K316" s="7" cm="1">
        <f t="array" ref="K316">INDEX(Sm,G316)</f>
        <v>-3.3368150874962788</v>
      </c>
      <c r="L316" s="7">
        <f t="shared" si="24"/>
        <v>340.75727490094744</v>
      </c>
      <c r="M316" s="7">
        <f t="shared" si="25"/>
        <v>0.5927250990525863</v>
      </c>
    </row>
    <row r="317" spans="6:13" ht="18.75" customHeight="1">
      <c r="F317" s="1">
        <v>30987</v>
      </c>
      <c r="G317">
        <f t="shared" si="22"/>
        <v>11</v>
      </c>
      <c r="H317" s="7">
        <v>342.98</v>
      </c>
      <c r="I317" s="7">
        <f t="shared" si="21"/>
        <v>344.21781629346845</v>
      </c>
      <c r="J317" s="7">
        <f t="shared" si="23"/>
        <v>-1.2378162934684269</v>
      </c>
      <c r="K317" s="7" cm="1">
        <f t="array" ref="K317">INDEX(Sm,G317)</f>
        <v>-2.0591623324975612</v>
      </c>
      <c r="L317" s="7">
        <f t="shared" si="24"/>
        <v>342.15865396097087</v>
      </c>
      <c r="M317" s="7">
        <f t="shared" si="25"/>
        <v>0.8213460390291516</v>
      </c>
    </row>
    <row r="318" spans="6:13" ht="18.75" customHeight="1">
      <c r="F318" s="1">
        <v>31017</v>
      </c>
      <c r="G318">
        <f t="shared" si="22"/>
        <v>12</v>
      </c>
      <c r="H318" s="7">
        <v>344.22</v>
      </c>
      <c r="I318" s="7">
        <f t="shared" si="21"/>
        <v>344.33773085394205</v>
      </c>
      <c r="J318" s="7">
        <f t="shared" si="23"/>
        <v>-0.11773085394202099</v>
      </c>
      <c r="K318" s="7" cm="1">
        <f t="array" ref="K318">INDEX(Sm,G318)</f>
        <v>-0.89132446529561371</v>
      </c>
      <c r="L318" s="7">
        <f t="shared" si="24"/>
        <v>343.44640638864644</v>
      </c>
      <c r="M318" s="7">
        <f t="shared" si="25"/>
        <v>0.77359361135358995</v>
      </c>
    </row>
    <row r="319" spans="6:13" ht="18.75" customHeight="1">
      <c r="F319" s="1">
        <v>31048</v>
      </c>
      <c r="G319">
        <f t="shared" si="22"/>
        <v>1</v>
      </c>
      <c r="H319" s="7">
        <v>344.97</v>
      </c>
      <c r="I319" s="7">
        <f t="shared" si="21"/>
        <v>344.46182797389611</v>
      </c>
      <c r="J319" s="7">
        <f t="shared" si="23"/>
        <v>0.50817202610392087</v>
      </c>
      <c r="K319" s="7" cm="1">
        <f t="array" ref="K319">INDEX(Sm,G319)</f>
        <v>6.1040869584970889E-2</v>
      </c>
      <c r="L319" s="7">
        <f t="shared" si="24"/>
        <v>344.52286884348109</v>
      </c>
      <c r="M319" s="7">
        <f t="shared" si="25"/>
        <v>0.44713115651893531</v>
      </c>
    </row>
    <row r="320" spans="6:13" ht="18.75" customHeight="1">
      <c r="F320" s="1">
        <v>31079</v>
      </c>
      <c r="G320">
        <f t="shared" si="22"/>
        <v>2</v>
      </c>
      <c r="H320" s="7">
        <v>345.99</v>
      </c>
      <c r="I320" s="7">
        <f t="shared" si="21"/>
        <v>344.58611354078153</v>
      </c>
      <c r="J320" s="7">
        <f t="shared" si="23"/>
        <v>1.4038864592184837</v>
      </c>
      <c r="K320" s="7" cm="1">
        <f t="array" ref="K320">INDEX(Sm,G320)</f>
        <v>0.69421564520236412</v>
      </c>
      <c r="L320" s="7">
        <f t="shared" si="24"/>
        <v>345.28032918598387</v>
      </c>
      <c r="M320" s="7">
        <f t="shared" si="25"/>
        <v>0.70967081401613541</v>
      </c>
    </row>
    <row r="321" spans="6:13" ht="18.75" customHeight="1">
      <c r="F321" s="1">
        <v>31107</v>
      </c>
      <c r="G321">
        <f t="shared" si="22"/>
        <v>3</v>
      </c>
      <c r="H321" s="7">
        <v>347.42</v>
      </c>
      <c r="I321" s="7">
        <f t="shared" si="21"/>
        <v>344.69853344631923</v>
      </c>
      <c r="J321" s="7">
        <f t="shared" si="23"/>
        <v>2.7214665536807843</v>
      </c>
      <c r="K321" s="7" cm="1">
        <f t="array" ref="K321">INDEX(Sm,G321)</f>
        <v>1.3733706304072995</v>
      </c>
      <c r="L321" s="7">
        <f t="shared" si="24"/>
        <v>346.07190407672653</v>
      </c>
      <c r="M321" s="7">
        <f t="shared" si="25"/>
        <v>1.3480959232734904</v>
      </c>
    </row>
    <row r="322" spans="6:13" ht="18.75" customHeight="1">
      <c r="F322" s="1">
        <v>31138</v>
      </c>
      <c r="G322">
        <f t="shared" si="22"/>
        <v>4</v>
      </c>
      <c r="H322" s="7">
        <v>348.35</v>
      </c>
      <c r="I322" s="7">
        <f t="shared" ref="I322:I385" si="26">_A*F322*F322+_B*F322+_C</f>
        <v>344.82317767026734</v>
      </c>
      <c r="J322" s="7">
        <f t="shared" si="23"/>
        <v>3.5268223297326813</v>
      </c>
      <c r="K322" s="7" cm="1">
        <f t="array" ref="K322">INDEX(Sm,G322)</f>
        <v>2.6099183412742755</v>
      </c>
      <c r="L322" s="7">
        <f t="shared" si="24"/>
        <v>347.43309601154164</v>
      </c>
      <c r="M322" s="7">
        <f t="shared" si="25"/>
        <v>0.91690398845838672</v>
      </c>
    </row>
    <row r="323" spans="6:13" ht="18.75" customHeight="1">
      <c r="F323" s="1">
        <v>31168</v>
      </c>
      <c r="G323">
        <f t="shared" ref="G323:G386" si="27">MONTH(F323)</f>
        <v>5</v>
      </c>
      <c r="H323" s="7">
        <v>348.93</v>
      </c>
      <c r="I323" s="7">
        <f t="shared" si="26"/>
        <v>344.94398053937658</v>
      </c>
      <c r="J323" s="7">
        <f t="shared" ref="J323:J386" si="28">H323-I323</f>
        <v>3.9860194606234245</v>
      </c>
      <c r="K323" s="7" cm="1">
        <f t="array" ref="K323">INDEX(Sm,G323)</f>
        <v>3.065291801195754</v>
      </c>
      <c r="L323" s="7">
        <f t="shared" ref="L323:L386" si="29">I323+K323</f>
        <v>348.00927234057235</v>
      </c>
      <c r="M323" s="7">
        <f t="shared" ref="M323:M386" si="30">H323-L323</f>
        <v>0.920727659427655</v>
      </c>
    </row>
    <row r="324" spans="6:13" ht="18.75" customHeight="1">
      <c r="F324" s="1">
        <v>31199</v>
      </c>
      <c r="G324">
        <f t="shared" si="27"/>
        <v>6</v>
      </c>
      <c r="H324" s="7">
        <v>348.25</v>
      </c>
      <c r="I324" s="7">
        <f t="shared" si="26"/>
        <v>345.06899557825409</v>
      </c>
      <c r="J324" s="7">
        <f t="shared" si="28"/>
        <v>3.1810044217459108</v>
      </c>
      <c r="K324" s="7" cm="1">
        <f t="array" ref="K324">INDEX(Sm,G324)</f>
        <v>2.3463851222642056</v>
      </c>
      <c r="L324" s="7">
        <f t="shared" si="29"/>
        <v>347.41538070051831</v>
      </c>
      <c r="M324" s="7">
        <f t="shared" si="30"/>
        <v>0.83461929948168745</v>
      </c>
    </row>
    <row r="325" spans="6:13" ht="18.75" customHeight="1">
      <c r="F325" s="1">
        <v>31229</v>
      </c>
      <c r="G325">
        <f t="shared" si="27"/>
        <v>7</v>
      </c>
      <c r="H325" s="7">
        <v>346.56</v>
      </c>
      <c r="I325" s="7">
        <f t="shared" si="26"/>
        <v>345.1901573005207</v>
      </c>
      <c r="J325" s="7">
        <f t="shared" si="28"/>
        <v>1.3698426994793067</v>
      </c>
      <c r="K325" s="7" cm="1">
        <f t="array" ref="K325">INDEX(Sm,G325)</f>
        <v>0.72334113060077332</v>
      </c>
      <c r="L325" s="7">
        <f t="shared" si="29"/>
        <v>345.91349843112147</v>
      </c>
      <c r="M325" s="7">
        <f t="shared" si="30"/>
        <v>0.64650156887853427</v>
      </c>
    </row>
    <row r="326" spans="6:13" ht="18.75" customHeight="1">
      <c r="F326" s="1">
        <v>31260</v>
      </c>
      <c r="G326">
        <f t="shared" si="27"/>
        <v>8</v>
      </c>
      <c r="H326" s="7">
        <v>344.67</v>
      </c>
      <c r="I326" s="7">
        <f t="shared" si="26"/>
        <v>345.31554315432754</v>
      </c>
      <c r="J326" s="7">
        <f t="shared" si="28"/>
        <v>-0.64554315432752674</v>
      </c>
      <c r="K326" s="7" cm="1">
        <f t="array" ref="K326">INDEX(Sm,G326)</f>
        <v>-1.3975570061157723</v>
      </c>
      <c r="L326" s="7">
        <f t="shared" si="29"/>
        <v>343.91798614821175</v>
      </c>
      <c r="M326" s="7">
        <f t="shared" si="30"/>
        <v>0.75201385178826285</v>
      </c>
    </row>
    <row r="327" spans="6:13" ht="18.75" customHeight="1">
      <c r="F327" s="1">
        <v>31291</v>
      </c>
      <c r="G327">
        <f t="shared" si="27"/>
        <v>9</v>
      </c>
      <c r="H327" s="7">
        <v>343.09</v>
      </c>
      <c r="I327" s="7">
        <f t="shared" si="26"/>
        <v>345.44111745506564</v>
      </c>
      <c r="J327" s="7">
        <f t="shared" si="28"/>
        <v>-2.3511174550656619</v>
      </c>
      <c r="K327" s="7" cm="1">
        <f t="array" ref="K327">INDEX(Sm,G327)</f>
        <v>-3.1934822994410497</v>
      </c>
      <c r="L327" s="7">
        <f t="shared" si="29"/>
        <v>342.24763515562461</v>
      </c>
      <c r="M327" s="7">
        <f t="shared" si="30"/>
        <v>0.84236484437536774</v>
      </c>
    </row>
    <row r="328" spans="6:13" ht="18.75" customHeight="1">
      <c r="F328" s="1">
        <v>31321</v>
      </c>
      <c r="G328">
        <f t="shared" si="27"/>
        <v>10</v>
      </c>
      <c r="H328" s="7">
        <v>342.8</v>
      </c>
      <c r="I328" s="7">
        <f t="shared" si="26"/>
        <v>345.5628203984877</v>
      </c>
      <c r="J328" s="7">
        <f t="shared" si="28"/>
        <v>-2.7628203984876905</v>
      </c>
      <c r="K328" s="7" cm="1">
        <f t="array" ref="K328">INDEX(Sm,G328)</f>
        <v>-3.3368150874962788</v>
      </c>
      <c r="L328" s="7">
        <f t="shared" si="29"/>
        <v>342.22600531099141</v>
      </c>
      <c r="M328" s="7">
        <f t="shared" si="30"/>
        <v>0.57399468900860029</v>
      </c>
    </row>
    <row r="329" spans="6:13" ht="18.75" customHeight="1">
      <c r="F329" s="1">
        <v>31352</v>
      </c>
      <c r="G329">
        <f t="shared" si="27"/>
        <v>11</v>
      </c>
      <c r="H329" s="7">
        <v>344.24</v>
      </c>
      <c r="I329" s="7">
        <f t="shared" si="26"/>
        <v>345.68876551415519</v>
      </c>
      <c r="J329" s="7">
        <f t="shared" si="28"/>
        <v>-1.4487655141551841</v>
      </c>
      <c r="K329" s="7" cm="1">
        <f t="array" ref="K329">INDEX(Sm,G329)</f>
        <v>-2.0591623324975612</v>
      </c>
      <c r="L329" s="7">
        <f t="shared" si="29"/>
        <v>343.62960318165761</v>
      </c>
      <c r="M329" s="7">
        <f t="shared" si="30"/>
        <v>0.61039681834239445</v>
      </c>
    </row>
    <row r="330" spans="6:13" ht="18.75" customHeight="1">
      <c r="F330" s="1">
        <v>31382</v>
      </c>
      <c r="G330">
        <f t="shared" si="27"/>
        <v>12</v>
      </c>
      <c r="H330" s="7">
        <v>345.56</v>
      </c>
      <c r="I330" s="7">
        <f t="shared" si="26"/>
        <v>345.81082731073462</v>
      </c>
      <c r="J330" s="7">
        <f t="shared" si="28"/>
        <v>-0.25082731073462128</v>
      </c>
      <c r="K330" s="7" cm="1">
        <f t="array" ref="K330">INDEX(Sm,G330)</f>
        <v>-0.89132446529561371</v>
      </c>
      <c r="L330" s="7">
        <f t="shared" si="29"/>
        <v>344.91950284543901</v>
      </c>
      <c r="M330" s="7">
        <f t="shared" si="30"/>
        <v>0.64049715456098966</v>
      </c>
    </row>
    <row r="331" spans="6:13" ht="18.75" customHeight="1">
      <c r="F331" s="1">
        <v>31413</v>
      </c>
      <c r="G331">
        <f t="shared" si="27"/>
        <v>1</v>
      </c>
      <c r="H331" s="7">
        <v>346.3</v>
      </c>
      <c r="I331" s="7">
        <f t="shared" si="26"/>
        <v>345.93714324133146</v>
      </c>
      <c r="J331" s="7">
        <f t="shared" si="28"/>
        <v>0.36285675866855627</v>
      </c>
      <c r="K331" s="7" cm="1">
        <f t="array" ref="K331">INDEX(Sm,G331)</f>
        <v>6.1040869584970889E-2</v>
      </c>
      <c r="L331" s="7">
        <f t="shared" si="29"/>
        <v>345.99818411091644</v>
      </c>
      <c r="M331" s="7">
        <f t="shared" si="30"/>
        <v>0.30181588908357071</v>
      </c>
    </row>
    <row r="332" spans="6:13" ht="18.75" customHeight="1">
      <c r="F332" s="1">
        <v>31444</v>
      </c>
      <c r="G332">
        <f t="shared" si="27"/>
        <v>2</v>
      </c>
      <c r="H332" s="7">
        <v>346.95</v>
      </c>
      <c r="I332" s="7">
        <f t="shared" si="26"/>
        <v>346.06364761885953</v>
      </c>
      <c r="J332" s="7">
        <f t="shared" si="28"/>
        <v>0.88635238114045478</v>
      </c>
      <c r="K332" s="7" cm="1">
        <f t="array" ref="K332">INDEX(Sm,G332)</f>
        <v>0.69421564520236412</v>
      </c>
      <c r="L332" s="7">
        <f t="shared" si="29"/>
        <v>346.75786326406188</v>
      </c>
      <c r="M332" s="7">
        <f t="shared" si="30"/>
        <v>0.19213673593810654</v>
      </c>
    </row>
    <row r="333" spans="6:13" ht="18.75" customHeight="1">
      <c r="F333" s="1">
        <v>31472</v>
      </c>
      <c r="G333">
        <f t="shared" si="27"/>
        <v>3</v>
      </c>
      <c r="H333" s="7">
        <v>347.85</v>
      </c>
      <c r="I333" s="7">
        <f t="shared" si="26"/>
        <v>346.1780716114294</v>
      </c>
      <c r="J333" s="7">
        <f t="shared" si="28"/>
        <v>1.6719283885706204</v>
      </c>
      <c r="K333" s="7" cm="1">
        <f t="array" ref="K333">INDEX(Sm,G333)</f>
        <v>1.3733706304072995</v>
      </c>
      <c r="L333" s="7">
        <f t="shared" si="29"/>
        <v>347.5514422418367</v>
      </c>
      <c r="M333" s="7">
        <f t="shared" si="30"/>
        <v>0.29855775816332653</v>
      </c>
    </row>
    <row r="334" spans="6:13" ht="18.75" customHeight="1">
      <c r="F334" s="1">
        <v>31503</v>
      </c>
      <c r="G334">
        <f t="shared" si="27"/>
        <v>4</v>
      </c>
      <c r="H334" s="7">
        <v>349.55</v>
      </c>
      <c r="I334" s="7">
        <f t="shared" si="26"/>
        <v>346.30493464602029</v>
      </c>
      <c r="J334" s="7">
        <f t="shared" si="28"/>
        <v>3.2450653539797258</v>
      </c>
      <c r="K334" s="7" cm="1">
        <f t="array" ref="K334">INDEX(Sm,G334)</f>
        <v>2.6099183412742755</v>
      </c>
      <c r="L334" s="7">
        <f t="shared" si="29"/>
        <v>348.91485298729458</v>
      </c>
      <c r="M334" s="7">
        <f t="shared" si="30"/>
        <v>0.63514701270543128</v>
      </c>
    </row>
    <row r="335" spans="6:13" ht="18.75" customHeight="1">
      <c r="F335" s="1">
        <v>31533</v>
      </c>
      <c r="G335">
        <f t="shared" si="27"/>
        <v>5</v>
      </c>
      <c r="H335" s="7">
        <v>350.22</v>
      </c>
      <c r="I335" s="7">
        <f t="shared" si="26"/>
        <v>346.42788475123535</v>
      </c>
      <c r="J335" s="7">
        <f t="shared" si="28"/>
        <v>3.7921152487646737</v>
      </c>
      <c r="K335" s="7" cm="1">
        <f t="array" ref="K335">INDEX(Sm,G335)</f>
        <v>3.065291801195754</v>
      </c>
      <c r="L335" s="7">
        <f t="shared" si="29"/>
        <v>349.49317655243112</v>
      </c>
      <c r="M335" s="7">
        <f t="shared" si="30"/>
        <v>0.72682344756890416</v>
      </c>
    </row>
    <row r="336" spans="6:13" ht="18.75" customHeight="1">
      <c r="F336" s="1">
        <v>31564</v>
      </c>
      <c r="G336">
        <f t="shared" si="27"/>
        <v>6</v>
      </c>
      <c r="H336" s="7">
        <v>349.55</v>
      </c>
      <c r="I336" s="7">
        <f t="shared" si="26"/>
        <v>346.55511860075558</v>
      </c>
      <c r="J336" s="7">
        <f t="shared" si="28"/>
        <v>2.9948813992444343</v>
      </c>
      <c r="K336" s="7" cm="1">
        <f t="array" ref="K336">INDEX(Sm,G336)</f>
        <v>2.3463851222642056</v>
      </c>
      <c r="L336" s="7">
        <f t="shared" si="29"/>
        <v>348.9015037230198</v>
      </c>
      <c r="M336" s="7">
        <f t="shared" si="30"/>
        <v>0.64849627698021095</v>
      </c>
    </row>
    <row r="337" spans="6:13" ht="18.75" customHeight="1">
      <c r="F337" s="1">
        <v>31594</v>
      </c>
      <c r="G337">
        <f t="shared" si="27"/>
        <v>7</v>
      </c>
      <c r="H337" s="7">
        <v>347.94</v>
      </c>
      <c r="I337" s="7">
        <f t="shared" si="26"/>
        <v>346.67842755912807</v>
      </c>
      <c r="J337" s="7">
        <f t="shared" si="28"/>
        <v>1.2615724408719302</v>
      </c>
      <c r="K337" s="7" cm="1">
        <f t="array" ref="K337">INDEX(Sm,G337)</f>
        <v>0.72334113060077332</v>
      </c>
      <c r="L337" s="7">
        <f t="shared" si="29"/>
        <v>347.40176868972884</v>
      </c>
      <c r="M337" s="7">
        <f t="shared" si="30"/>
        <v>0.53823131027115778</v>
      </c>
    </row>
    <row r="338" spans="6:13" ht="18.75" customHeight="1">
      <c r="F338" s="1">
        <v>31625</v>
      </c>
      <c r="G338">
        <f t="shared" si="27"/>
        <v>8</v>
      </c>
      <c r="H338" s="7">
        <v>345.9</v>
      </c>
      <c r="I338" s="7">
        <f t="shared" si="26"/>
        <v>346.80603222357763</v>
      </c>
      <c r="J338" s="7">
        <f t="shared" si="28"/>
        <v>-0.90603222357765389</v>
      </c>
      <c r="K338" s="7" cm="1">
        <f t="array" ref="K338">INDEX(Sm,G338)</f>
        <v>-1.3975570061157723</v>
      </c>
      <c r="L338" s="7">
        <f t="shared" si="29"/>
        <v>345.40847521746184</v>
      </c>
      <c r="M338" s="7">
        <f t="shared" si="30"/>
        <v>0.4915247825381357</v>
      </c>
    </row>
    <row r="339" spans="6:13" ht="18.75" customHeight="1">
      <c r="F339" s="1">
        <v>31656</v>
      </c>
      <c r="G339">
        <f t="shared" si="27"/>
        <v>9</v>
      </c>
      <c r="H339" s="7">
        <v>344.85</v>
      </c>
      <c r="I339" s="7">
        <f t="shared" si="26"/>
        <v>346.9338253349585</v>
      </c>
      <c r="J339" s="7">
        <f t="shared" si="28"/>
        <v>-2.0838253349584761</v>
      </c>
      <c r="K339" s="7" cm="1">
        <f t="array" ref="K339">INDEX(Sm,G339)</f>
        <v>-3.1934822994410497</v>
      </c>
      <c r="L339" s="7">
        <f t="shared" si="29"/>
        <v>343.74034303551747</v>
      </c>
      <c r="M339" s="7">
        <f t="shared" si="30"/>
        <v>1.1096569644825536</v>
      </c>
    </row>
    <row r="340" spans="6:13" ht="18.75" customHeight="1">
      <c r="F340" s="1">
        <v>31686</v>
      </c>
      <c r="G340">
        <f t="shared" si="27"/>
        <v>10</v>
      </c>
      <c r="H340" s="7">
        <v>344.17</v>
      </c>
      <c r="I340" s="7">
        <f t="shared" si="26"/>
        <v>347.05767551448639</v>
      </c>
      <c r="J340" s="7">
        <f t="shared" si="28"/>
        <v>-2.8876755144863751</v>
      </c>
      <c r="K340" s="7" cm="1">
        <f t="array" ref="K340">INDEX(Sm,G340)</f>
        <v>-3.3368150874962788</v>
      </c>
      <c r="L340" s="7">
        <f t="shared" si="29"/>
        <v>343.7208604269901</v>
      </c>
      <c r="M340" s="7">
        <f t="shared" si="30"/>
        <v>0.44913957300991569</v>
      </c>
    </row>
    <row r="341" spans="6:13" ht="18.75" customHeight="1">
      <c r="F341" s="1">
        <v>31717</v>
      </c>
      <c r="G341">
        <f t="shared" si="27"/>
        <v>11</v>
      </c>
      <c r="H341" s="7">
        <v>345.66</v>
      </c>
      <c r="I341" s="7">
        <f t="shared" si="26"/>
        <v>347.1858394407966</v>
      </c>
      <c r="J341" s="7">
        <f t="shared" si="28"/>
        <v>-1.5258394407965739</v>
      </c>
      <c r="K341" s="7" cm="1">
        <f t="array" ref="K341">INDEX(Sm,G341)</f>
        <v>-2.0591623324975612</v>
      </c>
      <c r="L341" s="7">
        <f t="shared" si="29"/>
        <v>345.12667710829902</v>
      </c>
      <c r="M341" s="7">
        <f t="shared" si="30"/>
        <v>0.53332289170100466</v>
      </c>
    </row>
    <row r="342" spans="6:13" ht="18.75" customHeight="1">
      <c r="F342" s="1">
        <v>31747</v>
      </c>
      <c r="G342">
        <f t="shared" si="27"/>
        <v>12</v>
      </c>
      <c r="H342" s="7">
        <v>346.9</v>
      </c>
      <c r="I342" s="7">
        <f t="shared" si="26"/>
        <v>347.31004847348197</v>
      </c>
      <c r="J342" s="7">
        <f t="shared" si="28"/>
        <v>-0.41004847348199291</v>
      </c>
      <c r="K342" s="7" cm="1">
        <f t="array" ref="K342">INDEX(Sm,G342)</f>
        <v>-0.89132446529561371</v>
      </c>
      <c r="L342" s="7">
        <f t="shared" si="29"/>
        <v>346.41872400818636</v>
      </c>
      <c r="M342" s="7">
        <f t="shared" si="30"/>
        <v>0.48127599181361802</v>
      </c>
    </row>
    <row r="343" spans="6:13" ht="18.75" customHeight="1">
      <c r="F343" s="1">
        <v>31778</v>
      </c>
      <c r="G343">
        <f t="shared" si="27"/>
        <v>1</v>
      </c>
      <c r="H343" s="7">
        <v>348.02</v>
      </c>
      <c r="I343" s="7">
        <f t="shared" si="26"/>
        <v>347.43858321472146</v>
      </c>
      <c r="J343" s="7">
        <f t="shared" si="28"/>
        <v>0.58141678527852036</v>
      </c>
      <c r="K343" s="7" cm="1">
        <f t="array" ref="K343">INDEX(Sm,G343)</f>
        <v>6.1040869584970889E-2</v>
      </c>
      <c r="L343" s="7">
        <f t="shared" si="29"/>
        <v>347.49962408430645</v>
      </c>
      <c r="M343" s="7">
        <f t="shared" si="30"/>
        <v>0.52037591569353481</v>
      </c>
    </row>
    <row r="344" spans="6:13" ht="18.75" customHeight="1">
      <c r="F344" s="1">
        <v>31809</v>
      </c>
      <c r="G344">
        <f t="shared" si="27"/>
        <v>2</v>
      </c>
      <c r="H344" s="7">
        <v>348.48</v>
      </c>
      <c r="I344" s="7">
        <f t="shared" si="26"/>
        <v>347.56730640289231</v>
      </c>
      <c r="J344" s="7">
        <f t="shared" si="28"/>
        <v>0.91269359710770459</v>
      </c>
      <c r="K344" s="7" cm="1">
        <f t="array" ref="K344">INDEX(Sm,G344)</f>
        <v>0.69421564520236412</v>
      </c>
      <c r="L344" s="7">
        <f t="shared" si="29"/>
        <v>348.26152204809466</v>
      </c>
      <c r="M344" s="7">
        <f t="shared" si="30"/>
        <v>0.21847795190535635</v>
      </c>
    </row>
    <row r="345" spans="6:13" ht="18.75" customHeight="1">
      <c r="F345" s="1">
        <v>31837</v>
      </c>
      <c r="G345">
        <f t="shared" si="27"/>
        <v>3</v>
      </c>
      <c r="H345" s="7">
        <v>349.42</v>
      </c>
      <c r="I345" s="7">
        <f t="shared" si="26"/>
        <v>347.68373448249429</v>
      </c>
      <c r="J345" s="7">
        <f t="shared" si="28"/>
        <v>1.7362655175057284</v>
      </c>
      <c r="K345" s="7" cm="1">
        <f t="array" ref="K345">INDEX(Sm,G345)</f>
        <v>1.3733706304072995</v>
      </c>
      <c r="L345" s="7">
        <f t="shared" si="29"/>
        <v>349.05710511290158</v>
      </c>
      <c r="M345" s="7">
        <f t="shared" si="30"/>
        <v>0.36289488709843454</v>
      </c>
    </row>
    <row r="346" spans="6:13" ht="18.75" customHeight="1">
      <c r="F346" s="1">
        <v>31868</v>
      </c>
      <c r="G346">
        <f t="shared" si="27"/>
        <v>4</v>
      </c>
      <c r="H346" s="7">
        <v>350.98</v>
      </c>
      <c r="I346" s="7">
        <f t="shared" si="26"/>
        <v>347.81281632772794</v>
      </c>
      <c r="J346" s="7">
        <f t="shared" si="28"/>
        <v>3.1671836722720741</v>
      </c>
      <c r="K346" s="7" cm="1">
        <f t="array" ref="K346">INDEX(Sm,G346)</f>
        <v>2.6099183412742755</v>
      </c>
      <c r="L346" s="7">
        <f t="shared" si="29"/>
        <v>350.42273466900224</v>
      </c>
      <c r="M346" s="7">
        <f t="shared" si="30"/>
        <v>0.55726533099777953</v>
      </c>
    </row>
    <row r="347" spans="6:13" ht="18.75" customHeight="1">
      <c r="F347" s="1">
        <v>31898</v>
      </c>
      <c r="G347">
        <f t="shared" si="27"/>
        <v>5</v>
      </c>
      <c r="H347" s="7">
        <v>351.85</v>
      </c>
      <c r="I347" s="7">
        <f t="shared" si="26"/>
        <v>347.93791366904884</v>
      </c>
      <c r="J347" s="7">
        <f t="shared" si="28"/>
        <v>3.9120863309511833</v>
      </c>
      <c r="K347" s="7" cm="1">
        <f t="array" ref="K347">INDEX(Sm,G347)</f>
        <v>3.065291801195754</v>
      </c>
      <c r="L347" s="7">
        <f t="shared" si="29"/>
        <v>351.00320547024461</v>
      </c>
      <c r="M347" s="7">
        <f t="shared" si="30"/>
        <v>0.84679452975541381</v>
      </c>
    </row>
    <row r="348" spans="6:13" ht="18.75" customHeight="1">
      <c r="F348" s="1">
        <v>31929</v>
      </c>
      <c r="G348">
        <f t="shared" si="27"/>
        <v>6</v>
      </c>
      <c r="H348" s="7">
        <v>351.26</v>
      </c>
      <c r="I348" s="7">
        <f t="shared" si="26"/>
        <v>348.06736632921184</v>
      </c>
      <c r="J348" s="7">
        <f t="shared" si="28"/>
        <v>3.1926336707881546</v>
      </c>
      <c r="K348" s="7" cm="1">
        <f t="array" ref="K348">INDEX(Sm,G348)</f>
        <v>2.3463851222642056</v>
      </c>
      <c r="L348" s="7">
        <f t="shared" si="29"/>
        <v>350.41375145147606</v>
      </c>
      <c r="M348" s="7">
        <f t="shared" si="30"/>
        <v>0.84624854852393128</v>
      </c>
    </row>
    <row r="349" spans="6:13" ht="18.75" customHeight="1">
      <c r="F349" s="1">
        <v>31959</v>
      </c>
      <c r="G349">
        <f t="shared" si="27"/>
        <v>7</v>
      </c>
      <c r="H349" s="7">
        <v>349.51</v>
      </c>
      <c r="I349" s="7">
        <f t="shared" si="26"/>
        <v>348.19282252369015</v>
      </c>
      <c r="J349" s="7">
        <f t="shared" si="28"/>
        <v>1.3171774763098369</v>
      </c>
      <c r="K349" s="7" cm="1">
        <f t="array" ref="K349">INDEX(Sm,G349)</f>
        <v>0.72334113060077332</v>
      </c>
      <c r="L349" s="7">
        <f t="shared" si="29"/>
        <v>348.91616365429093</v>
      </c>
      <c r="M349" s="7">
        <f t="shared" si="30"/>
        <v>0.59383634570906452</v>
      </c>
    </row>
    <row r="350" spans="6:13" ht="18.75" customHeight="1">
      <c r="F350" s="1">
        <v>31990</v>
      </c>
      <c r="G350">
        <f t="shared" si="27"/>
        <v>8</v>
      </c>
      <c r="H350" s="7">
        <v>348.1</v>
      </c>
      <c r="I350" s="7">
        <f t="shared" si="26"/>
        <v>348.32264599878249</v>
      </c>
      <c r="J350" s="7">
        <f t="shared" si="28"/>
        <v>-0.22264599878246827</v>
      </c>
      <c r="K350" s="7" cm="1">
        <f t="array" ref="K350">INDEX(Sm,G350)</f>
        <v>-1.3975570061157723</v>
      </c>
      <c r="L350" s="7">
        <f t="shared" si="29"/>
        <v>346.9250889926667</v>
      </c>
      <c r="M350" s="7">
        <f t="shared" si="30"/>
        <v>1.1749110073333213</v>
      </c>
    </row>
    <row r="351" spans="6:13" ht="18.75" customHeight="1">
      <c r="F351" s="1">
        <v>32021</v>
      </c>
      <c r="G351">
        <f t="shared" si="27"/>
        <v>9</v>
      </c>
      <c r="H351" s="7">
        <v>346.45</v>
      </c>
      <c r="I351" s="7">
        <f t="shared" si="26"/>
        <v>348.45265792080602</v>
      </c>
      <c r="J351" s="7">
        <f t="shared" si="28"/>
        <v>-2.0026579208060298</v>
      </c>
      <c r="K351" s="7" cm="1">
        <f t="array" ref="K351">INDEX(Sm,G351)</f>
        <v>-3.1934822994410497</v>
      </c>
      <c r="L351" s="7">
        <f t="shared" si="29"/>
        <v>345.25917562136499</v>
      </c>
      <c r="M351" s="7">
        <f t="shared" si="30"/>
        <v>1.1908243786349999</v>
      </c>
    </row>
    <row r="352" spans="6:13" ht="18.75" customHeight="1">
      <c r="F352" s="1">
        <v>32051</v>
      </c>
      <c r="G352">
        <f t="shared" si="27"/>
        <v>10</v>
      </c>
      <c r="H352" s="7">
        <v>346.36</v>
      </c>
      <c r="I352" s="7">
        <f t="shared" si="26"/>
        <v>348.57865533643985</v>
      </c>
      <c r="J352" s="7">
        <f t="shared" si="28"/>
        <v>-2.2186553364398378</v>
      </c>
      <c r="K352" s="7" cm="1">
        <f t="array" ref="K352">INDEX(Sm,G352)</f>
        <v>-3.3368150874962788</v>
      </c>
      <c r="L352" s="7">
        <f t="shared" si="29"/>
        <v>345.24184024894356</v>
      </c>
      <c r="M352" s="7">
        <f t="shared" si="30"/>
        <v>1.1181597510564529</v>
      </c>
    </row>
    <row r="353" spans="6:13" ht="18.75" customHeight="1">
      <c r="F353" s="1">
        <v>32082</v>
      </c>
      <c r="G353">
        <f t="shared" si="27"/>
        <v>11</v>
      </c>
      <c r="H353" s="7">
        <v>347.81</v>
      </c>
      <c r="I353" s="7">
        <f t="shared" si="26"/>
        <v>348.70903807339278</v>
      </c>
      <c r="J353" s="7">
        <f t="shared" si="28"/>
        <v>-0.89903807339277364</v>
      </c>
      <c r="K353" s="7" cm="1">
        <f t="array" ref="K353">INDEX(Sm,G353)</f>
        <v>-2.0591623324975612</v>
      </c>
      <c r="L353" s="7">
        <f t="shared" si="29"/>
        <v>346.6498757408952</v>
      </c>
      <c r="M353" s="7">
        <f t="shared" si="30"/>
        <v>1.1601242591048049</v>
      </c>
    </row>
    <row r="354" spans="6:13" ht="18.75" customHeight="1">
      <c r="F354" s="1">
        <v>32112</v>
      </c>
      <c r="G354">
        <f t="shared" si="27"/>
        <v>12</v>
      </c>
      <c r="H354" s="7">
        <v>348.96</v>
      </c>
      <c r="I354" s="7">
        <f t="shared" si="26"/>
        <v>348.83539434218397</v>
      </c>
      <c r="J354" s="7">
        <f t="shared" si="28"/>
        <v>0.12460565781600508</v>
      </c>
      <c r="K354" s="7" cm="1">
        <f t="array" ref="K354">INDEX(Sm,G354)</f>
        <v>-0.89132446529561371</v>
      </c>
      <c r="L354" s="7">
        <f t="shared" si="29"/>
        <v>347.94406987688836</v>
      </c>
      <c r="M354" s="7">
        <f t="shared" si="30"/>
        <v>1.015930123111616</v>
      </c>
    </row>
    <row r="355" spans="6:13" ht="18.75" customHeight="1">
      <c r="F355" s="1">
        <v>32143</v>
      </c>
      <c r="G355">
        <f t="shared" si="27"/>
        <v>1</v>
      </c>
      <c r="H355" s="7">
        <v>350.43</v>
      </c>
      <c r="I355" s="7">
        <f t="shared" si="26"/>
        <v>348.96614789406624</v>
      </c>
      <c r="J355" s="7">
        <f t="shared" si="28"/>
        <v>1.4638521059337677</v>
      </c>
      <c r="K355" s="7" cm="1">
        <f t="array" ref="K355">INDEX(Sm,G355)</f>
        <v>6.1040869584970889E-2</v>
      </c>
      <c r="L355" s="7">
        <f t="shared" si="29"/>
        <v>349.02718876365122</v>
      </c>
      <c r="M355" s="7">
        <f t="shared" si="30"/>
        <v>1.4028112363487821</v>
      </c>
    </row>
    <row r="356" spans="6:13" ht="18.75" customHeight="1">
      <c r="F356" s="1">
        <v>32174</v>
      </c>
      <c r="G356">
        <f t="shared" si="27"/>
        <v>2</v>
      </c>
      <c r="H356" s="7">
        <v>351.73</v>
      </c>
      <c r="I356" s="7">
        <f t="shared" si="26"/>
        <v>349.09708989287981</v>
      </c>
      <c r="J356" s="7">
        <f t="shared" si="28"/>
        <v>2.6329101071202103</v>
      </c>
      <c r="K356" s="7" cm="1">
        <f t="array" ref="K356">INDEX(Sm,G356)</f>
        <v>0.69421564520236412</v>
      </c>
      <c r="L356" s="7">
        <f t="shared" si="29"/>
        <v>349.79130553808216</v>
      </c>
      <c r="M356" s="7">
        <f t="shared" si="30"/>
        <v>1.9386944619178621</v>
      </c>
    </row>
    <row r="357" spans="6:13" ht="18.75" customHeight="1">
      <c r="F357" s="1">
        <v>32203</v>
      </c>
      <c r="G357">
        <f t="shared" si="27"/>
        <v>3</v>
      </c>
      <c r="H357" s="7">
        <v>352.22</v>
      </c>
      <c r="I357" s="7">
        <f t="shared" si="26"/>
        <v>349.21975462312287</v>
      </c>
      <c r="J357" s="7">
        <f t="shared" si="28"/>
        <v>3.0002453768771602</v>
      </c>
      <c r="K357" s="7" cm="1">
        <f t="array" ref="K357">INDEX(Sm,G357)</f>
        <v>1.3733706304072995</v>
      </c>
      <c r="L357" s="7">
        <f t="shared" si="29"/>
        <v>350.59312525353016</v>
      </c>
      <c r="M357" s="7">
        <f t="shared" si="30"/>
        <v>1.6268747464698663</v>
      </c>
    </row>
    <row r="358" spans="6:13" ht="18.75" customHeight="1">
      <c r="F358" s="1">
        <v>32234</v>
      </c>
      <c r="G358">
        <f t="shared" si="27"/>
        <v>4</v>
      </c>
      <c r="H358" s="7">
        <v>353.59</v>
      </c>
      <c r="I358" s="7">
        <f t="shared" si="26"/>
        <v>349.35106135793251</v>
      </c>
      <c r="J358" s="7">
        <f t="shared" si="28"/>
        <v>4.2389386420674668</v>
      </c>
      <c r="K358" s="7" cm="1">
        <f t="array" ref="K358">INDEX(Sm,G358)</f>
        <v>2.6099183412742755</v>
      </c>
      <c r="L358" s="7">
        <f t="shared" si="29"/>
        <v>351.9609796992068</v>
      </c>
      <c r="M358" s="7">
        <f t="shared" si="30"/>
        <v>1.6290203007931723</v>
      </c>
    </row>
    <row r="359" spans="6:13" ht="18.75" customHeight="1">
      <c r="F359" s="1">
        <v>32264</v>
      </c>
      <c r="G359">
        <f t="shared" si="27"/>
        <v>5</v>
      </c>
      <c r="H359" s="7">
        <v>354.22</v>
      </c>
      <c r="I359" s="7">
        <f t="shared" si="26"/>
        <v>349.47831181819794</v>
      </c>
      <c r="J359" s="7">
        <f t="shared" si="28"/>
        <v>4.7416881818020897</v>
      </c>
      <c r="K359" s="7" cm="1">
        <f t="array" ref="K359">INDEX(Sm,G359)</f>
        <v>3.065291801195754</v>
      </c>
      <c r="L359" s="7">
        <f t="shared" si="29"/>
        <v>352.54360361939371</v>
      </c>
      <c r="M359" s="7">
        <f t="shared" si="30"/>
        <v>1.6763963806063202</v>
      </c>
    </row>
    <row r="360" spans="6:13" ht="18.75" customHeight="1">
      <c r="F360" s="1">
        <v>32295</v>
      </c>
      <c r="G360">
        <f t="shared" si="27"/>
        <v>6</v>
      </c>
      <c r="H360" s="7">
        <v>353.8</v>
      </c>
      <c r="I360" s="7">
        <f t="shared" si="26"/>
        <v>349.60998936793692</v>
      </c>
      <c r="J360" s="7">
        <f t="shared" si="28"/>
        <v>4.1900106320630925</v>
      </c>
      <c r="K360" s="7" cm="1">
        <f t="array" ref="K360">INDEX(Sm,G360)</f>
        <v>2.3463851222642056</v>
      </c>
      <c r="L360" s="7">
        <f t="shared" si="29"/>
        <v>351.95637449020114</v>
      </c>
      <c r="M360" s="7">
        <f t="shared" si="30"/>
        <v>1.8436255097988692</v>
      </c>
    </row>
    <row r="361" spans="6:13" ht="18.75" customHeight="1">
      <c r="F361" s="1">
        <v>32325</v>
      </c>
      <c r="G361">
        <f t="shared" si="27"/>
        <v>7</v>
      </c>
      <c r="H361" s="7">
        <v>352.38</v>
      </c>
      <c r="I361" s="7">
        <f t="shared" si="26"/>
        <v>349.73759868135977</v>
      </c>
      <c r="J361" s="7">
        <f t="shared" si="28"/>
        <v>2.6424013186402249</v>
      </c>
      <c r="K361" s="7" cm="1">
        <f t="array" ref="K361">INDEX(Sm,G361)</f>
        <v>0.72334113060077332</v>
      </c>
      <c r="L361" s="7">
        <f t="shared" si="29"/>
        <v>350.46093981196054</v>
      </c>
      <c r="M361" s="7">
        <f t="shared" si="30"/>
        <v>1.9190601880394524</v>
      </c>
    </row>
    <row r="362" spans="6:13" ht="18.75" customHeight="1">
      <c r="F362" s="1">
        <v>32356</v>
      </c>
      <c r="G362">
        <f t="shared" si="27"/>
        <v>8</v>
      </c>
      <c r="H362" s="7">
        <v>350.43</v>
      </c>
      <c r="I362" s="7">
        <f t="shared" si="26"/>
        <v>349.86964704602804</v>
      </c>
      <c r="J362" s="7">
        <f t="shared" si="28"/>
        <v>0.5603529539719716</v>
      </c>
      <c r="K362" s="7" cm="1">
        <f t="array" ref="K362">INDEX(Sm,G362)</f>
        <v>-1.3975570061157723</v>
      </c>
      <c r="L362" s="7">
        <f t="shared" si="29"/>
        <v>348.47209003991225</v>
      </c>
      <c r="M362" s="7">
        <f t="shared" si="30"/>
        <v>1.9579099600877612</v>
      </c>
    </row>
    <row r="363" spans="6:13" ht="18.75" customHeight="1">
      <c r="F363" s="1">
        <v>32387</v>
      </c>
      <c r="G363">
        <f t="shared" si="27"/>
        <v>9</v>
      </c>
      <c r="H363" s="7">
        <v>348.73</v>
      </c>
      <c r="I363" s="7">
        <f t="shared" si="26"/>
        <v>350.00188385762766</v>
      </c>
      <c r="J363" s="7">
        <f t="shared" si="28"/>
        <v>-1.2718838576276426</v>
      </c>
      <c r="K363" s="7" cm="1">
        <f t="array" ref="K363">INDEX(Sm,G363)</f>
        <v>-3.1934822994410497</v>
      </c>
      <c r="L363" s="7">
        <f t="shared" si="29"/>
        <v>346.80840155818663</v>
      </c>
      <c r="M363" s="7">
        <f t="shared" si="30"/>
        <v>1.9215984418133871</v>
      </c>
    </row>
    <row r="364" spans="6:13" ht="18.75" customHeight="1">
      <c r="F364" s="1">
        <v>32417</v>
      </c>
      <c r="G364">
        <f t="shared" si="27"/>
        <v>10</v>
      </c>
      <c r="H364" s="7">
        <v>348.88</v>
      </c>
      <c r="I364" s="7">
        <f t="shared" si="26"/>
        <v>350.13003439220597</v>
      </c>
      <c r="J364" s="7">
        <f t="shared" si="28"/>
        <v>-1.2500343922059756</v>
      </c>
      <c r="K364" s="7" cm="1">
        <f t="array" ref="K364">INDEX(Sm,G364)</f>
        <v>-3.3368150874962788</v>
      </c>
      <c r="L364" s="7">
        <f t="shared" si="29"/>
        <v>346.79321930470968</v>
      </c>
      <c r="M364" s="7">
        <f t="shared" si="30"/>
        <v>2.0867806952903152</v>
      </c>
    </row>
    <row r="365" spans="6:13" ht="18.75" customHeight="1">
      <c r="F365" s="1">
        <v>32448</v>
      </c>
      <c r="G365">
        <f t="shared" si="27"/>
        <v>11</v>
      </c>
      <c r="H365" s="7">
        <v>350.07</v>
      </c>
      <c r="I365" s="7">
        <f t="shared" si="26"/>
        <v>350.26264201873488</v>
      </c>
      <c r="J365" s="7">
        <f t="shared" si="28"/>
        <v>-0.19264201873488673</v>
      </c>
      <c r="K365" s="7" cm="1">
        <f t="array" ref="K365">INDEX(Sm,G365)</f>
        <v>-2.0591623324975612</v>
      </c>
      <c r="L365" s="7">
        <f t="shared" si="29"/>
        <v>348.2034796862373</v>
      </c>
      <c r="M365" s="7">
        <f t="shared" si="30"/>
        <v>1.8665203137626918</v>
      </c>
    </row>
    <row r="366" spans="6:13" ht="18.75" customHeight="1">
      <c r="F366" s="1">
        <v>32478</v>
      </c>
      <c r="G366">
        <f t="shared" si="27"/>
        <v>12</v>
      </c>
      <c r="H366" s="7">
        <v>351.34</v>
      </c>
      <c r="I366" s="7">
        <f t="shared" si="26"/>
        <v>350.39115140647061</v>
      </c>
      <c r="J366" s="7">
        <f t="shared" si="28"/>
        <v>0.94884859352936246</v>
      </c>
      <c r="K366" s="7" cm="1">
        <f t="array" ref="K366">INDEX(Sm,G366)</f>
        <v>-0.89132446529561371</v>
      </c>
      <c r="L366" s="7">
        <f t="shared" si="29"/>
        <v>349.499826941175</v>
      </c>
      <c r="M366" s="7">
        <f t="shared" si="30"/>
        <v>1.8401730588249734</v>
      </c>
    </row>
    <row r="367" spans="6:13" ht="18.75" customHeight="1">
      <c r="F367" s="1">
        <v>32509</v>
      </c>
      <c r="G367">
        <f t="shared" si="27"/>
        <v>1</v>
      </c>
      <c r="H367" s="7">
        <v>352.76</v>
      </c>
      <c r="I367" s="7">
        <f t="shared" si="26"/>
        <v>350.52412984792886</v>
      </c>
      <c r="J367" s="7">
        <f t="shared" si="28"/>
        <v>2.2358701520711293</v>
      </c>
      <c r="K367" s="7" cm="1">
        <f t="array" ref="K367">INDEX(Sm,G367)</f>
        <v>6.1040869584970889E-2</v>
      </c>
      <c r="L367" s="7">
        <f t="shared" si="29"/>
        <v>350.58517071751385</v>
      </c>
      <c r="M367" s="7">
        <f t="shared" si="30"/>
        <v>2.1748292824861437</v>
      </c>
    </row>
    <row r="368" spans="6:13" ht="18.75" customHeight="1">
      <c r="F368" s="1">
        <v>32540</v>
      </c>
      <c r="G368">
        <f t="shared" si="27"/>
        <v>2</v>
      </c>
      <c r="H368" s="7">
        <v>353.07</v>
      </c>
      <c r="I368" s="7">
        <f t="shared" si="26"/>
        <v>350.65729673631841</v>
      </c>
      <c r="J368" s="7">
        <f t="shared" si="28"/>
        <v>2.4127032636815784</v>
      </c>
      <c r="K368" s="7" cm="1">
        <f t="array" ref="K368">INDEX(Sm,G368)</f>
        <v>0.69421564520236412</v>
      </c>
      <c r="L368" s="7">
        <f t="shared" si="29"/>
        <v>351.35151238152076</v>
      </c>
      <c r="M368" s="7">
        <f t="shared" si="30"/>
        <v>1.7184876184792302</v>
      </c>
    </row>
    <row r="369" spans="6:13" ht="18.75" customHeight="1">
      <c r="F369" s="1">
        <v>32568</v>
      </c>
      <c r="G369">
        <f t="shared" si="27"/>
        <v>3</v>
      </c>
      <c r="H369" s="7">
        <v>353.68</v>
      </c>
      <c r="I369" s="7">
        <f t="shared" si="26"/>
        <v>350.77773848063407</v>
      </c>
      <c r="J369" s="7">
        <f t="shared" si="28"/>
        <v>2.9022615193659362</v>
      </c>
      <c r="K369" s="7" cm="1">
        <f t="array" ref="K369">INDEX(Sm,G369)</f>
        <v>1.3733706304072995</v>
      </c>
      <c r="L369" s="7">
        <f t="shared" si="29"/>
        <v>352.15110911104136</v>
      </c>
      <c r="M369" s="7">
        <f t="shared" si="30"/>
        <v>1.5288908889586423</v>
      </c>
    </row>
    <row r="370" spans="6:13" ht="18.75" customHeight="1">
      <c r="F370" s="1">
        <v>32599</v>
      </c>
      <c r="G370">
        <f t="shared" si="27"/>
        <v>4</v>
      </c>
      <c r="H370" s="7">
        <v>355.42</v>
      </c>
      <c r="I370" s="7">
        <f t="shared" si="26"/>
        <v>350.91126402608643</v>
      </c>
      <c r="J370" s="7">
        <f t="shared" si="28"/>
        <v>4.5087359739135877</v>
      </c>
      <c r="K370" s="7" cm="1">
        <f t="array" ref="K370">INDEX(Sm,G370)</f>
        <v>2.6099183412742755</v>
      </c>
      <c r="L370" s="7">
        <f t="shared" si="29"/>
        <v>353.52118236736072</v>
      </c>
      <c r="M370" s="7">
        <f t="shared" si="30"/>
        <v>1.8988176326392932</v>
      </c>
    </row>
    <row r="371" spans="6:13" ht="18.75" customHeight="1">
      <c r="F371" s="1">
        <v>32629</v>
      </c>
      <c r="G371">
        <f t="shared" si="27"/>
        <v>5</v>
      </c>
      <c r="H371" s="7">
        <v>355.67</v>
      </c>
      <c r="I371" s="7">
        <f t="shared" si="26"/>
        <v>351.04066172245774</v>
      </c>
      <c r="J371" s="7">
        <f t="shared" si="28"/>
        <v>4.6293382775422742</v>
      </c>
      <c r="K371" s="7" cm="1">
        <f t="array" ref="K371">INDEX(Sm,G371)</f>
        <v>3.065291801195754</v>
      </c>
      <c r="L371" s="7">
        <f t="shared" si="29"/>
        <v>354.10595352365351</v>
      </c>
      <c r="M371" s="7">
        <f t="shared" si="30"/>
        <v>1.5640464763465047</v>
      </c>
    </row>
    <row r="372" spans="6:13" ht="18.75" customHeight="1">
      <c r="F372" s="1">
        <v>32660</v>
      </c>
      <c r="G372">
        <f t="shared" si="27"/>
        <v>6</v>
      </c>
      <c r="H372" s="7">
        <v>355.12</v>
      </c>
      <c r="I372" s="7">
        <f t="shared" si="26"/>
        <v>351.17455808283944</v>
      </c>
      <c r="J372" s="7">
        <f t="shared" si="28"/>
        <v>3.945441917160565</v>
      </c>
      <c r="K372" s="7" cm="1">
        <f t="array" ref="K372">INDEX(Sm,G372)</f>
        <v>2.3463851222642056</v>
      </c>
      <c r="L372" s="7">
        <f t="shared" si="29"/>
        <v>353.52094320510366</v>
      </c>
      <c r="M372" s="7">
        <f t="shared" si="30"/>
        <v>1.5990567948963417</v>
      </c>
    </row>
    <row r="373" spans="6:13" ht="18.75" customHeight="1">
      <c r="F373" s="1">
        <v>32690</v>
      </c>
      <c r="G373">
        <f t="shared" si="27"/>
        <v>7</v>
      </c>
      <c r="H373" s="7">
        <v>353.9</v>
      </c>
      <c r="I373" s="7">
        <f t="shared" si="26"/>
        <v>351.30431463236818</v>
      </c>
      <c r="J373" s="7">
        <f t="shared" si="28"/>
        <v>2.5956853676318019</v>
      </c>
      <c r="K373" s="7" cm="1">
        <f t="array" ref="K373">INDEX(Sm,G373)</f>
        <v>0.72334113060077332</v>
      </c>
      <c r="L373" s="7">
        <f t="shared" si="29"/>
        <v>352.02765576296895</v>
      </c>
      <c r="M373" s="7">
        <f t="shared" si="30"/>
        <v>1.8723442370310295</v>
      </c>
    </row>
    <row r="374" spans="6:13" ht="18.75" customHeight="1">
      <c r="F374" s="1">
        <v>32721</v>
      </c>
      <c r="G374">
        <f t="shared" si="27"/>
        <v>8</v>
      </c>
      <c r="H374" s="7">
        <v>351.67</v>
      </c>
      <c r="I374" s="7">
        <f t="shared" si="26"/>
        <v>351.43858180767916</v>
      </c>
      <c r="J374" s="7">
        <f t="shared" si="28"/>
        <v>0.23141819232085936</v>
      </c>
      <c r="K374" s="7" cm="1">
        <f t="array" ref="K374">INDEX(Sm,G374)</f>
        <v>-1.3975570061157723</v>
      </c>
      <c r="L374" s="7">
        <f t="shared" si="29"/>
        <v>350.04102480156337</v>
      </c>
      <c r="M374" s="7">
        <f t="shared" si="30"/>
        <v>1.628975198436649</v>
      </c>
    </row>
    <row r="375" spans="6:13" ht="18.75" customHeight="1">
      <c r="F375" s="1">
        <v>32752</v>
      </c>
      <c r="G375">
        <f t="shared" si="27"/>
        <v>9</v>
      </c>
      <c r="H375" s="7">
        <v>349.81</v>
      </c>
      <c r="I375" s="7">
        <f t="shared" si="26"/>
        <v>351.5730374299215</v>
      </c>
      <c r="J375" s="7">
        <f t="shared" si="28"/>
        <v>-1.7630374299214964</v>
      </c>
      <c r="K375" s="7" cm="1">
        <f t="array" ref="K375">INDEX(Sm,G375)</f>
        <v>-3.1934822994410497</v>
      </c>
      <c r="L375" s="7">
        <f t="shared" si="29"/>
        <v>348.37955513048047</v>
      </c>
      <c r="M375" s="7">
        <f t="shared" si="30"/>
        <v>1.4304448695195333</v>
      </c>
    </row>
    <row r="376" spans="6:13" ht="18.75" customHeight="1">
      <c r="F376" s="1">
        <v>32782</v>
      </c>
      <c r="G376">
        <f t="shared" si="27"/>
        <v>10</v>
      </c>
      <c r="H376" s="7">
        <v>349.99</v>
      </c>
      <c r="I376" s="7">
        <f t="shared" si="26"/>
        <v>351.70333520060569</v>
      </c>
      <c r="J376" s="7">
        <f t="shared" si="28"/>
        <v>-1.7133352006056839</v>
      </c>
      <c r="K376" s="7" cm="1">
        <f t="array" ref="K376">INDEX(Sm,G376)</f>
        <v>-3.3368150874962788</v>
      </c>
      <c r="L376" s="7">
        <f t="shared" si="29"/>
        <v>348.3665201131094</v>
      </c>
      <c r="M376" s="7">
        <f t="shared" si="30"/>
        <v>1.6234798868906068</v>
      </c>
    </row>
    <row r="377" spans="6:13" ht="18.75" customHeight="1">
      <c r="F377" s="1">
        <v>32813</v>
      </c>
      <c r="G377">
        <f t="shared" si="27"/>
        <v>11</v>
      </c>
      <c r="H377" s="7">
        <v>351.3</v>
      </c>
      <c r="I377" s="7">
        <f t="shared" si="26"/>
        <v>351.83816163777732</v>
      </c>
      <c r="J377" s="7">
        <f t="shared" si="28"/>
        <v>-0.53816163777730708</v>
      </c>
      <c r="K377" s="7" cm="1">
        <f t="array" ref="K377">INDEX(Sm,G377)</f>
        <v>-2.0591623324975612</v>
      </c>
      <c r="L377" s="7">
        <f t="shared" si="29"/>
        <v>349.77899930527974</v>
      </c>
      <c r="M377" s="7">
        <f t="shared" si="30"/>
        <v>1.5210006947202714</v>
      </c>
    </row>
    <row r="378" spans="6:13" ht="18.75" customHeight="1">
      <c r="F378" s="1">
        <v>32843</v>
      </c>
      <c r="G378">
        <f t="shared" si="27"/>
        <v>12</v>
      </c>
      <c r="H378" s="7">
        <v>352.52</v>
      </c>
      <c r="I378" s="7">
        <f t="shared" si="26"/>
        <v>351.96881826161894</v>
      </c>
      <c r="J378" s="7">
        <f t="shared" si="28"/>
        <v>0.55118173838104667</v>
      </c>
      <c r="K378" s="7" cm="1">
        <f t="array" ref="K378">INDEX(Sm,G378)</f>
        <v>-0.89132446529561371</v>
      </c>
      <c r="L378" s="7">
        <f t="shared" si="29"/>
        <v>351.07749379632332</v>
      </c>
      <c r="M378" s="7">
        <f t="shared" si="30"/>
        <v>1.4425062036766576</v>
      </c>
    </row>
    <row r="379" spans="6:13" ht="18.75" customHeight="1">
      <c r="F379" s="1">
        <v>32874</v>
      </c>
      <c r="G379">
        <f t="shared" si="27"/>
        <v>1</v>
      </c>
      <c r="H379" s="7">
        <v>353.66</v>
      </c>
      <c r="I379" s="7">
        <f t="shared" si="26"/>
        <v>352.1040155137199</v>
      </c>
      <c r="J379" s="7">
        <f t="shared" si="28"/>
        <v>1.5559844862801242</v>
      </c>
      <c r="K379" s="7" cm="1">
        <f t="array" ref="K379">INDEX(Sm,G379)</f>
        <v>6.1040869584970889E-2</v>
      </c>
      <c r="L379" s="7">
        <f t="shared" si="29"/>
        <v>352.16505638330489</v>
      </c>
      <c r="M379" s="7">
        <f t="shared" si="30"/>
        <v>1.4949436166951386</v>
      </c>
    </row>
    <row r="380" spans="6:13" ht="18.75" customHeight="1">
      <c r="F380" s="1">
        <v>32905</v>
      </c>
      <c r="G380">
        <f t="shared" si="27"/>
        <v>2</v>
      </c>
      <c r="H380" s="7">
        <v>354.7</v>
      </c>
      <c r="I380" s="7">
        <f t="shared" si="26"/>
        <v>352.23940121275223</v>
      </c>
      <c r="J380" s="7">
        <f t="shared" si="28"/>
        <v>2.4605987872477613</v>
      </c>
      <c r="K380" s="7" cm="1">
        <f t="array" ref="K380">INDEX(Sm,G380)</f>
        <v>0.69421564520236412</v>
      </c>
      <c r="L380" s="7">
        <f t="shared" si="29"/>
        <v>352.93361685795458</v>
      </c>
      <c r="M380" s="7">
        <f t="shared" si="30"/>
        <v>1.766383142045413</v>
      </c>
    </row>
    <row r="381" spans="6:13" ht="18.75" customHeight="1">
      <c r="F381" s="1">
        <v>32933</v>
      </c>
      <c r="G381">
        <f t="shared" si="27"/>
        <v>3</v>
      </c>
      <c r="H381" s="7">
        <v>355.38</v>
      </c>
      <c r="I381" s="7">
        <f t="shared" si="26"/>
        <v>352.36184704410005</v>
      </c>
      <c r="J381" s="7">
        <f t="shared" si="28"/>
        <v>3.01815295589995</v>
      </c>
      <c r="K381" s="7" cm="1">
        <f t="array" ref="K381">INDEX(Sm,G381)</f>
        <v>1.3733706304072995</v>
      </c>
      <c r="L381" s="7">
        <f t="shared" si="29"/>
        <v>353.73521767450734</v>
      </c>
      <c r="M381" s="7">
        <f t="shared" si="30"/>
        <v>1.6447823254926561</v>
      </c>
    </row>
    <row r="382" spans="6:13" ht="18.75" customHeight="1">
      <c r="F382" s="1">
        <v>32964</v>
      </c>
      <c r="G382">
        <f t="shared" si="27"/>
        <v>4</v>
      </c>
      <c r="H382" s="7">
        <v>356.2</v>
      </c>
      <c r="I382" s="7">
        <f t="shared" si="26"/>
        <v>352.49759140019512</v>
      </c>
      <c r="J382" s="7">
        <f t="shared" si="28"/>
        <v>3.702408599804869</v>
      </c>
      <c r="K382" s="7" cm="1">
        <f t="array" ref="K382">INDEX(Sm,G382)</f>
        <v>2.6099183412742755</v>
      </c>
      <c r="L382" s="7">
        <f t="shared" si="29"/>
        <v>355.10750974146941</v>
      </c>
      <c r="M382" s="7">
        <f t="shared" si="30"/>
        <v>1.0924902585305745</v>
      </c>
    </row>
    <row r="383" spans="6:13" ht="18.75" customHeight="1">
      <c r="F383" s="1">
        <v>32994</v>
      </c>
      <c r="G383">
        <f t="shared" si="27"/>
        <v>5</v>
      </c>
      <c r="H383" s="7">
        <v>357.16</v>
      </c>
      <c r="I383" s="7">
        <f t="shared" si="26"/>
        <v>352.62913633267226</v>
      </c>
      <c r="J383" s="7">
        <f t="shared" si="28"/>
        <v>4.5308636673277647</v>
      </c>
      <c r="K383" s="7" cm="1">
        <f t="array" ref="K383">INDEX(Sm,G383)</f>
        <v>3.065291801195754</v>
      </c>
      <c r="L383" s="7">
        <f t="shared" si="29"/>
        <v>355.69442813386803</v>
      </c>
      <c r="M383" s="7">
        <f t="shared" si="30"/>
        <v>1.4655718661319952</v>
      </c>
    </row>
    <row r="384" spans="6:13" ht="18.75" customHeight="1">
      <c r="F384" s="1">
        <v>33025</v>
      </c>
      <c r="G384">
        <f t="shared" si="27"/>
        <v>6</v>
      </c>
      <c r="H384" s="7">
        <v>356.23</v>
      </c>
      <c r="I384" s="7">
        <f t="shared" si="26"/>
        <v>352.76525150369673</v>
      </c>
      <c r="J384" s="7">
        <f t="shared" si="28"/>
        <v>3.4647484963032866</v>
      </c>
      <c r="K384" s="7" cm="1">
        <f t="array" ref="K384">INDEX(Sm,G384)</f>
        <v>2.3463851222642056</v>
      </c>
      <c r="L384" s="7">
        <f t="shared" si="29"/>
        <v>355.11163662596095</v>
      </c>
      <c r="M384" s="7">
        <f t="shared" si="30"/>
        <v>1.1183633740390633</v>
      </c>
    </row>
    <row r="385" spans="6:13" ht="18.75" customHeight="1">
      <c r="F385" s="1">
        <v>33055</v>
      </c>
      <c r="G385">
        <f t="shared" si="27"/>
        <v>7</v>
      </c>
      <c r="H385" s="7">
        <v>354.81</v>
      </c>
      <c r="I385" s="7">
        <f t="shared" si="26"/>
        <v>352.89715528933129</v>
      </c>
      <c r="J385" s="7">
        <f t="shared" si="28"/>
        <v>1.9128447106687076</v>
      </c>
      <c r="K385" s="7" cm="1">
        <f t="array" ref="K385">INDEX(Sm,G385)</f>
        <v>0.72334113060077332</v>
      </c>
      <c r="L385" s="7">
        <f t="shared" si="29"/>
        <v>353.62049641993207</v>
      </c>
      <c r="M385" s="7">
        <f t="shared" si="30"/>
        <v>1.1895035800679352</v>
      </c>
    </row>
    <row r="386" spans="6:13" ht="18.75" customHeight="1">
      <c r="F386" s="1">
        <v>33086</v>
      </c>
      <c r="G386">
        <f t="shared" si="27"/>
        <v>8</v>
      </c>
      <c r="H386" s="7">
        <v>352.91</v>
      </c>
      <c r="I386" s="7">
        <f t="shared" ref="I386:I449" si="31">_A*F386*F386+_B*F386+_C</f>
        <v>353.03364127528505</v>
      </c>
      <c r="J386" s="7">
        <f t="shared" si="28"/>
        <v>-0.12364127528502422</v>
      </c>
      <c r="K386" s="7" cm="1">
        <f t="array" ref="K386">INDEX(Sm,G386)</f>
        <v>-1.3975570061157723</v>
      </c>
      <c r="L386" s="7">
        <f t="shared" si="29"/>
        <v>351.63608426916926</v>
      </c>
      <c r="M386" s="7">
        <f t="shared" si="30"/>
        <v>1.2739157308307654</v>
      </c>
    </row>
    <row r="387" spans="6:13" ht="18.75" customHeight="1">
      <c r="F387" s="1">
        <v>33117</v>
      </c>
      <c r="G387">
        <f t="shared" ref="G387:G450" si="32">MONTH(F387)</f>
        <v>9</v>
      </c>
      <c r="H387" s="7">
        <v>350.96</v>
      </c>
      <c r="I387" s="7">
        <f t="shared" si="31"/>
        <v>353.17031570817011</v>
      </c>
      <c r="J387" s="7">
        <f t="shared" ref="J387:J450" si="33">H387-I387</f>
        <v>-2.2103157081701283</v>
      </c>
      <c r="K387" s="7" cm="1">
        <f t="array" ref="K387">INDEX(Sm,G387)</f>
        <v>-3.1934822994410497</v>
      </c>
      <c r="L387" s="7">
        <f t="shared" ref="L387:L450" si="34">I387+K387</f>
        <v>349.97683340872908</v>
      </c>
      <c r="M387" s="7">
        <f t="shared" ref="M387:M450" si="35">H387-L387</f>
        <v>0.98316659127090134</v>
      </c>
    </row>
    <row r="388" spans="6:13" ht="18.75" customHeight="1">
      <c r="F388" s="1">
        <v>33147</v>
      </c>
      <c r="G388">
        <f t="shared" si="32"/>
        <v>10</v>
      </c>
      <c r="H388" s="7">
        <v>351.18</v>
      </c>
      <c r="I388" s="7">
        <f t="shared" si="31"/>
        <v>353.30276071496013</v>
      </c>
      <c r="J388" s="7">
        <f t="shared" si="33"/>
        <v>-2.1227607149601226</v>
      </c>
      <c r="K388" s="7" cm="1">
        <f t="array" ref="K388">INDEX(Sm,G388)</f>
        <v>-3.3368150874962788</v>
      </c>
      <c r="L388" s="7">
        <f t="shared" si="34"/>
        <v>349.96594562746384</v>
      </c>
      <c r="M388" s="7">
        <f t="shared" si="35"/>
        <v>1.2140543725361681</v>
      </c>
    </row>
    <row r="389" spans="6:13" ht="18.75" customHeight="1">
      <c r="F389" s="1">
        <v>33178</v>
      </c>
      <c r="G389">
        <f t="shared" si="32"/>
        <v>11</v>
      </c>
      <c r="H389" s="7">
        <v>352.83</v>
      </c>
      <c r="I389" s="7">
        <f t="shared" si="31"/>
        <v>353.43980596277447</v>
      </c>
      <c r="J389" s="7">
        <f t="shared" si="33"/>
        <v>-0.6098059627744874</v>
      </c>
      <c r="K389" s="7" cm="1">
        <f t="array" ref="K389">INDEX(Sm,G389)</f>
        <v>-2.0591623324975612</v>
      </c>
      <c r="L389" s="7">
        <f t="shared" si="34"/>
        <v>351.38064363027689</v>
      </c>
      <c r="M389" s="7">
        <f t="shared" si="35"/>
        <v>1.4493563697230911</v>
      </c>
    </row>
    <row r="390" spans="6:13" ht="18.75" customHeight="1">
      <c r="F390" s="1">
        <v>33208</v>
      </c>
      <c r="G390">
        <f t="shared" si="32"/>
        <v>12</v>
      </c>
      <c r="H390" s="7">
        <v>354.21</v>
      </c>
      <c r="I390" s="7">
        <f t="shared" si="31"/>
        <v>353.57260982272197</v>
      </c>
      <c r="J390" s="7">
        <f t="shared" si="33"/>
        <v>0.63739017727800729</v>
      </c>
      <c r="K390" s="7" cm="1">
        <f t="array" ref="K390">INDEX(Sm,G390)</f>
        <v>-0.89132446529561371</v>
      </c>
      <c r="L390" s="7">
        <f t="shared" si="34"/>
        <v>352.68128535742636</v>
      </c>
      <c r="M390" s="7">
        <f t="shared" si="35"/>
        <v>1.5287146425736182</v>
      </c>
    </row>
    <row r="391" spans="6:13" ht="18.75" customHeight="1">
      <c r="F391" s="1">
        <v>33239</v>
      </c>
      <c r="G391">
        <f t="shared" si="32"/>
        <v>1</v>
      </c>
      <c r="H391" s="7">
        <v>354.72</v>
      </c>
      <c r="I391" s="7">
        <f t="shared" si="31"/>
        <v>353.71002588546565</v>
      </c>
      <c r="J391" s="7">
        <f t="shared" si="33"/>
        <v>1.0099741145343728</v>
      </c>
      <c r="K391" s="7" cm="1">
        <f t="array" ref="K391">INDEX(Sm,G391)</f>
        <v>6.1040869584970889E-2</v>
      </c>
      <c r="L391" s="7">
        <f t="shared" si="34"/>
        <v>353.77106675505064</v>
      </c>
      <c r="M391" s="7">
        <f t="shared" si="35"/>
        <v>0.94893324494938724</v>
      </c>
    </row>
    <row r="392" spans="6:13" ht="18.75" customHeight="1">
      <c r="F392" s="1">
        <v>33270</v>
      </c>
      <c r="G392">
        <f t="shared" si="32"/>
        <v>2</v>
      </c>
      <c r="H392" s="7">
        <v>355.75</v>
      </c>
      <c r="I392" s="7">
        <f t="shared" si="31"/>
        <v>353.8476303951407</v>
      </c>
      <c r="J392" s="7">
        <f t="shared" si="33"/>
        <v>1.9023696048593024</v>
      </c>
      <c r="K392" s="7" cm="1">
        <f t="array" ref="K392">INDEX(Sm,G392)</f>
        <v>0.69421564520236412</v>
      </c>
      <c r="L392" s="7">
        <f t="shared" si="34"/>
        <v>354.54184604034305</v>
      </c>
      <c r="M392" s="7">
        <f t="shared" si="35"/>
        <v>1.2081539596569542</v>
      </c>
    </row>
    <row r="393" spans="6:13" ht="18.75" customHeight="1">
      <c r="F393" s="1">
        <v>33298</v>
      </c>
      <c r="G393">
        <f t="shared" si="32"/>
        <v>3</v>
      </c>
      <c r="H393" s="7">
        <v>357.16</v>
      </c>
      <c r="I393" s="7">
        <f t="shared" si="31"/>
        <v>353.97208031352068</v>
      </c>
      <c r="J393" s="7">
        <f t="shared" si="33"/>
        <v>3.1879196864793471</v>
      </c>
      <c r="K393" s="7" cm="1">
        <f t="array" ref="K393">INDEX(Sm,G393)</f>
        <v>1.3733706304072995</v>
      </c>
      <c r="L393" s="7">
        <f t="shared" si="34"/>
        <v>355.34545094392797</v>
      </c>
      <c r="M393" s="7">
        <f t="shared" si="35"/>
        <v>1.8145490560720532</v>
      </c>
    </row>
    <row r="394" spans="6:13" ht="18.75" customHeight="1">
      <c r="F394" s="1">
        <v>33329</v>
      </c>
      <c r="G394">
        <f t="shared" si="32"/>
        <v>4</v>
      </c>
      <c r="H394" s="7">
        <v>358.6</v>
      </c>
      <c r="I394" s="7">
        <f t="shared" si="31"/>
        <v>354.11004348025847</v>
      </c>
      <c r="J394" s="7">
        <f t="shared" si="33"/>
        <v>4.4899565197415541</v>
      </c>
      <c r="K394" s="7" cm="1">
        <f t="array" ref="K394">INDEX(Sm,G394)</f>
        <v>2.6099183412742755</v>
      </c>
      <c r="L394" s="7">
        <f t="shared" si="34"/>
        <v>356.71996182153276</v>
      </c>
      <c r="M394" s="7">
        <f t="shared" si="35"/>
        <v>1.8800381784672595</v>
      </c>
    </row>
    <row r="395" spans="6:13" ht="18.75" customHeight="1">
      <c r="F395" s="1">
        <v>33359</v>
      </c>
      <c r="G395">
        <f t="shared" si="32"/>
        <v>5</v>
      </c>
      <c r="H395" s="7">
        <v>359.34</v>
      </c>
      <c r="I395" s="7">
        <f t="shared" si="31"/>
        <v>354.24373564884149</v>
      </c>
      <c r="J395" s="7">
        <f t="shared" si="33"/>
        <v>5.0962643511584815</v>
      </c>
      <c r="K395" s="7" cm="1">
        <f t="array" ref="K395">INDEX(Sm,G395)</f>
        <v>3.065291801195754</v>
      </c>
      <c r="L395" s="7">
        <f t="shared" si="34"/>
        <v>357.30902745003726</v>
      </c>
      <c r="M395" s="7">
        <f t="shared" si="35"/>
        <v>2.030972549962712</v>
      </c>
    </row>
    <row r="396" spans="6:13" ht="18.75" customHeight="1">
      <c r="F396" s="1">
        <v>33390</v>
      </c>
      <c r="G396">
        <f t="shared" si="32"/>
        <v>6</v>
      </c>
      <c r="H396" s="7">
        <v>358.24</v>
      </c>
      <c r="I396" s="7">
        <f t="shared" si="31"/>
        <v>354.38206963050868</v>
      </c>
      <c r="J396" s="7">
        <f t="shared" si="33"/>
        <v>3.8579303694913278</v>
      </c>
      <c r="K396" s="7" cm="1">
        <f t="array" ref="K396">INDEX(Sm,G396)</f>
        <v>2.3463851222642056</v>
      </c>
      <c r="L396" s="7">
        <f t="shared" si="34"/>
        <v>356.7284547527729</v>
      </c>
      <c r="M396" s="7">
        <f t="shared" si="35"/>
        <v>1.5115452472271045</v>
      </c>
    </row>
    <row r="397" spans="6:13" ht="18.75" customHeight="1">
      <c r="F397" s="1">
        <v>33420</v>
      </c>
      <c r="G397">
        <f t="shared" si="32"/>
        <v>7</v>
      </c>
      <c r="H397" s="7">
        <v>356.17</v>
      </c>
      <c r="I397" s="7">
        <f t="shared" si="31"/>
        <v>354.51612065224913</v>
      </c>
      <c r="J397" s="7">
        <f t="shared" si="33"/>
        <v>1.6538793477508875</v>
      </c>
      <c r="K397" s="7" cm="1">
        <f t="array" ref="K397">INDEX(Sm,G397)</f>
        <v>0.72334113060077332</v>
      </c>
      <c r="L397" s="7">
        <f t="shared" si="34"/>
        <v>355.2394617828499</v>
      </c>
      <c r="M397" s="7">
        <f t="shared" si="35"/>
        <v>0.93053821715011509</v>
      </c>
    </row>
    <row r="398" spans="6:13" ht="18.75" customHeight="1">
      <c r="F398" s="1">
        <v>33451</v>
      </c>
      <c r="G398">
        <f t="shared" si="32"/>
        <v>8</v>
      </c>
      <c r="H398" s="7">
        <v>354.01</v>
      </c>
      <c r="I398" s="7">
        <f t="shared" si="31"/>
        <v>354.6548254488456</v>
      </c>
      <c r="J398" s="7">
        <f t="shared" si="33"/>
        <v>-0.64482544884560866</v>
      </c>
      <c r="K398" s="7" cm="1">
        <f t="array" ref="K398">INDEX(Sm,G398)</f>
        <v>-1.3975570061157723</v>
      </c>
      <c r="L398" s="7">
        <f t="shared" si="34"/>
        <v>353.25726844272981</v>
      </c>
      <c r="M398" s="7">
        <f t="shared" si="35"/>
        <v>0.75273155727018093</v>
      </c>
    </row>
    <row r="399" spans="6:13" ht="18.75" customHeight="1">
      <c r="F399" s="1">
        <v>33482</v>
      </c>
      <c r="G399">
        <f t="shared" si="32"/>
        <v>9</v>
      </c>
      <c r="H399" s="7">
        <v>352.15</v>
      </c>
      <c r="I399" s="7">
        <f t="shared" si="31"/>
        <v>354.79371869237337</v>
      </c>
      <c r="J399" s="7">
        <f t="shared" si="33"/>
        <v>-2.6437186923733975</v>
      </c>
      <c r="K399" s="7" cm="1">
        <f t="array" ref="K399">INDEX(Sm,G399)</f>
        <v>-3.1934822994410497</v>
      </c>
      <c r="L399" s="7">
        <f t="shared" si="34"/>
        <v>351.60023639293235</v>
      </c>
      <c r="M399" s="7">
        <f t="shared" si="35"/>
        <v>0.54976360706763217</v>
      </c>
    </row>
    <row r="400" spans="6:13" ht="18.75" customHeight="1">
      <c r="F400" s="1">
        <v>33512</v>
      </c>
      <c r="G400">
        <f t="shared" si="32"/>
        <v>10</v>
      </c>
      <c r="H400" s="7">
        <v>352.21</v>
      </c>
      <c r="I400" s="7">
        <f t="shared" si="31"/>
        <v>354.92831093526928</v>
      </c>
      <c r="J400" s="7">
        <f t="shared" si="33"/>
        <v>-2.7183109352693009</v>
      </c>
      <c r="K400" s="7" cm="1">
        <f t="array" ref="K400">INDEX(Sm,G400)</f>
        <v>-3.3368150874962788</v>
      </c>
      <c r="L400" s="7">
        <f t="shared" si="34"/>
        <v>351.59149584777299</v>
      </c>
      <c r="M400" s="7">
        <f t="shared" si="35"/>
        <v>0.61850415222698985</v>
      </c>
    </row>
    <row r="401" spans="6:13" ht="18.75" customHeight="1">
      <c r="F401" s="1">
        <v>33543</v>
      </c>
      <c r="G401">
        <f t="shared" si="32"/>
        <v>11</v>
      </c>
      <c r="H401" s="7">
        <v>353.75</v>
      </c>
      <c r="I401" s="7">
        <f t="shared" si="31"/>
        <v>355.0675749937264</v>
      </c>
      <c r="J401" s="7">
        <f t="shared" si="33"/>
        <v>-1.3175749937263959</v>
      </c>
      <c r="K401" s="7" cm="1">
        <f t="array" ref="K401">INDEX(Sm,G401)</f>
        <v>-2.0591623324975612</v>
      </c>
      <c r="L401" s="7">
        <f t="shared" si="34"/>
        <v>353.00841266122882</v>
      </c>
      <c r="M401" s="7">
        <f t="shared" si="35"/>
        <v>0.74158733877118266</v>
      </c>
    </row>
    <row r="402" spans="6:13" ht="18.75" customHeight="1">
      <c r="F402" s="1">
        <v>33573</v>
      </c>
      <c r="G402">
        <f t="shared" si="32"/>
        <v>12</v>
      </c>
      <c r="H402" s="7">
        <v>354.99</v>
      </c>
      <c r="I402" s="7">
        <f t="shared" si="31"/>
        <v>355.20252608977972</v>
      </c>
      <c r="J402" s="7">
        <f t="shared" si="33"/>
        <v>-0.21252608977971477</v>
      </c>
      <c r="K402" s="7" cm="1">
        <f t="array" ref="K402">INDEX(Sm,G402)</f>
        <v>-0.89132446529561371</v>
      </c>
      <c r="L402" s="7">
        <f t="shared" si="34"/>
        <v>354.31120162448411</v>
      </c>
      <c r="M402" s="7">
        <f t="shared" si="35"/>
        <v>0.67879837551589617</v>
      </c>
    </row>
    <row r="403" spans="6:13" ht="18.75" customHeight="1">
      <c r="F403" s="1">
        <v>33604</v>
      </c>
      <c r="G403">
        <f t="shared" si="32"/>
        <v>1</v>
      </c>
      <c r="H403" s="7">
        <v>355.99</v>
      </c>
      <c r="I403" s="7">
        <f t="shared" si="31"/>
        <v>355.34216096316618</v>
      </c>
      <c r="J403" s="7">
        <f t="shared" si="33"/>
        <v>0.6478390368338296</v>
      </c>
      <c r="K403" s="7" cm="1">
        <f t="array" ref="K403">INDEX(Sm,G403)</f>
        <v>6.1040869584970889E-2</v>
      </c>
      <c r="L403" s="7">
        <f t="shared" si="34"/>
        <v>355.40320183275117</v>
      </c>
      <c r="M403" s="7">
        <f t="shared" si="35"/>
        <v>0.58679816724884404</v>
      </c>
    </row>
    <row r="404" spans="6:13" ht="18.75" customHeight="1">
      <c r="F404" s="1">
        <v>33635</v>
      </c>
      <c r="G404">
        <f t="shared" si="32"/>
        <v>2</v>
      </c>
      <c r="H404" s="7">
        <v>356.72</v>
      </c>
      <c r="I404" s="7">
        <f t="shared" si="31"/>
        <v>355.48198428348394</v>
      </c>
      <c r="J404" s="7">
        <f t="shared" si="33"/>
        <v>1.2380157165160881</v>
      </c>
      <c r="K404" s="7" cm="1">
        <f t="array" ref="K404">INDEX(Sm,G404)</f>
        <v>0.69421564520236412</v>
      </c>
      <c r="L404" s="7">
        <f t="shared" si="34"/>
        <v>356.17619992868629</v>
      </c>
      <c r="M404" s="7">
        <f t="shared" si="35"/>
        <v>0.54380007131373986</v>
      </c>
    </row>
    <row r="405" spans="6:13" ht="18.75" customHeight="1">
      <c r="F405" s="1">
        <v>33664</v>
      </c>
      <c r="G405">
        <f t="shared" si="32"/>
        <v>3</v>
      </c>
      <c r="H405" s="7">
        <v>357.81</v>
      </c>
      <c r="I405" s="7">
        <f t="shared" si="31"/>
        <v>355.61295734674707</v>
      </c>
      <c r="J405" s="7">
        <f t="shared" si="33"/>
        <v>2.1970426532529359</v>
      </c>
      <c r="K405" s="7" cm="1">
        <f t="array" ref="K405">INDEX(Sm,G405)</f>
        <v>1.3733706304072995</v>
      </c>
      <c r="L405" s="7">
        <f t="shared" si="34"/>
        <v>356.98632797715436</v>
      </c>
      <c r="M405" s="7">
        <f t="shared" si="35"/>
        <v>0.823672022845642</v>
      </c>
    </row>
    <row r="406" spans="6:13" ht="18.75" customHeight="1">
      <c r="F406" s="1">
        <v>33695</v>
      </c>
      <c r="G406">
        <f t="shared" si="32"/>
        <v>4</v>
      </c>
      <c r="H406" s="7">
        <v>359.15</v>
      </c>
      <c r="I406" s="7">
        <f t="shared" si="31"/>
        <v>355.75314540306084</v>
      </c>
      <c r="J406" s="7">
        <f t="shared" si="33"/>
        <v>3.3968545969391357</v>
      </c>
      <c r="K406" s="7" cm="1">
        <f t="array" ref="K406">INDEX(Sm,G406)</f>
        <v>2.6099183412742755</v>
      </c>
      <c r="L406" s="7">
        <f t="shared" si="34"/>
        <v>358.36306374433514</v>
      </c>
      <c r="M406" s="7">
        <f t="shared" si="35"/>
        <v>0.78693625566484116</v>
      </c>
    </row>
    <row r="407" spans="6:13" ht="18.75" customHeight="1">
      <c r="F407" s="1">
        <v>33725</v>
      </c>
      <c r="G407">
        <f t="shared" si="32"/>
        <v>5</v>
      </c>
      <c r="H407" s="7">
        <v>359.66</v>
      </c>
      <c r="I407" s="7">
        <f t="shared" si="31"/>
        <v>355.8889906905884</v>
      </c>
      <c r="J407" s="7">
        <f t="shared" si="33"/>
        <v>3.7710093094116246</v>
      </c>
      <c r="K407" s="7" cm="1">
        <f t="array" ref="K407">INDEX(Sm,G407)</f>
        <v>3.065291801195754</v>
      </c>
      <c r="L407" s="7">
        <f t="shared" si="34"/>
        <v>358.95428249178417</v>
      </c>
      <c r="M407" s="7">
        <f t="shared" si="35"/>
        <v>0.7057175082158551</v>
      </c>
    </row>
    <row r="408" spans="6:13" ht="18.75" customHeight="1">
      <c r="F408" s="1">
        <v>33756</v>
      </c>
      <c r="G408">
        <f t="shared" si="32"/>
        <v>6</v>
      </c>
      <c r="H408" s="7">
        <v>359.25</v>
      </c>
      <c r="I408" s="7">
        <f t="shared" si="31"/>
        <v>356.02954956183157</v>
      </c>
      <c r="J408" s="7">
        <f t="shared" si="33"/>
        <v>3.2204504381684274</v>
      </c>
      <c r="K408" s="7" cm="1">
        <f t="array" ref="K408">INDEX(Sm,G408)</f>
        <v>2.3463851222642056</v>
      </c>
      <c r="L408" s="7">
        <f t="shared" si="34"/>
        <v>358.3759346840958</v>
      </c>
      <c r="M408" s="7">
        <f t="shared" si="35"/>
        <v>0.874065315904204</v>
      </c>
    </row>
    <row r="409" spans="6:13" ht="18.75" customHeight="1">
      <c r="F409" s="1">
        <v>33786</v>
      </c>
      <c r="G409">
        <f t="shared" si="32"/>
        <v>7</v>
      </c>
      <c r="H409" s="7">
        <v>357.02</v>
      </c>
      <c r="I409" s="7">
        <f t="shared" si="31"/>
        <v>356.16575370251655</v>
      </c>
      <c r="J409" s="7">
        <f t="shared" si="33"/>
        <v>0.85424629748342795</v>
      </c>
      <c r="K409" s="7" cm="1">
        <f t="array" ref="K409">INDEX(Sm,G409)</f>
        <v>0.72334113060077332</v>
      </c>
      <c r="L409" s="7">
        <f t="shared" si="34"/>
        <v>356.88909483311733</v>
      </c>
      <c r="M409" s="7">
        <f t="shared" si="35"/>
        <v>0.13090516688265552</v>
      </c>
    </row>
    <row r="410" spans="6:13" ht="18.75" customHeight="1">
      <c r="F410" s="1">
        <v>33817</v>
      </c>
      <c r="G410">
        <f t="shared" si="32"/>
        <v>8</v>
      </c>
      <c r="H410" s="7">
        <v>355</v>
      </c>
      <c r="I410" s="7">
        <f t="shared" si="31"/>
        <v>356.30668338868901</v>
      </c>
      <c r="J410" s="7">
        <f t="shared" si="33"/>
        <v>-1.3066833886890095</v>
      </c>
      <c r="K410" s="7" cm="1">
        <f t="array" ref="K410">INDEX(Sm,G410)</f>
        <v>-1.3975570061157723</v>
      </c>
      <c r="L410" s="7">
        <f t="shared" si="34"/>
        <v>354.90912638257322</v>
      </c>
      <c r="M410" s="7">
        <f t="shared" si="35"/>
        <v>9.0873617426780129E-2</v>
      </c>
    </row>
    <row r="411" spans="6:13" ht="18.75" customHeight="1">
      <c r="F411" s="1">
        <v>33848</v>
      </c>
      <c r="G411">
        <f t="shared" si="32"/>
        <v>9</v>
      </c>
      <c r="H411" s="7">
        <v>353.01</v>
      </c>
      <c r="I411" s="7">
        <f t="shared" si="31"/>
        <v>356.44780152179277</v>
      </c>
      <c r="J411" s="7">
        <f t="shared" si="33"/>
        <v>-3.4378015217927782</v>
      </c>
      <c r="K411" s="7" cm="1">
        <f t="array" ref="K411">INDEX(Sm,G411)</f>
        <v>-3.1934822994410497</v>
      </c>
      <c r="L411" s="7">
        <f t="shared" si="34"/>
        <v>353.25431922235174</v>
      </c>
      <c r="M411" s="7">
        <f t="shared" si="35"/>
        <v>-0.24431922235174852</v>
      </c>
    </row>
    <row r="412" spans="6:13" ht="18.75" customHeight="1">
      <c r="F412" s="1">
        <v>33878</v>
      </c>
      <c r="G412">
        <f t="shared" si="32"/>
        <v>10</v>
      </c>
      <c r="H412" s="7">
        <v>353.31</v>
      </c>
      <c r="I412" s="7">
        <f t="shared" si="31"/>
        <v>356.58454688363321</v>
      </c>
      <c r="J412" s="7">
        <f t="shared" si="33"/>
        <v>-3.2745468836332066</v>
      </c>
      <c r="K412" s="7" cm="1">
        <f t="array" ref="K412">INDEX(Sm,G412)</f>
        <v>-3.3368150874962788</v>
      </c>
      <c r="L412" s="7">
        <f t="shared" si="34"/>
        <v>353.24773179613692</v>
      </c>
      <c r="M412" s="7">
        <f t="shared" si="35"/>
        <v>6.2268203863084182E-2</v>
      </c>
    </row>
    <row r="413" spans="6:13" ht="18.75" customHeight="1">
      <c r="F413" s="1">
        <v>33909</v>
      </c>
      <c r="G413">
        <f t="shared" si="32"/>
        <v>11</v>
      </c>
      <c r="H413" s="7">
        <v>354.16</v>
      </c>
      <c r="I413" s="7">
        <f t="shared" si="31"/>
        <v>356.72603583166631</v>
      </c>
      <c r="J413" s="7">
        <f t="shared" si="33"/>
        <v>-2.5660358316662837</v>
      </c>
      <c r="K413" s="7" cm="1">
        <f t="array" ref="K413">INDEX(Sm,G413)</f>
        <v>-2.0591623324975612</v>
      </c>
      <c r="L413" s="7">
        <f t="shared" si="34"/>
        <v>354.66687349916873</v>
      </c>
      <c r="M413" s="7">
        <f t="shared" si="35"/>
        <v>-0.50687349916870517</v>
      </c>
    </row>
    <row r="414" spans="6:13" ht="18.75" customHeight="1">
      <c r="F414" s="1">
        <v>33939</v>
      </c>
      <c r="G414">
        <f t="shared" si="32"/>
        <v>12</v>
      </c>
      <c r="H414" s="7">
        <v>355.4</v>
      </c>
      <c r="I414" s="7">
        <f t="shared" si="31"/>
        <v>356.86314004666417</v>
      </c>
      <c r="J414" s="7">
        <f t="shared" si="33"/>
        <v>-1.4631400466641935</v>
      </c>
      <c r="K414" s="7" cm="1">
        <f t="array" ref="K414">INDEX(Sm,G414)</f>
        <v>-0.89132446529561371</v>
      </c>
      <c r="L414" s="7">
        <f t="shared" si="34"/>
        <v>355.97181558136856</v>
      </c>
      <c r="M414" s="7">
        <f t="shared" si="35"/>
        <v>-0.57181558136858257</v>
      </c>
    </row>
    <row r="415" spans="6:13" ht="18.75" customHeight="1">
      <c r="F415" s="1">
        <v>33970</v>
      </c>
      <c r="G415">
        <f t="shared" si="32"/>
        <v>1</v>
      </c>
      <c r="H415" s="7">
        <v>356.7</v>
      </c>
      <c r="I415" s="7">
        <f t="shared" si="31"/>
        <v>357.00499980962661</v>
      </c>
      <c r="J415" s="7">
        <f t="shared" si="33"/>
        <v>-0.30499980962662221</v>
      </c>
      <c r="K415" s="7" cm="1">
        <f t="array" ref="K415">INDEX(Sm,G415)</f>
        <v>6.1040869584970889E-2</v>
      </c>
      <c r="L415" s="7">
        <f t="shared" si="34"/>
        <v>357.0660406792116</v>
      </c>
      <c r="M415" s="7">
        <f t="shared" si="35"/>
        <v>-0.36604067921160777</v>
      </c>
    </row>
    <row r="416" spans="6:13" ht="18.75" customHeight="1">
      <c r="F416" s="1">
        <v>34001</v>
      </c>
      <c r="G416">
        <f t="shared" si="32"/>
        <v>2</v>
      </c>
      <c r="H416" s="7">
        <v>357.17</v>
      </c>
      <c r="I416" s="7">
        <f t="shared" si="31"/>
        <v>357.1470480195203</v>
      </c>
      <c r="J416" s="7">
        <f t="shared" si="33"/>
        <v>2.2951980479717804E-2</v>
      </c>
      <c r="K416" s="7" cm="1">
        <f t="array" ref="K416">INDEX(Sm,G416)</f>
        <v>0.69421564520236412</v>
      </c>
      <c r="L416" s="7">
        <f t="shared" si="34"/>
        <v>357.84126366472265</v>
      </c>
      <c r="M416" s="7">
        <f t="shared" si="35"/>
        <v>-0.67126366472263044</v>
      </c>
    </row>
    <row r="417" spans="6:13" ht="18.75" customHeight="1">
      <c r="F417" s="1">
        <v>34029</v>
      </c>
      <c r="G417">
        <f t="shared" si="32"/>
        <v>3</v>
      </c>
      <c r="H417" s="7">
        <v>358.38</v>
      </c>
      <c r="I417" s="7">
        <f t="shared" si="31"/>
        <v>357.27551160261402</v>
      </c>
      <c r="J417" s="7">
        <f t="shared" si="33"/>
        <v>1.1044883973859783</v>
      </c>
      <c r="K417" s="7" cm="1">
        <f t="array" ref="K417">INDEX(Sm,G417)</f>
        <v>1.3733706304072995</v>
      </c>
      <c r="L417" s="7">
        <f t="shared" si="34"/>
        <v>358.64888223302131</v>
      </c>
      <c r="M417" s="7">
        <f t="shared" si="35"/>
        <v>-0.26888223302131564</v>
      </c>
    </row>
    <row r="418" spans="6:13" ht="18.75" customHeight="1">
      <c r="F418" s="1">
        <v>34060</v>
      </c>
      <c r="G418">
        <f t="shared" si="32"/>
        <v>4</v>
      </c>
      <c r="H418" s="7">
        <v>359.46</v>
      </c>
      <c r="I418" s="7">
        <f t="shared" si="31"/>
        <v>357.41791846957051</v>
      </c>
      <c r="J418" s="7">
        <f t="shared" si="33"/>
        <v>2.0420815304294706</v>
      </c>
      <c r="K418" s="7" cm="1">
        <f t="array" ref="K418">INDEX(Sm,G418)</f>
        <v>2.6099183412742755</v>
      </c>
      <c r="L418" s="7">
        <f t="shared" si="34"/>
        <v>360.0278368108448</v>
      </c>
      <c r="M418" s="7">
        <f t="shared" si="35"/>
        <v>-0.56783681084482396</v>
      </c>
    </row>
    <row r="419" spans="6:13" ht="18.75" customHeight="1">
      <c r="F419" s="1">
        <v>34090</v>
      </c>
      <c r="G419">
        <f t="shared" si="32"/>
        <v>5</v>
      </c>
      <c r="H419" s="7">
        <v>360.28</v>
      </c>
      <c r="I419" s="7">
        <f t="shared" si="31"/>
        <v>357.55591099320395</v>
      </c>
      <c r="J419" s="7">
        <f t="shared" si="33"/>
        <v>2.7240890067960208</v>
      </c>
      <c r="K419" s="7" cm="1">
        <f t="array" ref="K419">INDEX(Sm,G419)</f>
        <v>3.065291801195754</v>
      </c>
      <c r="L419" s="7">
        <f t="shared" si="34"/>
        <v>360.62120279439972</v>
      </c>
      <c r="M419" s="7">
        <f t="shared" si="35"/>
        <v>-0.34120279439974865</v>
      </c>
    </row>
    <row r="420" spans="6:13" ht="18.75" customHeight="1">
      <c r="F420" s="1">
        <v>34121</v>
      </c>
      <c r="G420">
        <f t="shared" si="32"/>
        <v>6</v>
      </c>
      <c r="H420" s="7">
        <v>359.6</v>
      </c>
      <c r="I420" s="7">
        <f t="shared" si="31"/>
        <v>357.69868867508984</v>
      </c>
      <c r="J420" s="7">
        <f t="shared" si="33"/>
        <v>1.9013113249101821</v>
      </c>
      <c r="K420" s="7" cm="1">
        <f t="array" ref="K420">INDEX(Sm,G420)</f>
        <v>2.3463851222642056</v>
      </c>
      <c r="L420" s="7">
        <f t="shared" si="34"/>
        <v>360.04507379735406</v>
      </c>
      <c r="M420" s="7">
        <f t="shared" si="35"/>
        <v>-0.44507379735404129</v>
      </c>
    </row>
    <row r="421" spans="6:13" ht="18.75" customHeight="1">
      <c r="F421" s="1">
        <v>34151</v>
      </c>
      <c r="G421">
        <f t="shared" si="32"/>
        <v>7</v>
      </c>
      <c r="H421" s="7">
        <v>357.57</v>
      </c>
      <c r="I421" s="7">
        <f t="shared" si="31"/>
        <v>357.83704005188065</v>
      </c>
      <c r="J421" s="7">
        <f t="shared" si="33"/>
        <v>-0.26704005188065594</v>
      </c>
      <c r="K421" s="7" cm="1">
        <f t="array" ref="K421">INDEX(Sm,G421)</f>
        <v>0.72334113060077332</v>
      </c>
      <c r="L421" s="7">
        <f t="shared" si="34"/>
        <v>358.56038118248142</v>
      </c>
      <c r="M421" s="7">
        <f t="shared" si="35"/>
        <v>-0.99038118248142837</v>
      </c>
    </row>
    <row r="422" spans="6:13" ht="18.75" customHeight="1">
      <c r="F422" s="1">
        <v>34182</v>
      </c>
      <c r="G422">
        <f t="shared" si="32"/>
        <v>8</v>
      </c>
      <c r="H422" s="7">
        <v>355.52</v>
      </c>
      <c r="I422" s="7">
        <f t="shared" si="31"/>
        <v>357.98018854869588</v>
      </c>
      <c r="J422" s="7">
        <f t="shared" si="33"/>
        <v>-2.4601885486958963</v>
      </c>
      <c r="K422" s="7" cm="1">
        <f t="array" ref="K422">INDEX(Sm,G422)</f>
        <v>-1.3975570061157723</v>
      </c>
      <c r="L422" s="7">
        <f t="shared" si="34"/>
        <v>356.58263154258009</v>
      </c>
      <c r="M422" s="7">
        <f t="shared" si="35"/>
        <v>-1.0626315425801067</v>
      </c>
    </row>
    <row r="423" spans="6:13" ht="18.75" customHeight="1">
      <c r="F423" s="1">
        <v>34213</v>
      </c>
      <c r="G423">
        <f t="shared" si="32"/>
        <v>9</v>
      </c>
      <c r="H423" s="7">
        <v>353.69</v>
      </c>
      <c r="I423" s="7">
        <f t="shared" si="31"/>
        <v>358.12352549244235</v>
      </c>
      <c r="J423" s="7">
        <f t="shared" si="33"/>
        <v>-4.4335254924423566</v>
      </c>
      <c r="K423" s="7" cm="1">
        <f t="array" ref="K423">INDEX(Sm,G423)</f>
        <v>-3.1934822994410497</v>
      </c>
      <c r="L423" s="7">
        <f t="shared" si="34"/>
        <v>354.93004319300132</v>
      </c>
      <c r="M423" s="7">
        <f t="shared" si="35"/>
        <v>-1.2400431930013269</v>
      </c>
    </row>
    <row r="424" spans="6:13" ht="18.75" customHeight="1">
      <c r="F424" s="1">
        <v>34243</v>
      </c>
      <c r="G424">
        <f t="shared" si="32"/>
        <v>10</v>
      </c>
      <c r="H424" s="7">
        <v>353.99</v>
      </c>
      <c r="I424" s="7">
        <f t="shared" si="31"/>
        <v>358.26241809038868</v>
      </c>
      <c r="J424" s="7">
        <f t="shared" si="33"/>
        <v>-4.272418090388669</v>
      </c>
      <c r="K424" s="7" cm="1">
        <f t="array" ref="K424">INDEX(Sm,G424)</f>
        <v>-3.3368150874962788</v>
      </c>
      <c r="L424" s="7">
        <f t="shared" si="34"/>
        <v>354.92560300289239</v>
      </c>
      <c r="M424" s="7">
        <f t="shared" si="35"/>
        <v>-0.9356030028923783</v>
      </c>
    </row>
    <row r="425" spans="6:13" ht="18.75" customHeight="1">
      <c r="F425" s="1">
        <v>34274</v>
      </c>
      <c r="G425">
        <f t="shared" si="32"/>
        <v>11</v>
      </c>
      <c r="H425" s="7">
        <v>355.34</v>
      </c>
      <c r="I425" s="7">
        <f t="shared" si="31"/>
        <v>358.40612584906449</v>
      </c>
      <c r="J425" s="7">
        <f t="shared" si="33"/>
        <v>-3.0661258490645196</v>
      </c>
      <c r="K425" s="7" cm="1">
        <f t="array" ref="K425">INDEX(Sm,G425)</f>
        <v>-2.0591623324975612</v>
      </c>
      <c r="L425" s="7">
        <f t="shared" si="34"/>
        <v>356.34696351656692</v>
      </c>
      <c r="M425" s="7">
        <f t="shared" si="35"/>
        <v>-1.0069635165669411</v>
      </c>
    </row>
    <row r="426" spans="6:13" ht="18.75" customHeight="1">
      <c r="F426" s="1">
        <v>34304</v>
      </c>
      <c r="G426">
        <f t="shared" si="32"/>
        <v>12</v>
      </c>
      <c r="H426" s="7">
        <v>356.8</v>
      </c>
      <c r="I426" s="7">
        <f t="shared" si="31"/>
        <v>358.54537730016818</v>
      </c>
      <c r="J426" s="7">
        <f t="shared" si="33"/>
        <v>-1.7453773001681725</v>
      </c>
      <c r="K426" s="7" cm="1">
        <f t="array" ref="K426">INDEX(Sm,G426)</f>
        <v>-0.89132446529561371</v>
      </c>
      <c r="L426" s="7">
        <f t="shared" si="34"/>
        <v>357.65405283487257</v>
      </c>
      <c r="M426" s="7">
        <f t="shared" si="35"/>
        <v>-0.85405283487256156</v>
      </c>
    </row>
    <row r="427" spans="6:13" ht="18.75" customHeight="1">
      <c r="F427" s="1">
        <v>34335</v>
      </c>
      <c r="G427">
        <f t="shared" si="32"/>
        <v>1</v>
      </c>
      <c r="H427" s="7">
        <v>358.37</v>
      </c>
      <c r="I427" s="7">
        <f t="shared" si="31"/>
        <v>358.6894558737734</v>
      </c>
      <c r="J427" s="7">
        <f t="shared" si="33"/>
        <v>-0.3194558737733928</v>
      </c>
      <c r="K427" s="7" cm="1">
        <f t="array" ref="K427">INDEX(Sm,G427)</f>
        <v>6.1040869584970889E-2</v>
      </c>
      <c r="L427" s="7">
        <f t="shared" si="34"/>
        <v>358.75049674335838</v>
      </c>
      <c r="M427" s="7">
        <f t="shared" si="35"/>
        <v>-0.38049674335837835</v>
      </c>
    </row>
    <row r="428" spans="6:13" ht="18.75" customHeight="1">
      <c r="F428" s="1">
        <v>34366</v>
      </c>
      <c r="G428">
        <f t="shared" si="32"/>
        <v>2</v>
      </c>
      <c r="H428" s="7">
        <v>358.91</v>
      </c>
      <c r="I428" s="7">
        <f t="shared" si="31"/>
        <v>358.83372289430986</v>
      </c>
      <c r="J428" s="7">
        <f t="shared" si="33"/>
        <v>7.6277105690166991E-2</v>
      </c>
      <c r="K428" s="7" cm="1">
        <f t="array" ref="K428">INDEX(Sm,G428)</f>
        <v>0.69421564520236412</v>
      </c>
      <c r="L428" s="7">
        <f t="shared" si="34"/>
        <v>359.52793853951221</v>
      </c>
      <c r="M428" s="7">
        <f t="shared" si="35"/>
        <v>-0.61793853951218125</v>
      </c>
    </row>
    <row r="429" spans="6:13" ht="18.75" customHeight="1">
      <c r="F429" s="1">
        <v>34394</v>
      </c>
      <c r="G429">
        <f t="shared" si="32"/>
        <v>3</v>
      </c>
      <c r="H429" s="7">
        <v>359.97</v>
      </c>
      <c r="I429" s="7">
        <f t="shared" si="31"/>
        <v>358.96419056443563</v>
      </c>
      <c r="J429" s="7">
        <f t="shared" si="33"/>
        <v>1.0058094355644016</v>
      </c>
      <c r="K429" s="7" cm="1">
        <f t="array" ref="K429">INDEX(Sm,G429)</f>
        <v>1.3733706304072995</v>
      </c>
      <c r="L429" s="7">
        <f t="shared" si="34"/>
        <v>360.33756119484292</v>
      </c>
      <c r="M429" s="7">
        <f t="shared" si="35"/>
        <v>-0.36756119484289229</v>
      </c>
    </row>
    <row r="430" spans="6:13" ht="18.75" customHeight="1">
      <c r="F430" s="1">
        <v>34425</v>
      </c>
      <c r="G430">
        <f t="shared" si="32"/>
        <v>4</v>
      </c>
      <c r="H430" s="7">
        <v>361.26</v>
      </c>
      <c r="I430" s="7">
        <f t="shared" si="31"/>
        <v>359.10881624203489</v>
      </c>
      <c r="J430" s="7">
        <f t="shared" si="33"/>
        <v>2.1511837579651001</v>
      </c>
      <c r="K430" s="7" cm="1">
        <f t="array" ref="K430">INDEX(Sm,G430)</f>
        <v>2.6099183412742755</v>
      </c>
      <c r="L430" s="7">
        <f t="shared" si="34"/>
        <v>361.71873458330919</v>
      </c>
      <c r="M430" s="7">
        <f t="shared" si="35"/>
        <v>-0.45873458330919448</v>
      </c>
    </row>
    <row r="431" spans="6:13" ht="18.75" customHeight="1">
      <c r="F431" s="1">
        <v>34455</v>
      </c>
      <c r="G431">
        <f t="shared" si="32"/>
        <v>5</v>
      </c>
      <c r="H431" s="7">
        <v>361.69</v>
      </c>
      <c r="I431" s="7">
        <f t="shared" si="31"/>
        <v>359.24895600177422</v>
      </c>
      <c r="J431" s="7">
        <f t="shared" si="33"/>
        <v>2.4410439982257799</v>
      </c>
      <c r="K431" s="7" cm="1">
        <f t="array" ref="K431">INDEX(Sm,G431)</f>
        <v>3.065291801195754</v>
      </c>
      <c r="L431" s="7">
        <f t="shared" si="34"/>
        <v>362.31424780296999</v>
      </c>
      <c r="M431" s="7">
        <f t="shared" si="35"/>
        <v>-0.62424780296998961</v>
      </c>
    </row>
    <row r="432" spans="6:13" ht="18.75" customHeight="1">
      <c r="F432" s="1">
        <v>34486</v>
      </c>
      <c r="G432">
        <f t="shared" si="32"/>
        <v>6</v>
      </c>
      <c r="H432" s="7">
        <v>360.94</v>
      </c>
      <c r="I432" s="7">
        <f t="shared" si="31"/>
        <v>359.39395249430282</v>
      </c>
      <c r="J432" s="7">
        <f t="shared" si="33"/>
        <v>1.5460475056971745</v>
      </c>
      <c r="K432" s="7" cm="1">
        <f t="array" ref="K432">INDEX(Sm,G432)</f>
        <v>2.3463851222642056</v>
      </c>
      <c r="L432" s="7">
        <f t="shared" si="34"/>
        <v>361.74033761656705</v>
      </c>
      <c r="M432" s="7">
        <f t="shared" si="35"/>
        <v>-0.80033761656704883</v>
      </c>
    </row>
    <row r="433" spans="6:13" ht="18.75" customHeight="1">
      <c r="F433" s="1">
        <v>34516</v>
      </c>
      <c r="G433">
        <f t="shared" si="32"/>
        <v>7</v>
      </c>
      <c r="H433" s="7">
        <v>359.55</v>
      </c>
      <c r="I433" s="7">
        <f t="shared" si="31"/>
        <v>359.53445110719952</v>
      </c>
      <c r="J433" s="7">
        <f t="shared" si="33"/>
        <v>1.5548892800495651E-2</v>
      </c>
      <c r="K433" s="7" cm="1">
        <f t="array" ref="K433">INDEX(Sm,G433)</f>
        <v>0.72334113060077332</v>
      </c>
      <c r="L433" s="7">
        <f t="shared" si="34"/>
        <v>360.25779223780029</v>
      </c>
      <c r="M433" s="7">
        <f t="shared" si="35"/>
        <v>-0.70779223780027678</v>
      </c>
    </row>
    <row r="434" spans="6:13" ht="18.75" customHeight="1">
      <c r="F434" s="1">
        <v>34547</v>
      </c>
      <c r="G434">
        <f t="shared" si="32"/>
        <v>8</v>
      </c>
      <c r="H434" s="7">
        <v>357.48</v>
      </c>
      <c r="I434" s="7">
        <f t="shared" si="31"/>
        <v>359.67981841465746</v>
      </c>
      <c r="J434" s="7">
        <f t="shared" si="33"/>
        <v>-2.1998184146574431</v>
      </c>
      <c r="K434" s="7" cm="1">
        <f t="array" ref="K434">INDEX(Sm,G434)</f>
        <v>-1.3975570061157723</v>
      </c>
      <c r="L434" s="7">
        <f t="shared" si="34"/>
        <v>358.28226140854167</v>
      </c>
      <c r="M434" s="7">
        <f t="shared" si="35"/>
        <v>-0.80226140854165351</v>
      </c>
    </row>
    <row r="435" spans="6:13" ht="18.75" customHeight="1">
      <c r="F435" s="1">
        <v>34578</v>
      </c>
      <c r="G435">
        <f t="shared" si="32"/>
        <v>9</v>
      </c>
      <c r="H435" s="7">
        <v>355.84</v>
      </c>
      <c r="I435" s="7">
        <f t="shared" si="31"/>
        <v>359.82537416904665</v>
      </c>
      <c r="J435" s="7">
        <f t="shared" si="33"/>
        <v>-3.9853741690466791</v>
      </c>
      <c r="K435" s="7" cm="1">
        <f t="array" ref="K435">INDEX(Sm,G435)</f>
        <v>-3.1934822994410497</v>
      </c>
      <c r="L435" s="7">
        <f t="shared" si="34"/>
        <v>356.63189186960562</v>
      </c>
      <c r="M435" s="7">
        <f t="shared" si="35"/>
        <v>-0.79189186960564939</v>
      </c>
    </row>
    <row r="436" spans="6:13" ht="18.75" customHeight="1">
      <c r="F436" s="1">
        <v>34608</v>
      </c>
      <c r="G436">
        <f t="shared" si="32"/>
        <v>10</v>
      </c>
      <c r="H436" s="7">
        <v>356</v>
      </c>
      <c r="I436" s="7">
        <f t="shared" si="31"/>
        <v>359.96641400309886</v>
      </c>
      <c r="J436" s="7">
        <f t="shared" si="33"/>
        <v>-3.9664140030988619</v>
      </c>
      <c r="K436" s="7" cm="1">
        <f t="array" ref="K436">INDEX(Sm,G436)</f>
        <v>-3.3368150874962788</v>
      </c>
      <c r="L436" s="7">
        <f t="shared" si="34"/>
        <v>356.62959891560257</v>
      </c>
      <c r="M436" s="7">
        <f t="shared" si="35"/>
        <v>-0.6295989156025712</v>
      </c>
    </row>
    <row r="437" spans="6:13" ht="18.75" customHeight="1">
      <c r="F437" s="1">
        <v>34639</v>
      </c>
      <c r="G437">
        <f t="shared" si="32"/>
        <v>11</v>
      </c>
      <c r="H437" s="7">
        <v>357.58</v>
      </c>
      <c r="I437" s="7">
        <f t="shared" si="31"/>
        <v>360.11234057241739</v>
      </c>
      <c r="J437" s="7">
        <f t="shared" si="33"/>
        <v>-2.5323405724174108</v>
      </c>
      <c r="K437" s="7" cm="1">
        <f t="array" ref="K437">INDEX(Sm,G437)</f>
        <v>-2.0591623324975612</v>
      </c>
      <c r="L437" s="7">
        <f t="shared" si="34"/>
        <v>358.05317823991982</v>
      </c>
      <c r="M437" s="7">
        <f t="shared" si="35"/>
        <v>-0.47317823991983232</v>
      </c>
    </row>
    <row r="438" spans="6:13" ht="18.75" customHeight="1">
      <c r="F438" s="1">
        <v>34669</v>
      </c>
      <c r="G438">
        <f t="shared" si="32"/>
        <v>12</v>
      </c>
      <c r="H438" s="7">
        <v>359.04</v>
      </c>
      <c r="I438" s="7">
        <f t="shared" si="31"/>
        <v>360.25373925962697</v>
      </c>
      <c r="J438" s="7">
        <f t="shared" si="33"/>
        <v>-1.2137392596269478</v>
      </c>
      <c r="K438" s="7" cm="1">
        <f t="array" ref="K438">INDEX(Sm,G438)</f>
        <v>-0.89132446529561371</v>
      </c>
      <c r="L438" s="7">
        <f t="shared" si="34"/>
        <v>359.36241479433136</v>
      </c>
      <c r="M438" s="7">
        <f t="shared" si="35"/>
        <v>-0.32241479433133691</v>
      </c>
    </row>
    <row r="439" spans="6:13" ht="18.75" customHeight="1">
      <c r="F439" s="1">
        <v>34700</v>
      </c>
      <c r="G439">
        <f t="shared" si="32"/>
        <v>1</v>
      </c>
      <c r="H439" s="7">
        <v>359.97</v>
      </c>
      <c r="I439" s="7">
        <f t="shared" si="31"/>
        <v>360.4000366438749</v>
      </c>
      <c r="J439" s="7">
        <f t="shared" si="33"/>
        <v>-0.43003664387487106</v>
      </c>
      <c r="K439" s="7" cm="1">
        <f t="array" ref="K439">INDEX(Sm,G439)</f>
        <v>6.1040869584970889E-2</v>
      </c>
      <c r="L439" s="7">
        <f t="shared" si="34"/>
        <v>360.46107751345988</v>
      </c>
      <c r="M439" s="7">
        <f t="shared" si="35"/>
        <v>-0.49107751345985662</v>
      </c>
    </row>
    <row r="440" spans="6:13" ht="18.75" customHeight="1">
      <c r="F440" s="1">
        <v>34731</v>
      </c>
      <c r="G440">
        <f t="shared" si="32"/>
        <v>2</v>
      </c>
      <c r="H440" s="7">
        <v>361</v>
      </c>
      <c r="I440" s="7">
        <f t="shared" si="31"/>
        <v>360.54652247505408</v>
      </c>
      <c r="J440" s="7">
        <f t="shared" si="33"/>
        <v>0.45347752494592442</v>
      </c>
      <c r="K440" s="7" cm="1">
        <f t="array" ref="K440">INDEX(Sm,G440)</f>
        <v>0.69421564520236412</v>
      </c>
      <c r="L440" s="7">
        <f t="shared" si="34"/>
        <v>361.24073812025642</v>
      </c>
      <c r="M440" s="7">
        <f t="shared" si="35"/>
        <v>-0.24073812025642383</v>
      </c>
    </row>
    <row r="441" spans="6:13" ht="18.75" customHeight="1">
      <c r="F441" s="1">
        <v>34759</v>
      </c>
      <c r="G441">
        <f t="shared" si="32"/>
        <v>3</v>
      </c>
      <c r="H441" s="7">
        <v>361.63</v>
      </c>
      <c r="I441" s="7">
        <f t="shared" si="31"/>
        <v>360.67899423221206</v>
      </c>
      <c r="J441" s="7">
        <f t="shared" si="33"/>
        <v>0.95100576778793311</v>
      </c>
      <c r="K441" s="7" cm="1">
        <f t="array" ref="K441">INDEX(Sm,G441)</f>
        <v>1.3733706304072995</v>
      </c>
      <c r="L441" s="7">
        <f t="shared" si="34"/>
        <v>362.05236486261936</v>
      </c>
      <c r="M441" s="7">
        <f t="shared" si="35"/>
        <v>-0.42236486261936079</v>
      </c>
    </row>
    <row r="442" spans="6:13" ht="18.75" customHeight="1">
      <c r="F442" s="1">
        <v>34790</v>
      </c>
      <c r="G442">
        <f t="shared" si="32"/>
        <v>4</v>
      </c>
      <c r="H442" s="7">
        <v>363.45</v>
      </c>
      <c r="I442" s="7">
        <f t="shared" si="31"/>
        <v>360.82583872045404</v>
      </c>
      <c r="J442" s="7">
        <f t="shared" si="33"/>
        <v>2.6241612795459446</v>
      </c>
      <c r="K442" s="7" cm="1">
        <f t="array" ref="K442">INDEX(Sm,G442)</f>
        <v>2.6099183412742755</v>
      </c>
      <c r="L442" s="7">
        <f t="shared" si="34"/>
        <v>363.43575706172834</v>
      </c>
      <c r="M442" s="7">
        <f t="shared" si="35"/>
        <v>1.4242938271650019E-2</v>
      </c>
    </row>
    <row r="443" spans="6:13" ht="18.75" customHeight="1">
      <c r="F443" s="1">
        <v>34820</v>
      </c>
      <c r="G443">
        <f t="shared" si="32"/>
        <v>5</v>
      </c>
      <c r="H443" s="7">
        <v>363.8</v>
      </c>
      <c r="I443" s="7">
        <f t="shared" si="31"/>
        <v>360.9681257162992</v>
      </c>
      <c r="J443" s="7">
        <f t="shared" si="33"/>
        <v>2.8318742837008131</v>
      </c>
      <c r="K443" s="7" cm="1">
        <f t="array" ref="K443">INDEX(Sm,G443)</f>
        <v>3.065291801195754</v>
      </c>
      <c r="L443" s="7">
        <f t="shared" si="34"/>
        <v>364.03341751749497</v>
      </c>
      <c r="M443" s="7">
        <f t="shared" si="35"/>
        <v>-0.23341751749495643</v>
      </c>
    </row>
    <row r="444" spans="6:13" ht="18.75" customHeight="1">
      <c r="F444" s="1">
        <v>34851</v>
      </c>
      <c r="G444">
        <f t="shared" si="32"/>
        <v>6</v>
      </c>
      <c r="H444" s="7">
        <v>363.26</v>
      </c>
      <c r="I444" s="7">
        <f t="shared" si="31"/>
        <v>361.11534101947052</v>
      </c>
      <c r="J444" s="7">
        <f t="shared" si="33"/>
        <v>2.1446589805294707</v>
      </c>
      <c r="K444" s="7" cm="1">
        <f t="array" ref="K444">INDEX(Sm,G444)</f>
        <v>2.3463851222642056</v>
      </c>
      <c r="L444" s="7">
        <f t="shared" si="34"/>
        <v>363.46172614173474</v>
      </c>
      <c r="M444" s="7">
        <f t="shared" si="35"/>
        <v>-0.20172614173475267</v>
      </c>
    </row>
    <row r="445" spans="6:13" ht="18.75" customHeight="1">
      <c r="F445" s="1">
        <v>34881</v>
      </c>
      <c r="G445">
        <f t="shared" si="32"/>
        <v>7</v>
      </c>
      <c r="H445" s="7">
        <v>361.89</v>
      </c>
      <c r="I445" s="7">
        <f t="shared" si="31"/>
        <v>361.2579868684731</v>
      </c>
      <c r="J445" s="7">
        <f t="shared" si="33"/>
        <v>0.63201313152688954</v>
      </c>
      <c r="K445" s="7" cm="1">
        <f t="array" ref="K445">INDEX(Sm,G445)</f>
        <v>0.72334113060077332</v>
      </c>
      <c r="L445" s="7">
        <f t="shared" si="34"/>
        <v>361.98132799907387</v>
      </c>
      <c r="M445" s="7">
        <f t="shared" si="35"/>
        <v>-9.1327999073882893E-2</v>
      </c>
    </row>
    <row r="446" spans="6:13" ht="18.75" customHeight="1">
      <c r="F446" s="1">
        <v>34912</v>
      </c>
      <c r="G446">
        <f t="shared" si="32"/>
        <v>8</v>
      </c>
      <c r="H446" s="7">
        <v>359.45</v>
      </c>
      <c r="I446" s="7">
        <f t="shared" si="31"/>
        <v>361.40557298657376</v>
      </c>
      <c r="J446" s="7">
        <f t="shared" si="33"/>
        <v>-1.9555729865737703</v>
      </c>
      <c r="K446" s="7" cm="1">
        <f t="array" ref="K446">INDEX(Sm,G446)</f>
        <v>-1.3975570061157723</v>
      </c>
      <c r="L446" s="7">
        <f t="shared" si="34"/>
        <v>360.00801598045797</v>
      </c>
      <c r="M446" s="7">
        <f t="shared" si="35"/>
        <v>-0.55801598045798073</v>
      </c>
    </row>
    <row r="447" spans="6:13" ht="18.75" customHeight="1">
      <c r="F447" s="1">
        <v>34943</v>
      </c>
      <c r="G447">
        <f t="shared" si="32"/>
        <v>9</v>
      </c>
      <c r="H447" s="7">
        <v>358.05</v>
      </c>
      <c r="I447" s="7">
        <f t="shared" si="31"/>
        <v>361.55334755160573</v>
      </c>
      <c r="J447" s="7">
        <f t="shared" si="33"/>
        <v>-3.5033475516057138</v>
      </c>
      <c r="K447" s="7" cm="1">
        <f t="array" ref="K447">INDEX(Sm,G447)</f>
        <v>-3.1934822994410497</v>
      </c>
      <c r="L447" s="7">
        <f t="shared" si="34"/>
        <v>358.3598652521647</v>
      </c>
      <c r="M447" s="7">
        <f t="shared" si="35"/>
        <v>-0.30986525216468408</v>
      </c>
    </row>
    <row r="448" spans="6:13" ht="18.75" customHeight="1">
      <c r="F448" s="1">
        <v>34973</v>
      </c>
      <c r="G448">
        <f t="shared" si="32"/>
        <v>10</v>
      </c>
      <c r="H448" s="7">
        <v>357.75</v>
      </c>
      <c r="I448" s="7">
        <f t="shared" si="31"/>
        <v>361.69653462176376</v>
      </c>
      <c r="J448" s="7">
        <f t="shared" si="33"/>
        <v>-3.9465346217637602</v>
      </c>
      <c r="K448" s="7" cm="1">
        <f t="array" ref="K448">INDEX(Sm,G448)</f>
        <v>-3.3368150874962788</v>
      </c>
      <c r="L448" s="7">
        <f t="shared" si="34"/>
        <v>358.35971953426747</v>
      </c>
      <c r="M448" s="7">
        <f t="shared" si="35"/>
        <v>-0.6097195342674695</v>
      </c>
    </row>
    <row r="449" spans="6:13" ht="18.75" customHeight="1">
      <c r="F449" s="1">
        <v>35004</v>
      </c>
      <c r="G449">
        <f t="shared" si="32"/>
        <v>11</v>
      </c>
      <c r="H449" s="7">
        <v>359.56</v>
      </c>
      <c r="I449" s="7">
        <f t="shared" si="31"/>
        <v>361.84468000172507</v>
      </c>
      <c r="J449" s="7">
        <f t="shared" si="33"/>
        <v>-2.2846800017250644</v>
      </c>
      <c r="K449" s="7" cm="1">
        <f t="array" ref="K449">INDEX(Sm,G449)</f>
        <v>-2.0591623324975612</v>
      </c>
      <c r="L449" s="7">
        <f t="shared" si="34"/>
        <v>359.78551766922749</v>
      </c>
      <c r="M449" s="7">
        <f t="shared" si="35"/>
        <v>-0.22551766922748584</v>
      </c>
    </row>
    <row r="450" spans="6:13" ht="18.75" customHeight="1">
      <c r="F450" s="1">
        <v>35034</v>
      </c>
      <c r="G450">
        <f t="shared" si="32"/>
        <v>12</v>
      </c>
      <c r="H450" s="7">
        <v>360.7</v>
      </c>
      <c r="I450" s="7">
        <f t="shared" ref="I450:I513" si="36">_A*F450*F450+_B*F450+_C</f>
        <v>361.98822592504047</v>
      </c>
      <c r="J450" s="7">
        <f t="shared" si="33"/>
        <v>-1.2882259250404786</v>
      </c>
      <c r="K450" s="7" cm="1">
        <f t="array" ref="K450">INDEX(Sm,G450)</f>
        <v>-0.89132446529561371</v>
      </c>
      <c r="L450" s="7">
        <f t="shared" si="34"/>
        <v>361.09690145974486</v>
      </c>
      <c r="M450" s="7">
        <f t="shared" si="35"/>
        <v>-0.39690145974486768</v>
      </c>
    </row>
    <row r="451" spans="6:13" ht="18.75" customHeight="1">
      <c r="F451" s="1">
        <v>35065</v>
      </c>
      <c r="G451">
        <f t="shared" ref="G451:G514" si="37">MONTH(F451)</f>
        <v>1</v>
      </c>
      <c r="H451" s="7">
        <v>362.05</v>
      </c>
      <c r="I451" s="7">
        <f t="shared" si="36"/>
        <v>362.13674211993111</v>
      </c>
      <c r="J451" s="7">
        <f t="shared" ref="J451:J514" si="38">H451-I451</f>
        <v>-8.6742119931102479E-2</v>
      </c>
      <c r="K451" s="7" cm="1">
        <f t="array" ref="K451">INDEX(Sm,G451)</f>
        <v>6.1040869584970889E-2</v>
      </c>
      <c r="L451" s="7">
        <f t="shared" ref="L451:L514" si="39">I451+K451</f>
        <v>362.1977829895161</v>
      </c>
      <c r="M451" s="7">
        <f t="shared" ref="M451:M514" si="40">H451-L451</f>
        <v>-0.14778298951608804</v>
      </c>
    </row>
    <row r="452" spans="6:13" ht="18.75" customHeight="1">
      <c r="F452" s="1">
        <v>35096</v>
      </c>
      <c r="G452">
        <f t="shared" si="37"/>
        <v>2</v>
      </c>
      <c r="H452" s="7">
        <v>363.24</v>
      </c>
      <c r="I452" s="7">
        <f t="shared" si="36"/>
        <v>362.28544676175306</v>
      </c>
      <c r="J452" s="7">
        <f t="shared" si="38"/>
        <v>0.9545532382469446</v>
      </c>
      <c r="K452" s="7" cm="1">
        <f t="array" ref="K452">INDEX(Sm,G452)</f>
        <v>0.69421564520236412</v>
      </c>
      <c r="L452" s="7">
        <f t="shared" si="39"/>
        <v>362.97966240695541</v>
      </c>
      <c r="M452" s="7">
        <f t="shared" si="40"/>
        <v>0.26033759304459636</v>
      </c>
    </row>
    <row r="453" spans="6:13" ht="18.75" customHeight="1">
      <c r="F453" s="1">
        <v>35125</v>
      </c>
      <c r="G453">
        <f t="shared" si="37"/>
        <v>3</v>
      </c>
      <c r="H453" s="7">
        <v>364.02</v>
      </c>
      <c r="I453" s="7">
        <f t="shared" si="36"/>
        <v>362.42472815803626</v>
      </c>
      <c r="J453" s="7">
        <f t="shared" si="38"/>
        <v>1.5952718419637222</v>
      </c>
      <c r="K453" s="7" cm="1">
        <f t="array" ref="K453">INDEX(Sm,G453)</f>
        <v>1.3733706304072995</v>
      </c>
      <c r="L453" s="7">
        <f t="shared" si="39"/>
        <v>363.79809878844355</v>
      </c>
      <c r="M453" s="7">
        <f t="shared" si="40"/>
        <v>0.22190121155642828</v>
      </c>
    </row>
    <row r="454" spans="6:13" ht="18.75" customHeight="1">
      <c r="F454" s="1">
        <v>35156</v>
      </c>
      <c r="G454">
        <f t="shared" si="37"/>
        <v>4</v>
      </c>
      <c r="H454" s="7">
        <v>364.71</v>
      </c>
      <c r="I454" s="7">
        <f t="shared" si="36"/>
        <v>362.57379753585423</v>
      </c>
      <c r="J454" s="7">
        <f t="shared" si="38"/>
        <v>2.1362024641457538</v>
      </c>
      <c r="K454" s="7" cm="1">
        <f t="array" ref="K454">INDEX(Sm,G454)</f>
        <v>2.6099183412742755</v>
      </c>
      <c r="L454" s="7">
        <f t="shared" si="39"/>
        <v>365.18371587712852</v>
      </c>
      <c r="M454" s="7">
        <f t="shared" si="40"/>
        <v>-0.4737158771285408</v>
      </c>
    </row>
    <row r="455" spans="6:13" ht="18.75" customHeight="1">
      <c r="F455" s="1">
        <v>35186</v>
      </c>
      <c r="G455">
        <f t="shared" si="37"/>
        <v>5</v>
      </c>
      <c r="H455" s="7">
        <v>365.42</v>
      </c>
      <c r="I455" s="7">
        <f t="shared" si="36"/>
        <v>362.71823765064391</v>
      </c>
      <c r="J455" s="7">
        <f t="shared" si="38"/>
        <v>2.7017623493561018</v>
      </c>
      <c r="K455" s="7" cm="1">
        <f t="array" ref="K455">INDEX(Sm,G455)</f>
        <v>3.065291801195754</v>
      </c>
      <c r="L455" s="7">
        <f t="shared" si="39"/>
        <v>365.78352945183968</v>
      </c>
      <c r="M455" s="7">
        <f t="shared" si="40"/>
        <v>-0.36352945183966767</v>
      </c>
    </row>
    <row r="456" spans="6:13" ht="18.75" customHeight="1">
      <c r="F456" s="1">
        <v>35217</v>
      </c>
      <c r="G456">
        <f t="shared" si="37"/>
        <v>6</v>
      </c>
      <c r="H456" s="7">
        <v>364.97</v>
      </c>
      <c r="I456" s="7">
        <f t="shared" si="36"/>
        <v>362.86767784339122</v>
      </c>
      <c r="J456" s="7">
        <f t="shared" si="38"/>
        <v>2.1023221566088068</v>
      </c>
      <c r="K456" s="7" cm="1">
        <f t="array" ref="K456">INDEX(Sm,G456)</f>
        <v>2.3463851222642056</v>
      </c>
      <c r="L456" s="7">
        <f t="shared" si="39"/>
        <v>365.21406296565544</v>
      </c>
      <c r="M456" s="7">
        <f t="shared" si="40"/>
        <v>-0.24406296565541652</v>
      </c>
    </row>
    <row r="457" spans="6:13" ht="18.75" customHeight="1">
      <c r="F457" s="1">
        <v>35247</v>
      </c>
      <c r="G457">
        <f t="shared" si="37"/>
        <v>7</v>
      </c>
      <c r="H457" s="7">
        <v>363.65</v>
      </c>
      <c r="I457" s="7">
        <f t="shared" si="36"/>
        <v>363.01247681133827</v>
      </c>
      <c r="J457" s="7">
        <f t="shared" si="38"/>
        <v>0.63752318866170299</v>
      </c>
      <c r="K457" s="7" cm="1">
        <f t="array" ref="K457">INDEX(Sm,G457)</f>
        <v>0.72334113060077332</v>
      </c>
      <c r="L457" s="7">
        <f t="shared" si="39"/>
        <v>363.73581794193905</v>
      </c>
      <c r="M457" s="7">
        <f t="shared" si="40"/>
        <v>-8.5817941939069442E-2</v>
      </c>
    </row>
    <row r="458" spans="6:13" ht="18.75" customHeight="1">
      <c r="F458" s="1">
        <v>35278</v>
      </c>
      <c r="G458">
        <f t="shared" si="37"/>
        <v>8</v>
      </c>
      <c r="H458" s="7">
        <v>361.48</v>
      </c>
      <c r="I458" s="7">
        <f t="shared" si="36"/>
        <v>363.16228781901498</v>
      </c>
      <c r="J458" s="7">
        <f t="shared" si="38"/>
        <v>-1.6822878190149595</v>
      </c>
      <c r="K458" s="7" cm="1">
        <f t="array" ref="K458">INDEX(Sm,G458)</f>
        <v>-1.3975570061157723</v>
      </c>
      <c r="L458" s="7">
        <f t="shared" si="39"/>
        <v>361.76473081289919</v>
      </c>
      <c r="M458" s="7">
        <f t="shared" si="40"/>
        <v>-0.2847308128991699</v>
      </c>
    </row>
    <row r="459" spans="6:13" ht="18.75" customHeight="1">
      <c r="F459" s="1">
        <v>35309</v>
      </c>
      <c r="G459">
        <f t="shared" si="37"/>
        <v>9</v>
      </c>
      <c r="H459" s="7">
        <v>359.45</v>
      </c>
      <c r="I459" s="7">
        <f t="shared" si="36"/>
        <v>363.31228727362293</v>
      </c>
      <c r="J459" s="7">
        <f t="shared" si="38"/>
        <v>-3.8622872736229397</v>
      </c>
      <c r="K459" s="7" cm="1">
        <f t="array" ref="K459">INDEX(Sm,G459)</f>
        <v>-3.1934822994410497</v>
      </c>
      <c r="L459" s="7">
        <f t="shared" si="39"/>
        <v>360.1188049741819</v>
      </c>
      <c r="M459" s="7">
        <f t="shared" si="40"/>
        <v>-0.66880497418190998</v>
      </c>
    </row>
    <row r="460" spans="6:13" ht="18.75" customHeight="1">
      <c r="F460" s="1">
        <v>35339</v>
      </c>
      <c r="G460">
        <f t="shared" si="37"/>
        <v>10</v>
      </c>
      <c r="H460" s="7">
        <v>359.61</v>
      </c>
      <c r="I460" s="7">
        <f t="shared" si="36"/>
        <v>363.45762746272544</v>
      </c>
      <c r="J460" s="7">
        <f t="shared" si="38"/>
        <v>-3.847627462725427</v>
      </c>
      <c r="K460" s="7" cm="1">
        <f t="array" ref="K460">INDEX(Sm,G460)</f>
        <v>-3.3368150874962788</v>
      </c>
      <c r="L460" s="7">
        <f t="shared" si="39"/>
        <v>360.12081237522915</v>
      </c>
      <c r="M460" s="7">
        <f t="shared" si="40"/>
        <v>-0.51081237522913625</v>
      </c>
    </row>
    <row r="461" spans="6:13" ht="18.75" customHeight="1">
      <c r="F461" s="1">
        <v>35370</v>
      </c>
      <c r="G461">
        <f t="shared" si="37"/>
        <v>11</v>
      </c>
      <c r="H461" s="7">
        <v>360.76</v>
      </c>
      <c r="I461" s="7">
        <f t="shared" si="36"/>
        <v>363.60799773226273</v>
      </c>
      <c r="J461" s="7">
        <f t="shared" si="38"/>
        <v>-2.8479977322627406</v>
      </c>
      <c r="K461" s="7" cm="1">
        <f t="array" ref="K461">INDEX(Sm,G461)</f>
        <v>-2.0591623324975612</v>
      </c>
      <c r="L461" s="7">
        <f t="shared" si="39"/>
        <v>361.54883539976515</v>
      </c>
      <c r="M461" s="7">
        <f t="shared" si="40"/>
        <v>-0.78883539976516204</v>
      </c>
    </row>
    <row r="462" spans="6:13" ht="18.75" customHeight="1">
      <c r="F462" s="1">
        <v>35400</v>
      </c>
      <c r="G462">
        <f t="shared" si="37"/>
        <v>12</v>
      </c>
      <c r="H462" s="7">
        <v>362.33</v>
      </c>
      <c r="I462" s="7">
        <f t="shared" si="36"/>
        <v>363.75369677452272</v>
      </c>
      <c r="J462" s="7">
        <f t="shared" si="38"/>
        <v>-1.4236967745227389</v>
      </c>
      <c r="K462" s="7" cm="1">
        <f t="array" ref="K462">INDEX(Sm,G462)</f>
        <v>-0.89132446529561371</v>
      </c>
      <c r="L462" s="7">
        <f t="shared" si="39"/>
        <v>362.86237230922711</v>
      </c>
      <c r="M462" s="7">
        <f t="shared" si="40"/>
        <v>-0.53237230922712797</v>
      </c>
    </row>
    <row r="463" spans="6:13" ht="18.75" customHeight="1">
      <c r="F463" s="1">
        <v>35431</v>
      </c>
      <c r="G463">
        <f t="shared" si="37"/>
        <v>1</v>
      </c>
      <c r="H463" s="7">
        <v>363.19</v>
      </c>
      <c r="I463" s="7">
        <f t="shared" si="36"/>
        <v>363.90443785898935</v>
      </c>
      <c r="J463" s="7">
        <f t="shared" si="38"/>
        <v>-0.7144378589893563</v>
      </c>
      <c r="K463" s="7" cm="1">
        <f t="array" ref="K463">INDEX(Sm,G463)</f>
        <v>6.1040869584970889E-2</v>
      </c>
      <c r="L463" s="7">
        <f t="shared" si="39"/>
        <v>363.96547872857434</v>
      </c>
      <c r="M463" s="7">
        <f t="shared" si="40"/>
        <v>-0.77547872857434186</v>
      </c>
    </row>
    <row r="464" spans="6:13" ht="18.75" customHeight="1">
      <c r="F464" s="1">
        <v>35462</v>
      </c>
      <c r="G464">
        <f t="shared" si="37"/>
        <v>2</v>
      </c>
      <c r="H464" s="7">
        <v>363.99</v>
      </c>
      <c r="I464" s="7">
        <f t="shared" si="36"/>
        <v>364.05536739038723</v>
      </c>
      <c r="J464" s="7">
        <f t="shared" si="38"/>
        <v>-6.5367390387223168E-2</v>
      </c>
      <c r="K464" s="7" cm="1">
        <f t="array" ref="K464">INDEX(Sm,G464)</f>
        <v>0.69421564520236412</v>
      </c>
      <c r="L464" s="7">
        <f t="shared" si="39"/>
        <v>364.74958303558958</v>
      </c>
      <c r="M464" s="7">
        <f t="shared" si="40"/>
        <v>-0.75958303558957141</v>
      </c>
    </row>
    <row r="465" spans="6:13" ht="18.75" customHeight="1">
      <c r="F465" s="1">
        <v>35490</v>
      </c>
      <c r="G465">
        <f t="shared" si="37"/>
        <v>3</v>
      </c>
      <c r="H465" s="7">
        <v>364.56</v>
      </c>
      <c r="I465" s="7">
        <f t="shared" si="36"/>
        <v>364.1918528122589</v>
      </c>
      <c r="J465" s="7">
        <f t="shared" si="38"/>
        <v>0.36814718774110133</v>
      </c>
      <c r="K465" s="7" cm="1">
        <f t="array" ref="K465">INDEX(Sm,G465)</f>
        <v>1.3733706304072995</v>
      </c>
      <c r="L465" s="7">
        <f t="shared" si="39"/>
        <v>365.56522344266619</v>
      </c>
      <c r="M465" s="7">
        <f t="shared" si="40"/>
        <v>-1.0052234426661926</v>
      </c>
    </row>
    <row r="466" spans="6:13" ht="18.75" customHeight="1">
      <c r="F466" s="1">
        <v>35521</v>
      </c>
      <c r="G466">
        <f t="shared" si="37"/>
        <v>4</v>
      </c>
      <c r="H466" s="7">
        <v>366.36</v>
      </c>
      <c r="I466" s="7">
        <f t="shared" si="36"/>
        <v>364.34314100071964</v>
      </c>
      <c r="J466" s="7">
        <f t="shared" si="38"/>
        <v>2.0168589992803732</v>
      </c>
      <c r="K466" s="7" cm="1">
        <f t="array" ref="K466">INDEX(Sm,G466)</f>
        <v>2.6099183412742755</v>
      </c>
      <c r="L466" s="7">
        <f t="shared" si="39"/>
        <v>366.95305934199394</v>
      </c>
      <c r="M466" s="7">
        <f t="shared" si="40"/>
        <v>-0.59305934199392141</v>
      </c>
    </row>
    <row r="467" spans="6:13" ht="18.75" customHeight="1">
      <c r="F467" s="1">
        <v>35551</v>
      </c>
      <c r="G467">
        <f t="shared" si="37"/>
        <v>5</v>
      </c>
      <c r="H467" s="7">
        <v>366.8</v>
      </c>
      <c r="I467" s="7">
        <f t="shared" si="36"/>
        <v>364.48972835161516</v>
      </c>
      <c r="J467" s="7">
        <f t="shared" si="38"/>
        <v>2.3102716483848553</v>
      </c>
      <c r="K467" s="7" cm="1">
        <f t="array" ref="K467">INDEX(Sm,G467)</f>
        <v>3.065291801195754</v>
      </c>
      <c r="L467" s="7">
        <f t="shared" si="39"/>
        <v>367.55502015281093</v>
      </c>
      <c r="M467" s="7">
        <f t="shared" si="40"/>
        <v>-0.75502015281091417</v>
      </c>
    </row>
    <row r="468" spans="6:13" ht="18.75" customHeight="1">
      <c r="F468" s="1">
        <v>35582</v>
      </c>
      <c r="G468">
        <f t="shared" si="37"/>
        <v>6</v>
      </c>
      <c r="H468" s="7">
        <v>365.63</v>
      </c>
      <c r="I468" s="7">
        <f t="shared" si="36"/>
        <v>364.64138735500524</v>
      </c>
      <c r="J468" s="7">
        <f t="shared" si="38"/>
        <v>0.98861264499475965</v>
      </c>
      <c r="K468" s="7" cm="1">
        <f t="array" ref="K468">INDEX(Sm,G468)</f>
        <v>2.3463851222642056</v>
      </c>
      <c r="L468" s="7">
        <f t="shared" si="39"/>
        <v>366.98777247726946</v>
      </c>
      <c r="M468" s="7">
        <f t="shared" si="40"/>
        <v>-1.3577724772694637</v>
      </c>
    </row>
    <row r="469" spans="6:13" ht="18.75" customHeight="1">
      <c r="F469" s="1">
        <v>35612</v>
      </c>
      <c r="G469">
        <f t="shared" si="37"/>
        <v>7</v>
      </c>
      <c r="H469" s="7">
        <v>364.47</v>
      </c>
      <c r="I469" s="7">
        <f t="shared" si="36"/>
        <v>364.78833355905817</v>
      </c>
      <c r="J469" s="7">
        <f t="shared" si="38"/>
        <v>-0.31833355905814642</v>
      </c>
      <c r="K469" s="7" cm="1">
        <f t="array" ref="K469">INDEX(Sm,G469)</f>
        <v>0.72334113060077332</v>
      </c>
      <c r="L469" s="7">
        <f t="shared" si="39"/>
        <v>365.51167468965895</v>
      </c>
      <c r="M469" s="7">
        <f t="shared" si="40"/>
        <v>-1.0416746896589189</v>
      </c>
    </row>
    <row r="470" spans="6:13" ht="18.75" customHeight="1">
      <c r="F470" s="1">
        <v>35643</v>
      </c>
      <c r="G470">
        <f t="shared" si="37"/>
        <v>8</v>
      </c>
      <c r="H470" s="7">
        <v>362.5</v>
      </c>
      <c r="I470" s="7">
        <f t="shared" si="36"/>
        <v>364.94036337737754</v>
      </c>
      <c r="J470" s="7">
        <f t="shared" si="38"/>
        <v>-2.4403633773775368</v>
      </c>
      <c r="K470" s="7" cm="1">
        <f t="array" ref="K470">INDEX(Sm,G470)</f>
        <v>-1.3975570061157723</v>
      </c>
      <c r="L470" s="7">
        <f t="shared" si="39"/>
        <v>363.54280637126175</v>
      </c>
      <c r="M470" s="7">
        <f t="shared" si="40"/>
        <v>-1.0428063712617472</v>
      </c>
    </row>
    <row r="471" spans="6:13" ht="18.75" customHeight="1">
      <c r="F471" s="1">
        <v>35674</v>
      </c>
      <c r="G471">
        <f t="shared" si="37"/>
        <v>9</v>
      </c>
      <c r="H471" s="7">
        <v>360.19</v>
      </c>
      <c r="I471" s="7">
        <f t="shared" si="36"/>
        <v>365.09258164262826</v>
      </c>
      <c r="J471" s="7">
        <f t="shared" si="38"/>
        <v>-4.9025816426282631</v>
      </c>
      <c r="K471" s="7" cm="1">
        <f t="array" ref="K471">INDEX(Sm,G471)</f>
        <v>-3.1934822994410497</v>
      </c>
      <c r="L471" s="7">
        <f t="shared" si="39"/>
        <v>361.89909934318723</v>
      </c>
      <c r="M471" s="7">
        <f t="shared" si="40"/>
        <v>-1.7090993431872334</v>
      </c>
    </row>
    <row r="472" spans="6:13" ht="18.75" customHeight="1">
      <c r="F472" s="1">
        <v>35704</v>
      </c>
      <c r="G472">
        <f t="shared" si="37"/>
        <v>10</v>
      </c>
      <c r="H472" s="7">
        <v>360.78</v>
      </c>
      <c r="I472" s="7">
        <f t="shared" si="36"/>
        <v>365.24006906783666</v>
      </c>
      <c r="J472" s="7">
        <f t="shared" si="38"/>
        <v>-4.4600690678366846</v>
      </c>
      <c r="K472" s="7" cm="1">
        <f t="array" ref="K472">INDEX(Sm,G472)</f>
        <v>-3.3368150874962788</v>
      </c>
      <c r="L472" s="7">
        <f t="shared" si="39"/>
        <v>361.90325398034037</v>
      </c>
      <c r="M472" s="7">
        <f t="shared" si="40"/>
        <v>-1.1232539803403938</v>
      </c>
    </row>
    <row r="473" spans="6:13" ht="18.75" customHeight="1">
      <c r="F473" s="1">
        <v>35735</v>
      </c>
      <c r="G473">
        <f t="shared" si="37"/>
        <v>11</v>
      </c>
      <c r="H473" s="7">
        <v>362.43</v>
      </c>
      <c r="I473" s="7">
        <f t="shared" si="36"/>
        <v>365.39265814801666</v>
      </c>
      <c r="J473" s="7">
        <f t="shared" si="38"/>
        <v>-2.9626581480166578</v>
      </c>
      <c r="K473" s="7" cm="1">
        <f t="array" ref="K473">INDEX(Sm,G473)</f>
        <v>-2.0591623324975612</v>
      </c>
      <c r="L473" s="7">
        <f t="shared" si="39"/>
        <v>363.33349581551909</v>
      </c>
      <c r="M473" s="7">
        <f t="shared" si="40"/>
        <v>-0.90349581551907931</v>
      </c>
    </row>
    <row r="474" spans="6:13" ht="18.75" customHeight="1">
      <c r="F474" s="1">
        <v>35765</v>
      </c>
      <c r="G474">
        <f t="shared" si="37"/>
        <v>12</v>
      </c>
      <c r="H474" s="7">
        <v>364.28</v>
      </c>
      <c r="I474" s="7">
        <f t="shared" si="36"/>
        <v>365.54050442638254</v>
      </c>
      <c r="J474" s="7">
        <f t="shared" si="38"/>
        <v>-1.2605044263825675</v>
      </c>
      <c r="K474" s="7" cm="1">
        <f t="array" ref="K474">INDEX(Sm,G474)</f>
        <v>-0.89132446529561371</v>
      </c>
      <c r="L474" s="7">
        <f t="shared" si="39"/>
        <v>364.64917996108693</v>
      </c>
      <c r="M474" s="7">
        <f t="shared" si="40"/>
        <v>-0.36917996108695661</v>
      </c>
    </row>
    <row r="475" spans="6:13" ht="18.75" customHeight="1">
      <c r="F475" s="1">
        <v>35796</v>
      </c>
      <c r="G475">
        <f t="shared" si="37"/>
        <v>1</v>
      </c>
      <c r="H475" s="7">
        <v>365.33</v>
      </c>
      <c r="I475" s="7">
        <f t="shared" si="36"/>
        <v>365.69346432149183</v>
      </c>
      <c r="J475" s="7">
        <f t="shared" si="38"/>
        <v>-0.36346432149184693</v>
      </c>
      <c r="K475" s="7" cm="1">
        <f t="array" ref="K475">INDEX(Sm,G475)</f>
        <v>6.1040869584970889E-2</v>
      </c>
      <c r="L475" s="7">
        <f t="shared" si="39"/>
        <v>365.75450519107682</v>
      </c>
      <c r="M475" s="7">
        <f t="shared" si="40"/>
        <v>-0.42450519107683249</v>
      </c>
    </row>
    <row r="476" spans="6:13" ht="18.75" customHeight="1">
      <c r="F476" s="1">
        <v>35827</v>
      </c>
      <c r="G476">
        <f t="shared" si="37"/>
        <v>2</v>
      </c>
      <c r="H476" s="7">
        <v>366.15</v>
      </c>
      <c r="I476" s="7">
        <f t="shared" si="36"/>
        <v>365.84661266353248</v>
      </c>
      <c r="J476" s="7">
        <f t="shared" si="38"/>
        <v>0.30338733646749461</v>
      </c>
      <c r="K476" s="7" cm="1">
        <f t="array" ref="K476">INDEX(Sm,G476)</f>
        <v>0.69421564520236412</v>
      </c>
      <c r="L476" s="7">
        <f t="shared" si="39"/>
        <v>366.54082830873483</v>
      </c>
      <c r="M476" s="7">
        <f t="shared" si="40"/>
        <v>-0.39082830873485364</v>
      </c>
    </row>
    <row r="477" spans="6:13" ht="18.75" customHeight="1">
      <c r="F477" s="1">
        <v>35855</v>
      </c>
      <c r="G477">
        <f t="shared" si="37"/>
        <v>3</v>
      </c>
      <c r="H477" s="7">
        <v>367.31</v>
      </c>
      <c r="I477" s="7">
        <f t="shared" si="36"/>
        <v>365.98510217243631</v>
      </c>
      <c r="J477" s="7">
        <f t="shared" si="38"/>
        <v>1.3248978275636887</v>
      </c>
      <c r="K477" s="7" cm="1">
        <f t="array" ref="K477">INDEX(Sm,G477)</f>
        <v>1.3733706304072995</v>
      </c>
      <c r="L477" s="7">
        <f t="shared" si="39"/>
        <v>367.35847280284361</v>
      </c>
      <c r="M477" s="7">
        <f t="shared" si="40"/>
        <v>-4.8472802843605223E-2</v>
      </c>
    </row>
    <row r="478" spans="6:13" ht="18.75" customHeight="1">
      <c r="F478" s="1">
        <v>35886</v>
      </c>
      <c r="G478">
        <f t="shared" si="37"/>
        <v>4</v>
      </c>
      <c r="H478" s="7">
        <v>368.61</v>
      </c>
      <c r="I478" s="7">
        <f t="shared" si="36"/>
        <v>366.13860917153977</v>
      </c>
      <c r="J478" s="7">
        <f t="shared" si="38"/>
        <v>2.4713908284602439</v>
      </c>
      <c r="K478" s="7" cm="1">
        <f t="array" ref="K478">INDEX(Sm,G478)</f>
        <v>2.6099183412742755</v>
      </c>
      <c r="L478" s="7">
        <f t="shared" si="39"/>
        <v>368.74852751281406</v>
      </c>
      <c r="M478" s="7">
        <f t="shared" si="40"/>
        <v>-0.13852751281405062</v>
      </c>
    </row>
    <row r="479" spans="6:13" ht="18.75" customHeight="1">
      <c r="F479" s="1">
        <v>35916</v>
      </c>
      <c r="G479">
        <f t="shared" si="37"/>
        <v>5</v>
      </c>
      <c r="H479" s="7">
        <v>369.3</v>
      </c>
      <c r="I479" s="7">
        <f t="shared" si="36"/>
        <v>366.28734375854117</v>
      </c>
      <c r="J479" s="7">
        <f t="shared" si="38"/>
        <v>3.012656241458842</v>
      </c>
      <c r="K479" s="7" cm="1">
        <f t="array" ref="K479">INDEX(Sm,G479)</f>
        <v>3.065291801195754</v>
      </c>
      <c r="L479" s="7">
        <f t="shared" si="39"/>
        <v>369.35263555973694</v>
      </c>
      <c r="M479" s="7">
        <f t="shared" si="40"/>
        <v>-5.2635559736927462E-2</v>
      </c>
    </row>
    <row r="480" spans="6:13" ht="18.75" customHeight="1">
      <c r="F480" s="1">
        <v>35947</v>
      </c>
      <c r="G480">
        <f t="shared" si="37"/>
        <v>6</v>
      </c>
      <c r="H480" s="7">
        <v>368.88</v>
      </c>
      <c r="I480" s="7">
        <f t="shared" si="36"/>
        <v>366.44122157257391</v>
      </c>
      <c r="J480" s="7">
        <f t="shared" si="38"/>
        <v>2.4387784274260866</v>
      </c>
      <c r="K480" s="7" cm="1">
        <f t="array" ref="K480">INDEX(Sm,G480)</f>
        <v>2.3463851222642056</v>
      </c>
      <c r="L480" s="7">
        <f t="shared" si="39"/>
        <v>368.78760669483813</v>
      </c>
      <c r="M480" s="7">
        <f t="shared" si="40"/>
        <v>9.2393305161863282E-2</v>
      </c>
    </row>
    <row r="481" spans="6:13" ht="18.75" customHeight="1">
      <c r="F481" s="1">
        <v>35977</v>
      </c>
      <c r="G481">
        <f t="shared" si="37"/>
        <v>7</v>
      </c>
      <c r="H481" s="7">
        <v>367.64</v>
      </c>
      <c r="I481" s="7">
        <f t="shared" si="36"/>
        <v>366.59031501273273</v>
      </c>
      <c r="J481" s="7">
        <f t="shared" si="38"/>
        <v>1.0496849872672556</v>
      </c>
      <c r="K481" s="7" cm="1">
        <f t="array" ref="K481">INDEX(Sm,G481)</f>
        <v>0.72334113060077332</v>
      </c>
      <c r="L481" s="7">
        <f t="shared" si="39"/>
        <v>367.3136561433335</v>
      </c>
      <c r="M481" s="7">
        <f t="shared" si="40"/>
        <v>0.32634385666648313</v>
      </c>
    </row>
    <row r="482" spans="6:13" ht="18.75" customHeight="1">
      <c r="F482" s="1">
        <v>36008</v>
      </c>
      <c r="G482">
        <f t="shared" si="37"/>
        <v>8</v>
      </c>
      <c r="H482" s="7">
        <v>365.78</v>
      </c>
      <c r="I482" s="7">
        <f t="shared" si="36"/>
        <v>366.74456364169487</v>
      </c>
      <c r="J482" s="7">
        <f t="shared" si="38"/>
        <v>-0.96456364169489461</v>
      </c>
      <c r="K482" s="7" cm="1">
        <f t="array" ref="K482">INDEX(Sm,G482)</f>
        <v>-1.3975570061157723</v>
      </c>
      <c r="L482" s="7">
        <f t="shared" si="39"/>
        <v>365.34700663557908</v>
      </c>
      <c r="M482" s="7">
        <f t="shared" si="40"/>
        <v>0.43299336442089498</v>
      </c>
    </row>
    <row r="483" spans="6:13" ht="18.75" customHeight="1">
      <c r="F483" s="1">
        <v>36039</v>
      </c>
      <c r="G483">
        <f t="shared" si="37"/>
        <v>9</v>
      </c>
      <c r="H483" s="7">
        <v>363.9</v>
      </c>
      <c r="I483" s="7">
        <f t="shared" si="36"/>
        <v>366.89900071758831</v>
      </c>
      <c r="J483" s="7">
        <f t="shared" si="38"/>
        <v>-2.9990007175883306</v>
      </c>
      <c r="K483" s="7" cm="1">
        <f t="array" ref="K483">INDEX(Sm,G483)</f>
        <v>-3.1934822994410497</v>
      </c>
      <c r="L483" s="7">
        <f t="shared" si="39"/>
        <v>363.70551841814728</v>
      </c>
      <c r="M483" s="7">
        <f t="shared" si="40"/>
        <v>0.19448158185269904</v>
      </c>
    </row>
    <row r="484" spans="6:13" ht="18.75" customHeight="1">
      <c r="F484" s="1">
        <v>36069</v>
      </c>
      <c r="G484">
        <f t="shared" si="37"/>
        <v>10</v>
      </c>
      <c r="H484" s="7">
        <v>364.23</v>
      </c>
      <c r="I484" s="7">
        <f t="shared" si="36"/>
        <v>367.04863537890253</v>
      </c>
      <c r="J484" s="7">
        <f t="shared" si="38"/>
        <v>-2.8186353789025134</v>
      </c>
      <c r="K484" s="7" cm="1">
        <f t="array" ref="K484">INDEX(Sm,G484)</f>
        <v>-3.3368150874962788</v>
      </c>
      <c r="L484" s="7">
        <f t="shared" si="39"/>
        <v>363.71182029140624</v>
      </c>
      <c r="M484" s="7">
        <f t="shared" si="40"/>
        <v>0.51817970859377738</v>
      </c>
    </row>
    <row r="485" spans="6:13" ht="18.75" customHeight="1">
      <c r="F485" s="1">
        <v>36100</v>
      </c>
      <c r="G485">
        <f t="shared" si="37"/>
        <v>11</v>
      </c>
      <c r="H485" s="7">
        <v>365.46</v>
      </c>
      <c r="I485" s="7">
        <f t="shared" si="36"/>
        <v>367.20344326972531</v>
      </c>
      <c r="J485" s="7">
        <f t="shared" si="38"/>
        <v>-1.7434432697253328</v>
      </c>
      <c r="K485" s="7" cm="1">
        <f t="array" ref="K485">INDEX(Sm,G485)</f>
        <v>-2.0591623324975612</v>
      </c>
      <c r="L485" s="7">
        <f t="shared" si="39"/>
        <v>365.14428093722773</v>
      </c>
      <c r="M485" s="7">
        <f t="shared" si="40"/>
        <v>0.31571906277224571</v>
      </c>
    </row>
    <row r="486" spans="6:13" ht="18.75" customHeight="1">
      <c r="F486" s="1">
        <v>36130</v>
      </c>
      <c r="G486">
        <f t="shared" si="37"/>
        <v>12</v>
      </c>
      <c r="H486" s="7">
        <v>366.97</v>
      </c>
      <c r="I486" s="7">
        <f t="shared" si="36"/>
        <v>367.35343678419702</v>
      </c>
      <c r="J486" s="7">
        <f t="shared" si="38"/>
        <v>-0.3834367841969879</v>
      </c>
      <c r="K486" s="7" cm="1">
        <f t="array" ref="K486">INDEX(Sm,G486)</f>
        <v>-0.89132446529561371</v>
      </c>
      <c r="L486" s="7">
        <f t="shared" si="39"/>
        <v>366.4621123189014</v>
      </c>
      <c r="M486" s="7">
        <f t="shared" si="40"/>
        <v>0.50788768109862303</v>
      </c>
    </row>
    <row r="487" spans="6:13" ht="18.75" customHeight="1">
      <c r="F487" s="1">
        <v>36161</v>
      </c>
      <c r="G487">
        <f t="shared" si="37"/>
        <v>1</v>
      </c>
      <c r="H487" s="7">
        <v>368.15</v>
      </c>
      <c r="I487" s="7">
        <f t="shared" si="36"/>
        <v>367.50861548994908</v>
      </c>
      <c r="J487" s="7">
        <f t="shared" si="38"/>
        <v>0.64138451005089792</v>
      </c>
      <c r="K487" s="7" cm="1">
        <f t="array" ref="K487">INDEX(Sm,G487)</f>
        <v>6.1040869584970889E-2</v>
      </c>
      <c r="L487" s="7">
        <f t="shared" si="39"/>
        <v>367.56965635953406</v>
      </c>
      <c r="M487" s="7">
        <f t="shared" si="40"/>
        <v>0.58034364046591236</v>
      </c>
    </row>
    <row r="488" spans="6:13" ht="18.75" customHeight="1">
      <c r="F488" s="1">
        <v>36192</v>
      </c>
      <c r="G488">
        <f t="shared" si="37"/>
        <v>2</v>
      </c>
      <c r="H488" s="7">
        <v>368.87</v>
      </c>
      <c r="I488" s="7">
        <f t="shared" si="36"/>
        <v>367.66398264263245</v>
      </c>
      <c r="J488" s="7">
        <f t="shared" si="38"/>
        <v>1.206017357367557</v>
      </c>
      <c r="K488" s="7" cm="1">
        <f t="array" ref="K488">INDEX(Sm,G488)</f>
        <v>0.69421564520236412</v>
      </c>
      <c r="L488" s="7">
        <f t="shared" si="39"/>
        <v>368.3581982878348</v>
      </c>
      <c r="M488" s="7">
        <f t="shared" si="40"/>
        <v>0.51180171216520876</v>
      </c>
    </row>
    <row r="489" spans="6:13" ht="18.75" customHeight="1">
      <c r="F489" s="1">
        <v>36220</v>
      </c>
      <c r="G489">
        <f t="shared" si="37"/>
        <v>3</v>
      </c>
      <c r="H489" s="7">
        <v>369.59</v>
      </c>
      <c r="I489" s="7">
        <f t="shared" si="36"/>
        <v>367.80447623856844</v>
      </c>
      <c r="J489" s="7">
        <f t="shared" si="38"/>
        <v>1.7855237614315342</v>
      </c>
      <c r="K489" s="7" cm="1">
        <f t="array" ref="K489">INDEX(Sm,G489)</f>
        <v>1.3733706304072995</v>
      </c>
      <c r="L489" s="7">
        <f t="shared" si="39"/>
        <v>369.17784686897573</v>
      </c>
      <c r="M489" s="7">
        <f t="shared" si="40"/>
        <v>0.41215313102424034</v>
      </c>
    </row>
    <row r="490" spans="6:13" ht="18.75" customHeight="1">
      <c r="F490" s="1">
        <v>36251</v>
      </c>
      <c r="G490">
        <f t="shared" si="37"/>
        <v>4</v>
      </c>
      <c r="H490" s="7">
        <v>371.14</v>
      </c>
      <c r="I490" s="7">
        <f t="shared" si="36"/>
        <v>367.96020204831461</v>
      </c>
      <c r="J490" s="7">
        <f t="shared" si="38"/>
        <v>3.1797979516853729</v>
      </c>
      <c r="K490" s="7" cm="1">
        <f t="array" ref="K490">INDEX(Sm,G490)</f>
        <v>2.6099183412742755</v>
      </c>
      <c r="L490" s="7">
        <f t="shared" si="39"/>
        <v>370.57012038958891</v>
      </c>
      <c r="M490" s="7">
        <f t="shared" si="40"/>
        <v>0.56987961041107837</v>
      </c>
    </row>
    <row r="491" spans="6:13" ht="18.75" customHeight="1">
      <c r="F491" s="1">
        <v>36281</v>
      </c>
      <c r="G491">
        <f t="shared" si="37"/>
        <v>5</v>
      </c>
      <c r="H491" s="7">
        <v>371</v>
      </c>
      <c r="I491" s="7">
        <f t="shared" si="36"/>
        <v>368.11108387142184</v>
      </c>
      <c r="J491" s="7">
        <f t="shared" si="38"/>
        <v>2.8889161285781597</v>
      </c>
      <c r="K491" s="7" cm="1">
        <f t="array" ref="K491">INDEX(Sm,G491)</f>
        <v>3.065291801195754</v>
      </c>
      <c r="L491" s="7">
        <f t="shared" si="39"/>
        <v>371.17637567261761</v>
      </c>
      <c r="M491" s="7">
        <f t="shared" si="40"/>
        <v>-0.17637567261760978</v>
      </c>
    </row>
    <row r="492" spans="6:13" ht="18.75" customHeight="1">
      <c r="F492" s="1">
        <v>36312</v>
      </c>
      <c r="G492">
        <f t="shared" si="37"/>
        <v>6</v>
      </c>
      <c r="H492" s="7">
        <v>370.35</v>
      </c>
      <c r="I492" s="7">
        <f t="shared" si="36"/>
        <v>368.26718049609741</v>
      </c>
      <c r="J492" s="7">
        <f t="shared" si="38"/>
        <v>2.0828195039026127</v>
      </c>
      <c r="K492" s="7" cm="1">
        <f t="array" ref="K492">INDEX(Sm,G492)</f>
        <v>2.3463851222642056</v>
      </c>
      <c r="L492" s="7">
        <f t="shared" si="39"/>
        <v>370.61356561836163</v>
      </c>
      <c r="M492" s="7">
        <f t="shared" si="40"/>
        <v>-0.26356561836161063</v>
      </c>
    </row>
    <row r="493" spans="6:13" ht="18.75" customHeight="1">
      <c r="F493" s="1">
        <v>36342</v>
      </c>
      <c r="G493">
        <f t="shared" si="37"/>
        <v>7</v>
      </c>
      <c r="H493" s="7">
        <v>369.27</v>
      </c>
      <c r="I493" s="7">
        <f t="shared" si="36"/>
        <v>368.41842117236206</v>
      </c>
      <c r="J493" s="7">
        <f t="shared" si="38"/>
        <v>0.85157882763792259</v>
      </c>
      <c r="K493" s="7" cm="1">
        <f t="array" ref="K493">INDEX(Sm,G493)</f>
        <v>0.72334113060077332</v>
      </c>
      <c r="L493" s="7">
        <f t="shared" si="39"/>
        <v>369.14176230296283</v>
      </c>
      <c r="M493" s="7">
        <f t="shared" si="40"/>
        <v>0.12823769703715016</v>
      </c>
    </row>
    <row r="494" spans="6:13" ht="18.75" customHeight="1">
      <c r="F494" s="1">
        <v>36373</v>
      </c>
      <c r="G494">
        <f t="shared" si="37"/>
        <v>8</v>
      </c>
      <c r="H494" s="7">
        <v>366.93</v>
      </c>
      <c r="I494" s="7">
        <f t="shared" si="36"/>
        <v>368.57488861196691</v>
      </c>
      <c r="J494" s="7">
        <f t="shared" si="38"/>
        <v>-1.6448886119669055</v>
      </c>
      <c r="K494" s="7" cm="1">
        <f t="array" ref="K494">INDEX(Sm,G494)</f>
        <v>-1.3975570061157723</v>
      </c>
      <c r="L494" s="7">
        <f t="shared" si="39"/>
        <v>367.17733160585112</v>
      </c>
      <c r="M494" s="7">
        <f t="shared" si="40"/>
        <v>-0.24733160585111591</v>
      </c>
    </row>
    <row r="495" spans="6:13" ht="18.75" customHeight="1">
      <c r="F495" s="1">
        <v>36404</v>
      </c>
      <c r="G495">
        <f t="shared" si="37"/>
        <v>9</v>
      </c>
      <c r="H495" s="7">
        <v>364.64</v>
      </c>
      <c r="I495" s="7">
        <f t="shared" si="36"/>
        <v>368.73154449850307</v>
      </c>
      <c r="J495" s="7">
        <f t="shared" si="38"/>
        <v>-4.0915444985030831</v>
      </c>
      <c r="K495" s="7" cm="1">
        <f t="array" ref="K495">INDEX(Sm,G495)</f>
        <v>-3.1934822994410497</v>
      </c>
      <c r="L495" s="7">
        <f t="shared" si="39"/>
        <v>365.53806219906204</v>
      </c>
      <c r="M495" s="7">
        <f t="shared" si="40"/>
        <v>-0.89806219906205342</v>
      </c>
    </row>
    <row r="496" spans="6:13" ht="18.75" customHeight="1">
      <c r="F496" s="1">
        <v>36434</v>
      </c>
      <c r="G496">
        <f t="shared" si="37"/>
        <v>10</v>
      </c>
      <c r="H496" s="7">
        <v>365.13</v>
      </c>
      <c r="I496" s="7">
        <f t="shared" si="36"/>
        <v>368.88332639592323</v>
      </c>
      <c r="J496" s="7">
        <f t="shared" si="38"/>
        <v>-3.7533263959232386</v>
      </c>
      <c r="K496" s="7" cm="1">
        <f t="array" ref="K496">INDEX(Sm,G496)</f>
        <v>-3.3368150874962788</v>
      </c>
      <c r="L496" s="7">
        <f t="shared" si="39"/>
        <v>365.54651130842694</v>
      </c>
      <c r="M496" s="7">
        <f t="shared" si="40"/>
        <v>-0.41651130842694783</v>
      </c>
    </row>
    <row r="497" spans="6:13" ht="18.75" customHeight="1">
      <c r="F497" s="1">
        <v>36465</v>
      </c>
      <c r="G497">
        <f t="shared" si="37"/>
        <v>11</v>
      </c>
      <c r="H497" s="7">
        <v>366.68</v>
      </c>
      <c r="I497" s="7">
        <f t="shared" si="36"/>
        <v>369.04035309738867</v>
      </c>
      <c r="J497" s="7">
        <f t="shared" si="38"/>
        <v>-2.3603530973886677</v>
      </c>
      <c r="K497" s="7" cm="1">
        <f t="array" ref="K497">INDEX(Sm,G497)</f>
        <v>-2.0591623324975612</v>
      </c>
      <c r="L497" s="7">
        <f t="shared" si="39"/>
        <v>366.9811907648911</v>
      </c>
      <c r="M497" s="7">
        <f t="shared" si="40"/>
        <v>-0.3011907648910892</v>
      </c>
    </row>
    <row r="498" spans="6:13" ht="18.75" customHeight="1">
      <c r="F498" s="1">
        <v>36495</v>
      </c>
      <c r="G498">
        <f t="shared" si="37"/>
        <v>12</v>
      </c>
      <c r="H498" s="7">
        <v>368</v>
      </c>
      <c r="I498" s="7">
        <f t="shared" si="36"/>
        <v>369.19249384796626</v>
      </c>
      <c r="J498" s="7">
        <f t="shared" si="38"/>
        <v>-1.1924938479662615</v>
      </c>
      <c r="K498" s="7" cm="1">
        <f t="array" ref="K498">INDEX(Sm,G498)</f>
        <v>-0.89132446529561371</v>
      </c>
      <c r="L498" s="7">
        <f t="shared" si="39"/>
        <v>368.30116938267065</v>
      </c>
      <c r="M498" s="7">
        <f t="shared" si="40"/>
        <v>-0.30116938267065052</v>
      </c>
    </row>
    <row r="499" spans="6:13" ht="18.75" customHeight="1">
      <c r="F499" s="1">
        <v>36526</v>
      </c>
      <c r="G499">
        <f t="shared" si="37"/>
        <v>1</v>
      </c>
      <c r="H499" s="7">
        <v>369.14</v>
      </c>
      <c r="I499" s="7">
        <f t="shared" si="36"/>
        <v>369.34989136436104</v>
      </c>
      <c r="J499" s="7">
        <f t="shared" si="38"/>
        <v>-0.20989136436105582</v>
      </c>
      <c r="K499" s="7" cm="1">
        <f t="array" ref="K499">INDEX(Sm,G499)</f>
        <v>6.1040869584970889E-2</v>
      </c>
      <c r="L499" s="7">
        <f t="shared" si="39"/>
        <v>369.41093223394603</v>
      </c>
      <c r="M499" s="7">
        <f t="shared" si="40"/>
        <v>-0.27093223394604138</v>
      </c>
    </row>
    <row r="500" spans="6:13" ht="18.75" customHeight="1">
      <c r="F500" s="1">
        <v>36557</v>
      </c>
      <c r="G500">
        <f t="shared" si="37"/>
        <v>2</v>
      </c>
      <c r="H500" s="7">
        <v>369.46</v>
      </c>
      <c r="I500" s="7">
        <f t="shared" si="36"/>
        <v>369.50747732768718</v>
      </c>
      <c r="J500" s="7">
        <f t="shared" si="38"/>
        <v>-4.7477327687204252E-2</v>
      </c>
      <c r="K500" s="7" cm="1">
        <f t="array" ref="K500">INDEX(Sm,G500)</f>
        <v>0.69421564520236412</v>
      </c>
      <c r="L500" s="7">
        <f t="shared" si="39"/>
        <v>370.20169297288953</v>
      </c>
      <c r="M500" s="7">
        <f t="shared" si="40"/>
        <v>-0.74169297288955249</v>
      </c>
    </row>
    <row r="501" spans="6:13" ht="18.75" customHeight="1">
      <c r="F501" s="1">
        <v>36586</v>
      </c>
      <c r="G501">
        <f t="shared" si="37"/>
        <v>3</v>
      </c>
      <c r="H501" s="7">
        <v>370.51</v>
      </c>
      <c r="I501" s="7">
        <f t="shared" si="36"/>
        <v>369.65506705699039</v>
      </c>
      <c r="J501" s="7">
        <f t="shared" si="38"/>
        <v>0.85493294300960088</v>
      </c>
      <c r="K501" s="7" cm="1">
        <f t="array" ref="K501">INDEX(Sm,G501)</f>
        <v>1.3733706304072995</v>
      </c>
      <c r="L501" s="7">
        <f t="shared" si="39"/>
        <v>371.02843768739768</v>
      </c>
      <c r="M501" s="7">
        <f t="shared" si="40"/>
        <v>-0.51843768739769303</v>
      </c>
    </row>
    <row r="502" spans="6:13" ht="18.75" customHeight="1">
      <c r="F502" s="16">
        <v>36617</v>
      </c>
      <c r="G502" s="17">
        <f t="shared" si="37"/>
        <v>4</v>
      </c>
      <c r="H502" s="18">
        <v>371.66</v>
      </c>
      <c r="I502" s="7">
        <f t="shared" si="36"/>
        <v>369.81301775631255</v>
      </c>
      <c r="J502" s="7">
        <f t="shared" si="38"/>
        <v>1.8469822436874779</v>
      </c>
      <c r="K502" s="7" cm="1">
        <f t="array" ref="K502">INDEX(Sm,G502)</f>
        <v>2.6099183412742755</v>
      </c>
      <c r="L502" s="7">
        <f t="shared" si="39"/>
        <v>372.42293609758684</v>
      </c>
      <c r="M502" s="7">
        <f t="shared" si="40"/>
        <v>-0.76293609758681669</v>
      </c>
    </row>
    <row r="503" spans="6:13" ht="18.75" customHeight="1">
      <c r="F503" s="1">
        <v>36647</v>
      </c>
      <c r="G503">
        <f t="shared" si="37"/>
        <v>5</v>
      </c>
      <c r="H503" s="7">
        <v>371.83</v>
      </c>
      <c r="I503" s="7">
        <f t="shared" si="36"/>
        <v>369.96605269836436</v>
      </c>
      <c r="J503" s="7">
        <f t="shared" si="38"/>
        <v>1.8639473016356192</v>
      </c>
      <c r="K503" s="7" cm="1">
        <f t="array" ref="K503">INDEX(Sm,G503)</f>
        <v>3.065291801195754</v>
      </c>
      <c r="L503" s="7">
        <f t="shared" si="39"/>
        <v>373.03134449956013</v>
      </c>
      <c r="M503" s="7">
        <f t="shared" si="40"/>
        <v>-1.2013444995601503</v>
      </c>
    </row>
    <row r="504" spans="6:13" ht="18.75" customHeight="1">
      <c r="F504" s="1">
        <v>36678</v>
      </c>
      <c r="G504">
        <f t="shared" si="37"/>
        <v>6</v>
      </c>
      <c r="H504" s="7">
        <v>371.69</v>
      </c>
      <c r="I504" s="7">
        <f t="shared" si="36"/>
        <v>370.12437421261586</v>
      </c>
      <c r="J504" s="7">
        <f t="shared" si="38"/>
        <v>1.5656257873841355</v>
      </c>
      <c r="K504" s="7" cm="1">
        <f t="array" ref="K504">INDEX(Sm,G504)</f>
        <v>2.3463851222642056</v>
      </c>
      <c r="L504" s="7">
        <f t="shared" si="39"/>
        <v>372.47075933488009</v>
      </c>
      <c r="M504" s="7">
        <f t="shared" si="40"/>
        <v>-0.78075933488008786</v>
      </c>
    </row>
    <row r="505" spans="6:13" ht="18.75" customHeight="1">
      <c r="F505" s="1">
        <v>36708</v>
      </c>
      <c r="G505">
        <f t="shared" si="37"/>
        <v>7</v>
      </c>
      <c r="H505" s="7">
        <v>370.12</v>
      </c>
      <c r="I505" s="7">
        <f t="shared" si="36"/>
        <v>370.2777680078251</v>
      </c>
      <c r="J505" s="7">
        <f t="shared" si="38"/>
        <v>-0.15776800782509781</v>
      </c>
      <c r="K505" s="7" cm="1">
        <f t="array" ref="K505">INDEX(Sm,G505)</f>
        <v>0.72334113060077332</v>
      </c>
      <c r="L505" s="7">
        <f t="shared" si="39"/>
        <v>371.00110913842587</v>
      </c>
      <c r="M505" s="7">
        <f t="shared" si="40"/>
        <v>-0.88110913842587024</v>
      </c>
    </row>
    <row r="506" spans="6:13" ht="18.75" customHeight="1">
      <c r="F506" s="1">
        <v>36739</v>
      </c>
      <c r="G506">
        <f t="shared" si="37"/>
        <v>8</v>
      </c>
      <c r="H506" s="7">
        <v>368.12</v>
      </c>
      <c r="I506" s="7">
        <f t="shared" si="36"/>
        <v>370.43646033700594</v>
      </c>
      <c r="J506" s="7">
        <f t="shared" si="38"/>
        <v>-2.3164603370059353</v>
      </c>
      <c r="K506" s="7" cm="1">
        <f t="array" ref="K506">INDEX(Sm,G506)</f>
        <v>-1.3975570061157723</v>
      </c>
      <c r="L506" s="7">
        <f t="shared" si="39"/>
        <v>369.03890333089015</v>
      </c>
      <c r="M506" s="7">
        <f t="shared" si="40"/>
        <v>-0.91890333089014575</v>
      </c>
    </row>
    <row r="507" spans="6:13" ht="18.75" customHeight="1">
      <c r="F507" s="1">
        <v>36770</v>
      </c>
      <c r="G507">
        <f t="shared" si="37"/>
        <v>9</v>
      </c>
      <c r="H507" s="7">
        <v>366.62</v>
      </c>
      <c r="I507" s="7">
        <f t="shared" si="36"/>
        <v>370.59534111311808</v>
      </c>
      <c r="J507" s="7">
        <f t="shared" si="38"/>
        <v>-3.9753411131180769</v>
      </c>
      <c r="K507" s="7" cm="1">
        <f t="array" ref="K507">INDEX(Sm,G507)</f>
        <v>-3.1934822994410497</v>
      </c>
      <c r="L507" s="7">
        <f t="shared" si="39"/>
        <v>367.40185881367705</v>
      </c>
      <c r="M507" s="7">
        <f t="shared" si="40"/>
        <v>-0.78185881367704724</v>
      </c>
    </row>
    <row r="508" spans="6:13" ht="18.75" customHeight="1">
      <c r="F508" s="1">
        <v>36800</v>
      </c>
      <c r="G508">
        <f t="shared" si="37"/>
        <v>10</v>
      </c>
      <c r="H508" s="7">
        <v>366.73</v>
      </c>
      <c r="I508" s="7">
        <f t="shared" si="36"/>
        <v>370.74927612948272</v>
      </c>
      <c r="J508" s="7">
        <f t="shared" si="38"/>
        <v>-4.0192761294827051</v>
      </c>
      <c r="K508" s="7" cm="1">
        <f t="array" ref="K508">INDEX(Sm,G508)</f>
        <v>-3.3368150874962788</v>
      </c>
      <c r="L508" s="7">
        <f t="shared" si="39"/>
        <v>367.41246104198643</v>
      </c>
      <c r="M508" s="7">
        <f t="shared" si="40"/>
        <v>-0.68246104198641433</v>
      </c>
    </row>
    <row r="509" spans="6:13" ht="18.75" customHeight="1">
      <c r="F509" s="1">
        <v>36831</v>
      </c>
      <c r="G509">
        <f t="shared" si="37"/>
        <v>11</v>
      </c>
      <c r="H509" s="7">
        <v>368.29</v>
      </c>
      <c r="I509" s="7">
        <f t="shared" si="36"/>
        <v>370.90852772052421</v>
      </c>
      <c r="J509" s="7">
        <f t="shared" si="38"/>
        <v>-2.6185277205241846</v>
      </c>
      <c r="K509" s="7" cm="1">
        <f t="array" ref="K509">INDEX(Sm,G509)</f>
        <v>-2.0591623324975612</v>
      </c>
      <c r="L509" s="7">
        <f t="shared" si="39"/>
        <v>368.84936538802663</v>
      </c>
      <c r="M509" s="7">
        <f t="shared" si="40"/>
        <v>-0.55936538802660607</v>
      </c>
    </row>
    <row r="510" spans="6:13" ht="18.75" customHeight="1">
      <c r="F510" s="1">
        <v>36861</v>
      </c>
      <c r="G510">
        <f t="shared" si="37"/>
        <v>12</v>
      </c>
      <c r="H510" s="7">
        <v>369.52</v>
      </c>
      <c r="I510" s="7">
        <f t="shared" si="36"/>
        <v>371.06282159004627</v>
      </c>
      <c r="J510" s="7">
        <f t="shared" si="38"/>
        <v>-1.5428215900462874</v>
      </c>
      <c r="K510" s="7" cm="1">
        <f t="array" ref="K510">INDEX(Sm,G510)</f>
        <v>-0.89132446529561371</v>
      </c>
      <c r="L510" s="7">
        <f t="shared" si="39"/>
        <v>370.17149712475066</v>
      </c>
      <c r="M510" s="7">
        <f t="shared" si="40"/>
        <v>-0.65149712475067645</v>
      </c>
    </row>
    <row r="511" spans="6:13" ht="18.75" customHeight="1">
      <c r="F511" s="1">
        <v>36892</v>
      </c>
      <c r="G511">
        <f t="shared" si="37"/>
        <v>1</v>
      </c>
      <c r="H511" s="7">
        <v>370.28</v>
      </c>
      <c r="I511" s="7">
        <f t="shared" si="36"/>
        <v>371.22244399601709</v>
      </c>
      <c r="J511" s="7">
        <f t="shared" si="38"/>
        <v>-0.94244399601711848</v>
      </c>
      <c r="K511" s="7" cm="1">
        <f t="array" ref="K511">INDEX(Sm,G511)</f>
        <v>6.1040869584970889E-2</v>
      </c>
      <c r="L511" s="7">
        <f t="shared" si="39"/>
        <v>371.28348486560208</v>
      </c>
      <c r="M511" s="7">
        <f t="shared" si="40"/>
        <v>-1.003484865602104</v>
      </c>
    </row>
    <row r="512" spans="6:13" ht="18.75" customHeight="1">
      <c r="F512" s="1">
        <v>36923</v>
      </c>
      <c r="G512">
        <f t="shared" si="37"/>
        <v>2</v>
      </c>
      <c r="H512" s="7">
        <v>371.5</v>
      </c>
      <c r="I512" s="7">
        <f t="shared" si="36"/>
        <v>371.38225484891916</v>
      </c>
      <c r="J512" s="7">
        <f t="shared" si="38"/>
        <v>0.11774515108083961</v>
      </c>
      <c r="K512" s="7" cm="1">
        <f t="array" ref="K512">INDEX(Sm,G512)</f>
        <v>0.69421564520236412</v>
      </c>
      <c r="L512" s="7">
        <f t="shared" si="39"/>
        <v>372.07647049412151</v>
      </c>
      <c r="M512" s="7">
        <f t="shared" si="40"/>
        <v>-0.57647049412150864</v>
      </c>
    </row>
    <row r="513" spans="6:13" ht="18.75" customHeight="1">
      <c r="F513" s="1">
        <v>36951</v>
      </c>
      <c r="G513">
        <f t="shared" si="37"/>
        <v>3</v>
      </c>
      <c r="H513" s="7">
        <v>372.12</v>
      </c>
      <c r="I513" s="7">
        <f t="shared" si="36"/>
        <v>371.52676210956878</v>
      </c>
      <c r="J513" s="7">
        <f t="shared" si="38"/>
        <v>0.59323789043122588</v>
      </c>
      <c r="K513" s="7" cm="1">
        <f t="array" ref="K513">INDEX(Sm,G513)</f>
        <v>1.3733706304072995</v>
      </c>
      <c r="L513" s="7">
        <f t="shared" si="39"/>
        <v>372.90013273997607</v>
      </c>
      <c r="M513" s="7">
        <f t="shared" si="40"/>
        <v>-0.78013273997606802</v>
      </c>
    </row>
    <row r="514" spans="6:13" ht="18.75" customHeight="1">
      <c r="F514" s="1">
        <v>36982</v>
      </c>
      <c r="G514">
        <f t="shared" si="37"/>
        <v>4</v>
      </c>
      <c r="H514" s="7">
        <v>372.86</v>
      </c>
      <c r="I514" s="7">
        <f t="shared" ref="I514:I577" si="41">_A*F514*F514+_B*F514+_C</f>
        <v>371.68693161953371</v>
      </c>
      <c r="J514" s="7">
        <f t="shared" si="38"/>
        <v>1.1730683804663045</v>
      </c>
      <c r="K514" s="7" cm="1">
        <f t="array" ref="K514">INDEX(Sm,G514)</f>
        <v>2.6099183412742755</v>
      </c>
      <c r="L514" s="7">
        <f t="shared" si="39"/>
        <v>374.296849960808</v>
      </c>
      <c r="M514" s="7">
        <f t="shared" si="40"/>
        <v>-1.4368499608079901</v>
      </c>
    </row>
    <row r="515" spans="6:13" ht="18.75" customHeight="1">
      <c r="F515" s="1">
        <v>37012</v>
      </c>
      <c r="G515">
        <f t="shared" ref="G515:G578" si="42">MONTH(F515)</f>
        <v>5</v>
      </c>
      <c r="H515" s="7">
        <v>374.02</v>
      </c>
      <c r="I515" s="7">
        <f t="shared" si="41"/>
        <v>371.84211379769135</v>
      </c>
      <c r="J515" s="7">
        <f t="shared" ref="J515:J578" si="43">H515-I515</f>
        <v>2.1778862023086276</v>
      </c>
      <c r="K515" s="7" cm="1">
        <f t="array" ref="K515">INDEX(Sm,G515)</f>
        <v>3.065291801195754</v>
      </c>
      <c r="L515" s="7">
        <f t="shared" ref="L515:L578" si="44">I515+K515</f>
        <v>374.90740559888712</v>
      </c>
      <c r="M515" s="7">
        <f t="shared" ref="M515:M578" si="45">H515-L515</f>
        <v>-0.88740559888714188</v>
      </c>
    </row>
    <row r="516" spans="6:13" ht="18.75" customHeight="1">
      <c r="F516" s="1">
        <v>37043</v>
      </c>
      <c r="G516">
        <f t="shared" si="42"/>
        <v>6</v>
      </c>
      <c r="H516" s="7">
        <v>373.31</v>
      </c>
      <c r="I516" s="7">
        <f t="shared" si="41"/>
        <v>372.00265412258562</v>
      </c>
      <c r="J516" s="7">
        <f t="shared" si="43"/>
        <v>1.3073458774143774</v>
      </c>
      <c r="K516" s="7" cm="1">
        <f t="array" ref="K516">INDEX(Sm,G516)</f>
        <v>2.3463851222642056</v>
      </c>
      <c r="L516" s="7">
        <f t="shared" si="44"/>
        <v>374.34903924484985</v>
      </c>
      <c r="M516" s="7">
        <f t="shared" si="45"/>
        <v>-1.039039244849846</v>
      </c>
    </row>
    <row r="517" spans="6:13" ht="18.75" customHeight="1">
      <c r="F517" s="1">
        <v>37073</v>
      </c>
      <c r="G517">
        <f t="shared" si="42"/>
        <v>7</v>
      </c>
      <c r="H517" s="7">
        <v>371.62</v>
      </c>
      <c r="I517" s="7">
        <f t="shared" si="41"/>
        <v>372.15819515390069</v>
      </c>
      <c r="J517" s="7">
        <f t="shared" si="43"/>
        <v>-0.53819515390068773</v>
      </c>
      <c r="K517" s="7" cm="1">
        <f t="array" ref="K517">INDEX(Sm,G517)</f>
        <v>0.72334113060077332</v>
      </c>
      <c r="L517" s="7">
        <f t="shared" si="44"/>
        <v>372.88153628450146</v>
      </c>
      <c r="M517" s="7">
        <f t="shared" si="45"/>
        <v>-1.2615362845014602</v>
      </c>
    </row>
    <row r="518" spans="6:13" ht="18.75" customHeight="1">
      <c r="F518" s="1">
        <v>37104</v>
      </c>
      <c r="G518">
        <f t="shared" si="42"/>
        <v>8</v>
      </c>
      <c r="H518" s="7">
        <v>369.55</v>
      </c>
      <c r="I518" s="7">
        <f t="shared" si="41"/>
        <v>372.31910629372425</v>
      </c>
      <c r="J518" s="7">
        <f t="shared" si="43"/>
        <v>-2.769106293724235</v>
      </c>
      <c r="K518" s="7" cm="1">
        <f t="array" ref="K518">INDEX(Sm,G518)</f>
        <v>-1.3975570061157723</v>
      </c>
      <c r="L518" s="7">
        <f t="shared" si="44"/>
        <v>370.92154928760846</v>
      </c>
      <c r="M518" s="7">
        <f t="shared" si="45"/>
        <v>-1.3715492876084454</v>
      </c>
    </row>
    <row r="519" spans="6:13" ht="18.75" customHeight="1">
      <c r="F519" s="1">
        <v>37135</v>
      </c>
      <c r="G519">
        <f t="shared" si="42"/>
        <v>9</v>
      </c>
      <c r="H519" s="7">
        <v>367.96</v>
      </c>
      <c r="I519" s="7">
        <f t="shared" si="41"/>
        <v>372.48020588047916</v>
      </c>
      <c r="J519" s="7">
        <f t="shared" si="43"/>
        <v>-4.5202058804791818</v>
      </c>
      <c r="K519" s="7" cm="1">
        <f t="array" ref="K519">INDEX(Sm,G519)</f>
        <v>-3.1934822994410497</v>
      </c>
      <c r="L519" s="7">
        <f t="shared" si="44"/>
        <v>369.28672358103813</v>
      </c>
      <c r="M519" s="7">
        <f t="shared" si="45"/>
        <v>-1.3267235810381521</v>
      </c>
    </row>
    <row r="520" spans="6:13" ht="18.75" customHeight="1">
      <c r="F520" s="1">
        <v>37165</v>
      </c>
      <c r="G520">
        <f t="shared" si="42"/>
        <v>10</v>
      </c>
      <c r="H520" s="7">
        <v>368.09</v>
      </c>
      <c r="I520" s="7">
        <f t="shared" si="41"/>
        <v>372.63628813294963</v>
      </c>
      <c r="J520" s="7">
        <f t="shared" si="43"/>
        <v>-4.5462881329496554</v>
      </c>
      <c r="K520" s="7" cm="1">
        <f t="array" ref="K520">INDEX(Sm,G520)</f>
        <v>-3.3368150874962788</v>
      </c>
      <c r="L520" s="7">
        <f t="shared" si="44"/>
        <v>369.29947304545334</v>
      </c>
      <c r="M520" s="7">
        <f t="shared" si="45"/>
        <v>-1.2094730454533646</v>
      </c>
    </row>
    <row r="521" spans="6:13" ht="18.75" customHeight="1">
      <c r="F521" s="1">
        <v>37196</v>
      </c>
      <c r="G521">
        <f t="shared" si="42"/>
        <v>11</v>
      </c>
      <c r="H521" s="7">
        <v>369.68</v>
      </c>
      <c r="I521" s="7">
        <f t="shared" si="41"/>
        <v>372.79775853463389</v>
      </c>
      <c r="J521" s="7">
        <f t="shared" si="43"/>
        <v>-3.1177585346338788</v>
      </c>
      <c r="K521" s="7" cm="1">
        <f t="array" ref="K521">INDEX(Sm,G521)</f>
        <v>-2.0591623324975612</v>
      </c>
      <c r="L521" s="7">
        <f t="shared" si="44"/>
        <v>370.73859620213631</v>
      </c>
      <c r="M521" s="7">
        <f t="shared" si="45"/>
        <v>-1.0585962021363002</v>
      </c>
    </row>
    <row r="522" spans="6:13" ht="18.75" customHeight="1">
      <c r="F522" s="1">
        <v>37226</v>
      </c>
      <c r="G522">
        <f t="shared" si="42"/>
        <v>12</v>
      </c>
      <c r="H522" s="7">
        <v>371.24</v>
      </c>
      <c r="I522" s="7">
        <f t="shared" si="41"/>
        <v>372.95419964026178</v>
      </c>
      <c r="J522" s="7">
        <f t="shared" si="43"/>
        <v>-1.7141996402617679</v>
      </c>
      <c r="K522" s="7" cm="1">
        <f t="array" ref="K522">INDEX(Sm,G522)</f>
        <v>-0.89132446529561371</v>
      </c>
      <c r="L522" s="7">
        <f t="shared" si="44"/>
        <v>372.06287517496617</v>
      </c>
      <c r="M522" s="7">
        <f t="shared" si="45"/>
        <v>-0.82287517496615692</v>
      </c>
    </row>
    <row r="523" spans="6:13" ht="18.75" customHeight="1">
      <c r="F523" s="1">
        <v>37257</v>
      </c>
      <c r="G523">
        <f t="shared" si="42"/>
        <v>1</v>
      </c>
      <c r="H523" s="7">
        <v>372.44</v>
      </c>
      <c r="I523" s="7">
        <f t="shared" si="41"/>
        <v>373.11604085687532</v>
      </c>
      <c r="J523" s="7">
        <f t="shared" si="43"/>
        <v>-0.67604085687531779</v>
      </c>
      <c r="K523" s="7" cm="1">
        <f t="array" ref="K523">INDEX(Sm,G523)</f>
        <v>6.1040869584970889E-2</v>
      </c>
      <c r="L523" s="7">
        <f t="shared" si="44"/>
        <v>373.1770817264603</v>
      </c>
      <c r="M523" s="7">
        <f t="shared" si="45"/>
        <v>-0.73708172646030334</v>
      </c>
    </row>
    <row r="524" spans="6:13" ht="18.75" customHeight="1">
      <c r="F524" s="1">
        <v>37288</v>
      </c>
      <c r="G524">
        <f t="shared" si="42"/>
        <v>2</v>
      </c>
      <c r="H524" s="7">
        <v>373.08</v>
      </c>
      <c r="I524" s="7">
        <f t="shared" si="41"/>
        <v>373.27807052042016</v>
      </c>
      <c r="J524" s="7">
        <f t="shared" si="43"/>
        <v>-0.19807052042017403</v>
      </c>
      <c r="K524" s="7" cm="1">
        <f t="array" ref="K524">INDEX(Sm,G524)</f>
        <v>0.69421564520236412</v>
      </c>
      <c r="L524" s="7">
        <f t="shared" si="44"/>
        <v>373.97228616562251</v>
      </c>
      <c r="M524" s="7">
        <f t="shared" si="45"/>
        <v>-0.89228616562252228</v>
      </c>
    </row>
    <row r="525" spans="6:13" ht="18.75" customHeight="1">
      <c r="F525" s="1">
        <v>37316</v>
      </c>
      <c r="G525">
        <f t="shared" si="42"/>
        <v>3</v>
      </c>
      <c r="H525" s="7">
        <v>373.52</v>
      </c>
      <c r="I525" s="7">
        <f t="shared" si="41"/>
        <v>373.42458186810194</v>
      </c>
      <c r="J525" s="7">
        <f t="shared" si="43"/>
        <v>9.5418131898043157E-2</v>
      </c>
      <c r="K525" s="7" cm="1">
        <f t="array" ref="K525">INDEX(Sm,G525)</f>
        <v>1.3733706304072995</v>
      </c>
      <c r="L525" s="7">
        <f t="shared" si="44"/>
        <v>374.79795249850923</v>
      </c>
      <c r="M525" s="7">
        <f t="shared" si="45"/>
        <v>-1.2779524985092507</v>
      </c>
    </row>
    <row r="526" spans="6:13" ht="18.75" customHeight="1">
      <c r="F526" s="1">
        <v>37347</v>
      </c>
      <c r="G526">
        <f t="shared" si="42"/>
        <v>4</v>
      </c>
      <c r="H526" s="7">
        <v>374.85</v>
      </c>
      <c r="I526" s="7">
        <f t="shared" si="41"/>
        <v>373.58697018870953</v>
      </c>
      <c r="J526" s="7">
        <f t="shared" si="43"/>
        <v>1.2630298112904939</v>
      </c>
      <c r="K526" s="7" cm="1">
        <f t="array" ref="K526">INDEX(Sm,G526)</f>
        <v>2.6099183412742755</v>
      </c>
      <c r="L526" s="7">
        <f t="shared" si="44"/>
        <v>376.19688852998382</v>
      </c>
      <c r="M526" s="7">
        <f t="shared" si="45"/>
        <v>-1.3468885299838007</v>
      </c>
    </row>
    <row r="527" spans="6:13" ht="18.75" customHeight="1">
      <c r="F527" s="1">
        <v>37377</v>
      </c>
      <c r="G527">
        <f t="shared" si="42"/>
        <v>5</v>
      </c>
      <c r="H527" s="7">
        <v>375.55</v>
      </c>
      <c r="I527" s="7">
        <f t="shared" si="41"/>
        <v>373.74429960297311</v>
      </c>
      <c r="J527" s="7">
        <f t="shared" si="43"/>
        <v>1.8057003970268966</v>
      </c>
      <c r="K527" s="7" cm="1">
        <f t="array" ref="K527">INDEX(Sm,G527)</f>
        <v>3.065291801195754</v>
      </c>
      <c r="L527" s="7">
        <f t="shared" si="44"/>
        <v>376.80959140416888</v>
      </c>
      <c r="M527" s="7">
        <f t="shared" si="45"/>
        <v>-1.2595914041688729</v>
      </c>
    </row>
    <row r="528" spans="6:13" ht="18.75" customHeight="1">
      <c r="F528" s="1">
        <v>37408</v>
      </c>
      <c r="G528">
        <f t="shared" si="42"/>
        <v>6</v>
      </c>
      <c r="H528" s="7">
        <v>375.4</v>
      </c>
      <c r="I528" s="7">
        <f t="shared" si="41"/>
        <v>373.90705873851005</v>
      </c>
      <c r="J528" s="7">
        <f t="shared" si="43"/>
        <v>1.492941261489932</v>
      </c>
      <c r="K528" s="7" cm="1">
        <f t="array" ref="K528">INDEX(Sm,G528)</f>
        <v>2.3463851222642056</v>
      </c>
      <c r="L528" s="7">
        <f t="shared" si="44"/>
        <v>376.25344386077427</v>
      </c>
      <c r="M528" s="7">
        <f t="shared" si="45"/>
        <v>-0.85344386077429135</v>
      </c>
    </row>
    <row r="529" spans="6:13" ht="18.75" customHeight="1">
      <c r="F529" s="1">
        <v>37438</v>
      </c>
      <c r="G529">
        <f t="shared" si="42"/>
        <v>7</v>
      </c>
      <c r="H529" s="7">
        <v>374.02</v>
      </c>
      <c r="I529" s="7">
        <f t="shared" si="41"/>
        <v>374.064747005931</v>
      </c>
      <c r="J529" s="7">
        <f t="shared" si="43"/>
        <v>-4.4747005931014883E-2</v>
      </c>
      <c r="K529" s="7" cm="1">
        <f t="array" ref="K529">INDEX(Sm,G529)</f>
        <v>0.72334113060077332</v>
      </c>
      <c r="L529" s="7">
        <f t="shared" si="44"/>
        <v>374.78808813653177</v>
      </c>
      <c r="M529" s="7">
        <f t="shared" si="45"/>
        <v>-0.76808813653178731</v>
      </c>
    </row>
    <row r="530" spans="6:13" ht="18.75" customHeight="1">
      <c r="F530" s="1">
        <v>37469</v>
      </c>
      <c r="G530">
        <f t="shared" si="42"/>
        <v>8</v>
      </c>
      <c r="H530" s="7">
        <v>371.48</v>
      </c>
      <c r="I530" s="7">
        <f t="shared" si="41"/>
        <v>374.22787695639732</v>
      </c>
      <c r="J530" s="7">
        <f t="shared" si="43"/>
        <v>-2.747876956397306</v>
      </c>
      <c r="K530" s="7" cm="1">
        <f t="array" ref="K530">INDEX(Sm,G530)</f>
        <v>-1.3975570061157723</v>
      </c>
      <c r="L530" s="7">
        <f t="shared" si="44"/>
        <v>372.83031995028153</v>
      </c>
      <c r="M530" s="7">
        <f t="shared" si="45"/>
        <v>-1.3503199502815164</v>
      </c>
    </row>
    <row r="531" spans="6:13" ht="18.75" customHeight="1">
      <c r="F531" s="1">
        <v>37500</v>
      </c>
      <c r="G531">
        <f t="shared" si="42"/>
        <v>9</v>
      </c>
      <c r="H531" s="7">
        <v>370.7</v>
      </c>
      <c r="I531" s="7">
        <f t="shared" si="41"/>
        <v>374.3911953537949</v>
      </c>
      <c r="J531" s="7">
        <f t="shared" si="43"/>
        <v>-3.6911953537949103</v>
      </c>
      <c r="K531" s="7" cm="1">
        <f t="array" ref="K531">INDEX(Sm,G531)</f>
        <v>-3.1934822994410497</v>
      </c>
      <c r="L531" s="7">
        <f t="shared" si="44"/>
        <v>371.19771305435387</v>
      </c>
      <c r="M531" s="7">
        <f t="shared" si="45"/>
        <v>-0.49771305435388058</v>
      </c>
    </row>
    <row r="532" spans="6:13" ht="18.75" customHeight="1">
      <c r="F532" s="1">
        <v>37530</v>
      </c>
      <c r="G532">
        <f t="shared" si="42"/>
        <v>10</v>
      </c>
      <c r="H532" s="7">
        <v>370.25</v>
      </c>
      <c r="I532" s="7">
        <f t="shared" si="41"/>
        <v>374.54942484237131</v>
      </c>
      <c r="J532" s="7">
        <f t="shared" si="43"/>
        <v>-4.2994248423713088</v>
      </c>
      <c r="K532" s="7" cm="1">
        <f t="array" ref="K532">INDEX(Sm,G532)</f>
        <v>-3.3368150874962788</v>
      </c>
      <c r="L532" s="7">
        <f t="shared" si="44"/>
        <v>371.21260975487502</v>
      </c>
      <c r="M532" s="7">
        <f t="shared" si="45"/>
        <v>-0.9626097548750181</v>
      </c>
    </row>
    <row r="533" spans="6:13" ht="18.75" customHeight="1">
      <c r="F533" s="1">
        <v>37561</v>
      </c>
      <c r="G533">
        <f t="shared" si="42"/>
        <v>11</v>
      </c>
      <c r="H533" s="7">
        <v>372.08</v>
      </c>
      <c r="I533" s="7">
        <f t="shared" si="41"/>
        <v>374.71311405469822</v>
      </c>
      <c r="J533" s="7">
        <f t="shared" si="43"/>
        <v>-2.6331140546982397</v>
      </c>
      <c r="K533" s="7" cm="1">
        <f t="array" ref="K533">INDEX(Sm,G533)</f>
        <v>-2.0591623324975612</v>
      </c>
      <c r="L533" s="7">
        <f t="shared" si="44"/>
        <v>372.65395172220065</v>
      </c>
      <c r="M533" s="7">
        <f t="shared" si="45"/>
        <v>-0.57395172220066115</v>
      </c>
    </row>
    <row r="534" spans="6:13" ht="18.75" customHeight="1">
      <c r="F534" s="1">
        <v>37591</v>
      </c>
      <c r="G534">
        <f t="shared" si="42"/>
        <v>12</v>
      </c>
      <c r="H534" s="7">
        <v>373.78</v>
      </c>
      <c r="I534" s="7">
        <f t="shared" si="41"/>
        <v>374.87170239643206</v>
      </c>
      <c r="J534" s="7">
        <f t="shared" si="43"/>
        <v>-1.0917023964320833</v>
      </c>
      <c r="K534" s="7" cm="1">
        <f t="array" ref="K534">INDEX(Sm,G534)</f>
        <v>-0.89132446529561371</v>
      </c>
      <c r="L534" s="7">
        <f t="shared" si="44"/>
        <v>373.98037793113645</v>
      </c>
      <c r="M534" s="7">
        <f t="shared" si="45"/>
        <v>-0.2003779311364724</v>
      </c>
    </row>
    <row r="535" spans="6:13" ht="18.75" customHeight="1">
      <c r="F535" s="1">
        <v>37622</v>
      </c>
      <c r="G535">
        <f t="shared" si="42"/>
        <v>1</v>
      </c>
      <c r="H535" s="7">
        <v>374.68</v>
      </c>
      <c r="I535" s="7">
        <f t="shared" si="41"/>
        <v>375.03576242368831</v>
      </c>
      <c r="J535" s="7">
        <f t="shared" si="43"/>
        <v>-0.35576242368830435</v>
      </c>
      <c r="K535" s="7" cm="1">
        <f t="array" ref="K535">INDEX(Sm,G535)</f>
        <v>6.1040869584970889E-2</v>
      </c>
      <c r="L535" s="7">
        <f t="shared" si="44"/>
        <v>375.0968032932733</v>
      </c>
      <c r="M535" s="7">
        <f t="shared" si="45"/>
        <v>-0.41680329327328991</v>
      </c>
    </row>
    <row r="536" spans="6:13" ht="18.75" customHeight="1">
      <c r="F536" s="1">
        <v>37653</v>
      </c>
      <c r="G536">
        <f t="shared" si="42"/>
        <v>2</v>
      </c>
      <c r="H536" s="7">
        <v>375.62</v>
      </c>
      <c r="I536" s="7">
        <f t="shared" si="41"/>
        <v>375.20001089787587</v>
      </c>
      <c r="J536" s="7">
        <f t="shared" si="43"/>
        <v>0.41998910212413421</v>
      </c>
      <c r="K536" s="7" cm="1">
        <f t="array" ref="K536">INDEX(Sm,G536)</f>
        <v>0.69421564520236412</v>
      </c>
      <c r="L536" s="7">
        <f t="shared" si="44"/>
        <v>375.89422654307822</v>
      </c>
      <c r="M536" s="7">
        <f t="shared" si="45"/>
        <v>-0.27422654307821404</v>
      </c>
    </row>
    <row r="537" spans="6:13" ht="18.75" customHeight="1">
      <c r="F537" s="1">
        <v>37681</v>
      </c>
      <c r="G537">
        <f t="shared" si="42"/>
        <v>3</v>
      </c>
      <c r="H537" s="7">
        <v>376.11</v>
      </c>
      <c r="I537" s="7">
        <f t="shared" si="41"/>
        <v>375.34852633258981</v>
      </c>
      <c r="J537" s="7">
        <f t="shared" si="43"/>
        <v>0.76147366741020051</v>
      </c>
      <c r="K537" s="7" cm="1">
        <f t="array" ref="K537">INDEX(Sm,G537)</f>
        <v>1.3733706304072995</v>
      </c>
      <c r="L537" s="7">
        <f t="shared" si="44"/>
        <v>376.72189696299711</v>
      </c>
      <c r="M537" s="7">
        <f t="shared" si="45"/>
        <v>-0.6118969629970934</v>
      </c>
    </row>
    <row r="538" spans="6:13" ht="18.75" customHeight="1">
      <c r="F538" s="1">
        <v>37712</v>
      </c>
      <c r="G538">
        <f t="shared" si="42"/>
        <v>4</v>
      </c>
      <c r="H538" s="7">
        <v>377.65</v>
      </c>
      <c r="I538" s="7">
        <f t="shared" si="41"/>
        <v>375.51313346384018</v>
      </c>
      <c r="J538" s="7">
        <f t="shared" si="43"/>
        <v>2.1368665361598005</v>
      </c>
      <c r="K538" s="7" cm="1">
        <f t="array" ref="K538">INDEX(Sm,G538)</f>
        <v>2.6099183412742755</v>
      </c>
      <c r="L538" s="7">
        <f t="shared" si="44"/>
        <v>378.12305180511447</v>
      </c>
      <c r="M538" s="7">
        <f t="shared" si="45"/>
        <v>-0.47305180511449407</v>
      </c>
    </row>
    <row r="539" spans="6:13" ht="18.75" customHeight="1">
      <c r="F539" s="1">
        <v>37742</v>
      </c>
      <c r="G539">
        <f t="shared" si="42"/>
        <v>5</v>
      </c>
      <c r="H539" s="7">
        <v>378.35</v>
      </c>
      <c r="I539" s="7">
        <f t="shared" si="41"/>
        <v>375.67261011420953</v>
      </c>
      <c r="J539" s="7">
        <f t="shared" si="43"/>
        <v>2.6773898857904896</v>
      </c>
      <c r="K539" s="7" cm="1">
        <f t="array" ref="K539">INDEX(Sm,G539)</f>
        <v>3.065291801195754</v>
      </c>
      <c r="L539" s="7">
        <f t="shared" si="44"/>
        <v>378.7379019154053</v>
      </c>
      <c r="M539" s="7">
        <f t="shared" si="45"/>
        <v>-0.38790191540527985</v>
      </c>
    </row>
    <row r="540" spans="6:13" ht="18.75" customHeight="1">
      <c r="F540" s="1">
        <v>37773</v>
      </c>
      <c r="G540">
        <f t="shared" si="42"/>
        <v>6</v>
      </c>
      <c r="H540" s="7">
        <v>378.13</v>
      </c>
      <c r="I540" s="7">
        <f t="shared" si="41"/>
        <v>375.83758806038924</v>
      </c>
      <c r="J540" s="7">
        <f t="shared" si="43"/>
        <v>2.2924119396107585</v>
      </c>
      <c r="K540" s="7" cm="1">
        <f t="array" ref="K540">INDEX(Sm,G540)</f>
        <v>2.3463851222642056</v>
      </c>
      <c r="L540" s="7">
        <f t="shared" si="44"/>
        <v>378.18397318265346</v>
      </c>
      <c r="M540" s="7">
        <f t="shared" si="45"/>
        <v>-5.3973182653464846E-2</v>
      </c>
    </row>
    <row r="541" spans="6:13" ht="18.75" customHeight="1">
      <c r="F541" s="1">
        <v>37803</v>
      </c>
      <c r="G541">
        <f t="shared" si="42"/>
        <v>7</v>
      </c>
      <c r="H541" s="7">
        <v>376.6</v>
      </c>
      <c r="I541" s="7">
        <f t="shared" si="41"/>
        <v>375.99742356391607</v>
      </c>
      <c r="J541" s="7">
        <f t="shared" si="43"/>
        <v>0.60257643608395028</v>
      </c>
      <c r="K541" s="7" cm="1">
        <f t="array" ref="K541">INDEX(Sm,G541)</f>
        <v>0.72334113060077332</v>
      </c>
      <c r="L541" s="7">
        <f t="shared" si="44"/>
        <v>376.72076469451684</v>
      </c>
      <c r="M541" s="7">
        <f t="shared" si="45"/>
        <v>-0.12076469451682215</v>
      </c>
    </row>
    <row r="542" spans="6:13" ht="18.75" customHeight="1">
      <c r="F542" s="1">
        <v>37834</v>
      </c>
      <c r="G542">
        <f t="shared" si="42"/>
        <v>8</v>
      </c>
      <c r="H542" s="7">
        <v>374.48</v>
      </c>
      <c r="I542" s="7">
        <f t="shared" si="41"/>
        <v>376.16277232502506</v>
      </c>
      <c r="J542" s="7">
        <f t="shared" si="43"/>
        <v>-1.6827723250250415</v>
      </c>
      <c r="K542" s="7" cm="1">
        <f t="array" ref="K542">INDEX(Sm,G542)</f>
        <v>-1.3975570061157723</v>
      </c>
      <c r="L542" s="7">
        <f t="shared" si="44"/>
        <v>374.76521531890927</v>
      </c>
      <c r="M542" s="7">
        <f t="shared" si="45"/>
        <v>-0.28521531890925189</v>
      </c>
    </row>
    <row r="543" spans="6:13" ht="18.75" customHeight="1">
      <c r="F543" s="1">
        <v>37865</v>
      </c>
      <c r="G543">
        <f t="shared" si="42"/>
        <v>9</v>
      </c>
      <c r="H543" s="7">
        <v>372.98</v>
      </c>
      <c r="I543" s="7">
        <f t="shared" si="41"/>
        <v>376.32830953306541</v>
      </c>
      <c r="J543" s="7">
        <f t="shared" si="43"/>
        <v>-3.3483095330653896</v>
      </c>
      <c r="K543" s="7" cm="1">
        <f t="array" ref="K543">INDEX(Sm,G543)</f>
        <v>-3.1934822994410497</v>
      </c>
      <c r="L543" s="7">
        <f t="shared" si="44"/>
        <v>373.13482723362438</v>
      </c>
      <c r="M543" s="7">
        <f t="shared" si="45"/>
        <v>-0.15482723362435991</v>
      </c>
    </row>
    <row r="544" spans="6:13" ht="18.75" customHeight="1">
      <c r="F544" s="1">
        <v>37895</v>
      </c>
      <c r="G544">
        <f t="shared" si="42"/>
        <v>10</v>
      </c>
      <c r="H544" s="7">
        <v>373</v>
      </c>
      <c r="I544" s="7">
        <f t="shared" si="41"/>
        <v>376.48868625774764</v>
      </c>
      <c r="J544" s="7">
        <f t="shared" si="43"/>
        <v>-3.488686257747645</v>
      </c>
      <c r="K544" s="7" cm="1">
        <f t="array" ref="K544">INDEX(Sm,G544)</f>
        <v>-3.3368150874962788</v>
      </c>
      <c r="L544" s="7">
        <f t="shared" si="44"/>
        <v>373.15187117025135</v>
      </c>
      <c r="M544" s="7">
        <f t="shared" si="45"/>
        <v>-0.15187117025135421</v>
      </c>
    </row>
    <row r="545" spans="6:13" ht="18.75" customHeight="1">
      <c r="F545" s="1">
        <v>37926</v>
      </c>
      <c r="G545">
        <f t="shared" si="42"/>
        <v>11</v>
      </c>
      <c r="H545" s="7">
        <v>374.35</v>
      </c>
      <c r="I545" s="7">
        <f t="shared" si="41"/>
        <v>376.65459428071733</v>
      </c>
      <c r="J545" s="7">
        <f t="shared" si="43"/>
        <v>-2.3045942807173105</v>
      </c>
      <c r="K545" s="7" cm="1">
        <f t="array" ref="K545">INDEX(Sm,G545)</f>
        <v>-2.0591623324975612</v>
      </c>
      <c r="L545" s="7">
        <f t="shared" si="44"/>
        <v>374.59543194821975</v>
      </c>
      <c r="M545" s="7">
        <f t="shared" si="45"/>
        <v>-0.24543194821973202</v>
      </c>
    </row>
    <row r="546" spans="6:13" ht="18.75" customHeight="1">
      <c r="F546" s="1">
        <v>37956</v>
      </c>
      <c r="G546">
        <f t="shared" si="42"/>
        <v>12</v>
      </c>
      <c r="H546" s="7">
        <v>375.69</v>
      </c>
      <c r="I546" s="7">
        <f t="shared" si="41"/>
        <v>376.81532985855699</v>
      </c>
      <c r="J546" s="7">
        <f t="shared" si="43"/>
        <v>-1.1253298585569951</v>
      </c>
      <c r="K546" s="7" cm="1">
        <f t="array" ref="K546">INDEX(Sm,G546)</f>
        <v>-0.89132446529561371</v>
      </c>
      <c r="L546" s="7">
        <f t="shared" si="44"/>
        <v>375.92400539326138</v>
      </c>
      <c r="M546" s="7">
        <f t="shared" si="45"/>
        <v>-0.23400539326138414</v>
      </c>
    </row>
    <row r="547" spans="6:13" ht="18.75" customHeight="1">
      <c r="F547" s="1">
        <v>37987</v>
      </c>
      <c r="G547">
        <f t="shared" si="42"/>
        <v>1</v>
      </c>
      <c r="H547" s="7">
        <v>376.79</v>
      </c>
      <c r="I547" s="7">
        <f t="shared" si="41"/>
        <v>376.98160869645602</v>
      </c>
      <c r="J547" s="7">
        <f t="shared" si="43"/>
        <v>-0.19160869645600087</v>
      </c>
      <c r="K547" s="7" cm="1">
        <f t="array" ref="K547">INDEX(Sm,G547)</f>
        <v>6.1040869584970889E-2</v>
      </c>
      <c r="L547" s="7">
        <f t="shared" si="44"/>
        <v>377.04264956604101</v>
      </c>
      <c r="M547" s="7">
        <f t="shared" si="45"/>
        <v>-0.25264956604098643</v>
      </c>
    </row>
    <row r="548" spans="6:13" ht="18.75" customHeight="1">
      <c r="F548" s="1">
        <v>38018</v>
      </c>
      <c r="G548">
        <f t="shared" si="42"/>
        <v>2</v>
      </c>
      <c r="H548" s="7">
        <v>377.37</v>
      </c>
      <c r="I548" s="7">
        <f t="shared" si="41"/>
        <v>377.1480759812863</v>
      </c>
      <c r="J548" s="7">
        <f t="shared" si="43"/>
        <v>0.22192401871370748</v>
      </c>
      <c r="K548" s="7" cm="1">
        <f t="array" ref="K548">INDEX(Sm,G548)</f>
        <v>0.69421564520236412</v>
      </c>
      <c r="L548" s="7">
        <f t="shared" si="44"/>
        <v>377.84229162648865</v>
      </c>
      <c r="M548" s="7">
        <f t="shared" si="45"/>
        <v>-0.47229162648864076</v>
      </c>
    </row>
    <row r="549" spans="6:13" ht="18.75" customHeight="1">
      <c r="F549" s="1">
        <v>38047</v>
      </c>
      <c r="G549">
        <f t="shared" si="42"/>
        <v>3</v>
      </c>
      <c r="H549" s="7">
        <v>378.39</v>
      </c>
      <c r="I549" s="7">
        <f t="shared" si="41"/>
        <v>377.30397404360957</v>
      </c>
      <c r="J549" s="7">
        <f t="shared" si="43"/>
        <v>1.0860259563904151</v>
      </c>
      <c r="K549" s="7" cm="1">
        <f t="array" ref="K549">INDEX(Sm,G549)</f>
        <v>1.3733706304072995</v>
      </c>
      <c r="L549" s="7">
        <f t="shared" si="44"/>
        <v>378.67734467401687</v>
      </c>
      <c r="M549" s="7">
        <f t="shared" si="45"/>
        <v>-0.2873446740168788</v>
      </c>
    </row>
    <row r="550" spans="6:13" ht="18.75" customHeight="1">
      <c r="F550" s="1">
        <v>38078</v>
      </c>
      <c r="G550">
        <f t="shared" si="42"/>
        <v>4</v>
      </c>
      <c r="H550" s="7">
        <v>380.5</v>
      </c>
      <c r="I550" s="7">
        <f t="shared" si="41"/>
        <v>377.47080606443592</v>
      </c>
      <c r="J550" s="7">
        <f t="shared" si="43"/>
        <v>3.0291939355640807</v>
      </c>
      <c r="K550" s="7" cm="1">
        <f t="array" ref="K550">INDEX(Sm,G550)</f>
        <v>2.6099183412742755</v>
      </c>
      <c r="L550" s="7">
        <f t="shared" si="44"/>
        <v>380.08072440571021</v>
      </c>
      <c r="M550" s="7">
        <f t="shared" si="45"/>
        <v>0.41927559428978611</v>
      </c>
    </row>
    <row r="551" spans="6:13" ht="18.75" customHeight="1">
      <c r="F551" s="1">
        <v>38108</v>
      </c>
      <c r="G551">
        <f t="shared" si="42"/>
        <v>5</v>
      </c>
      <c r="H551" s="7">
        <v>380.62</v>
      </c>
      <c r="I551" s="7">
        <f t="shared" si="41"/>
        <v>377.63243583374981</v>
      </c>
      <c r="J551" s="7">
        <f t="shared" si="43"/>
        <v>2.9875641662501948</v>
      </c>
      <c r="K551" s="7" cm="1">
        <f t="array" ref="K551">INDEX(Sm,G551)</f>
        <v>3.065291801195754</v>
      </c>
      <c r="L551" s="7">
        <f t="shared" si="44"/>
        <v>380.69772763494558</v>
      </c>
      <c r="M551" s="7">
        <f t="shared" si="45"/>
        <v>-7.7727634945574664E-2</v>
      </c>
    </row>
    <row r="552" spans="6:13" ht="18.75" customHeight="1">
      <c r="F552" s="1">
        <v>38139</v>
      </c>
      <c r="G552">
        <f t="shared" si="42"/>
        <v>6</v>
      </c>
      <c r="H552" s="7">
        <v>379.55</v>
      </c>
      <c r="I552" s="7">
        <f t="shared" si="41"/>
        <v>377.79963866950555</v>
      </c>
      <c r="J552" s="7">
        <f t="shared" si="43"/>
        <v>1.7503613304944565</v>
      </c>
      <c r="K552" s="7" cm="1">
        <f t="array" ref="K552">INDEX(Sm,G552)</f>
        <v>2.3463851222642056</v>
      </c>
      <c r="L552" s="7">
        <f t="shared" si="44"/>
        <v>380.14602379176978</v>
      </c>
      <c r="M552" s="7">
        <f t="shared" si="45"/>
        <v>-0.59602379176976683</v>
      </c>
    </row>
    <row r="553" spans="6:13" ht="18.75" customHeight="1">
      <c r="F553" s="1">
        <v>38169</v>
      </c>
      <c r="G553">
        <f t="shared" si="42"/>
        <v>7</v>
      </c>
      <c r="H553" s="7">
        <v>377.76</v>
      </c>
      <c r="I553" s="7">
        <f t="shared" si="41"/>
        <v>377.96162729197687</v>
      </c>
      <c r="J553" s="7">
        <f t="shared" si="43"/>
        <v>-0.20162729197687668</v>
      </c>
      <c r="K553" s="7" cm="1">
        <f t="array" ref="K553">INDEX(Sm,G553)</f>
        <v>0.72334113060077332</v>
      </c>
      <c r="L553" s="7">
        <f t="shared" si="44"/>
        <v>378.68496842257764</v>
      </c>
      <c r="M553" s="7">
        <f t="shared" si="45"/>
        <v>-0.92496842257764911</v>
      </c>
    </row>
    <row r="554" spans="6:13" ht="18.75" customHeight="1">
      <c r="F554" s="1">
        <v>38200</v>
      </c>
      <c r="G554">
        <f t="shared" si="42"/>
        <v>8</v>
      </c>
      <c r="H554" s="7">
        <v>375.83</v>
      </c>
      <c r="I554" s="7">
        <f t="shared" si="41"/>
        <v>378.1292009426619</v>
      </c>
      <c r="J554" s="7">
        <f t="shared" si="43"/>
        <v>-2.299200942661912</v>
      </c>
      <c r="K554" s="7" cm="1">
        <f t="array" ref="K554">INDEX(Sm,G554)</f>
        <v>-1.3975570061157723</v>
      </c>
      <c r="L554" s="7">
        <f t="shared" si="44"/>
        <v>376.73164393654611</v>
      </c>
      <c r="M554" s="7">
        <f t="shared" si="45"/>
        <v>-0.9016439365461224</v>
      </c>
    </row>
    <row r="555" spans="6:13" ht="18.75" customHeight="1">
      <c r="F555" s="1">
        <v>38231</v>
      </c>
      <c r="G555">
        <f t="shared" si="42"/>
        <v>9</v>
      </c>
      <c r="H555" s="7">
        <v>374.05</v>
      </c>
      <c r="I555" s="7">
        <f t="shared" si="41"/>
        <v>378.29696304027823</v>
      </c>
      <c r="J555" s="7">
        <f t="shared" si="43"/>
        <v>-4.2469630402782172</v>
      </c>
      <c r="K555" s="7" cm="1">
        <f t="array" ref="K555">INDEX(Sm,G555)</f>
        <v>-3.1934822994410497</v>
      </c>
      <c r="L555" s="7">
        <f t="shared" si="44"/>
        <v>375.1034807408372</v>
      </c>
      <c r="M555" s="7">
        <f t="shared" si="45"/>
        <v>-1.0534807408371876</v>
      </c>
    </row>
    <row r="556" spans="6:13" ht="18.75" customHeight="1">
      <c r="F556" s="1">
        <v>38261</v>
      </c>
      <c r="G556">
        <f t="shared" si="42"/>
        <v>10</v>
      </c>
      <c r="H556" s="7">
        <v>374.22</v>
      </c>
      <c r="I556" s="7">
        <f t="shared" si="41"/>
        <v>378.459492883905</v>
      </c>
      <c r="J556" s="7">
        <f t="shared" si="43"/>
        <v>-4.2394928839049726</v>
      </c>
      <c r="K556" s="7" cm="1">
        <f t="array" ref="K556">INDEX(Sm,G556)</f>
        <v>-3.3368150874962788</v>
      </c>
      <c r="L556" s="7">
        <f t="shared" si="44"/>
        <v>375.12267779640871</v>
      </c>
      <c r="M556" s="7">
        <f t="shared" si="45"/>
        <v>-0.90267779640868184</v>
      </c>
    </row>
    <row r="557" spans="6:13" ht="18.75" customHeight="1">
      <c r="F557" s="1">
        <v>38292</v>
      </c>
      <c r="G557">
        <f t="shared" si="42"/>
        <v>11</v>
      </c>
      <c r="H557" s="7">
        <v>375.84</v>
      </c>
      <c r="I557" s="7">
        <f t="shared" si="41"/>
        <v>378.62762579645062</v>
      </c>
      <c r="J557" s="7">
        <f t="shared" si="43"/>
        <v>-2.7876257964506408</v>
      </c>
      <c r="K557" s="7" cm="1">
        <f t="array" ref="K557">INDEX(Sm,G557)</f>
        <v>-2.0591623324975612</v>
      </c>
      <c r="L557" s="7">
        <f t="shared" si="44"/>
        <v>376.56846346395304</v>
      </c>
      <c r="M557" s="7">
        <f t="shared" si="45"/>
        <v>-0.72846346395306227</v>
      </c>
    </row>
    <row r="558" spans="6:13" ht="18.75" customHeight="1">
      <c r="F558" s="1">
        <v>38322</v>
      </c>
      <c r="G558">
        <f t="shared" si="42"/>
        <v>12</v>
      </c>
      <c r="H558" s="7">
        <v>377.44</v>
      </c>
      <c r="I558" s="7">
        <f t="shared" si="41"/>
        <v>378.79051449323487</v>
      </c>
      <c r="J558" s="7">
        <f t="shared" si="43"/>
        <v>-1.3505144932348685</v>
      </c>
      <c r="K558" s="7" cm="1">
        <f t="array" ref="K558">INDEX(Sm,G558)</f>
        <v>-0.89132446529561371</v>
      </c>
      <c r="L558" s="7">
        <f t="shared" si="44"/>
        <v>377.89919002793926</v>
      </c>
      <c r="M558" s="7">
        <f t="shared" si="45"/>
        <v>-0.45919002793925756</v>
      </c>
    </row>
    <row r="559" spans="6:13" ht="18.75" customHeight="1">
      <c r="F559" s="1">
        <v>38353</v>
      </c>
      <c r="G559">
        <f t="shared" si="42"/>
        <v>1</v>
      </c>
      <c r="H559" s="7">
        <v>378.34</v>
      </c>
      <c r="I559" s="7">
        <f t="shared" si="41"/>
        <v>378.95901822070982</v>
      </c>
      <c r="J559" s="7">
        <f t="shared" si="43"/>
        <v>-0.61901822070984736</v>
      </c>
      <c r="K559" s="7" cm="1">
        <f t="array" ref="K559">INDEX(Sm,G559)</f>
        <v>6.1040869584970889E-2</v>
      </c>
      <c r="L559" s="7">
        <f t="shared" si="44"/>
        <v>379.02005909029481</v>
      </c>
      <c r="M559" s="7">
        <f t="shared" si="45"/>
        <v>-0.68005909029483291</v>
      </c>
    </row>
    <row r="560" spans="6:13" ht="18.75" customHeight="1">
      <c r="F560" s="1">
        <v>38384</v>
      </c>
      <c r="G560">
        <f t="shared" si="42"/>
        <v>2</v>
      </c>
      <c r="H560" s="7">
        <v>379.61</v>
      </c>
      <c r="I560" s="7">
        <f t="shared" si="41"/>
        <v>379.12771039511614</v>
      </c>
      <c r="J560" s="7">
        <f t="shared" si="43"/>
        <v>0.48228960488387429</v>
      </c>
      <c r="K560" s="7" cm="1">
        <f t="array" ref="K560">INDEX(Sm,G560)</f>
        <v>0.69421564520236412</v>
      </c>
      <c r="L560" s="7">
        <f t="shared" si="44"/>
        <v>379.82192604031849</v>
      </c>
      <c r="M560" s="7">
        <f t="shared" si="45"/>
        <v>-0.21192604031847395</v>
      </c>
    </row>
    <row r="561" spans="6:13" ht="18.75" customHeight="1">
      <c r="F561" s="1">
        <v>38412</v>
      </c>
      <c r="G561">
        <f t="shared" si="42"/>
        <v>3</v>
      </c>
      <c r="H561" s="7">
        <v>380.08</v>
      </c>
      <c r="I561" s="7">
        <f t="shared" si="41"/>
        <v>379.28023949454371</v>
      </c>
      <c r="J561" s="7">
        <f t="shared" si="43"/>
        <v>0.79976050545627686</v>
      </c>
      <c r="K561" s="7" cm="1">
        <f t="array" ref="K561">INDEX(Sm,G561)</f>
        <v>1.3733706304072995</v>
      </c>
      <c r="L561" s="7">
        <f t="shared" si="44"/>
        <v>380.653610124951</v>
      </c>
      <c r="M561" s="7">
        <f t="shared" si="45"/>
        <v>-0.57361012495101704</v>
      </c>
    </row>
    <row r="562" spans="6:13" ht="18.75" customHeight="1">
      <c r="F562" s="1">
        <v>38443</v>
      </c>
      <c r="G562">
        <f t="shared" si="42"/>
        <v>4</v>
      </c>
      <c r="H562" s="7">
        <v>382.05</v>
      </c>
      <c r="I562" s="7">
        <f t="shared" si="41"/>
        <v>379.44929032601283</v>
      </c>
      <c r="J562" s="7">
        <f t="shared" si="43"/>
        <v>2.6007096739871827</v>
      </c>
      <c r="K562" s="7" cm="1">
        <f t="array" ref="K562">INDEX(Sm,G562)</f>
        <v>2.6099183412742755</v>
      </c>
      <c r="L562" s="7">
        <f t="shared" si="44"/>
        <v>382.05920866728712</v>
      </c>
      <c r="M562" s="7">
        <f t="shared" si="45"/>
        <v>-9.2086672871118935E-3</v>
      </c>
    </row>
    <row r="563" spans="6:13" ht="18.75" customHeight="1">
      <c r="F563" s="1">
        <v>38473</v>
      </c>
      <c r="G563">
        <f t="shared" si="42"/>
        <v>5</v>
      </c>
      <c r="H563" s="7">
        <v>382.24</v>
      </c>
      <c r="I563" s="7">
        <f t="shared" si="41"/>
        <v>379.6130673314326</v>
      </c>
      <c r="J563" s="7">
        <f t="shared" si="43"/>
        <v>2.6269326685674059</v>
      </c>
      <c r="K563" s="7" cm="1">
        <f t="array" ref="K563">INDEX(Sm,G563)</f>
        <v>3.065291801195754</v>
      </c>
      <c r="L563" s="7">
        <f t="shared" si="44"/>
        <v>382.67835913262837</v>
      </c>
      <c r="M563" s="7">
        <f t="shared" si="45"/>
        <v>-0.43835913262836357</v>
      </c>
    </row>
    <row r="564" spans="6:13" ht="18.75" customHeight="1">
      <c r="F564" s="1">
        <v>38504</v>
      </c>
      <c r="G564">
        <f t="shared" si="42"/>
        <v>6</v>
      </c>
      <c r="H564" s="7">
        <v>382.08</v>
      </c>
      <c r="I564" s="7">
        <f t="shared" si="41"/>
        <v>379.78248897783101</v>
      </c>
      <c r="J564" s="7">
        <f t="shared" si="43"/>
        <v>2.2975110221689761</v>
      </c>
      <c r="K564" s="7" cm="1">
        <f t="array" ref="K564">INDEX(Sm,G564)</f>
        <v>2.3463851222642056</v>
      </c>
      <c r="L564" s="7">
        <f t="shared" si="44"/>
        <v>382.12887410009523</v>
      </c>
      <c r="M564" s="7">
        <f t="shared" si="45"/>
        <v>-4.8874100095247286E-2</v>
      </c>
    </row>
    <row r="565" spans="6:13" ht="18.75" customHeight="1">
      <c r="F565" s="1">
        <v>38534</v>
      </c>
      <c r="G565">
        <f t="shared" si="42"/>
        <v>7</v>
      </c>
      <c r="H565" s="7">
        <v>380.66</v>
      </c>
      <c r="I565" s="7">
        <f t="shared" si="41"/>
        <v>379.9466248364082</v>
      </c>
      <c r="J565" s="7">
        <f t="shared" si="43"/>
        <v>0.71337516359182018</v>
      </c>
      <c r="K565" s="7" cm="1">
        <f t="array" ref="K565">INDEX(Sm,G565)</f>
        <v>0.72334113060077332</v>
      </c>
      <c r="L565" s="7">
        <f t="shared" si="44"/>
        <v>380.66996596700898</v>
      </c>
      <c r="M565" s="7">
        <f t="shared" si="45"/>
        <v>-9.9659670089522479E-3</v>
      </c>
    </row>
    <row r="566" spans="6:13" ht="18.75" customHeight="1">
      <c r="F566" s="1">
        <v>38565</v>
      </c>
      <c r="G566">
        <f t="shared" si="42"/>
        <v>8</v>
      </c>
      <c r="H566" s="7">
        <v>378.67</v>
      </c>
      <c r="I566" s="7">
        <f t="shared" si="41"/>
        <v>380.11641729773595</v>
      </c>
      <c r="J566" s="7">
        <f t="shared" si="43"/>
        <v>-1.446417297735934</v>
      </c>
      <c r="K566" s="7" cm="1">
        <f t="array" ref="K566">INDEX(Sm,G566)</f>
        <v>-1.3975570061157723</v>
      </c>
      <c r="L566" s="7">
        <f t="shared" si="44"/>
        <v>378.71886029162016</v>
      </c>
      <c r="M566" s="7">
        <f t="shared" si="45"/>
        <v>-4.886029162014438E-2</v>
      </c>
    </row>
    <row r="567" spans="6:13" ht="18.75" customHeight="1">
      <c r="F567" s="1">
        <v>38596</v>
      </c>
      <c r="G567">
        <f t="shared" si="42"/>
        <v>9</v>
      </c>
      <c r="H567" s="7">
        <v>376.42</v>
      </c>
      <c r="I567" s="7">
        <f t="shared" si="41"/>
        <v>380.28639820599506</v>
      </c>
      <c r="J567" s="7">
        <f t="shared" si="43"/>
        <v>-3.8663982059950399</v>
      </c>
      <c r="K567" s="7" cm="1">
        <f t="array" ref="K567">INDEX(Sm,G567)</f>
        <v>-3.1934822994410497</v>
      </c>
      <c r="L567" s="7">
        <f t="shared" si="44"/>
        <v>377.09291590655403</v>
      </c>
      <c r="M567" s="7">
        <f t="shared" si="45"/>
        <v>-0.67291590655401023</v>
      </c>
    </row>
    <row r="568" spans="6:13" ht="18.75" customHeight="1">
      <c r="F568" s="1">
        <v>38626</v>
      </c>
      <c r="G568">
        <f t="shared" si="42"/>
        <v>10</v>
      </c>
      <c r="H568" s="7">
        <v>376.8</v>
      </c>
      <c r="I568" s="7">
        <f t="shared" si="41"/>
        <v>380.45107528572765</v>
      </c>
      <c r="J568" s="7">
        <f t="shared" si="43"/>
        <v>-3.6510752857276429</v>
      </c>
      <c r="K568" s="7" cm="1">
        <f t="array" ref="K568">INDEX(Sm,G568)</f>
        <v>-3.3368150874962788</v>
      </c>
      <c r="L568" s="7">
        <f t="shared" si="44"/>
        <v>377.11426019823136</v>
      </c>
      <c r="M568" s="7">
        <f t="shared" si="45"/>
        <v>-0.31426019823135221</v>
      </c>
    </row>
    <row r="569" spans="6:13" ht="18.75" customHeight="1">
      <c r="F569" s="1">
        <v>38657</v>
      </c>
      <c r="G569">
        <f t="shared" si="42"/>
        <v>11</v>
      </c>
      <c r="H569" s="7">
        <v>378.31</v>
      </c>
      <c r="I569" s="7">
        <f t="shared" si="41"/>
        <v>380.62142700891604</v>
      </c>
      <c r="J569" s="7">
        <f t="shared" si="43"/>
        <v>-2.3114270089160414</v>
      </c>
      <c r="K569" s="7" cm="1">
        <f t="array" ref="K569">INDEX(Sm,G569)</f>
        <v>-2.0591623324975612</v>
      </c>
      <c r="L569" s="7">
        <f t="shared" si="44"/>
        <v>378.56226467641847</v>
      </c>
      <c r="M569" s="7">
        <f t="shared" si="45"/>
        <v>-0.25226467641846284</v>
      </c>
    </row>
    <row r="570" spans="6:13" ht="18.75" customHeight="1">
      <c r="F570" s="1">
        <v>38687</v>
      </c>
      <c r="G570">
        <f t="shared" si="42"/>
        <v>12</v>
      </c>
      <c r="H570" s="7">
        <v>379.96</v>
      </c>
      <c r="I570" s="7">
        <f t="shared" si="41"/>
        <v>380.78646294180612</v>
      </c>
      <c r="J570" s="7">
        <f t="shared" si="43"/>
        <v>-0.82646294180614177</v>
      </c>
      <c r="K570" s="7" cm="1">
        <f t="array" ref="K570">INDEX(Sm,G570)</f>
        <v>-0.89132446529561371</v>
      </c>
      <c r="L570" s="7">
        <f t="shared" si="44"/>
        <v>379.89513847651051</v>
      </c>
      <c r="M570" s="7">
        <f t="shared" si="45"/>
        <v>6.4861523489469164E-2</v>
      </c>
    </row>
    <row r="571" spans="6:13" ht="18.75" customHeight="1">
      <c r="F571" s="1">
        <v>38718</v>
      </c>
      <c r="G571">
        <f t="shared" si="42"/>
        <v>1</v>
      </c>
      <c r="H571" s="7">
        <v>381.37</v>
      </c>
      <c r="I571" s="7">
        <f t="shared" si="41"/>
        <v>380.95718547992385</v>
      </c>
      <c r="J571" s="7">
        <f t="shared" si="43"/>
        <v>0.41281452007615371</v>
      </c>
      <c r="K571" s="7" cm="1">
        <f t="array" ref="K571">INDEX(Sm,G571)</f>
        <v>6.1040869584970889E-2</v>
      </c>
      <c r="L571" s="7">
        <f t="shared" si="44"/>
        <v>381.01822634950884</v>
      </c>
      <c r="M571" s="7">
        <f t="shared" si="45"/>
        <v>0.35177365049116815</v>
      </c>
    </row>
    <row r="572" spans="6:13" ht="18.75" customHeight="1">
      <c r="F572" s="1">
        <v>38749</v>
      </c>
      <c r="G572">
        <f t="shared" si="42"/>
        <v>2</v>
      </c>
      <c r="H572" s="7">
        <v>382.02</v>
      </c>
      <c r="I572" s="7">
        <f t="shared" si="41"/>
        <v>381.12809646497283</v>
      </c>
      <c r="J572" s="7">
        <f t="shared" si="43"/>
        <v>0.89190353502715425</v>
      </c>
      <c r="K572" s="7" cm="1">
        <f t="array" ref="K572">INDEX(Sm,G572)</f>
        <v>0.69421564520236412</v>
      </c>
      <c r="L572" s="7">
        <f t="shared" si="44"/>
        <v>381.82231211017518</v>
      </c>
      <c r="M572" s="7">
        <f t="shared" si="45"/>
        <v>0.19768788982480601</v>
      </c>
    </row>
    <row r="573" spans="6:13" ht="18.75" customHeight="1">
      <c r="F573" s="1">
        <v>38777</v>
      </c>
      <c r="G573">
        <f t="shared" si="42"/>
        <v>3</v>
      </c>
      <c r="H573" s="7">
        <v>382.56</v>
      </c>
      <c r="I573" s="7">
        <f t="shared" si="41"/>
        <v>381.28262965143256</v>
      </c>
      <c r="J573" s="7">
        <f t="shared" si="43"/>
        <v>1.2773703485674446</v>
      </c>
      <c r="K573" s="7" cm="1">
        <f t="array" ref="K573">INDEX(Sm,G573)</f>
        <v>1.3733706304072995</v>
      </c>
      <c r="L573" s="7">
        <f t="shared" si="44"/>
        <v>382.65600028183985</v>
      </c>
      <c r="M573" s="7">
        <f t="shared" si="45"/>
        <v>-9.6000281839849322E-2</v>
      </c>
    </row>
    <row r="574" spans="6:13" ht="18.75" customHeight="1">
      <c r="F574" s="1">
        <v>38808</v>
      </c>
      <c r="G574">
        <f t="shared" si="42"/>
        <v>4</v>
      </c>
      <c r="H574" s="7">
        <v>384.36</v>
      </c>
      <c r="I574" s="7">
        <f t="shared" si="41"/>
        <v>381.4538992935444</v>
      </c>
      <c r="J574" s="7">
        <f t="shared" si="43"/>
        <v>2.9061007064556179</v>
      </c>
      <c r="K574" s="7" cm="1">
        <f t="array" ref="K574">INDEX(Sm,G574)</f>
        <v>2.6099183412742755</v>
      </c>
      <c r="L574" s="7">
        <f t="shared" si="44"/>
        <v>384.06381763481869</v>
      </c>
      <c r="M574" s="7">
        <f t="shared" si="45"/>
        <v>0.29618236518132335</v>
      </c>
    </row>
    <row r="575" spans="6:13" ht="18.75" customHeight="1">
      <c r="F575" s="1">
        <v>38838</v>
      </c>
      <c r="G575">
        <f t="shared" si="42"/>
        <v>5</v>
      </c>
      <c r="H575" s="7">
        <v>384.92</v>
      </c>
      <c r="I575" s="7">
        <f t="shared" si="41"/>
        <v>381.61982353507005</v>
      </c>
      <c r="J575" s="7">
        <f t="shared" si="43"/>
        <v>3.3001764649299616</v>
      </c>
      <c r="K575" s="7" cm="1">
        <f t="array" ref="K575">INDEX(Sm,G575)</f>
        <v>3.065291801195754</v>
      </c>
      <c r="L575" s="7">
        <f t="shared" si="44"/>
        <v>384.68511533626582</v>
      </c>
      <c r="M575" s="7">
        <f t="shared" si="45"/>
        <v>0.23488466373419215</v>
      </c>
    </row>
    <row r="576" spans="6:13" ht="18.75" customHeight="1">
      <c r="F576" s="1">
        <v>38869</v>
      </c>
      <c r="G576">
        <f t="shared" si="42"/>
        <v>6</v>
      </c>
      <c r="H576" s="7">
        <v>384.03</v>
      </c>
      <c r="I576" s="7">
        <f t="shared" si="41"/>
        <v>381.79146399211123</v>
      </c>
      <c r="J576" s="7">
        <f t="shared" si="43"/>
        <v>2.2385360078887402</v>
      </c>
      <c r="K576" s="7" cm="1">
        <f t="array" ref="K576">INDEX(Sm,G576)</f>
        <v>2.3463851222642056</v>
      </c>
      <c r="L576" s="7">
        <f t="shared" si="44"/>
        <v>384.13784911437546</v>
      </c>
      <c r="M576" s="7">
        <f t="shared" si="45"/>
        <v>-0.10784911437548317</v>
      </c>
    </row>
    <row r="577" spans="6:13" ht="18.75" customHeight="1">
      <c r="F577" s="1">
        <v>38899</v>
      </c>
      <c r="G577">
        <f t="shared" si="42"/>
        <v>7</v>
      </c>
      <c r="H577" s="7">
        <v>382.28</v>
      </c>
      <c r="I577" s="7">
        <f t="shared" si="41"/>
        <v>381.95774708679426</v>
      </c>
      <c r="J577" s="7">
        <f t="shared" si="43"/>
        <v>0.32225291320571614</v>
      </c>
      <c r="K577" s="7" cm="1">
        <f t="array" ref="K577">INDEX(Sm,G577)</f>
        <v>0.72334113060077332</v>
      </c>
      <c r="L577" s="7">
        <f t="shared" si="44"/>
        <v>382.68108821739503</v>
      </c>
      <c r="M577" s="7">
        <f t="shared" si="45"/>
        <v>-0.40108821739505629</v>
      </c>
    </row>
    <row r="578" spans="6:13" ht="18.75" customHeight="1">
      <c r="F578" s="1">
        <v>38930</v>
      </c>
      <c r="G578">
        <f t="shared" si="42"/>
        <v>8</v>
      </c>
      <c r="H578" s="7">
        <v>380.48</v>
      </c>
      <c r="I578" s="7">
        <f t="shared" ref="I578:I641" si="46">_A*F578*F578+_B*F578+_C</f>
        <v>382.12975835876478</v>
      </c>
      <c r="J578" s="7">
        <f t="shared" si="43"/>
        <v>-1.6497583587647568</v>
      </c>
      <c r="K578" s="7" cm="1">
        <f t="array" ref="K578">INDEX(Sm,G578)</f>
        <v>-1.3975570061157723</v>
      </c>
      <c r="L578" s="7">
        <f t="shared" si="44"/>
        <v>380.73220135264899</v>
      </c>
      <c r="M578" s="7">
        <f t="shared" si="45"/>
        <v>-0.25220135264896726</v>
      </c>
    </row>
    <row r="579" spans="6:13" ht="18.75" customHeight="1">
      <c r="F579" s="1">
        <v>38961</v>
      </c>
      <c r="G579">
        <f t="shared" ref="G579:G642" si="47">MONTH(F579)</f>
        <v>9</v>
      </c>
      <c r="H579" s="7">
        <v>378.81</v>
      </c>
      <c r="I579" s="7">
        <f t="shared" si="46"/>
        <v>382.30195807766654</v>
      </c>
      <c r="J579" s="7">
        <f t="shared" ref="J579:J642" si="48">H579-I579</f>
        <v>-3.4919580776665384</v>
      </c>
      <c r="K579" s="7" cm="1">
        <f t="array" ref="K579">INDEX(Sm,G579)</f>
        <v>-3.1934822994410497</v>
      </c>
      <c r="L579" s="7">
        <f t="shared" ref="L579:L642" si="49">I579+K579</f>
        <v>379.10847577822551</v>
      </c>
      <c r="M579" s="7">
        <f t="shared" ref="M579:M642" si="50">H579-L579</f>
        <v>-0.29847577822550875</v>
      </c>
    </row>
    <row r="580" spans="6:13" ht="18.75" customHeight="1">
      <c r="F580" s="1">
        <v>38991</v>
      </c>
      <c r="G580">
        <f t="shared" si="47"/>
        <v>10</v>
      </c>
      <c r="H580" s="7">
        <v>379.06</v>
      </c>
      <c r="I580" s="7">
        <f t="shared" si="46"/>
        <v>382.46878239350502</v>
      </c>
      <c r="J580" s="7">
        <f t="shared" si="48"/>
        <v>-3.408782393505021</v>
      </c>
      <c r="K580" s="7" cm="1">
        <f t="array" ref="K580">INDEX(Sm,G580)</f>
        <v>-3.3368150874962788</v>
      </c>
      <c r="L580" s="7">
        <f t="shared" si="49"/>
        <v>379.13196730600873</v>
      </c>
      <c r="M580" s="7">
        <f t="shared" si="50"/>
        <v>-7.1967306008730247E-2</v>
      </c>
    </row>
    <row r="581" spans="6:13" ht="18.75" customHeight="1">
      <c r="F581" s="1">
        <v>39022</v>
      </c>
      <c r="G581">
        <f t="shared" si="47"/>
        <v>11</v>
      </c>
      <c r="H581" s="7">
        <v>380.14</v>
      </c>
      <c r="I581" s="7">
        <f t="shared" si="46"/>
        <v>382.64135292733613</v>
      </c>
      <c r="J581" s="7">
        <f t="shared" si="48"/>
        <v>-2.5013529273361428</v>
      </c>
      <c r="K581" s="7" cm="1">
        <f t="array" ref="K581">INDEX(Sm,G581)</f>
        <v>-2.0591623324975612</v>
      </c>
      <c r="L581" s="7">
        <f t="shared" si="49"/>
        <v>380.58219059483855</v>
      </c>
      <c r="M581" s="7">
        <f t="shared" si="50"/>
        <v>-0.44219059483856427</v>
      </c>
    </row>
    <row r="582" spans="6:13" ht="18.75" customHeight="1">
      <c r="F582" s="1">
        <v>39052</v>
      </c>
      <c r="G582">
        <f t="shared" si="47"/>
        <v>12</v>
      </c>
      <c r="H582" s="7">
        <v>381.66</v>
      </c>
      <c r="I582" s="7">
        <f t="shared" si="46"/>
        <v>382.80853609633209</v>
      </c>
      <c r="J582" s="7">
        <f t="shared" si="48"/>
        <v>-1.1485360963320659</v>
      </c>
      <c r="K582" s="7" cm="1">
        <f t="array" ref="K582">INDEX(Sm,G582)</f>
        <v>-0.89132446529561371</v>
      </c>
      <c r="L582" s="7">
        <f t="shared" si="49"/>
        <v>381.91721163103648</v>
      </c>
      <c r="M582" s="7">
        <f t="shared" si="50"/>
        <v>-0.25721163103645495</v>
      </c>
    </row>
    <row r="583" spans="6:13" ht="18.75" customHeight="1">
      <c r="F583" s="1">
        <v>39083</v>
      </c>
      <c r="G583">
        <f t="shared" si="47"/>
        <v>1</v>
      </c>
      <c r="H583" s="7">
        <v>382.58</v>
      </c>
      <c r="I583" s="7">
        <f t="shared" si="46"/>
        <v>382.98147744509254</v>
      </c>
      <c r="J583" s="7">
        <f t="shared" si="48"/>
        <v>-0.4014774450925529</v>
      </c>
      <c r="K583" s="7" cm="1">
        <f t="array" ref="K583">INDEX(Sm,G583)</f>
        <v>6.1040869584970889E-2</v>
      </c>
      <c r="L583" s="7">
        <f t="shared" si="49"/>
        <v>383.04251831467752</v>
      </c>
      <c r="M583" s="7">
        <f t="shared" si="50"/>
        <v>-0.46251831467753846</v>
      </c>
    </row>
    <row r="584" spans="6:13" ht="18.75" customHeight="1">
      <c r="F584" s="1">
        <v>39114</v>
      </c>
      <c r="G584">
        <f t="shared" si="47"/>
        <v>2</v>
      </c>
      <c r="H584" s="7">
        <v>383.71</v>
      </c>
      <c r="I584" s="7">
        <f t="shared" si="46"/>
        <v>383.15460724078429</v>
      </c>
      <c r="J584" s="7">
        <f t="shared" si="48"/>
        <v>0.55539275921569242</v>
      </c>
      <c r="K584" s="7" cm="1">
        <f t="array" ref="K584">INDEX(Sm,G584)</f>
        <v>0.69421564520236412</v>
      </c>
      <c r="L584" s="7">
        <f t="shared" si="49"/>
        <v>383.84882288598664</v>
      </c>
      <c r="M584" s="7">
        <f t="shared" si="50"/>
        <v>-0.13882288598665582</v>
      </c>
    </row>
    <row r="585" spans="6:13" ht="18.75" customHeight="1">
      <c r="F585" s="1">
        <v>39142</v>
      </c>
      <c r="G585">
        <f t="shared" si="47"/>
        <v>3</v>
      </c>
      <c r="H585" s="7">
        <v>384.34</v>
      </c>
      <c r="I585" s="7">
        <f t="shared" si="46"/>
        <v>383.31114451427618</v>
      </c>
      <c r="J585" s="7">
        <f t="shared" si="48"/>
        <v>1.0288554857237955</v>
      </c>
      <c r="K585" s="7" cm="1">
        <f t="array" ref="K585">INDEX(Sm,G585)</f>
        <v>1.3733706304072995</v>
      </c>
      <c r="L585" s="7">
        <f t="shared" si="49"/>
        <v>384.68451514468347</v>
      </c>
      <c r="M585" s="7">
        <f t="shared" si="50"/>
        <v>-0.34451514468349842</v>
      </c>
    </row>
    <row r="586" spans="6:13" ht="18.75" customHeight="1">
      <c r="F586" s="1">
        <v>39173</v>
      </c>
      <c r="G586">
        <f t="shared" si="47"/>
        <v>4</v>
      </c>
      <c r="H586" s="7">
        <v>386.23</v>
      </c>
      <c r="I586" s="7">
        <f t="shared" si="46"/>
        <v>383.48463296703073</v>
      </c>
      <c r="J586" s="7">
        <f t="shared" si="48"/>
        <v>2.7453670329692841</v>
      </c>
      <c r="K586" s="7" cm="1">
        <f t="array" ref="K586">INDEX(Sm,G586)</f>
        <v>2.6099183412742755</v>
      </c>
      <c r="L586" s="7">
        <f t="shared" si="49"/>
        <v>386.09455130830503</v>
      </c>
      <c r="M586" s="7">
        <f t="shared" si="50"/>
        <v>0.13544869169498952</v>
      </c>
    </row>
    <row r="587" spans="6:13" ht="18.75" customHeight="1">
      <c r="F587" s="1">
        <v>39203</v>
      </c>
      <c r="G587">
        <f t="shared" si="47"/>
        <v>5</v>
      </c>
      <c r="H587" s="7">
        <v>386.41</v>
      </c>
      <c r="I587" s="7">
        <f t="shared" si="46"/>
        <v>383.65270444466222</v>
      </c>
      <c r="J587" s="7">
        <f t="shared" si="48"/>
        <v>2.7572955553378051</v>
      </c>
      <c r="K587" s="7" cm="1">
        <f t="array" ref="K587">INDEX(Sm,G587)</f>
        <v>3.065291801195754</v>
      </c>
      <c r="L587" s="7">
        <f t="shared" si="49"/>
        <v>386.71799624585799</v>
      </c>
      <c r="M587" s="7">
        <f t="shared" si="50"/>
        <v>-0.30799624585796437</v>
      </c>
    </row>
    <row r="588" spans="6:13" ht="18.75" customHeight="1">
      <c r="F588" s="1">
        <v>39234</v>
      </c>
      <c r="G588">
        <f t="shared" si="47"/>
        <v>6</v>
      </c>
      <c r="H588" s="7">
        <v>385.87</v>
      </c>
      <c r="I588" s="7">
        <f t="shared" si="46"/>
        <v>383.82656371234611</v>
      </c>
      <c r="J588" s="7">
        <f t="shared" si="48"/>
        <v>2.0434362876538898</v>
      </c>
      <c r="K588" s="7" cm="1">
        <f t="array" ref="K588">INDEX(Sm,G588)</f>
        <v>2.3463851222642056</v>
      </c>
      <c r="L588" s="7">
        <f t="shared" si="49"/>
        <v>386.17294883461034</v>
      </c>
      <c r="M588" s="7">
        <f t="shared" si="50"/>
        <v>-0.30294883461033351</v>
      </c>
    </row>
    <row r="589" spans="6:13" ht="18.75" customHeight="1">
      <c r="F589" s="1">
        <v>39264</v>
      </c>
      <c r="G589">
        <f t="shared" si="47"/>
        <v>7</v>
      </c>
      <c r="H589" s="7">
        <v>384.44</v>
      </c>
      <c r="I589" s="7">
        <f t="shared" si="46"/>
        <v>383.99499404313502</v>
      </c>
      <c r="J589" s="7">
        <f t="shared" si="48"/>
        <v>0.44500595686497491</v>
      </c>
      <c r="K589" s="7" cm="1">
        <f t="array" ref="K589">INDEX(Sm,G589)</f>
        <v>0.72334113060077332</v>
      </c>
      <c r="L589" s="7">
        <f t="shared" si="49"/>
        <v>384.7183351737358</v>
      </c>
      <c r="M589" s="7">
        <f t="shared" si="50"/>
        <v>-0.27833517373579753</v>
      </c>
    </row>
    <row r="590" spans="6:13" ht="18.75" customHeight="1">
      <c r="F590" s="1">
        <v>39295</v>
      </c>
      <c r="G590">
        <f t="shared" si="47"/>
        <v>8</v>
      </c>
      <c r="H590" s="7">
        <v>381.84</v>
      </c>
      <c r="I590" s="7">
        <f t="shared" si="46"/>
        <v>384.16922412574826</v>
      </c>
      <c r="J590" s="7">
        <f t="shared" si="48"/>
        <v>-2.3292241257482829</v>
      </c>
      <c r="K590" s="7" cm="1">
        <f t="array" ref="K590">INDEX(Sm,G590)</f>
        <v>-1.3975570061157723</v>
      </c>
      <c r="L590" s="7">
        <f t="shared" si="49"/>
        <v>382.77166711963247</v>
      </c>
      <c r="M590" s="7">
        <f t="shared" si="50"/>
        <v>-0.93166711963249327</v>
      </c>
    </row>
    <row r="591" spans="6:13" ht="18.75" customHeight="1">
      <c r="F591" s="1">
        <v>39326</v>
      </c>
      <c r="G591">
        <f t="shared" si="47"/>
        <v>9</v>
      </c>
      <c r="H591" s="7">
        <v>380.86</v>
      </c>
      <c r="I591" s="7">
        <f t="shared" si="46"/>
        <v>384.34364265529274</v>
      </c>
      <c r="J591" s="7">
        <f t="shared" si="48"/>
        <v>-3.4836426552927264</v>
      </c>
      <c r="K591" s="7" cm="1">
        <f t="array" ref="K591">INDEX(Sm,G591)</f>
        <v>-3.1934822994410497</v>
      </c>
      <c r="L591" s="7">
        <f t="shared" si="49"/>
        <v>381.15016035585171</v>
      </c>
      <c r="M591" s="7">
        <f t="shared" si="50"/>
        <v>-0.29016035585169675</v>
      </c>
    </row>
    <row r="592" spans="6:13" ht="18.75" customHeight="1">
      <c r="F592" s="1">
        <v>39356</v>
      </c>
      <c r="G592">
        <f t="shared" si="47"/>
        <v>10</v>
      </c>
      <c r="H592" s="7">
        <v>380.86</v>
      </c>
      <c r="I592" s="7">
        <f t="shared" si="46"/>
        <v>384.51261420723711</v>
      </c>
      <c r="J592" s="7">
        <f t="shared" si="48"/>
        <v>-3.6526142072370931</v>
      </c>
      <c r="K592" s="7" cm="1">
        <f t="array" ref="K592">INDEX(Sm,G592)</f>
        <v>-3.3368150874962788</v>
      </c>
      <c r="L592" s="7">
        <f t="shared" si="49"/>
        <v>381.17579911974082</v>
      </c>
      <c r="M592" s="7">
        <f t="shared" si="50"/>
        <v>-0.31579911974080233</v>
      </c>
    </row>
    <row r="593" spans="6:13" ht="18.75" customHeight="1">
      <c r="F593" s="1">
        <v>39387</v>
      </c>
      <c r="G593">
        <f t="shared" si="47"/>
        <v>11</v>
      </c>
      <c r="H593" s="7">
        <v>382.36</v>
      </c>
      <c r="I593" s="7">
        <f t="shared" si="46"/>
        <v>384.68740355171099</v>
      </c>
      <c r="J593" s="7">
        <f t="shared" si="48"/>
        <v>-2.3274035517109724</v>
      </c>
      <c r="K593" s="7" cm="1">
        <f t="array" ref="K593">INDEX(Sm,G593)</f>
        <v>-2.0591623324975612</v>
      </c>
      <c r="L593" s="7">
        <f t="shared" si="49"/>
        <v>382.62824121921341</v>
      </c>
      <c r="M593" s="7">
        <f t="shared" si="50"/>
        <v>-0.26824121921339383</v>
      </c>
    </row>
    <row r="594" spans="6:13" ht="18.75" customHeight="1">
      <c r="F594" s="1">
        <v>39417</v>
      </c>
      <c r="G594">
        <f t="shared" si="47"/>
        <v>12</v>
      </c>
      <c r="H594" s="7">
        <v>383.61</v>
      </c>
      <c r="I594" s="7">
        <f t="shared" si="46"/>
        <v>384.85673395681277</v>
      </c>
      <c r="J594" s="7">
        <f t="shared" si="48"/>
        <v>-1.2467339568127613</v>
      </c>
      <c r="K594" s="7" cm="1">
        <f t="array" ref="K594">INDEX(Sm,G594)</f>
        <v>-0.89132446529561371</v>
      </c>
      <c r="L594" s="7">
        <f t="shared" si="49"/>
        <v>383.96540949151716</v>
      </c>
      <c r="M594" s="7">
        <f t="shared" si="50"/>
        <v>-0.3554094915171504</v>
      </c>
    </row>
    <row r="595" spans="6:13" ht="18.75" customHeight="1">
      <c r="F595" s="1">
        <v>39448</v>
      </c>
      <c r="G595">
        <f t="shared" si="47"/>
        <v>1</v>
      </c>
      <c r="H595" s="7">
        <v>385.07</v>
      </c>
      <c r="I595" s="7">
        <f t="shared" si="46"/>
        <v>385.03189411621599</v>
      </c>
      <c r="J595" s="7">
        <f t="shared" si="48"/>
        <v>3.8105883783998706E-2</v>
      </c>
      <c r="K595" s="7" cm="1">
        <f t="array" ref="K595">INDEX(Sm,G595)</f>
        <v>6.1040869584970889E-2</v>
      </c>
      <c r="L595" s="7">
        <f t="shared" si="49"/>
        <v>385.09293498580098</v>
      </c>
      <c r="M595" s="7">
        <f t="shared" si="50"/>
        <v>-2.2934985800986851E-2</v>
      </c>
    </row>
    <row r="596" spans="6:13" ht="18.75" customHeight="1">
      <c r="F596" s="1">
        <v>39479</v>
      </c>
      <c r="G596">
        <f t="shared" si="47"/>
        <v>2</v>
      </c>
      <c r="H596" s="7">
        <v>385.84</v>
      </c>
      <c r="I596" s="7">
        <f t="shared" si="46"/>
        <v>385.2072427225504</v>
      </c>
      <c r="J596" s="7">
        <f t="shared" si="48"/>
        <v>0.63275727744957067</v>
      </c>
      <c r="K596" s="7" cm="1">
        <f t="array" ref="K596">INDEX(Sm,G596)</f>
        <v>0.69421564520236412</v>
      </c>
      <c r="L596" s="7">
        <f t="shared" si="49"/>
        <v>385.90145836775275</v>
      </c>
      <c r="M596" s="7">
        <f t="shared" si="50"/>
        <v>-6.1458367752777576E-2</v>
      </c>
    </row>
    <row r="597" spans="6:13" ht="18.75" customHeight="1">
      <c r="F597" s="1">
        <v>39508</v>
      </c>
      <c r="G597">
        <f t="shared" si="47"/>
        <v>3</v>
      </c>
      <c r="H597" s="7">
        <v>385.83</v>
      </c>
      <c r="I597" s="7">
        <f t="shared" si="46"/>
        <v>385.37144911789375</v>
      </c>
      <c r="J597" s="7">
        <f t="shared" si="48"/>
        <v>0.45855088210623762</v>
      </c>
      <c r="K597" s="7" cm="1">
        <f t="array" ref="K597">INDEX(Sm,G597)</f>
        <v>1.3733706304072995</v>
      </c>
      <c r="L597" s="7">
        <f t="shared" si="49"/>
        <v>386.74481974830104</v>
      </c>
      <c r="M597" s="7">
        <f t="shared" si="50"/>
        <v>-0.91481974830105628</v>
      </c>
    </row>
    <row r="598" spans="6:13" ht="18.75" customHeight="1">
      <c r="F598" s="1">
        <v>39539</v>
      </c>
      <c r="G598">
        <f t="shared" si="47"/>
        <v>4</v>
      </c>
      <c r="H598" s="7">
        <v>386.77</v>
      </c>
      <c r="I598" s="7">
        <f t="shared" si="46"/>
        <v>385.54716246022434</v>
      </c>
      <c r="J598" s="7">
        <f t="shared" si="48"/>
        <v>1.2228375397756395</v>
      </c>
      <c r="K598" s="7" cm="1">
        <f t="array" ref="K598">INDEX(Sm,G598)</f>
        <v>2.6099183412742755</v>
      </c>
      <c r="L598" s="7">
        <f t="shared" si="49"/>
        <v>388.15708080149864</v>
      </c>
      <c r="M598" s="7">
        <f t="shared" si="50"/>
        <v>-1.3870808014986551</v>
      </c>
    </row>
    <row r="599" spans="6:13" ht="18.75" customHeight="1">
      <c r="F599" s="1">
        <v>39569</v>
      </c>
      <c r="G599">
        <f t="shared" si="47"/>
        <v>5</v>
      </c>
      <c r="H599" s="7">
        <v>388.51</v>
      </c>
      <c r="I599" s="7">
        <f t="shared" si="46"/>
        <v>385.71738705680036</v>
      </c>
      <c r="J599" s="7">
        <f t="shared" si="48"/>
        <v>2.7926129431996287</v>
      </c>
      <c r="K599" s="7" cm="1">
        <f t="array" ref="K599">INDEX(Sm,G599)</f>
        <v>3.065291801195754</v>
      </c>
      <c r="L599" s="7">
        <f t="shared" si="49"/>
        <v>388.78267885799613</v>
      </c>
      <c r="M599" s="7">
        <f t="shared" si="50"/>
        <v>-0.27267885799614078</v>
      </c>
    </row>
    <row r="600" spans="6:13" ht="18.75" customHeight="1">
      <c r="F600" s="1">
        <v>39600</v>
      </c>
      <c r="G600">
        <f t="shared" si="47"/>
        <v>6</v>
      </c>
      <c r="H600" s="7">
        <v>388.05</v>
      </c>
      <c r="I600" s="7">
        <f t="shared" si="46"/>
        <v>385.89347121406024</v>
      </c>
      <c r="J600" s="7">
        <f t="shared" si="48"/>
        <v>2.1565287859397699</v>
      </c>
      <c r="K600" s="7" cm="1">
        <f t="array" ref="K600">INDEX(Sm,G600)</f>
        <v>2.3463851222642056</v>
      </c>
      <c r="L600" s="7">
        <f t="shared" si="49"/>
        <v>388.23985633632446</v>
      </c>
      <c r="M600" s="7">
        <f t="shared" si="50"/>
        <v>-0.18985633632445342</v>
      </c>
    </row>
    <row r="601" spans="6:13" ht="18.75" customHeight="1">
      <c r="F601" s="1">
        <v>39630</v>
      </c>
      <c r="G601">
        <f t="shared" si="47"/>
        <v>7</v>
      </c>
      <c r="H601" s="7">
        <v>386.25</v>
      </c>
      <c r="I601" s="7">
        <f t="shared" si="46"/>
        <v>386.06405466379363</v>
      </c>
      <c r="J601" s="7">
        <f t="shared" si="48"/>
        <v>0.18594533620637321</v>
      </c>
      <c r="K601" s="7" cm="1">
        <f t="array" ref="K601">INDEX(Sm,G601)</f>
        <v>0.72334113060077332</v>
      </c>
      <c r="L601" s="7">
        <f t="shared" si="49"/>
        <v>386.7873957943944</v>
      </c>
      <c r="M601" s="7">
        <f t="shared" si="50"/>
        <v>-0.53739579439439922</v>
      </c>
    </row>
    <row r="602" spans="6:13" ht="18.75" customHeight="1">
      <c r="F602" s="1">
        <v>39661</v>
      </c>
      <c r="G602">
        <f t="shared" si="47"/>
        <v>8</v>
      </c>
      <c r="H602" s="7">
        <v>384.08</v>
      </c>
      <c r="I602" s="7">
        <f t="shared" si="46"/>
        <v>386.24050963598285</v>
      </c>
      <c r="J602" s="7">
        <f t="shared" si="48"/>
        <v>-2.1605096359828622</v>
      </c>
      <c r="K602" s="7" cm="1">
        <f t="array" ref="K602">INDEX(Sm,G602)</f>
        <v>-1.3975570061157723</v>
      </c>
      <c r="L602" s="7">
        <f t="shared" si="49"/>
        <v>384.84295262986706</v>
      </c>
      <c r="M602" s="7">
        <f t="shared" si="50"/>
        <v>-0.76295262986707257</v>
      </c>
    </row>
    <row r="603" spans="6:13" ht="18.75" customHeight="1">
      <c r="F603" s="1">
        <v>39692</v>
      </c>
      <c r="G603">
        <f t="shared" si="47"/>
        <v>9</v>
      </c>
      <c r="H603" s="7">
        <v>383.09</v>
      </c>
      <c r="I603" s="7">
        <f t="shared" si="46"/>
        <v>386.41715305510337</v>
      </c>
      <c r="J603" s="7">
        <f t="shared" si="48"/>
        <v>-3.3271530551033948</v>
      </c>
      <c r="K603" s="7" cm="1">
        <f t="array" ref="K603">INDEX(Sm,G603)</f>
        <v>-3.1934822994410497</v>
      </c>
      <c r="L603" s="7">
        <f t="shared" si="49"/>
        <v>383.22367075566234</v>
      </c>
      <c r="M603" s="7">
        <f t="shared" si="50"/>
        <v>-0.13367075566236508</v>
      </c>
    </row>
    <row r="604" spans="6:13" ht="18.75" customHeight="1">
      <c r="F604" s="1">
        <v>39722</v>
      </c>
      <c r="G604">
        <f t="shared" si="47"/>
        <v>10</v>
      </c>
      <c r="H604" s="7">
        <v>382.78</v>
      </c>
      <c r="I604" s="7">
        <f t="shared" si="46"/>
        <v>386.58827772599227</v>
      </c>
      <c r="J604" s="7">
        <f t="shared" si="48"/>
        <v>-3.8082777259922977</v>
      </c>
      <c r="K604" s="7" cm="1">
        <f t="array" ref="K604">INDEX(Sm,G604)</f>
        <v>-3.3368150874962788</v>
      </c>
      <c r="L604" s="7">
        <f t="shared" si="49"/>
        <v>383.25146263849598</v>
      </c>
      <c r="M604" s="7">
        <f t="shared" si="50"/>
        <v>-0.471462638496007</v>
      </c>
    </row>
    <row r="605" spans="6:13" ht="18.75" customHeight="1">
      <c r="F605" s="1">
        <v>39753</v>
      </c>
      <c r="G605">
        <f t="shared" si="47"/>
        <v>11</v>
      </c>
      <c r="H605" s="7">
        <v>384.01</v>
      </c>
      <c r="I605" s="7">
        <f t="shared" si="46"/>
        <v>386.76529196004213</v>
      </c>
      <c r="J605" s="7">
        <f t="shared" si="48"/>
        <v>-2.7552919600421433</v>
      </c>
      <c r="K605" s="7" cm="1">
        <f t="array" ref="K605">INDEX(Sm,G605)</f>
        <v>-2.0591623324975612</v>
      </c>
      <c r="L605" s="7">
        <f t="shared" si="49"/>
        <v>384.70612962754456</v>
      </c>
      <c r="M605" s="7">
        <f t="shared" si="50"/>
        <v>-0.69612962754456476</v>
      </c>
    </row>
    <row r="606" spans="6:13" ht="18.75" customHeight="1">
      <c r="F606" s="1">
        <v>39783</v>
      </c>
      <c r="G606">
        <f t="shared" si="47"/>
        <v>12</v>
      </c>
      <c r="H606" s="7">
        <v>385.11</v>
      </c>
      <c r="I606" s="7">
        <f t="shared" si="46"/>
        <v>386.9367754840884</v>
      </c>
      <c r="J606" s="7">
        <f t="shared" si="48"/>
        <v>-1.8267754840883867</v>
      </c>
      <c r="K606" s="7" cm="1">
        <f t="array" ref="K606">INDEX(Sm,G606)</f>
        <v>-0.89132446529561371</v>
      </c>
      <c r="L606" s="7">
        <f t="shared" si="49"/>
        <v>386.04545101879279</v>
      </c>
      <c r="M606" s="7">
        <f t="shared" si="50"/>
        <v>-0.93545101879277581</v>
      </c>
    </row>
    <row r="607" spans="6:13" ht="18.75" customHeight="1">
      <c r="F607" s="1">
        <v>39814</v>
      </c>
      <c r="G607">
        <f t="shared" si="47"/>
        <v>1</v>
      </c>
      <c r="H607" s="7">
        <v>386.65</v>
      </c>
      <c r="I607" s="7">
        <f t="shared" si="46"/>
        <v>387.1141605330676</v>
      </c>
      <c r="J607" s="7">
        <f t="shared" si="48"/>
        <v>-0.46416053306762706</v>
      </c>
      <c r="K607" s="7" cm="1">
        <f t="array" ref="K607">INDEX(Sm,G607)</f>
        <v>6.1040869584970889E-2</v>
      </c>
      <c r="L607" s="7">
        <f t="shared" si="49"/>
        <v>387.17520140265259</v>
      </c>
      <c r="M607" s="7">
        <f t="shared" si="50"/>
        <v>-0.52520140265261261</v>
      </c>
    </row>
    <row r="608" spans="6:13" ht="18.75" customHeight="1">
      <c r="F608" s="1">
        <v>39845</v>
      </c>
      <c r="G608">
        <f t="shared" si="47"/>
        <v>2</v>
      </c>
      <c r="H608" s="7">
        <v>387.12</v>
      </c>
      <c r="I608" s="7">
        <f t="shared" si="46"/>
        <v>387.29173402897806</v>
      </c>
      <c r="J608" s="7">
        <f t="shared" si="48"/>
        <v>-0.1717340289780509</v>
      </c>
      <c r="K608" s="7" cm="1">
        <f t="array" ref="K608">INDEX(Sm,G608)</f>
        <v>0.69421564520236412</v>
      </c>
      <c r="L608" s="7">
        <f t="shared" si="49"/>
        <v>387.9859496741804</v>
      </c>
      <c r="M608" s="7">
        <f t="shared" si="50"/>
        <v>-0.86594967418039914</v>
      </c>
    </row>
    <row r="609" spans="6:13" ht="18.75" customHeight="1">
      <c r="F609" s="1">
        <v>39873</v>
      </c>
      <c r="G609">
        <f t="shared" si="47"/>
        <v>3</v>
      </c>
      <c r="H609" s="7">
        <v>388.52</v>
      </c>
      <c r="I609" s="7">
        <f t="shared" si="46"/>
        <v>387.45228496718363</v>
      </c>
      <c r="J609" s="7">
        <f t="shared" si="48"/>
        <v>1.067715032816352</v>
      </c>
      <c r="K609" s="7" cm="1">
        <f t="array" ref="K609">INDEX(Sm,G609)</f>
        <v>1.3733706304072995</v>
      </c>
      <c r="L609" s="7">
        <f t="shared" si="49"/>
        <v>388.82565559759092</v>
      </c>
      <c r="M609" s="7">
        <f t="shared" si="50"/>
        <v>-0.30565559759094185</v>
      </c>
    </row>
    <row r="610" spans="6:13" ht="18.75" customHeight="1">
      <c r="F610" s="1">
        <v>39904</v>
      </c>
      <c r="G610">
        <f t="shared" si="47"/>
        <v>4</v>
      </c>
      <c r="H610" s="7">
        <v>389.57</v>
      </c>
      <c r="I610" s="7">
        <f t="shared" si="46"/>
        <v>387.63021712015694</v>
      </c>
      <c r="J610" s="7">
        <f t="shared" si="48"/>
        <v>1.939782879843051</v>
      </c>
      <c r="K610" s="7" cm="1">
        <f t="array" ref="K610">INDEX(Sm,G610)</f>
        <v>2.6099183412742755</v>
      </c>
      <c r="L610" s="7">
        <f t="shared" si="49"/>
        <v>390.24013546143124</v>
      </c>
      <c r="M610" s="7">
        <f t="shared" si="50"/>
        <v>-0.67013546143124358</v>
      </c>
    </row>
    <row r="611" spans="6:13" ht="18.75" customHeight="1">
      <c r="F611" s="1">
        <v>39934</v>
      </c>
      <c r="G611">
        <f t="shared" si="47"/>
        <v>5</v>
      </c>
      <c r="H611" s="7">
        <v>390.17</v>
      </c>
      <c r="I611" s="7">
        <f t="shared" si="46"/>
        <v>387.80258895283879</v>
      </c>
      <c r="J611" s="7">
        <f t="shared" si="48"/>
        <v>2.3674110471612266</v>
      </c>
      <c r="K611" s="7" cm="1">
        <f t="array" ref="K611">INDEX(Sm,G611)</f>
        <v>3.065291801195754</v>
      </c>
      <c r="L611" s="7">
        <f t="shared" si="49"/>
        <v>390.86788075403456</v>
      </c>
      <c r="M611" s="7">
        <f t="shared" si="50"/>
        <v>-0.69788075403454286</v>
      </c>
    </row>
    <row r="612" spans="6:13" ht="18.75" customHeight="1">
      <c r="F612" s="1">
        <v>39965</v>
      </c>
      <c r="G612">
        <f t="shared" si="47"/>
        <v>6</v>
      </c>
      <c r="H612" s="7">
        <v>389.62</v>
      </c>
      <c r="I612" s="7">
        <f t="shared" si="46"/>
        <v>387.98089192074144</v>
      </c>
      <c r="J612" s="7">
        <f t="shared" si="48"/>
        <v>1.6391080792585626</v>
      </c>
      <c r="K612" s="7" cm="1">
        <f t="array" ref="K612">INDEX(Sm,G612)</f>
        <v>2.3463851222642056</v>
      </c>
      <c r="L612" s="7">
        <f t="shared" si="49"/>
        <v>390.32727704300567</v>
      </c>
      <c r="M612" s="7">
        <f t="shared" si="50"/>
        <v>-0.70727704300566074</v>
      </c>
    </row>
    <row r="613" spans="6:13" ht="18.75" customHeight="1">
      <c r="F613" s="1">
        <v>39995</v>
      </c>
      <c r="G613">
        <f t="shared" si="47"/>
        <v>7</v>
      </c>
      <c r="H613" s="7">
        <v>388.07</v>
      </c>
      <c r="I613" s="7">
        <f t="shared" si="46"/>
        <v>388.15362260658071</v>
      </c>
      <c r="J613" s="7">
        <f t="shared" si="48"/>
        <v>-8.3622606580718184E-2</v>
      </c>
      <c r="K613" s="7" cm="1">
        <f t="array" ref="K613">INDEX(Sm,G613)</f>
        <v>0.72334113060077332</v>
      </c>
      <c r="L613" s="7">
        <f t="shared" si="49"/>
        <v>388.87696373718148</v>
      </c>
      <c r="M613" s="7">
        <f t="shared" si="50"/>
        <v>-0.80696373718149061</v>
      </c>
    </row>
    <row r="614" spans="6:13" ht="18.75" customHeight="1">
      <c r="F614" s="1">
        <v>40026</v>
      </c>
      <c r="G614">
        <f t="shared" si="47"/>
        <v>8</v>
      </c>
      <c r="H614" s="7">
        <v>386.08</v>
      </c>
      <c r="I614" s="7">
        <f t="shared" si="46"/>
        <v>388.33229638941265</v>
      </c>
      <c r="J614" s="7">
        <f t="shared" si="48"/>
        <v>-2.2522963894126633</v>
      </c>
      <c r="K614" s="7" cm="1">
        <f t="array" ref="K614">INDEX(Sm,G614)</f>
        <v>-1.3975570061157723</v>
      </c>
      <c r="L614" s="7">
        <f t="shared" si="49"/>
        <v>386.93473938329686</v>
      </c>
      <c r="M614" s="7">
        <f t="shared" si="50"/>
        <v>-0.85473938329687371</v>
      </c>
    </row>
    <row r="615" spans="6:13" ht="18.75" customHeight="1">
      <c r="F615" s="1">
        <v>40057</v>
      </c>
      <c r="G615">
        <f t="shared" si="47"/>
        <v>9</v>
      </c>
      <c r="H615" s="7">
        <v>384.65</v>
      </c>
      <c r="I615" s="7">
        <f t="shared" si="46"/>
        <v>388.51115861917589</v>
      </c>
      <c r="J615" s="7">
        <f t="shared" si="48"/>
        <v>-3.8611586191759102</v>
      </c>
      <c r="K615" s="7" cm="1">
        <f t="array" ref="K615">INDEX(Sm,G615)</f>
        <v>-3.1934822994410497</v>
      </c>
      <c r="L615" s="7">
        <f t="shared" si="49"/>
        <v>385.31767631973486</v>
      </c>
      <c r="M615" s="7">
        <f t="shared" si="50"/>
        <v>-0.66767631973488051</v>
      </c>
    </row>
    <row r="616" spans="6:13" ht="18.75" customHeight="1">
      <c r="F616" s="1">
        <v>40087</v>
      </c>
      <c r="G616">
        <f t="shared" si="47"/>
        <v>10</v>
      </c>
      <c r="H616" s="7">
        <v>384.33</v>
      </c>
      <c r="I616" s="7">
        <f t="shared" si="46"/>
        <v>388.68443052617067</v>
      </c>
      <c r="J616" s="7">
        <f t="shared" si="48"/>
        <v>-4.3544305261706882</v>
      </c>
      <c r="K616" s="7" cm="1">
        <f t="array" ref="K616">INDEX(Sm,G616)</f>
        <v>-3.3368150874962788</v>
      </c>
      <c r="L616" s="7">
        <f t="shared" si="49"/>
        <v>385.34761543867438</v>
      </c>
      <c r="M616" s="7">
        <f t="shared" si="50"/>
        <v>-1.0176154386743974</v>
      </c>
    </row>
    <row r="617" spans="6:13" ht="18.75" customHeight="1">
      <c r="F617" s="1">
        <v>40118</v>
      </c>
      <c r="G617">
        <f t="shared" si="47"/>
        <v>11</v>
      </c>
      <c r="H617" s="7">
        <v>386.05</v>
      </c>
      <c r="I617" s="7">
        <f t="shared" si="46"/>
        <v>388.8636635708632</v>
      </c>
      <c r="J617" s="7">
        <f t="shared" si="48"/>
        <v>-2.8136635708631843</v>
      </c>
      <c r="K617" s="7" cm="1">
        <f t="array" ref="K617">INDEX(Sm,G617)</f>
        <v>-2.0591623324975612</v>
      </c>
      <c r="L617" s="7">
        <f t="shared" si="49"/>
        <v>386.80450123836562</v>
      </c>
      <c r="M617" s="7">
        <f t="shared" si="50"/>
        <v>-0.75450123836560579</v>
      </c>
    </row>
    <row r="618" spans="6:13" ht="18.75" customHeight="1">
      <c r="F618" s="1">
        <v>40148</v>
      </c>
      <c r="G618">
        <f t="shared" si="47"/>
        <v>12</v>
      </c>
      <c r="H618" s="7">
        <v>387.49</v>
      </c>
      <c r="I618" s="7">
        <f t="shared" si="46"/>
        <v>389.0372943310154</v>
      </c>
      <c r="J618" s="7">
        <f t="shared" si="48"/>
        <v>-1.5472943310153937</v>
      </c>
      <c r="K618" s="7" cm="1">
        <f t="array" ref="K618">INDEX(Sm,G618)</f>
        <v>-0.89132446529561371</v>
      </c>
      <c r="L618" s="7">
        <f t="shared" si="49"/>
        <v>388.14596986571979</v>
      </c>
      <c r="M618" s="7">
        <f t="shared" si="50"/>
        <v>-0.65596986571978277</v>
      </c>
    </row>
    <row r="619" spans="6:13" ht="18.75" customHeight="1">
      <c r="F619" s="1">
        <v>40179</v>
      </c>
      <c r="G619">
        <f t="shared" si="47"/>
        <v>1</v>
      </c>
      <c r="H619" s="7">
        <v>388.55</v>
      </c>
      <c r="I619" s="7">
        <f t="shared" si="46"/>
        <v>389.21689819063732</v>
      </c>
      <c r="J619" s="7">
        <f t="shared" si="48"/>
        <v>-0.66689819063731193</v>
      </c>
      <c r="K619" s="7" cm="1">
        <f t="array" ref="K619">INDEX(Sm,G619)</f>
        <v>6.1040869584970889E-2</v>
      </c>
      <c r="L619" s="7">
        <f t="shared" si="49"/>
        <v>389.27793906022231</v>
      </c>
      <c r="M619" s="7">
        <f t="shared" si="50"/>
        <v>-0.72793906022229748</v>
      </c>
    </row>
    <row r="620" spans="6:13" ht="18.75" customHeight="1">
      <c r="F620" s="1">
        <v>40210</v>
      </c>
      <c r="G620">
        <f t="shared" si="47"/>
        <v>2</v>
      </c>
      <c r="H620" s="7">
        <v>390.08</v>
      </c>
      <c r="I620" s="7">
        <f t="shared" si="46"/>
        <v>389.39669049719055</v>
      </c>
      <c r="J620" s="7">
        <f t="shared" si="48"/>
        <v>0.68330950280943625</v>
      </c>
      <c r="K620" s="7" cm="1">
        <f t="array" ref="K620">INDEX(Sm,G620)</f>
        <v>0.69421564520236412</v>
      </c>
      <c r="L620" s="7">
        <f t="shared" si="49"/>
        <v>390.0909061423929</v>
      </c>
      <c r="M620" s="7">
        <f t="shared" si="50"/>
        <v>-1.0906142392911988E-2</v>
      </c>
    </row>
    <row r="621" spans="6:13" ht="18.75" customHeight="1">
      <c r="F621" s="1">
        <v>40238</v>
      </c>
      <c r="G621">
        <f t="shared" si="47"/>
        <v>3</v>
      </c>
      <c r="H621" s="7">
        <v>391.01</v>
      </c>
      <c r="I621" s="7">
        <f t="shared" si="46"/>
        <v>389.55924552242823</v>
      </c>
      <c r="J621" s="7">
        <f t="shared" si="48"/>
        <v>1.4507544775717633</v>
      </c>
      <c r="K621" s="7" cm="1">
        <f t="array" ref="K621">INDEX(Sm,G621)</f>
        <v>1.3733706304072995</v>
      </c>
      <c r="L621" s="7">
        <f t="shared" si="49"/>
        <v>390.93261615283552</v>
      </c>
      <c r="M621" s="7">
        <f t="shared" si="50"/>
        <v>7.7383847164469444E-2</v>
      </c>
    </row>
    <row r="622" spans="6:13" ht="18.75" customHeight="1">
      <c r="F622" s="1">
        <v>40269</v>
      </c>
      <c r="G622">
        <f t="shared" si="47"/>
        <v>4</v>
      </c>
      <c r="H622" s="7">
        <v>392.38</v>
      </c>
      <c r="I622" s="7">
        <f t="shared" si="46"/>
        <v>389.73939648604426</v>
      </c>
      <c r="J622" s="7">
        <f t="shared" si="48"/>
        <v>2.6406035139557389</v>
      </c>
      <c r="K622" s="7" cm="1">
        <f t="array" ref="K622">INDEX(Sm,G622)</f>
        <v>2.6099183412742755</v>
      </c>
      <c r="L622" s="7">
        <f t="shared" si="49"/>
        <v>392.34931482731855</v>
      </c>
      <c r="M622" s="7">
        <f t="shared" si="50"/>
        <v>3.0685172681444328E-2</v>
      </c>
    </row>
    <row r="623" spans="6:13" ht="18.75" customHeight="1">
      <c r="F623" s="1">
        <v>40299</v>
      </c>
      <c r="G623">
        <f t="shared" si="47"/>
        <v>5</v>
      </c>
      <c r="H623" s="7">
        <v>393.22</v>
      </c>
      <c r="I623" s="7">
        <f t="shared" si="46"/>
        <v>389.91391555483199</v>
      </c>
      <c r="J623" s="7">
        <f t="shared" si="48"/>
        <v>3.3060844451680396</v>
      </c>
      <c r="K623" s="7" cm="1">
        <f t="array" ref="K623">INDEX(Sm,G623)</f>
        <v>3.065291801195754</v>
      </c>
      <c r="L623" s="7">
        <f t="shared" si="49"/>
        <v>392.97920735602776</v>
      </c>
      <c r="M623" s="7">
        <f t="shared" si="50"/>
        <v>0.24079264397227007</v>
      </c>
    </row>
    <row r="624" spans="6:13" ht="18.75" customHeight="1">
      <c r="F624" s="1">
        <v>40330</v>
      </c>
      <c r="G624">
        <f t="shared" si="47"/>
        <v>6</v>
      </c>
      <c r="H624" s="7">
        <v>392.24</v>
      </c>
      <c r="I624" s="7">
        <f t="shared" si="46"/>
        <v>390.09443733337736</v>
      </c>
      <c r="J624" s="7">
        <f t="shared" si="48"/>
        <v>2.1455626666226522</v>
      </c>
      <c r="K624" s="7" cm="1">
        <f t="array" ref="K624">INDEX(Sm,G624)</f>
        <v>2.3463851222642056</v>
      </c>
      <c r="L624" s="7">
        <f t="shared" si="49"/>
        <v>392.44082245564158</v>
      </c>
      <c r="M624" s="7">
        <f t="shared" si="50"/>
        <v>-0.2008224556415712</v>
      </c>
    </row>
    <row r="625" spans="6:13" ht="18.75" customHeight="1">
      <c r="F625" s="1">
        <v>40360</v>
      </c>
      <c r="G625">
        <f t="shared" si="47"/>
        <v>7</v>
      </c>
      <c r="H625" s="7">
        <v>390.33</v>
      </c>
      <c r="I625" s="7">
        <f t="shared" si="46"/>
        <v>390.26931525532251</v>
      </c>
      <c r="J625" s="7">
        <f t="shared" si="48"/>
        <v>6.0684744677473645E-2</v>
      </c>
      <c r="K625" s="7" cm="1">
        <f t="array" ref="K625">INDEX(Sm,G625)</f>
        <v>0.72334113060077332</v>
      </c>
      <c r="L625" s="7">
        <f t="shared" si="49"/>
        <v>390.99265638592328</v>
      </c>
      <c r="M625" s="7">
        <f t="shared" si="50"/>
        <v>-0.66265638592329879</v>
      </c>
    </row>
    <row r="626" spans="6:13" ht="18.75" customHeight="1">
      <c r="F626" s="1">
        <v>40391</v>
      </c>
      <c r="G626">
        <f t="shared" si="47"/>
        <v>8</v>
      </c>
      <c r="H626" s="7">
        <v>388.52</v>
      </c>
      <c r="I626" s="7">
        <f t="shared" si="46"/>
        <v>390.45020784879716</v>
      </c>
      <c r="J626" s="7">
        <f t="shared" si="48"/>
        <v>-1.9302078487971812</v>
      </c>
      <c r="K626" s="7" cm="1">
        <f t="array" ref="K626">INDEX(Sm,G626)</f>
        <v>-1.3975570061157723</v>
      </c>
      <c r="L626" s="7">
        <f t="shared" si="49"/>
        <v>389.05265084268137</v>
      </c>
      <c r="M626" s="7">
        <f t="shared" si="50"/>
        <v>-0.53265084268139162</v>
      </c>
    </row>
    <row r="627" spans="6:13" ht="18.75" customHeight="1">
      <c r="F627" s="1">
        <v>40422</v>
      </c>
      <c r="G627">
        <f t="shared" si="47"/>
        <v>9</v>
      </c>
      <c r="H627" s="7">
        <v>386.84</v>
      </c>
      <c r="I627" s="7">
        <f t="shared" si="46"/>
        <v>390.63128888920318</v>
      </c>
      <c r="J627" s="7">
        <f t="shared" si="48"/>
        <v>-3.7912888892032015</v>
      </c>
      <c r="K627" s="7" cm="1">
        <f t="array" ref="K627">INDEX(Sm,G627)</f>
        <v>-3.1934822994410497</v>
      </c>
      <c r="L627" s="7">
        <f t="shared" si="49"/>
        <v>387.43780658976215</v>
      </c>
      <c r="M627" s="7">
        <f t="shared" si="50"/>
        <v>-0.59780658976217182</v>
      </c>
    </row>
    <row r="628" spans="6:13" ht="18.75" customHeight="1">
      <c r="F628" s="1">
        <v>40452</v>
      </c>
      <c r="G628">
        <f t="shared" si="47"/>
        <v>10</v>
      </c>
      <c r="H628" s="7">
        <v>387.16</v>
      </c>
      <c r="I628" s="7">
        <f t="shared" si="46"/>
        <v>390.80670803230373</v>
      </c>
      <c r="J628" s="7">
        <f t="shared" si="48"/>
        <v>-3.6467080323037067</v>
      </c>
      <c r="K628" s="7" cm="1">
        <f t="array" ref="K628">INDEX(Sm,G628)</f>
        <v>-3.3368150874962788</v>
      </c>
      <c r="L628" s="7">
        <f t="shared" si="49"/>
        <v>387.46989294480744</v>
      </c>
      <c r="M628" s="7">
        <f t="shared" si="50"/>
        <v>-0.30989294480741592</v>
      </c>
    </row>
    <row r="629" spans="6:13" ht="18.75" customHeight="1">
      <c r="F629" s="1">
        <v>40483</v>
      </c>
      <c r="G629">
        <f t="shared" si="47"/>
        <v>11</v>
      </c>
      <c r="H629" s="7">
        <v>388.67</v>
      </c>
      <c r="I629" s="7">
        <f t="shared" si="46"/>
        <v>390.98815988763909</v>
      </c>
      <c r="J629" s="7">
        <f t="shared" si="48"/>
        <v>-2.3181598876390694</v>
      </c>
      <c r="K629" s="7" cm="1">
        <f t="array" ref="K629">INDEX(Sm,G629)</f>
        <v>-2.0591623324975612</v>
      </c>
      <c r="L629" s="7">
        <f t="shared" si="49"/>
        <v>388.92899755514151</v>
      </c>
      <c r="M629" s="7">
        <f t="shared" si="50"/>
        <v>-0.25899755514149092</v>
      </c>
    </row>
    <row r="630" spans="6:13" ht="18.75" customHeight="1">
      <c r="F630" s="1">
        <v>40513</v>
      </c>
      <c r="G630">
        <f t="shared" si="47"/>
        <v>12</v>
      </c>
      <c r="H630" s="7">
        <v>389.81</v>
      </c>
      <c r="I630" s="7">
        <f t="shared" si="46"/>
        <v>391.16393788389712</v>
      </c>
      <c r="J630" s="7">
        <f t="shared" si="48"/>
        <v>-1.3539378838971174</v>
      </c>
      <c r="K630" s="7" cm="1">
        <f t="array" ref="K630">INDEX(Sm,G630)</f>
        <v>-0.89132446529561371</v>
      </c>
      <c r="L630" s="7">
        <f t="shared" si="49"/>
        <v>390.27261341860151</v>
      </c>
      <c r="M630" s="7">
        <f t="shared" si="50"/>
        <v>-0.46261341860150651</v>
      </c>
    </row>
    <row r="631" spans="6:13" ht="18.75" customHeight="1">
      <c r="F631" s="1">
        <v>40544</v>
      </c>
      <c r="G631">
        <f t="shared" si="47"/>
        <v>1</v>
      </c>
      <c r="H631" s="7">
        <v>391.3</v>
      </c>
      <c r="I631" s="7">
        <f t="shared" si="46"/>
        <v>391.34576055416176</v>
      </c>
      <c r="J631" s="7">
        <f t="shared" si="48"/>
        <v>-4.5760554161745404E-2</v>
      </c>
      <c r="K631" s="7" cm="1">
        <f t="array" ref="K631">INDEX(Sm,G631)</f>
        <v>6.1040869584970889E-2</v>
      </c>
      <c r="L631" s="7">
        <f t="shared" si="49"/>
        <v>391.40680142374674</v>
      </c>
      <c r="M631" s="7">
        <f t="shared" si="50"/>
        <v>-0.10680142374673096</v>
      </c>
    </row>
    <row r="632" spans="6:13" ht="18.75" customHeight="1">
      <c r="F632" s="1">
        <v>40575</v>
      </c>
      <c r="G632">
        <f t="shared" si="47"/>
        <v>2</v>
      </c>
      <c r="H632" s="7">
        <v>391.92</v>
      </c>
      <c r="I632" s="7">
        <f t="shared" si="46"/>
        <v>391.5277716713577</v>
      </c>
      <c r="J632" s="7">
        <f t="shared" si="48"/>
        <v>0.39222832864231805</v>
      </c>
      <c r="K632" s="7" cm="1">
        <f t="array" ref="K632">INDEX(Sm,G632)</f>
        <v>0.69421564520236412</v>
      </c>
      <c r="L632" s="7">
        <f t="shared" si="49"/>
        <v>392.22198731656005</v>
      </c>
      <c r="M632" s="7">
        <f t="shared" si="50"/>
        <v>-0.30198731656003019</v>
      </c>
    </row>
    <row r="633" spans="6:13" ht="18.75" customHeight="1">
      <c r="F633" s="1">
        <v>40603</v>
      </c>
      <c r="G633">
        <f t="shared" si="47"/>
        <v>3</v>
      </c>
      <c r="H633" s="7">
        <v>392.45</v>
      </c>
      <c r="I633" s="7">
        <f t="shared" si="46"/>
        <v>391.69233078362754</v>
      </c>
      <c r="J633" s="7">
        <f t="shared" si="48"/>
        <v>0.75766921637244877</v>
      </c>
      <c r="K633" s="7" cm="1">
        <f t="array" ref="K633">INDEX(Sm,G633)</f>
        <v>1.3733706304072995</v>
      </c>
      <c r="L633" s="7">
        <f t="shared" si="49"/>
        <v>393.06570141403483</v>
      </c>
      <c r="M633" s="7">
        <f t="shared" si="50"/>
        <v>-0.61570141403484513</v>
      </c>
    </row>
    <row r="634" spans="6:13" ht="18.75" customHeight="1">
      <c r="F634" s="1">
        <v>40634</v>
      </c>
      <c r="G634">
        <f t="shared" si="47"/>
        <v>4</v>
      </c>
      <c r="H634" s="7">
        <v>393.37</v>
      </c>
      <c r="I634" s="7">
        <f t="shared" si="46"/>
        <v>391.87470055788629</v>
      </c>
      <c r="J634" s="7">
        <f t="shared" si="48"/>
        <v>1.4952994421137191</v>
      </c>
      <c r="K634" s="7" cm="1">
        <f t="array" ref="K634">INDEX(Sm,G634)</f>
        <v>2.6099183412742755</v>
      </c>
      <c r="L634" s="7">
        <f t="shared" si="49"/>
        <v>394.48461889916058</v>
      </c>
      <c r="M634" s="7">
        <f t="shared" si="50"/>
        <v>-1.1146188991605754</v>
      </c>
    </row>
    <row r="635" spans="6:13" ht="18.75" customHeight="1">
      <c r="F635" s="1">
        <v>40664</v>
      </c>
      <c r="G635">
        <f t="shared" si="47"/>
        <v>5</v>
      </c>
      <c r="H635" s="7">
        <v>394.28</v>
      </c>
      <c r="I635" s="7">
        <f t="shared" si="46"/>
        <v>392.0513668627799</v>
      </c>
      <c r="J635" s="7">
        <f t="shared" si="48"/>
        <v>2.2286331372200721</v>
      </c>
      <c r="K635" s="7" cm="1">
        <f t="array" ref="K635">INDEX(Sm,G635)</f>
        <v>3.065291801195754</v>
      </c>
      <c r="L635" s="7">
        <f t="shared" si="49"/>
        <v>395.11665866397567</v>
      </c>
      <c r="M635" s="7">
        <f t="shared" si="50"/>
        <v>-0.83665866397569744</v>
      </c>
    </row>
    <row r="636" spans="6:13" ht="18.75" customHeight="1">
      <c r="F636" s="1">
        <v>40695</v>
      </c>
      <c r="G636">
        <f t="shared" si="47"/>
        <v>6</v>
      </c>
      <c r="H636" s="7">
        <v>393.69</v>
      </c>
      <c r="I636" s="7">
        <f t="shared" si="46"/>
        <v>392.23410745196799</v>
      </c>
      <c r="J636" s="7">
        <f t="shared" si="48"/>
        <v>1.4558925480320113</v>
      </c>
      <c r="K636" s="7" cm="1">
        <f t="array" ref="K636">INDEX(Sm,G636)</f>
        <v>2.3463851222642056</v>
      </c>
      <c r="L636" s="7">
        <f t="shared" si="49"/>
        <v>394.58049257423221</v>
      </c>
      <c r="M636" s="7">
        <f t="shared" si="50"/>
        <v>-0.89049257423221206</v>
      </c>
    </row>
    <row r="637" spans="6:13" ht="18.75" customHeight="1">
      <c r="F637" s="1">
        <v>40725</v>
      </c>
      <c r="G637">
        <f t="shared" si="47"/>
        <v>7</v>
      </c>
      <c r="H637" s="7">
        <v>392.59</v>
      </c>
      <c r="I637" s="7">
        <f t="shared" si="46"/>
        <v>392.41113261001902</v>
      </c>
      <c r="J637" s="7">
        <f t="shared" si="48"/>
        <v>0.17886738998095097</v>
      </c>
      <c r="K637" s="7" cm="1">
        <f t="array" ref="K637">INDEX(Sm,G637)</f>
        <v>0.72334113060077332</v>
      </c>
      <c r="L637" s="7">
        <f t="shared" si="49"/>
        <v>393.1344737406198</v>
      </c>
      <c r="M637" s="7">
        <f t="shared" si="50"/>
        <v>-0.54447374061982146</v>
      </c>
    </row>
    <row r="638" spans="6:13" ht="18.75" customHeight="1">
      <c r="F638" s="1">
        <v>40756</v>
      </c>
      <c r="G638">
        <f t="shared" si="47"/>
        <v>8</v>
      </c>
      <c r="H638" s="7">
        <v>390.21</v>
      </c>
      <c r="I638" s="7">
        <f t="shared" si="46"/>
        <v>392.59424401413639</v>
      </c>
      <c r="J638" s="7">
        <f t="shared" si="48"/>
        <v>-2.3842440141364136</v>
      </c>
      <c r="K638" s="7" cm="1">
        <f t="array" ref="K638">INDEX(Sm,G638)</f>
        <v>-1.3975570061157723</v>
      </c>
      <c r="L638" s="7">
        <f t="shared" si="49"/>
        <v>391.1966870080206</v>
      </c>
      <c r="M638" s="7">
        <f t="shared" si="50"/>
        <v>-0.98668700802062403</v>
      </c>
    </row>
    <row r="639" spans="6:13" ht="18.75" customHeight="1">
      <c r="F639" s="1">
        <v>40787</v>
      </c>
      <c r="G639">
        <f t="shared" si="47"/>
        <v>9</v>
      </c>
      <c r="H639" s="7">
        <v>389</v>
      </c>
      <c r="I639" s="7">
        <f t="shared" si="46"/>
        <v>392.77754386518512</v>
      </c>
      <c r="J639" s="7">
        <f t="shared" si="48"/>
        <v>-3.7775438651851232</v>
      </c>
      <c r="K639" s="7" cm="1">
        <f t="array" ref="K639">INDEX(Sm,G639)</f>
        <v>-3.1934822994410497</v>
      </c>
      <c r="L639" s="7">
        <f t="shared" si="49"/>
        <v>389.58406156574409</v>
      </c>
      <c r="M639" s="7">
        <f t="shared" si="50"/>
        <v>-0.58406156574409351</v>
      </c>
    </row>
    <row r="640" spans="6:13" ht="18.75" customHeight="1">
      <c r="F640" s="1">
        <v>40817</v>
      </c>
      <c r="G640">
        <f t="shared" si="47"/>
        <v>10</v>
      </c>
      <c r="H640" s="7">
        <v>388.93</v>
      </c>
      <c r="I640" s="7">
        <f t="shared" si="46"/>
        <v>392.95511024439162</v>
      </c>
      <c r="J640" s="7">
        <f t="shared" si="48"/>
        <v>-4.0251102443916125</v>
      </c>
      <c r="K640" s="7" cm="1">
        <f t="array" ref="K640">INDEX(Sm,G640)</f>
        <v>-3.3368150874962788</v>
      </c>
      <c r="L640" s="7">
        <f t="shared" si="49"/>
        <v>389.61829515689533</v>
      </c>
      <c r="M640" s="7">
        <f t="shared" si="50"/>
        <v>-0.68829515689532172</v>
      </c>
    </row>
    <row r="641" spans="6:13" ht="18.75" customHeight="1">
      <c r="F641" s="1">
        <v>40848</v>
      </c>
      <c r="G641">
        <f t="shared" si="47"/>
        <v>11</v>
      </c>
      <c r="H641" s="7">
        <v>390.24</v>
      </c>
      <c r="I641" s="7">
        <f t="shared" si="46"/>
        <v>393.13878091036963</v>
      </c>
      <c r="J641" s="7">
        <f t="shared" si="48"/>
        <v>-2.8987809103696236</v>
      </c>
      <c r="K641" s="7" cm="1">
        <f t="array" ref="K641">INDEX(Sm,G641)</f>
        <v>-2.0591623324975612</v>
      </c>
      <c r="L641" s="7">
        <f t="shared" si="49"/>
        <v>391.07961857787205</v>
      </c>
      <c r="M641" s="7">
        <f t="shared" si="50"/>
        <v>-0.83961857787204508</v>
      </c>
    </row>
    <row r="642" spans="6:13" ht="18.75" customHeight="1">
      <c r="F642" s="1">
        <v>40878</v>
      </c>
      <c r="G642">
        <f t="shared" si="47"/>
        <v>12</v>
      </c>
      <c r="H642" s="7">
        <v>391.8</v>
      </c>
      <c r="I642" s="7">
        <f t="shared" ref="I642:I705" si="51">_A*F642*F642+_B*F642+_C</f>
        <v>393.31670614273355</v>
      </c>
      <c r="J642" s="7">
        <f t="shared" si="48"/>
        <v>-1.5167061427335398</v>
      </c>
      <c r="K642" s="7" cm="1">
        <f t="array" ref="K642">INDEX(Sm,G642)</f>
        <v>-0.89132446529561371</v>
      </c>
      <c r="L642" s="7">
        <f t="shared" si="49"/>
        <v>392.42538167743794</v>
      </c>
      <c r="M642" s="7">
        <f t="shared" si="50"/>
        <v>-0.62538167743792883</v>
      </c>
    </row>
    <row r="643" spans="6:13" ht="18.75" customHeight="1">
      <c r="F643" s="1">
        <v>40909</v>
      </c>
      <c r="G643">
        <f t="shared" ref="G643:G706" si="52">MONTH(F643)</f>
        <v>1</v>
      </c>
      <c r="H643" s="7">
        <v>393.07</v>
      </c>
      <c r="I643" s="7">
        <f t="shared" si="51"/>
        <v>393.5007476236409</v>
      </c>
      <c r="J643" s="7">
        <f t="shared" ref="J643:J706" si="53">H643-I643</f>
        <v>-0.43074762364091157</v>
      </c>
      <c r="K643" s="7" cm="1">
        <f t="array" ref="K643">INDEX(Sm,G643)</f>
        <v>6.1040869584970889E-2</v>
      </c>
      <c r="L643" s="7">
        <f t="shared" ref="L643:L706" si="54">I643+K643</f>
        <v>393.56178849322589</v>
      </c>
      <c r="M643" s="7">
        <f t="shared" ref="M643:M706" si="55">H643-L643</f>
        <v>-0.49178849322589713</v>
      </c>
    </row>
    <row r="644" spans="6:13" ht="18.75" customHeight="1">
      <c r="F644" s="1">
        <v>40940</v>
      </c>
      <c r="G644">
        <f t="shared" si="52"/>
        <v>2</v>
      </c>
      <c r="H644" s="7">
        <v>393.35</v>
      </c>
      <c r="I644" s="7">
        <f t="shared" si="51"/>
        <v>393.68497755147956</v>
      </c>
      <c r="J644" s="7">
        <f t="shared" si="53"/>
        <v>-0.33497755147953967</v>
      </c>
      <c r="K644" s="7" cm="1">
        <f t="array" ref="K644">INDEX(Sm,G644)</f>
        <v>0.69421564520236412</v>
      </c>
      <c r="L644" s="7">
        <f t="shared" si="54"/>
        <v>394.37919319668191</v>
      </c>
      <c r="M644" s="7">
        <f t="shared" si="55"/>
        <v>-1.0291931966818879</v>
      </c>
    </row>
    <row r="645" spans="6:13" ht="18.75" customHeight="1">
      <c r="F645" s="1">
        <v>40969</v>
      </c>
      <c r="G645">
        <f t="shared" si="52"/>
        <v>3</v>
      </c>
      <c r="H645" s="7">
        <v>394.36</v>
      </c>
      <c r="I645" s="7">
        <f t="shared" si="51"/>
        <v>393.85749227984297</v>
      </c>
      <c r="J645" s="7">
        <f t="shared" si="53"/>
        <v>0.50250772015704115</v>
      </c>
      <c r="K645" s="7" cm="1">
        <f t="array" ref="K645">INDEX(Sm,G645)</f>
        <v>1.3733706304072995</v>
      </c>
      <c r="L645" s="7">
        <f t="shared" si="54"/>
        <v>395.23086291025027</v>
      </c>
      <c r="M645" s="7">
        <f t="shared" si="55"/>
        <v>-0.87086291025025275</v>
      </c>
    </row>
    <row r="646" spans="6:13" ht="18.75" customHeight="1">
      <c r="F646" s="1">
        <v>41000</v>
      </c>
      <c r="G646">
        <f t="shared" si="52"/>
        <v>4</v>
      </c>
      <c r="H646" s="7">
        <v>396.43</v>
      </c>
      <c r="I646" s="7">
        <f t="shared" si="51"/>
        <v>394.0420869436777</v>
      </c>
      <c r="J646" s="7">
        <f t="shared" si="53"/>
        <v>2.3879130563223043</v>
      </c>
      <c r="K646" s="7" cm="1">
        <f t="array" ref="K646">INDEX(Sm,G646)</f>
        <v>2.6099183412742755</v>
      </c>
      <c r="L646" s="7">
        <f t="shared" si="54"/>
        <v>396.652005284952</v>
      </c>
      <c r="M646" s="7">
        <f t="shared" si="55"/>
        <v>-0.22200528495199023</v>
      </c>
    </row>
    <row r="647" spans="6:13" ht="18.75" customHeight="1">
      <c r="F647" s="1">
        <v>41030</v>
      </c>
      <c r="G647">
        <f t="shared" si="52"/>
        <v>5</v>
      </c>
      <c r="H647" s="7">
        <v>396.87</v>
      </c>
      <c r="I647" s="7">
        <f t="shared" si="51"/>
        <v>394.22090636751585</v>
      </c>
      <c r="J647" s="7">
        <f t="shared" si="53"/>
        <v>2.6490936324841527</v>
      </c>
      <c r="K647" s="7" cm="1">
        <f t="array" ref="K647">INDEX(Sm,G647)</f>
        <v>3.065291801195754</v>
      </c>
      <c r="L647" s="7">
        <f t="shared" si="54"/>
        <v>397.28619816871162</v>
      </c>
      <c r="M647" s="7">
        <f t="shared" si="55"/>
        <v>-0.41619816871161674</v>
      </c>
    </row>
    <row r="648" spans="6:13" ht="18.75" customHeight="1">
      <c r="F648" s="1">
        <v>41061</v>
      </c>
      <c r="G648">
        <f t="shared" si="52"/>
        <v>6</v>
      </c>
      <c r="H648" s="7">
        <v>395.88</v>
      </c>
      <c r="I648" s="7">
        <f t="shared" si="51"/>
        <v>394.40587184627987</v>
      </c>
      <c r="J648" s="7">
        <f t="shared" si="53"/>
        <v>1.4741281537201303</v>
      </c>
      <c r="K648" s="7" cm="1">
        <f t="array" ref="K648">INDEX(Sm,G648)</f>
        <v>2.3463851222642056</v>
      </c>
      <c r="L648" s="7">
        <f t="shared" si="54"/>
        <v>396.75225696854409</v>
      </c>
      <c r="M648" s="7">
        <f t="shared" si="55"/>
        <v>-0.87225696854409307</v>
      </c>
    </row>
    <row r="649" spans="6:13" ht="18.75" customHeight="1">
      <c r="F649" s="1">
        <v>41091</v>
      </c>
      <c r="G649">
        <f t="shared" si="52"/>
        <v>7</v>
      </c>
      <c r="H649" s="7">
        <v>394.52</v>
      </c>
      <c r="I649" s="7">
        <f t="shared" si="51"/>
        <v>394.58505012327544</v>
      </c>
      <c r="J649" s="7">
        <f t="shared" si="53"/>
        <v>-6.5050123275455007E-2</v>
      </c>
      <c r="K649" s="7" cm="1">
        <f t="array" ref="K649">INDEX(Sm,G649)</f>
        <v>0.72334113060077332</v>
      </c>
      <c r="L649" s="7">
        <f t="shared" si="54"/>
        <v>395.30839125387621</v>
      </c>
      <c r="M649" s="7">
        <f t="shared" si="55"/>
        <v>-0.78839125387622744</v>
      </c>
    </row>
    <row r="650" spans="6:13" ht="18.75" customHeight="1">
      <c r="F650" s="1">
        <v>41122</v>
      </c>
      <c r="G650">
        <f t="shared" si="52"/>
        <v>8</v>
      </c>
      <c r="H650" s="7">
        <v>392.54</v>
      </c>
      <c r="I650" s="7">
        <f t="shared" si="51"/>
        <v>394.77038641696885</v>
      </c>
      <c r="J650" s="7">
        <f t="shared" si="53"/>
        <v>-2.2303864169688268</v>
      </c>
      <c r="K650" s="7" cm="1">
        <f t="array" ref="K650">INDEX(Sm,G650)</f>
        <v>-1.3975570061157723</v>
      </c>
      <c r="L650" s="7">
        <f t="shared" si="54"/>
        <v>393.37282941085306</v>
      </c>
      <c r="M650" s="7">
        <f t="shared" si="55"/>
        <v>-0.83282941085303719</v>
      </c>
    </row>
    <row r="651" spans="6:13" ht="18.75" customHeight="1">
      <c r="F651" s="1">
        <v>41153</v>
      </c>
      <c r="G651">
        <f t="shared" si="52"/>
        <v>9</v>
      </c>
      <c r="H651" s="7">
        <v>391.13</v>
      </c>
      <c r="I651" s="7">
        <f t="shared" si="51"/>
        <v>394.9559111575935</v>
      </c>
      <c r="J651" s="7">
        <f t="shared" si="53"/>
        <v>-3.8259111575935094</v>
      </c>
      <c r="K651" s="7" cm="1">
        <f t="array" ref="K651">INDEX(Sm,G651)</f>
        <v>-3.1934822994410497</v>
      </c>
      <c r="L651" s="7">
        <f t="shared" si="54"/>
        <v>391.76242885815248</v>
      </c>
      <c r="M651" s="7">
        <f t="shared" si="55"/>
        <v>-0.63242885815247973</v>
      </c>
    </row>
    <row r="652" spans="6:13" ht="18.75" customHeight="1">
      <c r="F652" s="1">
        <v>41183</v>
      </c>
      <c r="G652">
        <f t="shared" si="52"/>
        <v>10</v>
      </c>
      <c r="H652" s="7">
        <v>391.01</v>
      </c>
      <c r="I652" s="7">
        <f t="shared" si="51"/>
        <v>395.13563065574454</v>
      </c>
      <c r="J652" s="7">
        <f t="shared" si="53"/>
        <v>-4.1256306557445441</v>
      </c>
      <c r="K652" s="7" cm="1">
        <f t="array" ref="K652">INDEX(Sm,G652)</f>
        <v>-3.3368150874962788</v>
      </c>
      <c r="L652" s="7">
        <f t="shared" si="54"/>
        <v>391.79881556824824</v>
      </c>
      <c r="M652" s="7">
        <f t="shared" si="55"/>
        <v>-0.78881556824825338</v>
      </c>
    </row>
    <row r="653" spans="6:13" ht="18.75" customHeight="1">
      <c r="F653" s="1">
        <v>41214</v>
      </c>
      <c r="G653">
        <f t="shared" si="52"/>
        <v>11</v>
      </c>
      <c r="H653" s="7">
        <v>392.95</v>
      </c>
      <c r="I653" s="7">
        <f t="shared" si="51"/>
        <v>395.32152621129859</v>
      </c>
      <c r="J653" s="7">
        <f t="shared" si="53"/>
        <v>-2.3715262112986011</v>
      </c>
      <c r="K653" s="7" cm="1">
        <f t="array" ref="K653">INDEX(Sm,G653)</f>
        <v>-2.0591623324975612</v>
      </c>
      <c r="L653" s="7">
        <f t="shared" si="54"/>
        <v>393.26236387880101</v>
      </c>
      <c r="M653" s="7">
        <f t="shared" si="55"/>
        <v>-0.31236387880102257</v>
      </c>
    </row>
    <row r="654" spans="6:13" ht="18.75" customHeight="1">
      <c r="F654" s="1">
        <v>41244</v>
      </c>
      <c r="G654">
        <f t="shared" si="52"/>
        <v>12</v>
      </c>
      <c r="H654" s="7">
        <v>394.33</v>
      </c>
      <c r="I654" s="7">
        <f t="shared" si="51"/>
        <v>395.50160456260699</v>
      </c>
      <c r="J654" s="7">
        <f t="shared" si="53"/>
        <v>-1.1716045626070013</v>
      </c>
      <c r="K654" s="7" cm="1">
        <f t="array" ref="K654">INDEX(Sm,G654)</f>
        <v>-0.89132446529561371</v>
      </c>
      <c r="L654" s="7">
        <f t="shared" si="54"/>
        <v>394.61028009731137</v>
      </c>
      <c r="M654" s="7">
        <f t="shared" si="55"/>
        <v>-0.28028009731139036</v>
      </c>
    </row>
    <row r="655" spans="6:13" ht="18.75" customHeight="1">
      <c r="F655" s="1">
        <v>41275</v>
      </c>
      <c r="G655">
        <f t="shared" si="52"/>
        <v>1</v>
      </c>
      <c r="H655" s="7">
        <v>395.61</v>
      </c>
      <c r="I655" s="7">
        <f t="shared" si="51"/>
        <v>395.68787093309038</v>
      </c>
      <c r="J655" s="7">
        <f t="shared" si="53"/>
        <v>-7.7870933090366634E-2</v>
      </c>
      <c r="K655" s="7" cm="1">
        <f t="array" ref="K655">INDEX(Sm,G655)</f>
        <v>6.1040869584970889E-2</v>
      </c>
      <c r="L655" s="7">
        <f t="shared" si="54"/>
        <v>395.74891180267537</v>
      </c>
      <c r="M655" s="7">
        <f t="shared" si="55"/>
        <v>-0.13891180267535219</v>
      </c>
    </row>
    <row r="656" spans="6:13" ht="18.75" customHeight="1">
      <c r="F656" s="1">
        <v>41306</v>
      </c>
      <c r="G656">
        <f t="shared" si="52"/>
        <v>2</v>
      </c>
      <c r="H656" s="7">
        <v>396.85</v>
      </c>
      <c r="I656" s="7">
        <f t="shared" si="51"/>
        <v>395.87432575050502</v>
      </c>
      <c r="J656" s="7">
        <f t="shared" si="53"/>
        <v>0.97567424949500037</v>
      </c>
      <c r="K656" s="7" cm="1">
        <f t="array" ref="K656">INDEX(Sm,G656)</f>
        <v>0.69421564520236412</v>
      </c>
      <c r="L656" s="7">
        <f t="shared" si="54"/>
        <v>396.56854139570737</v>
      </c>
      <c r="M656" s="7">
        <f t="shared" si="55"/>
        <v>0.28145860429265213</v>
      </c>
    </row>
    <row r="657" spans="6:13" ht="18.75" customHeight="1">
      <c r="F657" s="1">
        <v>41334</v>
      </c>
      <c r="G657">
        <f t="shared" si="52"/>
        <v>3</v>
      </c>
      <c r="H657" s="7">
        <v>397.26</v>
      </c>
      <c r="I657" s="7">
        <f t="shared" si="51"/>
        <v>396.04289852748855</v>
      </c>
      <c r="J657" s="7">
        <f t="shared" si="53"/>
        <v>1.2171014725114446</v>
      </c>
      <c r="K657" s="7" cm="1">
        <f t="array" ref="K657">INDEX(Sm,G657)</f>
        <v>1.3733706304072995</v>
      </c>
      <c r="L657" s="7">
        <f t="shared" si="54"/>
        <v>397.41626915789584</v>
      </c>
      <c r="M657" s="7">
        <f t="shared" si="55"/>
        <v>-0.15626915789584928</v>
      </c>
    </row>
    <row r="658" spans="6:13" ht="18.75" customHeight="1">
      <c r="F658" s="1">
        <v>41365</v>
      </c>
      <c r="G658">
        <f t="shared" si="52"/>
        <v>4</v>
      </c>
      <c r="H658" s="7">
        <v>398.35</v>
      </c>
      <c r="I658" s="7">
        <f t="shared" si="51"/>
        <v>396.22971200196605</v>
      </c>
      <c r="J658" s="7">
        <f t="shared" si="53"/>
        <v>2.1202879980339731</v>
      </c>
      <c r="K658" s="7" cm="1">
        <f t="array" ref="K658">INDEX(Sm,G658)</f>
        <v>2.6099183412742755</v>
      </c>
      <c r="L658" s="7">
        <f t="shared" si="54"/>
        <v>398.83963034324034</v>
      </c>
      <c r="M658" s="7">
        <f t="shared" si="55"/>
        <v>-0.48963034324032151</v>
      </c>
    </row>
    <row r="659" spans="6:13" ht="18.75" customHeight="1">
      <c r="F659" s="1">
        <v>41395</v>
      </c>
      <c r="G659">
        <f t="shared" si="52"/>
        <v>5</v>
      </c>
      <c r="H659" s="7">
        <v>399.98</v>
      </c>
      <c r="I659" s="7">
        <f t="shared" si="51"/>
        <v>396.41067866191003</v>
      </c>
      <c r="J659" s="7">
        <f t="shared" si="53"/>
        <v>3.569321338089992</v>
      </c>
      <c r="K659" s="7" cm="1">
        <f t="array" ref="K659">INDEX(Sm,G659)</f>
        <v>3.065291801195754</v>
      </c>
      <c r="L659" s="7">
        <f t="shared" si="54"/>
        <v>399.4759704631058</v>
      </c>
      <c r="M659" s="7">
        <f t="shared" si="55"/>
        <v>0.50402953689422247</v>
      </c>
    </row>
    <row r="660" spans="6:13" ht="18.75" customHeight="1">
      <c r="F660" s="1">
        <v>41426</v>
      </c>
      <c r="G660">
        <f t="shared" si="52"/>
        <v>6</v>
      </c>
      <c r="H660" s="7">
        <v>398.87</v>
      </c>
      <c r="I660" s="7">
        <f t="shared" si="51"/>
        <v>396.59786295131687</v>
      </c>
      <c r="J660" s="7">
        <f t="shared" si="53"/>
        <v>2.2721370486831347</v>
      </c>
      <c r="K660" s="7" cm="1">
        <f t="array" ref="K660">INDEX(Sm,G660)</f>
        <v>2.3463851222642056</v>
      </c>
      <c r="L660" s="7">
        <f t="shared" si="54"/>
        <v>398.94424807358109</v>
      </c>
      <c r="M660" s="7">
        <f t="shared" si="55"/>
        <v>-7.4248073581088647E-2</v>
      </c>
    </row>
    <row r="661" spans="6:13" ht="18.75" customHeight="1">
      <c r="F661" s="1">
        <v>41456</v>
      </c>
      <c r="G661">
        <f t="shared" si="52"/>
        <v>7</v>
      </c>
      <c r="H661" s="7">
        <v>397.37</v>
      </c>
      <c r="I661" s="7">
        <f t="shared" si="51"/>
        <v>396.77918846441827</v>
      </c>
      <c r="J661" s="7">
        <f t="shared" si="53"/>
        <v>0.59081153558173582</v>
      </c>
      <c r="K661" s="7" cm="1">
        <f t="array" ref="K661">INDEX(Sm,G661)</f>
        <v>0.72334113060077332</v>
      </c>
      <c r="L661" s="7">
        <f t="shared" si="54"/>
        <v>397.50252959501904</v>
      </c>
      <c r="M661" s="7">
        <f t="shared" si="55"/>
        <v>-0.13252959501903661</v>
      </c>
    </row>
    <row r="662" spans="6:13" ht="18.75" customHeight="1">
      <c r="F662" s="1">
        <v>41487</v>
      </c>
      <c r="G662">
        <f t="shared" si="52"/>
        <v>8</v>
      </c>
      <c r="H662" s="7">
        <v>395.41</v>
      </c>
      <c r="I662" s="7">
        <f t="shared" si="51"/>
        <v>396.96674356875434</v>
      </c>
      <c r="J662" s="7">
        <f t="shared" si="53"/>
        <v>-1.5567435687543139</v>
      </c>
      <c r="K662" s="7" cm="1">
        <f t="array" ref="K662">INDEX(Sm,G662)</f>
        <v>-1.3975570061157723</v>
      </c>
      <c r="L662" s="7">
        <f t="shared" si="54"/>
        <v>395.56918656263855</v>
      </c>
      <c r="M662" s="7">
        <f t="shared" si="55"/>
        <v>-0.15918656263852426</v>
      </c>
    </row>
    <row r="663" spans="6:13" ht="18.75" customHeight="1">
      <c r="F663" s="1">
        <v>41518</v>
      </c>
      <c r="G663">
        <f t="shared" si="52"/>
        <v>9</v>
      </c>
      <c r="H663" s="7">
        <v>393.39</v>
      </c>
      <c r="I663" s="7">
        <f t="shared" si="51"/>
        <v>397.15448712002183</v>
      </c>
      <c r="J663" s="7">
        <f t="shared" si="53"/>
        <v>-3.7644871200218404</v>
      </c>
      <c r="K663" s="7" cm="1">
        <f t="array" ref="K663">INDEX(Sm,G663)</f>
        <v>-3.1934822994410497</v>
      </c>
      <c r="L663" s="7">
        <f t="shared" si="54"/>
        <v>393.9610048205808</v>
      </c>
      <c r="M663" s="7">
        <f t="shared" si="55"/>
        <v>-0.5710048205808107</v>
      </c>
    </row>
    <row r="664" spans="6:13" ht="18.75" customHeight="1">
      <c r="F664" s="1">
        <v>41548</v>
      </c>
      <c r="G664">
        <f t="shared" si="52"/>
        <v>10</v>
      </c>
      <c r="H664" s="7">
        <v>393.7</v>
      </c>
      <c r="I664" s="7">
        <f t="shared" si="51"/>
        <v>397.33635385427868</v>
      </c>
      <c r="J664" s="7">
        <f t="shared" si="53"/>
        <v>-3.6363538542786955</v>
      </c>
      <c r="K664" s="7" cm="1">
        <f t="array" ref="K664">INDEX(Sm,G664)</f>
        <v>-3.3368150874962788</v>
      </c>
      <c r="L664" s="7">
        <f t="shared" si="54"/>
        <v>393.99953876678239</v>
      </c>
      <c r="M664" s="7">
        <f t="shared" si="55"/>
        <v>-0.29953876678240476</v>
      </c>
    </row>
    <row r="665" spans="6:13" ht="18.75" customHeight="1">
      <c r="F665" s="1">
        <v>41579</v>
      </c>
      <c r="G665">
        <f t="shared" si="52"/>
        <v>11</v>
      </c>
      <c r="H665" s="7">
        <v>395.19</v>
      </c>
      <c r="I665" s="7">
        <f t="shared" si="51"/>
        <v>397.52446822047546</v>
      </c>
      <c r="J665" s="7">
        <f t="shared" si="53"/>
        <v>-2.3344682204754577</v>
      </c>
      <c r="K665" s="7" cm="1">
        <f t="array" ref="K665">INDEX(Sm,G665)</f>
        <v>-2.0591623324975612</v>
      </c>
      <c r="L665" s="7">
        <f t="shared" si="54"/>
        <v>395.46530588797788</v>
      </c>
      <c r="M665" s="7">
        <f t="shared" si="55"/>
        <v>-0.27530588797787914</v>
      </c>
    </row>
    <row r="666" spans="6:13" ht="18.75" customHeight="1">
      <c r="F666" s="1">
        <v>41609</v>
      </c>
      <c r="G666">
        <f t="shared" si="52"/>
        <v>12</v>
      </c>
      <c r="H666" s="7">
        <v>396.82</v>
      </c>
      <c r="I666" s="7">
        <f t="shared" si="51"/>
        <v>397.70669380788974</v>
      </c>
      <c r="J666" s="7">
        <f t="shared" si="53"/>
        <v>-0.88669380788974195</v>
      </c>
      <c r="K666" s="7" cm="1">
        <f t="array" ref="K666">INDEX(Sm,G666)</f>
        <v>-0.89132446529561371</v>
      </c>
      <c r="L666" s="7">
        <f t="shared" si="54"/>
        <v>396.81536934259412</v>
      </c>
      <c r="M666" s="7">
        <f t="shared" si="55"/>
        <v>4.6306574058689876E-3</v>
      </c>
    </row>
    <row r="667" spans="6:13" ht="18.75" customHeight="1">
      <c r="F667" s="1">
        <v>41640</v>
      </c>
      <c r="G667">
        <f t="shared" si="52"/>
        <v>1</v>
      </c>
      <c r="H667" s="7">
        <v>397.93</v>
      </c>
      <c r="I667" s="7">
        <f t="shared" si="51"/>
        <v>397.89517898901585</v>
      </c>
      <c r="J667" s="7">
        <f t="shared" si="53"/>
        <v>3.4821010984160239E-2</v>
      </c>
      <c r="K667" s="7" cm="1">
        <f t="array" ref="K667">INDEX(Sm,G667)</f>
        <v>6.1040869584970889E-2</v>
      </c>
      <c r="L667" s="7">
        <f t="shared" si="54"/>
        <v>397.95621985860083</v>
      </c>
      <c r="M667" s="7">
        <f t="shared" si="55"/>
        <v>-2.6219858600825319E-2</v>
      </c>
    </row>
    <row r="668" spans="6:13" ht="18.75" customHeight="1">
      <c r="F668" s="1">
        <v>41671</v>
      </c>
      <c r="G668">
        <f t="shared" si="52"/>
        <v>2</v>
      </c>
      <c r="H668" s="7">
        <v>398.1</v>
      </c>
      <c r="I668" s="7">
        <f t="shared" si="51"/>
        <v>398.08385261707321</v>
      </c>
      <c r="J668" s="7">
        <f t="shared" si="53"/>
        <v>1.61473829268175E-2</v>
      </c>
      <c r="K668" s="7" cm="1">
        <f t="array" ref="K668">INDEX(Sm,G668)</f>
        <v>0.69421564520236412</v>
      </c>
      <c r="L668" s="7">
        <f t="shared" si="54"/>
        <v>398.77806826227555</v>
      </c>
      <c r="M668" s="7">
        <f t="shared" si="55"/>
        <v>-0.67806826227553074</v>
      </c>
    </row>
    <row r="669" spans="6:13" ht="18.75" customHeight="1">
      <c r="F669" s="1">
        <v>41699</v>
      </c>
      <c r="G669">
        <f t="shared" si="52"/>
        <v>3</v>
      </c>
      <c r="H669" s="7">
        <v>399.47</v>
      </c>
      <c r="I669" s="7">
        <f t="shared" si="51"/>
        <v>398.25442948108889</v>
      </c>
      <c r="J669" s="7">
        <f t="shared" si="53"/>
        <v>1.2155705189111359</v>
      </c>
      <c r="K669" s="7" cm="1">
        <f t="array" ref="K669">INDEX(Sm,G669)</f>
        <v>1.3733706304072995</v>
      </c>
      <c r="L669" s="7">
        <f t="shared" si="54"/>
        <v>399.62780011149619</v>
      </c>
      <c r="M669" s="7">
        <f t="shared" si="55"/>
        <v>-0.15780011149615802</v>
      </c>
    </row>
    <row r="670" spans="6:13" ht="18.75" customHeight="1">
      <c r="F670" s="1">
        <v>41730</v>
      </c>
      <c r="G670">
        <f t="shared" si="52"/>
        <v>4</v>
      </c>
      <c r="H670" s="7">
        <v>401.33</v>
      </c>
      <c r="I670" s="7">
        <f t="shared" si="51"/>
        <v>398.44346176620911</v>
      </c>
      <c r="J670" s="7">
        <f t="shared" si="53"/>
        <v>2.8865382337908727</v>
      </c>
      <c r="K670" s="7" cm="1">
        <f t="array" ref="K670">INDEX(Sm,G670)</f>
        <v>2.6099183412742755</v>
      </c>
      <c r="L670" s="7">
        <f t="shared" si="54"/>
        <v>401.05338010748341</v>
      </c>
      <c r="M670" s="7">
        <f t="shared" si="55"/>
        <v>0.27661989251657815</v>
      </c>
    </row>
    <row r="671" spans="6:13" ht="18.75" customHeight="1">
      <c r="F671" s="1">
        <v>41760</v>
      </c>
      <c r="G671">
        <f t="shared" si="52"/>
        <v>5</v>
      </c>
      <c r="H671" s="7">
        <v>401.88</v>
      </c>
      <c r="I671" s="7">
        <f t="shared" si="51"/>
        <v>398.62657566225897</v>
      </c>
      <c r="J671" s="7">
        <f t="shared" si="53"/>
        <v>3.2534243377410235</v>
      </c>
      <c r="K671" s="7" cm="1">
        <f t="array" ref="K671">INDEX(Sm,G671)</f>
        <v>3.065291801195754</v>
      </c>
      <c r="L671" s="7">
        <f t="shared" si="54"/>
        <v>401.69186746345474</v>
      </c>
      <c r="M671" s="7">
        <f t="shared" si="55"/>
        <v>0.18813253654525397</v>
      </c>
    </row>
    <row r="672" spans="6:13" ht="18.75" customHeight="1">
      <c r="F672" s="1">
        <v>41791</v>
      </c>
      <c r="G672">
        <f t="shared" si="52"/>
        <v>6</v>
      </c>
      <c r="H672" s="7">
        <v>401.31</v>
      </c>
      <c r="I672" s="7">
        <f t="shared" si="51"/>
        <v>398.81597876230848</v>
      </c>
      <c r="J672" s="7">
        <f t="shared" si="53"/>
        <v>2.4940212376915269</v>
      </c>
      <c r="K672" s="7" cm="1">
        <f t="array" ref="K672">INDEX(Sm,G672)</f>
        <v>2.3463851222642056</v>
      </c>
      <c r="L672" s="7">
        <f t="shared" si="54"/>
        <v>401.1623638845727</v>
      </c>
      <c r="M672" s="7">
        <f t="shared" si="55"/>
        <v>0.14763611542730359</v>
      </c>
    </row>
    <row r="673" spans="6:13" ht="18.75" customHeight="1">
      <c r="F673" s="1">
        <v>41821</v>
      </c>
      <c r="G673">
        <f t="shared" si="52"/>
        <v>7</v>
      </c>
      <c r="H673" s="7">
        <v>399.07</v>
      </c>
      <c r="I673" s="7">
        <f t="shared" si="51"/>
        <v>398.99945151151576</v>
      </c>
      <c r="J673" s="7">
        <f t="shared" si="53"/>
        <v>7.0548488484234895E-2</v>
      </c>
      <c r="K673" s="7" cm="1">
        <f t="array" ref="K673">INDEX(Sm,G673)</f>
        <v>0.72334113060077332</v>
      </c>
      <c r="L673" s="7">
        <f t="shared" si="54"/>
        <v>399.72279264211653</v>
      </c>
      <c r="M673" s="7">
        <f t="shared" si="55"/>
        <v>-0.65279264211653754</v>
      </c>
    </row>
    <row r="674" spans="6:13" ht="18.75" customHeight="1">
      <c r="F674" s="1">
        <v>41852</v>
      </c>
      <c r="G674">
        <f t="shared" si="52"/>
        <v>8</v>
      </c>
      <c r="H674" s="7">
        <v>397.21</v>
      </c>
      <c r="I674" s="7">
        <f t="shared" si="51"/>
        <v>399.18922542649466</v>
      </c>
      <c r="J674" s="7">
        <f t="shared" si="53"/>
        <v>-1.9792254264946791</v>
      </c>
      <c r="K674" s="7" cm="1">
        <f t="array" ref="K674">INDEX(Sm,G674)</f>
        <v>-1.3975570061157723</v>
      </c>
      <c r="L674" s="7">
        <f t="shared" si="54"/>
        <v>397.79166842037887</v>
      </c>
      <c r="M674" s="7">
        <f t="shared" si="55"/>
        <v>-0.58166842037888955</v>
      </c>
    </row>
    <row r="675" spans="6:13" ht="18.75" customHeight="1">
      <c r="F675" s="1">
        <v>41883</v>
      </c>
      <c r="G675">
        <f t="shared" si="52"/>
        <v>9</v>
      </c>
      <c r="H675" s="7">
        <v>395.4</v>
      </c>
      <c r="I675" s="7">
        <f t="shared" si="51"/>
        <v>399.37918778840481</v>
      </c>
      <c r="J675" s="7">
        <f t="shared" si="53"/>
        <v>-3.979187788404829</v>
      </c>
      <c r="K675" s="7" cm="1">
        <f t="array" ref="K675">INDEX(Sm,G675)</f>
        <v>-3.1934822994410497</v>
      </c>
      <c r="L675" s="7">
        <f t="shared" si="54"/>
        <v>396.18570548896378</v>
      </c>
      <c r="M675" s="7">
        <f t="shared" si="55"/>
        <v>-0.78570548896379933</v>
      </c>
    </row>
    <row r="676" spans="6:13" ht="18.75" customHeight="1">
      <c r="F676" s="1">
        <v>41913</v>
      </c>
      <c r="G676">
        <f t="shared" si="52"/>
        <v>10</v>
      </c>
      <c r="H676" s="7">
        <v>395.65</v>
      </c>
      <c r="I676" s="7">
        <f t="shared" si="51"/>
        <v>399.56320175876749</v>
      </c>
      <c r="J676" s="7">
        <f t="shared" si="53"/>
        <v>-3.9132017587675136</v>
      </c>
      <c r="K676" s="7" cm="1">
        <f t="array" ref="K676">INDEX(Sm,G676)</f>
        <v>-3.3368150874962788</v>
      </c>
      <c r="L676" s="7">
        <f t="shared" si="54"/>
        <v>396.2263866712712</v>
      </c>
      <c r="M676" s="7">
        <f t="shared" si="55"/>
        <v>-0.57638667127122289</v>
      </c>
    </row>
    <row r="677" spans="6:13" ht="18.75" customHeight="1">
      <c r="F677" s="1">
        <v>41944</v>
      </c>
      <c r="G677">
        <f t="shared" si="52"/>
        <v>11</v>
      </c>
      <c r="H677" s="7">
        <v>397.23</v>
      </c>
      <c r="I677" s="7">
        <f t="shared" si="51"/>
        <v>399.75353493560704</v>
      </c>
      <c r="J677" s="7">
        <f t="shared" si="53"/>
        <v>-2.5235349356070174</v>
      </c>
      <c r="K677" s="7" cm="1">
        <f t="array" ref="K677">INDEX(Sm,G677)</f>
        <v>-2.0591623324975612</v>
      </c>
      <c r="L677" s="7">
        <f t="shared" si="54"/>
        <v>397.69437260310946</v>
      </c>
      <c r="M677" s="7">
        <f t="shared" si="55"/>
        <v>-0.46437260310943884</v>
      </c>
    </row>
    <row r="678" spans="6:13" ht="18.75" customHeight="1">
      <c r="F678" s="1">
        <v>41974</v>
      </c>
      <c r="G678">
        <f t="shared" si="52"/>
        <v>12</v>
      </c>
      <c r="H678" s="7">
        <v>398.79</v>
      </c>
      <c r="I678" s="7">
        <f t="shared" si="51"/>
        <v>399.93790775912714</v>
      </c>
      <c r="J678" s="7">
        <f t="shared" si="53"/>
        <v>-1.1479077591271221</v>
      </c>
      <c r="K678" s="7" cm="1">
        <f t="array" ref="K678">INDEX(Sm,G678)</f>
        <v>-0.89132446529561371</v>
      </c>
      <c r="L678" s="7">
        <f t="shared" si="54"/>
        <v>399.04658329383153</v>
      </c>
      <c r="M678" s="7">
        <f t="shared" si="55"/>
        <v>-0.25658329383151113</v>
      </c>
    </row>
    <row r="679" spans="6:13" ht="18.75" customHeight="1">
      <c r="F679" s="1">
        <v>42005</v>
      </c>
      <c r="G679">
        <f t="shared" si="52"/>
        <v>1</v>
      </c>
      <c r="H679" s="7">
        <v>399.85</v>
      </c>
      <c r="I679" s="7">
        <f t="shared" si="51"/>
        <v>400.12861175089597</v>
      </c>
      <c r="J679" s="7">
        <f t="shared" si="53"/>
        <v>-0.27861175089594781</v>
      </c>
      <c r="K679" s="7" cm="1">
        <f t="array" ref="K679">INDEX(Sm,G679)</f>
        <v>6.1040869584970889E-2</v>
      </c>
      <c r="L679" s="7">
        <f t="shared" si="54"/>
        <v>400.18965262048096</v>
      </c>
      <c r="M679" s="7">
        <f t="shared" si="55"/>
        <v>-0.33965262048093336</v>
      </c>
    </row>
    <row r="680" spans="6:13" ht="18.75" customHeight="1">
      <c r="F680" s="1">
        <v>42036</v>
      </c>
      <c r="G680">
        <f t="shared" si="52"/>
        <v>2</v>
      </c>
      <c r="H680" s="7">
        <v>400.31</v>
      </c>
      <c r="I680" s="7">
        <f t="shared" si="51"/>
        <v>400.31950418959616</v>
      </c>
      <c r="J680" s="7">
        <f t="shared" si="53"/>
        <v>-9.5041895961571754E-3</v>
      </c>
      <c r="K680" s="7" cm="1">
        <f t="array" ref="K680">INDEX(Sm,G680)</f>
        <v>0.69421564520236412</v>
      </c>
      <c r="L680" s="7">
        <f t="shared" si="54"/>
        <v>401.01371983479851</v>
      </c>
      <c r="M680" s="7">
        <f t="shared" si="55"/>
        <v>-0.70371983479850542</v>
      </c>
    </row>
    <row r="681" spans="6:13" ht="18.75" customHeight="1">
      <c r="F681" s="1">
        <v>42064</v>
      </c>
      <c r="G681">
        <f t="shared" si="52"/>
        <v>3</v>
      </c>
      <c r="H681" s="7">
        <v>401.51</v>
      </c>
      <c r="I681" s="7">
        <f t="shared" si="51"/>
        <v>400.49208514064395</v>
      </c>
      <c r="J681" s="7">
        <f t="shared" si="53"/>
        <v>1.0179148593560399</v>
      </c>
      <c r="K681" s="7" cm="1">
        <f t="array" ref="K681">INDEX(Sm,G681)</f>
        <v>1.3733706304072995</v>
      </c>
      <c r="L681" s="7">
        <f t="shared" si="54"/>
        <v>401.86545577105124</v>
      </c>
      <c r="M681" s="7">
        <f t="shared" si="55"/>
        <v>-0.35545577105125403</v>
      </c>
    </row>
    <row r="682" spans="6:13" ht="18.75" customHeight="1">
      <c r="F682" s="1">
        <v>42095</v>
      </c>
      <c r="G682">
        <f t="shared" si="52"/>
        <v>4</v>
      </c>
      <c r="H682" s="7">
        <v>403.45</v>
      </c>
      <c r="I682" s="7">
        <f t="shared" si="51"/>
        <v>400.68333623640683</v>
      </c>
      <c r="J682" s="7">
        <f t="shared" si="53"/>
        <v>2.7666637635931579</v>
      </c>
      <c r="K682" s="7" cm="1">
        <f t="array" ref="K682">INDEX(Sm,G682)</f>
        <v>2.6099183412742755</v>
      </c>
      <c r="L682" s="7">
        <f t="shared" si="54"/>
        <v>403.29325457768113</v>
      </c>
      <c r="M682" s="7">
        <f t="shared" si="55"/>
        <v>0.15674542231886335</v>
      </c>
    </row>
    <row r="683" spans="6:13" ht="18.75" customHeight="1">
      <c r="F683" s="1">
        <v>42125</v>
      </c>
      <c r="G683">
        <f t="shared" si="52"/>
        <v>5</v>
      </c>
      <c r="H683" s="7">
        <v>404.1</v>
      </c>
      <c r="I683" s="7">
        <f t="shared" si="51"/>
        <v>400.86859736856263</v>
      </c>
      <c r="J683" s="7">
        <f t="shared" si="53"/>
        <v>3.2314026314373905</v>
      </c>
      <c r="K683" s="7" cm="1">
        <f t="array" ref="K683">INDEX(Sm,G683)</f>
        <v>3.065291801195754</v>
      </c>
      <c r="L683" s="7">
        <f t="shared" si="54"/>
        <v>403.9338891697584</v>
      </c>
      <c r="M683" s="7">
        <f t="shared" si="55"/>
        <v>0.16611083024162099</v>
      </c>
    </row>
    <row r="684" spans="6:13" ht="18.75" customHeight="1">
      <c r="F684" s="1">
        <v>42156</v>
      </c>
      <c r="G684">
        <f t="shared" si="52"/>
        <v>6</v>
      </c>
      <c r="H684" s="7">
        <v>402.88</v>
      </c>
      <c r="I684" s="7">
        <f t="shared" si="51"/>
        <v>401.06021927925485</v>
      </c>
      <c r="J684" s="7">
        <f t="shared" si="53"/>
        <v>1.8197807207451433</v>
      </c>
      <c r="K684" s="7" cm="1">
        <f t="array" ref="K684">INDEX(Sm,G684)</f>
        <v>2.3463851222642056</v>
      </c>
      <c r="L684" s="7">
        <f t="shared" si="54"/>
        <v>403.40660440151908</v>
      </c>
      <c r="M684" s="7">
        <f t="shared" si="55"/>
        <v>-0.52660440151908006</v>
      </c>
    </row>
    <row r="685" spans="6:13" ht="18.75" customHeight="1">
      <c r="F685" s="1">
        <v>42186</v>
      </c>
      <c r="G685">
        <f t="shared" si="52"/>
        <v>7</v>
      </c>
      <c r="H685" s="7">
        <v>401.61</v>
      </c>
      <c r="I685" s="7">
        <f t="shared" si="51"/>
        <v>401.24583926456802</v>
      </c>
      <c r="J685" s="7">
        <f t="shared" si="53"/>
        <v>0.36416073543199445</v>
      </c>
      <c r="K685" s="7" cm="1">
        <f t="array" ref="K685">INDEX(Sm,G685)</f>
        <v>0.72334113060077332</v>
      </c>
      <c r="L685" s="7">
        <f t="shared" si="54"/>
        <v>401.96918039516879</v>
      </c>
      <c r="M685" s="7">
        <f t="shared" si="55"/>
        <v>-0.35918039516877798</v>
      </c>
    </row>
    <row r="686" spans="6:13" ht="18.75" customHeight="1">
      <c r="F686" s="1">
        <v>42217</v>
      </c>
      <c r="G686">
        <f t="shared" si="52"/>
        <v>8</v>
      </c>
      <c r="H686" s="7">
        <v>399</v>
      </c>
      <c r="I686" s="7">
        <f t="shared" si="51"/>
        <v>401.43783199018958</v>
      </c>
      <c r="J686" s="7">
        <f t="shared" si="53"/>
        <v>-2.4378319901895793</v>
      </c>
      <c r="K686" s="7" cm="1">
        <f t="array" ref="K686">INDEX(Sm,G686)</f>
        <v>-1.3975570061157723</v>
      </c>
      <c r="L686" s="7">
        <f t="shared" si="54"/>
        <v>400.04027498407379</v>
      </c>
      <c r="M686" s="7">
        <f t="shared" si="55"/>
        <v>-1.0402749840737897</v>
      </c>
    </row>
    <row r="687" spans="6:13" ht="18.75" customHeight="1">
      <c r="F687" s="1">
        <v>42248</v>
      </c>
      <c r="G687">
        <f t="shared" si="52"/>
        <v>9</v>
      </c>
      <c r="H687" s="7">
        <v>397.5</v>
      </c>
      <c r="I687" s="7">
        <f t="shared" si="51"/>
        <v>401.6300131627425</v>
      </c>
      <c r="J687" s="7">
        <f t="shared" si="53"/>
        <v>-4.1300131627425003</v>
      </c>
      <c r="K687" s="7" cm="1">
        <f t="array" ref="K687">INDEX(Sm,G687)</f>
        <v>-3.1934822994410497</v>
      </c>
      <c r="L687" s="7">
        <f t="shared" si="54"/>
        <v>398.43653086330147</v>
      </c>
      <c r="M687" s="7">
        <f t="shared" si="55"/>
        <v>-0.93653086330147062</v>
      </c>
    </row>
    <row r="688" spans="6:13" ht="18.75" customHeight="1">
      <c r="F688" s="1">
        <v>42278</v>
      </c>
      <c r="G688">
        <f t="shared" si="52"/>
        <v>10</v>
      </c>
      <c r="H688" s="7">
        <v>398.28</v>
      </c>
      <c r="I688" s="7">
        <f t="shared" si="51"/>
        <v>401.81617436921113</v>
      </c>
      <c r="J688" s="7">
        <f t="shared" si="53"/>
        <v>-3.5361743692111531</v>
      </c>
      <c r="K688" s="7" cm="1">
        <f t="array" ref="K688">INDEX(Sm,G688)</f>
        <v>-3.3368150874962788</v>
      </c>
      <c r="L688" s="7">
        <f t="shared" si="54"/>
        <v>398.47935928171484</v>
      </c>
      <c r="M688" s="7">
        <f t="shared" si="55"/>
        <v>-0.19935928171486239</v>
      </c>
    </row>
    <row r="689" spans="6:13" ht="18.75" customHeight="1">
      <c r="F689" s="1">
        <v>42309</v>
      </c>
      <c r="G689">
        <f t="shared" si="52"/>
        <v>11</v>
      </c>
      <c r="H689" s="7">
        <v>400.24</v>
      </c>
      <c r="I689" s="7">
        <f t="shared" si="51"/>
        <v>402.00872635669333</v>
      </c>
      <c r="J689" s="7">
        <f t="shared" si="53"/>
        <v>-1.7687263566933211</v>
      </c>
      <c r="K689" s="7" cm="1">
        <f t="array" ref="K689">INDEX(Sm,G689)</f>
        <v>-2.0591623324975612</v>
      </c>
      <c r="L689" s="7">
        <f t="shared" si="54"/>
        <v>399.94956402419575</v>
      </c>
      <c r="M689" s="7">
        <f t="shared" si="55"/>
        <v>0.2904359758042574</v>
      </c>
    </row>
    <row r="690" spans="6:13" ht="18.75" customHeight="1">
      <c r="F690" s="1">
        <v>42339</v>
      </c>
      <c r="G690">
        <f t="shared" si="52"/>
        <v>12</v>
      </c>
      <c r="H690" s="7">
        <v>401.89</v>
      </c>
      <c r="I690" s="7">
        <f t="shared" si="51"/>
        <v>402.19524641631938</v>
      </c>
      <c r="J690" s="7">
        <f t="shared" si="53"/>
        <v>-0.30524641631939176</v>
      </c>
      <c r="K690" s="7" cm="1">
        <f t="array" ref="K690">INDEX(Sm,G690)</f>
        <v>-0.89132446529561371</v>
      </c>
      <c r="L690" s="7">
        <f t="shared" si="54"/>
        <v>401.30392195102377</v>
      </c>
      <c r="M690" s="7">
        <f t="shared" si="55"/>
        <v>0.58607804897621918</v>
      </c>
    </row>
    <row r="691" spans="6:13" ht="18.75" customHeight="1">
      <c r="F691" s="1">
        <v>42370</v>
      </c>
      <c r="G691">
        <f t="shared" si="52"/>
        <v>1</v>
      </c>
      <c r="H691" s="7">
        <v>402.65</v>
      </c>
      <c r="I691" s="7">
        <f t="shared" si="51"/>
        <v>402.38816921873087</v>
      </c>
      <c r="J691" s="7">
        <f t="shared" si="53"/>
        <v>0.26183078126911141</v>
      </c>
      <c r="K691" s="7" cm="1">
        <f t="array" ref="K691">INDEX(Sm,G691)</f>
        <v>6.1040869584970889E-2</v>
      </c>
      <c r="L691" s="7">
        <f t="shared" si="54"/>
        <v>402.44921008831585</v>
      </c>
      <c r="M691" s="7">
        <f t="shared" si="55"/>
        <v>0.20078991168412585</v>
      </c>
    </row>
    <row r="692" spans="6:13" ht="18.75" customHeight="1">
      <c r="F692" s="1">
        <v>42401</v>
      </c>
      <c r="G692">
        <f t="shared" si="52"/>
        <v>2</v>
      </c>
      <c r="H692" s="7">
        <v>404.16</v>
      </c>
      <c r="I692" s="7">
        <f t="shared" si="51"/>
        <v>402.58128046807371</v>
      </c>
      <c r="J692" s="7">
        <f t="shared" si="53"/>
        <v>1.5787195319263105</v>
      </c>
      <c r="K692" s="7" cm="1">
        <f t="array" ref="K692">INDEX(Sm,G692)</f>
        <v>0.69421564520236412</v>
      </c>
      <c r="L692" s="7">
        <f t="shared" si="54"/>
        <v>403.27549611327606</v>
      </c>
      <c r="M692" s="7">
        <f t="shared" si="55"/>
        <v>0.8845038867239623</v>
      </c>
    </row>
    <row r="693" spans="6:13" ht="18.75" customHeight="1">
      <c r="F693" s="1">
        <v>42430</v>
      </c>
      <c r="G693">
        <f t="shared" si="52"/>
        <v>3</v>
      </c>
      <c r="H693" s="7">
        <v>404.85</v>
      </c>
      <c r="I693" s="7">
        <f t="shared" si="51"/>
        <v>402.76210352945714</v>
      </c>
      <c r="J693" s="7">
        <f t="shared" si="53"/>
        <v>2.0878964705428871</v>
      </c>
      <c r="K693" s="7" cm="1">
        <f t="array" ref="K693">INDEX(Sm,G693)</f>
        <v>1.3733706304072995</v>
      </c>
      <c r="L693" s="7">
        <f t="shared" si="54"/>
        <v>404.13547415986443</v>
      </c>
      <c r="M693" s="7">
        <f t="shared" si="55"/>
        <v>0.71452584013559317</v>
      </c>
    </row>
    <row r="694" spans="6:13" ht="18.75" customHeight="1">
      <c r="F694" s="1">
        <v>42461</v>
      </c>
      <c r="G694">
        <f t="shared" si="52"/>
        <v>4</v>
      </c>
      <c r="H694" s="7">
        <v>407.57</v>
      </c>
      <c r="I694" s="7">
        <f t="shared" si="51"/>
        <v>402.95557951479611</v>
      </c>
      <c r="J694" s="7">
        <f t="shared" si="53"/>
        <v>4.6144204852038797</v>
      </c>
      <c r="K694" s="7" cm="1">
        <f t="array" ref="K694">INDEX(Sm,G694)</f>
        <v>2.6099183412742755</v>
      </c>
      <c r="L694" s="7">
        <f t="shared" si="54"/>
        <v>405.56549785607041</v>
      </c>
      <c r="M694" s="7">
        <f t="shared" si="55"/>
        <v>2.0045021439295851</v>
      </c>
    </row>
    <row r="695" spans="6:13" ht="18.75" customHeight="1">
      <c r="F695" s="1">
        <v>42491</v>
      </c>
      <c r="G695">
        <f t="shared" si="52"/>
        <v>5</v>
      </c>
      <c r="H695" s="7">
        <v>407.66</v>
      </c>
      <c r="I695" s="7">
        <f t="shared" si="51"/>
        <v>403.14299376589628</v>
      </c>
      <c r="J695" s="7">
        <f t="shared" si="53"/>
        <v>4.5170062341037465</v>
      </c>
      <c r="K695" s="7" cm="1">
        <f t="array" ref="K695">INDEX(Sm,G695)</f>
        <v>3.065291801195754</v>
      </c>
      <c r="L695" s="7">
        <f t="shared" si="54"/>
        <v>406.20828556709205</v>
      </c>
      <c r="M695" s="7">
        <f t="shared" si="55"/>
        <v>1.451714432907977</v>
      </c>
    </row>
    <row r="696" spans="6:13" ht="18.75" customHeight="1">
      <c r="F696" s="1">
        <v>42522</v>
      </c>
      <c r="G696">
        <f t="shared" si="52"/>
        <v>6</v>
      </c>
      <c r="H696" s="7">
        <v>407</v>
      </c>
      <c r="I696" s="7">
        <f t="shared" si="51"/>
        <v>403.3368405661646</v>
      </c>
      <c r="J696" s="7">
        <f t="shared" si="53"/>
        <v>3.6631594338354034</v>
      </c>
      <c r="K696" s="7" cm="1">
        <f t="array" ref="K696">INDEX(Sm,G696)</f>
        <v>2.3463851222642056</v>
      </c>
      <c r="L696" s="7">
        <f t="shared" si="54"/>
        <v>405.68322568842882</v>
      </c>
      <c r="M696" s="7">
        <f t="shared" si="55"/>
        <v>1.3167743115711801</v>
      </c>
    </row>
    <row r="697" spans="6:13" ht="18.75" customHeight="1">
      <c r="F697" s="1">
        <v>42552</v>
      </c>
      <c r="G697">
        <f t="shared" si="52"/>
        <v>7</v>
      </c>
      <c r="H697" s="7">
        <v>404.5</v>
      </c>
      <c r="I697" s="7">
        <f t="shared" si="51"/>
        <v>403.52461367042224</v>
      </c>
      <c r="J697" s="7">
        <f t="shared" si="53"/>
        <v>0.97538632957775917</v>
      </c>
      <c r="K697" s="7" cm="1">
        <f t="array" ref="K697">INDEX(Sm,G697)</f>
        <v>0.72334113060077332</v>
      </c>
      <c r="L697" s="7">
        <f t="shared" si="54"/>
        <v>404.24795480102301</v>
      </c>
      <c r="M697" s="7">
        <f t="shared" si="55"/>
        <v>0.25204519897698674</v>
      </c>
    </row>
    <row r="698" spans="6:13" ht="18.75" customHeight="1">
      <c r="F698" s="1">
        <v>42583</v>
      </c>
      <c r="G698">
        <f t="shared" si="52"/>
        <v>8</v>
      </c>
      <c r="H698" s="7">
        <v>402.24</v>
      </c>
      <c r="I698" s="7">
        <f t="shared" si="51"/>
        <v>403.71883128561979</v>
      </c>
      <c r="J698" s="7">
        <f t="shared" si="53"/>
        <v>-1.4788312856197763</v>
      </c>
      <c r="K698" s="7" cm="1">
        <f t="array" ref="K698">INDEX(Sm,G698)</f>
        <v>-1.3975570061157723</v>
      </c>
      <c r="L698" s="7">
        <f t="shared" si="54"/>
        <v>402.321274279504</v>
      </c>
      <c r="M698" s="7">
        <f t="shared" si="55"/>
        <v>-8.1274279503986691E-2</v>
      </c>
    </row>
    <row r="699" spans="6:13" ht="18.75" customHeight="1">
      <c r="F699" s="1">
        <v>42614</v>
      </c>
      <c r="G699">
        <f t="shared" si="52"/>
        <v>9</v>
      </c>
      <c r="H699" s="7">
        <v>401.01</v>
      </c>
      <c r="I699" s="7">
        <f t="shared" si="51"/>
        <v>403.91323734774869</v>
      </c>
      <c r="J699" s="7">
        <f t="shared" si="53"/>
        <v>-2.9032373477486999</v>
      </c>
      <c r="K699" s="7" cm="1">
        <f t="array" ref="K699">INDEX(Sm,G699)</f>
        <v>-3.1934822994410497</v>
      </c>
      <c r="L699" s="7">
        <f t="shared" si="54"/>
        <v>400.71975504830766</v>
      </c>
      <c r="M699" s="7">
        <f t="shared" si="55"/>
        <v>0.29024495169232978</v>
      </c>
    </row>
    <row r="700" spans="6:13" ht="18.75" customHeight="1">
      <c r="F700" s="1">
        <v>42644</v>
      </c>
      <c r="G700">
        <f t="shared" si="52"/>
        <v>10</v>
      </c>
      <c r="H700" s="7">
        <v>401.5</v>
      </c>
      <c r="I700" s="7">
        <f t="shared" si="51"/>
        <v>404.10155167316185</v>
      </c>
      <c r="J700" s="7">
        <f t="shared" si="53"/>
        <v>-2.6015516731618504</v>
      </c>
      <c r="K700" s="7" cm="1">
        <f t="array" ref="K700">INDEX(Sm,G700)</f>
        <v>-3.3368150874962788</v>
      </c>
      <c r="L700" s="7">
        <f t="shared" si="54"/>
        <v>400.76473658566556</v>
      </c>
      <c r="M700" s="7">
        <f t="shared" si="55"/>
        <v>0.73526341433444031</v>
      </c>
    </row>
    <row r="701" spans="6:13" ht="18.75" customHeight="1">
      <c r="F701" s="1">
        <v>42675</v>
      </c>
      <c r="G701">
        <f t="shared" si="52"/>
        <v>11</v>
      </c>
      <c r="H701" s="7">
        <v>403.64</v>
      </c>
      <c r="I701" s="7">
        <f t="shared" si="51"/>
        <v>404.29632855022004</v>
      </c>
      <c r="J701" s="7">
        <f t="shared" si="53"/>
        <v>-0.65632855022005288</v>
      </c>
      <c r="K701" s="7" cm="1">
        <f t="array" ref="K701">INDEX(Sm,G701)</f>
        <v>-2.0591623324975612</v>
      </c>
      <c r="L701" s="7">
        <f t="shared" si="54"/>
        <v>402.23716621772246</v>
      </c>
      <c r="M701" s="7">
        <f t="shared" si="55"/>
        <v>1.4028337822775256</v>
      </c>
    </row>
    <row r="702" spans="6:13" ht="18.75" customHeight="1">
      <c r="F702" s="1">
        <v>42705</v>
      </c>
      <c r="G702">
        <f t="shared" si="52"/>
        <v>12</v>
      </c>
      <c r="H702" s="7">
        <v>404.55</v>
      </c>
      <c r="I702" s="7">
        <f t="shared" si="51"/>
        <v>404.48500172879062</v>
      </c>
      <c r="J702" s="7">
        <f t="shared" si="53"/>
        <v>6.4998271209390168E-2</v>
      </c>
      <c r="K702" s="7" cm="1">
        <f t="array" ref="K702">INDEX(Sm,G702)</f>
        <v>-0.89132446529561371</v>
      </c>
      <c r="L702" s="7">
        <f t="shared" si="54"/>
        <v>403.59367726349501</v>
      </c>
      <c r="M702" s="7">
        <f t="shared" si="55"/>
        <v>0.9563227365050011</v>
      </c>
    </row>
    <row r="703" spans="6:13" ht="18.75" customHeight="1">
      <c r="F703" s="1">
        <v>42736</v>
      </c>
      <c r="G703">
        <f t="shared" si="52"/>
        <v>1</v>
      </c>
      <c r="H703" s="7">
        <v>406.07</v>
      </c>
      <c r="I703" s="7">
        <f t="shared" si="51"/>
        <v>404.68014942077815</v>
      </c>
      <c r="J703" s="7">
        <f t="shared" si="53"/>
        <v>1.389850579221843</v>
      </c>
      <c r="K703" s="7" cm="1">
        <f t="array" ref="K703">INDEX(Sm,G703)</f>
        <v>6.1040869584970889E-2</v>
      </c>
      <c r="L703" s="7">
        <f t="shared" si="54"/>
        <v>404.74119029036314</v>
      </c>
      <c r="M703" s="7">
        <f t="shared" si="55"/>
        <v>1.3288097096368574</v>
      </c>
    </row>
    <row r="704" spans="6:13" ht="18.75" customHeight="1">
      <c r="F704" s="1">
        <v>42767</v>
      </c>
      <c r="G704">
        <f t="shared" si="52"/>
        <v>2</v>
      </c>
      <c r="H704" s="7">
        <v>406.64</v>
      </c>
      <c r="I704" s="7">
        <f t="shared" si="51"/>
        <v>404.87548555969698</v>
      </c>
      <c r="J704" s="7">
        <f t="shared" si="53"/>
        <v>1.7645144403030031</v>
      </c>
      <c r="K704" s="7" cm="1">
        <f t="array" ref="K704">INDEX(Sm,G704)</f>
        <v>0.69421564520236412</v>
      </c>
      <c r="L704" s="7">
        <f t="shared" si="54"/>
        <v>405.56970120489933</v>
      </c>
      <c r="M704" s="7">
        <f t="shared" si="55"/>
        <v>1.0702987951006548</v>
      </c>
    </row>
    <row r="705" spans="6:13" ht="18.75" customHeight="1">
      <c r="F705" s="1">
        <v>42795</v>
      </c>
      <c r="G705">
        <f t="shared" si="52"/>
        <v>3</v>
      </c>
      <c r="H705" s="7">
        <v>407.05</v>
      </c>
      <c r="I705" s="7">
        <f t="shared" si="51"/>
        <v>405.05208017545851</v>
      </c>
      <c r="J705" s="7">
        <f t="shared" si="53"/>
        <v>1.9979198245414977</v>
      </c>
      <c r="K705" s="7" cm="1">
        <f t="array" ref="K705">INDEX(Sm,G705)</f>
        <v>1.3733706304072995</v>
      </c>
      <c r="L705" s="7">
        <f t="shared" si="54"/>
        <v>406.42545080586581</v>
      </c>
      <c r="M705" s="7">
        <f t="shared" si="55"/>
        <v>0.62454919413420384</v>
      </c>
    </row>
    <row r="706" spans="6:13" ht="18.75" customHeight="1">
      <c r="F706" s="1">
        <v>42826</v>
      </c>
      <c r="G706">
        <f t="shared" si="52"/>
        <v>4</v>
      </c>
      <c r="H706" s="7">
        <v>408.95</v>
      </c>
      <c r="I706" s="7">
        <f t="shared" ref="I706:I743" si="56">_A*F706*F706+_B*F706+_C</f>
        <v>405.24777497144015</v>
      </c>
      <c r="J706" s="7">
        <f t="shared" si="53"/>
        <v>3.7022250285598375</v>
      </c>
      <c r="K706" s="7" cm="1">
        <f t="array" ref="K706">INDEX(Sm,G706)</f>
        <v>2.6099183412742755</v>
      </c>
      <c r="L706" s="7">
        <f t="shared" si="54"/>
        <v>407.85769331271445</v>
      </c>
      <c r="M706" s="7">
        <f t="shared" si="55"/>
        <v>1.0923066872855429</v>
      </c>
    </row>
    <row r="707" spans="6:13" ht="18.75" customHeight="1">
      <c r="F707" s="1">
        <v>42856</v>
      </c>
      <c r="G707">
        <f t="shared" ref="G707:G770" si="57">MONTH(F707)</f>
        <v>5</v>
      </c>
      <c r="H707" s="7">
        <v>409.91</v>
      </c>
      <c r="I707" s="7">
        <f t="shared" si="56"/>
        <v>405.43733645864626</v>
      </c>
      <c r="J707" s="7">
        <f t="shared" ref="J707:J742" si="58">H707-I707</f>
        <v>4.4726635413537679</v>
      </c>
      <c r="K707" s="7" cm="1">
        <f t="array" ref="K707">INDEX(Sm,G707)</f>
        <v>3.065291801195754</v>
      </c>
      <c r="L707" s="7">
        <f t="shared" ref="L707:L742" si="59">I707+K707</f>
        <v>408.50262825984203</v>
      </c>
      <c r="M707" s="7">
        <f t="shared" ref="M707:M742" si="60">H707-L707</f>
        <v>1.4073717401579984</v>
      </c>
    </row>
    <row r="708" spans="6:13" ht="18.75" customHeight="1">
      <c r="F708" s="1">
        <v>42887</v>
      </c>
      <c r="G708">
        <f t="shared" si="57"/>
        <v>6</v>
      </c>
      <c r="H708" s="7">
        <v>409.12</v>
      </c>
      <c r="I708" s="7">
        <f t="shared" si="56"/>
        <v>405.63340206955729</v>
      </c>
      <c r="J708" s="7">
        <f t="shared" si="58"/>
        <v>3.4865979304427128</v>
      </c>
      <c r="K708" s="7" cm="1">
        <f t="array" ref="K708">INDEX(Sm,G708)</f>
        <v>2.3463851222642056</v>
      </c>
      <c r="L708" s="7">
        <f t="shared" si="59"/>
        <v>407.97978719182152</v>
      </c>
      <c r="M708" s="7">
        <f t="shared" si="60"/>
        <v>1.1402128081784895</v>
      </c>
    </row>
    <row r="709" spans="6:13" ht="18.75" customHeight="1">
      <c r="F709" s="1">
        <v>42917</v>
      </c>
      <c r="G709">
        <f t="shared" si="57"/>
        <v>7</v>
      </c>
      <c r="H709" s="7">
        <v>407.2</v>
      </c>
      <c r="I709" s="7">
        <f t="shared" si="56"/>
        <v>405.82332240992076</v>
      </c>
      <c r="J709" s="7">
        <f t="shared" si="58"/>
        <v>1.3766775900792254</v>
      </c>
      <c r="K709" s="7" cm="1">
        <f t="array" ref="K709">INDEX(Sm,G709)</f>
        <v>0.72334113060077332</v>
      </c>
      <c r="L709" s="7">
        <f t="shared" si="59"/>
        <v>406.54666354052154</v>
      </c>
      <c r="M709" s="7">
        <f t="shared" si="60"/>
        <v>0.65333645947845298</v>
      </c>
    </row>
    <row r="710" spans="6:13" ht="18.75" customHeight="1">
      <c r="F710" s="1">
        <v>42948</v>
      </c>
      <c r="G710">
        <f t="shared" si="57"/>
        <v>8</v>
      </c>
      <c r="H710" s="7">
        <v>405.24</v>
      </c>
      <c r="I710" s="7">
        <f t="shared" si="56"/>
        <v>406.01975883576108</v>
      </c>
      <c r="J710" s="7">
        <f t="shared" si="58"/>
        <v>-0.77975883576107208</v>
      </c>
      <c r="K710" s="7" cm="1">
        <f t="array" ref="K710">INDEX(Sm,G710)</f>
        <v>-1.3975570061157723</v>
      </c>
      <c r="L710" s="7">
        <f t="shared" si="59"/>
        <v>404.62220182964529</v>
      </c>
      <c r="M710" s="7">
        <f t="shared" si="60"/>
        <v>0.61779817035471751</v>
      </c>
    </row>
    <row r="711" spans="6:13" ht="18.75" customHeight="1">
      <c r="F711" s="1">
        <v>42979</v>
      </c>
      <c r="G711">
        <f t="shared" si="57"/>
        <v>9</v>
      </c>
      <c r="H711" s="7">
        <v>403.27</v>
      </c>
      <c r="I711" s="7">
        <f t="shared" si="56"/>
        <v>406.21638370853276</v>
      </c>
      <c r="J711" s="7">
        <f t="shared" si="58"/>
        <v>-2.9463837085327782</v>
      </c>
      <c r="K711" s="7" cm="1">
        <f t="array" ref="K711">INDEX(Sm,G711)</f>
        <v>-3.1934822994410497</v>
      </c>
      <c r="L711" s="7">
        <f t="shared" si="59"/>
        <v>403.02290140909173</v>
      </c>
      <c r="M711" s="7">
        <f t="shared" si="60"/>
        <v>0.24709859090825148</v>
      </c>
    </row>
    <row r="712" spans="6:13" ht="18.75" customHeight="1">
      <c r="F712" s="1">
        <v>43009</v>
      </c>
      <c r="G712">
        <f t="shared" si="57"/>
        <v>10</v>
      </c>
      <c r="H712" s="7">
        <v>403.64</v>
      </c>
      <c r="I712" s="7">
        <f t="shared" si="56"/>
        <v>406.40684527005169</v>
      </c>
      <c r="J712" s="7">
        <f t="shared" si="58"/>
        <v>-2.7668452700517037</v>
      </c>
      <c r="K712" s="7" cm="1">
        <f t="array" ref="K712">INDEX(Sm,G712)</f>
        <v>-3.3368150874962788</v>
      </c>
      <c r="L712" s="7">
        <f t="shared" si="59"/>
        <v>403.0700301825554</v>
      </c>
      <c r="M712" s="7">
        <f t="shared" si="60"/>
        <v>0.56996981744458708</v>
      </c>
    </row>
    <row r="713" spans="6:13" ht="18.75" customHeight="1">
      <c r="F713" s="1">
        <v>43040</v>
      </c>
      <c r="G713">
        <f t="shared" si="57"/>
        <v>11</v>
      </c>
      <c r="H713" s="7">
        <v>405.17</v>
      </c>
      <c r="I713" s="7">
        <f t="shared" si="56"/>
        <v>406.60384095775265</v>
      </c>
      <c r="J713" s="7">
        <f t="shared" si="58"/>
        <v>-1.4338409577526363</v>
      </c>
      <c r="K713" s="7" cm="1">
        <f t="array" ref="K713">INDEX(Sm,G713)</f>
        <v>-2.0591623324975612</v>
      </c>
      <c r="L713" s="7">
        <f t="shared" si="59"/>
        <v>404.54467862525507</v>
      </c>
      <c r="M713" s="7">
        <f t="shared" si="60"/>
        <v>0.6253213747449422</v>
      </c>
    </row>
    <row r="714" spans="6:13" ht="18.75" customHeight="1">
      <c r="F714" s="1">
        <v>43070</v>
      </c>
      <c r="G714">
        <f t="shared" si="57"/>
        <v>12</v>
      </c>
      <c r="H714" s="7">
        <v>406.75</v>
      </c>
      <c r="I714" s="7">
        <f t="shared" si="56"/>
        <v>406.79466137242906</v>
      </c>
      <c r="J714" s="7">
        <f t="shared" si="58"/>
        <v>-4.466137242906143E-2</v>
      </c>
      <c r="K714" s="7" cm="1">
        <f t="array" ref="K714">INDEX(Sm,G714)</f>
        <v>-0.89132446529561371</v>
      </c>
      <c r="L714" s="7">
        <f t="shared" si="59"/>
        <v>405.90333690713345</v>
      </c>
      <c r="M714" s="7">
        <f t="shared" si="60"/>
        <v>0.8466630928665495</v>
      </c>
    </row>
    <row r="715" spans="6:13" ht="18.75" customHeight="1">
      <c r="F715" s="1">
        <v>43101</v>
      </c>
      <c r="G715">
        <f t="shared" si="57"/>
        <v>1</v>
      </c>
      <c r="H715" s="7">
        <v>408.05</v>
      </c>
      <c r="I715" s="7">
        <f t="shared" si="56"/>
        <v>406.99202787505931</v>
      </c>
      <c r="J715" s="7">
        <f t="shared" si="58"/>
        <v>1.0579721249407044</v>
      </c>
      <c r="K715" s="7" cm="1">
        <f t="array" ref="K715">INDEX(Sm,G715)</f>
        <v>6.1040869584970889E-2</v>
      </c>
      <c r="L715" s="7">
        <f t="shared" si="59"/>
        <v>407.05306874464429</v>
      </c>
      <c r="M715" s="7">
        <f t="shared" si="60"/>
        <v>0.9969312553557188</v>
      </c>
    </row>
    <row r="716" spans="6:13" ht="18.75" customHeight="1">
      <c r="F716" s="1">
        <v>43132</v>
      </c>
      <c r="G716">
        <f t="shared" si="57"/>
        <v>2</v>
      </c>
      <c r="H716" s="7">
        <v>408.34</v>
      </c>
      <c r="I716" s="7">
        <f t="shared" si="56"/>
        <v>407.18958282462091</v>
      </c>
      <c r="J716" s="7">
        <f t="shared" si="58"/>
        <v>1.1504171753790615</v>
      </c>
      <c r="K716" s="7" cm="1">
        <f t="array" ref="K716">INDEX(Sm,G716)</f>
        <v>0.69421564520236412</v>
      </c>
      <c r="L716" s="7">
        <f t="shared" si="59"/>
        <v>407.88379846982326</v>
      </c>
      <c r="M716" s="7">
        <f t="shared" si="60"/>
        <v>0.45620153017671328</v>
      </c>
    </row>
    <row r="717" spans="6:13" ht="18.75" customHeight="1">
      <c r="F717" s="1">
        <v>43160</v>
      </c>
      <c r="G717">
        <f t="shared" si="57"/>
        <v>3</v>
      </c>
      <c r="H717" s="7">
        <v>409.25</v>
      </c>
      <c r="I717" s="7">
        <f t="shared" si="56"/>
        <v>407.36818152741455</v>
      </c>
      <c r="J717" s="7">
        <f t="shared" si="58"/>
        <v>1.8818184725854508</v>
      </c>
      <c r="K717" s="7" cm="1">
        <f t="array" ref="K717">INDEX(Sm,G717)</f>
        <v>1.3733706304072995</v>
      </c>
      <c r="L717" s="7">
        <f t="shared" si="59"/>
        <v>408.74155215782184</v>
      </c>
      <c r="M717" s="7">
        <f t="shared" si="60"/>
        <v>0.50844784217815686</v>
      </c>
    </row>
    <row r="718" spans="6:13" ht="18.75" customHeight="1">
      <c r="F718" s="1">
        <v>43191</v>
      </c>
      <c r="G718">
        <f t="shared" si="57"/>
        <v>4</v>
      </c>
      <c r="H718" s="7">
        <v>410.3</v>
      </c>
      <c r="I718" s="7">
        <f t="shared" si="56"/>
        <v>407.56609513403896</v>
      </c>
      <c r="J718" s="7">
        <f t="shared" si="58"/>
        <v>2.7339048659610512</v>
      </c>
      <c r="K718" s="7" cm="1">
        <f t="array" ref="K718">INDEX(Sm,G718)</f>
        <v>2.6099183412742755</v>
      </c>
      <c r="L718" s="7">
        <f t="shared" si="59"/>
        <v>410.17601347531325</v>
      </c>
      <c r="M718" s="7">
        <f t="shared" si="60"/>
        <v>0.12398652468675664</v>
      </c>
    </row>
    <row r="719" spans="6:13" ht="18.75" customHeight="1">
      <c r="F719" s="1">
        <v>43221</v>
      </c>
      <c r="G719">
        <f t="shared" si="57"/>
        <v>5</v>
      </c>
      <c r="H719" s="7">
        <v>411.3</v>
      </c>
      <c r="I719" s="7">
        <f t="shared" si="56"/>
        <v>407.75780385735095</v>
      </c>
      <c r="J719" s="7">
        <f t="shared" si="58"/>
        <v>3.5421961426490611</v>
      </c>
      <c r="K719" s="7" cm="1">
        <f t="array" ref="K719">INDEX(Sm,G719)</f>
        <v>3.065291801195754</v>
      </c>
      <c r="L719" s="7">
        <f t="shared" si="59"/>
        <v>410.82309565854672</v>
      </c>
      <c r="M719" s="7">
        <f t="shared" si="60"/>
        <v>0.47690434145329164</v>
      </c>
    </row>
    <row r="720" spans="6:13" ht="18.75" customHeight="1">
      <c r="F720" s="1">
        <v>43252</v>
      </c>
      <c r="G720">
        <f t="shared" si="57"/>
        <v>6</v>
      </c>
      <c r="H720" s="7">
        <v>410.88</v>
      </c>
      <c r="I720" s="7">
        <f t="shared" si="56"/>
        <v>407.95608827890464</v>
      </c>
      <c r="J720" s="7">
        <f t="shared" si="58"/>
        <v>2.9239117210953509</v>
      </c>
      <c r="K720" s="7" cm="1">
        <f t="array" ref="K720">INDEX(Sm,G720)</f>
        <v>2.3463851222642056</v>
      </c>
      <c r="L720" s="7">
        <f t="shared" si="59"/>
        <v>410.30247340116887</v>
      </c>
      <c r="M720" s="7">
        <f t="shared" si="60"/>
        <v>0.57752659883112756</v>
      </c>
    </row>
    <row r="721" spans="6:13" ht="18.75" customHeight="1">
      <c r="F721" s="1">
        <v>43282</v>
      </c>
      <c r="G721">
        <f t="shared" si="57"/>
        <v>7</v>
      </c>
      <c r="H721" s="7">
        <v>408.9</v>
      </c>
      <c r="I721" s="7">
        <f t="shared" si="56"/>
        <v>408.14815585537406</v>
      </c>
      <c r="J721" s="7">
        <f t="shared" si="58"/>
        <v>0.75184414462592031</v>
      </c>
      <c r="K721" s="7" cm="1">
        <f t="array" ref="K721">INDEX(Sm,G721)</f>
        <v>0.72334113060077332</v>
      </c>
      <c r="L721" s="7">
        <f t="shared" si="59"/>
        <v>408.87149698597483</v>
      </c>
      <c r="M721" s="7">
        <f t="shared" si="60"/>
        <v>2.8503014025147877E-2</v>
      </c>
    </row>
    <row r="722" spans="6:13" ht="18.75" customHeight="1">
      <c r="F722" s="1">
        <v>43313</v>
      </c>
      <c r="G722">
        <f t="shared" si="57"/>
        <v>8</v>
      </c>
      <c r="H722" s="7">
        <v>407.1</v>
      </c>
      <c r="I722" s="7">
        <f t="shared" si="56"/>
        <v>408.34681109185709</v>
      </c>
      <c r="J722" s="7">
        <f t="shared" si="58"/>
        <v>-1.2468110918570687</v>
      </c>
      <c r="K722" s="7" cm="1">
        <f t="array" ref="K722">INDEX(Sm,G722)</f>
        <v>-1.3975570061157723</v>
      </c>
      <c r="L722" s="7">
        <f t="shared" si="59"/>
        <v>406.9492540857413</v>
      </c>
      <c r="M722" s="7">
        <f t="shared" si="60"/>
        <v>0.15074591425872086</v>
      </c>
    </row>
    <row r="723" spans="6:13" ht="18.75" customHeight="1">
      <c r="F723" s="1">
        <v>43344</v>
      </c>
      <c r="G723">
        <f t="shared" si="57"/>
        <v>9</v>
      </c>
      <c r="H723" s="7">
        <v>405.59</v>
      </c>
      <c r="I723" s="7">
        <f t="shared" si="56"/>
        <v>408.54565477527143</v>
      </c>
      <c r="J723" s="7">
        <f t="shared" si="58"/>
        <v>-2.955654775271455</v>
      </c>
      <c r="K723" s="7" cm="1">
        <f t="array" ref="K723">INDEX(Sm,G723)</f>
        <v>-3.1934822994410497</v>
      </c>
      <c r="L723" s="7">
        <f t="shared" si="59"/>
        <v>405.3521724758304</v>
      </c>
      <c r="M723" s="7">
        <f t="shared" si="60"/>
        <v>0.23782752416957464</v>
      </c>
    </row>
    <row r="724" spans="6:13" ht="18.75" customHeight="1">
      <c r="F724" s="1">
        <v>43374</v>
      </c>
      <c r="G724">
        <f t="shared" si="57"/>
        <v>10</v>
      </c>
      <c r="H724" s="7">
        <v>405.99</v>
      </c>
      <c r="I724" s="7">
        <f t="shared" si="56"/>
        <v>408.7382635728963</v>
      </c>
      <c r="J724" s="7">
        <f t="shared" si="58"/>
        <v>-2.7482635728962919</v>
      </c>
      <c r="K724" s="7" cm="1">
        <f t="array" ref="K724">INDEX(Sm,G724)</f>
        <v>-3.3368150874962788</v>
      </c>
      <c r="L724" s="7">
        <f t="shared" si="59"/>
        <v>405.40144848540001</v>
      </c>
      <c r="M724" s="7">
        <f t="shared" si="60"/>
        <v>0.58855151459999888</v>
      </c>
    </row>
    <row r="725" spans="6:13" ht="18.75" customHeight="1">
      <c r="F725" s="1">
        <v>43405</v>
      </c>
      <c r="G725">
        <f t="shared" si="57"/>
        <v>11</v>
      </c>
      <c r="H725" s="7">
        <v>408.12</v>
      </c>
      <c r="I725" s="7">
        <f t="shared" si="56"/>
        <v>408.93747807123992</v>
      </c>
      <c r="J725" s="7">
        <f t="shared" si="58"/>
        <v>-0.81747807123991834</v>
      </c>
      <c r="K725" s="7" cm="1">
        <f t="array" ref="K725">INDEX(Sm,G725)</f>
        <v>-2.0591623324975612</v>
      </c>
      <c r="L725" s="7">
        <f t="shared" si="59"/>
        <v>406.87831573874234</v>
      </c>
      <c r="M725" s="7">
        <f t="shared" si="60"/>
        <v>1.2416842612576602</v>
      </c>
    </row>
    <row r="726" spans="6:13" ht="18.75" customHeight="1">
      <c r="F726" s="1">
        <v>43435</v>
      </c>
      <c r="G726">
        <f t="shared" si="57"/>
        <v>12</v>
      </c>
      <c r="H726" s="7">
        <v>409.23</v>
      </c>
      <c r="I726" s="7">
        <f t="shared" si="56"/>
        <v>409.13044572202222</v>
      </c>
      <c r="J726" s="7">
        <f t="shared" si="58"/>
        <v>9.955427797780203E-2</v>
      </c>
      <c r="K726" s="7" cm="1">
        <f t="array" ref="K726">INDEX(Sm,G726)</f>
        <v>-0.89132446529561371</v>
      </c>
      <c r="L726" s="7">
        <f t="shared" si="59"/>
        <v>408.23912125672661</v>
      </c>
      <c r="M726" s="7">
        <f t="shared" si="60"/>
        <v>0.99087874327341297</v>
      </c>
    </row>
    <row r="727" spans="6:13" ht="18.75" customHeight="1">
      <c r="F727" s="1">
        <v>43466</v>
      </c>
      <c r="G727">
        <f t="shared" si="57"/>
        <v>1</v>
      </c>
      <c r="H727" s="7">
        <v>410.92</v>
      </c>
      <c r="I727" s="7">
        <f t="shared" si="56"/>
        <v>409.33003103529524</v>
      </c>
      <c r="J727" s="7">
        <f t="shared" si="58"/>
        <v>1.5899689647047808</v>
      </c>
      <c r="K727" s="7" cm="1">
        <f t="array" ref="K727">INDEX(Sm,G727)</f>
        <v>6.1040869584970889E-2</v>
      </c>
      <c r="L727" s="7">
        <f t="shared" si="59"/>
        <v>409.39107190488022</v>
      </c>
      <c r="M727" s="7">
        <f t="shared" si="60"/>
        <v>1.5289280951197952</v>
      </c>
    </row>
    <row r="728" spans="6:13" ht="18.75" customHeight="1">
      <c r="F728" s="1">
        <v>43497</v>
      </c>
      <c r="G728">
        <f t="shared" si="57"/>
        <v>2</v>
      </c>
      <c r="H728" s="7">
        <v>411.66</v>
      </c>
      <c r="I728" s="7">
        <f t="shared" si="56"/>
        <v>409.52980479549956</v>
      </c>
      <c r="J728" s="7">
        <f t="shared" si="58"/>
        <v>2.1301952045004668</v>
      </c>
      <c r="K728" s="7" cm="1">
        <f t="array" ref="K728">INDEX(Sm,G728)</f>
        <v>0.69421564520236412</v>
      </c>
      <c r="L728" s="7">
        <f t="shared" si="59"/>
        <v>410.22402044070191</v>
      </c>
      <c r="M728" s="7">
        <f t="shared" si="60"/>
        <v>1.4359795592981186</v>
      </c>
    </row>
    <row r="729" spans="6:13" ht="18.75" customHeight="1">
      <c r="F729" s="1">
        <v>43525</v>
      </c>
      <c r="G729">
        <f t="shared" si="57"/>
        <v>3</v>
      </c>
      <c r="H729" s="7">
        <v>412</v>
      </c>
      <c r="I729" s="7">
        <f t="shared" si="56"/>
        <v>409.71040758532536</v>
      </c>
      <c r="J729" s="7">
        <f t="shared" si="58"/>
        <v>2.2895924146746438</v>
      </c>
      <c r="K729" s="7" cm="1">
        <f t="array" ref="K729">INDEX(Sm,G729)</f>
        <v>1.3733706304072995</v>
      </c>
      <c r="L729" s="7">
        <f t="shared" si="59"/>
        <v>411.08377821573265</v>
      </c>
      <c r="M729" s="7">
        <f t="shared" si="60"/>
        <v>0.9162217842673499</v>
      </c>
    </row>
    <row r="730" spans="6:13" ht="18.75" customHeight="1">
      <c r="F730" s="1">
        <v>43556</v>
      </c>
      <c r="G730">
        <f t="shared" si="57"/>
        <v>4</v>
      </c>
      <c r="H730" s="7">
        <v>413.52</v>
      </c>
      <c r="I730" s="7">
        <f t="shared" si="56"/>
        <v>409.91054000259248</v>
      </c>
      <c r="J730" s="7">
        <f t="shared" si="58"/>
        <v>3.6094599974074981</v>
      </c>
      <c r="K730" s="7" cm="1">
        <f t="array" ref="K730">INDEX(Sm,G730)</f>
        <v>2.6099183412742755</v>
      </c>
      <c r="L730" s="7">
        <f t="shared" si="59"/>
        <v>412.52045834386678</v>
      </c>
      <c r="M730" s="7">
        <f t="shared" si="60"/>
        <v>0.99954165613320356</v>
      </c>
    </row>
    <row r="731" spans="6:13" ht="18.75" customHeight="1">
      <c r="F731" s="1">
        <v>43586</v>
      </c>
      <c r="G731">
        <f t="shared" si="57"/>
        <v>5</v>
      </c>
      <c r="H731" s="7">
        <v>414.83</v>
      </c>
      <c r="I731" s="7">
        <f t="shared" si="56"/>
        <v>410.1043959620103</v>
      </c>
      <c r="J731" s="7">
        <f t="shared" si="58"/>
        <v>4.7256040379896831</v>
      </c>
      <c r="K731" s="7" cm="1">
        <f t="array" ref="K731">INDEX(Sm,G731)</f>
        <v>3.065291801195754</v>
      </c>
      <c r="L731" s="7">
        <f t="shared" si="59"/>
        <v>413.16968776320607</v>
      </c>
      <c r="M731" s="7">
        <f t="shared" si="60"/>
        <v>1.6603122367939136</v>
      </c>
    </row>
    <row r="732" spans="6:13" ht="18.75" customHeight="1">
      <c r="F732" s="1">
        <v>43617</v>
      </c>
      <c r="G732">
        <f t="shared" si="57"/>
        <v>6</v>
      </c>
      <c r="H732" s="7">
        <v>413.96</v>
      </c>
      <c r="I732" s="7">
        <f t="shared" si="56"/>
        <v>410.30489919420671</v>
      </c>
      <c r="J732" s="7">
        <f t="shared" si="58"/>
        <v>3.6551008057932677</v>
      </c>
      <c r="K732" s="7" cm="1">
        <f t="array" ref="K732">INDEX(Sm,G732)</f>
        <v>2.3463851222642056</v>
      </c>
      <c r="L732" s="7">
        <f t="shared" si="59"/>
        <v>412.65128431647094</v>
      </c>
      <c r="M732" s="7">
        <f t="shared" si="60"/>
        <v>1.3087156835290443</v>
      </c>
    </row>
    <row r="733" spans="6:13" ht="18.75" customHeight="1">
      <c r="F733" s="1">
        <v>43647</v>
      </c>
      <c r="G733">
        <f t="shared" si="57"/>
        <v>7</v>
      </c>
      <c r="H733" s="7">
        <v>411.85</v>
      </c>
      <c r="I733" s="7">
        <f t="shared" si="56"/>
        <v>410.49911400678201</v>
      </c>
      <c r="J733" s="7">
        <f t="shared" si="58"/>
        <v>1.3508859932180144</v>
      </c>
      <c r="K733" s="7" cm="1">
        <f t="array" ref="K733">INDEX(Sm,G733)</f>
        <v>0.72334113060077332</v>
      </c>
      <c r="L733" s="7">
        <f t="shared" si="59"/>
        <v>411.22245513738278</v>
      </c>
      <c r="M733" s="7">
        <f t="shared" si="60"/>
        <v>0.62754486261724196</v>
      </c>
    </row>
    <row r="734" spans="6:13" ht="18.75" customHeight="1">
      <c r="F734" s="1">
        <v>43678</v>
      </c>
      <c r="G734">
        <f t="shared" si="57"/>
        <v>8</v>
      </c>
      <c r="H734" s="7">
        <v>410.08</v>
      </c>
      <c r="I734" s="7">
        <f t="shared" si="56"/>
        <v>410.69998805390776</v>
      </c>
      <c r="J734" s="7">
        <f t="shared" si="58"/>
        <v>-0.61998805390777534</v>
      </c>
      <c r="K734" s="7" cm="1">
        <f t="array" ref="K734">INDEX(Sm,G734)</f>
        <v>-1.3975570061157723</v>
      </c>
      <c r="L734" s="7">
        <f t="shared" si="59"/>
        <v>409.30243104779197</v>
      </c>
      <c r="M734" s="7">
        <f t="shared" si="60"/>
        <v>0.77756895220801425</v>
      </c>
    </row>
    <row r="735" spans="6:13" ht="18.75" customHeight="1">
      <c r="F735" s="1">
        <v>43709</v>
      </c>
      <c r="G735">
        <f t="shared" si="57"/>
        <v>9</v>
      </c>
      <c r="H735" s="7">
        <v>408.55</v>
      </c>
      <c r="I735" s="7">
        <f t="shared" si="56"/>
        <v>410.90105054796481</v>
      </c>
      <c r="J735" s="7">
        <f t="shared" si="58"/>
        <v>-2.3510505479648032</v>
      </c>
      <c r="K735" s="7" cm="1">
        <f t="array" ref="K735">INDEX(Sm,G735)</f>
        <v>-3.1934822994410497</v>
      </c>
      <c r="L735" s="7">
        <f t="shared" si="59"/>
        <v>407.70756824852378</v>
      </c>
      <c r="M735" s="7">
        <f t="shared" si="60"/>
        <v>0.84243175147622651</v>
      </c>
    </row>
    <row r="736" spans="6:13" ht="18.75" customHeight="1">
      <c r="F736" s="1">
        <v>43739</v>
      </c>
      <c r="G736">
        <f t="shared" si="57"/>
        <v>10</v>
      </c>
      <c r="H736" s="7">
        <v>408.43</v>
      </c>
      <c r="I736" s="7">
        <f t="shared" si="56"/>
        <v>411.09580658169557</v>
      </c>
      <c r="J736" s="7">
        <f t="shared" si="58"/>
        <v>-2.6658065816955627</v>
      </c>
      <c r="K736" s="7" cm="1">
        <f t="array" ref="K736">INDEX(Sm,G736)</f>
        <v>-3.3368150874962788</v>
      </c>
      <c r="L736" s="7">
        <f t="shared" si="59"/>
        <v>407.75899149419928</v>
      </c>
      <c r="M736" s="7">
        <f t="shared" si="60"/>
        <v>0.67100850580072802</v>
      </c>
    </row>
    <row r="737" spans="6:13" ht="18.75" customHeight="1">
      <c r="F737" s="1">
        <v>43770</v>
      </c>
      <c r="G737">
        <f t="shared" si="57"/>
        <v>11</v>
      </c>
      <c r="H737" s="7">
        <v>410.29</v>
      </c>
      <c r="I737" s="7">
        <f t="shared" si="56"/>
        <v>411.29723989068202</v>
      </c>
      <c r="J737" s="7">
        <f t="shared" si="58"/>
        <v>-1.0072398906820013</v>
      </c>
      <c r="K737" s="7" cm="1">
        <f t="array" ref="K737">INDEX(Sm,G737)</f>
        <v>-2.0591623324975612</v>
      </c>
      <c r="L737" s="7">
        <f t="shared" si="59"/>
        <v>409.23807755818444</v>
      </c>
      <c r="M737" s="7">
        <f t="shared" si="60"/>
        <v>1.0519224418155773</v>
      </c>
    </row>
    <row r="738" spans="6:13" ht="18.75" customHeight="1">
      <c r="F738" s="1">
        <v>43800</v>
      </c>
      <c r="G738">
        <f t="shared" si="57"/>
        <v>12</v>
      </c>
      <c r="H738" s="7">
        <v>411.85</v>
      </c>
      <c r="I738" s="7">
        <f t="shared" si="56"/>
        <v>411.49235477757014</v>
      </c>
      <c r="J738" s="7">
        <f t="shared" si="58"/>
        <v>0.3576452224298805</v>
      </c>
      <c r="K738" s="7" cm="1">
        <f t="array" ref="K738">INDEX(Sm,G738)</f>
        <v>-0.89132446529561371</v>
      </c>
      <c r="L738" s="7">
        <f t="shared" si="59"/>
        <v>410.60103031227453</v>
      </c>
      <c r="M738" s="7">
        <f t="shared" si="60"/>
        <v>1.2489696877254914</v>
      </c>
    </row>
    <row r="739" spans="6:13" ht="18.75" customHeight="1">
      <c r="F739" s="1">
        <v>43831</v>
      </c>
      <c r="G739">
        <f t="shared" si="57"/>
        <v>1</v>
      </c>
      <c r="H739" s="7">
        <v>413.37</v>
      </c>
      <c r="I739" s="7">
        <f t="shared" si="56"/>
        <v>411.69415890148588</v>
      </c>
      <c r="J739" s="7">
        <f t="shared" si="58"/>
        <v>1.6758410985141268</v>
      </c>
      <c r="K739" s="7" cm="1">
        <f t="array" ref="K739">INDEX(Sm,G739)</f>
        <v>6.1040869584970889E-2</v>
      </c>
      <c r="L739" s="7">
        <f t="shared" si="59"/>
        <v>411.75519977107086</v>
      </c>
      <c r="M739" s="7">
        <f t="shared" si="60"/>
        <v>1.6148002289291412</v>
      </c>
    </row>
    <row r="740" spans="6:13" ht="18.75" customHeight="1">
      <c r="F740" s="1">
        <v>43862</v>
      </c>
      <c r="G740">
        <f t="shared" si="57"/>
        <v>2</v>
      </c>
      <c r="H740" s="7">
        <v>414.09</v>
      </c>
      <c r="I740" s="7">
        <f t="shared" si="56"/>
        <v>411.89615147233292</v>
      </c>
      <c r="J740" s="7">
        <f t="shared" si="58"/>
        <v>2.1938485276670576</v>
      </c>
      <c r="K740" s="7" cm="1">
        <f t="array" ref="K740">INDEX(Sm,G740)</f>
        <v>0.69421564520236412</v>
      </c>
      <c r="L740" s="7">
        <f t="shared" si="59"/>
        <v>412.59036711753527</v>
      </c>
      <c r="M740" s="7">
        <f t="shared" si="60"/>
        <v>1.4996328824647094</v>
      </c>
    </row>
    <row r="741" spans="6:13" ht="18.75" customHeight="1">
      <c r="F741" s="1">
        <v>43891</v>
      </c>
      <c r="G741">
        <f t="shared" si="57"/>
        <v>3</v>
      </c>
      <c r="H741" s="7">
        <v>414.51</v>
      </c>
      <c r="I741" s="7">
        <f t="shared" si="56"/>
        <v>412.08528286673641</v>
      </c>
      <c r="J741" s="7">
        <f t="shared" si="58"/>
        <v>2.4247171332635844</v>
      </c>
      <c r="K741" s="7" cm="1">
        <f t="array" ref="K741">INDEX(Sm,G741)</f>
        <v>1.3733706304072995</v>
      </c>
      <c r="L741" s="7">
        <f t="shared" si="59"/>
        <v>413.4586534971437</v>
      </c>
      <c r="M741" s="7">
        <f t="shared" si="60"/>
        <v>1.0513465028562905</v>
      </c>
    </row>
    <row r="742" spans="6:13" ht="18.75" customHeight="1">
      <c r="F742" s="16">
        <v>43922</v>
      </c>
      <c r="G742" s="17">
        <f t="shared" si="57"/>
        <v>4</v>
      </c>
      <c r="H742" s="18">
        <v>416.18</v>
      </c>
      <c r="I742" s="7">
        <f t="shared" si="56"/>
        <v>412.28764017357946</v>
      </c>
      <c r="J742" s="7">
        <f t="shared" si="58"/>
        <v>3.8923598264205452</v>
      </c>
      <c r="K742" s="7" cm="1">
        <f t="array" ref="K742">INDEX(Sm,G742)</f>
        <v>2.6099183412742755</v>
      </c>
      <c r="L742" s="7">
        <f t="shared" si="59"/>
        <v>414.89755851485376</v>
      </c>
      <c r="M742" s="7">
        <f t="shared" si="60"/>
        <v>1.2824414851462507</v>
      </c>
    </row>
    <row r="743" spans="6:13" ht="18.75" customHeight="1">
      <c r="F743" s="1">
        <v>43952</v>
      </c>
      <c r="G743">
        <f t="shared" si="57"/>
        <v>5</v>
      </c>
      <c r="I743" s="7">
        <f t="shared" si="56"/>
        <v>412.48364925194181</v>
      </c>
      <c r="J743" s="7"/>
      <c r="K743" s="7" cm="1">
        <f t="array" ref="K743">INDEX(Sm,G743)</f>
        <v>3.065291801195754</v>
      </c>
      <c r="L743" s="7">
        <f t="shared" ref="L743" si="61">I743+K743</f>
        <v>415.54894105313758</v>
      </c>
    </row>
    <row r="744" spans="6:13" ht="18.75" customHeight="1">
      <c r="F744" s="1">
        <v>43983</v>
      </c>
      <c r="G744">
        <f t="shared" si="57"/>
        <v>6</v>
      </c>
      <c r="I744" s="7">
        <f t="shared" ref="I744:I807" si="62">_A*F744*F744+_B*F744+_C</f>
        <v>412.68637737371427</v>
      </c>
      <c r="J744" s="7"/>
      <c r="K744" s="7" cm="1">
        <f t="array" ref="K744">INDEX(Sm,G744)</f>
        <v>2.3463851222642056</v>
      </c>
      <c r="L744" s="7">
        <f t="shared" ref="L744:L807" si="63">I744+K744</f>
        <v>415.03276249597849</v>
      </c>
    </row>
    <row r="745" spans="6:13" ht="18.75" customHeight="1">
      <c r="F745" s="1">
        <v>44013</v>
      </c>
      <c r="G745">
        <f t="shared" si="57"/>
        <v>7</v>
      </c>
      <c r="I745" s="7">
        <f t="shared" si="62"/>
        <v>412.88274530523404</v>
      </c>
      <c r="J745" s="7"/>
      <c r="K745" s="7" cm="1">
        <f t="array" ref="K745">INDEX(Sm,G745)</f>
        <v>0.72334113060077332</v>
      </c>
      <c r="L745" s="7">
        <f t="shared" si="63"/>
        <v>413.60608643583481</v>
      </c>
    </row>
    <row r="746" spans="6:13" ht="18.75" customHeight="1">
      <c r="F746" s="1">
        <v>44044</v>
      </c>
      <c r="G746">
        <f t="shared" si="57"/>
        <v>8</v>
      </c>
      <c r="I746" s="7">
        <f t="shared" si="62"/>
        <v>413.08584424193583</v>
      </c>
      <c r="J746" s="7"/>
      <c r="K746" s="7" cm="1">
        <f t="array" ref="K746">INDEX(Sm,G746)</f>
        <v>-1.3975570061157723</v>
      </c>
      <c r="L746" s="7">
        <f t="shared" si="63"/>
        <v>411.68828723582004</v>
      </c>
    </row>
    <row r="747" spans="6:13" ht="18.75" customHeight="1">
      <c r="F747" s="1">
        <v>44075</v>
      </c>
      <c r="G747">
        <f t="shared" si="57"/>
        <v>9</v>
      </c>
      <c r="I747" s="7">
        <f t="shared" si="62"/>
        <v>413.28913162556893</v>
      </c>
      <c r="J747" s="7"/>
      <c r="K747" s="7" cm="1">
        <f t="array" ref="K747">INDEX(Sm,G747)</f>
        <v>-3.1934822994410497</v>
      </c>
      <c r="L747" s="7">
        <f t="shared" si="63"/>
        <v>410.0956493261279</v>
      </c>
    </row>
    <row r="748" spans="6:13" ht="18.75" customHeight="1">
      <c r="F748" s="1">
        <v>44105</v>
      </c>
      <c r="G748">
        <f t="shared" si="57"/>
        <v>10</v>
      </c>
      <c r="I748" s="7">
        <f t="shared" si="62"/>
        <v>413.48604077824416</v>
      </c>
      <c r="J748" s="7"/>
      <c r="K748" s="7" cm="1">
        <f t="array" ref="K748">INDEX(Sm,G748)</f>
        <v>-3.3368150874962788</v>
      </c>
      <c r="L748" s="7">
        <f t="shared" si="63"/>
        <v>410.14922569074787</v>
      </c>
    </row>
    <row r="749" spans="6:13" ht="18.75" customHeight="1">
      <c r="F749" s="1">
        <v>44136</v>
      </c>
      <c r="G749">
        <f t="shared" si="57"/>
        <v>11</v>
      </c>
      <c r="I749" s="7">
        <f t="shared" si="62"/>
        <v>413.68969897680654</v>
      </c>
      <c r="J749" s="7"/>
      <c r="K749" s="7" cm="1">
        <f t="array" ref="K749">INDEX(Sm,G749)</f>
        <v>-2.0591623324975612</v>
      </c>
      <c r="L749" s="7">
        <f t="shared" si="63"/>
        <v>411.63053664430896</v>
      </c>
    </row>
    <row r="750" spans="6:13" ht="18.75" customHeight="1">
      <c r="F750" s="1">
        <v>44166</v>
      </c>
      <c r="G750">
        <f t="shared" si="57"/>
        <v>12</v>
      </c>
      <c r="I750" s="7">
        <f t="shared" si="62"/>
        <v>413.88696698263919</v>
      </c>
      <c r="J750" s="7"/>
      <c r="K750" s="7" cm="1">
        <f t="array" ref="K750">INDEX(Sm,G750)</f>
        <v>-0.89132446529561371</v>
      </c>
      <c r="L750" s="7">
        <f t="shared" si="63"/>
        <v>412.99564251734358</v>
      </c>
    </row>
    <row r="751" spans="6:13" ht="18.75" customHeight="1">
      <c r="F751" s="1">
        <v>44197</v>
      </c>
      <c r="G751">
        <f t="shared" si="57"/>
        <v>1</v>
      </c>
      <c r="I751" s="7">
        <f t="shared" si="62"/>
        <v>414.09099599613091</v>
      </c>
      <c r="J751" s="7"/>
      <c r="K751" s="7" cm="1">
        <f t="array" ref="K751">INDEX(Sm,G751)</f>
        <v>6.1040869584970889E-2</v>
      </c>
      <c r="L751" s="7">
        <f t="shared" si="63"/>
        <v>414.1520368657159</v>
      </c>
    </row>
    <row r="752" spans="6:13" ht="18.75" customHeight="1">
      <c r="F752" s="1">
        <v>44228</v>
      </c>
      <c r="G752">
        <f t="shared" si="57"/>
        <v>2</v>
      </c>
      <c r="I752" s="7">
        <f t="shared" si="62"/>
        <v>414.29521345655394</v>
      </c>
      <c r="J752" s="7"/>
      <c r="K752" s="7" cm="1">
        <f t="array" ref="K752">INDEX(Sm,G752)</f>
        <v>0.69421564520236412</v>
      </c>
      <c r="L752" s="7">
        <f t="shared" si="63"/>
        <v>414.98942910175629</v>
      </c>
    </row>
    <row r="753" spans="6:12" ht="18.75" customHeight="1">
      <c r="F753" s="1">
        <v>44256</v>
      </c>
      <c r="G753">
        <f t="shared" si="57"/>
        <v>3</v>
      </c>
      <c r="I753" s="7">
        <f t="shared" si="62"/>
        <v>414.47982991109342</v>
      </c>
      <c r="J753" s="7"/>
      <c r="K753" s="7" cm="1">
        <f t="array" ref="K753">INDEX(Sm,G753)</f>
        <v>1.3733706304072995</v>
      </c>
      <c r="L753" s="7">
        <f t="shared" si="63"/>
        <v>415.85320054150071</v>
      </c>
    </row>
    <row r="754" spans="6:12" ht="18.75" customHeight="1">
      <c r="F754" s="1">
        <v>44287</v>
      </c>
      <c r="G754">
        <f t="shared" si="57"/>
        <v>4</v>
      </c>
      <c r="I754" s="7">
        <f t="shared" si="62"/>
        <v>414.6844060285793</v>
      </c>
      <c r="J754" s="7"/>
      <c r="K754" s="7" cm="1">
        <f t="array" ref="K754">INDEX(Sm,G754)</f>
        <v>2.6099183412742755</v>
      </c>
      <c r="L754" s="7">
        <f t="shared" si="63"/>
        <v>417.2943243698536</v>
      </c>
    </row>
    <row r="755" spans="6:12" ht="18.75" customHeight="1">
      <c r="F755" s="1">
        <v>44317</v>
      </c>
      <c r="G755">
        <f t="shared" si="57"/>
        <v>5</v>
      </c>
      <c r="I755" s="7">
        <f t="shared" si="62"/>
        <v>414.88256234304754</v>
      </c>
      <c r="J755" s="7"/>
      <c r="K755" s="7" cm="1">
        <f t="array" ref="K755">INDEX(Sm,G755)</f>
        <v>3.065291801195754</v>
      </c>
      <c r="L755" s="7">
        <f t="shared" si="63"/>
        <v>417.94785414424331</v>
      </c>
    </row>
    <row r="756" spans="6:12" ht="18.75" customHeight="1">
      <c r="F756" s="1">
        <v>44348</v>
      </c>
      <c r="G756">
        <f t="shared" si="57"/>
        <v>6</v>
      </c>
      <c r="I756" s="7">
        <f t="shared" si="62"/>
        <v>415.08750927546271</v>
      </c>
      <c r="J756" s="7"/>
      <c r="K756" s="7" cm="1">
        <f t="array" ref="K756">INDEX(Sm,G756)</f>
        <v>2.3463851222642056</v>
      </c>
      <c r="L756" s="7">
        <f t="shared" si="63"/>
        <v>417.43389439772693</v>
      </c>
    </row>
    <row r="757" spans="6:12" ht="18.75" customHeight="1">
      <c r="F757" s="1">
        <v>44378</v>
      </c>
      <c r="G757">
        <f t="shared" si="57"/>
        <v>7</v>
      </c>
      <c r="I757" s="7">
        <f t="shared" si="62"/>
        <v>415.28602444308831</v>
      </c>
      <c r="J757" s="7"/>
      <c r="K757" s="7" cm="1">
        <f t="array" ref="K757">INDEX(Sm,G757)</f>
        <v>0.72334113060077332</v>
      </c>
      <c r="L757" s="7">
        <f t="shared" si="63"/>
        <v>416.00936557368908</v>
      </c>
    </row>
    <row r="758" spans="6:12" ht="18.75" customHeight="1">
      <c r="F758" s="1">
        <v>44409</v>
      </c>
      <c r="G758">
        <f t="shared" si="57"/>
        <v>8</v>
      </c>
      <c r="I758" s="7">
        <f t="shared" si="62"/>
        <v>415.49134219043282</v>
      </c>
      <c r="J758" s="7"/>
      <c r="K758" s="7" cm="1">
        <f t="array" ref="K758">INDEX(Sm,G758)</f>
        <v>-1.3975570061157723</v>
      </c>
      <c r="L758" s="7">
        <f t="shared" si="63"/>
        <v>414.09378518431703</v>
      </c>
    </row>
    <row r="759" spans="6:12" ht="18.75" customHeight="1">
      <c r="F759" s="1">
        <v>44440</v>
      </c>
      <c r="G759">
        <f t="shared" si="57"/>
        <v>9</v>
      </c>
      <c r="I759" s="7">
        <f t="shared" si="62"/>
        <v>415.69684838470857</v>
      </c>
      <c r="J759" s="7"/>
      <c r="K759" s="7" cm="1">
        <f t="array" ref="K759">INDEX(Sm,G759)</f>
        <v>-3.1934822994410497</v>
      </c>
      <c r="L759" s="7">
        <f t="shared" si="63"/>
        <v>412.50336608526754</v>
      </c>
    </row>
    <row r="760" spans="6:12" ht="18.75" customHeight="1">
      <c r="F760" s="1">
        <v>44470</v>
      </c>
      <c r="G760">
        <f t="shared" si="57"/>
        <v>10</v>
      </c>
      <c r="I760" s="7">
        <f t="shared" si="62"/>
        <v>415.89590477348975</v>
      </c>
      <c r="J760" s="7"/>
      <c r="K760" s="7" cm="1">
        <f t="array" ref="K760">INDEX(Sm,G760)</f>
        <v>-3.3368150874962788</v>
      </c>
      <c r="L760" s="7">
        <f t="shared" si="63"/>
        <v>412.55908968599346</v>
      </c>
    </row>
    <row r="761" spans="6:12" ht="18.75" customHeight="1">
      <c r="F761" s="1">
        <v>44501</v>
      </c>
      <c r="G761">
        <f t="shared" si="57"/>
        <v>11</v>
      </c>
      <c r="I761" s="7">
        <f t="shared" si="62"/>
        <v>416.10178178269484</v>
      </c>
      <c r="J761" s="7"/>
      <c r="K761" s="7" cm="1">
        <f t="array" ref="K761">INDEX(Sm,G761)</f>
        <v>-2.0591623324975612</v>
      </c>
      <c r="L761" s="7">
        <f t="shared" si="63"/>
        <v>414.04261945019726</v>
      </c>
    </row>
    <row r="762" spans="6:12" ht="18.75" customHeight="1">
      <c r="F762" s="1">
        <v>44531</v>
      </c>
      <c r="G762">
        <f t="shared" si="57"/>
        <v>12</v>
      </c>
      <c r="I762" s="7">
        <f t="shared" si="62"/>
        <v>416.30119702463338</v>
      </c>
      <c r="J762" s="7"/>
      <c r="K762" s="7" cm="1">
        <f t="array" ref="K762">INDEX(Sm,G762)</f>
        <v>-0.89132446529561371</v>
      </c>
      <c r="L762" s="7">
        <f t="shared" si="63"/>
        <v>415.40987255933777</v>
      </c>
    </row>
    <row r="763" spans="6:12" ht="18.75" customHeight="1">
      <c r="F763" s="1">
        <v>44562</v>
      </c>
      <c r="G763">
        <f t="shared" si="57"/>
        <v>1</v>
      </c>
      <c r="I763" s="7">
        <f t="shared" si="62"/>
        <v>416.50744484876782</v>
      </c>
      <c r="J763" s="7"/>
      <c r="K763" s="7" cm="1">
        <f t="array" ref="K763">INDEX(Sm,G763)</f>
        <v>6.1040869584970889E-2</v>
      </c>
      <c r="L763" s="7">
        <f t="shared" si="63"/>
        <v>416.5684857183528</v>
      </c>
    </row>
    <row r="764" spans="6:12" ht="18.75" customHeight="1">
      <c r="F764" s="1">
        <v>44593</v>
      </c>
      <c r="G764">
        <f t="shared" si="57"/>
        <v>2</v>
      </c>
      <c r="I764" s="7">
        <f t="shared" si="62"/>
        <v>416.71388111983362</v>
      </c>
      <c r="J764" s="7"/>
      <c r="K764" s="7" cm="1">
        <f t="array" ref="K764">INDEX(Sm,G764)</f>
        <v>0.69421564520236412</v>
      </c>
      <c r="L764" s="7">
        <f t="shared" si="63"/>
        <v>417.40809676503596</v>
      </c>
    </row>
    <row r="765" spans="6:12" ht="18.75" customHeight="1">
      <c r="F765" s="1">
        <v>44621</v>
      </c>
      <c r="G765">
        <f t="shared" si="57"/>
        <v>3</v>
      </c>
      <c r="I765" s="7">
        <f t="shared" si="62"/>
        <v>416.90050166140526</v>
      </c>
      <c r="J765" s="7"/>
      <c r="K765" s="7" cm="1">
        <f t="array" ref="K765">INDEX(Sm,G765)</f>
        <v>1.3733706304072995</v>
      </c>
      <c r="L765" s="7">
        <f t="shared" si="63"/>
        <v>418.27387229181255</v>
      </c>
    </row>
    <row r="766" spans="6:12" ht="18.75" customHeight="1">
      <c r="F766" s="1">
        <v>44652</v>
      </c>
      <c r="G766">
        <f t="shared" si="57"/>
        <v>4</v>
      </c>
      <c r="I766" s="7">
        <f t="shared" si="62"/>
        <v>417.1072965895338</v>
      </c>
      <c r="J766" s="7"/>
      <c r="K766" s="7" cm="1">
        <f t="array" ref="K766">INDEX(Sm,G766)</f>
        <v>2.6099183412742755</v>
      </c>
      <c r="L766" s="7">
        <f t="shared" si="63"/>
        <v>419.7172149308081</v>
      </c>
    </row>
    <row r="767" spans="6:12" ht="18.75" customHeight="1">
      <c r="F767" s="1">
        <v>44682</v>
      </c>
      <c r="G767">
        <f t="shared" si="57"/>
        <v>5</v>
      </c>
      <c r="I767" s="7">
        <f t="shared" si="62"/>
        <v>417.30760014010787</v>
      </c>
      <c r="J767" s="7"/>
      <c r="K767" s="7" cm="1">
        <f t="array" ref="K767">INDEX(Sm,G767)</f>
        <v>3.065291801195754</v>
      </c>
      <c r="L767" s="7">
        <f t="shared" si="63"/>
        <v>420.37289194130364</v>
      </c>
    </row>
    <row r="768" spans="6:12" ht="18.75" customHeight="1">
      <c r="F768" s="1">
        <v>44713</v>
      </c>
      <c r="G768">
        <f t="shared" si="57"/>
        <v>6</v>
      </c>
      <c r="I768" s="7">
        <f t="shared" si="62"/>
        <v>417.51476588316581</v>
      </c>
      <c r="J768" s="7"/>
      <c r="K768" s="7" cm="1">
        <f t="array" ref="K768">INDEX(Sm,G768)</f>
        <v>2.3463851222642056</v>
      </c>
      <c r="L768" s="7">
        <f t="shared" si="63"/>
        <v>419.86115100543003</v>
      </c>
    </row>
    <row r="769" spans="6:12" ht="18.75" customHeight="1">
      <c r="F769" s="1">
        <v>44743</v>
      </c>
      <c r="G769">
        <f t="shared" si="57"/>
        <v>7</v>
      </c>
      <c r="I769" s="7">
        <f t="shared" si="62"/>
        <v>417.71542828689735</v>
      </c>
      <c r="J769" s="7"/>
      <c r="K769" s="7" cm="1">
        <f t="array" ref="K769">INDEX(Sm,G769)</f>
        <v>0.72334113060077332</v>
      </c>
      <c r="L769" s="7">
        <f t="shared" si="63"/>
        <v>418.43876941749812</v>
      </c>
    </row>
    <row r="770" spans="6:12" ht="18.75" customHeight="1">
      <c r="F770" s="1">
        <v>44774</v>
      </c>
      <c r="G770">
        <f t="shared" si="57"/>
        <v>8</v>
      </c>
      <c r="I770" s="7">
        <f t="shared" si="62"/>
        <v>417.92296484488452</v>
      </c>
      <c r="J770" s="7"/>
      <c r="K770" s="7" cm="1">
        <f t="array" ref="K770">INDEX(Sm,G770)</f>
        <v>-1.3975570061157723</v>
      </c>
      <c r="L770" s="7">
        <f t="shared" si="63"/>
        <v>416.52540783876873</v>
      </c>
    </row>
    <row r="771" spans="6:12" ht="18.75" customHeight="1">
      <c r="F771" s="1">
        <v>44805</v>
      </c>
      <c r="G771">
        <f t="shared" ref="G771:G834" si="64">MONTH(F771)</f>
        <v>9</v>
      </c>
      <c r="I771" s="7">
        <f t="shared" si="62"/>
        <v>418.13068984980305</v>
      </c>
      <c r="J771" s="7"/>
      <c r="K771" s="7" cm="1">
        <f t="array" ref="K771">INDEX(Sm,G771)</f>
        <v>-3.1934822994410497</v>
      </c>
      <c r="L771" s="7">
        <f t="shared" si="63"/>
        <v>414.93720755036202</v>
      </c>
    </row>
    <row r="772" spans="6:12" ht="18.75" customHeight="1">
      <c r="F772" s="1">
        <v>44835</v>
      </c>
      <c r="G772">
        <f t="shared" si="64"/>
        <v>10</v>
      </c>
      <c r="I772" s="7">
        <f t="shared" si="62"/>
        <v>418.33189347469005</v>
      </c>
      <c r="J772" s="7"/>
      <c r="K772" s="7" cm="1">
        <f t="array" ref="K772">INDEX(Sm,G772)</f>
        <v>-3.3368150874962788</v>
      </c>
      <c r="L772" s="7">
        <f t="shared" si="63"/>
        <v>414.99507838719376</v>
      </c>
    </row>
    <row r="773" spans="6:12" ht="18.75" customHeight="1">
      <c r="F773" s="1">
        <v>44866</v>
      </c>
      <c r="G773">
        <f t="shared" si="64"/>
        <v>11</v>
      </c>
      <c r="I773" s="7">
        <f t="shared" si="62"/>
        <v>418.53998929453792</v>
      </c>
      <c r="J773" s="7"/>
      <c r="K773" s="7" cm="1">
        <f t="array" ref="K773">INDEX(Sm,G773)</f>
        <v>-2.0591623324975612</v>
      </c>
      <c r="L773" s="7">
        <f t="shared" si="63"/>
        <v>416.48082696204034</v>
      </c>
    </row>
    <row r="774" spans="6:12" ht="18.75" customHeight="1">
      <c r="F774" s="1">
        <v>44896</v>
      </c>
      <c r="G774">
        <f t="shared" si="64"/>
        <v>12</v>
      </c>
      <c r="I774" s="7">
        <f t="shared" si="62"/>
        <v>418.74155177258228</v>
      </c>
      <c r="J774" s="7"/>
      <c r="K774" s="7" cm="1">
        <f t="array" ref="K774">INDEX(Sm,G774)</f>
        <v>-0.89132446529561371</v>
      </c>
      <c r="L774" s="7">
        <f t="shared" si="63"/>
        <v>417.85022730728667</v>
      </c>
    </row>
    <row r="775" spans="6:12" ht="18.75" customHeight="1">
      <c r="F775" s="1">
        <v>44927</v>
      </c>
      <c r="G775">
        <f t="shared" si="64"/>
        <v>1</v>
      </c>
      <c r="I775" s="7">
        <f t="shared" si="62"/>
        <v>418.95001840735949</v>
      </c>
      <c r="J775" s="7"/>
      <c r="K775" s="7" cm="1">
        <f t="array" ref="K775">INDEX(Sm,G775)</f>
        <v>6.1040869584970889E-2</v>
      </c>
      <c r="L775" s="7">
        <f t="shared" si="63"/>
        <v>419.01105927694448</v>
      </c>
    </row>
    <row r="776" spans="6:12" ht="18.75" customHeight="1">
      <c r="F776" s="1">
        <v>44958</v>
      </c>
      <c r="G776">
        <f t="shared" si="64"/>
        <v>2</v>
      </c>
      <c r="I776" s="7">
        <f t="shared" si="62"/>
        <v>419.15867348906795</v>
      </c>
      <c r="J776" s="7"/>
      <c r="K776" s="7" cm="1">
        <f t="array" ref="K776">INDEX(Sm,G776)</f>
        <v>0.69421564520236412</v>
      </c>
      <c r="L776" s="7">
        <f t="shared" si="63"/>
        <v>419.8528891342703</v>
      </c>
    </row>
    <row r="777" spans="6:12" ht="18.75" customHeight="1">
      <c r="F777" s="1">
        <v>44986</v>
      </c>
      <c r="G777">
        <f t="shared" si="64"/>
        <v>3</v>
      </c>
      <c r="I777" s="7">
        <f t="shared" si="62"/>
        <v>419.34729811767176</v>
      </c>
      <c r="J777" s="7"/>
      <c r="K777" s="7" cm="1">
        <f t="array" ref="K777">INDEX(Sm,G777)</f>
        <v>1.3733706304072995</v>
      </c>
      <c r="L777" s="7">
        <f t="shared" si="63"/>
        <v>420.72066874807905</v>
      </c>
    </row>
    <row r="778" spans="6:12" ht="18.75" customHeight="1">
      <c r="F778" s="1">
        <v>45017</v>
      </c>
      <c r="G778">
        <f t="shared" si="64"/>
        <v>4</v>
      </c>
      <c r="I778" s="7">
        <f t="shared" si="62"/>
        <v>419.55631185644307</v>
      </c>
      <c r="J778" s="7"/>
      <c r="K778" s="7" cm="1">
        <f t="array" ref="K778">INDEX(Sm,G778)</f>
        <v>2.6099183412742755</v>
      </c>
      <c r="L778" s="7">
        <f t="shared" si="63"/>
        <v>422.16623019771737</v>
      </c>
    </row>
    <row r="779" spans="6:12" ht="18.75" customHeight="1">
      <c r="F779" s="1">
        <v>45047</v>
      </c>
      <c r="G779">
        <f t="shared" si="64"/>
        <v>5</v>
      </c>
      <c r="I779" s="7">
        <f t="shared" si="62"/>
        <v>419.75876264312302</v>
      </c>
      <c r="J779" s="7"/>
      <c r="K779" s="7" cm="1">
        <f t="array" ref="K779">INDEX(Sm,G779)</f>
        <v>3.065291801195754</v>
      </c>
      <c r="L779" s="7">
        <f t="shared" si="63"/>
        <v>422.82405444431879</v>
      </c>
    </row>
    <row r="780" spans="6:12" ht="18.75" customHeight="1">
      <c r="F780" s="1">
        <v>45078</v>
      </c>
      <c r="G780">
        <f t="shared" si="64"/>
        <v>6</v>
      </c>
      <c r="I780" s="7">
        <f t="shared" si="62"/>
        <v>419.96814719682362</v>
      </c>
      <c r="J780" s="7"/>
      <c r="K780" s="7" cm="1">
        <f t="array" ref="K780">INDEX(Sm,G780)</f>
        <v>2.3463851222642056</v>
      </c>
      <c r="L780" s="7">
        <f t="shared" si="63"/>
        <v>422.31453231908785</v>
      </c>
    </row>
    <row r="781" spans="6:12" ht="18.75" customHeight="1">
      <c r="F781" s="1">
        <v>45108</v>
      </c>
      <c r="G781">
        <f t="shared" si="64"/>
        <v>7</v>
      </c>
      <c r="I781" s="7">
        <f t="shared" si="62"/>
        <v>420.17095683666105</v>
      </c>
      <c r="J781" s="7"/>
      <c r="K781" s="7" cm="1">
        <f t="array" ref="K781">INDEX(Sm,G781)</f>
        <v>0.72334113060077332</v>
      </c>
      <c r="L781" s="7">
        <f t="shared" si="63"/>
        <v>420.89429796726182</v>
      </c>
    </row>
    <row r="782" spans="6:12" ht="18.75" customHeight="1">
      <c r="F782" s="1">
        <v>45139</v>
      </c>
      <c r="G782">
        <f t="shared" si="64"/>
        <v>8</v>
      </c>
      <c r="I782" s="7">
        <f t="shared" si="62"/>
        <v>420.38071220529099</v>
      </c>
      <c r="J782" s="7"/>
      <c r="K782" s="7" cm="1">
        <f t="array" ref="K782">INDEX(Sm,G782)</f>
        <v>-1.3975570061157723</v>
      </c>
      <c r="L782" s="7">
        <f t="shared" si="63"/>
        <v>418.9831551991752</v>
      </c>
    </row>
    <row r="783" spans="6:12" ht="18.75" customHeight="1">
      <c r="F783" s="1">
        <v>45170</v>
      </c>
      <c r="G783">
        <f t="shared" si="64"/>
        <v>9</v>
      </c>
      <c r="I783" s="7">
        <f t="shared" si="62"/>
        <v>420.59065602085224</v>
      </c>
      <c r="J783" s="7"/>
      <c r="K783" s="7" cm="1">
        <f t="array" ref="K783">INDEX(Sm,G783)</f>
        <v>-3.1934822994410497</v>
      </c>
      <c r="L783" s="7">
        <f t="shared" si="63"/>
        <v>417.39717372141121</v>
      </c>
    </row>
    <row r="784" spans="6:12" ht="18.75" customHeight="1">
      <c r="F784" s="1">
        <v>45200</v>
      </c>
      <c r="G784">
        <f t="shared" si="64"/>
        <v>10</v>
      </c>
      <c r="I784" s="7">
        <f t="shared" si="62"/>
        <v>420.79400688184506</v>
      </c>
      <c r="J784" s="7"/>
      <c r="K784" s="7" cm="1">
        <f t="array" ref="K784">INDEX(Sm,G784)</f>
        <v>-3.3368150874962788</v>
      </c>
      <c r="L784" s="7">
        <f t="shared" si="63"/>
        <v>417.45719179434877</v>
      </c>
    </row>
    <row r="785" spans="6:12" ht="18.75" customHeight="1">
      <c r="F785" s="1">
        <v>45231</v>
      </c>
      <c r="G785">
        <f t="shared" si="64"/>
        <v>11</v>
      </c>
      <c r="I785" s="7">
        <f t="shared" si="62"/>
        <v>421.00432151233565</v>
      </c>
      <c r="J785" s="7"/>
      <c r="K785" s="7" cm="1">
        <f t="array" ref="K785">INDEX(Sm,G785)</f>
        <v>-2.0591623324975612</v>
      </c>
      <c r="L785" s="7">
        <f t="shared" si="63"/>
        <v>418.94515917983807</v>
      </c>
    </row>
    <row r="786" spans="6:12" ht="18.75" customHeight="1">
      <c r="F786" s="1">
        <v>45261</v>
      </c>
      <c r="G786">
        <f t="shared" si="64"/>
        <v>12</v>
      </c>
      <c r="I786" s="7">
        <f t="shared" si="62"/>
        <v>421.2080312264859</v>
      </c>
      <c r="J786" s="7"/>
      <c r="K786" s="7" cm="1">
        <f t="array" ref="K786">INDEX(Sm,G786)</f>
        <v>-0.89132446529561371</v>
      </c>
      <c r="L786" s="7">
        <f t="shared" si="63"/>
        <v>420.31670676119029</v>
      </c>
    </row>
    <row r="787" spans="6:12" ht="18.75" customHeight="1">
      <c r="F787" s="1">
        <v>45292</v>
      </c>
      <c r="G787">
        <f t="shared" si="64"/>
        <v>1</v>
      </c>
      <c r="I787" s="7">
        <f t="shared" si="62"/>
        <v>421.41871667190583</v>
      </c>
      <c r="J787" s="7"/>
      <c r="K787" s="7" cm="1">
        <f t="array" ref="K787">INDEX(Sm,G787)</f>
        <v>6.1040869584970889E-2</v>
      </c>
      <c r="L787" s="7">
        <f t="shared" si="63"/>
        <v>421.47975754149081</v>
      </c>
    </row>
    <row r="788" spans="6:12" ht="18.75" customHeight="1">
      <c r="F788" s="1">
        <v>45323</v>
      </c>
      <c r="G788">
        <f t="shared" si="64"/>
        <v>2</v>
      </c>
      <c r="I788" s="7">
        <f t="shared" si="62"/>
        <v>421.62959056425711</v>
      </c>
      <c r="J788" s="7"/>
      <c r="K788" s="7" cm="1">
        <f t="array" ref="K788">INDEX(Sm,G788)</f>
        <v>0.69421564520236412</v>
      </c>
      <c r="L788" s="7">
        <f t="shared" si="63"/>
        <v>422.32380620945946</v>
      </c>
    </row>
    <row r="789" spans="6:12" ht="18.75" customHeight="1">
      <c r="F789" s="1">
        <v>45352</v>
      </c>
      <c r="G789">
        <f t="shared" si="64"/>
        <v>3</v>
      </c>
      <c r="I789" s="7">
        <f t="shared" si="62"/>
        <v>421.82703029168056</v>
      </c>
      <c r="J789" s="7"/>
      <c r="K789" s="7" cm="1">
        <f t="array" ref="K789">INDEX(Sm,G789)</f>
        <v>1.3733706304072995</v>
      </c>
      <c r="L789" s="7">
        <f t="shared" si="63"/>
        <v>423.20040092208785</v>
      </c>
    </row>
    <row r="790" spans="6:12" ht="18.75" customHeight="1">
      <c r="F790" s="1">
        <v>45383</v>
      </c>
      <c r="G790">
        <f t="shared" si="64"/>
        <v>4</v>
      </c>
      <c r="I790" s="7">
        <f t="shared" si="62"/>
        <v>422.03826892002786</v>
      </c>
      <c r="J790" s="7"/>
      <c r="K790" s="7" cm="1">
        <f t="array" ref="K790">INDEX(Sm,G790)</f>
        <v>2.6099183412742755</v>
      </c>
      <c r="L790" s="7">
        <f t="shared" si="63"/>
        <v>424.64818726130216</v>
      </c>
    </row>
    <row r="791" spans="6:12" ht="18.75" customHeight="1">
      <c r="F791" s="1">
        <v>45413</v>
      </c>
      <c r="G791">
        <f t="shared" si="64"/>
        <v>5</v>
      </c>
      <c r="I791" s="7">
        <f t="shared" si="62"/>
        <v>422.24287282565234</v>
      </c>
      <c r="J791" s="7"/>
      <c r="K791" s="7" cm="1">
        <f t="array" ref="K791">INDEX(Sm,G791)</f>
        <v>3.065291801195754</v>
      </c>
      <c r="L791" s="7">
        <f t="shared" si="63"/>
        <v>425.30816462684811</v>
      </c>
    </row>
    <row r="792" spans="6:12" ht="18.75" customHeight="1">
      <c r="F792" s="1">
        <v>45444</v>
      </c>
      <c r="G792">
        <f t="shared" si="64"/>
        <v>6</v>
      </c>
      <c r="I792" s="7">
        <f t="shared" si="62"/>
        <v>422.45448226892898</v>
      </c>
      <c r="J792" s="7"/>
      <c r="K792" s="7" cm="1">
        <f t="array" ref="K792">INDEX(Sm,G792)</f>
        <v>2.3463851222642056</v>
      </c>
      <c r="L792" s="7">
        <f t="shared" si="63"/>
        <v>424.80086739119321</v>
      </c>
    </row>
    <row r="793" spans="6:12" ht="18.75" customHeight="1">
      <c r="F793" s="1">
        <v>45474</v>
      </c>
      <c r="G793">
        <f t="shared" si="64"/>
        <v>7</v>
      </c>
      <c r="I793" s="7">
        <f t="shared" si="62"/>
        <v>422.65944502771083</v>
      </c>
      <c r="J793" s="7"/>
      <c r="K793" s="7" cm="1">
        <f t="array" ref="K793">INDEX(Sm,G793)</f>
        <v>0.72334113060077332</v>
      </c>
      <c r="L793" s="7">
        <f t="shared" si="63"/>
        <v>423.3827861583116</v>
      </c>
    </row>
    <row r="794" spans="6:12" ht="18.75" customHeight="1">
      <c r="F794" s="1">
        <v>45505</v>
      </c>
      <c r="G794">
        <f t="shared" si="64"/>
        <v>8</v>
      </c>
      <c r="I794" s="7">
        <f t="shared" si="62"/>
        <v>422.87142528591681</v>
      </c>
      <c r="J794" s="7"/>
      <c r="K794" s="7" cm="1">
        <f t="array" ref="K794">INDEX(Sm,G794)</f>
        <v>-1.3975570061157723</v>
      </c>
      <c r="L794" s="7">
        <f t="shared" si="63"/>
        <v>421.47386827980102</v>
      </c>
    </row>
    <row r="795" spans="6:12" ht="18.75" customHeight="1">
      <c r="F795" s="1">
        <v>45536</v>
      </c>
      <c r="G795">
        <f t="shared" si="64"/>
        <v>9</v>
      </c>
      <c r="I795" s="7">
        <f t="shared" si="62"/>
        <v>423.0835939910541</v>
      </c>
      <c r="J795" s="7"/>
      <c r="K795" s="7" cm="1">
        <f t="array" ref="K795">INDEX(Sm,G795)</f>
        <v>-3.1934822994410497</v>
      </c>
      <c r="L795" s="7">
        <f t="shared" si="63"/>
        <v>419.89011169161307</v>
      </c>
    </row>
    <row r="796" spans="6:12" ht="18.75" customHeight="1">
      <c r="F796" s="1">
        <v>45566</v>
      </c>
      <c r="G796">
        <f t="shared" si="64"/>
        <v>10</v>
      </c>
      <c r="I796" s="7">
        <f t="shared" si="62"/>
        <v>423.28909797099141</v>
      </c>
      <c r="J796" s="7"/>
      <c r="K796" s="7" cm="1">
        <f t="array" ref="K796">INDEX(Sm,G796)</f>
        <v>-3.3368150874962788</v>
      </c>
      <c r="L796" s="7">
        <f t="shared" si="63"/>
        <v>419.95228288349512</v>
      </c>
    </row>
    <row r="797" spans="6:12" ht="18.75" customHeight="1">
      <c r="F797" s="1">
        <v>45597</v>
      </c>
      <c r="G797">
        <f t="shared" si="64"/>
        <v>11</v>
      </c>
      <c r="I797" s="7">
        <f t="shared" si="62"/>
        <v>423.50163749105803</v>
      </c>
      <c r="J797" s="7"/>
      <c r="K797" s="7" cm="1">
        <f t="array" ref="K797">INDEX(Sm,G797)</f>
        <v>-2.0591623324975612</v>
      </c>
      <c r="L797" s="7">
        <f t="shared" si="63"/>
        <v>421.44247515856046</v>
      </c>
    </row>
    <row r="798" spans="6:12" ht="18.75" customHeight="1">
      <c r="F798" s="1">
        <v>45627</v>
      </c>
      <c r="G798">
        <f t="shared" si="64"/>
        <v>12</v>
      </c>
      <c r="I798" s="7">
        <f t="shared" si="62"/>
        <v>423.70750032415282</v>
      </c>
      <c r="J798" s="7"/>
      <c r="K798" s="7" cm="1">
        <f t="array" ref="K798">INDEX(Sm,G798)</f>
        <v>-0.89132446529561371</v>
      </c>
      <c r="L798" s="7">
        <f t="shared" si="63"/>
        <v>422.81617585885721</v>
      </c>
    </row>
    <row r="799" spans="6:12" ht="18.75" customHeight="1">
      <c r="F799" s="1">
        <v>45658</v>
      </c>
      <c r="G799">
        <f t="shared" si="64"/>
        <v>1</v>
      </c>
      <c r="I799" s="7">
        <f t="shared" si="62"/>
        <v>423.92041065914867</v>
      </c>
      <c r="J799" s="7"/>
      <c r="K799" s="7" cm="1">
        <f t="array" ref="K799">INDEX(Sm,G799)</f>
        <v>6.1040869584970889E-2</v>
      </c>
      <c r="L799" s="7">
        <f t="shared" si="63"/>
        <v>423.98145152873366</v>
      </c>
    </row>
    <row r="800" spans="6:12" ht="18.75" customHeight="1">
      <c r="F800" s="1">
        <v>45689</v>
      </c>
      <c r="G800">
        <f t="shared" si="64"/>
        <v>2</v>
      </c>
      <c r="I800" s="7">
        <f t="shared" si="62"/>
        <v>424.13350944107594</v>
      </c>
      <c r="J800" s="7"/>
      <c r="K800" s="7" cm="1">
        <f t="array" ref="K800">INDEX(Sm,G800)</f>
        <v>0.69421564520236412</v>
      </c>
      <c r="L800" s="7">
        <f t="shared" si="63"/>
        <v>424.82772508627829</v>
      </c>
    </row>
    <row r="801" spans="6:12" ht="18.75" customHeight="1">
      <c r="F801" s="1">
        <v>45717</v>
      </c>
      <c r="G801">
        <f t="shared" si="64"/>
        <v>3</v>
      </c>
      <c r="I801" s="7">
        <f t="shared" si="62"/>
        <v>424.32614773439337</v>
      </c>
      <c r="J801" s="7"/>
      <c r="K801" s="7" cm="1">
        <f t="array" ref="K801">INDEX(Sm,G801)</f>
        <v>1.3733706304072995</v>
      </c>
      <c r="L801" s="7">
        <f t="shared" si="63"/>
        <v>425.69951836480067</v>
      </c>
    </row>
    <row r="802" spans="6:12" ht="18.75" customHeight="1">
      <c r="F802" s="1">
        <v>45748</v>
      </c>
      <c r="G802">
        <f t="shared" si="64"/>
        <v>4</v>
      </c>
      <c r="I802" s="7">
        <f t="shared" si="62"/>
        <v>424.53960517338345</v>
      </c>
      <c r="J802" s="7"/>
      <c r="K802" s="7" cm="1">
        <f t="array" ref="K802">INDEX(Sm,G802)</f>
        <v>2.6099183412742755</v>
      </c>
      <c r="L802" s="7">
        <f t="shared" si="63"/>
        <v>427.14952351465774</v>
      </c>
    </row>
    <row r="803" spans="6:12" ht="18.75" customHeight="1">
      <c r="F803" s="1">
        <v>45778</v>
      </c>
      <c r="G803">
        <f t="shared" si="64"/>
        <v>5</v>
      </c>
      <c r="I803" s="7">
        <f t="shared" si="62"/>
        <v>424.74635631511376</v>
      </c>
      <c r="J803" s="7"/>
      <c r="K803" s="7" cm="1">
        <f t="array" ref="K803">INDEX(Sm,G803)</f>
        <v>3.065291801195754</v>
      </c>
      <c r="L803" s="7">
        <f t="shared" si="63"/>
        <v>427.81164811630953</v>
      </c>
    </row>
    <row r="804" spans="6:12" ht="18.75" customHeight="1">
      <c r="F804" s="1">
        <v>45809</v>
      </c>
      <c r="G804">
        <f t="shared" si="64"/>
        <v>6</v>
      </c>
      <c r="I804" s="7">
        <f t="shared" si="62"/>
        <v>424.96018456903312</v>
      </c>
      <c r="J804" s="7"/>
      <c r="K804" s="7" cm="1">
        <f t="array" ref="K804">INDEX(Sm,G804)</f>
        <v>2.3463851222642056</v>
      </c>
      <c r="L804" s="7">
        <f t="shared" si="63"/>
        <v>427.30656969129734</v>
      </c>
    </row>
    <row r="805" spans="6:12" ht="18.75" customHeight="1">
      <c r="F805" s="1">
        <v>45839</v>
      </c>
      <c r="G805">
        <f t="shared" si="64"/>
        <v>7</v>
      </c>
      <c r="I805" s="7">
        <f t="shared" si="62"/>
        <v>425.1672945639209</v>
      </c>
      <c r="J805" s="7"/>
      <c r="K805" s="7" cm="1">
        <f t="array" ref="K805">INDEX(Sm,G805)</f>
        <v>0.72334113060077332</v>
      </c>
      <c r="L805" s="7">
        <f t="shared" si="63"/>
        <v>425.89063569452168</v>
      </c>
    </row>
    <row r="806" spans="6:12" ht="18.75" customHeight="1">
      <c r="F806" s="1">
        <v>45870</v>
      </c>
      <c r="G806">
        <f t="shared" si="64"/>
        <v>8</v>
      </c>
      <c r="I806" s="7">
        <f t="shared" si="62"/>
        <v>425.38149363276955</v>
      </c>
      <c r="J806" s="7"/>
      <c r="K806" s="7" cm="1">
        <f t="array" ref="K806">INDEX(Sm,G806)</f>
        <v>-1.3975570061157723</v>
      </c>
      <c r="L806" s="7">
        <f t="shared" si="63"/>
        <v>423.98393662665376</v>
      </c>
    </row>
    <row r="807" spans="6:12" ht="18.75" customHeight="1">
      <c r="F807" s="1">
        <v>45901</v>
      </c>
      <c r="G807">
        <f t="shared" si="64"/>
        <v>9</v>
      </c>
      <c r="I807" s="7">
        <f t="shared" si="62"/>
        <v>425.59588114854955</v>
      </c>
      <c r="J807" s="7"/>
      <c r="K807" s="7" cm="1">
        <f t="array" ref="K807">INDEX(Sm,G807)</f>
        <v>-3.1934822994410497</v>
      </c>
      <c r="L807" s="7">
        <f t="shared" si="63"/>
        <v>422.40239884910852</v>
      </c>
    </row>
    <row r="808" spans="6:12" ht="18.75" customHeight="1">
      <c r="F808" s="1">
        <v>45931</v>
      </c>
      <c r="G808">
        <f t="shared" si="64"/>
        <v>10</v>
      </c>
      <c r="I808" s="7">
        <f t="shared" ref="I808:I871" si="65">_A*F808*F808+_B*F808+_C</f>
        <v>425.80353236459274</v>
      </c>
      <c r="J808" s="7"/>
      <c r="K808" s="7" cm="1">
        <f t="array" ref="K808">INDEX(Sm,G808)</f>
        <v>-3.3368150874962788</v>
      </c>
      <c r="L808" s="7">
        <f t="shared" ref="L808:L871" si="66">I808+K808</f>
        <v>422.46671727709645</v>
      </c>
    </row>
    <row r="809" spans="6:12" ht="18.75" customHeight="1">
      <c r="F809" s="1">
        <v>45962</v>
      </c>
      <c r="G809">
        <f t="shared" si="64"/>
        <v>11</v>
      </c>
      <c r="I809" s="7">
        <f t="shared" si="65"/>
        <v>426.01829069530208</v>
      </c>
      <c r="J809" s="7"/>
      <c r="K809" s="7" cm="1">
        <f t="array" ref="K809">INDEX(Sm,G809)</f>
        <v>-2.0591623324975612</v>
      </c>
      <c r="L809" s="7">
        <f t="shared" si="66"/>
        <v>423.95912836280451</v>
      </c>
    </row>
    <row r="810" spans="6:12" ht="18.75" customHeight="1">
      <c r="F810" s="1">
        <v>45992</v>
      </c>
      <c r="G810">
        <f t="shared" si="64"/>
        <v>12</v>
      </c>
      <c r="I810" s="7">
        <f t="shared" si="65"/>
        <v>426.2263007645027</v>
      </c>
      <c r="J810" s="7"/>
      <c r="K810" s="7" cm="1">
        <f t="array" ref="K810">INDEX(Sm,G810)</f>
        <v>-0.89132446529561371</v>
      </c>
      <c r="L810" s="7">
        <f t="shared" si="66"/>
        <v>425.33497629920709</v>
      </c>
    </row>
    <row r="811" spans="6:12" ht="18.75" customHeight="1">
      <c r="F811" s="1">
        <v>46023</v>
      </c>
      <c r="G811">
        <f t="shared" si="64"/>
        <v>1</v>
      </c>
      <c r="I811" s="7">
        <f t="shared" si="65"/>
        <v>426.44142991014138</v>
      </c>
      <c r="J811" s="7"/>
      <c r="K811" s="7" cm="1">
        <f t="array" ref="K811">INDEX(Sm,G811)</f>
        <v>6.1040869584970889E-2</v>
      </c>
      <c r="L811" s="7">
        <f t="shared" si="66"/>
        <v>426.50247077972637</v>
      </c>
    </row>
    <row r="812" spans="6:12" ht="18.75" customHeight="1">
      <c r="F812" s="1">
        <v>46054</v>
      </c>
      <c r="G812">
        <f t="shared" si="64"/>
        <v>2</v>
      </c>
      <c r="I812" s="7">
        <f t="shared" si="65"/>
        <v>426.65674750271131</v>
      </c>
      <c r="J812" s="7"/>
      <c r="K812" s="7" cm="1">
        <f t="array" ref="K812">INDEX(Sm,G812)</f>
        <v>0.69421564520236412</v>
      </c>
      <c r="L812" s="7">
        <f t="shared" si="66"/>
        <v>427.35096314791366</v>
      </c>
    </row>
    <row r="813" spans="6:12" ht="18.75" customHeight="1">
      <c r="F813" s="1">
        <v>46082</v>
      </c>
      <c r="G813">
        <f t="shared" si="64"/>
        <v>3</v>
      </c>
      <c r="I813" s="7">
        <f t="shared" si="65"/>
        <v>426.85138988306096</v>
      </c>
      <c r="J813" s="7"/>
      <c r="K813" s="7" cm="1">
        <f t="array" ref="K813">INDEX(Sm,G813)</f>
        <v>1.3733706304072995</v>
      </c>
      <c r="L813" s="7">
        <f t="shared" si="66"/>
        <v>428.22476051346825</v>
      </c>
    </row>
    <row r="814" spans="6:12" ht="18.75" customHeight="1">
      <c r="F814" s="1">
        <v>46113</v>
      </c>
      <c r="G814">
        <f t="shared" si="64"/>
        <v>4</v>
      </c>
      <c r="I814" s="7">
        <f t="shared" si="65"/>
        <v>427.06706613269364</v>
      </c>
      <c r="J814" s="7"/>
      <c r="K814" s="7" cm="1">
        <f t="array" ref="K814">INDEX(Sm,G814)</f>
        <v>2.6099183412742755</v>
      </c>
      <c r="L814" s="7">
        <f t="shared" si="66"/>
        <v>429.67698447396793</v>
      </c>
    </row>
    <row r="815" spans="6:12" ht="18.75" customHeight="1">
      <c r="F815" s="1">
        <v>46143</v>
      </c>
      <c r="G815">
        <f t="shared" si="64"/>
        <v>5</v>
      </c>
      <c r="I815" s="7">
        <f t="shared" si="65"/>
        <v>427.27596451052989</v>
      </c>
      <c r="J815" s="7"/>
      <c r="K815" s="7" cm="1">
        <f t="array" ref="K815">INDEX(Sm,G815)</f>
        <v>3.065291801195754</v>
      </c>
      <c r="L815" s="7">
        <f t="shared" si="66"/>
        <v>430.34125631172566</v>
      </c>
    </row>
    <row r="816" spans="6:12" ht="18.75" customHeight="1">
      <c r="F816" s="1">
        <v>46174</v>
      </c>
      <c r="G816">
        <f t="shared" si="64"/>
        <v>6</v>
      </c>
      <c r="I816" s="7">
        <f t="shared" si="65"/>
        <v>427.49201157509196</v>
      </c>
      <c r="J816" s="7"/>
      <c r="K816" s="7" cm="1">
        <f t="array" ref="K816">INDEX(Sm,G816)</f>
        <v>2.3463851222642056</v>
      </c>
      <c r="L816" s="7">
        <f t="shared" si="66"/>
        <v>429.83839669735619</v>
      </c>
    </row>
    <row r="817" spans="6:12" ht="18.75" customHeight="1">
      <c r="F817" s="1">
        <v>46204</v>
      </c>
      <c r="G817">
        <f t="shared" si="64"/>
        <v>7</v>
      </c>
      <c r="I817" s="7">
        <f t="shared" si="65"/>
        <v>427.70126880608558</v>
      </c>
      <c r="J817" s="7"/>
      <c r="K817" s="7" cm="1">
        <f t="array" ref="K817">INDEX(Sm,G817)</f>
        <v>0.72334113060077332</v>
      </c>
      <c r="L817" s="7">
        <f t="shared" si="66"/>
        <v>428.42460993668635</v>
      </c>
    </row>
    <row r="818" spans="6:12" ht="18.75" customHeight="1">
      <c r="F818" s="1">
        <v>46235</v>
      </c>
      <c r="G818">
        <f t="shared" si="64"/>
        <v>8</v>
      </c>
      <c r="I818" s="7">
        <f t="shared" si="65"/>
        <v>427.917686685577</v>
      </c>
      <c r="J818" s="7"/>
      <c r="K818" s="7" cm="1">
        <f t="array" ref="K818">INDEX(Sm,G818)</f>
        <v>-1.3975570061157723</v>
      </c>
      <c r="L818" s="7">
        <f t="shared" si="66"/>
        <v>426.52012967946121</v>
      </c>
    </row>
    <row r="819" spans="6:12" ht="18.75" customHeight="1">
      <c r="F819" s="1">
        <v>46266</v>
      </c>
      <c r="G819">
        <f t="shared" si="64"/>
        <v>9</v>
      </c>
      <c r="I819" s="7">
        <f t="shared" si="65"/>
        <v>428.13429301199972</v>
      </c>
      <c r="J819" s="7"/>
      <c r="K819" s="7" cm="1">
        <f t="array" ref="K819">INDEX(Sm,G819)</f>
        <v>-3.1934822994410497</v>
      </c>
      <c r="L819" s="7">
        <f t="shared" si="66"/>
        <v>424.94081071255869</v>
      </c>
    </row>
    <row r="820" spans="6:12" ht="18.75" customHeight="1">
      <c r="F820" s="1">
        <v>46296</v>
      </c>
      <c r="G820">
        <f t="shared" si="64"/>
        <v>10</v>
      </c>
      <c r="I820" s="7">
        <f t="shared" si="65"/>
        <v>428.34409146414879</v>
      </c>
      <c r="J820" s="7"/>
      <c r="K820" s="7" cm="1">
        <f t="array" ref="K820">INDEX(Sm,G820)</f>
        <v>-3.3368150874962788</v>
      </c>
      <c r="L820" s="7">
        <f t="shared" si="66"/>
        <v>425.0072763766525</v>
      </c>
    </row>
    <row r="821" spans="6:12" ht="18.75" customHeight="1">
      <c r="F821" s="1">
        <v>46327</v>
      </c>
      <c r="G821">
        <f t="shared" si="64"/>
        <v>11</v>
      </c>
      <c r="I821" s="7">
        <f t="shared" si="65"/>
        <v>428.56106860550085</v>
      </c>
      <c r="J821" s="7"/>
      <c r="K821" s="7" cm="1">
        <f t="array" ref="K821">INDEX(Sm,G821)</f>
        <v>-2.0591623324975612</v>
      </c>
      <c r="L821" s="7">
        <f t="shared" si="66"/>
        <v>426.50190627300327</v>
      </c>
    </row>
    <row r="822" spans="6:12" ht="18.75" customHeight="1">
      <c r="F822" s="1">
        <v>46357</v>
      </c>
      <c r="G822">
        <f t="shared" si="64"/>
        <v>12</v>
      </c>
      <c r="I822" s="7">
        <f t="shared" si="65"/>
        <v>428.7712259108074</v>
      </c>
      <c r="J822" s="7"/>
      <c r="K822" s="7" cm="1">
        <f t="array" ref="K822">INDEX(Sm,G822)</f>
        <v>-0.89132446529561371</v>
      </c>
      <c r="L822" s="7">
        <f t="shared" si="66"/>
        <v>427.87990144551179</v>
      </c>
    </row>
    <row r="823" spans="6:12" ht="18.75" customHeight="1">
      <c r="F823" s="1">
        <v>46388</v>
      </c>
      <c r="G823">
        <f t="shared" si="64"/>
        <v>1</v>
      </c>
      <c r="I823" s="7">
        <f t="shared" si="65"/>
        <v>428.98857386708875</v>
      </c>
      <c r="J823" s="7"/>
      <c r="K823" s="7" cm="1">
        <f t="array" ref="K823">INDEX(Sm,G823)</f>
        <v>6.1040869584970889E-2</v>
      </c>
      <c r="L823" s="7">
        <f t="shared" si="66"/>
        <v>429.04961473667373</v>
      </c>
    </row>
    <row r="824" spans="6:12" ht="18.75" customHeight="1">
      <c r="F824" s="1">
        <v>46419</v>
      </c>
      <c r="G824">
        <f t="shared" si="64"/>
        <v>2</v>
      </c>
      <c r="I824" s="7">
        <f t="shared" si="65"/>
        <v>429.20611027030145</v>
      </c>
      <c r="J824" s="7"/>
      <c r="K824" s="7" cm="1">
        <f t="array" ref="K824">INDEX(Sm,G824)</f>
        <v>0.69421564520236412</v>
      </c>
      <c r="L824" s="7">
        <f t="shared" si="66"/>
        <v>429.9003259155038</v>
      </c>
    </row>
    <row r="825" spans="6:12" ht="18.75" customHeight="1">
      <c r="F825" s="1">
        <v>46447</v>
      </c>
      <c r="G825">
        <f t="shared" si="64"/>
        <v>3</v>
      </c>
      <c r="I825" s="7">
        <f t="shared" si="65"/>
        <v>429.40275673768315</v>
      </c>
      <c r="J825" s="7"/>
      <c r="K825" s="7" cm="1">
        <f t="array" ref="K825">INDEX(Sm,G825)</f>
        <v>1.3733706304072995</v>
      </c>
      <c r="L825" s="7">
        <f t="shared" si="66"/>
        <v>430.77612736809044</v>
      </c>
    </row>
    <row r="826" spans="6:12" ht="18.75" customHeight="1">
      <c r="F826" s="1">
        <v>46478</v>
      </c>
      <c r="G826">
        <f t="shared" si="64"/>
        <v>4</v>
      </c>
      <c r="I826" s="7">
        <f t="shared" si="65"/>
        <v>429.62065179795866</v>
      </c>
      <c r="J826" s="7"/>
      <c r="K826" s="7" cm="1">
        <f t="array" ref="K826">INDEX(Sm,G826)</f>
        <v>2.6099183412742755</v>
      </c>
      <c r="L826" s="7">
        <f t="shared" si="66"/>
        <v>432.23057013923295</v>
      </c>
    </row>
    <row r="827" spans="6:12" ht="18.75" customHeight="1">
      <c r="F827" s="1">
        <v>46508</v>
      </c>
      <c r="G827">
        <f t="shared" si="64"/>
        <v>5</v>
      </c>
      <c r="I827" s="7">
        <f t="shared" si="65"/>
        <v>429.83169741190073</v>
      </c>
      <c r="J827" s="7"/>
      <c r="K827" s="7" cm="1">
        <f t="array" ref="K827">INDEX(Sm,G827)</f>
        <v>3.065291801195754</v>
      </c>
      <c r="L827" s="7">
        <f t="shared" si="66"/>
        <v>432.8969892130965</v>
      </c>
    </row>
    <row r="828" spans="6:12" ht="18.75" customHeight="1">
      <c r="F828" s="1">
        <v>46539</v>
      </c>
      <c r="G828">
        <f t="shared" si="64"/>
        <v>6</v>
      </c>
      <c r="I828" s="7">
        <f t="shared" si="65"/>
        <v>430.04996328710553</v>
      </c>
      <c r="J828" s="7"/>
      <c r="K828" s="7" cm="1">
        <f t="array" ref="K828">INDEX(Sm,G828)</f>
        <v>2.3463851222642056</v>
      </c>
      <c r="L828" s="7">
        <f t="shared" si="66"/>
        <v>432.39634840936975</v>
      </c>
    </row>
    <row r="829" spans="6:12" ht="18.75" customHeight="1">
      <c r="F829" s="1">
        <v>46569</v>
      </c>
      <c r="G829">
        <f t="shared" si="64"/>
        <v>7</v>
      </c>
      <c r="I829" s="7">
        <f t="shared" si="65"/>
        <v>430.26136775420503</v>
      </c>
      <c r="J829" s="7"/>
      <c r="K829" s="7" cm="1">
        <f t="array" ref="K829">INDEX(Sm,G829)</f>
        <v>0.72334113060077332</v>
      </c>
      <c r="L829" s="7">
        <f t="shared" si="66"/>
        <v>430.9847088848058</v>
      </c>
    </row>
    <row r="830" spans="6:12" ht="18.75" customHeight="1">
      <c r="F830" s="1">
        <v>46600</v>
      </c>
      <c r="G830">
        <f t="shared" si="64"/>
        <v>8</v>
      </c>
      <c r="I830" s="7">
        <f t="shared" si="65"/>
        <v>430.48000444433916</v>
      </c>
      <c r="J830" s="7"/>
      <c r="K830" s="7" cm="1">
        <f t="array" ref="K830">INDEX(Sm,G830)</f>
        <v>-1.3975570061157723</v>
      </c>
      <c r="L830" s="7">
        <f t="shared" si="66"/>
        <v>429.08244743822337</v>
      </c>
    </row>
    <row r="831" spans="6:12" ht="18.75" customHeight="1">
      <c r="F831" s="1">
        <v>46631</v>
      </c>
      <c r="G831">
        <f t="shared" si="64"/>
        <v>9</v>
      </c>
      <c r="I831" s="7">
        <f t="shared" si="65"/>
        <v>430.69882958140465</v>
      </c>
      <c r="J831" s="7"/>
      <c r="K831" s="7" cm="1">
        <f t="array" ref="K831">INDEX(Sm,G831)</f>
        <v>-3.1934822994410497</v>
      </c>
      <c r="L831" s="7">
        <f t="shared" si="66"/>
        <v>427.50534728196362</v>
      </c>
    </row>
    <row r="832" spans="6:12" ht="18.75" customHeight="1">
      <c r="F832" s="1">
        <v>46661</v>
      </c>
      <c r="G832">
        <f t="shared" si="64"/>
        <v>10</v>
      </c>
      <c r="I832" s="7">
        <f t="shared" si="65"/>
        <v>430.91077526965955</v>
      </c>
      <c r="J832" s="7"/>
      <c r="K832" s="7" cm="1">
        <f t="array" ref="K832">INDEX(Sm,G832)</f>
        <v>-3.3368150874962788</v>
      </c>
      <c r="L832" s="7">
        <f t="shared" si="66"/>
        <v>427.57396018216326</v>
      </c>
    </row>
    <row r="833" spans="6:12" ht="18.75" customHeight="1">
      <c r="F833" s="1">
        <v>46692</v>
      </c>
      <c r="G833">
        <f t="shared" si="64"/>
        <v>11</v>
      </c>
      <c r="I833" s="7">
        <f t="shared" si="65"/>
        <v>431.12997122165439</v>
      </c>
      <c r="J833" s="7"/>
      <c r="K833" s="7" cm="1">
        <f t="array" ref="K833">INDEX(Sm,G833)</f>
        <v>-2.0591623324975612</v>
      </c>
      <c r="L833" s="7">
        <f t="shared" si="66"/>
        <v>429.07080888915681</v>
      </c>
    </row>
    <row r="834" spans="6:12" ht="18.75" customHeight="1">
      <c r="F834" s="1">
        <v>46722</v>
      </c>
      <c r="G834">
        <f t="shared" si="64"/>
        <v>12</v>
      </c>
      <c r="I834" s="7">
        <f t="shared" si="65"/>
        <v>431.34227576306671</v>
      </c>
      <c r="J834" s="7"/>
      <c r="K834" s="7" cm="1">
        <f t="array" ref="K834">INDEX(Sm,G834)</f>
        <v>-0.89132446529561371</v>
      </c>
      <c r="L834" s="7">
        <f t="shared" si="66"/>
        <v>430.4509512977711</v>
      </c>
    </row>
    <row r="835" spans="6:12" ht="18.75" customHeight="1">
      <c r="F835" s="1">
        <v>46753</v>
      </c>
      <c r="G835">
        <f t="shared" ref="G835:G898" si="67">MONTH(F835)</f>
        <v>1</v>
      </c>
      <c r="I835" s="7">
        <f t="shared" si="65"/>
        <v>431.56184252999083</v>
      </c>
      <c r="J835" s="7"/>
      <c r="K835" s="7" cm="1">
        <f t="array" ref="K835">INDEX(Sm,G835)</f>
        <v>6.1040869584970889E-2</v>
      </c>
      <c r="L835" s="7">
        <f t="shared" si="66"/>
        <v>431.62288339957581</v>
      </c>
    </row>
    <row r="836" spans="6:12" ht="18.75" customHeight="1">
      <c r="F836" s="1">
        <v>46784</v>
      </c>
      <c r="G836">
        <f t="shared" si="67"/>
        <v>2</v>
      </c>
      <c r="I836" s="7">
        <f t="shared" si="65"/>
        <v>431.78159774384619</v>
      </c>
      <c r="J836" s="7"/>
      <c r="K836" s="7" cm="1">
        <f t="array" ref="K836">INDEX(Sm,G836)</f>
        <v>0.69421564520236412</v>
      </c>
      <c r="L836" s="7">
        <f t="shared" si="66"/>
        <v>432.47581338904854</v>
      </c>
    </row>
    <row r="837" spans="6:12" ht="18.75" customHeight="1">
      <c r="F837" s="1">
        <v>46813</v>
      </c>
      <c r="G837">
        <f t="shared" si="67"/>
        <v>3</v>
      </c>
      <c r="I837" s="7">
        <f t="shared" si="65"/>
        <v>431.98734580428976</v>
      </c>
      <c r="J837" s="7"/>
      <c r="K837" s="7" cm="1">
        <f t="array" ref="K837">INDEX(Sm,G837)</f>
        <v>1.3733706304072995</v>
      </c>
      <c r="L837" s="7">
        <f t="shared" si="66"/>
        <v>433.36071643469705</v>
      </c>
    </row>
    <row r="838" spans="6:12" ht="18.75" customHeight="1">
      <c r="F838" s="1">
        <v>46844</v>
      </c>
      <c r="G838">
        <f t="shared" si="67"/>
        <v>4</v>
      </c>
      <c r="I838" s="7">
        <f t="shared" si="65"/>
        <v>432.20746575414125</v>
      </c>
      <c r="J838" s="7"/>
      <c r="K838" s="7" cm="1">
        <f t="array" ref="K838">INDEX(Sm,G838)</f>
        <v>2.6099183412742755</v>
      </c>
      <c r="L838" s="7">
        <f t="shared" si="66"/>
        <v>434.81738409541555</v>
      </c>
    </row>
    <row r="839" spans="6:12" ht="18.75" customHeight="1">
      <c r="F839" s="1">
        <v>46874</v>
      </c>
      <c r="G839">
        <f t="shared" si="67"/>
        <v>5</v>
      </c>
      <c r="I839" s="7">
        <f t="shared" si="65"/>
        <v>432.42066448702786</v>
      </c>
      <c r="J839" s="7"/>
      <c r="K839" s="7" cm="1">
        <f t="array" ref="K839">INDEX(Sm,G839)</f>
        <v>3.065291801195754</v>
      </c>
      <c r="L839" s="7">
        <f t="shared" si="66"/>
        <v>435.48595628822363</v>
      </c>
    </row>
    <row r="840" spans="6:12" ht="18.75" customHeight="1">
      <c r="F840" s="1">
        <v>46905</v>
      </c>
      <c r="G840">
        <f t="shared" si="67"/>
        <v>6</v>
      </c>
      <c r="I840" s="7">
        <f t="shared" si="65"/>
        <v>432.64115525180864</v>
      </c>
      <c r="J840" s="7"/>
      <c r="K840" s="7" cm="1">
        <f t="array" ref="K840">INDEX(Sm,G840)</f>
        <v>2.3463851222642056</v>
      </c>
      <c r="L840" s="7">
        <f t="shared" si="66"/>
        <v>434.98754037407286</v>
      </c>
    </row>
    <row r="841" spans="6:12" ht="18.75" customHeight="1">
      <c r="F841" s="1">
        <v>46935</v>
      </c>
      <c r="G841">
        <f t="shared" si="67"/>
        <v>7</v>
      </c>
      <c r="I841" s="7">
        <f t="shared" si="65"/>
        <v>432.85471283785267</v>
      </c>
      <c r="J841" s="7"/>
      <c r="K841" s="7" cm="1">
        <f t="array" ref="K841">INDEX(Sm,G841)</f>
        <v>0.72334113060077332</v>
      </c>
      <c r="L841" s="7">
        <f t="shared" si="66"/>
        <v>433.57805396845345</v>
      </c>
    </row>
    <row r="842" spans="6:12" ht="18.75" customHeight="1">
      <c r="F842" s="1">
        <v>46966</v>
      </c>
      <c r="G842">
        <f t="shared" si="67"/>
        <v>8</v>
      </c>
      <c r="I842" s="7">
        <f t="shared" si="65"/>
        <v>433.07557441756285</v>
      </c>
      <c r="J842" s="7"/>
      <c r="K842" s="7" cm="1">
        <f t="array" ref="K842">INDEX(Sm,G842)</f>
        <v>-1.3975570061157723</v>
      </c>
      <c r="L842" s="7">
        <f t="shared" si="66"/>
        <v>431.67801741144706</v>
      </c>
    </row>
    <row r="843" spans="6:12" ht="18.75" customHeight="1">
      <c r="F843" s="1">
        <v>46997</v>
      </c>
      <c r="G843">
        <f t="shared" si="67"/>
        <v>9</v>
      </c>
      <c r="I843" s="7">
        <f t="shared" si="65"/>
        <v>433.29662444420421</v>
      </c>
      <c r="J843" s="7"/>
      <c r="K843" s="7" cm="1">
        <f t="array" ref="K843">INDEX(Sm,G843)</f>
        <v>-3.1934822994410497</v>
      </c>
      <c r="L843" s="7">
        <f t="shared" si="66"/>
        <v>430.10314214476318</v>
      </c>
    </row>
    <row r="844" spans="6:12" ht="18.75" customHeight="1">
      <c r="F844" s="1">
        <v>47027</v>
      </c>
      <c r="G844">
        <f t="shared" si="67"/>
        <v>10</v>
      </c>
      <c r="I844" s="7">
        <f t="shared" si="65"/>
        <v>433.51072325140376</v>
      </c>
      <c r="J844" s="7"/>
      <c r="K844" s="7" cm="1">
        <f t="array" ref="K844">INDEX(Sm,G844)</f>
        <v>-3.3368150874962788</v>
      </c>
      <c r="L844" s="7">
        <f t="shared" si="66"/>
        <v>430.17390816390747</v>
      </c>
    </row>
    <row r="845" spans="6:12" ht="18.75" customHeight="1">
      <c r="F845" s="1">
        <v>47058</v>
      </c>
      <c r="G845">
        <f t="shared" si="67"/>
        <v>11</v>
      </c>
      <c r="I845" s="7">
        <f t="shared" si="65"/>
        <v>433.73214409297452</v>
      </c>
      <c r="J845" s="7"/>
      <c r="K845" s="7" cm="1">
        <f t="array" ref="K845">INDEX(Sm,G845)</f>
        <v>-2.0591623324975612</v>
      </c>
      <c r="L845" s="7">
        <f t="shared" si="66"/>
        <v>431.67298176047694</v>
      </c>
    </row>
    <row r="846" spans="6:12" ht="18.75" customHeight="1">
      <c r="F846" s="1">
        <v>47088</v>
      </c>
      <c r="G846">
        <f t="shared" si="67"/>
        <v>12</v>
      </c>
      <c r="I846" s="7">
        <f t="shared" si="65"/>
        <v>433.94660175333138</v>
      </c>
      <c r="J846" s="7"/>
      <c r="K846" s="7" cm="1">
        <f t="array" ref="K846">INDEX(Sm,G846)</f>
        <v>-0.89132446529561371</v>
      </c>
      <c r="L846" s="7">
        <f t="shared" si="66"/>
        <v>433.05527728803577</v>
      </c>
    </row>
    <row r="847" spans="6:12" ht="18.75" customHeight="1">
      <c r="F847" s="1">
        <v>47119</v>
      </c>
      <c r="G847">
        <f t="shared" si="67"/>
        <v>1</v>
      </c>
      <c r="I847" s="7">
        <f t="shared" si="65"/>
        <v>434.16839340983148</v>
      </c>
      <c r="J847" s="7"/>
      <c r="K847" s="7" cm="1">
        <f t="array" ref="K847">INDEX(Sm,G847)</f>
        <v>6.1040869584970889E-2</v>
      </c>
      <c r="L847" s="7">
        <f t="shared" si="66"/>
        <v>434.22943427941647</v>
      </c>
    </row>
    <row r="848" spans="6:12" ht="18.75" customHeight="1">
      <c r="F848" s="1">
        <v>47150</v>
      </c>
      <c r="G848">
        <f t="shared" si="67"/>
        <v>2</v>
      </c>
      <c r="I848" s="7">
        <f t="shared" si="65"/>
        <v>434.39037351326294</v>
      </c>
      <c r="J848" s="7"/>
      <c r="K848" s="7" cm="1">
        <f t="array" ref="K848">INDEX(Sm,G848)</f>
        <v>0.69421564520236412</v>
      </c>
      <c r="L848" s="7">
        <f t="shared" si="66"/>
        <v>435.08458915846529</v>
      </c>
    </row>
    <row r="849" spans="6:12" ht="18.75" customHeight="1">
      <c r="F849" s="1">
        <v>47178</v>
      </c>
      <c r="G849">
        <f t="shared" si="67"/>
        <v>3</v>
      </c>
      <c r="I849" s="7">
        <f t="shared" si="65"/>
        <v>434.59103364535838</v>
      </c>
      <c r="J849" s="7"/>
      <c r="K849" s="7" cm="1">
        <f t="array" ref="K849">INDEX(Sm,G849)</f>
        <v>1.3733706304072995</v>
      </c>
      <c r="L849" s="7">
        <f t="shared" si="66"/>
        <v>435.96440427576567</v>
      </c>
    </row>
    <row r="850" spans="6:12" ht="18.75" customHeight="1">
      <c r="F850" s="1">
        <v>47209</v>
      </c>
      <c r="G850">
        <f t="shared" si="67"/>
        <v>4</v>
      </c>
      <c r="I850" s="7">
        <f t="shared" si="65"/>
        <v>434.81337240585253</v>
      </c>
      <c r="J850" s="7"/>
      <c r="K850" s="7" cm="1">
        <f t="array" ref="K850">INDEX(Sm,G850)</f>
        <v>2.6099183412742755</v>
      </c>
      <c r="L850" s="7">
        <f t="shared" si="66"/>
        <v>437.42329074712683</v>
      </c>
    </row>
    <row r="851" spans="6:12" ht="18.75" customHeight="1">
      <c r="F851" s="1">
        <v>47239</v>
      </c>
      <c r="G851">
        <f t="shared" si="67"/>
        <v>5</v>
      </c>
      <c r="I851" s="7">
        <f t="shared" si="65"/>
        <v>435.02871837484497</v>
      </c>
      <c r="J851" s="7"/>
      <c r="K851" s="7" cm="1">
        <f t="array" ref="K851">INDEX(Sm,G851)</f>
        <v>3.065291801195754</v>
      </c>
      <c r="L851" s="7">
        <f t="shared" si="66"/>
        <v>438.09401017604074</v>
      </c>
    </row>
    <row r="852" spans="6:12" ht="18.75" customHeight="1">
      <c r="F852" s="1">
        <v>47270</v>
      </c>
      <c r="G852">
        <f t="shared" si="67"/>
        <v>6</v>
      </c>
      <c r="I852" s="7">
        <f t="shared" si="65"/>
        <v>435.25142795026858</v>
      </c>
      <c r="J852" s="7"/>
      <c r="K852" s="7" cm="1">
        <f t="array" ref="K852">INDEX(Sm,G852)</f>
        <v>2.3463851222642056</v>
      </c>
      <c r="L852" s="7">
        <f t="shared" si="66"/>
        <v>437.5978130725328</v>
      </c>
    </row>
    <row r="853" spans="6:12" ht="18.75" customHeight="1">
      <c r="F853" s="1">
        <v>47300</v>
      </c>
      <c r="G853">
        <f t="shared" si="67"/>
        <v>7</v>
      </c>
      <c r="I853" s="7">
        <f t="shared" si="65"/>
        <v>435.46713277241844</v>
      </c>
      <c r="J853" s="7"/>
      <c r="K853" s="7" cm="1">
        <f t="array" ref="K853">INDEX(Sm,G853)</f>
        <v>0.72334113060077332</v>
      </c>
      <c r="L853" s="7">
        <f t="shared" si="66"/>
        <v>436.19047390301921</v>
      </c>
    </row>
    <row r="854" spans="6:12" ht="18.75" customHeight="1">
      <c r="F854" s="1">
        <v>47331</v>
      </c>
      <c r="G854">
        <f t="shared" si="67"/>
        <v>8</v>
      </c>
      <c r="I854" s="7">
        <f t="shared" si="65"/>
        <v>435.69021316277127</v>
      </c>
      <c r="J854" s="7"/>
      <c r="K854" s="7" cm="1">
        <f t="array" ref="K854">INDEX(Sm,G854)</f>
        <v>-1.3975570061157723</v>
      </c>
      <c r="L854" s="7">
        <f t="shared" si="66"/>
        <v>434.29265615665548</v>
      </c>
    </row>
    <row r="855" spans="6:12" ht="18.75" customHeight="1">
      <c r="F855" s="1">
        <v>47362</v>
      </c>
      <c r="G855">
        <f t="shared" si="67"/>
        <v>9</v>
      </c>
      <c r="I855" s="7">
        <f t="shared" si="65"/>
        <v>435.91348200005547</v>
      </c>
      <c r="J855" s="7"/>
      <c r="K855" s="7" cm="1">
        <f t="array" ref="K855">INDEX(Sm,G855)</f>
        <v>-3.1934822994410497</v>
      </c>
      <c r="L855" s="7">
        <f t="shared" si="66"/>
        <v>432.71999970061444</v>
      </c>
    </row>
    <row r="856" spans="6:12" ht="18.75" customHeight="1">
      <c r="F856" s="1">
        <v>47392</v>
      </c>
      <c r="G856">
        <f t="shared" si="67"/>
        <v>10</v>
      </c>
      <c r="I856" s="7">
        <f t="shared" si="65"/>
        <v>436.12972804336079</v>
      </c>
      <c r="J856" s="7"/>
      <c r="K856" s="7" cm="1">
        <f t="array" ref="K856">INDEX(Sm,G856)</f>
        <v>-3.3368150874962788</v>
      </c>
      <c r="L856" s="7">
        <f t="shared" si="66"/>
        <v>432.79291295586449</v>
      </c>
    </row>
    <row r="857" spans="6:12" ht="18.75" customHeight="1">
      <c r="F857" s="1">
        <v>47423</v>
      </c>
      <c r="G857">
        <f t="shared" si="67"/>
        <v>11</v>
      </c>
      <c r="I857" s="7">
        <f t="shared" si="65"/>
        <v>436.35336769557432</v>
      </c>
      <c r="J857" s="7"/>
      <c r="K857" s="7" cm="1">
        <f t="array" ref="K857">INDEX(Sm,G857)</f>
        <v>-2.0591623324975612</v>
      </c>
      <c r="L857" s="7">
        <f t="shared" si="66"/>
        <v>434.29420536307674</v>
      </c>
    </row>
    <row r="858" spans="6:12" ht="18.75" customHeight="1">
      <c r="F858" s="1">
        <v>47453</v>
      </c>
      <c r="G858">
        <f t="shared" si="67"/>
        <v>12</v>
      </c>
      <c r="I858" s="7">
        <f t="shared" si="65"/>
        <v>436.56997259203706</v>
      </c>
      <c r="J858" s="7"/>
      <c r="K858" s="7" cm="1">
        <f t="array" ref="K858">INDEX(Sm,G858)</f>
        <v>-0.89132446529561371</v>
      </c>
      <c r="L858" s="7">
        <f t="shared" si="66"/>
        <v>435.67864812674145</v>
      </c>
    </row>
    <row r="859" spans="6:12" ht="18.75" customHeight="1">
      <c r="F859" s="1">
        <v>47484</v>
      </c>
      <c r="G859">
        <f t="shared" si="67"/>
        <v>1</v>
      </c>
      <c r="I859" s="7">
        <f t="shared" si="65"/>
        <v>436.79398305917988</v>
      </c>
      <c r="J859" s="7"/>
      <c r="K859" s="7" cm="1">
        <f t="array" ref="K859">INDEX(Sm,G859)</f>
        <v>6.1040869584970889E-2</v>
      </c>
      <c r="L859" s="7">
        <f t="shared" si="66"/>
        <v>436.85502392876487</v>
      </c>
    </row>
    <row r="860" spans="6:12" ht="18.75" customHeight="1">
      <c r="F860" s="1">
        <v>47515</v>
      </c>
      <c r="G860">
        <f t="shared" si="67"/>
        <v>2</v>
      </c>
      <c r="I860" s="7">
        <f t="shared" si="65"/>
        <v>437.018181973254</v>
      </c>
      <c r="J860" s="7"/>
      <c r="K860" s="7" cm="1">
        <f t="array" ref="K860">INDEX(Sm,G860)</f>
        <v>0.69421564520236412</v>
      </c>
      <c r="L860" s="7">
        <f t="shared" si="66"/>
        <v>437.71239761845635</v>
      </c>
    </row>
    <row r="861" spans="6:12" ht="18.75" customHeight="1">
      <c r="F861" s="1">
        <v>47543</v>
      </c>
      <c r="G861">
        <f t="shared" si="67"/>
        <v>3</v>
      </c>
      <c r="I861" s="7">
        <f t="shared" si="65"/>
        <v>437.2208461923816</v>
      </c>
      <c r="J861" s="7"/>
      <c r="K861" s="7" cm="1">
        <f t="array" ref="K861">INDEX(Sm,G861)</f>
        <v>1.3733706304072995</v>
      </c>
      <c r="L861" s="7">
        <f t="shared" si="66"/>
        <v>438.59421682278889</v>
      </c>
    </row>
    <row r="862" spans="6:12" ht="18.75" customHeight="1">
      <c r="F862" s="1">
        <v>47574</v>
      </c>
      <c r="G862">
        <f t="shared" si="67"/>
        <v>4</v>
      </c>
      <c r="I862" s="7">
        <f t="shared" si="65"/>
        <v>437.44540376351858</v>
      </c>
      <c r="J862" s="7"/>
      <c r="K862" s="7" cm="1">
        <f t="array" ref="K862">INDEX(Sm,G862)</f>
        <v>2.6099183412742755</v>
      </c>
      <c r="L862" s="7">
        <f t="shared" si="66"/>
        <v>440.05532210479288</v>
      </c>
    </row>
    <row r="863" spans="6:12" ht="18.75" customHeight="1">
      <c r="F863" s="1">
        <v>47604</v>
      </c>
      <c r="G863">
        <f t="shared" si="67"/>
        <v>5</v>
      </c>
      <c r="I863" s="7">
        <f t="shared" si="65"/>
        <v>437.66289696861691</v>
      </c>
      <c r="J863" s="7"/>
      <c r="K863" s="7" cm="1">
        <f t="array" ref="K863">INDEX(Sm,G863)</f>
        <v>3.065291801195754</v>
      </c>
      <c r="L863" s="7">
        <f t="shared" si="66"/>
        <v>440.72818876981268</v>
      </c>
    </row>
    <row r="864" spans="6:12" ht="18.75" customHeight="1">
      <c r="F864" s="1">
        <v>47635</v>
      </c>
      <c r="G864">
        <f t="shared" si="67"/>
        <v>6</v>
      </c>
      <c r="I864" s="7">
        <f t="shared" si="65"/>
        <v>437.88782535468312</v>
      </c>
      <c r="J864" s="7"/>
      <c r="K864" s="7" cm="1">
        <f t="array" ref="K864">INDEX(Sm,G864)</f>
        <v>2.3463851222642056</v>
      </c>
      <c r="L864" s="7">
        <f t="shared" si="66"/>
        <v>440.23421047694734</v>
      </c>
    </row>
    <row r="865" spans="6:12" ht="18.75" customHeight="1">
      <c r="F865" s="1">
        <v>47665</v>
      </c>
      <c r="G865">
        <f t="shared" si="67"/>
        <v>7</v>
      </c>
      <c r="I865" s="7">
        <f t="shared" si="65"/>
        <v>438.10567741293892</v>
      </c>
      <c r="J865" s="7"/>
      <c r="K865" s="7" cm="1">
        <f t="array" ref="K865">INDEX(Sm,G865)</f>
        <v>0.72334113060077332</v>
      </c>
      <c r="L865" s="7">
        <f t="shared" si="66"/>
        <v>438.82901854353969</v>
      </c>
    </row>
    <row r="866" spans="6:12" ht="18.75" customHeight="1">
      <c r="F866" s="1">
        <v>47696</v>
      </c>
      <c r="G866">
        <f t="shared" si="67"/>
        <v>8</v>
      </c>
      <c r="I866" s="7">
        <f t="shared" si="65"/>
        <v>438.33097661393447</v>
      </c>
      <c r="J866" s="7"/>
      <c r="K866" s="7" cm="1">
        <f t="array" ref="K866">INDEX(Sm,G866)</f>
        <v>-1.3975570061157723</v>
      </c>
      <c r="L866" s="7">
        <f t="shared" si="66"/>
        <v>436.93341960781868</v>
      </c>
    </row>
    <row r="867" spans="6:12" ht="18.75" customHeight="1">
      <c r="F867" s="1">
        <v>47727</v>
      </c>
      <c r="G867">
        <f t="shared" si="67"/>
        <v>9</v>
      </c>
      <c r="I867" s="7">
        <f t="shared" si="65"/>
        <v>438.55646426186138</v>
      </c>
      <c r="J867" s="7"/>
      <c r="K867" s="7" cm="1">
        <f t="array" ref="K867">INDEX(Sm,G867)</f>
        <v>-3.1934822994410497</v>
      </c>
      <c r="L867" s="7">
        <f t="shared" si="66"/>
        <v>435.36298196242035</v>
      </c>
    </row>
    <row r="868" spans="6:12" ht="18.75" customHeight="1">
      <c r="F868" s="1">
        <v>47757</v>
      </c>
      <c r="G868">
        <f t="shared" si="67"/>
        <v>10</v>
      </c>
      <c r="I868" s="7">
        <f t="shared" si="65"/>
        <v>438.77485754127258</v>
      </c>
      <c r="J868" s="7"/>
      <c r="K868" s="7" cm="1">
        <f t="array" ref="K868">INDEX(Sm,G868)</f>
        <v>-3.3368150874962788</v>
      </c>
      <c r="L868" s="7">
        <f t="shared" si="66"/>
        <v>435.43804245377629</v>
      </c>
    </row>
    <row r="869" spans="6:12" ht="18.75" customHeight="1">
      <c r="F869" s="1">
        <v>47788</v>
      </c>
      <c r="G869">
        <f t="shared" si="67"/>
        <v>11</v>
      </c>
      <c r="I869" s="7">
        <f t="shared" si="65"/>
        <v>439.00071600412883</v>
      </c>
      <c r="J869" s="7"/>
      <c r="K869" s="7" cm="1">
        <f t="array" ref="K869">INDEX(Sm,G869)</f>
        <v>-2.0591623324975612</v>
      </c>
      <c r="L869" s="7">
        <f t="shared" si="66"/>
        <v>436.94155367163125</v>
      </c>
    </row>
    <row r="870" spans="6:12" ht="18.75" customHeight="1">
      <c r="F870" s="1">
        <v>47818</v>
      </c>
      <c r="G870">
        <f t="shared" si="67"/>
        <v>12</v>
      </c>
      <c r="I870" s="7">
        <f t="shared" si="65"/>
        <v>439.2194681366974</v>
      </c>
      <c r="J870" s="7"/>
      <c r="K870" s="7" cm="1">
        <f t="array" ref="K870">INDEX(Sm,G870)</f>
        <v>-0.89132446529561371</v>
      </c>
      <c r="L870" s="7">
        <f t="shared" si="66"/>
        <v>438.32814367140179</v>
      </c>
    </row>
    <row r="871" spans="6:12" ht="18.75" customHeight="1">
      <c r="F871" s="1">
        <v>47849</v>
      </c>
      <c r="G871">
        <f t="shared" si="67"/>
        <v>1</v>
      </c>
      <c r="I871" s="7">
        <f t="shared" si="65"/>
        <v>439.44569741448299</v>
      </c>
      <c r="J871" s="7"/>
      <c r="K871" s="7" cm="1">
        <f t="array" ref="K871">INDEX(Sm,G871)</f>
        <v>6.1040869584970889E-2</v>
      </c>
      <c r="L871" s="7">
        <f t="shared" si="66"/>
        <v>439.50673828406798</v>
      </c>
    </row>
    <row r="872" spans="6:12" ht="18.75" customHeight="1">
      <c r="F872" s="1">
        <v>47880</v>
      </c>
      <c r="G872">
        <f t="shared" si="67"/>
        <v>2</v>
      </c>
      <c r="I872" s="7">
        <f t="shared" ref="I872:I935" si="68">_A*F872*F872+_B*F872+_C</f>
        <v>439.67211513919989</v>
      </c>
      <c r="J872" s="7"/>
      <c r="K872" s="7" cm="1">
        <f t="array" ref="K872">INDEX(Sm,G872)</f>
        <v>0.69421564520236412</v>
      </c>
      <c r="L872" s="7">
        <f t="shared" ref="L872:L935" si="69">I872+K872</f>
        <v>440.36633078440224</v>
      </c>
    </row>
    <row r="873" spans="6:12" ht="18.75" customHeight="1">
      <c r="F873" s="1">
        <v>47908</v>
      </c>
      <c r="G873">
        <f t="shared" si="67"/>
        <v>3</v>
      </c>
      <c r="I873" s="7">
        <f t="shared" si="68"/>
        <v>439.87678344535959</v>
      </c>
      <c r="J873" s="7"/>
      <c r="K873" s="7" cm="1">
        <f t="array" ref="K873">INDEX(Sm,G873)</f>
        <v>1.3733706304072995</v>
      </c>
      <c r="L873" s="7">
        <f t="shared" si="69"/>
        <v>441.25015407576689</v>
      </c>
    </row>
    <row r="874" spans="6:12" ht="18.75" customHeight="1">
      <c r="F874" s="1">
        <v>47939</v>
      </c>
      <c r="G874">
        <f t="shared" si="67"/>
        <v>4</v>
      </c>
      <c r="I874" s="7">
        <f t="shared" si="68"/>
        <v>440.10355982713924</v>
      </c>
      <c r="J874" s="7"/>
      <c r="K874" s="7" cm="1">
        <f t="array" ref="K874">INDEX(Sm,G874)</f>
        <v>2.6099183412742755</v>
      </c>
      <c r="L874" s="7">
        <f t="shared" si="69"/>
        <v>442.71347816841353</v>
      </c>
    </row>
    <row r="875" spans="6:12" ht="18.75" customHeight="1">
      <c r="F875" s="1">
        <v>47969</v>
      </c>
      <c r="G875">
        <f t="shared" si="67"/>
        <v>5</v>
      </c>
      <c r="I875" s="7">
        <f t="shared" si="68"/>
        <v>440.32320026834344</v>
      </c>
      <c r="J875" s="7"/>
      <c r="K875" s="7" cm="1">
        <f t="array" ref="K875">INDEX(Sm,G875)</f>
        <v>3.065291801195754</v>
      </c>
      <c r="L875" s="7">
        <f t="shared" si="69"/>
        <v>443.38849206953921</v>
      </c>
    </row>
    <row r="876" spans="6:12" ht="18.75" customHeight="1">
      <c r="F876" s="1">
        <v>48000</v>
      </c>
      <c r="G876">
        <f t="shared" si="67"/>
        <v>6</v>
      </c>
      <c r="I876" s="7">
        <f t="shared" si="68"/>
        <v>440.55034746505248</v>
      </c>
      <c r="J876" s="7"/>
      <c r="K876" s="7" cm="1">
        <f t="array" ref="K876">INDEX(Sm,G876)</f>
        <v>2.3463851222642056</v>
      </c>
      <c r="L876" s="7">
        <f t="shared" si="69"/>
        <v>442.89673258731671</v>
      </c>
    </row>
    <row r="877" spans="6:12" ht="18.75" customHeight="1">
      <c r="F877" s="1">
        <v>48030</v>
      </c>
      <c r="G877">
        <f t="shared" si="67"/>
        <v>7</v>
      </c>
      <c r="I877" s="7">
        <f t="shared" si="68"/>
        <v>440.77034675941405</v>
      </c>
      <c r="J877" s="7"/>
      <c r="K877" s="7" cm="1">
        <f t="array" ref="K877">INDEX(Sm,G877)</f>
        <v>0.72334113060077332</v>
      </c>
      <c r="L877" s="7">
        <f t="shared" si="69"/>
        <v>441.49368789001483</v>
      </c>
    </row>
    <row r="878" spans="6:12" ht="18.75" customHeight="1">
      <c r="F878" s="1">
        <v>48061</v>
      </c>
      <c r="G878">
        <f t="shared" si="67"/>
        <v>8</v>
      </c>
      <c r="I878" s="7">
        <f t="shared" si="68"/>
        <v>440.99786477105238</v>
      </c>
      <c r="J878" s="7"/>
      <c r="K878" s="7" cm="1">
        <f t="array" ref="K878">INDEX(Sm,G878)</f>
        <v>-1.3975570061157723</v>
      </c>
      <c r="L878" s="7">
        <f t="shared" si="69"/>
        <v>439.60030776493659</v>
      </c>
    </row>
    <row r="879" spans="6:12" ht="18.75" customHeight="1">
      <c r="F879" s="1">
        <v>48092</v>
      </c>
      <c r="G879">
        <f t="shared" si="67"/>
        <v>9</v>
      </c>
      <c r="I879" s="7">
        <f t="shared" si="68"/>
        <v>441.22557122962201</v>
      </c>
      <c r="J879" s="7"/>
      <c r="K879" s="7" cm="1">
        <f t="array" ref="K879">INDEX(Sm,G879)</f>
        <v>-3.1934822994410497</v>
      </c>
      <c r="L879" s="7">
        <f t="shared" si="69"/>
        <v>438.03208893018098</v>
      </c>
    </row>
    <row r="880" spans="6:12" ht="18.75" customHeight="1">
      <c r="F880" s="1">
        <v>48122</v>
      </c>
      <c r="G880">
        <f t="shared" si="67"/>
        <v>10</v>
      </c>
      <c r="I880" s="7">
        <f t="shared" si="68"/>
        <v>441.44611174513909</v>
      </c>
      <c r="J880" s="7"/>
      <c r="K880" s="7" cm="1">
        <f t="array" ref="K880">INDEX(Sm,G880)</f>
        <v>-3.3368150874962788</v>
      </c>
      <c r="L880" s="7">
        <f t="shared" si="69"/>
        <v>438.1092966576428</v>
      </c>
    </row>
    <row r="881" spans="6:12" ht="18.75" customHeight="1">
      <c r="F881" s="1">
        <v>48153</v>
      </c>
      <c r="G881">
        <f t="shared" si="67"/>
        <v>11</v>
      </c>
      <c r="I881" s="7">
        <f t="shared" si="68"/>
        <v>441.67418901863806</v>
      </c>
      <c r="J881" s="7"/>
      <c r="K881" s="7" cm="1">
        <f t="array" ref="K881">INDEX(Sm,G881)</f>
        <v>-2.0591623324975612</v>
      </c>
      <c r="L881" s="7">
        <f t="shared" si="69"/>
        <v>439.61502668614048</v>
      </c>
    </row>
    <row r="882" spans="6:12" ht="18.75" customHeight="1">
      <c r="F882" s="1">
        <v>48183</v>
      </c>
      <c r="G882">
        <f t="shared" si="67"/>
        <v>12</v>
      </c>
      <c r="I882" s="7">
        <f t="shared" si="68"/>
        <v>441.89508838731251</v>
      </c>
      <c r="J882" s="7"/>
      <c r="K882" s="7" cm="1">
        <f t="array" ref="K882">INDEX(Sm,G882)</f>
        <v>-0.89132446529561371</v>
      </c>
      <c r="L882" s="7">
        <f t="shared" si="69"/>
        <v>441.0037639220169</v>
      </c>
    </row>
    <row r="883" spans="6:12" ht="18.75" customHeight="1">
      <c r="F883" s="1">
        <v>48214</v>
      </c>
      <c r="G883">
        <f t="shared" si="67"/>
        <v>1</v>
      </c>
      <c r="I883" s="7">
        <f t="shared" si="68"/>
        <v>442.12353647574082</v>
      </c>
      <c r="J883" s="7"/>
      <c r="K883" s="7" cm="1">
        <f t="array" ref="K883">INDEX(Sm,G883)</f>
        <v>6.1040869584970889E-2</v>
      </c>
      <c r="L883" s="7">
        <f t="shared" si="69"/>
        <v>442.18457734532581</v>
      </c>
    </row>
    <row r="884" spans="6:12" ht="18.75" customHeight="1">
      <c r="F884" s="1">
        <v>48245</v>
      </c>
      <c r="G884">
        <f t="shared" si="67"/>
        <v>2</v>
      </c>
      <c r="I884" s="7">
        <f t="shared" si="68"/>
        <v>442.35217301110043</v>
      </c>
      <c r="J884" s="7"/>
      <c r="K884" s="7" cm="1">
        <f t="array" ref="K884">INDEX(Sm,G884)</f>
        <v>0.69421564520236412</v>
      </c>
      <c r="L884" s="7">
        <f t="shared" si="69"/>
        <v>443.04638865630278</v>
      </c>
    </row>
    <row r="885" spans="6:12" ht="18.75" customHeight="1">
      <c r="F885" s="1">
        <v>48274</v>
      </c>
      <c r="G885">
        <f t="shared" si="67"/>
        <v>3</v>
      </c>
      <c r="I885" s="7">
        <f t="shared" si="68"/>
        <v>442.56622940456401</v>
      </c>
      <c r="J885" s="7"/>
      <c r="K885" s="7" cm="1">
        <f t="array" ref="K885">INDEX(Sm,G885)</f>
        <v>1.3733706304072995</v>
      </c>
      <c r="L885" s="7">
        <f t="shared" si="69"/>
        <v>443.93960003497131</v>
      </c>
    </row>
    <row r="886" spans="6:12" ht="18.75" customHeight="1">
      <c r="F886" s="1">
        <v>48305</v>
      </c>
      <c r="G886">
        <f t="shared" si="67"/>
        <v>4</v>
      </c>
      <c r="I886" s="7">
        <f t="shared" si="68"/>
        <v>442.7952306759197</v>
      </c>
      <c r="J886" s="7"/>
      <c r="K886" s="7" cm="1">
        <f t="array" ref="K886">INDEX(Sm,G886)</f>
        <v>2.6099183412742755</v>
      </c>
      <c r="L886" s="7">
        <f t="shared" si="69"/>
        <v>445.40514901719399</v>
      </c>
    </row>
    <row r="887" spans="6:12" ht="18.75" customHeight="1">
      <c r="F887" s="1">
        <v>48335</v>
      </c>
      <c r="G887">
        <f t="shared" si="67"/>
        <v>5</v>
      </c>
      <c r="I887" s="7">
        <f t="shared" si="68"/>
        <v>443.01702423606832</v>
      </c>
      <c r="J887" s="7"/>
      <c r="K887" s="7" cm="1">
        <f t="array" ref="K887">INDEX(Sm,G887)</f>
        <v>3.065291801195754</v>
      </c>
      <c r="L887" s="7">
        <f t="shared" si="69"/>
        <v>446.08231603726409</v>
      </c>
    </row>
    <row r="888" spans="6:12" ht="18.75" customHeight="1">
      <c r="F888" s="1">
        <v>48366</v>
      </c>
      <c r="G888">
        <f t="shared" si="67"/>
        <v>6</v>
      </c>
      <c r="I888" s="7">
        <f t="shared" si="68"/>
        <v>443.24639632235335</v>
      </c>
      <c r="J888" s="7"/>
      <c r="K888" s="7" cm="1">
        <f t="array" ref="K888">INDEX(Sm,G888)</f>
        <v>2.3463851222642056</v>
      </c>
      <c r="L888" s="7">
        <f t="shared" si="69"/>
        <v>445.59278144461757</v>
      </c>
    </row>
    <row r="889" spans="6:12" ht="18.75" customHeight="1">
      <c r="F889" s="1">
        <v>48396</v>
      </c>
      <c r="G889">
        <f t="shared" si="67"/>
        <v>7</v>
      </c>
      <c r="I889" s="7">
        <f t="shared" si="68"/>
        <v>443.46854873565951</v>
      </c>
      <c r="J889" s="7"/>
      <c r="K889" s="7" cm="1">
        <f t="array" ref="K889">INDEX(Sm,G889)</f>
        <v>0.72334113060077332</v>
      </c>
      <c r="L889" s="7">
        <f t="shared" si="69"/>
        <v>444.19188986626028</v>
      </c>
    </row>
    <row r="890" spans="6:12" ht="18.75" customHeight="1">
      <c r="F890" s="1">
        <v>48427</v>
      </c>
      <c r="G890">
        <f t="shared" si="67"/>
        <v>8</v>
      </c>
      <c r="I890" s="7">
        <f t="shared" si="68"/>
        <v>443.69829163687382</v>
      </c>
      <c r="J890" s="7"/>
      <c r="K890" s="7" cm="1">
        <f t="array" ref="K890">INDEX(Sm,G890)</f>
        <v>-1.3975570061157723</v>
      </c>
      <c r="L890" s="7">
        <f t="shared" si="69"/>
        <v>442.30073463075803</v>
      </c>
    </row>
    <row r="891" spans="6:12" ht="18.75" customHeight="1">
      <c r="F891" s="1">
        <v>48458</v>
      </c>
      <c r="G891">
        <f t="shared" si="67"/>
        <v>9</v>
      </c>
      <c r="I891" s="7">
        <f t="shared" si="68"/>
        <v>443.92822298501949</v>
      </c>
      <c r="J891" s="7"/>
      <c r="K891" s="7" cm="1">
        <f t="array" ref="K891">INDEX(Sm,G891)</f>
        <v>-3.1934822994410497</v>
      </c>
      <c r="L891" s="7">
        <f t="shared" si="69"/>
        <v>440.73474068557846</v>
      </c>
    </row>
    <row r="892" spans="6:12" ht="18.75" customHeight="1">
      <c r="F892" s="1">
        <v>48488</v>
      </c>
      <c r="G892">
        <f t="shared" si="67"/>
        <v>10</v>
      </c>
      <c r="I892" s="7">
        <f t="shared" si="68"/>
        <v>444.15091661948105</v>
      </c>
      <c r="J892" s="7"/>
      <c r="K892" s="7" cm="1">
        <f t="array" ref="K892">INDEX(Sm,G892)</f>
        <v>-3.3368150874962788</v>
      </c>
      <c r="L892" s="7">
        <f t="shared" si="69"/>
        <v>440.81410153198476</v>
      </c>
    </row>
    <row r="893" spans="6:12" ht="18.75" customHeight="1">
      <c r="F893" s="1">
        <v>48519</v>
      </c>
      <c r="G893">
        <f t="shared" si="67"/>
        <v>11</v>
      </c>
      <c r="I893" s="7">
        <f t="shared" si="68"/>
        <v>444.381218782556</v>
      </c>
      <c r="J893" s="7"/>
      <c r="K893" s="7" cm="1">
        <f t="array" ref="K893">INDEX(Sm,G893)</f>
        <v>-2.0591623324975612</v>
      </c>
      <c r="L893" s="7">
        <f t="shared" si="69"/>
        <v>442.32205645005843</v>
      </c>
    </row>
    <row r="894" spans="6:12" ht="18.75" customHeight="1">
      <c r="F894" s="1">
        <v>48549</v>
      </c>
      <c r="G894">
        <f t="shared" si="67"/>
        <v>12</v>
      </c>
      <c r="I894" s="7">
        <f t="shared" si="68"/>
        <v>444.60427127017499</v>
      </c>
      <c r="J894" s="7"/>
      <c r="K894" s="7" cm="1">
        <f t="array" ref="K894">INDEX(Sm,G894)</f>
        <v>-0.89132446529561371</v>
      </c>
      <c r="L894" s="7">
        <f t="shared" si="69"/>
        <v>443.71294680487938</v>
      </c>
    </row>
    <row r="895" spans="6:12" ht="18.75" customHeight="1">
      <c r="F895" s="1">
        <v>48580</v>
      </c>
      <c r="G895">
        <f t="shared" si="67"/>
        <v>1</v>
      </c>
      <c r="I895" s="7">
        <f t="shared" si="68"/>
        <v>444.83494424817934</v>
      </c>
      <c r="J895" s="7"/>
      <c r="K895" s="7" cm="1">
        <f t="array" ref="K895">INDEX(Sm,G895)</f>
        <v>6.1040869584970889E-2</v>
      </c>
      <c r="L895" s="7">
        <f t="shared" si="69"/>
        <v>444.89598511776433</v>
      </c>
    </row>
    <row r="896" spans="6:12" ht="18.75" customHeight="1">
      <c r="F896" s="1">
        <v>48611</v>
      </c>
      <c r="G896">
        <f t="shared" si="67"/>
        <v>2</v>
      </c>
      <c r="I896" s="7">
        <f t="shared" si="68"/>
        <v>445.06580567311488</v>
      </c>
      <c r="J896" s="7"/>
      <c r="K896" s="7" cm="1">
        <f t="array" ref="K896">INDEX(Sm,G896)</f>
        <v>0.69421564520236412</v>
      </c>
      <c r="L896" s="7">
        <f t="shared" si="69"/>
        <v>445.76002131831723</v>
      </c>
    </row>
    <row r="897" spans="6:12" ht="18.75" customHeight="1">
      <c r="F897" s="1">
        <v>48639</v>
      </c>
      <c r="G897">
        <f t="shared" si="67"/>
        <v>3</v>
      </c>
      <c r="I897" s="7">
        <f t="shared" si="68"/>
        <v>445.27448764398832</v>
      </c>
      <c r="J897" s="7"/>
      <c r="K897" s="7" cm="1">
        <f t="array" ref="K897">INDEX(Sm,G897)</f>
        <v>1.3733706304072995</v>
      </c>
      <c r="L897" s="7">
        <f t="shared" si="69"/>
        <v>446.64785827439562</v>
      </c>
    </row>
    <row r="898" spans="6:12" ht="18.75" customHeight="1">
      <c r="F898" s="1">
        <v>48670</v>
      </c>
      <c r="G898">
        <f t="shared" si="67"/>
        <v>4</v>
      </c>
      <c r="I898" s="7">
        <f t="shared" si="68"/>
        <v>445.50570772598667</v>
      </c>
      <c r="J898" s="7"/>
      <c r="K898" s="7" cm="1">
        <f t="array" ref="K898">INDEX(Sm,G898)</f>
        <v>2.6099183412742755</v>
      </c>
      <c r="L898" s="7">
        <f t="shared" si="69"/>
        <v>448.11562606726096</v>
      </c>
    </row>
    <row r="899" spans="6:12" ht="18.75" customHeight="1">
      <c r="F899" s="1">
        <v>48700</v>
      </c>
      <c r="G899">
        <f t="shared" ref="G899:G962" si="70">MONTH(F899)</f>
        <v>5</v>
      </c>
      <c r="I899" s="7">
        <f t="shared" si="68"/>
        <v>445.72964852224123</v>
      </c>
      <c r="J899" s="7"/>
      <c r="K899" s="7" cm="1">
        <f t="array" ref="K899">INDEX(Sm,G899)</f>
        <v>3.065291801195754</v>
      </c>
      <c r="L899" s="7">
        <f t="shared" si="69"/>
        <v>448.794940323437</v>
      </c>
    </row>
    <row r="900" spans="6:12" ht="18.75" customHeight="1">
      <c r="F900" s="1">
        <v>48731</v>
      </c>
      <c r="G900">
        <f t="shared" si="70"/>
        <v>6</v>
      </c>
      <c r="I900" s="7">
        <f t="shared" si="68"/>
        <v>445.96123941916903</v>
      </c>
      <c r="J900" s="7"/>
      <c r="K900" s="7" cm="1">
        <f t="array" ref="K900">INDEX(Sm,G900)</f>
        <v>2.3463851222642056</v>
      </c>
      <c r="L900" s="7">
        <f t="shared" si="69"/>
        <v>448.30762454143326</v>
      </c>
    </row>
    <row r="901" spans="6:12" ht="18.75" customHeight="1">
      <c r="F901" s="1">
        <v>48761</v>
      </c>
      <c r="G901">
        <f t="shared" si="70"/>
        <v>7</v>
      </c>
      <c r="I901" s="7">
        <f t="shared" si="68"/>
        <v>446.18553906858097</v>
      </c>
      <c r="J901" s="7"/>
      <c r="K901" s="7" cm="1">
        <f t="array" ref="K901">INDEX(Sm,G901)</f>
        <v>0.72334113060077332</v>
      </c>
      <c r="L901" s="7">
        <f t="shared" si="69"/>
        <v>446.90888019918174</v>
      </c>
    </row>
    <row r="902" spans="6:12" ht="18.75" customHeight="1">
      <c r="F902" s="1">
        <v>48792</v>
      </c>
      <c r="G902">
        <f t="shared" si="70"/>
        <v>8</v>
      </c>
      <c r="I902" s="7">
        <f t="shared" si="68"/>
        <v>446.41750078043805</v>
      </c>
      <c r="J902" s="7"/>
      <c r="K902" s="7" cm="1">
        <f t="array" ref="K902">INDEX(Sm,G902)</f>
        <v>-1.3975570061157723</v>
      </c>
      <c r="L902" s="7">
        <f t="shared" si="69"/>
        <v>445.01994377432226</v>
      </c>
    </row>
    <row r="903" spans="6:12" ht="18.75" customHeight="1">
      <c r="F903" s="1">
        <v>48823</v>
      </c>
      <c r="G903">
        <f t="shared" si="70"/>
        <v>9</v>
      </c>
      <c r="I903" s="7">
        <f t="shared" si="68"/>
        <v>446.64965093922643</v>
      </c>
      <c r="J903" s="7"/>
      <c r="K903" s="7" cm="1">
        <f t="array" ref="K903">INDEX(Sm,G903)</f>
        <v>-3.1934822994410497</v>
      </c>
      <c r="L903" s="7">
        <f t="shared" si="69"/>
        <v>443.4561686397854</v>
      </c>
    </row>
    <row r="904" spans="6:12" ht="18.75" customHeight="1">
      <c r="F904" s="1">
        <v>48853</v>
      </c>
      <c r="G904">
        <f t="shared" si="70"/>
        <v>10</v>
      </c>
      <c r="I904" s="7">
        <f t="shared" si="68"/>
        <v>446.87449180979382</v>
      </c>
      <c r="J904" s="7"/>
      <c r="K904" s="7" cm="1">
        <f t="array" ref="K904">INDEX(Sm,G904)</f>
        <v>-3.3368150874962788</v>
      </c>
      <c r="L904" s="7">
        <f t="shared" si="69"/>
        <v>443.53767672229753</v>
      </c>
    </row>
    <row r="905" spans="6:12" ht="18.75" customHeight="1">
      <c r="F905" s="1">
        <v>48884</v>
      </c>
      <c r="G905">
        <f t="shared" si="70"/>
        <v>11</v>
      </c>
      <c r="I905" s="7">
        <f t="shared" si="68"/>
        <v>447.10701278351155</v>
      </c>
      <c r="J905" s="7"/>
      <c r="K905" s="7" cm="1">
        <f t="array" ref="K905">INDEX(Sm,G905)</f>
        <v>-2.0591623324975612</v>
      </c>
      <c r="L905" s="7">
        <f t="shared" si="69"/>
        <v>445.04785045101397</v>
      </c>
    </row>
    <row r="906" spans="6:12" ht="18.75" customHeight="1">
      <c r="F906" s="1">
        <v>48914</v>
      </c>
      <c r="G906">
        <f t="shared" si="70"/>
        <v>12</v>
      </c>
      <c r="I906" s="7">
        <f t="shared" si="68"/>
        <v>447.33221250723642</v>
      </c>
      <c r="J906" s="7"/>
      <c r="K906" s="7" cm="1">
        <f t="array" ref="K906">INDEX(Sm,G906)</f>
        <v>-0.89132446529561371</v>
      </c>
      <c r="L906" s="7">
        <f t="shared" si="69"/>
        <v>446.44088804194081</v>
      </c>
    </row>
    <row r="907" spans="6:12" ht="18.75" customHeight="1">
      <c r="F907" s="1">
        <v>48945</v>
      </c>
      <c r="G907">
        <f t="shared" si="70"/>
        <v>1</v>
      </c>
      <c r="I907" s="7">
        <f t="shared" si="68"/>
        <v>447.56510429588343</v>
      </c>
      <c r="J907" s="7"/>
      <c r="K907" s="7" cm="1">
        <f t="array" ref="K907">INDEX(Sm,G907)</f>
        <v>6.1040869584970889E-2</v>
      </c>
      <c r="L907" s="7">
        <f t="shared" si="69"/>
        <v>447.62614516546842</v>
      </c>
    </row>
    <row r="908" spans="6:12" ht="18.75" customHeight="1">
      <c r="F908" s="1">
        <v>48976</v>
      </c>
      <c r="G908">
        <f t="shared" si="70"/>
        <v>2</v>
      </c>
      <c r="I908" s="7">
        <f t="shared" si="68"/>
        <v>447.79818453146174</v>
      </c>
      <c r="J908" s="7"/>
      <c r="K908" s="7" cm="1">
        <f t="array" ref="K908">INDEX(Sm,G908)</f>
        <v>0.69421564520236412</v>
      </c>
      <c r="L908" s="7">
        <f t="shared" si="69"/>
        <v>448.49240017666409</v>
      </c>
    </row>
    <row r="909" spans="6:12" ht="18.75" customHeight="1">
      <c r="F909" s="1">
        <v>49004</v>
      </c>
      <c r="G909">
        <f t="shared" si="70"/>
        <v>3</v>
      </c>
      <c r="I909" s="7">
        <f t="shared" si="68"/>
        <v>448.00887058936729</v>
      </c>
      <c r="J909" s="7"/>
      <c r="K909" s="7" cm="1">
        <f t="array" ref="K909">INDEX(Sm,G909)</f>
        <v>1.3733706304072995</v>
      </c>
      <c r="L909" s="7">
        <f t="shared" si="69"/>
        <v>449.38224121977458</v>
      </c>
    </row>
    <row r="910" spans="6:12" ht="18.75" customHeight="1">
      <c r="F910" s="1">
        <v>49035</v>
      </c>
      <c r="G910">
        <f t="shared" si="70"/>
        <v>4</v>
      </c>
      <c r="I910" s="7">
        <f t="shared" si="68"/>
        <v>448.24230948200841</v>
      </c>
      <c r="J910" s="7"/>
      <c r="K910" s="7" cm="1">
        <f t="array" ref="K910">INDEX(Sm,G910)</f>
        <v>2.6099183412742755</v>
      </c>
      <c r="L910" s="7">
        <f t="shared" si="69"/>
        <v>450.8522278232827</v>
      </c>
    </row>
    <row r="911" spans="6:12" ht="18.75" customHeight="1">
      <c r="F911" s="1">
        <v>49065</v>
      </c>
      <c r="G911">
        <f t="shared" si="70"/>
        <v>5</v>
      </c>
      <c r="I911" s="7">
        <f t="shared" si="68"/>
        <v>448.46839751436886</v>
      </c>
      <c r="J911" s="7"/>
      <c r="K911" s="7" cm="1">
        <f t="array" ref="K911">INDEX(Sm,G911)</f>
        <v>3.065291801195754</v>
      </c>
      <c r="L911" s="7">
        <f t="shared" si="69"/>
        <v>451.53368931556463</v>
      </c>
    </row>
    <row r="912" spans="6:12" ht="18.75" customHeight="1">
      <c r="F912" s="1">
        <v>49096</v>
      </c>
      <c r="G912">
        <f t="shared" si="70"/>
        <v>6</v>
      </c>
      <c r="I912" s="7">
        <f t="shared" si="68"/>
        <v>448.70220722193932</v>
      </c>
      <c r="J912" s="7"/>
      <c r="K912" s="7" cm="1">
        <f t="array" ref="K912">INDEX(Sm,G912)</f>
        <v>2.3463851222642056</v>
      </c>
      <c r="L912" s="7">
        <f t="shared" si="69"/>
        <v>451.04859234420354</v>
      </c>
    </row>
    <row r="913" spans="6:12" ht="18.75" customHeight="1">
      <c r="F913" s="1">
        <v>49126</v>
      </c>
      <c r="G913">
        <f t="shared" si="70"/>
        <v>7</v>
      </c>
      <c r="I913" s="7">
        <f t="shared" si="68"/>
        <v>448.92865410745719</v>
      </c>
      <c r="J913" s="7"/>
      <c r="K913" s="7" cm="1">
        <f t="array" ref="K913">INDEX(Sm,G913)</f>
        <v>0.72334113060077332</v>
      </c>
      <c r="L913" s="7">
        <f t="shared" si="69"/>
        <v>449.65199523805796</v>
      </c>
    </row>
    <row r="914" spans="6:12" ht="18.75" customHeight="1">
      <c r="F914" s="1">
        <v>49157</v>
      </c>
      <c r="G914">
        <f t="shared" si="70"/>
        <v>8</v>
      </c>
      <c r="I914" s="7">
        <f t="shared" si="68"/>
        <v>449.16283462995693</v>
      </c>
      <c r="J914" s="7"/>
      <c r="K914" s="7" cm="1">
        <f t="array" ref="K914">INDEX(Sm,G914)</f>
        <v>-1.3975570061157723</v>
      </c>
      <c r="L914" s="7">
        <f t="shared" si="69"/>
        <v>447.76527762384114</v>
      </c>
    </row>
    <row r="915" spans="6:12" ht="18.75" customHeight="1">
      <c r="F915" s="1">
        <v>49188</v>
      </c>
      <c r="G915">
        <f t="shared" si="70"/>
        <v>9</v>
      </c>
      <c r="I915" s="7">
        <f t="shared" si="68"/>
        <v>449.39720359938804</v>
      </c>
      <c r="J915" s="7"/>
      <c r="K915" s="7" cm="1">
        <f t="array" ref="K915">INDEX(Sm,G915)</f>
        <v>-3.1934822994410497</v>
      </c>
      <c r="L915" s="7">
        <f t="shared" si="69"/>
        <v>446.20372129994701</v>
      </c>
    </row>
    <row r="916" spans="6:12" ht="18.75" customHeight="1">
      <c r="F916" s="1">
        <v>49218</v>
      </c>
      <c r="G916">
        <f t="shared" si="70"/>
        <v>10</v>
      </c>
      <c r="I916" s="7">
        <f t="shared" si="68"/>
        <v>449.62419170606137</v>
      </c>
      <c r="J916" s="7"/>
      <c r="K916" s="7" cm="1">
        <f t="array" ref="K916">INDEX(Sm,G916)</f>
        <v>-3.3368150874962788</v>
      </c>
      <c r="L916" s="7">
        <f t="shared" si="69"/>
        <v>446.28737661856508</v>
      </c>
    </row>
    <row r="917" spans="6:12" ht="18.75" customHeight="1">
      <c r="F917" s="1">
        <v>49249</v>
      </c>
      <c r="G917">
        <f t="shared" si="70"/>
        <v>11</v>
      </c>
      <c r="I917" s="7">
        <f t="shared" si="68"/>
        <v>449.85893149042175</v>
      </c>
      <c r="J917" s="7"/>
      <c r="K917" s="7" cm="1">
        <f t="array" ref="K917">INDEX(Sm,G917)</f>
        <v>-2.0591623324975612</v>
      </c>
      <c r="L917" s="7">
        <f t="shared" si="69"/>
        <v>447.79976915792417</v>
      </c>
    </row>
    <row r="918" spans="6:12" ht="18.75" customHeight="1">
      <c r="F918" s="1">
        <v>49279</v>
      </c>
      <c r="G918">
        <f t="shared" si="70"/>
        <v>12</v>
      </c>
      <c r="I918" s="7">
        <f t="shared" si="68"/>
        <v>450.08627845025251</v>
      </c>
      <c r="J918" s="7"/>
      <c r="K918" s="7" cm="1">
        <f t="array" ref="K918">INDEX(Sm,G918)</f>
        <v>-0.89132446529561371</v>
      </c>
      <c r="L918" s="7">
        <f t="shared" si="69"/>
        <v>449.1949539849569</v>
      </c>
    </row>
    <row r="919" spans="6:12" ht="18.75" customHeight="1">
      <c r="F919" s="1">
        <v>49310</v>
      </c>
      <c r="G919">
        <f t="shared" si="70"/>
        <v>1</v>
      </c>
      <c r="I919" s="7">
        <f t="shared" si="68"/>
        <v>450.32138904954229</v>
      </c>
      <c r="J919" s="7"/>
      <c r="K919" s="7" cm="1">
        <f t="array" ref="K919">INDEX(Sm,G919)</f>
        <v>6.1040869584970889E-2</v>
      </c>
      <c r="L919" s="7">
        <f t="shared" si="69"/>
        <v>450.38242991912728</v>
      </c>
    </row>
    <row r="920" spans="6:12" ht="18.75" customHeight="1">
      <c r="F920" s="1">
        <v>49341</v>
      </c>
      <c r="G920">
        <f t="shared" si="70"/>
        <v>2</v>
      </c>
      <c r="I920" s="7">
        <f t="shared" si="68"/>
        <v>450.55668809576332</v>
      </c>
      <c r="J920" s="7"/>
      <c r="K920" s="7" cm="1">
        <f t="array" ref="K920">INDEX(Sm,G920)</f>
        <v>0.69421564520236412</v>
      </c>
      <c r="L920" s="7">
        <f t="shared" si="69"/>
        <v>451.25090374096567</v>
      </c>
    </row>
    <row r="921" spans="6:12" ht="18.75" customHeight="1">
      <c r="F921" s="1">
        <v>49369</v>
      </c>
      <c r="G921">
        <f t="shared" si="70"/>
        <v>3</v>
      </c>
      <c r="I921" s="7">
        <f t="shared" si="68"/>
        <v>450.76937824070097</v>
      </c>
      <c r="J921" s="7"/>
      <c r="K921" s="7" cm="1">
        <f t="array" ref="K921">INDEX(Sm,G921)</f>
        <v>1.3733706304072995</v>
      </c>
      <c r="L921" s="7">
        <f t="shared" si="69"/>
        <v>452.14274887110827</v>
      </c>
    </row>
    <row r="922" spans="6:12" ht="18.75" customHeight="1">
      <c r="F922" s="1">
        <v>49400</v>
      </c>
      <c r="G922">
        <f t="shared" si="70"/>
        <v>4</v>
      </c>
      <c r="I922" s="7">
        <f t="shared" si="68"/>
        <v>451.00503594398486</v>
      </c>
      <c r="J922" s="7"/>
      <c r="K922" s="7" cm="1">
        <f t="array" ref="K922">INDEX(Sm,G922)</f>
        <v>2.6099183412742755</v>
      </c>
      <c r="L922" s="7">
        <f t="shared" si="69"/>
        <v>453.61495428525916</v>
      </c>
    </row>
    <row r="923" spans="6:12" ht="18.75" customHeight="1">
      <c r="F923" s="1">
        <v>49430</v>
      </c>
      <c r="G923">
        <f t="shared" si="70"/>
        <v>5</v>
      </c>
      <c r="I923" s="7">
        <f t="shared" si="68"/>
        <v>451.2332712124512</v>
      </c>
      <c r="J923" s="7"/>
      <c r="K923" s="7" cm="1">
        <f t="array" ref="K923">INDEX(Sm,G923)</f>
        <v>3.065291801195754</v>
      </c>
      <c r="L923" s="7">
        <f t="shared" si="69"/>
        <v>454.29856301364697</v>
      </c>
    </row>
    <row r="924" spans="6:12" ht="18.75" customHeight="1">
      <c r="F924" s="1">
        <v>49461</v>
      </c>
      <c r="G924">
        <f t="shared" si="70"/>
        <v>6</v>
      </c>
      <c r="I924" s="7">
        <f t="shared" si="68"/>
        <v>451.46929973066437</v>
      </c>
      <c r="J924" s="7"/>
      <c r="K924" s="7" cm="1">
        <f t="array" ref="K924">INDEX(Sm,G924)</f>
        <v>2.3463851222642056</v>
      </c>
      <c r="L924" s="7">
        <f t="shared" si="69"/>
        <v>453.8156848529286</v>
      </c>
    </row>
    <row r="925" spans="6:12" ht="18.75" customHeight="1">
      <c r="F925" s="1">
        <v>49491</v>
      </c>
      <c r="G925">
        <f t="shared" si="70"/>
        <v>7</v>
      </c>
      <c r="I925" s="7">
        <f t="shared" si="68"/>
        <v>451.69789385228808</v>
      </c>
      <c r="J925" s="7"/>
      <c r="K925" s="7" cm="1">
        <f t="array" ref="K925">INDEX(Sm,G925)</f>
        <v>0.72334113060077332</v>
      </c>
      <c r="L925" s="7">
        <f t="shared" si="69"/>
        <v>452.42123498288885</v>
      </c>
    </row>
    <row r="926" spans="6:12" ht="18.75" customHeight="1">
      <c r="F926" s="1">
        <v>49522</v>
      </c>
      <c r="G926">
        <f t="shared" si="70"/>
        <v>8</v>
      </c>
      <c r="I926" s="7">
        <f t="shared" si="68"/>
        <v>451.93429318543059</v>
      </c>
      <c r="J926" s="7"/>
      <c r="K926" s="7" cm="1">
        <f t="array" ref="K926">INDEX(Sm,G926)</f>
        <v>-1.3975570061157723</v>
      </c>
      <c r="L926" s="7">
        <f t="shared" si="69"/>
        <v>450.5367361793148</v>
      </c>
    </row>
    <row r="927" spans="6:12" ht="18.75" customHeight="1">
      <c r="F927" s="1">
        <v>49553</v>
      </c>
      <c r="G927">
        <f t="shared" si="70"/>
        <v>9</v>
      </c>
      <c r="I927" s="7">
        <f t="shared" si="68"/>
        <v>452.17088096550441</v>
      </c>
      <c r="J927" s="7"/>
      <c r="K927" s="7" cm="1">
        <f t="array" ref="K927">INDEX(Sm,G927)</f>
        <v>-3.1934822994410497</v>
      </c>
      <c r="L927" s="7">
        <f t="shared" si="69"/>
        <v>448.97739866606338</v>
      </c>
    </row>
    <row r="928" spans="6:12" ht="18.75" customHeight="1">
      <c r="F928" s="1">
        <v>49583</v>
      </c>
      <c r="G928">
        <f t="shared" si="70"/>
        <v>10</v>
      </c>
      <c r="I928" s="7">
        <f t="shared" si="68"/>
        <v>452.40001630828357</v>
      </c>
      <c r="J928" s="7"/>
      <c r="K928" s="7" cm="1">
        <f t="array" ref="K928">INDEX(Sm,G928)</f>
        <v>-3.3368150874962788</v>
      </c>
      <c r="L928" s="7">
        <f t="shared" si="69"/>
        <v>449.06320122078728</v>
      </c>
    </row>
    <row r="929" spans="6:12" ht="18.75" customHeight="1">
      <c r="F929" s="1">
        <v>49614</v>
      </c>
      <c r="G929">
        <f t="shared" si="70"/>
        <v>11</v>
      </c>
      <c r="I929" s="7">
        <f t="shared" si="68"/>
        <v>452.63697490328673</v>
      </c>
      <c r="J929" s="7"/>
      <c r="K929" s="7" cm="1">
        <f t="array" ref="K929">INDEX(Sm,G929)</f>
        <v>-2.0591623324975612</v>
      </c>
      <c r="L929" s="7">
        <f t="shared" si="69"/>
        <v>450.57781257078915</v>
      </c>
    </row>
    <row r="930" spans="6:12" ht="18.75" customHeight="1">
      <c r="F930" s="1">
        <v>49644</v>
      </c>
      <c r="G930">
        <f t="shared" si="70"/>
        <v>12</v>
      </c>
      <c r="I930" s="7">
        <f t="shared" si="68"/>
        <v>452.86646909922337</v>
      </c>
      <c r="J930" s="7"/>
      <c r="K930" s="7" cm="1">
        <f t="array" ref="K930">INDEX(Sm,G930)</f>
        <v>-0.89132446529561371</v>
      </c>
      <c r="L930" s="7">
        <f t="shared" si="69"/>
        <v>451.97514463392775</v>
      </c>
    </row>
    <row r="931" spans="6:12" ht="18.75" customHeight="1">
      <c r="F931" s="1">
        <v>49675</v>
      </c>
      <c r="G931">
        <f t="shared" si="70"/>
        <v>1</v>
      </c>
      <c r="I931" s="7">
        <f t="shared" si="68"/>
        <v>453.10379850915581</v>
      </c>
      <c r="J931" s="7"/>
      <c r="K931" s="7" cm="1">
        <f t="array" ref="K931">INDEX(Sm,G931)</f>
        <v>6.1040869584970889E-2</v>
      </c>
      <c r="L931" s="7">
        <f t="shared" si="69"/>
        <v>453.16483937874079</v>
      </c>
    </row>
    <row r="932" spans="6:12" ht="18.75" customHeight="1">
      <c r="F932" s="1">
        <v>49706</v>
      </c>
      <c r="G932">
        <f t="shared" si="70"/>
        <v>2</v>
      </c>
      <c r="I932" s="7">
        <f t="shared" si="68"/>
        <v>453.34131636601961</v>
      </c>
      <c r="J932" s="7"/>
      <c r="K932" s="7" cm="1">
        <f t="array" ref="K932">INDEX(Sm,G932)</f>
        <v>0.69421564520236412</v>
      </c>
      <c r="L932" s="7">
        <f t="shared" si="69"/>
        <v>454.03553201122196</v>
      </c>
    </row>
    <row r="933" spans="6:12" ht="18.75" customHeight="1">
      <c r="F933" s="1">
        <v>49735</v>
      </c>
      <c r="G933">
        <f t="shared" si="70"/>
        <v>3</v>
      </c>
      <c r="I933" s="7">
        <f t="shared" si="68"/>
        <v>453.56368109250326</v>
      </c>
      <c r="J933" s="7"/>
      <c r="K933" s="7" cm="1">
        <f t="array" ref="K933">INDEX(Sm,G933)</f>
        <v>1.3733706304072995</v>
      </c>
      <c r="L933" s="7">
        <f t="shared" si="69"/>
        <v>454.93705172291055</v>
      </c>
    </row>
    <row r="934" spans="6:12" ht="18.75" customHeight="1">
      <c r="F934" s="1">
        <v>49766</v>
      </c>
      <c r="G934">
        <f t="shared" si="70"/>
        <v>4</v>
      </c>
      <c r="I934" s="7">
        <f t="shared" si="68"/>
        <v>453.80156368536308</v>
      </c>
      <c r="J934" s="7"/>
      <c r="K934" s="7" cm="1">
        <f t="array" ref="K934">INDEX(Sm,G934)</f>
        <v>2.6099183412742755</v>
      </c>
      <c r="L934" s="7">
        <f t="shared" si="69"/>
        <v>456.41148202663737</v>
      </c>
    </row>
    <row r="935" spans="6:12" ht="18.75" customHeight="1">
      <c r="F935" s="1">
        <v>49796</v>
      </c>
      <c r="G935">
        <f t="shared" si="70"/>
        <v>5</v>
      </c>
      <c r="I935" s="7">
        <f t="shared" si="68"/>
        <v>454.03195207277395</v>
      </c>
      <c r="J935" s="7"/>
      <c r="K935" s="7" cm="1">
        <f t="array" ref="K935">INDEX(Sm,G935)</f>
        <v>3.065291801195754</v>
      </c>
      <c r="L935" s="7">
        <f t="shared" si="69"/>
        <v>457.09724387396972</v>
      </c>
    </row>
    <row r="936" spans="6:12" ht="18.75" customHeight="1">
      <c r="F936" s="1">
        <v>49827</v>
      </c>
      <c r="G936">
        <f t="shared" si="70"/>
        <v>6</v>
      </c>
      <c r="I936" s="7">
        <f t="shared" ref="I936:I982" si="71">_A*F936*F936+_B*F936+_C</f>
        <v>454.27020548056311</v>
      </c>
      <c r="J936" s="7"/>
      <c r="K936" s="7" cm="1">
        <f t="array" ref="K936">INDEX(Sm,G936)</f>
        <v>2.3463851222642056</v>
      </c>
      <c r="L936" s="7">
        <f t="shared" ref="L936:L982" si="72">I936+K936</f>
        <v>456.61659060282733</v>
      </c>
    </row>
    <row r="937" spans="6:12" ht="18.75" customHeight="1">
      <c r="F937" s="1">
        <v>49857</v>
      </c>
      <c r="G937">
        <f t="shared" si="70"/>
        <v>7</v>
      </c>
      <c r="I937" s="7">
        <f t="shared" si="71"/>
        <v>454.50095272113134</v>
      </c>
      <c r="J937" s="7"/>
      <c r="K937" s="7" cm="1">
        <f t="array" ref="K937">INDEX(Sm,G937)</f>
        <v>0.72334113060077332</v>
      </c>
      <c r="L937" s="7">
        <f t="shared" si="72"/>
        <v>455.22429385173211</v>
      </c>
    </row>
    <row r="938" spans="6:12" ht="18.75" customHeight="1">
      <c r="F938" s="1">
        <v>49888</v>
      </c>
      <c r="G938">
        <f t="shared" si="70"/>
        <v>8</v>
      </c>
      <c r="I938" s="7">
        <f t="shared" si="71"/>
        <v>454.73957694384984</v>
      </c>
      <c r="J938" s="7"/>
      <c r="K938" s="7" cm="1">
        <f t="array" ref="K938">INDEX(Sm,G938)</f>
        <v>-1.3975570061157723</v>
      </c>
      <c r="L938" s="7">
        <f t="shared" si="72"/>
        <v>453.34201993773405</v>
      </c>
    </row>
    <row r="939" spans="6:12" ht="18.75" customHeight="1">
      <c r="F939" s="1">
        <v>49919</v>
      </c>
      <c r="G939">
        <f t="shared" si="70"/>
        <v>9</v>
      </c>
      <c r="I939" s="7">
        <f t="shared" si="71"/>
        <v>454.97838961349964</v>
      </c>
      <c r="J939" s="7"/>
      <c r="K939" s="7" cm="1">
        <f t="array" ref="K939">INDEX(Sm,G939)</f>
        <v>-3.1934822994410497</v>
      </c>
      <c r="L939" s="7">
        <f t="shared" si="72"/>
        <v>451.78490731405861</v>
      </c>
    </row>
    <row r="940" spans="6:12" ht="18.75" customHeight="1">
      <c r="F940" s="1">
        <v>49949</v>
      </c>
      <c r="G940">
        <f t="shared" si="70"/>
        <v>10</v>
      </c>
      <c r="I940" s="7">
        <f t="shared" si="71"/>
        <v>455.20967807522339</v>
      </c>
      <c r="J940" s="7"/>
      <c r="K940" s="7" cm="1">
        <f t="array" ref="K940">INDEX(Sm,G940)</f>
        <v>-3.3368150874962788</v>
      </c>
      <c r="L940" s="7">
        <f t="shared" si="72"/>
        <v>451.8728629877271</v>
      </c>
    </row>
    <row r="941" spans="6:12" ht="18.75" customHeight="1">
      <c r="F941" s="1">
        <v>49980</v>
      </c>
      <c r="G941">
        <f t="shared" si="70"/>
        <v>11</v>
      </c>
      <c r="I941" s="7">
        <f t="shared" si="71"/>
        <v>455.44886155980248</v>
      </c>
      <c r="J941" s="7"/>
      <c r="K941" s="7" cm="1">
        <f t="array" ref="K941">INDEX(Sm,G941)</f>
        <v>-2.0591623324975612</v>
      </c>
      <c r="L941" s="7">
        <f t="shared" si="72"/>
        <v>453.3896992273049</v>
      </c>
    </row>
    <row r="942" spans="6:12" ht="18.75" customHeight="1">
      <c r="F942" s="1">
        <v>50010</v>
      </c>
      <c r="G942">
        <f t="shared" si="70"/>
        <v>12</v>
      </c>
      <c r="I942" s="7">
        <f t="shared" si="71"/>
        <v>455.6805088746836</v>
      </c>
      <c r="J942" s="7"/>
      <c r="K942" s="7" cm="1">
        <f t="array" ref="K942">INDEX(Sm,G942)</f>
        <v>-0.89132446529561371</v>
      </c>
      <c r="L942" s="7">
        <f t="shared" si="72"/>
        <v>454.78918440938799</v>
      </c>
    </row>
    <row r="943" spans="6:12" ht="18.75" customHeight="1">
      <c r="F943" s="1">
        <v>50041</v>
      </c>
      <c r="G943">
        <f t="shared" si="70"/>
        <v>1</v>
      </c>
      <c r="I943" s="7">
        <f t="shared" si="71"/>
        <v>455.92006317419208</v>
      </c>
      <c r="J943" s="7"/>
      <c r="K943" s="7" cm="1">
        <f t="array" ref="K943">INDEX(Sm,G943)</f>
        <v>6.1040869584970889E-2</v>
      </c>
      <c r="L943" s="7">
        <f t="shared" si="72"/>
        <v>455.98110404377707</v>
      </c>
    </row>
    <row r="944" spans="6:12" ht="18.75" customHeight="1">
      <c r="F944" s="1">
        <v>50072</v>
      </c>
      <c r="G944">
        <f t="shared" si="70"/>
        <v>2</v>
      </c>
      <c r="I944" s="7">
        <f t="shared" si="71"/>
        <v>456.15980592063187</v>
      </c>
      <c r="J944" s="7"/>
      <c r="K944" s="7" cm="1">
        <f t="array" ref="K944">INDEX(Sm,G944)</f>
        <v>0.69421564520236412</v>
      </c>
      <c r="L944" s="7">
        <f t="shared" si="72"/>
        <v>456.85402156583422</v>
      </c>
    </row>
    <row r="945" spans="6:12" ht="18.75" customHeight="1">
      <c r="F945" s="1">
        <v>50100</v>
      </c>
      <c r="G945">
        <f t="shared" si="70"/>
        <v>3</v>
      </c>
      <c r="I945" s="7">
        <f t="shared" si="71"/>
        <v>456.37650973028326</v>
      </c>
      <c r="J945" s="7"/>
      <c r="K945" s="7" cm="1">
        <f t="array" ref="K945">INDEX(Sm,G945)</f>
        <v>1.3733706304072995</v>
      </c>
      <c r="L945" s="7">
        <f t="shared" si="72"/>
        <v>457.74988036069055</v>
      </c>
    </row>
    <row r="946" spans="6:12" ht="18.75" customHeight="1">
      <c r="F946" s="1">
        <v>50131</v>
      </c>
      <c r="G946">
        <f t="shared" si="70"/>
        <v>4</v>
      </c>
      <c r="I946" s="7">
        <f t="shared" si="71"/>
        <v>456.61661113378585</v>
      </c>
      <c r="J946" s="7"/>
      <c r="K946" s="7" cm="1">
        <f t="array" ref="K946">INDEX(Sm,G946)</f>
        <v>2.6099183412742755</v>
      </c>
      <c r="L946" s="7">
        <f t="shared" si="72"/>
        <v>459.22652947506015</v>
      </c>
    </row>
    <row r="947" spans="6:12" ht="18.75" customHeight="1">
      <c r="F947" s="1">
        <v>50161</v>
      </c>
      <c r="G947">
        <f t="shared" si="70"/>
        <v>5</v>
      </c>
      <c r="I947" s="7">
        <f t="shared" si="71"/>
        <v>456.84914675730255</v>
      </c>
      <c r="J947" s="7"/>
      <c r="K947" s="7" cm="1">
        <f t="array" ref="K947">INDEX(Sm,G947)</f>
        <v>3.065291801195754</v>
      </c>
      <c r="L947" s="7">
        <f t="shared" si="72"/>
        <v>459.91443855849832</v>
      </c>
    </row>
    <row r="948" spans="6:12" ht="18.75" customHeight="1">
      <c r="F948" s="1">
        <v>50192</v>
      </c>
      <c r="G948">
        <f t="shared" si="70"/>
        <v>6</v>
      </c>
      <c r="I948" s="7">
        <f t="shared" si="71"/>
        <v>457.08961897573442</v>
      </c>
      <c r="J948" s="7"/>
      <c r="K948" s="7" cm="1">
        <f t="array" ref="K948">INDEX(Sm,G948)</f>
        <v>2.3463851222642056</v>
      </c>
      <c r="L948" s="7">
        <f t="shared" si="72"/>
        <v>459.43600409799865</v>
      </c>
    </row>
    <row r="949" spans="6:12" ht="18.75" customHeight="1">
      <c r="F949" s="1">
        <v>50222</v>
      </c>
      <c r="G949">
        <f t="shared" si="70"/>
        <v>7</v>
      </c>
      <c r="I949" s="7">
        <f t="shared" si="71"/>
        <v>457.32251345240854</v>
      </c>
      <c r="J949" s="7"/>
      <c r="K949" s="7" cm="1">
        <f t="array" ref="K949">INDEX(Sm,G949)</f>
        <v>0.72334113060077332</v>
      </c>
      <c r="L949" s="7">
        <f t="shared" si="72"/>
        <v>458.04585458300932</v>
      </c>
    </row>
    <row r="950" spans="6:12" ht="18.75" customHeight="1">
      <c r="F950" s="1">
        <v>50253</v>
      </c>
      <c r="G950">
        <f t="shared" si="70"/>
        <v>8</v>
      </c>
      <c r="I950" s="7">
        <f t="shared" si="71"/>
        <v>457.56335648576982</v>
      </c>
      <c r="J950" s="7"/>
      <c r="K950" s="7" cm="1">
        <f t="array" ref="K950">INDEX(Sm,G950)</f>
        <v>-1.3975570061157723</v>
      </c>
      <c r="L950" s="7">
        <f t="shared" si="72"/>
        <v>456.16579947965403</v>
      </c>
    </row>
    <row r="951" spans="6:12" ht="18.75" customHeight="1">
      <c r="F951" s="1">
        <v>50284</v>
      </c>
      <c r="G951">
        <f t="shared" si="70"/>
        <v>9</v>
      </c>
      <c r="I951" s="7">
        <f t="shared" si="71"/>
        <v>457.80438796606234</v>
      </c>
      <c r="J951" s="7"/>
      <c r="K951" s="7" cm="1">
        <f t="array" ref="K951">INDEX(Sm,G951)</f>
        <v>-3.1934822994410497</v>
      </c>
      <c r="L951" s="7">
        <f t="shared" si="72"/>
        <v>454.61090566662131</v>
      </c>
    </row>
    <row r="952" spans="6:12" ht="18.75" customHeight="1">
      <c r="F952" s="1">
        <v>50314</v>
      </c>
      <c r="G952">
        <f t="shared" si="70"/>
        <v>10</v>
      </c>
      <c r="I952" s="7">
        <f t="shared" si="71"/>
        <v>458.03782366389191</v>
      </c>
      <c r="J952" s="7"/>
      <c r="K952" s="7" cm="1">
        <f t="array" ref="K952">INDEX(Sm,G952)</f>
        <v>-3.3368150874962788</v>
      </c>
      <c r="L952" s="7">
        <f t="shared" si="72"/>
        <v>454.70100857639562</v>
      </c>
    </row>
    <row r="953" spans="6:12" ht="18.75" customHeight="1">
      <c r="F953" s="1">
        <v>50345</v>
      </c>
      <c r="G953">
        <f t="shared" si="70"/>
        <v>11</v>
      </c>
      <c r="I953" s="7">
        <f t="shared" si="71"/>
        <v>458.27922595911377</v>
      </c>
      <c r="J953" s="7"/>
      <c r="K953" s="7" cm="1">
        <f t="array" ref="K953">INDEX(Sm,G953)</f>
        <v>-2.0591623324975612</v>
      </c>
      <c r="L953" s="7">
        <f t="shared" si="72"/>
        <v>456.2200636266162</v>
      </c>
    </row>
    <row r="954" spans="6:12" ht="18.75" customHeight="1">
      <c r="F954" s="1">
        <v>50375</v>
      </c>
      <c r="G954">
        <f t="shared" si="70"/>
        <v>12</v>
      </c>
      <c r="I954" s="7">
        <f t="shared" si="71"/>
        <v>458.51302051010072</v>
      </c>
      <c r="J954" s="7"/>
      <c r="K954" s="7" cm="1">
        <f t="array" ref="K954">INDEX(Sm,G954)</f>
        <v>-0.89132446529561371</v>
      </c>
      <c r="L954" s="7">
        <f t="shared" si="72"/>
        <v>457.62169604480511</v>
      </c>
    </row>
    <row r="955" spans="6:12" ht="18.75" customHeight="1">
      <c r="F955" s="1">
        <v>50406</v>
      </c>
      <c r="G955">
        <f t="shared" si="70"/>
        <v>1</v>
      </c>
      <c r="I955" s="7">
        <f t="shared" si="71"/>
        <v>458.75479362025197</v>
      </c>
      <c r="J955" s="7"/>
      <c r="K955" s="7" cm="1">
        <f t="array" ref="K955">INDEX(Sm,G955)</f>
        <v>6.1040869584970889E-2</v>
      </c>
      <c r="L955" s="7">
        <f t="shared" si="72"/>
        <v>458.81583448983696</v>
      </c>
    </row>
    <row r="956" spans="6:12" ht="18.75" customHeight="1">
      <c r="F956" s="1">
        <v>50437</v>
      </c>
      <c r="G956">
        <f t="shared" si="70"/>
        <v>2</v>
      </c>
      <c r="I956" s="7">
        <f t="shared" si="71"/>
        <v>458.99675517733448</v>
      </c>
      <c r="J956" s="7"/>
      <c r="K956" s="7" cm="1">
        <f t="array" ref="K956">INDEX(Sm,G956)</f>
        <v>0.69421564520236412</v>
      </c>
      <c r="L956" s="7">
        <f t="shared" si="72"/>
        <v>459.69097082253683</v>
      </c>
    </row>
    <row r="957" spans="6:12" ht="18.75" customHeight="1">
      <c r="F957" s="1">
        <v>50465</v>
      </c>
      <c r="G957">
        <f t="shared" si="70"/>
        <v>3</v>
      </c>
      <c r="I957" s="7">
        <f t="shared" si="71"/>
        <v>459.21546307401798</v>
      </c>
      <c r="J957" s="7"/>
      <c r="K957" s="7" cm="1">
        <f t="array" ref="K957">INDEX(Sm,G957)</f>
        <v>1.3733706304072995</v>
      </c>
      <c r="L957" s="7">
        <f t="shared" si="72"/>
        <v>460.58883370442527</v>
      </c>
    </row>
    <row r="958" spans="6:12" ht="18.75" customHeight="1">
      <c r="F958" s="1">
        <v>50496</v>
      </c>
      <c r="G958">
        <f t="shared" si="70"/>
        <v>4</v>
      </c>
      <c r="I958" s="7">
        <f t="shared" si="71"/>
        <v>459.45778328816328</v>
      </c>
      <c r="J958" s="7"/>
      <c r="K958" s="7" cm="1">
        <f t="array" ref="K958">INDEX(Sm,G958)</f>
        <v>2.6099183412742755</v>
      </c>
      <c r="L958" s="7">
        <f t="shared" si="72"/>
        <v>462.06770162943758</v>
      </c>
    </row>
    <row r="959" spans="6:12" ht="18.75" customHeight="1">
      <c r="F959" s="1">
        <v>50526</v>
      </c>
      <c r="G959">
        <f t="shared" si="70"/>
        <v>5</v>
      </c>
      <c r="I959" s="7">
        <f t="shared" si="71"/>
        <v>459.69246614778581</v>
      </c>
      <c r="J959" s="7"/>
      <c r="K959" s="7" cm="1">
        <f t="array" ref="K959">INDEX(Sm,G959)</f>
        <v>3.065291801195754</v>
      </c>
      <c r="L959" s="7">
        <f t="shared" si="72"/>
        <v>462.75775794898158</v>
      </c>
    </row>
    <row r="960" spans="6:12" ht="18.75" customHeight="1">
      <c r="F960" s="1">
        <v>50557</v>
      </c>
      <c r="G960">
        <f t="shared" si="70"/>
        <v>6</v>
      </c>
      <c r="I960" s="7">
        <f t="shared" si="71"/>
        <v>459.93515717686051</v>
      </c>
      <c r="J960" s="7"/>
      <c r="K960" s="7" cm="1">
        <f t="array" ref="K960">INDEX(Sm,G960)</f>
        <v>2.3463851222642056</v>
      </c>
      <c r="L960" s="7">
        <f t="shared" si="72"/>
        <v>462.28154229912474</v>
      </c>
    </row>
    <row r="961" spans="6:12" ht="18.75" customHeight="1">
      <c r="F961" s="1">
        <v>50587</v>
      </c>
      <c r="G961">
        <f t="shared" si="70"/>
        <v>7</v>
      </c>
      <c r="I961" s="7">
        <f t="shared" si="71"/>
        <v>460.17019888964046</v>
      </c>
      <c r="J961" s="7"/>
      <c r="K961" s="7" cm="1">
        <f t="array" ref="K961">INDEX(Sm,G961)</f>
        <v>0.72334113060077332</v>
      </c>
      <c r="L961" s="7">
        <f t="shared" si="72"/>
        <v>460.89354002024123</v>
      </c>
    </row>
    <row r="962" spans="6:12" ht="18.75" customHeight="1">
      <c r="F962" s="1">
        <v>50618</v>
      </c>
      <c r="G962">
        <f t="shared" si="70"/>
        <v>8</v>
      </c>
      <c r="I962" s="7">
        <f t="shared" si="71"/>
        <v>460.41326073364445</v>
      </c>
      <c r="J962" s="7"/>
      <c r="K962" s="7" cm="1">
        <f t="array" ref="K962">INDEX(Sm,G962)</f>
        <v>-1.3975570061157723</v>
      </c>
      <c r="L962" s="7">
        <f t="shared" si="72"/>
        <v>459.01570372752866</v>
      </c>
    </row>
    <row r="963" spans="6:12" ht="18.75" customHeight="1">
      <c r="F963" s="1">
        <v>50649</v>
      </c>
      <c r="G963">
        <f t="shared" ref="G963:G982" si="73">MONTH(F963)</f>
        <v>9</v>
      </c>
      <c r="I963" s="7">
        <f t="shared" si="71"/>
        <v>460.65651102457969</v>
      </c>
      <c r="J963" s="7"/>
      <c r="K963" s="7" cm="1">
        <f t="array" ref="K963">INDEX(Sm,G963)</f>
        <v>-3.1934822994410497</v>
      </c>
      <c r="L963" s="7">
        <f t="shared" si="72"/>
        <v>457.46302872513866</v>
      </c>
    </row>
    <row r="964" spans="6:12" ht="18.75" customHeight="1">
      <c r="F964" s="1">
        <v>50679</v>
      </c>
      <c r="G964">
        <f t="shared" si="73"/>
        <v>10</v>
      </c>
      <c r="I964" s="7">
        <f t="shared" si="71"/>
        <v>460.89209395851515</v>
      </c>
      <c r="J964" s="7"/>
      <c r="K964" s="7" cm="1">
        <f t="array" ref="K964">INDEX(Sm,G964)</f>
        <v>-3.3368150874962788</v>
      </c>
      <c r="L964" s="7">
        <f t="shared" si="72"/>
        <v>457.55527887101886</v>
      </c>
    </row>
    <row r="965" spans="6:12" ht="18.75" customHeight="1">
      <c r="F965" s="1">
        <v>50710</v>
      </c>
      <c r="G965">
        <f t="shared" si="73"/>
        <v>11</v>
      </c>
      <c r="I965" s="7">
        <f t="shared" si="71"/>
        <v>461.13571506437972</v>
      </c>
      <c r="J965" s="7"/>
      <c r="K965" s="7" cm="1">
        <f t="array" ref="K965">INDEX(Sm,G965)</f>
        <v>-2.0591623324975612</v>
      </c>
      <c r="L965" s="7">
        <f t="shared" si="72"/>
        <v>459.07655273188215</v>
      </c>
    </row>
    <row r="966" spans="6:12" ht="18.75" customHeight="1">
      <c r="F966" s="1">
        <v>50740</v>
      </c>
      <c r="G966">
        <f t="shared" si="73"/>
        <v>12</v>
      </c>
      <c r="I966" s="7">
        <f t="shared" si="71"/>
        <v>461.37165685147261</v>
      </c>
      <c r="J966" s="7"/>
      <c r="K966" s="7" cm="1">
        <f t="array" ref="K966">INDEX(Sm,G966)</f>
        <v>-0.89132446529561371</v>
      </c>
      <c r="L966" s="7">
        <f t="shared" si="72"/>
        <v>460.480332386177</v>
      </c>
    </row>
    <row r="967" spans="6:12" ht="18.75" customHeight="1">
      <c r="F967" s="1">
        <v>50771</v>
      </c>
      <c r="G967">
        <f t="shared" si="73"/>
        <v>1</v>
      </c>
      <c r="I967" s="7">
        <f t="shared" si="71"/>
        <v>461.61564877226658</v>
      </c>
      <c r="J967" s="7"/>
      <c r="K967" s="7" cm="1">
        <f t="array" ref="K967">INDEX(Sm,G967)</f>
        <v>6.1040869584970889E-2</v>
      </c>
      <c r="L967" s="7">
        <f t="shared" si="72"/>
        <v>461.67668964185157</v>
      </c>
    </row>
    <row r="968" spans="6:12" ht="18.75" customHeight="1">
      <c r="F968" s="1">
        <v>50802</v>
      </c>
      <c r="G968">
        <f t="shared" si="73"/>
        <v>2</v>
      </c>
      <c r="I968" s="7">
        <f t="shared" si="71"/>
        <v>461.8598291399918</v>
      </c>
      <c r="J968" s="7"/>
      <c r="K968" s="7" cm="1">
        <f t="array" ref="K968">INDEX(Sm,G968)</f>
        <v>0.69421564520236412</v>
      </c>
      <c r="L968" s="7">
        <f t="shared" si="72"/>
        <v>462.55404478519415</v>
      </c>
    </row>
    <row r="969" spans="6:12" ht="18.75" customHeight="1">
      <c r="F969" s="1">
        <v>50830</v>
      </c>
      <c r="G969">
        <f t="shared" si="73"/>
        <v>3</v>
      </c>
      <c r="I969" s="7">
        <f t="shared" si="71"/>
        <v>462.08054112370746</v>
      </c>
      <c r="J969" s="7"/>
      <c r="K969" s="7" cm="1">
        <f t="array" ref="K969">INDEX(Sm,G969)</f>
        <v>1.3733706304072995</v>
      </c>
      <c r="L969" s="7">
        <f t="shared" si="72"/>
        <v>463.45391175411476</v>
      </c>
    </row>
    <row r="970" spans="6:12" ht="18.75" customHeight="1">
      <c r="F970" s="1">
        <v>50861</v>
      </c>
      <c r="G970">
        <f t="shared" si="73"/>
        <v>4</v>
      </c>
      <c r="I970" s="7">
        <f t="shared" si="71"/>
        <v>462.32508014849549</v>
      </c>
      <c r="J970" s="7"/>
      <c r="K970" s="7" cm="1">
        <f t="array" ref="K970">INDEX(Sm,G970)</f>
        <v>2.6099183412742755</v>
      </c>
      <c r="L970" s="7">
        <f t="shared" si="72"/>
        <v>464.93499848976978</v>
      </c>
    </row>
    <row r="971" spans="6:12" ht="18.75" customHeight="1">
      <c r="F971" s="1">
        <v>50891</v>
      </c>
      <c r="G971">
        <f t="shared" si="73"/>
        <v>5</v>
      </c>
      <c r="I971" s="7">
        <f t="shared" si="71"/>
        <v>462.5619102442239</v>
      </c>
      <c r="J971" s="7"/>
      <c r="K971" s="7" cm="1">
        <f t="array" ref="K971">INDEX(Sm,G971)</f>
        <v>3.065291801195754</v>
      </c>
      <c r="L971" s="7">
        <f t="shared" si="72"/>
        <v>465.62720204541966</v>
      </c>
    </row>
    <row r="972" spans="6:12" ht="18.75" customHeight="1">
      <c r="F972" s="1">
        <v>50922</v>
      </c>
      <c r="G972">
        <f t="shared" si="73"/>
        <v>6</v>
      </c>
      <c r="I972" s="7">
        <f t="shared" si="71"/>
        <v>462.80682008394126</v>
      </c>
      <c r="J972" s="7"/>
      <c r="K972" s="7" cm="1">
        <f t="array" ref="K972">INDEX(Sm,G972)</f>
        <v>2.3463851222642056</v>
      </c>
      <c r="L972" s="7">
        <f t="shared" si="72"/>
        <v>465.15320520620548</v>
      </c>
    </row>
    <row r="973" spans="6:12" ht="18.75" customHeight="1">
      <c r="F973" s="1">
        <v>50952</v>
      </c>
      <c r="G973">
        <f t="shared" si="73"/>
        <v>7</v>
      </c>
      <c r="I973" s="7">
        <f t="shared" si="71"/>
        <v>463.04400903282715</v>
      </c>
      <c r="J973" s="7"/>
      <c r="K973" s="7" cm="1">
        <f t="array" ref="K973">INDEX(Sm,G973)</f>
        <v>0.72334113060077332</v>
      </c>
      <c r="L973" s="7">
        <f t="shared" si="72"/>
        <v>463.76735016342792</v>
      </c>
    </row>
    <row r="974" spans="6:12" ht="18.75" customHeight="1">
      <c r="F974" s="1">
        <v>50983</v>
      </c>
      <c r="G974">
        <f t="shared" si="73"/>
        <v>8</v>
      </c>
      <c r="I974" s="7">
        <f t="shared" si="71"/>
        <v>463.2892896874738</v>
      </c>
      <c r="J974" s="7"/>
      <c r="K974" s="7" cm="1">
        <f t="array" ref="K974">INDEX(Sm,G974)</f>
        <v>-1.3975570061157723</v>
      </c>
      <c r="L974" s="7">
        <f t="shared" si="72"/>
        <v>461.89173268135801</v>
      </c>
    </row>
    <row r="975" spans="6:12" ht="18.75" customHeight="1">
      <c r="F975" s="1">
        <v>51014</v>
      </c>
      <c r="G975">
        <f t="shared" si="73"/>
        <v>9</v>
      </c>
      <c r="I975" s="7">
        <f t="shared" si="71"/>
        <v>463.53475878905181</v>
      </c>
      <c r="J975" s="7"/>
      <c r="K975" s="7" cm="1">
        <f t="array" ref="K975">INDEX(Sm,G975)</f>
        <v>-3.1934822994410497</v>
      </c>
      <c r="L975" s="7">
        <f t="shared" si="72"/>
        <v>460.34127648961078</v>
      </c>
    </row>
    <row r="976" spans="6:12" ht="18.75" customHeight="1">
      <c r="F976" s="1">
        <v>51044</v>
      </c>
      <c r="G976">
        <f t="shared" si="73"/>
        <v>10</v>
      </c>
      <c r="I976" s="7">
        <f t="shared" si="71"/>
        <v>463.7724889590931</v>
      </c>
      <c r="J976" s="7"/>
      <c r="K976" s="7" cm="1">
        <f t="array" ref="K976">INDEX(Sm,G976)</f>
        <v>-3.3368150874962788</v>
      </c>
      <c r="L976" s="7">
        <f t="shared" si="72"/>
        <v>460.4356738715968</v>
      </c>
    </row>
    <row r="977" spans="6:12" ht="18.75" customHeight="1">
      <c r="F977" s="1">
        <v>51075</v>
      </c>
      <c r="G977">
        <f t="shared" si="73"/>
        <v>11</v>
      </c>
      <c r="I977" s="7">
        <f t="shared" si="71"/>
        <v>464.01832887560045</v>
      </c>
      <c r="J977" s="7"/>
      <c r="K977" s="7" cm="1">
        <f t="array" ref="K977">INDEX(Sm,G977)</f>
        <v>-2.0591623324975612</v>
      </c>
      <c r="L977" s="7">
        <f t="shared" si="72"/>
        <v>461.95916654310287</v>
      </c>
    </row>
    <row r="978" spans="6:12" ht="18.75" customHeight="1">
      <c r="F978" s="1">
        <v>51105</v>
      </c>
      <c r="G978">
        <f t="shared" si="73"/>
        <v>12</v>
      </c>
      <c r="I978" s="7">
        <f t="shared" si="71"/>
        <v>464.25641789879916</v>
      </c>
      <c r="J978" s="7"/>
      <c r="K978" s="7" cm="1">
        <f t="array" ref="K978">INDEX(Sm,G978)</f>
        <v>-0.89132446529561371</v>
      </c>
      <c r="L978" s="7">
        <f t="shared" si="72"/>
        <v>463.36509343350355</v>
      </c>
    </row>
    <row r="979" spans="6:12" ht="18.75" customHeight="1">
      <c r="F979" s="1">
        <v>51136</v>
      </c>
      <c r="G979">
        <f t="shared" si="73"/>
        <v>1</v>
      </c>
      <c r="I979" s="7">
        <f t="shared" si="71"/>
        <v>464.50262863023579</v>
      </c>
      <c r="J979" s="7"/>
      <c r="K979" s="7" cm="1">
        <f t="array" ref="K979">INDEX(Sm,G979)</f>
        <v>6.1040869584970889E-2</v>
      </c>
      <c r="L979" s="7">
        <f t="shared" si="72"/>
        <v>464.56366949982078</v>
      </c>
    </row>
    <row r="980" spans="6:12" ht="18.75" customHeight="1">
      <c r="F980" s="1">
        <v>51167</v>
      </c>
      <c r="G980">
        <f t="shared" si="73"/>
        <v>2</v>
      </c>
      <c r="I980" s="7">
        <f t="shared" si="71"/>
        <v>464.74902780860384</v>
      </c>
      <c r="J980" s="7"/>
      <c r="K980" s="7" cm="1">
        <f t="array" ref="K980">INDEX(Sm,G980)</f>
        <v>0.69421564520236412</v>
      </c>
      <c r="L980" s="7">
        <f t="shared" si="72"/>
        <v>465.44324345380619</v>
      </c>
    </row>
    <row r="981" spans="6:12" ht="18.75" customHeight="1">
      <c r="F981" s="1">
        <v>51196</v>
      </c>
      <c r="G981">
        <f t="shared" si="73"/>
        <v>3</v>
      </c>
      <c r="I981" s="7">
        <f t="shared" si="71"/>
        <v>464.9797008681075</v>
      </c>
      <c r="J981" s="7"/>
      <c r="K981" s="7" cm="1">
        <f t="array" ref="K981">INDEX(Sm,G981)</f>
        <v>1.3733706304072995</v>
      </c>
      <c r="L981" s="7">
        <f t="shared" si="72"/>
        <v>466.35307149851479</v>
      </c>
    </row>
    <row r="982" spans="6:12" ht="18.75" customHeight="1">
      <c r="F982" s="16">
        <v>51227</v>
      </c>
      <c r="G982" s="17">
        <f t="shared" si="73"/>
        <v>4</v>
      </c>
      <c r="H982" s="18"/>
      <c r="I982" s="7">
        <f t="shared" si="71"/>
        <v>465.22646478247145</v>
      </c>
      <c r="J982" s="7"/>
      <c r="K982" s="7" cm="1">
        <f t="array" ref="K982">INDEX(Sm,G982)</f>
        <v>2.6099183412742755</v>
      </c>
      <c r="L982" s="7">
        <f t="shared" si="72"/>
        <v>467.83638312374575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���0�0�0�0�0�0n0��fL0S0S0k0h�:yU0�0~0Y0�0�0�0�0
</file>

<file path=customXml/item2.xml>���0�0�0�0�0�0n0��fL0S0S0k0h�:yU0�0~0Y0
</file>

<file path=customXml/itemProps1.xml><?xml version="1.0" encoding="utf-8"?>
<ds:datastoreItem xmlns:ds="http://schemas.openxmlformats.org/officeDocument/2006/customXml" ds:itemID="{15B93396-9F0E-4307-A38D-7E53C9B99C3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0CF85DC-14E6-4905-A6FB-C9E225A976F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9</vt:i4>
      </vt:variant>
      <vt:variant>
        <vt:lpstr>名前付き一覧</vt:lpstr>
      </vt:variant>
      <vt:variant>
        <vt:i4>11</vt:i4>
      </vt:variant>
    </vt:vector>
  </HeadingPairs>
  <TitlesOfParts>
    <vt:vector size="24" baseType="lpstr">
      <vt:lpstr>co2</vt:lpstr>
      <vt:lpstr>線形モデル</vt:lpstr>
      <vt:lpstr>2次多項式モデル</vt:lpstr>
      <vt:lpstr>2次多項式モデル (2)</vt:lpstr>
      <vt:lpstr>グラフ1</vt:lpstr>
      <vt:lpstr>グラフ2</vt:lpstr>
      <vt:lpstr>グラフ3</vt:lpstr>
      <vt:lpstr>グラフ4</vt:lpstr>
      <vt:lpstr>グラフ5</vt:lpstr>
      <vt:lpstr>グラフ6</vt:lpstr>
      <vt:lpstr>グラフ7</vt:lpstr>
      <vt:lpstr>グラフ8</vt:lpstr>
      <vt:lpstr>グラフ9</vt:lpstr>
      <vt:lpstr>'2次多項式モデル'!_A</vt:lpstr>
      <vt:lpstr>'2次多項式モデル (2)'!_A</vt:lpstr>
      <vt:lpstr>'2次多項式モデル'!_B</vt:lpstr>
      <vt:lpstr>'2次多項式モデル (2)'!_B</vt:lpstr>
      <vt:lpstr>線形モデル!_B</vt:lpstr>
      <vt:lpstr>'2次多項式モデル'!_C</vt:lpstr>
      <vt:lpstr>'2次多項式モデル (2)'!_C</vt:lpstr>
      <vt:lpstr>線形モデル!_C</vt:lpstr>
      <vt:lpstr>'2次多項式モデル'!Sm</vt:lpstr>
      <vt:lpstr>'2次多項式モデル (2)'!Sm</vt:lpstr>
      <vt:lpstr>線形モデル!Sm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2023-11-22T05:20:28Z</dcterms:modified>
</cp:coreProperties>
</file>