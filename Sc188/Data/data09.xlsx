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Documents\Sc188\"/>
    </mc:Choice>
  </mc:AlternateContent>
  <xr:revisionPtr revIDLastSave="0" documentId="13_ncr:1_{CB9F21D3-BAD4-4226-BF68-5A05F55887D9}" xr6:coauthVersionLast="47" xr6:coauthVersionMax="47" xr10:uidLastSave="{00000000-0000-0000-0000-000000000000}"/>
  <bookViews>
    <workbookView xWindow="-120" yWindow="525" windowWidth="29040" windowHeight="15195" tabRatio="710" xr2:uid="{F09E30F0-484D-4ADE-8C37-A4C3D44EF12A}"/>
  </bookViews>
  <sheets>
    <sheet name="co2" sheetId="1" r:id="rId1"/>
    <sheet name="線形モデル" sheetId="27" r:id="rId2"/>
    <sheet name="2次多項式モデル" sheetId="26" r:id="rId3"/>
  </sheets>
  <definedNames>
    <definedName name="_A" localSheetId="2">'2次多項式モデル'!$B$7</definedName>
    <definedName name="_B" localSheetId="2">'2次多項式モデル'!$C$7</definedName>
    <definedName name="_B" localSheetId="1">線形モデル!$B$7</definedName>
    <definedName name="_C" localSheetId="2">'2次多項式モデル'!$D$7</definedName>
    <definedName name="_C" localSheetId="1">線形モデル!$C$7</definedName>
    <definedName name="_xlcn.WorksheetConnection_co2A1B7421" hidden="1">'co2'!$A$1:$B$742</definedName>
    <definedName name="Sm" localSheetId="2">'2次多項式モデル'!$B$12:$B$23</definedName>
    <definedName name="Sm" localSheetId="1">線形モデル!$B$12:$B$23</definedName>
    <definedName name="solver_adj" localSheetId="2" hidden="1">'2次多項式モデル'!$B$12:$B$23</definedName>
    <definedName name="solver_adj" localSheetId="1" hidden="1">線形モデル!$B$12:$B$23</definedName>
    <definedName name="solver_cvg" localSheetId="2" hidden="1">0.0001</definedName>
    <definedName name="solver_cvg" localSheetId="1" hidden="1">0.0001</definedName>
    <definedName name="solver_drv" localSheetId="2" hidden="1">1</definedName>
    <definedName name="solver_drv" localSheetId="1" hidden="1">1</definedName>
    <definedName name="solver_eng" localSheetId="2" hidden="1">1</definedName>
    <definedName name="solver_eng" localSheetId="1" hidden="1">1</definedName>
    <definedName name="solver_est" localSheetId="2" hidden="1">1</definedName>
    <definedName name="solver_est" localSheetId="1" hidden="1">1</definedName>
    <definedName name="solver_itr" localSheetId="2" hidden="1">2147483647</definedName>
    <definedName name="solver_itr" localSheetId="1" hidden="1">2147483647</definedName>
    <definedName name="solver_lhs1" localSheetId="2" hidden="1">'2次多項式モデル'!$B$25</definedName>
    <definedName name="solver_lhs1" localSheetId="1" hidden="1">線形モデル!$B$25</definedName>
    <definedName name="solver_mip" localSheetId="2" hidden="1">2147483647</definedName>
    <definedName name="solver_mip" localSheetId="1" hidden="1">2147483647</definedName>
    <definedName name="solver_mni" localSheetId="2" hidden="1">30</definedName>
    <definedName name="solver_mni" localSheetId="1" hidden="1">30</definedName>
    <definedName name="solver_mrt" localSheetId="2" hidden="1">0.075</definedName>
    <definedName name="solver_mrt" localSheetId="1" hidden="1">0.075</definedName>
    <definedName name="solver_msl" localSheetId="2" hidden="1">2</definedName>
    <definedName name="solver_msl" localSheetId="1" hidden="1">2</definedName>
    <definedName name="solver_neg" localSheetId="2" hidden="1">2</definedName>
    <definedName name="solver_neg" localSheetId="1" hidden="1">2</definedName>
    <definedName name="solver_nod" localSheetId="2" hidden="1">2147483647</definedName>
    <definedName name="solver_nod" localSheetId="1" hidden="1">2147483647</definedName>
    <definedName name="solver_num" localSheetId="2" hidden="1">1</definedName>
    <definedName name="solver_num" localSheetId="1" hidden="1">1</definedName>
    <definedName name="solver_nwt" localSheetId="2" hidden="1">1</definedName>
    <definedName name="solver_nwt" localSheetId="1" hidden="1">1</definedName>
    <definedName name="solver_opt" localSheetId="2" hidden="1">'2次多項式モデル'!$B$27</definedName>
    <definedName name="solver_opt" localSheetId="1" hidden="1">線形モデル!$B$27</definedName>
    <definedName name="solver_pre" localSheetId="2" hidden="1">0.000001</definedName>
    <definedName name="solver_pre" localSheetId="1" hidden="1">0.000001</definedName>
    <definedName name="solver_rbv" localSheetId="2" hidden="1">1</definedName>
    <definedName name="solver_rbv" localSheetId="1" hidden="1">1</definedName>
    <definedName name="solver_rel1" localSheetId="2" hidden="1">2</definedName>
    <definedName name="solver_rel1" localSheetId="1" hidden="1">2</definedName>
    <definedName name="solver_rhs1" localSheetId="2" hidden="1">0</definedName>
    <definedName name="solver_rhs1" localSheetId="1" hidden="1">0</definedName>
    <definedName name="solver_rlx" localSheetId="2" hidden="1">2</definedName>
    <definedName name="solver_rlx" localSheetId="1" hidden="1">2</definedName>
    <definedName name="solver_rsd" localSheetId="2" hidden="1">0</definedName>
    <definedName name="solver_rsd" localSheetId="1" hidden="1">0</definedName>
    <definedName name="solver_scl" localSheetId="2" hidden="1">1</definedName>
    <definedName name="solver_scl" localSheetId="1" hidden="1">1</definedName>
    <definedName name="solver_sho" localSheetId="2" hidden="1">2</definedName>
    <definedName name="solver_sho" localSheetId="1" hidden="1">2</definedName>
    <definedName name="solver_ssz" localSheetId="2" hidden="1">100</definedName>
    <definedName name="solver_ssz" localSheetId="1" hidden="1">100</definedName>
    <definedName name="solver_tim" localSheetId="2" hidden="1">2147483647</definedName>
    <definedName name="solver_tim" localSheetId="1" hidden="1">2147483647</definedName>
    <definedName name="solver_tol" localSheetId="2" hidden="1">0.01</definedName>
    <definedName name="solver_tol" localSheetId="1" hidden="1">0.01</definedName>
    <definedName name="solver_typ" localSheetId="2" hidden="1">2</definedName>
    <definedName name="solver_typ" localSheetId="1" hidden="1">2</definedName>
    <definedName name="solver_val" localSheetId="2" hidden="1">0</definedName>
    <definedName name="solver_val" localSheetId="1" hidden="1">0</definedName>
    <definedName name="solver_ver" localSheetId="2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範囲" name="範囲" connection="WorksheetConnection_co2!$A$1:$B$74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26" l="1" a="1"/>
  <c r="B7" i="26" s="1"/>
  <c r="B7" i="27" a="1"/>
  <c r="C7" i="27" s="1"/>
  <c r="D7" i="26" l="1"/>
  <c r="C7" i="26"/>
  <c r="B7" i="27"/>
  <c r="I2" i="27" s="1"/>
  <c r="G982" i="27" l="1"/>
  <c r="G981" i="27"/>
  <c r="G980" i="27"/>
  <c r="G979" i="27"/>
  <c r="G978" i="27"/>
  <c r="G977" i="27"/>
  <c r="G976" i="27"/>
  <c r="G975" i="27"/>
  <c r="G974" i="27"/>
  <c r="G973" i="27"/>
  <c r="G972" i="27"/>
  <c r="G971" i="27"/>
  <c r="G970" i="27"/>
  <c r="G969" i="27"/>
  <c r="G968" i="27"/>
  <c r="G967" i="27"/>
  <c r="G966" i="27"/>
  <c r="G965" i="27"/>
  <c r="G964" i="27"/>
  <c r="G963" i="27"/>
  <c r="G962" i="27"/>
  <c r="G961" i="27"/>
  <c r="G960" i="27"/>
  <c r="G959" i="27"/>
  <c r="G958" i="27"/>
  <c r="G957" i="27"/>
  <c r="G956" i="27"/>
  <c r="G955" i="27"/>
  <c r="G954" i="27"/>
  <c r="G953" i="27"/>
  <c r="G952" i="27"/>
  <c r="G951" i="27"/>
  <c r="G950" i="27"/>
  <c r="G949" i="27"/>
  <c r="G948" i="27"/>
  <c r="G947" i="27"/>
  <c r="G946" i="27"/>
  <c r="G945" i="27"/>
  <c r="G944" i="27"/>
  <c r="G943" i="27"/>
  <c r="G942" i="27"/>
  <c r="G941" i="27"/>
  <c r="G940" i="27"/>
  <c r="G939" i="27"/>
  <c r="G938" i="27"/>
  <c r="G937" i="27"/>
  <c r="G936" i="27"/>
  <c r="G935" i="27"/>
  <c r="G934" i="27"/>
  <c r="G933" i="27"/>
  <c r="G932" i="27"/>
  <c r="G931" i="27"/>
  <c r="G930" i="27"/>
  <c r="G929" i="27"/>
  <c r="G928" i="27"/>
  <c r="G927" i="27"/>
  <c r="G926" i="27"/>
  <c r="G925" i="27"/>
  <c r="G924" i="27"/>
  <c r="G923" i="27"/>
  <c r="G922" i="27"/>
  <c r="G921" i="27"/>
  <c r="G920" i="27"/>
  <c r="G919" i="27"/>
  <c r="G918" i="27"/>
  <c r="G917" i="27"/>
  <c r="G916" i="27"/>
  <c r="G915" i="27"/>
  <c r="G914" i="27"/>
  <c r="G913" i="27"/>
  <c r="G912" i="27"/>
  <c r="G911" i="27"/>
  <c r="G910" i="27"/>
  <c r="G909" i="27"/>
  <c r="G908" i="27"/>
  <c r="G907" i="27"/>
  <c r="G906" i="27"/>
  <c r="G905" i="27"/>
  <c r="G904" i="27"/>
  <c r="G903" i="27"/>
  <c r="G902" i="27"/>
  <c r="G901" i="27"/>
  <c r="G900" i="27"/>
  <c r="G899" i="27"/>
  <c r="G898" i="27"/>
  <c r="G897" i="27"/>
  <c r="G896" i="27"/>
  <c r="G895" i="27"/>
  <c r="G894" i="27"/>
  <c r="G893" i="27"/>
  <c r="G892" i="27"/>
  <c r="G891" i="27"/>
  <c r="G890" i="27"/>
  <c r="G889" i="27"/>
  <c r="G888" i="27"/>
  <c r="G887" i="27"/>
  <c r="G886" i="27"/>
  <c r="G885" i="27"/>
  <c r="G884" i="27"/>
  <c r="G883" i="27"/>
  <c r="G882" i="27"/>
  <c r="G881" i="27"/>
  <c r="G880" i="27"/>
  <c r="G879" i="27"/>
  <c r="G878" i="27"/>
  <c r="G877" i="27"/>
  <c r="G876" i="27"/>
  <c r="G875" i="27"/>
  <c r="G874" i="27"/>
  <c r="G873" i="27"/>
  <c r="G872" i="27"/>
  <c r="G871" i="27"/>
  <c r="G870" i="27"/>
  <c r="G869" i="27"/>
  <c r="G868" i="27"/>
  <c r="G867" i="27"/>
  <c r="G866" i="27"/>
  <c r="G865" i="27"/>
  <c r="G864" i="27"/>
  <c r="G863" i="27"/>
  <c r="G862" i="27"/>
  <c r="G861" i="27"/>
  <c r="G860" i="27"/>
  <c r="G859" i="27"/>
  <c r="G858" i="27"/>
  <c r="G857" i="27"/>
  <c r="G856" i="27"/>
  <c r="G855" i="27"/>
  <c r="G854" i="27"/>
  <c r="G853" i="27"/>
  <c r="G852" i="27"/>
  <c r="G851" i="27"/>
  <c r="G850" i="27"/>
  <c r="G849" i="27"/>
  <c r="G848" i="27"/>
  <c r="G847" i="27"/>
  <c r="G846" i="27"/>
  <c r="G845" i="27"/>
  <c r="G844" i="27"/>
  <c r="G843" i="27"/>
  <c r="G842" i="27"/>
  <c r="G841" i="27"/>
  <c r="G840" i="27"/>
  <c r="G839" i="27"/>
  <c r="G838" i="27"/>
  <c r="G837" i="27"/>
  <c r="G836" i="27"/>
  <c r="G835" i="27"/>
  <c r="G834" i="27"/>
  <c r="G833" i="27"/>
  <c r="G832" i="27"/>
  <c r="G831" i="27"/>
  <c r="G830" i="27"/>
  <c r="G829" i="27"/>
  <c r="G828" i="27"/>
  <c r="G827" i="27"/>
  <c r="G826" i="27"/>
  <c r="G825" i="27"/>
  <c r="G824" i="27"/>
  <c r="G823" i="27"/>
  <c r="G822" i="27"/>
  <c r="G821" i="27"/>
  <c r="G820" i="27"/>
  <c r="G819" i="27"/>
  <c r="G818" i="27"/>
  <c r="G817" i="27"/>
  <c r="G816" i="27"/>
  <c r="G815" i="27"/>
  <c r="G814" i="27"/>
  <c r="G813" i="27"/>
  <c r="G812" i="27"/>
  <c r="G811" i="27"/>
  <c r="G810" i="27"/>
  <c r="G809" i="27"/>
  <c r="G808" i="27"/>
  <c r="G807" i="27"/>
  <c r="G806" i="27"/>
  <c r="G805" i="27"/>
  <c r="G804" i="27"/>
  <c r="G803" i="27"/>
  <c r="G802" i="27"/>
  <c r="G801" i="27"/>
  <c r="G800" i="27"/>
  <c r="G799" i="27"/>
  <c r="G798" i="27"/>
  <c r="G797" i="27"/>
  <c r="G796" i="27"/>
  <c r="G795" i="27"/>
  <c r="G794" i="27"/>
  <c r="G793" i="27"/>
  <c r="G792" i="27"/>
  <c r="G791" i="27"/>
  <c r="G790" i="27"/>
  <c r="G789" i="27"/>
  <c r="G788" i="27"/>
  <c r="G787" i="27"/>
  <c r="G786" i="27"/>
  <c r="G785" i="27"/>
  <c r="G784" i="27"/>
  <c r="G783" i="27"/>
  <c r="G782" i="27"/>
  <c r="G781" i="27"/>
  <c r="G780" i="27"/>
  <c r="G779" i="27"/>
  <c r="G778" i="27"/>
  <c r="G777" i="27"/>
  <c r="G776" i="27"/>
  <c r="G775" i="27"/>
  <c r="G774" i="27"/>
  <c r="G773" i="27"/>
  <c r="G772" i="27"/>
  <c r="G771" i="27"/>
  <c r="G770" i="27"/>
  <c r="G769" i="27"/>
  <c r="G768" i="27"/>
  <c r="G767" i="27"/>
  <c r="G766" i="27"/>
  <c r="G765" i="27"/>
  <c r="G764" i="27"/>
  <c r="G763" i="27"/>
  <c r="G762" i="27"/>
  <c r="G761" i="27"/>
  <c r="G760" i="27"/>
  <c r="G759" i="27"/>
  <c r="G758" i="27"/>
  <c r="G757" i="27"/>
  <c r="G756" i="27"/>
  <c r="G755" i="27"/>
  <c r="G754" i="27"/>
  <c r="G753" i="27"/>
  <c r="G752" i="27"/>
  <c r="G751" i="27"/>
  <c r="G750" i="27"/>
  <c r="G749" i="27"/>
  <c r="G748" i="27"/>
  <c r="G747" i="27"/>
  <c r="G746" i="27"/>
  <c r="G745" i="27"/>
  <c r="G744" i="27"/>
  <c r="G743" i="27"/>
  <c r="G742" i="27"/>
  <c r="G741" i="27"/>
  <c r="G740" i="27"/>
  <c r="G739" i="27"/>
  <c r="G738" i="27"/>
  <c r="G737" i="27"/>
  <c r="G736" i="27"/>
  <c r="G735" i="27"/>
  <c r="G734" i="27"/>
  <c r="G733" i="27"/>
  <c r="G732" i="27"/>
  <c r="G731" i="27"/>
  <c r="G730" i="27"/>
  <c r="G729" i="27"/>
  <c r="G728" i="27"/>
  <c r="G727" i="27"/>
  <c r="G726" i="27"/>
  <c r="G725" i="27"/>
  <c r="G724" i="27"/>
  <c r="G723" i="27"/>
  <c r="G722" i="27"/>
  <c r="G721" i="27"/>
  <c r="G720" i="27"/>
  <c r="G719" i="27"/>
  <c r="G718" i="27"/>
  <c r="G717" i="27"/>
  <c r="G716" i="27"/>
  <c r="G715" i="27"/>
  <c r="G714" i="27"/>
  <c r="G713" i="27"/>
  <c r="G712" i="27"/>
  <c r="G711" i="27"/>
  <c r="G710" i="27"/>
  <c r="G709" i="27"/>
  <c r="G708" i="27"/>
  <c r="G707" i="27"/>
  <c r="G706" i="27"/>
  <c r="G705" i="27"/>
  <c r="G704" i="27"/>
  <c r="G703" i="27"/>
  <c r="G702" i="27"/>
  <c r="G701" i="27"/>
  <c r="G700" i="27"/>
  <c r="G699" i="27"/>
  <c r="G698" i="27"/>
  <c r="G697" i="27"/>
  <c r="G696" i="27"/>
  <c r="G695" i="27"/>
  <c r="G694" i="27"/>
  <c r="G693" i="27"/>
  <c r="G692" i="27"/>
  <c r="G691" i="27"/>
  <c r="G690" i="27"/>
  <c r="G689" i="27"/>
  <c r="G688" i="27"/>
  <c r="G687" i="27"/>
  <c r="G686" i="27"/>
  <c r="G685" i="27"/>
  <c r="G684" i="27"/>
  <c r="G683" i="27"/>
  <c r="G682" i="27"/>
  <c r="G681" i="27"/>
  <c r="G680" i="27"/>
  <c r="G679" i="27"/>
  <c r="G678" i="27"/>
  <c r="G677" i="27"/>
  <c r="G676" i="27"/>
  <c r="G675" i="27"/>
  <c r="G674" i="27"/>
  <c r="G673" i="27"/>
  <c r="G672" i="27"/>
  <c r="G671" i="27"/>
  <c r="G670" i="27"/>
  <c r="G669" i="27"/>
  <c r="G668" i="27"/>
  <c r="G667" i="27"/>
  <c r="G666" i="27"/>
  <c r="G665" i="27"/>
  <c r="G664" i="27"/>
  <c r="G663" i="27"/>
  <c r="G662" i="27"/>
  <c r="G661" i="27"/>
  <c r="G660" i="27"/>
  <c r="G659" i="27"/>
  <c r="G658" i="27"/>
  <c r="G657" i="27"/>
  <c r="G656" i="27"/>
  <c r="G655" i="27"/>
  <c r="G654" i="27"/>
  <c r="G653" i="27"/>
  <c r="G652" i="27"/>
  <c r="G651" i="27"/>
  <c r="G650" i="27"/>
  <c r="G649" i="27"/>
  <c r="G648" i="27"/>
  <c r="G647" i="27"/>
  <c r="G646" i="27"/>
  <c r="G645" i="27"/>
  <c r="G644" i="27"/>
  <c r="G643" i="27"/>
  <c r="G642" i="27"/>
  <c r="G641" i="27"/>
  <c r="G640" i="27"/>
  <c r="G639" i="27"/>
  <c r="G638" i="27"/>
  <c r="G637" i="27"/>
  <c r="G636" i="27"/>
  <c r="G635" i="27"/>
  <c r="G634" i="27"/>
  <c r="G633" i="27"/>
  <c r="G632" i="27"/>
  <c r="G631" i="27"/>
  <c r="G630" i="27"/>
  <c r="G629" i="27"/>
  <c r="G628" i="27"/>
  <c r="G627" i="27"/>
  <c r="G626" i="27"/>
  <c r="G625" i="27"/>
  <c r="G624" i="27"/>
  <c r="G623" i="27"/>
  <c r="G622" i="27"/>
  <c r="G621" i="27"/>
  <c r="G620" i="27"/>
  <c r="G619" i="27"/>
  <c r="G618" i="27"/>
  <c r="G617" i="27"/>
  <c r="G616" i="27"/>
  <c r="G615" i="27"/>
  <c r="G614" i="27"/>
  <c r="G613" i="27"/>
  <c r="G612" i="27"/>
  <c r="G611" i="27"/>
  <c r="G610" i="27"/>
  <c r="G609" i="27"/>
  <c r="G608" i="27"/>
  <c r="G607" i="27"/>
  <c r="G606" i="27"/>
  <c r="G605" i="27"/>
  <c r="G604" i="27"/>
  <c r="G603" i="27"/>
  <c r="G602" i="27"/>
  <c r="G601" i="27"/>
  <c r="G600" i="27"/>
  <c r="G599" i="27"/>
  <c r="G598" i="27"/>
  <c r="G597" i="27"/>
  <c r="G596" i="27"/>
  <c r="G595" i="27"/>
  <c r="G594" i="27"/>
  <c r="G593" i="27"/>
  <c r="G592" i="27"/>
  <c r="G591" i="27"/>
  <c r="G590" i="27"/>
  <c r="G589" i="27"/>
  <c r="G588" i="27"/>
  <c r="G587" i="27"/>
  <c r="G586" i="27"/>
  <c r="G585" i="27"/>
  <c r="G584" i="27"/>
  <c r="G583" i="27"/>
  <c r="G582" i="27"/>
  <c r="G581" i="27"/>
  <c r="G580" i="27"/>
  <c r="G579" i="27"/>
  <c r="G578" i="27"/>
  <c r="G577" i="27"/>
  <c r="G576" i="27"/>
  <c r="G575" i="27"/>
  <c r="G574" i="27"/>
  <c r="G573" i="27"/>
  <c r="G572" i="27"/>
  <c r="G571" i="27"/>
  <c r="G570" i="27"/>
  <c r="G569" i="27"/>
  <c r="G568" i="27"/>
  <c r="G567" i="27"/>
  <c r="G566" i="27"/>
  <c r="G565" i="27"/>
  <c r="G564" i="27"/>
  <c r="G563" i="27"/>
  <c r="G562" i="27"/>
  <c r="G561" i="27"/>
  <c r="G560" i="27"/>
  <c r="G559" i="27"/>
  <c r="G558" i="27"/>
  <c r="G557" i="27"/>
  <c r="G556" i="27"/>
  <c r="G555" i="27"/>
  <c r="G554" i="27"/>
  <c r="G553" i="27"/>
  <c r="G552" i="27"/>
  <c r="G551" i="27"/>
  <c r="G550" i="27"/>
  <c r="G549" i="27"/>
  <c r="G548" i="27"/>
  <c r="G547" i="27"/>
  <c r="G546" i="27"/>
  <c r="G545" i="27"/>
  <c r="G544" i="27"/>
  <c r="G543" i="27"/>
  <c r="G542" i="27"/>
  <c r="G541" i="27"/>
  <c r="G540" i="27"/>
  <c r="G539" i="27"/>
  <c r="G538" i="27"/>
  <c r="G537" i="27"/>
  <c r="G536" i="27"/>
  <c r="G535" i="27"/>
  <c r="G534" i="27"/>
  <c r="G533" i="27"/>
  <c r="G532" i="27"/>
  <c r="G531" i="27"/>
  <c r="G530" i="27"/>
  <c r="G529" i="27"/>
  <c r="G528" i="27"/>
  <c r="G527" i="27"/>
  <c r="G526" i="27"/>
  <c r="G525" i="27"/>
  <c r="G524" i="27"/>
  <c r="G523" i="27"/>
  <c r="G522" i="27"/>
  <c r="G521" i="27"/>
  <c r="G520" i="27"/>
  <c r="G519" i="27"/>
  <c r="G518" i="27"/>
  <c r="G517" i="27"/>
  <c r="G516" i="27"/>
  <c r="G515" i="27"/>
  <c r="G514" i="27"/>
  <c r="G513" i="27"/>
  <c r="G512" i="27"/>
  <c r="G511" i="27"/>
  <c r="G510" i="27"/>
  <c r="G509" i="27"/>
  <c r="G508" i="27"/>
  <c r="G507" i="27"/>
  <c r="G506" i="27"/>
  <c r="G505" i="27"/>
  <c r="G504" i="27"/>
  <c r="G503" i="27"/>
  <c r="G502" i="27"/>
  <c r="G501" i="27"/>
  <c r="G500" i="27"/>
  <c r="G499" i="27"/>
  <c r="G498" i="27"/>
  <c r="G497" i="27"/>
  <c r="G496" i="27"/>
  <c r="G495" i="27"/>
  <c r="G494" i="27"/>
  <c r="G493" i="27"/>
  <c r="G492" i="27"/>
  <c r="G491" i="27"/>
  <c r="G490" i="27"/>
  <c r="G489" i="27"/>
  <c r="G488" i="27"/>
  <c r="G487" i="27"/>
  <c r="G486" i="27"/>
  <c r="G485" i="27"/>
  <c r="G484" i="27"/>
  <c r="G483" i="27"/>
  <c r="G482" i="27"/>
  <c r="G481" i="27"/>
  <c r="G480" i="27"/>
  <c r="G479" i="27"/>
  <c r="G478" i="27"/>
  <c r="G477" i="27"/>
  <c r="G476" i="27"/>
  <c r="G475" i="27"/>
  <c r="G474" i="27"/>
  <c r="G473" i="27"/>
  <c r="G472" i="27"/>
  <c r="G471" i="27"/>
  <c r="G470" i="27"/>
  <c r="G469" i="27"/>
  <c r="G468" i="27"/>
  <c r="G467" i="27"/>
  <c r="G466" i="27"/>
  <c r="G465" i="27"/>
  <c r="G464" i="27"/>
  <c r="G463" i="27"/>
  <c r="G462" i="27"/>
  <c r="G461" i="27"/>
  <c r="G460" i="27"/>
  <c r="G459" i="27"/>
  <c r="G458" i="27"/>
  <c r="G457" i="27"/>
  <c r="G456" i="27"/>
  <c r="G455" i="27"/>
  <c r="G454" i="27"/>
  <c r="G453" i="27"/>
  <c r="G452" i="27"/>
  <c r="G451" i="27"/>
  <c r="G450" i="27"/>
  <c r="G449" i="27"/>
  <c r="G448" i="27"/>
  <c r="G447" i="27"/>
  <c r="G446" i="27"/>
  <c r="G445" i="27"/>
  <c r="G444" i="27"/>
  <c r="G443" i="27"/>
  <c r="G442" i="27"/>
  <c r="G441" i="27"/>
  <c r="G440" i="27"/>
  <c r="G439" i="27"/>
  <c r="G438" i="27"/>
  <c r="G437" i="27"/>
  <c r="G436" i="27"/>
  <c r="G435" i="27"/>
  <c r="G434" i="27"/>
  <c r="G433" i="27"/>
  <c r="G432" i="27"/>
  <c r="G431" i="27"/>
  <c r="G430" i="27"/>
  <c r="G429" i="27"/>
  <c r="G428" i="27"/>
  <c r="G427" i="27"/>
  <c r="G426" i="27"/>
  <c r="G425" i="27"/>
  <c r="G424" i="27"/>
  <c r="G423" i="27"/>
  <c r="G422" i="27"/>
  <c r="G421" i="27"/>
  <c r="G420" i="27"/>
  <c r="G419" i="27"/>
  <c r="G418" i="27"/>
  <c r="G417" i="27"/>
  <c r="G416" i="27"/>
  <c r="G415" i="27"/>
  <c r="G414" i="27"/>
  <c r="G413" i="27"/>
  <c r="G412" i="27"/>
  <c r="G411" i="27"/>
  <c r="G410" i="27"/>
  <c r="G409" i="27"/>
  <c r="G408" i="27"/>
  <c r="G407" i="27"/>
  <c r="G406" i="27"/>
  <c r="G405" i="27"/>
  <c r="G404" i="27"/>
  <c r="G403" i="27"/>
  <c r="G402" i="27"/>
  <c r="G401" i="27"/>
  <c r="G400" i="27"/>
  <c r="G399" i="27"/>
  <c r="G398" i="27"/>
  <c r="G397" i="27"/>
  <c r="G396" i="27"/>
  <c r="G395" i="27"/>
  <c r="G394" i="27"/>
  <c r="G393" i="27"/>
  <c r="G392" i="27"/>
  <c r="G391" i="27"/>
  <c r="G390" i="27"/>
  <c r="G389" i="27"/>
  <c r="G388" i="27"/>
  <c r="G387" i="27"/>
  <c r="G386" i="27"/>
  <c r="G385" i="27"/>
  <c r="G384" i="27"/>
  <c r="G383" i="27"/>
  <c r="G382" i="27"/>
  <c r="G381" i="27"/>
  <c r="G380" i="27"/>
  <c r="G379" i="27"/>
  <c r="G378" i="27"/>
  <c r="G377" i="27"/>
  <c r="G376" i="27"/>
  <c r="G375" i="27"/>
  <c r="G374" i="27"/>
  <c r="G373" i="27"/>
  <c r="G372" i="27"/>
  <c r="G371" i="27"/>
  <c r="G370" i="27"/>
  <c r="G369" i="27"/>
  <c r="G368" i="27"/>
  <c r="G367" i="27"/>
  <c r="G366" i="27"/>
  <c r="G365" i="27"/>
  <c r="G364" i="27"/>
  <c r="G363" i="27"/>
  <c r="G362" i="27"/>
  <c r="G361" i="27"/>
  <c r="G360" i="27"/>
  <c r="G359" i="27"/>
  <c r="G358" i="27"/>
  <c r="G357" i="27"/>
  <c r="G356" i="27"/>
  <c r="G355" i="27"/>
  <c r="G354" i="27"/>
  <c r="G353" i="27"/>
  <c r="G352" i="27"/>
  <c r="G351" i="27"/>
  <c r="G350" i="27"/>
  <c r="G349" i="27"/>
  <c r="G348" i="27"/>
  <c r="G347" i="27"/>
  <c r="G346" i="27"/>
  <c r="G345" i="27"/>
  <c r="G344" i="27"/>
  <c r="G343" i="27"/>
  <c r="G342" i="27"/>
  <c r="G341" i="27"/>
  <c r="G340" i="27"/>
  <c r="G339" i="27"/>
  <c r="G338" i="27"/>
  <c r="G337" i="27"/>
  <c r="G336" i="27"/>
  <c r="G335" i="27"/>
  <c r="G334" i="27"/>
  <c r="G333" i="27"/>
  <c r="G332" i="27"/>
  <c r="G331" i="27"/>
  <c r="G330" i="27"/>
  <c r="G329" i="27"/>
  <c r="G328" i="27"/>
  <c r="G327" i="27"/>
  <c r="G326" i="27"/>
  <c r="G325" i="27"/>
  <c r="G324" i="27"/>
  <c r="G323" i="27"/>
  <c r="G322" i="27"/>
  <c r="G321" i="27"/>
  <c r="G320" i="27"/>
  <c r="G319" i="27"/>
  <c r="G318" i="27"/>
  <c r="G317" i="27"/>
  <c r="G316" i="27"/>
  <c r="G315" i="27"/>
  <c r="G314" i="27"/>
  <c r="G313" i="27"/>
  <c r="G312" i="27"/>
  <c r="G311" i="27"/>
  <c r="G310" i="27"/>
  <c r="G309" i="27"/>
  <c r="G308" i="27"/>
  <c r="G307" i="27"/>
  <c r="G306" i="27"/>
  <c r="G305" i="27"/>
  <c r="G304" i="27"/>
  <c r="G303" i="27"/>
  <c r="G302" i="27"/>
  <c r="G301" i="27"/>
  <c r="G300" i="27"/>
  <c r="G299" i="27"/>
  <c r="G298" i="27"/>
  <c r="G297" i="27"/>
  <c r="G296" i="27"/>
  <c r="G295" i="27"/>
  <c r="G294" i="27"/>
  <c r="G293" i="27"/>
  <c r="G292" i="27"/>
  <c r="G291" i="27"/>
  <c r="G290" i="27"/>
  <c r="G289" i="27"/>
  <c r="G288" i="27"/>
  <c r="G287" i="27"/>
  <c r="G286" i="27"/>
  <c r="G285" i="27"/>
  <c r="G284" i="27"/>
  <c r="G283" i="27"/>
  <c r="G282" i="27"/>
  <c r="G281" i="27"/>
  <c r="G280" i="27"/>
  <c r="G279" i="27"/>
  <c r="G278" i="27"/>
  <c r="G277" i="27"/>
  <c r="G276" i="27"/>
  <c r="G275" i="27"/>
  <c r="G274" i="27"/>
  <c r="G273" i="27"/>
  <c r="G272" i="27"/>
  <c r="G271" i="27"/>
  <c r="G270" i="27"/>
  <c r="G269" i="27"/>
  <c r="G268" i="27"/>
  <c r="G267" i="27"/>
  <c r="G266" i="27"/>
  <c r="G265" i="27"/>
  <c r="G264" i="27"/>
  <c r="G263" i="27"/>
  <c r="G262" i="27"/>
  <c r="G261" i="27"/>
  <c r="G260" i="27"/>
  <c r="G259" i="27"/>
  <c r="G258" i="27"/>
  <c r="G257" i="27"/>
  <c r="G256" i="27"/>
  <c r="G255" i="27"/>
  <c r="G254" i="27"/>
  <c r="G253" i="27"/>
  <c r="G252" i="27"/>
  <c r="G251" i="27"/>
  <c r="G250" i="27"/>
  <c r="G249" i="27"/>
  <c r="G248" i="27"/>
  <c r="G247" i="27"/>
  <c r="G246" i="27"/>
  <c r="G245" i="27"/>
  <c r="G244" i="27"/>
  <c r="G243" i="27"/>
  <c r="G242" i="27"/>
  <c r="G241" i="27"/>
  <c r="G240" i="27"/>
  <c r="G239" i="27"/>
  <c r="G238" i="27"/>
  <c r="G237" i="27"/>
  <c r="G236" i="27"/>
  <c r="G235" i="27"/>
  <c r="G234" i="27"/>
  <c r="G233" i="27"/>
  <c r="G232" i="27"/>
  <c r="G231" i="27"/>
  <c r="G230" i="27"/>
  <c r="G229" i="27"/>
  <c r="G228" i="27"/>
  <c r="G227" i="27"/>
  <c r="G226" i="27"/>
  <c r="G225" i="27"/>
  <c r="G224" i="27"/>
  <c r="G223" i="27"/>
  <c r="G222" i="27"/>
  <c r="G221" i="27"/>
  <c r="G220" i="27"/>
  <c r="G219" i="27"/>
  <c r="G218" i="27"/>
  <c r="G217" i="27"/>
  <c r="G216" i="27"/>
  <c r="G215" i="27"/>
  <c r="G214" i="27"/>
  <c r="G213" i="27"/>
  <c r="G212" i="27"/>
  <c r="G211" i="27"/>
  <c r="G210" i="27"/>
  <c r="G209" i="27"/>
  <c r="G208" i="27"/>
  <c r="G207" i="27"/>
  <c r="G206" i="27"/>
  <c r="G205" i="27"/>
  <c r="G204" i="27"/>
  <c r="G203" i="27"/>
  <c r="G202" i="27"/>
  <c r="G201" i="27"/>
  <c r="G200" i="27"/>
  <c r="G199" i="27"/>
  <c r="G198" i="27"/>
  <c r="G197" i="27"/>
  <c r="G196" i="27"/>
  <c r="G195" i="27"/>
  <c r="G194" i="27"/>
  <c r="G193" i="27"/>
  <c r="G192" i="27"/>
  <c r="G191" i="27"/>
  <c r="G190" i="27"/>
  <c r="G189" i="27"/>
  <c r="G188" i="27"/>
  <c r="G187" i="27"/>
  <c r="G186" i="27"/>
  <c r="G185" i="27"/>
  <c r="G184" i="27"/>
  <c r="G183" i="27"/>
  <c r="G182" i="27"/>
  <c r="G181" i="27"/>
  <c r="G180" i="27"/>
  <c r="G179" i="27"/>
  <c r="G178" i="27"/>
  <c r="G177" i="27"/>
  <c r="G176" i="27"/>
  <c r="G175" i="27"/>
  <c r="G174" i="27"/>
  <c r="G173" i="27"/>
  <c r="G172" i="27"/>
  <c r="G171" i="27"/>
  <c r="G170" i="27"/>
  <c r="G169" i="27"/>
  <c r="G168" i="27"/>
  <c r="G167" i="27"/>
  <c r="G166" i="27"/>
  <c r="G165" i="27"/>
  <c r="G164" i="27"/>
  <c r="G163" i="27"/>
  <c r="G162" i="27"/>
  <c r="G161" i="27"/>
  <c r="G160" i="27"/>
  <c r="G159" i="27"/>
  <c r="G158" i="27"/>
  <c r="G157" i="27"/>
  <c r="G156" i="27"/>
  <c r="G155" i="27"/>
  <c r="G154" i="27"/>
  <c r="G153" i="27"/>
  <c r="G152" i="27"/>
  <c r="G151" i="27"/>
  <c r="G150" i="27"/>
  <c r="G149" i="27"/>
  <c r="G148" i="27"/>
  <c r="G147" i="27"/>
  <c r="G146" i="27"/>
  <c r="G145" i="27"/>
  <c r="G144" i="27"/>
  <c r="G143" i="27"/>
  <c r="G142" i="27"/>
  <c r="G141" i="27"/>
  <c r="G140" i="27"/>
  <c r="G139" i="27"/>
  <c r="G138" i="27"/>
  <c r="G137" i="27"/>
  <c r="G136" i="27"/>
  <c r="G135" i="27"/>
  <c r="G134" i="27"/>
  <c r="G133" i="27"/>
  <c r="G132" i="27"/>
  <c r="G131" i="27"/>
  <c r="G130" i="27"/>
  <c r="G129" i="27"/>
  <c r="G128" i="27"/>
  <c r="G127" i="27"/>
  <c r="G126" i="27"/>
  <c r="G125" i="27"/>
  <c r="G124" i="27"/>
  <c r="G123" i="27"/>
  <c r="G122" i="27"/>
  <c r="G121" i="27"/>
  <c r="G120" i="27"/>
  <c r="G119" i="27"/>
  <c r="G118" i="27"/>
  <c r="G117" i="27"/>
  <c r="G116" i="27"/>
  <c r="G115" i="27"/>
  <c r="G114" i="27"/>
  <c r="G113" i="27"/>
  <c r="G112" i="27"/>
  <c r="G111" i="27"/>
  <c r="G110" i="27"/>
  <c r="G109" i="27"/>
  <c r="G108" i="27"/>
  <c r="G107" i="27"/>
  <c r="G106" i="27"/>
  <c r="G105" i="27"/>
  <c r="G104" i="27"/>
  <c r="G103" i="27"/>
  <c r="G102" i="27"/>
  <c r="G101" i="27"/>
  <c r="G100" i="27"/>
  <c r="G99" i="27"/>
  <c r="G98" i="27"/>
  <c r="G97" i="27"/>
  <c r="G96" i="27"/>
  <c r="G95" i="27"/>
  <c r="G94" i="27"/>
  <c r="G93" i="27"/>
  <c r="G92" i="27"/>
  <c r="G91" i="27"/>
  <c r="G90" i="27"/>
  <c r="G89" i="27"/>
  <c r="G88" i="27"/>
  <c r="G87" i="27"/>
  <c r="G86" i="27"/>
  <c r="G85" i="27"/>
  <c r="G84" i="27"/>
  <c r="G83" i="27"/>
  <c r="G82" i="27"/>
  <c r="G81" i="27"/>
  <c r="G80" i="27"/>
  <c r="G79" i="27"/>
  <c r="G78" i="27"/>
  <c r="G77" i="27"/>
  <c r="G76" i="27"/>
  <c r="G75" i="27"/>
  <c r="G74" i="27"/>
  <c r="G73" i="27"/>
  <c r="G72" i="27"/>
  <c r="G71" i="27"/>
  <c r="G70" i="27"/>
  <c r="G69" i="27"/>
  <c r="G68" i="27"/>
  <c r="G67" i="27"/>
  <c r="G66" i="27"/>
  <c r="G65" i="27"/>
  <c r="G64" i="27"/>
  <c r="G63" i="27"/>
  <c r="G62" i="27"/>
  <c r="G61" i="27"/>
  <c r="G60" i="27"/>
  <c r="G59" i="27"/>
  <c r="G58" i="27"/>
  <c r="G57" i="27"/>
  <c r="G56" i="27"/>
  <c r="G55" i="27"/>
  <c r="G54" i="27"/>
  <c r="G53" i="27"/>
  <c r="G52" i="27"/>
  <c r="G51" i="27"/>
  <c r="G50" i="27"/>
  <c r="G49" i="27"/>
  <c r="G48" i="27"/>
  <c r="G47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9" i="27"/>
  <c r="G8" i="27"/>
  <c r="G7" i="27"/>
  <c r="G6" i="27"/>
  <c r="G5" i="27"/>
  <c r="G4" i="27"/>
  <c r="G3" i="27"/>
  <c r="G2" i="27"/>
  <c r="G980" i="26"/>
  <c r="G981" i="26"/>
  <c r="G982" i="26"/>
  <c r="G973" i="26"/>
  <c r="G974" i="26"/>
  <c r="G975" i="26"/>
  <c r="G976" i="26"/>
  <c r="G977" i="26"/>
  <c r="G978" i="26"/>
  <c r="G979" i="26"/>
  <c r="G943" i="26"/>
  <c r="G944" i="26"/>
  <c r="G945" i="26"/>
  <c r="G946" i="26"/>
  <c r="G947" i="26"/>
  <c r="G948" i="26"/>
  <c r="G949" i="26"/>
  <c r="G950" i="26"/>
  <c r="G951" i="26"/>
  <c r="G952" i="26"/>
  <c r="G953" i="26"/>
  <c r="G954" i="26"/>
  <c r="G955" i="26"/>
  <c r="G956" i="26"/>
  <c r="G957" i="26"/>
  <c r="G958" i="26"/>
  <c r="G959" i="26"/>
  <c r="G960" i="26"/>
  <c r="G961" i="26"/>
  <c r="G962" i="26"/>
  <c r="G963" i="26"/>
  <c r="G964" i="26"/>
  <c r="G965" i="26"/>
  <c r="G966" i="26"/>
  <c r="G967" i="26"/>
  <c r="G968" i="26"/>
  <c r="G969" i="26"/>
  <c r="G970" i="26"/>
  <c r="G971" i="26"/>
  <c r="G972" i="26"/>
  <c r="G3" i="26"/>
  <c r="G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G642" i="26"/>
  <c r="G643" i="26"/>
  <c r="G644" i="26"/>
  <c r="G645" i="26"/>
  <c r="G646" i="26"/>
  <c r="G647" i="26"/>
  <c r="G648" i="26"/>
  <c r="G649" i="26"/>
  <c r="G650" i="26"/>
  <c r="G651" i="26"/>
  <c r="G652" i="26"/>
  <c r="G653" i="26"/>
  <c r="G654" i="26"/>
  <c r="G655" i="26"/>
  <c r="G656" i="26"/>
  <c r="G657" i="26"/>
  <c r="G658" i="26"/>
  <c r="G659" i="26"/>
  <c r="G660" i="26"/>
  <c r="G661" i="26"/>
  <c r="G662" i="26"/>
  <c r="G663" i="26"/>
  <c r="G664" i="26"/>
  <c r="G665" i="26"/>
  <c r="G666" i="26"/>
  <c r="G667" i="26"/>
  <c r="G668" i="26"/>
  <c r="G669" i="26"/>
  <c r="G670" i="26"/>
  <c r="G671" i="26"/>
  <c r="G672" i="26"/>
  <c r="G673" i="26"/>
  <c r="G674" i="26"/>
  <c r="G675" i="26"/>
  <c r="G676" i="26"/>
  <c r="G677" i="26"/>
  <c r="G678" i="26"/>
  <c r="G679" i="26"/>
  <c r="G680" i="26"/>
  <c r="G681" i="26"/>
  <c r="G682" i="26"/>
  <c r="G683" i="26"/>
  <c r="G684" i="26"/>
  <c r="G685" i="26"/>
  <c r="G686" i="26"/>
  <c r="G687" i="26"/>
  <c r="G688" i="26"/>
  <c r="G689" i="26"/>
  <c r="G690" i="26"/>
  <c r="G691" i="26"/>
  <c r="G692" i="26"/>
  <c r="G693" i="26"/>
  <c r="G694" i="26"/>
  <c r="G695" i="26"/>
  <c r="G696" i="26"/>
  <c r="G697" i="26"/>
  <c r="G698" i="26"/>
  <c r="G699" i="26"/>
  <c r="G700" i="26"/>
  <c r="G701" i="26"/>
  <c r="G702" i="26"/>
  <c r="G703" i="26"/>
  <c r="G704" i="26"/>
  <c r="G705" i="26"/>
  <c r="G706" i="26"/>
  <c r="G707" i="26"/>
  <c r="G708" i="26"/>
  <c r="G709" i="26"/>
  <c r="G710" i="26"/>
  <c r="G711" i="26"/>
  <c r="G712" i="26"/>
  <c r="G713" i="26"/>
  <c r="G714" i="26"/>
  <c r="G715" i="26"/>
  <c r="G716" i="26"/>
  <c r="G717" i="26"/>
  <c r="G718" i="26"/>
  <c r="G719" i="26"/>
  <c r="G720" i="26"/>
  <c r="G721" i="26"/>
  <c r="G722" i="26"/>
  <c r="G723" i="26"/>
  <c r="G724" i="26"/>
  <c r="G725" i="26"/>
  <c r="G726" i="26"/>
  <c r="G727" i="26"/>
  <c r="G728" i="26"/>
  <c r="G729" i="26"/>
  <c r="G730" i="26"/>
  <c r="G731" i="26"/>
  <c r="G732" i="26"/>
  <c r="G733" i="26"/>
  <c r="G734" i="26"/>
  <c r="G735" i="26"/>
  <c r="G736" i="26"/>
  <c r="G737" i="26"/>
  <c r="G738" i="26"/>
  <c r="G739" i="26"/>
  <c r="G740" i="26"/>
  <c r="G741" i="26"/>
  <c r="G742" i="26"/>
  <c r="G743" i="26"/>
  <c r="G744" i="26"/>
  <c r="G745" i="26"/>
  <c r="G746" i="26"/>
  <c r="G747" i="26"/>
  <c r="G748" i="26"/>
  <c r="G749" i="26"/>
  <c r="G750" i="26"/>
  <c r="G751" i="26"/>
  <c r="G752" i="26"/>
  <c r="G753" i="26"/>
  <c r="G754" i="26"/>
  <c r="G755" i="26"/>
  <c r="G756" i="26"/>
  <c r="G757" i="26"/>
  <c r="G758" i="26"/>
  <c r="G759" i="26"/>
  <c r="G760" i="26"/>
  <c r="G761" i="26"/>
  <c r="G762" i="26"/>
  <c r="G763" i="26"/>
  <c r="G764" i="26"/>
  <c r="G765" i="26"/>
  <c r="G766" i="26"/>
  <c r="G767" i="26"/>
  <c r="G768" i="26"/>
  <c r="G769" i="26"/>
  <c r="G770" i="26"/>
  <c r="G771" i="26"/>
  <c r="G772" i="26"/>
  <c r="G773" i="26"/>
  <c r="G774" i="26"/>
  <c r="G775" i="26"/>
  <c r="G776" i="26"/>
  <c r="G777" i="26"/>
  <c r="G778" i="26"/>
  <c r="G779" i="26"/>
  <c r="G780" i="26"/>
  <c r="G781" i="26"/>
  <c r="G782" i="26"/>
  <c r="G783" i="26"/>
  <c r="G784" i="26"/>
  <c r="G785" i="26"/>
  <c r="G786" i="26"/>
  <c r="G787" i="26"/>
  <c r="G788" i="26"/>
  <c r="G789" i="26"/>
  <c r="G790" i="26"/>
  <c r="G791" i="26"/>
  <c r="G792" i="26"/>
  <c r="G793" i="26"/>
  <c r="G794" i="26"/>
  <c r="G795" i="26"/>
  <c r="G796" i="26"/>
  <c r="G797" i="26"/>
  <c r="G798" i="26"/>
  <c r="G799" i="26"/>
  <c r="G800" i="26"/>
  <c r="G801" i="26"/>
  <c r="G802" i="26"/>
  <c r="G803" i="26"/>
  <c r="G804" i="26"/>
  <c r="G805" i="26"/>
  <c r="G806" i="26"/>
  <c r="G807" i="26"/>
  <c r="G808" i="26"/>
  <c r="G809" i="26"/>
  <c r="G810" i="26"/>
  <c r="G811" i="26"/>
  <c r="G812" i="26"/>
  <c r="G813" i="26"/>
  <c r="G814" i="26"/>
  <c r="G815" i="26"/>
  <c r="G816" i="26"/>
  <c r="G817" i="26"/>
  <c r="G818" i="26"/>
  <c r="G819" i="26"/>
  <c r="G820" i="26"/>
  <c r="G821" i="26"/>
  <c r="G822" i="26"/>
  <c r="G823" i="26"/>
  <c r="G824" i="26"/>
  <c r="G825" i="26"/>
  <c r="G826" i="26"/>
  <c r="G827" i="26"/>
  <c r="G828" i="26"/>
  <c r="G829" i="26"/>
  <c r="G830" i="26"/>
  <c r="G831" i="26"/>
  <c r="G832" i="26"/>
  <c r="G833" i="26"/>
  <c r="G834" i="26"/>
  <c r="G835" i="26"/>
  <c r="G836" i="26"/>
  <c r="G837" i="26"/>
  <c r="G838" i="26"/>
  <c r="G839" i="26"/>
  <c r="G840" i="26"/>
  <c r="G841" i="26"/>
  <c r="G842" i="26"/>
  <c r="G843" i="26"/>
  <c r="G844" i="26"/>
  <c r="G845" i="26"/>
  <c r="G846" i="26"/>
  <c r="G847" i="26"/>
  <c r="G848" i="26"/>
  <c r="G849" i="26"/>
  <c r="G850" i="26"/>
  <c r="G851" i="26"/>
  <c r="G852" i="26"/>
  <c r="G853" i="26"/>
  <c r="G854" i="26"/>
  <c r="G855" i="26"/>
  <c r="G856" i="26"/>
  <c r="G857" i="26"/>
  <c r="G858" i="26"/>
  <c r="G859" i="26"/>
  <c r="G860" i="26"/>
  <c r="G861" i="26"/>
  <c r="G862" i="26"/>
  <c r="G863" i="26"/>
  <c r="G864" i="26"/>
  <c r="G865" i="26"/>
  <c r="G866" i="26"/>
  <c r="G867" i="26"/>
  <c r="G868" i="26"/>
  <c r="G869" i="26"/>
  <c r="G870" i="26"/>
  <c r="G871" i="26"/>
  <c r="G872" i="26"/>
  <c r="G873" i="26"/>
  <c r="G874" i="26"/>
  <c r="G875" i="26"/>
  <c r="G876" i="26"/>
  <c r="G877" i="26"/>
  <c r="G878" i="26"/>
  <c r="G879" i="26"/>
  <c r="G880" i="26"/>
  <c r="G881" i="26"/>
  <c r="G882" i="26"/>
  <c r="G883" i="26"/>
  <c r="G884" i="26"/>
  <c r="G885" i="26"/>
  <c r="G886" i="26"/>
  <c r="G887" i="26"/>
  <c r="G888" i="26"/>
  <c r="G889" i="26"/>
  <c r="G890" i="26"/>
  <c r="G891" i="26"/>
  <c r="G892" i="26"/>
  <c r="G893" i="26"/>
  <c r="G894" i="26"/>
  <c r="G895" i="26"/>
  <c r="G896" i="26"/>
  <c r="G897" i="26"/>
  <c r="G898" i="26"/>
  <c r="G899" i="26"/>
  <c r="G900" i="26"/>
  <c r="G901" i="26"/>
  <c r="G902" i="26"/>
  <c r="G903" i="26"/>
  <c r="G904" i="26"/>
  <c r="G905" i="26"/>
  <c r="G906" i="26"/>
  <c r="G907" i="26"/>
  <c r="G908" i="26"/>
  <c r="G909" i="26"/>
  <c r="G910" i="26"/>
  <c r="G911" i="26"/>
  <c r="G912" i="26"/>
  <c r="G913" i="26"/>
  <c r="G914" i="26"/>
  <c r="G915" i="26"/>
  <c r="G916" i="26"/>
  <c r="G917" i="26"/>
  <c r="G918" i="26"/>
  <c r="G919" i="26"/>
  <c r="G920" i="26"/>
  <c r="G921" i="26"/>
  <c r="G922" i="26"/>
  <c r="G923" i="26"/>
  <c r="G924" i="26"/>
  <c r="G925" i="26"/>
  <c r="G926" i="26"/>
  <c r="G927" i="26"/>
  <c r="G928" i="26"/>
  <c r="G929" i="26"/>
  <c r="G930" i="26"/>
  <c r="G931" i="26"/>
  <c r="G932" i="26"/>
  <c r="G933" i="26"/>
  <c r="G934" i="26"/>
  <c r="G935" i="26"/>
  <c r="G936" i="26"/>
  <c r="G937" i="26"/>
  <c r="G938" i="26"/>
  <c r="G939" i="26"/>
  <c r="G940" i="26"/>
  <c r="G941" i="26"/>
  <c r="G942" i="26"/>
  <c r="I2" i="26" l="1"/>
  <c r="J2" i="26" s="1"/>
  <c r="J2" i="27"/>
  <c r="B14" i="27" s="1"/>
  <c r="B15" i="27"/>
  <c r="B17" i="27"/>
  <c r="B19" i="27"/>
  <c r="B23" i="27"/>
  <c r="B16" i="27"/>
  <c r="B22" i="27"/>
  <c r="B13" i="27"/>
  <c r="B21" i="27"/>
  <c r="B12" i="27"/>
  <c r="B18" i="27"/>
  <c r="B20" i="27"/>
  <c r="G2" i="26"/>
  <c r="B16" i="26" s="1"/>
  <c r="B25" i="27" l="1"/>
  <c r="K2" i="27" a="1"/>
  <c r="K2" i="27" s="1"/>
  <c r="L2" i="27" s="1"/>
  <c r="M2" i="27" s="1"/>
  <c r="B14" i="26"/>
  <c r="K2" i="26" s="1" a="1"/>
  <c r="K2" i="26" s="1"/>
  <c r="B15" i="26"/>
  <c r="B12" i="26"/>
  <c r="B18" i="26"/>
  <c r="B21" i="26"/>
  <c r="B20" i="26"/>
  <c r="B13" i="26"/>
  <c r="B22" i="26"/>
  <c r="B17" i="26"/>
  <c r="B23" i="26"/>
  <c r="B19" i="26"/>
  <c r="B24" i="27"/>
  <c r="B27" i="27" l="1"/>
  <c r="B24" i="26"/>
  <c r="B25" i="26"/>
  <c r="L2" i="26"/>
  <c r="M2" i="26" l="1"/>
  <c r="B27" i="2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miura</author>
    <author>miura@mail.kobe-c.ac.jp</author>
  </authors>
  <commentList>
    <comment ref="F1" authorId="0" shapeId="0" xr:uid="{F18CA9F2-12F2-474C-AF1B-184429A60314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日付 (Date)</t>
        </r>
      </text>
    </comment>
    <comment ref="G1" authorId="1" shapeId="0" xr:uid="{F9F40CC7-AA99-411C-9018-906E20425916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t の「月」部分
（1～12）
MONTH関数を使用</t>
        </r>
      </text>
    </comment>
    <comment ref="H1" authorId="0" shapeId="0" xr:uid="{5516E3A6-59D9-4A02-A9A4-BA1BBEEC8BB3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miura:
</t>
        </r>
        <r>
          <rPr>
            <sz val="9"/>
            <color indexed="81"/>
            <rFont val="MS P ゴシック"/>
            <family val="3"/>
            <charset val="128"/>
          </rPr>
          <t>二酸化炭素の実測値
(CO2)</t>
        </r>
      </text>
    </comment>
    <comment ref="I1" authorId="1" shapeId="0" xr:uid="{7C3775FC-0543-4AF9-99A6-17BAD23AA65E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傾向変動の近似式
(t の1次式 Bt+C)</t>
        </r>
      </text>
    </comment>
    <comment ref="J1" authorId="1" shapeId="0" xr:uid="{AEFF7EA3-7AC9-4299-A777-40AFFC611073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観測値の傾向変動からの差</t>
        </r>
      </text>
    </comment>
    <comment ref="K1" authorId="1" shapeId="0" xr:uid="{4BCB066C-8553-4989-8E0F-6C661993434C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m(t) 月の
季節変動の値</t>
        </r>
      </text>
    </comment>
    <comment ref="L1" authorId="1" shapeId="0" xr:uid="{D2DAB9F8-9B7D-4D97-8934-617E8CF4D59D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傾向変動に季節変動を加えたもの
T(t)+S(m(t))</t>
        </r>
      </text>
    </comment>
    <comment ref="M1" authorId="1" shapeId="0" xr:uid="{1A0A98E2-9F25-415E-A174-A8E2B821009F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観測値 Y(t) と
近似値 TS(t) の差
Y(t)-TS(t)</t>
        </r>
      </text>
    </comment>
    <comment ref="A5" authorId="1" shapeId="0" xr:uid="{5E6E2588-1BEC-4CD5-840B-70DDD4A5C759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数式の意味は分からなくてもよい</t>
        </r>
      </text>
    </comment>
    <comment ref="B7" authorId="1" shapeId="0" xr:uid="{A973998F-97ED-4DE8-8598-515181BE9A46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miura:
</t>
        </r>
        <r>
          <rPr>
            <sz val="9"/>
            <color indexed="81"/>
            <rFont val="MS P ゴシック"/>
            <family val="3"/>
            <charset val="128"/>
          </rPr>
          <t>このセルは _B と
名付けられている</t>
        </r>
      </text>
    </comment>
    <comment ref="C7" authorId="0" shapeId="0" xr:uid="{F7DEF5B9-EFBB-478B-9742-AA25C5844AEE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このセルは _C と
名付けられている</t>
        </r>
      </text>
    </comment>
    <comment ref="B12" authorId="1" shapeId="0" xr:uid="{481AEC4B-C63F-45C1-A9C0-7D042C521ABB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m(t) が 1 の行の Y(t)-T(t) の平均値
以下同様
なお，B12:B23 は Sm と名付けられている</t>
        </r>
      </text>
    </comment>
    <comment ref="B25" authorId="1" shapeId="0" xr:uid="{398D8D63-F0E8-472A-A018-97DB21CCC95F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季節変動の合計
(0 に近いはず)</t>
        </r>
      </text>
    </comment>
    <comment ref="B27" authorId="1" shapeId="0" xr:uid="{EA917F59-0B60-4CD3-AC94-B049B6EF5BD6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残差(I(t))の二乗の
平均値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miura</author>
    <author>miura@mail.kobe-c.ac.jp</author>
  </authors>
  <commentList>
    <comment ref="F1" authorId="0" shapeId="0" xr:uid="{3648C207-D6B7-4103-ABAD-1CC53F65EC25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日付 (Date)</t>
        </r>
      </text>
    </comment>
    <comment ref="G1" authorId="1" shapeId="0" xr:uid="{D89DAA66-A13D-4C41-A836-5710D9B2F4F5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t の「月」部分
（1～12）
MONTH関数を使用</t>
        </r>
      </text>
    </comment>
    <comment ref="H1" authorId="0" shapeId="0" xr:uid="{1BA1756B-68E4-4633-B749-AB6A48088A32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miura:
</t>
        </r>
        <r>
          <rPr>
            <sz val="9"/>
            <color indexed="81"/>
            <rFont val="MS P ゴシック"/>
            <family val="3"/>
            <charset val="128"/>
          </rPr>
          <t>二酸化炭素の実測値
(CO2)</t>
        </r>
      </text>
    </comment>
    <comment ref="I1" authorId="1" shapeId="0" xr:uid="{33EB718D-3FD7-4C4E-A972-7BE31586F83B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傾向変動の近似式
(t の2次式
 At^2 + Bt + C )</t>
        </r>
      </text>
    </comment>
    <comment ref="J1" authorId="1" shapeId="0" xr:uid="{98D186BD-5FA7-4166-A9BF-6085BAD20568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観測値の傾向変動からの差</t>
        </r>
      </text>
    </comment>
    <comment ref="K1" authorId="1" shapeId="0" xr:uid="{B877EF9F-7A18-4685-9B1E-E78959FD6D1D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m(t) 月の
季節変動の値</t>
        </r>
      </text>
    </comment>
    <comment ref="L1" authorId="1" shapeId="0" xr:uid="{A5988AB9-14F2-4993-A5F9-826C5B0550EE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傾向変動に季節変動を加えたもの
T(t)+S(m(t))</t>
        </r>
      </text>
    </comment>
    <comment ref="M1" authorId="1" shapeId="0" xr:uid="{A5A79A80-2703-4AAD-935F-35306A6D0366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観測値 Y(t) と
近似値 TS(t) の差
Y(t)-TS(t)</t>
        </r>
      </text>
    </comment>
    <comment ref="A5" authorId="1" shapeId="0" xr:uid="{FE737F71-123C-4882-8DFF-191A0D14C8F9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数式の意味は分からなくてもよい</t>
        </r>
      </text>
    </comment>
    <comment ref="B7" authorId="1" shapeId="0" xr:uid="{707EA7E9-8061-4928-8966-70B1BA41F096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このセルは _A と
名付けられている</t>
        </r>
      </text>
    </comment>
    <comment ref="C7" authorId="1" shapeId="0" xr:uid="{B463F563-B5DF-4216-A858-6D5CD0405001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miura:
</t>
        </r>
        <r>
          <rPr>
            <sz val="9"/>
            <color indexed="81"/>
            <rFont val="MS P ゴシック"/>
            <family val="3"/>
            <charset val="128"/>
          </rPr>
          <t>このセルは _B と
名付けられている</t>
        </r>
      </text>
    </comment>
    <comment ref="D7" authorId="1" shapeId="0" xr:uid="{47E9367D-6BB4-4876-ADC4-3492756C6D04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このセルは _C と
名付けられている</t>
        </r>
      </text>
    </comment>
    <comment ref="B12" authorId="1" shapeId="0" xr:uid="{8D2FF37C-C0FD-4D4B-803B-862D7C183E8A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m(t) が 1 の行の Y(t)-T(t) の平均値
以下同様
なお，B12:B23 は Sm と名付けられている</t>
        </r>
      </text>
    </comment>
    <comment ref="B25" authorId="1" shapeId="0" xr:uid="{325AD143-DB83-4E04-9D6F-2338C55B65FB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季節変動の合計
(0 に近いはず)</t>
        </r>
      </text>
    </comment>
    <comment ref="B27" authorId="1" shapeId="0" xr:uid="{DDF4A550-A64E-458F-BB96-85A258E94F72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残差(I(t))の二乗の
平均値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F0968B-CA49-4E0F-8449-9164A1AC4134}" keepAlive="1" name="ThisWorkbookDataModel" description="データ モデル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E20390F-EECE-4EE5-9B45-6DBD795435AA}" name="WorksheetConnection_co2!$A$1:$B$742" type="102" refreshedVersion="7" minRefreshableVersion="5">
    <extLst>
      <ext xmlns:x15="http://schemas.microsoft.com/office/spreadsheetml/2010/11/main" uri="{DE250136-89BD-433C-8126-D09CA5730AF9}">
        <x15:connection id="範囲">
          <x15:rangePr sourceName="_xlcn.WorksheetConnection_co2A1B742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<sst xmlns="http://schemas.openxmlformats.org/spreadsheetml/2006/main" count="127" uniqueCount="68">
  <si>
    <t>Date</t>
  </si>
  <si>
    <t>CO2</t>
  </si>
  <si>
    <t>季節変動</t>
    <rPh sb="0" eb="2">
      <t>キセツ</t>
    </rPh>
    <rPh sb="2" eb="4">
      <t>ヘンドウ</t>
    </rPh>
    <phoneticPr fontId="1"/>
  </si>
  <si>
    <t>A</t>
    <phoneticPr fontId="1"/>
  </si>
  <si>
    <t>B</t>
    <phoneticPr fontId="1"/>
  </si>
  <si>
    <t>C</t>
    <phoneticPr fontId="1"/>
  </si>
  <si>
    <t>m</t>
    <phoneticPr fontId="1"/>
  </si>
  <si>
    <t>total</t>
    <phoneticPr fontId="1"/>
  </si>
  <si>
    <t>S(m)</t>
    <phoneticPr fontId="1"/>
  </si>
  <si>
    <t>傾向変動</t>
  </si>
  <si>
    <t>：傾向変動と季節変動の加算</t>
    <rPh sb="6" eb="8">
      <t>キセツ</t>
    </rPh>
    <rPh sb="8" eb="10">
      <t>ヘンドウ</t>
    </rPh>
    <rPh sb="11" eb="13">
      <t>カサン</t>
    </rPh>
    <phoneticPr fontId="1"/>
  </si>
  <si>
    <t>残差平方の平均</t>
    <rPh sb="0" eb="4">
      <t>ザンサヘイホウ</t>
    </rPh>
    <rPh sb="5" eb="7">
      <t>ヘイキン</t>
    </rPh>
    <phoneticPr fontId="1"/>
  </si>
  <si>
    <t>手順</t>
    <rPh sb="0" eb="2">
      <t>テジュン</t>
    </rPh>
    <phoneticPr fontId="1"/>
  </si>
  <si>
    <t>先に作成したグラフをもう一度見てみる</t>
    <rPh sb="0" eb="1">
      <t>サキ</t>
    </rPh>
    <rPh sb="2" eb="4">
      <t>サクセイ</t>
    </rPh>
    <rPh sb="12" eb="14">
      <t>イチド</t>
    </rPh>
    <rPh sb="14" eb="15">
      <t>ミ</t>
    </rPh>
    <phoneticPr fontId="1"/>
  </si>
  <si>
    <r>
      <t>CO</t>
    </r>
    <r>
      <rPr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の近似</t>
    </r>
    <rPh sb="4" eb="6">
      <t>キンジ</t>
    </rPh>
    <phoneticPr fontId="1"/>
  </si>
  <si>
    <r>
      <t>T(t) = At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+Bt+C</t>
    </r>
    <phoneticPr fontId="1"/>
  </si>
  <si>
    <t>：2次多項式（t は測定年月(Date)）</t>
    <rPh sb="2" eb="3">
      <t>ジ</t>
    </rPh>
    <rPh sb="3" eb="6">
      <t>タコウシキ</t>
    </rPh>
    <rPh sb="10" eb="12">
      <t>ソクテイ</t>
    </rPh>
    <rPh sb="12" eb="13">
      <t>ネン</t>
    </rPh>
    <rPh sb="13" eb="14">
      <t>ゲツ</t>
    </rPh>
    <phoneticPr fontId="1"/>
  </si>
  <si>
    <t>S(m(t))</t>
    <phoneticPr fontId="1"/>
  </si>
  <si>
    <t>：傾向変動からの変位（m(t) は t の月部分 ）</t>
    <rPh sb="8" eb="10">
      <t>ヘンイ</t>
    </rPh>
    <rPh sb="21" eb="22">
      <t>ツキ</t>
    </rPh>
    <rPh sb="22" eb="24">
      <t>ブブン</t>
    </rPh>
    <phoneticPr fontId="1"/>
  </si>
  <si>
    <t>TS(t)=T(t)+S(m(t))</t>
    <phoneticPr fontId="1"/>
  </si>
  <si>
    <t>T(t)</t>
    <phoneticPr fontId="1"/>
  </si>
  <si>
    <t>Y(t)-T(t)</t>
    <phoneticPr fontId="1"/>
  </si>
  <si>
    <t>m(t)</t>
    <phoneticPr fontId="1"/>
  </si>
  <si>
    <t>TS(t)</t>
    <phoneticPr fontId="1"/>
  </si>
  <si>
    <t>A11:B24を選択して，散布図(平滑線とマーカー)を描く</t>
    <rPh sb="8" eb="10">
      <t>センタク</t>
    </rPh>
    <rPh sb="13" eb="16">
      <t>サンプズ</t>
    </rPh>
    <rPh sb="17" eb="20">
      <t>ヘイカツセン</t>
    </rPh>
    <rPh sb="27" eb="28">
      <t>エガ</t>
    </rPh>
    <phoneticPr fontId="1"/>
  </si>
  <si>
    <t>(季節変動(S)の (1年分の) グラフ)</t>
    <rPh sb="1" eb="5">
      <t>キセツヘンドウ</t>
    </rPh>
    <rPh sb="12" eb="14">
      <t>ネンブン</t>
    </rPh>
    <phoneticPr fontId="1"/>
  </si>
  <si>
    <t>(残差 (不規則変動 I) のグラフ)</t>
    <rPh sb="1" eb="3">
      <t>ザンサ</t>
    </rPh>
    <rPh sb="5" eb="10">
      <t>フキソクヘンドウ</t>
    </rPh>
    <phoneticPr fontId="1"/>
  </si>
  <si>
    <t>I～M列の数式を 2020/4/1 の行までコピーする</t>
    <rPh sb="3" eb="4">
      <t>レツ</t>
    </rPh>
    <rPh sb="5" eb="7">
      <t>スウシキ</t>
    </rPh>
    <rPh sb="19" eb="20">
      <t>ギョウ</t>
    </rPh>
    <phoneticPr fontId="1"/>
  </si>
  <si>
    <t>※ 2次多項式モデルは，増加率が一定の割合で増加するモデルである</t>
    <rPh sb="3" eb="4">
      <t>ジ</t>
    </rPh>
    <rPh sb="4" eb="7">
      <t>タコウシキ</t>
    </rPh>
    <rPh sb="12" eb="15">
      <t>ゾウカリツ</t>
    </rPh>
    <rPh sb="16" eb="18">
      <t>イッテイ</t>
    </rPh>
    <rPh sb="19" eb="21">
      <t>ワリアイ</t>
    </rPh>
    <rPh sb="22" eb="24">
      <t>ゾウカ</t>
    </rPh>
    <phoneticPr fontId="1"/>
  </si>
  <si>
    <t>=S(1)</t>
    <phoneticPr fontId="1"/>
  </si>
  <si>
    <t>I, K, L列の数式を 2040/4/1 の行までコピーする</t>
    <rPh sb="7" eb="8">
      <t>レツ</t>
    </rPh>
    <rPh sb="9" eb="11">
      <t>スウシキ</t>
    </rPh>
    <rPh sb="23" eb="24">
      <t>ギョウ</t>
    </rPh>
    <phoneticPr fontId="1"/>
  </si>
  <si>
    <t>T(t) = Bt+C</t>
    <phoneticPr fontId="1"/>
  </si>
  <si>
    <t>：1次多項式（t は測定年月(Date)）</t>
    <rPh sb="2" eb="3">
      <t>ジ</t>
    </rPh>
    <rPh sb="3" eb="6">
      <t>タコウシキ</t>
    </rPh>
    <rPh sb="10" eb="12">
      <t>ソクテイ</t>
    </rPh>
    <rPh sb="12" eb="13">
      <t>ネン</t>
    </rPh>
    <rPh sb="13" eb="14">
      <t>ゲツ</t>
    </rPh>
    <phoneticPr fontId="1"/>
  </si>
  <si>
    <t>t, Y(t), T(t)　(F, H, I 列) で折れ線グラフを描く</t>
    <rPh sb="23" eb="24">
      <t>レツ</t>
    </rPh>
    <rPh sb="27" eb="28">
      <t>オ</t>
    </rPh>
    <rPh sb="29" eb="30">
      <t>セン</t>
    </rPh>
    <rPh sb="34" eb="35">
      <t>エガ</t>
    </rPh>
    <phoneticPr fontId="1"/>
  </si>
  <si>
    <t>t, Y(t), TS(t)（F, H, L列）で折れ線グラフを描く</t>
    <rPh sb="22" eb="23">
      <t>レツ</t>
    </rPh>
    <rPh sb="25" eb="26">
      <t>オ</t>
    </rPh>
    <rPh sb="27" eb="28">
      <t>セン</t>
    </rPh>
    <rPh sb="32" eb="33">
      <t>エガ</t>
    </rPh>
    <phoneticPr fontId="1"/>
  </si>
  <si>
    <t>※ 線形モデルは，増加率が一定の（直線的な）モデルである</t>
    <rPh sb="2" eb="4">
      <t>センケイ</t>
    </rPh>
    <rPh sb="9" eb="12">
      <t>ゾウカリツ</t>
    </rPh>
    <rPh sb="13" eb="15">
      <t>イッテイ</t>
    </rPh>
    <rPh sb="17" eb="20">
      <t>チョクセンテキ</t>
    </rPh>
    <phoneticPr fontId="1"/>
  </si>
  <si>
    <t>t, 残差(I)（F, M列）で折れ線グラフを描く</t>
    <rPh sb="3" eb="5">
      <t>ザンサ</t>
    </rPh>
    <rPh sb="13" eb="14">
      <t>レツ</t>
    </rPh>
    <rPh sb="16" eb="17">
      <t>オ</t>
    </rPh>
    <rPh sb="18" eb="19">
      <t>セン</t>
    </rPh>
    <rPh sb="23" eb="24">
      <t>エガ</t>
    </rPh>
    <phoneticPr fontId="1"/>
  </si>
  <si>
    <t xml:space="preserve"> ※ 2000/4/1までのデータを使った近似</t>
    <rPh sb="18" eb="19">
      <t>ツカ</t>
    </rPh>
    <rPh sb="21" eb="23">
      <t>キンジ</t>
    </rPh>
    <phoneticPr fontId="1"/>
  </si>
  <si>
    <t xml:space="preserve"> ※ 2000/4/1までのデータを使った平均</t>
    <rPh sb="18" eb="19">
      <t>ツカ</t>
    </rPh>
    <rPh sb="21" eb="23">
      <t>ヘイキン</t>
    </rPh>
    <phoneticPr fontId="1"/>
  </si>
  <si>
    <t>t (=Date)</t>
    <phoneticPr fontId="1"/>
  </si>
  <si>
    <t>Y(t) (=CO2)</t>
    <phoneticPr fontId="1"/>
  </si>
  <si>
    <t>I(t) (=残差)</t>
    <rPh sb="7" eb="9">
      <t>ザンサ</t>
    </rPh>
    <phoneticPr fontId="1"/>
  </si>
  <si>
    <t>傾向変動のパラメータ（最小二乗法による線形(1次多項式)近似）</t>
    <rPh sb="11" eb="16">
      <t>サイショウニジョウホウ</t>
    </rPh>
    <rPh sb="19" eb="21">
      <t>センケイ</t>
    </rPh>
    <rPh sb="23" eb="24">
      <t>ジ</t>
    </rPh>
    <rPh sb="24" eb="27">
      <t>タコウシキ</t>
    </rPh>
    <rPh sb="28" eb="30">
      <t>キンジ</t>
    </rPh>
    <phoneticPr fontId="1"/>
  </si>
  <si>
    <t>傾向変動のパラメータ（最小二乗法による2次多項式近似）</t>
    <rPh sb="11" eb="16">
      <t>サイショウニジョウホウ</t>
    </rPh>
    <rPh sb="20" eb="26">
      <t>ジタコウシキキンジ</t>
    </rPh>
    <phoneticPr fontId="1"/>
  </si>
  <si>
    <t>← LINEST関数を使用した配列数式</t>
    <rPh sb="8" eb="10">
      <t>カンスウ</t>
    </rPh>
    <rPh sb="11" eb="13">
      <t>シヨウ</t>
    </rPh>
    <rPh sb="15" eb="17">
      <t>ハイレツ</t>
    </rPh>
    <rPh sb="17" eb="19">
      <t>スウシキ</t>
    </rPh>
    <phoneticPr fontId="1"/>
  </si>
  <si>
    <t>季節変動（Y(t)-T(t) の月別平均値）</t>
    <rPh sb="0" eb="4">
      <t>キセツヘンドウ</t>
    </rPh>
    <rPh sb="16" eb="18">
      <t>ツキベツ</t>
    </rPh>
    <rPh sb="18" eb="21">
      <t>ヘイキンチ</t>
    </rPh>
    <phoneticPr fontId="1"/>
  </si>
  <si>
    <t>季節変動（Y(t)-T(t) の月別平均値）</t>
    <rPh sb="0" eb="2">
      <t>キセツ</t>
    </rPh>
    <rPh sb="2" eb="4">
      <t>ヘンドウ</t>
    </rPh>
    <rPh sb="16" eb="18">
      <t>ツキベツ</t>
    </rPh>
    <rPh sb="18" eb="20">
      <t>ヘイキン</t>
    </rPh>
    <rPh sb="20" eb="21">
      <t>アタイ</t>
    </rPh>
    <phoneticPr fontId="1"/>
  </si>
  <si>
    <t>T(t), Y(t)-T(t)  (I2, J2) の数式を 2000/4/1 の行までコピー</t>
    <rPh sb="27" eb="29">
      <t>スウシキ</t>
    </rPh>
    <phoneticPr fontId="1"/>
  </si>
  <si>
    <t>と説明</t>
    <rPh sb="1" eb="3">
      <t>セツメイ</t>
    </rPh>
    <phoneticPr fontId="1"/>
  </si>
  <si>
    <t>その結果，B12:B13 には，Y(t)-T(t) の月別平均値</t>
    <rPh sb="2" eb="4">
      <t>ケッカ</t>
    </rPh>
    <rPh sb="27" eb="29">
      <t>ツキベツ</t>
    </rPh>
    <rPh sb="29" eb="32">
      <t>ヘイキンチ</t>
    </rPh>
    <phoneticPr fontId="1"/>
  </si>
  <si>
    <t>Y(t)-T(t) はその実測値との差となる</t>
    <rPh sb="13" eb="16">
      <t>ジッソクチ</t>
    </rPh>
    <rPh sb="18" eb="19">
      <t>サ</t>
    </rPh>
    <phoneticPr fontId="1"/>
  </si>
  <si>
    <t>T(t) は 2000/4/1までのデータを使った傾向変動 (推定値)，</t>
    <rPh sb="25" eb="29">
      <t>ケイコウヘンドウ</t>
    </rPh>
    <rPh sb="31" eb="34">
      <t>スイテイチ</t>
    </rPh>
    <phoneticPr fontId="1"/>
  </si>
  <si>
    <t>2000/4/1 の行までコピー</t>
    <rPh sb="10" eb="11">
      <t>ギョウ</t>
    </rPh>
    <phoneticPr fontId="1"/>
  </si>
  <si>
    <t>S(m(t)) は季節調整値(S)(B12:B23)の反復</t>
    <rPh sb="9" eb="11">
      <t>キセツ</t>
    </rPh>
    <rPh sb="11" eb="14">
      <t>チョウセイチ</t>
    </rPh>
    <rPh sb="27" eb="29">
      <t>ハンプク</t>
    </rPh>
    <phoneticPr fontId="1"/>
  </si>
  <si>
    <t>S(m(t)), TS(t), I(t)  (K2～M2) の数式を</t>
    <phoneticPr fontId="1"/>
  </si>
  <si>
    <t>(実測値と傾向変動(推定値)のグラフ)</t>
    <rPh sb="1" eb="4">
      <t>ジッソクチ</t>
    </rPh>
    <rPh sb="10" eb="13">
      <t>スイテイチ</t>
    </rPh>
    <phoneticPr fontId="1"/>
  </si>
  <si>
    <t>(実測値と近似値(TS)のグラフ)</t>
    <rPh sb="1" eb="4">
      <t>ジッソクチ</t>
    </rPh>
    <rPh sb="5" eb="8">
      <t>キンジチ</t>
    </rPh>
    <phoneticPr fontId="1"/>
  </si>
  <si>
    <t>TS(t) は T(t)+S(m(t))  (Y(t) の近似値)，</t>
    <rPh sb="29" eb="32">
      <t>キンジチ</t>
    </rPh>
    <phoneticPr fontId="1"/>
  </si>
  <si>
    <t>I(t) は実測値と TS(t) の差 (残差) である</t>
    <rPh sb="21" eb="23">
      <t>ザンサ</t>
    </rPh>
    <phoneticPr fontId="1"/>
  </si>
  <si>
    <t>まで延長 (前方補外) する</t>
    <rPh sb="2" eb="4">
      <t>エンチョウ</t>
    </rPh>
    <rPh sb="6" eb="10">
      <t>ゼンポウホガイ</t>
    </rPh>
    <phoneticPr fontId="1"/>
  </si>
  <si>
    <t>2000/5/1 ～ 2020/4/1 の推測値 (前方補外した値) と</t>
    <rPh sb="21" eb="23">
      <t>スイソク</t>
    </rPh>
    <rPh sb="23" eb="24">
      <t>チ</t>
    </rPh>
    <rPh sb="26" eb="28">
      <t>ゼンポウ</t>
    </rPh>
    <rPh sb="28" eb="29">
      <t>ホ</t>
    </rPh>
    <rPh sb="29" eb="30">
      <t>ガイ</t>
    </rPh>
    <rPh sb="32" eb="33">
      <t>アタイ</t>
    </rPh>
    <phoneticPr fontId="1"/>
  </si>
  <si>
    <t>実測値との差 (残差) を確認する</t>
    <rPh sb="5" eb="6">
      <t>サ</t>
    </rPh>
    <rPh sb="8" eb="10">
      <t>ザンサ</t>
    </rPh>
    <rPh sb="13" eb="15">
      <t>カクニン</t>
    </rPh>
    <phoneticPr fontId="1"/>
  </si>
  <si>
    <t>2000/4/1 までのデータで得られた各値を 2020/4/1</t>
    <rPh sb="16" eb="17">
      <t>エ</t>
    </rPh>
    <rPh sb="20" eb="22">
      <t>カクアタイ</t>
    </rPh>
    <phoneticPr fontId="1"/>
  </si>
  <si>
    <t>更に 2040/4/1 まで延長 (前方補外) して，</t>
    <rPh sb="0" eb="1">
      <t>サラ</t>
    </rPh>
    <rPh sb="14" eb="16">
      <t>エンチョウ</t>
    </rPh>
    <rPh sb="18" eb="22">
      <t>ゼンポウホガイ</t>
    </rPh>
    <phoneticPr fontId="1"/>
  </si>
  <si>
    <t>将来の予測値を得る</t>
    <rPh sb="0" eb="2">
      <t>ショウライ</t>
    </rPh>
    <rPh sb="3" eb="6">
      <t>ヨソクチ</t>
    </rPh>
    <rPh sb="7" eb="8">
      <t>エ</t>
    </rPh>
    <phoneticPr fontId="1"/>
  </si>
  <si>
    <t>2040/4/1 までの予測値を観察する</t>
    <rPh sb="12" eb="15">
      <t>ヨソクチ</t>
    </rPh>
    <rPh sb="16" eb="18">
      <t>カンサツ</t>
    </rPh>
    <phoneticPr fontId="1"/>
  </si>
  <si>
    <t>(季節変動(S)＝季節調整値) が計算される</t>
    <rPh sb="1" eb="5">
      <t>キセツヘンドウ</t>
    </rPh>
    <rPh sb="17" eb="19">
      <t>ケイサン</t>
    </rPh>
    <phoneticPr fontId="1"/>
  </si>
  <si>
    <t>(B27 セルの残差平方 (残渣の2乗) の平均を確認する)</t>
    <rPh sb="8" eb="12">
      <t>ザンサヘイホウ</t>
    </rPh>
    <rPh sb="14" eb="16">
      <t>ザンサ</t>
    </rPh>
    <rPh sb="18" eb="19">
      <t>ジョウ</t>
    </rPh>
    <rPh sb="22" eb="24">
      <t>ヘイキン</t>
    </rPh>
    <rPh sb="25" eb="27">
      <t>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</si>
</sst>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;[Red]\-0.00\ "/>
    <numFmt numFmtId="177" formatCode="0.000000000_ ;[Red]\-0.000000000\ "/>
    <numFmt numFmtId="178" formatCode="0.000000000_ ;\-0.000000000\ "/>
  </numFmts>
  <fonts count="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vertAlign val="superscript"/>
      <sz val="11"/>
      <color theme="1"/>
      <name val="游ゴシック"/>
      <family val="3"/>
      <charset val="128"/>
      <scheme val="minor"/>
    </font>
    <font>
      <sz val="11"/>
      <color theme="0" tint="-0.249977111117893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right" vertical="center" indent="1"/>
    </xf>
    <xf numFmtId="0" fontId="0" fillId="0" borderId="6" xfId="0" applyBorder="1">
      <alignment vertical="center"/>
    </xf>
    <xf numFmtId="177" fontId="0" fillId="0" borderId="4" xfId="0" applyNumberFormat="1" applyBorder="1">
      <alignment vertical="center"/>
    </xf>
    <xf numFmtId="177" fontId="0" fillId="0" borderId="1" xfId="0" applyNumberFormat="1" applyBorder="1">
      <alignment vertical="center"/>
    </xf>
    <xf numFmtId="177" fontId="0" fillId="0" borderId="2" xfId="0" applyNumberFormat="1" applyBorder="1">
      <alignment vertical="center"/>
    </xf>
    <xf numFmtId="177" fontId="0" fillId="0" borderId="3" xfId="0" applyNumberFormat="1" applyBorder="1">
      <alignment vertical="center"/>
    </xf>
    <xf numFmtId="14" fontId="0" fillId="0" borderId="5" xfId="0" applyNumberFormat="1" applyBorder="1">
      <alignment vertical="center"/>
    </xf>
    <xf numFmtId="0" fontId="0" fillId="0" borderId="5" xfId="0" applyBorder="1">
      <alignment vertical="center"/>
    </xf>
    <xf numFmtId="176" fontId="0" fillId="0" borderId="5" xfId="0" applyNumberFormat="1" applyBorder="1">
      <alignment vertical="center"/>
    </xf>
    <xf numFmtId="0" fontId="3" fillId="0" borderId="0" xfId="0" quotePrefix="1" applyFont="1">
      <alignment vertical="center"/>
    </xf>
    <xf numFmtId="178" fontId="3" fillId="0" borderId="5" xfId="0" applyNumberFormat="1" applyFont="1" applyBorder="1">
      <alignment vertical="center"/>
    </xf>
    <xf numFmtId="0" fontId="0" fillId="0" borderId="4" xfId="0" applyBorder="1">
      <alignment vertical="center"/>
    </xf>
    <xf numFmtId="176" fontId="5" fillId="0" borderId="0" xfId="0" applyNumberFormat="1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connections" Target="connections.xml"/><Relationship Id="rId10" Type="http://schemas.openxmlformats.org/officeDocument/2006/relationships/calcChain" Target="calcChain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'co2'!$B$1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'co2'!$A$2:$A$742</c:f>
              <c:numCache>
                <c:formatCode>m/d/yyyy</c:formatCode>
                <c:ptCount val="74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</c:numCache>
            </c:numRef>
          </c:xVal>
          <c:yVal>
            <c:numRef>
              <c:f>'co2'!$B$2:$B$742</c:f>
              <c:numCache>
                <c:formatCode>General</c:formatCode>
                <c:ptCount val="741"/>
                <c:pt idx="0">
                  <c:v>315.7</c:v>
                </c:pt>
                <c:pt idx="1">
                  <c:v>317.45999999999998</c:v>
                </c:pt>
                <c:pt idx="2">
                  <c:v>317.51</c:v>
                </c:pt>
                <c:pt idx="3">
                  <c:v>315.86</c:v>
                </c:pt>
                <c:pt idx="4">
                  <c:v>314.93</c:v>
                </c:pt>
                <c:pt idx="5">
                  <c:v>313.20999999999998</c:v>
                </c:pt>
                <c:pt idx="6">
                  <c:v>313.33</c:v>
                </c:pt>
                <c:pt idx="7">
                  <c:v>314.67</c:v>
                </c:pt>
                <c:pt idx="8">
                  <c:v>315.58</c:v>
                </c:pt>
                <c:pt idx="9">
                  <c:v>316.49</c:v>
                </c:pt>
                <c:pt idx="10">
                  <c:v>316.64999999999998</c:v>
                </c:pt>
                <c:pt idx="11">
                  <c:v>317.72000000000003</c:v>
                </c:pt>
                <c:pt idx="12">
                  <c:v>318.29000000000002</c:v>
                </c:pt>
                <c:pt idx="13">
                  <c:v>318.14999999999998</c:v>
                </c:pt>
                <c:pt idx="14">
                  <c:v>316.54000000000002</c:v>
                </c:pt>
                <c:pt idx="15">
                  <c:v>314.8</c:v>
                </c:pt>
                <c:pt idx="16">
                  <c:v>313.83999999999997</c:v>
                </c:pt>
                <c:pt idx="17">
                  <c:v>313.33</c:v>
                </c:pt>
                <c:pt idx="18">
                  <c:v>314.81</c:v>
                </c:pt>
                <c:pt idx="19">
                  <c:v>315.58</c:v>
                </c:pt>
                <c:pt idx="20">
                  <c:v>316.43</c:v>
                </c:pt>
                <c:pt idx="21">
                  <c:v>316.98</c:v>
                </c:pt>
                <c:pt idx="22">
                  <c:v>317.58</c:v>
                </c:pt>
                <c:pt idx="23">
                  <c:v>319.02999999999997</c:v>
                </c:pt>
                <c:pt idx="24">
                  <c:v>320.04000000000002</c:v>
                </c:pt>
                <c:pt idx="25">
                  <c:v>319.58</c:v>
                </c:pt>
                <c:pt idx="26">
                  <c:v>318.18</c:v>
                </c:pt>
                <c:pt idx="27">
                  <c:v>315.89999999999998</c:v>
                </c:pt>
                <c:pt idx="28">
                  <c:v>314.17</c:v>
                </c:pt>
                <c:pt idx="29">
                  <c:v>313.83</c:v>
                </c:pt>
                <c:pt idx="30">
                  <c:v>315</c:v>
                </c:pt>
                <c:pt idx="31">
                  <c:v>316.19</c:v>
                </c:pt>
                <c:pt idx="32">
                  <c:v>316.89999999999998</c:v>
                </c:pt>
                <c:pt idx="33">
                  <c:v>317.7</c:v>
                </c:pt>
                <c:pt idx="34">
                  <c:v>318.54000000000002</c:v>
                </c:pt>
                <c:pt idx="35">
                  <c:v>319.48</c:v>
                </c:pt>
                <c:pt idx="36">
                  <c:v>320.58</c:v>
                </c:pt>
                <c:pt idx="37">
                  <c:v>319.77</c:v>
                </c:pt>
                <c:pt idx="38">
                  <c:v>318.57</c:v>
                </c:pt>
                <c:pt idx="39">
                  <c:v>316.79000000000002</c:v>
                </c:pt>
                <c:pt idx="40">
                  <c:v>314.99</c:v>
                </c:pt>
                <c:pt idx="41">
                  <c:v>315.31</c:v>
                </c:pt>
                <c:pt idx="42">
                  <c:v>316.10000000000002</c:v>
                </c:pt>
                <c:pt idx="43">
                  <c:v>317.01</c:v>
                </c:pt>
                <c:pt idx="44">
                  <c:v>317.94</c:v>
                </c:pt>
                <c:pt idx="45">
                  <c:v>318.55</c:v>
                </c:pt>
                <c:pt idx="46">
                  <c:v>319.68</c:v>
                </c:pt>
                <c:pt idx="47">
                  <c:v>320.57</c:v>
                </c:pt>
                <c:pt idx="48">
                  <c:v>321.02</c:v>
                </c:pt>
                <c:pt idx="49">
                  <c:v>320.62</c:v>
                </c:pt>
                <c:pt idx="50">
                  <c:v>319.61</c:v>
                </c:pt>
                <c:pt idx="51">
                  <c:v>317.39999999999998</c:v>
                </c:pt>
                <c:pt idx="52">
                  <c:v>316.25</c:v>
                </c:pt>
                <c:pt idx="53">
                  <c:v>315.42</c:v>
                </c:pt>
                <c:pt idx="54">
                  <c:v>316.69</c:v>
                </c:pt>
                <c:pt idx="55">
                  <c:v>317.7</c:v>
                </c:pt>
                <c:pt idx="56">
                  <c:v>318.74</c:v>
                </c:pt>
                <c:pt idx="57">
                  <c:v>319.07</c:v>
                </c:pt>
                <c:pt idx="58">
                  <c:v>319.86</c:v>
                </c:pt>
                <c:pt idx="59">
                  <c:v>321.38</c:v>
                </c:pt>
                <c:pt idx="60">
                  <c:v>322.25</c:v>
                </c:pt>
                <c:pt idx="61">
                  <c:v>321.48</c:v>
                </c:pt>
                <c:pt idx="62">
                  <c:v>319.74</c:v>
                </c:pt>
                <c:pt idx="63">
                  <c:v>317.77</c:v>
                </c:pt>
                <c:pt idx="64">
                  <c:v>316.20999999999998</c:v>
                </c:pt>
                <c:pt idx="65">
                  <c:v>315.99</c:v>
                </c:pt>
                <c:pt idx="66">
                  <c:v>317.07</c:v>
                </c:pt>
                <c:pt idx="67">
                  <c:v>318.35000000000002</c:v>
                </c:pt>
                <c:pt idx="68">
                  <c:v>319.57</c:v>
                </c:pt>
                <c:pt idx="69">
                  <c:v>322.26</c:v>
                </c:pt>
                <c:pt idx="70">
                  <c:v>321.89</c:v>
                </c:pt>
                <c:pt idx="71">
                  <c:v>320.44</c:v>
                </c:pt>
                <c:pt idx="72">
                  <c:v>318.69</c:v>
                </c:pt>
                <c:pt idx="73">
                  <c:v>316.7</c:v>
                </c:pt>
                <c:pt idx="74">
                  <c:v>316.87</c:v>
                </c:pt>
                <c:pt idx="75">
                  <c:v>317.68</c:v>
                </c:pt>
                <c:pt idx="76">
                  <c:v>318.70999999999998</c:v>
                </c:pt>
                <c:pt idx="77">
                  <c:v>319.44</c:v>
                </c:pt>
                <c:pt idx="78">
                  <c:v>320.44</c:v>
                </c:pt>
                <c:pt idx="79">
                  <c:v>320.89</c:v>
                </c:pt>
                <c:pt idx="80">
                  <c:v>322.14</c:v>
                </c:pt>
                <c:pt idx="81">
                  <c:v>322.17</c:v>
                </c:pt>
                <c:pt idx="82">
                  <c:v>321.87</c:v>
                </c:pt>
                <c:pt idx="83">
                  <c:v>321.20999999999998</c:v>
                </c:pt>
                <c:pt idx="84">
                  <c:v>318.87</c:v>
                </c:pt>
                <c:pt idx="85">
                  <c:v>317.81</c:v>
                </c:pt>
                <c:pt idx="86">
                  <c:v>317.3</c:v>
                </c:pt>
                <c:pt idx="87">
                  <c:v>318.87</c:v>
                </c:pt>
                <c:pt idx="88">
                  <c:v>319.42</c:v>
                </c:pt>
                <c:pt idx="89">
                  <c:v>320.62</c:v>
                </c:pt>
                <c:pt idx="90">
                  <c:v>321.60000000000002</c:v>
                </c:pt>
                <c:pt idx="91">
                  <c:v>322.39</c:v>
                </c:pt>
                <c:pt idx="92">
                  <c:v>323.7</c:v>
                </c:pt>
                <c:pt idx="93">
                  <c:v>324.08</c:v>
                </c:pt>
                <c:pt idx="94">
                  <c:v>323.75</c:v>
                </c:pt>
                <c:pt idx="95">
                  <c:v>322.38</c:v>
                </c:pt>
                <c:pt idx="96">
                  <c:v>320.36</c:v>
                </c:pt>
                <c:pt idx="97">
                  <c:v>318.64</c:v>
                </c:pt>
                <c:pt idx="98">
                  <c:v>318.10000000000002</c:v>
                </c:pt>
                <c:pt idx="99">
                  <c:v>319.77999999999997</c:v>
                </c:pt>
                <c:pt idx="100">
                  <c:v>321.02999999999997</c:v>
                </c:pt>
                <c:pt idx="101">
                  <c:v>322.33</c:v>
                </c:pt>
                <c:pt idx="102">
                  <c:v>322.5</c:v>
                </c:pt>
                <c:pt idx="103">
                  <c:v>323.04000000000002</c:v>
                </c:pt>
                <c:pt idx="104">
                  <c:v>324.42</c:v>
                </c:pt>
                <c:pt idx="105">
                  <c:v>325</c:v>
                </c:pt>
                <c:pt idx="106">
                  <c:v>324.08999999999997</c:v>
                </c:pt>
                <c:pt idx="107">
                  <c:v>322.54000000000002</c:v>
                </c:pt>
                <c:pt idx="108">
                  <c:v>320.92</c:v>
                </c:pt>
                <c:pt idx="109">
                  <c:v>319.25</c:v>
                </c:pt>
                <c:pt idx="110">
                  <c:v>319.39</c:v>
                </c:pt>
                <c:pt idx="111">
                  <c:v>320.73</c:v>
                </c:pt>
                <c:pt idx="112">
                  <c:v>321.95999999999998</c:v>
                </c:pt>
                <c:pt idx="113">
                  <c:v>322.57</c:v>
                </c:pt>
                <c:pt idx="114">
                  <c:v>323.14999999999998</c:v>
                </c:pt>
                <c:pt idx="115">
                  <c:v>323.89</c:v>
                </c:pt>
                <c:pt idx="116">
                  <c:v>325.02</c:v>
                </c:pt>
                <c:pt idx="117">
                  <c:v>325.57</c:v>
                </c:pt>
                <c:pt idx="118">
                  <c:v>325.36</c:v>
                </c:pt>
                <c:pt idx="119">
                  <c:v>324.14</c:v>
                </c:pt>
                <c:pt idx="120">
                  <c:v>322.11</c:v>
                </c:pt>
                <c:pt idx="121">
                  <c:v>320.33</c:v>
                </c:pt>
                <c:pt idx="122">
                  <c:v>320.25</c:v>
                </c:pt>
                <c:pt idx="123">
                  <c:v>321.32</c:v>
                </c:pt>
                <c:pt idx="124">
                  <c:v>322.89</c:v>
                </c:pt>
                <c:pt idx="125">
                  <c:v>324</c:v>
                </c:pt>
                <c:pt idx="126">
                  <c:v>324.41000000000003</c:v>
                </c:pt>
                <c:pt idx="127">
                  <c:v>325.63</c:v>
                </c:pt>
                <c:pt idx="128">
                  <c:v>326.66000000000003</c:v>
                </c:pt>
                <c:pt idx="129">
                  <c:v>327.38</c:v>
                </c:pt>
                <c:pt idx="130">
                  <c:v>326.70999999999998</c:v>
                </c:pt>
                <c:pt idx="131">
                  <c:v>325.88</c:v>
                </c:pt>
                <c:pt idx="132">
                  <c:v>323.66000000000003</c:v>
                </c:pt>
                <c:pt idx="133">
                  <c:v>322.38</c:v>
                </c:pt>
                <c:pt idx="134">
                  <c:v>321.77999999999997</c:v>
                </c:pt>
                <c:pt idx="135">
                  <c:v>322.85000000000002</c:v>
                </c:pt>
                <c:pt idx="136">
                  <c:v>324.12</c:v>
                </c:pt>
                <c:pt idx="137">
                  <c:v>325.06</c:v>
                </c:pt>
                <c:pt idx="138">
                  <c:v>325.98</c:v>
                </c:pt>
                <c:pt idx="139">
                  <c:v>326.93</c:v>
                </c:pt>
                <c:pt idx="140">
                  <c:v>328.13</c:v>
                </c:pt>
                <c:pt idx="141">
                  <c:v>328.08</c:v>
                </c:pt>
                <c:pt idx="142">
                  <c:v>327.67</c:v>
                </c:pt>
                <c:pt idx="143">
                  <c:v>326.33999999999997</c:v>
                </c:pt>
                <c:pt idx="144">
                  <c:v>324.69</c:v>
                </c:pt>
                <c:pt idx="145">
                  <c:v>323.10000000000002</c:v>
                </c:pt>
                <c:pt idx="146">
                  <c:v>323.06</c:v>
                </c:pt>
                <c:pt idx="147">
                  <c:v>324.01</c:v>
                </c:pt>
                <c:pt idx="148">
                  <c:v>325.13</c:v>
                </c:pt>
                <c:pt idx="149">
                  <c:v>326.17</c:v>
                </c:pt>
                <c:pt idx="150">
                  <c:v>326.68</c:v>
                </c:pt>
                <c:pt idx="151">
                  <c:v>327.17</c:v>
                </c:pt>
                <c:pt idx="152">
                  <c:v>327.79</c:v>
                </c:pt>
                <c:pt idx="153">
                  <c:v>328.93</c:v>
                </c:pt>
                <c:pt idx="154">
                  <c:v>328.57</c:v>
                </c:pt>
                <c:pt idx="155">
                  <c:v>327.36</c:v>
                </c:pt>
                <c:pt idx="156">
                  <c:v>325.43</c:v>
                </c:pt>
                <c:pt idx="157">
                  <c:v>323.36</c:v>
                </c:pt>
                <c:pt idx="158">
                  <c:v>323.56</c:v>
                </c:pt>
                <c:pt idx="159">
                  <c:v>324.8</c:v>
                </c:pt>
                <c:pt idx="160">
                  <c:v>326.01</c:v>
                </c:pt>
                <c:pt idx="161">
                  <c:v>326.77</c:v>
                </c:pt>
                <c:pt idx="162">
                  <c:v>327.63</c:v>
                </c:pt>
                <c:pt idx="163">
                  <c:v>327.75</c:v>
                </c:pt>
                <c:pt idx="164">
                  <c:v>329.72</c:v>
                </c:pt>
                <c:pt idx="165">
                  <c:v>330.07</c:v>
                </c:pt>
                <c:pt idx="166">
                  <c:v>329.09</c:v>
                </c:pt>
                <c:pt idx="167">
                  <c:v>328.04</c:v>
                </c:pt>
                <c:pt idx="168">
                  <c:v>326.32</c:v>
                </c:pt>
                <c:pt idx="169">
                  <c:v>324.83999999999997</c:v>
                </c:pt>
                <c:pt idx="170">
                  <c:v>325.2</c:v>
                </c:pt>
                <c:pt idx="171">
                  <c:v>326.5</c:v>
                </c:pt>
                <c:pt idx="172">
                  <c:v>327.55</c:v>
                </c:pt>
                <c:pt idx="173">
                  <c:v>328.55</c:v>
                </c:pt>
                <c:pt idx="174">
                  <c:v>329.56</c:v>
                </c:pt>
                <c:pt idx="175">
                  <c:v>330.3</c:v>
                </c:pt>
                <c:pt idx="176">
                  <c:v>331.5</c:v>
                </c:pt>
                <c:pt idx="177">
                  <c:v>332.48</c:v>
                </c:pt>
                <c:pt idx="178">
                  <c:v>332.07</c:v>
                </c:pt>
                <c:pt idx="179">
                  <c:v>330.87</c:v>
                </c:pt>
                <c:pt idx="180">
                  <c:v>329.31</c:v>
                </c:pt>
                <c:pt idx="181">
                  <c:v>327.51</c:v>
                </c:pt>
                <c:pt idx="182">
                  <c:v>327.18</c:v>
                </c:pt>
                <c:pt idx="183">
                  <c:v>328.16</c:v>
                </c:pt>
                <c:pt idx="184">
                  <c:v>328.64</c:v>
                </c:pt>
                <c:pt idx="185">
                  <c:v>329.35</c:v>
                </c:pt>
                <c:pt idx="186">
                  <c:v>330.71</c:v>
                </c:pt>
                <c:pt idx="187">
                  <c:v>331.48</c:v>
                </c:pt>
                <c:pt idx="188">
                  <c:v>332.65</c:v>
                </c:pt>
                <c:pt idx="189">
                  <c:v>333.09</c:v>
                </c:pt>
                <c:pt idx="190">
                  <c:v>332.25</c:v>
                </c:pt>
                <c:pt idx="191">
                  <c:v>331.18</c:v>
                </c:pt>
                <c:pt idx="192">
                  <c:v>329.39</c:v>
                </c:pt>
                <c:pt idx="193">
                  <c:v>327.43</c:v>
                </c:pt>
                <c:pt idx="194">
                  <c:v>327.37</c:v>
                </c:pt>
                <c:pt idx="195">
                  <c:v>328.46</c:v>
                </c:pt>
                <c:pt idx="196">
                  <c:v>329.57</c:v>
                </c:pt>
                <c:pt idx="197">
                  <c:v>330.4</c:v>
                </c:pt>
                <c:pt idx="198">
                  <c:v>331.4</c:v>
                </c:pt>
                <c:pt idx="199">
                  <c:v>332.04</c:v>
                </c:pt>
                <c:pt idx="200">
                  <c:v>333.31</c:v>
                </c:pt>
                <c:pt idx="201">
                  <c:v>333.97</c:v>
                </c:pt>
                <c:pt idx="202">
                  <c:v>333.6</c:v>
                </c:pt>
                <c:pt idx="203">
                  <c:v>331.9</c:v>
                </c:pt>
                <c:pt idx="204">
                  <c:v>330.06</c:v>
                </c:pt>
                <c:pt idx="205">
                  <c:v>328.56</c:v>
                </c:pt>
                <c:pt idx="206">
                  <c:v>328.34</c:v>
                </c:pt>
                <c:pt idx="207">
                  <c:v>329.49</c:v>
                </c:pt>
                <c:pt idx="208">
                  <c:v>330.76</c:v>
                </c:pt>
                <c:pt idx="209">
                  <c:v>331.75</c:v>
                </c:pt>
                <c:pt idx="210">
                  <c:v>332.57</c:v>
                </c:pt>
                <c:pt idx="211">
                  <c:v>333.5</c:v>
                </c:pt>
                <c:pt idx="212">
                  <c:v>334.58</c:v>
                </c:pt>
                <c:pt idx="213">
                  <c:v>334.88</c:v>
                </c:pt>
                <c:pt idx="214">
                  <c:v>334.33</c:v>
                </c:pt>
                <c:pt idx="215">
                  <c:v>333.05</c:v>
                </c:pt>
                <c:pt idx="216">
                  <c:v>330.94</c:v>
                </c:pt>
                <c:pt idx="217">
                  <c:v>329.3</c:v>
                </c:pt>
                <c:pt idx="218">
                  <c:v>328.94</c:v>
                </c:pt>
                <c:pt idx="219">
                  <c:v>330.31</c:v>
                </c:pt>
                <c:pt idx="220">
                  <c:v>331.68</c:v>
                </c:pt>
                <c:pt idx="221">
                  <c:v>332.93</c:v>
                </c:pt>
                <c:pt idx="222">
                  <c:v>333.42</c:v>
                </c:pt>
                <c:pt idx="223">
                  <c:v>334.7</c:v>
                </c:pt>
                <c:pt idx="224">
                  <c:v>336.07</c:v>
                </c:pt>
                <c:pt idx="225">
                  <c:v>336.75</c:v>
                </c:pt>
                <c:pt idx="226">
                  <c:v>336.27</c:v>
                </c:pt>
                <c:pt idx="227">
                  <c:v>334.92</c:v>
                </c:pt>
                <c:pt idx="228">
                  <c:v>332.75</c:v>
                </c:pt>
                <c:pt idx="229">
                  <c:v>331.59</c:v>
                </c:pt>
                <c:pt idx="230">
                  <c:v>331.16</c:v>
                </c:pt>
                <c:pt idx="231">
                  <c:v>332.4</c:v>
                </c:pt>
                <c:pt idx="232">
                  <c:v>333.85</c:v>
                </c:pt>
                <c:pt idx="233">
                  <c:v>334.97</c:v>
                </c:pt>
                <c:pt idx="234">
                  <c:v>335.39</c:v>
                </c:pt>
                <c:pt idx="235">
                  <c:v>336.64</c:v>
                </c:pt>
                <c:pt idx="236">
                  <c:v>337.76</c:v>
                </c:pt>
                <c:pt idx="237">
                  <c:v>338.01</c:v>
                </c:pt>
                <c:pt idx="238">
                  <c:v>337.9</c:v>
                </c:pt>
                <c:pt idx="239">
                  <c:v>336.54</c:v>
                </c:pt>
                <c:pt idx="240">
                  <c:v>334.68</c:v>
                </c:pt>
                <c:pt idx="241">
                  <c:v>332.76</c:v>
                </c:pt>
                <c:pt idx="242">
                  <c:v>332.55</c:v>
                </c:pt>
                <c:pt idx="243">
                  <c:v>333.92</c:v>
                </c:pt>
                <c:pt idx="244">
                  <c:v>334.95</c:v>
                </c:pt>
                <c:pt idx="245">
                  <c:v>336.23</c:v>
                </c:pt>
                <c:pt idx="246">
                  <c:v>336.76</c:v>
                </c:pt>
                <c:pt idx="247">
                  <c:v>337.96</c:v>
                </c:pt>
                <c:pt idx="248">
                  <c:v>338.88</c:v>
                </c:pt>
                <c:pt idx="249">
                  <c:v>339.47</c:v>
                </c:pt>
                <c:pt idx="250">
                  <c:v>339.29</c:v>
                </c:pt>
                <c:pt idx="251">
                  <c:v>337.73</c:v>
                </c:pt>
                <c:pt idx="252">
                  <c:v>336.09</c:v>
                </c:pt>
                <c:pt idx="253">
                  <c:v>333.92</c:v>
                </c:pt>
                <c:pt idx="254">
                  <c:v>333.86</c:v>
                </c:pt>
                <c:pt idx="255">
                  <c:v>335.29</c:v>
                </c:pt>
                <c:pt idx="256">
                  <c:v>336.73</c:v>
                </c:pt>
                <c:pt idx="257">
                  <c:v>338.01</c:v>
                </c:pt>
                <c:pt idx="258">
                  <c:v>338.36</c:v>
                </c:pt>
                <c:pt idx="259">
                  <c:v>340.07</c:v>
                </c:pt>
                <c:pt idx="260">
                  <c:v>340.76</c:v>
                </c:pt>
                <c:pt idx="261">
                  <c:v>341.47</c:v>
                </c:pt>
                <c:pt idx="262">
                  <c:v>341.17</c:v>
                </c:pt>
                <c:pt idx="263">
                  <c:v>339.56</c:v>
                </c:pt>
                <c:pt idx="264">
                  <c:v>337.6</c:v>
                </c:pt>
                <c:pt idx="265">
                  <c:v>335.88</c:v>
                </c:pt>
                <c:pt idx="266">
                  <c:v>336.02</c:v>
                </c:pt>
                <c:pt idx="267">
                  <c:v>337.1</c:v>
                </c:pt>
                <c:pt idx="268">
                  <c:v>338.21</c:v>
                </c:pt>
                <c:pt idx="269">
                  <c:v>339.24</c:v>
                </c:pt>
                <c:pt idx="270">
                  <c:v>340.48</c:v>
                </c:pt>
                <c:pt idx="271">
                  <c:v>341.38</c:v>
                </c:pt>
                <c:pt idx="272">
                  <c:v>342.5</c:v>
                </c:pt>
                <c:pt idx="273">
                  <c:v>342.91</c:v>
                </c:pt>
                <c:pt idx="274">
                  <c:v>342.25</c:v>
                </c:pt>
                <c:pt idx="275">
                  <c:v>340.49</c:v>
                </c:pt>
                <c:pt idx="276">
                  <c:v>338.43</c:v>
                </c:pt>
                <c:pt idx="277">
                  <c:v>336.69</c:v>
                </c:pt>
                <c:pt idx="278">
                  <c:v>336.86</c:v>
                </c:pt>
                <c:pt idx="279">
                  <c:v>338.36</c:v>
                </c:pt>
                <c:pt idx="280">
                  <c:v>339.61</c:v>
                </c:pt>
                <c:pt idx="281">
                  <c:v>340.75</c:v>
                </c:pt>
                <c:pt idx="282">
                  <c:v>341.61</c:v>
                </c:pt>
                <c:pt idx="283">
                  <c:v>342.7</c:v>
                </c:pt>
                <c:pt idx="284">
                  <c:v>343.57</c:v>
                </c:pt>
                <c:pt idx="285">
                  <c:v>344.14</c:v>
                </c:pt>
                <c:pt idx="286">
                  <c:v>343.35</c:v>
                </c:pt>
                <c:pt idx="287">
                  <c:v>342.06</c:v>
                </c:pt>
                <c:pt idx="288">
                  <c:v>339.81</c:v>
                </c:pt>
                <c:pt idx="289">
                  <c:v>337.98</c:v>
                </c:pt>
                <c:pt idx="290">
                  <c:v>337.86</c:v>
                </c:pt>
                <c:pt idx="291">
                  <c:v>339.26</c:v>
                </c:pt>
                <c:pt idx="292">
                  <c:v>340.49</c:v>
                </c:pt>
                <c:pt idx="293">
                  <c:v>341.38</c:v>
                </c:pt>
                <c:pt idx="294">
                  <c:v>342.52</c:v>
                </c:pt>
                <c:pt idx="295">
                  <c:v>343.1</c:v>
                </c:pt>
                <c:pt idx="296">
                  <c:v>344.94</c:v>
                </c:pt>
                <c:pt idx="297">
                  <c:v>345.76</c:v>
                </c:pt>
                <c:pt idx="298">
                  <c:v>345.32</c:v>
                </c:pt>
                <c:pt idx="299">
                  <c:v>343.98</c:v>
                </c:pt>
                <c:pt idx="300">
                  <c:v>342.38</c:v>
                </c:pt>
                <c:pt idx="301">
                  <c:v>339.87</c:v>
                </c:pt>
                <c:pt idx="302">
                  <c:v>339.99</c:v>
                </c:pt>
                <c:pt idx="303">
                  <c:v>341.15</c:v>
                </c:pt>
                <c:pt idx="304">
                  <c:v>342.99</c:v>
                </c:pt>
                <c:pt idx="305">
                  <c:v>343.7</c:v>
                </c:pt>
                <c:pt idx="306">
                  <c:v>344.5</c:v>
                </c:pt>
                <c:pt idx="307">
                  <c:v>345.28</c:v>
                </c:pt>
                <c:pt idx="308">
                  <c:v>347.05</c:v>
                </c:pt>
                <c:pt idx="309">
                  <c:v>347.43</c:v>
                </c:pt>
                <c:pt idx="310">
                  <c:v>346.8</c:v>
                </c:pt>
                <c:pt idx="311">
                  <c:v>345.39</c:v>
                </c:pt>
                <c:pt idx="312">
                  <c:v>343.28</c:v>
                </c:pt>
                <c:pt idx="313">
                  <c:v>341.07</c:v>
                </c:pt>
                <c:pt idx="314">
                  <c:v>341.35</c:v>
                </c:pt>
                <c:pt idx="315">
                  <c:v>342.98</c:v>
                </c:pt>
                <c:pt idx="316">
                  <c:v>344.22</c:v>
                </c:pt>
                <c:pt idx="317">
                  <c:v>344.97</c:v>
                </c:pt>
                <c:pt idx="318">
                  <c:v>345.99</c:v>
                </c:pt>
                <c:pt idx="319">
                  <c:v>347.42</c:v>
                </c:pt>
                <c:pt idx="320">
                  <c:v>348.35</c:v>
                </c:pt>
                <c:pt idx="321">
                  <c:v>348.93</c:v>
                </c:pt>
                <c:pt idx="322">
                  <c:v>348.25</c:v>
                </c:pt>
                <c:pt idx="323">
                  <c:v>346.56</c:v>
                </c:pt>
                <c:pt idx="324">
                  <c:v>344.67</c:v>
                </c:pt>
                <c:pt idx="325">
                  <c:v>343.09</c:v>
                </c:pt>
                <c:pt idx="326">
                  <c:v>342.8</c:v>
                </c:pt>
                <c:pt idx="327">
                  <c:v>344.24</c:v>
                </c:pt>
                <c:pt idx="328">
                  <c:v>345.56</c:v>
                </c:pt>
                <c:pt idx="329">
                  <c:v>346.3</c:v>
                </c:pt>
                <c:pt idx="330">
                  <c:v>346.95</c:v>
                </c:pt>
                <c:pt idx="331">
                  <c:v>347.85</c:v>
                </c:pt>
                <c:pt idx="332">
                  <c:v>349.55</c:v>
                </c:pt>
                <c:pt idx="333">
                  <c:v>350.22</c:v>
                </c:pt>
                <c:pt idx="334">
                  <c:v>349.55</c:v>
                </c:pt>
                <c:pt idx="335">
                  <c:v>347.94</c:v>
                </c:pt>
                <c:pt idx="336">
                  <c:v>345.9</c:v>
                </c:pt>
                <c:pt idx="337">
                  <c:v>344.85</c:v>
                </c:pt>
                <c:pt idx="338">
                  <c:v>344.17</c:v>
                </c:pt>
                <c:pt idx="339">
                  <c:v>345.66</c:v>
                </c:pt>
                <c:pt idx="340">
                  <c:v>346.9</c:v>
                </c:pt>
                <c:pt idx="341">
                  <c:v>348.02</c:v>
                </c:pt>
                <c:pt idx="342">
                  <c:v>348.48</c:v>
                </c:pt>
                <c:pt idx="343">
                  <c:v>349.42</c:v>
                </c:pt>
                <c:pt idx="344">
                  <c:v>350.98</c:v>
                </c:pt>
                <c:pt idx="345">
                  <c:v>351.85</c:v>
                </c:pt>
                <c:pt idx="346">
                  <c:v>351.26</c:v>
                </c:pt>
                <c:pt idx="347">
                  <c:v>349.51</c:v>
                </c:pt>
                <c:pt idx="348">
                  <c:v>348.1</c:v>
                </c:pt>
                <c:pt idx="349">
                  <c:v>346.45</c:v>
                </c:pt>
                <c:pt idx="350">
                  <c:v>346.36</c:v>
                </c:pt>
                <c:pt idx="351">
                  <c:v>347.81</c:v>
                </c:pt>
                <c:pt idx="352">
                  <c:v>348.96</c:v>
                </c:pt>
                <c:pt idx="353">
                  <c:v>350.43</c:v>
                </c:pt>
                <c:pt idx="354">
                  <c:v>351.73</c:v>
                </c:pt>
                <c:pt idx="355">
                  <c:v>352.22</c:v>
                </c:pt>
                <c:pt idx="356">
                  <c:v>353.59</c:v>
                </c:pt>
                <c:pt idx="357">
                  <c:v>354.22</c:v>
                </c:pt>
                <c:pt idx="358">
                  <c:v>353.8</c:v>
                </c:pt>
                <c:pt idx="359">
                  <c:v>352.38</c:v>
                </c:pt>
                <c:pt idx="360">
                  <c:v>350.43</c:v>
                </c:pt>
                <c:pt idx="361">
                  <c:v>348.73</c:v>
                </c:pt>
                <c:pt idx="362">
                  <c:v>348.88</c:v>
                </c:pt>
                <c:pt idx="363">
                  <c:v>350.07</c:v>
                </c:pt>
                <c:pt idx="364">
                  <c:v>351.34</c:v>
                </c:pt>
                <c:pt idx="365">
                  <c:v>352.76</c:v>
                </c:pt>
                <c:pt idx="366">
                  <c:v>353.07</c:v>
                </c:pt>
                <c:pt idx="367">
                  <c:v>353.68</c:v>
                </c:pt>
                <c:pt idx="368">
                  <c:v>355.42</c:v>
                </c:pt>
                <c:pt idx="369">
                  <c:v>355.67</c:v>
                </c:pt>
                <c:pt idx="370">
                  <c:v>355.12</c:v>
                </c:pt>
                <c:pt idx="371">
                  <c:v>353.9</c:v>
                </c:pt>
                <c:pt idx="372">
                  <c:v>351.67</c:v>
                </c:pt>
                <c:pt idx="373">
                  <c:v>349.81</c:v>
                </c:pt>
                <c:pt idx="374">
                  <c:v>349.99</c:v>
                </c:pt>
                <c:pt idx="375">
                  <c:v>351.3</c:v>
                </c:pt>
                <c:pt idx="376">
                  <c:v>352.52</c:v>
                </c:pt>
                <c:pt idx="377">
                  <c:v>353.66</c:v>
                </c:pt>
                <c:pt idx="378">
                  <c:v>354.7</c:v>
                </c:pt>
                <c:pt idx="379">
                  <c:v>355.38</c:v>
                </c:pt>
                <c:pt idx="380">
                  <c:v>356.2</c:v>
                </c:pt>
                <c:pt idx="381">
                  <c:v>357.16</c:v>
                </c:pt>
                <c:pt idx="382">
                  <c:v>356.23</c:v>
                </c:pt>
                <c:pt idx="383">
                  <c:v>354.81</c:v>
                </c:pt>
                <c:pt idx="384">
                  <c:v>352.91</c:v>
                </c:pt>
                <c:pt idx="385">
                  <c:v>350.96</c:v>
                </c:pt>
                <c:pt idx="386">
                  <c:v>351.18</c:v>
                </c:pt>
                <c:pt idx="387">
                  <c:v>352.83</c:v>
                </c:pt>
                <c:pt idx="388">
                  <c:v>354.21</c:v>
                </c:pt>
                <c:pt idx="389">
                  <c:v>354.72</c:v>
                </c:pt>
                <c:pt idx="390">
                  <c:v>355.75</c:v>
                </c:pt>
                <c:pt idx="391">
                  <c:v>357.16</c:v>
                </c:pt>
                <c:pt idx="392">
                  <c:v>358.6</c:v>
                </c:pt>
                <c:pt idx="393">
                  <c:v>359.34</c:v>
                </c:pt>
                <c:pt idx="394">
                  <c:v>358.24</c:v>
                </c:pt>
                <c:pt idx="395">
                  <c:v>356.17</c:v>
                </c:pt>
                <c:pt idx="396">
                  <c:v>354.01</c:v>
                </c:pt>
                <c:pt idx="397">
                  <c:v>352.15</c:v>
                </c:pt>
                <c:pt idx="398">
                  <c:v>352.21</c:v>
                </c:pt>
                <c:pt idx="399">
                  <c:v>353.75</c:v>
                </c:pt>
                <c:pt idx="400">
                  <c:v>354.99</c:v>
                </c:pt>
                <c:pt idx="401">
                  <c:v>355.99</c:v>
                </c:pt>
                <c:pt idx="402">
                  <c:v>356.72</c:v>
                </c:pt>
                <c:pt idx="403">
                  <c:v>357.81</c:v>
                </c:pt>
                <c:pt idx="404">
                  <c:v>359.15</c:v>
                </c:pt>
                <c:pt idx="405">
                  <c:v>359.66</c:v>
                </c:pt>
                <c:pt idx="406">
                  <c:v>359.25</c:v>
                </c:pt>
                <c:pt idx="407">
                  <c:v>357.02</c:v>
                </c:pt>
                <c:pt idx="408">
                  <c:v>355</c:v>
                </c:pt>
                <c:pt idx="409">
                  <c:v>353.01</c:v>
                </c:pt>
                <c:pt idx="410">
                  <c:v>353.31</c:v>
                </c:pt>
                <c:pt idx="411">
                  <c:v>354.16</c:v>
                </c:pt>
                <c:pt idx="412">
                  <c:v>355.4</c:v>
                </c:pt>
                <c:pt idx="413">
                  <c:v>356.7</c:v>
                </c:pt>
                <c:pt idx="414">
                  <c:v>357.17</c:v>
                </c:pt>
                <c:pt idx="415">
                  <c:v>358.38</c:v>
                </c:pt>
                <c:pt idx="416">
                  <c:v>359.46</c:v>
                </c:pt>
                <c:pt idx="417">
                  <c:v>360.28</c:v>
                </c:pt>
                <c:pt idx="418">
                  <c:v>359.6</c:v>
                </c:pt>
                <c:pt idx="419">
                  <c:v>357.57</c:v>
                </c:pt>
                <c:pt idx="420">
                  <c:v>355.52</c:v>
                </c:pt>
                <c:pt idx="421">
                  <c:v>353.69</c:v>
                </c:pt>
                <c:pt idx="422">
                  <c:v>353.99</c:v>
                </c:pt>
                <c:pt idx="423">
                  <c:v>355.34</c:v>
                </c:pt>
                <c:pt idx="424">
                  <c:v>356.8</c:v>
                </c:pt>
                <c:pt idx="425">
                  <c:v>358.37</c:v>
                </c:pt>
                <c:pt idx="426">
                  <c:v>358.91</c:v>
                </c:pt>
                <c:pt idx="427">
                  <c:v>359.97</c:v>
                </c:pt>
                <c:pt idx="428">
                  <c:v>361.26</c:v>
                </c:pt>
                <c:pt idx="429">
                  <c:v>361.69</c:v>
                </c:pt>
                <c:pt idx="430">
                  <c:v>360.94</c:v>
                </c:pt>
                <c:pt idx="431">
                  <c:v>359.55</c:v>
                </c:pt>
                <c:pt idx="432">
                  <c:v>357.48</c:v>
                </c:pt>
                <c:pt idx="433">
                  <c:v>355.84</c:v>
                </c:pt>
                <c:pt idx="434">
                  <c:v>356</c:v>
                </c:pt>
                <c:pt idx="435">
                  <c:v>357.58</c:v>
                </c:pt>
                <c:pt idx="436">
                  <c:v>359.04</c:v>
                </c:pt>
                <c:pt idx="437">
                  <c:v>359.97</c:v>
                </c:pt>
                <c:pt idx="438">
                  <c:v>361</c:v>
                </c:pt>
                <c:pt idx="439">
                  <c:v>361.63</c:v>
                </c:pt>
                <c:pt idx="440">
                  <c:v>363.45</c:v>
                </c:pt>
                <c:pt idx="441">
                  <c:v>363.8</c:v>
                </c:pt>
                <c:pt idx="442">
                  <c:v>363.26</c:v>
                </c:pt>
                <c:pt idx="443">
                  <c:v>361.89</c:v>
                </c:pt>
                <c:pt idx="444">
                  <c:v>359.45</c:v>
                </c:pt>
                <c:pt idx="445">
                  <c:v>358.05</c:v>
                </c:pt>
                <c:pt idx="446">
                  <c:v>357.75</c:v>
                </c:pt>
                <c:pt idx="447">
                  <c:v>359.56</c:v>
                </c:pt>
                <c:pt idx="448">
                  <c:v>360.7</c:v>
                </c:pt>
                <c:pt idx="449">
                  <c:v>362.05</c:v>
                </c:pt>
                <c:pt idx="450">
                  <c:v>363.24</c:v>
                </c:pt>
                <c:pt idx="451">
                  <c:v>364.02</c:v>
                </c:pt>
                <c:pt idx="452">
                  <c:v>364.71</c:v>
                </c:pt>
                <c:pt idx="453">
                  <c:v>365.42</c:v>
                </c:pt>
                <c:pt idx="454">
                  <c:v>364.97</c:v>
                </c:pt>
                <c:pt idx="455">
                  <c:v>363.65</c:v>
                </c:pt>
                <c:pt idx="456">
                  <c:v>361.48</c:v>
                </c:pt>
                <c:pt idx="457">
                  <c:v>359.45</c:v>
                </c:pt>
                <c:pt idx="458">
                  <c:v>359.61</c:v>
                </c:pt>
                <c:pt idx="459">
                  <c:v>360.76</c:v>
                </c:pt>
                <c:pt idx="460">
                  <c:v>362.33</c:v>
                </c:pt>
                <c:pt idx="461">
                  <c:v>363.19</c:v>
                </c:pt>
                <c:pt idx="462">
                  <c:v>363.99</c:v>
                </c:pt>
                <c:pt idx="463">
                  <c:v>364.56</c:v>
                </c:pt>
                <c:pt idx="464">
                  <c:v>366.36</c:v>
                </c:pt>
                <c:pt idx="465">
                  <c:v>366.8</c:v>
                </c:pt>
                <c:pt idx="466">
                  <c:v>365.63</c:v>
                </c:pt>
                <c:pt idx="467">
                  <c:v>364.47</c:v>
                </c:pt>
                <c:pt idx="468">
                  <c:v>362.5</c:v>
                </c:pt>
                <c:pt idx="469">
                  <c:v>360.19</c:v>
                </c:pt>
                <c:pt idx="470">
                  <c:v>360.78</c:v>
                </c:pt>
                <c:pt idx="471">
                  <c:v>362.43</c:v>
                </c:pt>
                <c:pt idx="472">
                  <c:v>364.28</c:v>
                </c:pt>
                <c:pt idx="473">
                  <c:v>365.33</c:v>
                </c:pt>
                <c:pt idx="474">
                  <c:v>366.15</c:v>
                </c:pt>
                <c:pt idx="475">
                  <c:v>367.31</c:v>
                </c:pt>
                <c:pt idx="476">
                  <c:v>368.61</c:v>
                </c:pt>
                <c:pt idx="477">
                  <c:v>369.3</c:v>
                </c:pt>
                <c:pt idx="478">
                  <c:v>368.88</c:v>
                </c:pt>
                <c:pt idx="479">
                  <c:v>367.64</c:v>
                </c:pt>
                <c:pt idx="480">
                  <c:v>365.78</c:v>
                </c:pt>
                <c:pt idx="481">
                  <c:v>363.9</c:v>
                </c:pt>
                <c:pt idx="482">
                  <c:v>364.23</c:v>
                </c:pt>
                <c:pt idx="483">
                  <c:v>365.46</c:v>
                </c:pt>
                <c:pt idx="484">
                  <c:v>366.97</c:v>
                </c:pt>
                <c:pt idx="485">
                  <c:v>368.15</c:v>
                </c:pt>
                <c:pt idx="486">
                  <c:v>368.87</c:v>
                </c:pt>
                <c:pt idx="487">
                  <c:v>369.59</c:v>
                </c:pt>
                <c:pt idx="488">
                  <c:v>371.14</c:v>
                </c:pt>
                <c:pt idx="489">
                  <c:v>371</c:v>
                </c:pt>
                <c:pt idx="490">
                  <c:v>370.35</c:v>
                </c:pt>
                <c:pt idx="491">
                  <c:v>369.27</c:v>
                </c:pt>
                <c:pt idx="492">
                  <c:v>366.93</c:v>
                </c:pt>
                <c:pt idx="493">
                  <c:v>364.64</c:v>
                </c:pt>
                <c:pt idx="494">
                  <c:v>365.13</c:v>
                </c:pt>
                <c:pt idx="495">
                  <c:v>366.68</c:v>
                </c:pt>
                <c:pt idx="496">
                  <c:v>368</c:v>
                </c:pt>
                <c:pt idx="497">
                  <c:v>369.14</c:v>
                </c:pt>
                <c:pt idx="498">
                  <c:v>369.46</c:v>
                </c:pt>
                <c:pt idx="499">
                  <c:v>370.51</c:v>
                </c:pt>
                <c:pt idx="500">
                  <c:v>371.66</c:v>
                </c:pt>
                <c:pt idx="501">
                  <c:v>371.83</c:v>
                </c:pt>
                <c:pt idx="502">
                  <c:v>371.69</c:v>
                </c:pt>
                <c:pt idx="503">
                  <c:v>370.12</c:v>
                </c:pt>
                <c:pt idx="504">
                  <c:v>368.12</c:v>
                </c:pt>
                <c:pt idx="505">
                  <c:v>366.62</c:v>
                </c:pt>
                <c:pt idx="506">
                  <c:v>366.73</c:v>
                </c:pt>
                <c:pt idx="507">
                  <c:v>368.29</c:v>
                </c:pt>
                <c:pt idx="508">
                  <c:v>369.52</c:v>
                </c:pt>
                <c:pt idx="509">
                  <c:v>370.28</c:v>
                </c:pt>
                <c:pt idx="510">
                  <c:v>371.5</c:v>
                </c:pt>
                <c:pt idx="511">
                  <c:v>372.12</c:v>
                </c:pt>
                <c:pt idx="512">
                  <c:v>372.86</c:v>
                </c:pt>
                <c:pt idx="513">
                  <c:v>374.02</c:v>
                </c:pt>
                <c:pt idx="514">
                  <c:v>373.31</c:v>
                </c:pt>
                <c:pt idx="515">
                  <c:v>371.62</c:v>
                </c:pt>
                <c:pt idx="516">
                  <c:v>369.55</c:v>
                </c:pt>
                <c:pt idx="517">
                  <c:v>367.96</c:v>
                </c:pt>
                <c:pt idx="518">
                  <c:v>368.09</c:v>
                </c:pt>
                <c:pt idx="519">
                  <c:v>369.68</c:v>
                </c:pt>
                <c:pt idx="520">
                  <c:v>371.24</c:v>
                </c:pt>
                <c:pt idx="521">
                  <c:v>372.44</c:v>
                </c:pt>
                <c:pt idx="522">
                  <c:v>373.08</c:v>
                </c:pt>
                <c:pt idx="523">
                  <c:v>373.52</c:v>
                </c:pt>
                <c:pt idx="524">
                  <c:v>374.85</c:v>
                </c:pt>
                <c:pt idx="525">
                  <c:v>375.55</c:v>
                </c:pt>
                <c:pt idx="526">
                  <c:v>375.4</c:v>
                </c:pt>
                <c:pt idx="527">
                  <c:v>374.02</c:v>
                </c:pt>
                <c:pt idx="528">
                  <c:v>371.48</c:v>
                </c:pt>
                <c:pt idx="529">
                  <c:v>370.7</c:v>
                </c:pt>
                <c:pt idx="530">
                  <c:v>370.25</c:v>
                </c:pt>
                <c:pt idx="531">
                  <c:v>372.08</c:v>
                </c:pt>
                <c:pt idx="532">
                  <c:v>373.78</c:v>
                </c:pt>
                <c:pt idx="533">
                  <c:v>374.68</c:v>
                </c:pt>
                <c:pt idx="534">
                  <c:v>375.62</c:v>
                </c:pt>
                <c:pt idx="535">
                  <c:v>376.11</c:v>
                </c:pt>
                <c:pt idx="536">
                  <c:v>377.65</c:v>
                </c:pt>
                <c:pt idx="537">
                  <c:v>378.35</c:v>
                </c:pt>
                <c:pt idx="538">
                  <c:v>378.13</c:v>
                </c:pt>
                <c:pt idx="539">
                  <c:v>376.6</c:v>
                </c:pt>
                <c:pt idx="540">
                  <c:v>374.48</c:v>
                </c:pt>
                <c:pt idx="541">
                  <c:v>372.98</c:v>
                </c:pt>
                <c:pt idx="542">
                  <c:v>373</c:v>
                </c:pt>
                <c:pt idx="543">
                  <c:v>374.35</c:v>
                </c:pt>
                <c:pt idx="544">
                  <c:v>375.69</c:v>
                </c:pt>
                <c:pt idx="545">
                  <c:v>376.79</c:v>
                </c:pt>
                <c:pt idx="546">
                  <c:v>377.37</c:v>
                </c:pt>
                <c:pt idx="547">
                  <c:v>378.39</c:v>
                </c:pt>
                <c:pt idx="548">
                  <c:v>380.5</c:v>
                </c:pt>
                <c:pt idx="549">
                  <c:v>380.62</c:v>
                </c:pt>
                <c:pt idx="550">
                  <c:v>379.55</c:v>
                </c:pt>
                <c:pt idx="551">
                  <c:v>377.76</c:v>
                </c:pt>
                <c:pt idx="552">
                  <c:v>375.83</c:v>
                </c:pt>
                <c:pt idx="553">
                  <c:v>374.05</c:v>
                </c:pt>
                <c:pt idx="554">
                  <c:v>374.22</c:v>
                </c:pt>
                <c:pt idx="555">
                  <c:v>375.84</c:v>
                </c:pt>
                <c:pt idx="556">
                  <c:v>377.44</c:v>
                </c:pt>
                <c:pt idx="557">
                  <c:v>378.34</c:v>
                </c:pt>
                <c:pt idx="558">
                  <c:v>379.61</c:v>
                </c:pt>
                <c:pt idx="559">
                  <c:v>380.08</c:v>
                </c:pt>
                <c:pt idx="560">
                  <c:v>382.05</c:v>
                </c:pt>
                <c:pt idx="561">
                  <c:v>382.24</c:v>
                </c:pt>
                <c:pt idx="562">
                  <c:v>382.08</c:v>
                </c:pt>
                <c:pt idx="563">
                  <c:v>380.66</c:v>
                </c:pt>
                <c:pt idx="564">
                  <c:v>378.67</c:v>
                </c:pt>
                <c:pt idx="565">
                  <c:v>376.42</c:v>
                </c:pt>
                <c:pt idx="566">
                  <c:v>376.8</c:v>
                </c:pt>
                <c:pt idx="567">
                  <c:v>378.31</c:v>
                </c:pt>
                <c:pt idx="568">
                  <c:v>379.96</c:v>
                </c:pt>
                <c:pt idx="569">
                  <c:v>381.37</c:v>
                </c:pt>
                <c:pt idx="570">
                  <c:v>382.02</c:v>
                </c:pt>
                <c:pt idx="571">
                  <c:v>382.56</c:v>
                </c:pt>
                <c:pt idx="572">
                  <c:v>384.36</c:v>
                </c:pt>
                <c:pt idx="573">
                  <c:v>384.92</c:v>
                </c:pt>
                <c:pt idx="574">
                  <c:v>384.03</c:v>
                </c:pt>
                <c:pt idx="575">
                  <c:v>382.28</c:v>
                </c:pt>
                <c:pt idx="576">
                  <c:v>380.48</c:v>
                </c:pt>
                <c:pt idx="577">
                  <c:v>378.81</c:v>
                </c:pt>
                <c:pt idx="578">
                  <c:v>379.06</c:v>
                </c:pt>
                <c:pt idx="579">
                  <c:v>380.14</c:v>
                </c:pt>
                <c:pt idx="580">
                  <c:v>381.66</c:v>
                </c:pt>
                <c:pt idx="581">
                  <c:v>382.58</c:v>
                </c:pt>
                <c:pt idx="582">
                  <c:v>383.71</c:v>
                </c:pt>
                <c:pt idx="583">
                  <c:v>384.34</c:v>
                </c:pt>
                <c:pt idx="584">
                  <c:v>386.23</c:v>
                </c:pt>
                <c:pt idx="585">
                  <c:v>386.41</c:v>
                </c:pt>
                <c:pt idx="586">
                  <c:v>385.87</c:v>
                </c:pt>
                <c:pt idx="587">
                  <c:v>384.44</c:v>
                </c:pt>
                <c:pt idx="588">
                  <c:v>381.84</c:v>
                </c:pt>
                <c:pt idx="589">
                  <c:v>380.86</c:v>
                </c:pt>
                <c:pt idx="590">
                  <c:v>380.86</c:v>
                </c:pt>
                <c:pt idx="591">
                  <c:v>382.36</c:v>
                </c:pt>
                <c:pt idx="592">
                  <c:v>383.61</c:v>
                </c:pt>
                <c:pt idx="593">
                  <c:v>385.07</c:v>
                </c:pt>
                <c:pt idx="594">
                  <c:v>385.84</c:v>
                </c:pt>
                <c:pt idx="595">
                  <c:v>385.83</c:v>
                </c:pt>
                <c:pt idx="596">
                  <c:v>386.77</c:v>
                </c:pt>
                <c:pt idx="597">
                  <c:v>388.51</c:v>
                </c:pt>
                <c:pt idx="598">
                  <c:v>388.05</c:v>
                </c:pt>
                <c:pt idx="599">
                  <c:v>386.25</c:v>
                </c:pt>
                <c:pt idx="600">
                  <c:v>384.08</c:v>
                </c:pt>
                <c:pt idx="601">
                  <c:v>383.09</c:v>
                </c:pt>
                <c:pt idx="602">
                  <c:v>382.78</c:v>
                </c:pt>
                <c:pt idx="603">
                  <c:v>384.01</c:v>
                </c:pt>
                <c:pt idx="604">
                  <c:v>385.11</c:v>
                </c:pt>
                <c:pt idx="605">
                  <c:v>386.65</c:v>
                </c:pt>
                <c:pt idx="606">
                  <c:v>387.12</c:v>
                </c:pt>
                <c:pt idx="607">
                  <c:v>388.52</c:v>
                </c:pt>
                <c:pt idx="608">
                  <c:v>389.57</c:v>
                </c:pt>
                <c:pt idx="609">
                  <c:v>390.17</c:v>
                </c:pt>
                <c:pt idx="610">
                  <c:v>389.62</c:v>
                </c:pt>
                <c:pt idx="611">
                  <c:v>388.07</c:v>
                </c:pt>
                <c:pt idx="612">
                  <c:v>386.08</c:v>
                </c:pt>
                <c:pt idx="613">
                  <c:v>384.65</c:v>
                </c:pt>
                <c:pt idx="614">
                  <c:v>384.33</c:v>
                </c:pt>
                <c:pt idx="615">
                  <c:v>386.05</c:v>
                </c:pt>
                <c:pt idx="616">
                  <c:v>387.49</c:v>
                </c:pt>
                <c:pt idx="617">
                  <c:v>388.55</c:v>
                </c:pt>
                <c:pt idx="618">
                  <c:v>390.08</c:v>
                </c:pt>
                <c:pt idx="619">
                  <c:v>391.01</c:v>
                </c:pt>
                <c:pt idx="620">
                  <c:v>392.38</c:v>
                </c:pt>
                <c:pt idx="621">
                  <c:v>393.22</c:v>
                </c:pt>
                <c:pt idx="622">
                  <c:v>392.24</c:v>
                </c:pt>
                <c:pt idx="623">
                  <c:v>390.33</c:v>
                </c:pt>
                <c:pt idx="624">
                  <c:v>388.52</c:v>
                </c:pt>
                <c:pt idx="625">
                  <c:v>386.84</c:v>
                </c:pt>
                <c:pt idx="626">
                  <c:v>387.16</c:v>
                </c:pt>
                <c:pt idx="627">
                  <c:v>388.67</c:v>
                </c:pt>
                <c:pt idx="628">
                  <c:v>389.81</c:v>
                </c:pt>
                <c:pt idx="629">
                  <c:v>391.3</c:v>
                </c:pt>
                <c:pt idx="630">
                  <c:v>391.92</c:v>
                </c:pt>
                <c:pt idx="631">
                  <c:v>392.45</c:v>
                </c:pt>
                <c:pt idx="632">
                  <c:v>393.37</c:v>
                </c:pt>
                <c:pt idx="633">
                  <c:v>394.28</c:v>
                </c:pt>
                <c:pt idx="634">
                  <c:v>393.69</c:v>
                </c:pt>
                <c:pt idx="635">
                  <c:v>392.59</c:v>
                </c:pt>
                <c:pt idx="636">
                  <c:v>390.21</c:v>
                </c:pt>
                <c:pt idx="637">
                  <c:v>389</c:v>
                </c:pt>
                <c:pt idx="638">
                  <c:v>388.93</c:v>
                </c:pt>
                <c:pt idx="639">
                  <c:v>390.24</c:v>
                </c:pt>
                <c:pt idx="640">
                  <c:v>391.8</c:v>
                </c:pt>
                <c:pt idx="641">
                  <c:v>393.07</c:v>
                </c:pt>
                <c:pt idx="642">
                  <c:v>393.35</c:v>
                </c:pt>
                <c:pt idx="643">
                  <c:v>394.36</c:v>
                </c:pt>
                <c:pt idx="644">
                  <c:v>396.43</c:v>
                </c:pt>
                <c:pt idx="645">
                  <c:v>396.87</c:v>
                </c:pt>
                <c:pt idx="646">
                  <c:v>395.88</c:v>
                </c:pt>
                <c:pt idx="647">
                  <c:v>394.52</c:v>
                </c:pt>
                <c:pt idx="648">
                  <c:v>392.54</c:v>
                </c:pt>
                <c:pt idx="649">
                  <c:v>391.13</c:v>
                </c:pt>
                <c:pt idx="650">
                  <c:v>391.01</c:v>
                </c:pt>
                <c:pt idx="651">
                  <c:v>392.95</c:v>
                </c:pt>
                <c:pt idx="652">
                  <c:v>394.33</c:v>
                </c:pt>
                <c:pt idx="653">
                  <c:v>395.61</c:v>
                </c:pt>
                <c:pt idx="654">
                  <c:v>396.85</c:v>
                </c:pt>
                <c:pt idx="655">
                  <c:v>397.26</c:v>
                </c:pt>
                <c:pt idx="656">
                  <c:v>398.35</c:v>
                </c:pt>
                <c:pt idx="657">
                  <c:v>399.98</c:v>
                </c:pt>
                <c:pt idx="658">
                  <c:v>398.87</c:v>
                </c:pt>
                <c:pt idx="659">
                  <c:v>397.37</c:v>
                </c:pt>
                <c:pt idx="660">
                  <c:v>395.41</c:v>
                </c:pt>
                <c:pt idx="661">
                  <c:v>393.39</c:v>
                </c:pt>
                <c:pt idx="662">
                  <c:v>393.7</c:v>
                </c:pt>
                <c:pt idx="663">
                  <c:v>395.19</c:v>
                </c:pt>
                <c:pt idx="664">
                  <c:v>396.82</c:v>
                </c:pt>
                <c:pt idx="665">
                  <c:v>397.93</c:v>
                </c:pt>
                <c:pt idx="666">
                  <c:v>398.1</c:v>
                </c:pt>
                <c:pt idx="667">
                  <c:v>399.47</c:v>
                </c:pt>
                <c:pt idx="668">
                  <c:v>401.33</c:v>
                </c:pt>
                <c:pt idx="669">
                  <c:v>401.88</c:v>
                </c:pt>
                <c:pt idx="670">
                  <c:v>401.31</c:v>
                </c:pt>
                <c:pt idx="671">
                  <c:v>399.07</c:v>
                </c:pt>
                <c:pt idx="672">
                  <c:v>397.21</c:v>
                </c:pt>
                <c:pt idx="673">
                  <c:v>395.4</c:v>
                </c:pt>
                <c:pt idx="674">
                  <c:v>395.65</c:v>
                </c:pt>
                <c:pt idx="675">
                  <c:v>397.23</c:v>
                </c:pt>
                <c:pt idx="676">
                  <c:v>398.79</c:v>
                </c:pt>
                <c:pt idx="677">
                  <c:v>399.85</c:v>
                </c:pt>
                <c:pt idx="678">
                  <c:v>400.31</c:v>
                </c:pt>
                <c:pt idx="679">
                  <c:v>401.51</c:v>
                </c:pt>
                <c:pt idx="680">
                  <c:v>403.45</c:v>
                </c:pt>
                <c:pt idx="681">
                  <c:v>404.1</c:v>
                </c:pt>
                <c:pt idx="682">
                  <c:v>402.88</c:v>
                </c:pt>
                <c:pt idx="683">
                  <c:v>401.61</c:v>
                </c:pt>
                <c:pt idx="684">
                  <c:v>399</c:v>
                </c:pt>
                <c:pt idx="685">
                  <c:v>397.5</c:v>
                </c:pt>
                <c:pt idx="686">
                  <c:v>398.28</c:v>
                </c:pt>
                <c:pt idx="687">
                  <c:v>400.24</c:v>
                </c:pt>
                <c:pt idx="688">
                  <c:v>401.89</c:v>
                </c:pt>
                <c:pt idx="689">
                  <c:v>402.65</c:v>
                </c:pt>
                <c:pt idx="690">
                  <c:v>404.16</c:v>
                </c:pt>
                <c:pt idx="691">
                  <c:v>404.85</c:v>
                </c:pt>
                <c:pt idx="692">
                  <c:v>407.57</c:v>
                </c:pt>
                <c:pt idx="693">
                  <c:v>407.66</c:v>
                </c:pt>
                <c:pt idx="694">
                  <c:v>407</c:v>
                </c:pt>
                <c:pt idx="695">
                  <c:v>404.5</c:v>
                </c:pt>
                <c:pt idx="696">
                  <c:v>402.24</c:v>
                </c:pt>
                <c:pt idx="697">
                  <c:v>401.01</c:v>
                </c:pt>
                <c:pt idx="698">
                  <c:v>401.5</c:v>
                </c:pt>
                <c:pt idx="699">
                  <c:v>403.64</c:v>
                </c:pt>
                <c:pt idx="700">
                  <c:v>404.55</c:v>
                </c:pt>
                <c:pt idx="701">
                  <c:v>406.07</c:v>
                </c:pt>
                <c:pt idx="702">
                  <c:v>406.64</c:v>
                </c:pt>
                <c:pt idx="703">
                  <c:v>407.05</c:v>
                </c:pt>
                <c:pt idx="704">
                  <c:v>408.95</c:v>
                </c:pt>
                <c:pt idx="705">
                  <c:v>409.91</c:v>
                </c:pt>
                <c:pt idx="706">
                  <c:v>409.12</c:v>
                </c:pt>
                <c:pt idx="707">
                  <c:v>407.2</c:v>
                </c:pt>
                <c:pt idx="708">
                  <c:v>405.24</c:v>
                </c:pt>
                <c:pt idx="709">
                  <c:v>403.27</c:v>
                </c:pt>
                <c:pt idx="710">
                  <c:v>403.64</c:v>
                </c:pt>
                <c:pt idx="711">
                  <c:v>405.17</c:v>
                </c:pt>
                <c:pt idx="712">
                  <c:v>406.75</c:v>
                </c:pt>
                <c:pt idx="713">
                  <c:v>408.05</c:v>
                </c:pt>
                <c:pt idx="714">
                  <c:v>408.34</c:v>
                </c:pt>
                <c:pt idx="715">
                  <c:v>409.25</c:v>
                </c:pt>
                <c:pt idx="716">
                  <c:v>410.3</c:v>
                </c:pt>
                <c:pt idx="717">
                  <c:v>411.3</c:v>
                </c:pt>
                <c:pt idx="718">
                  <c:v>410.88</c:v>
                </c:pt>
                <c:pt idx="719">
                  <c:v>408.9</c:v>
                </c:pt>
                <c:pt idx="720">
                  <c:v>407.1</c:v>
                </c:pt>
                <c:pt idx="721">
                  <c:v>405.59</c:v>
                </c:pt>
                <c:pt idx="722">
                  <c:v>405.99</c:v>
                </c:pt>
                <c:pt idx="723">
                  <c:v>408.12</c:v>
                </c:pt>
                <c:pt idx="724">
                  <c:v>409.23</c:v>
                </c:pt>
                <c:pt idx="725">
                  <c:v>410.92</c:v>
                </c:pt>
                <c:pt idx="726">
                  <c:v>411.66</c:v>
                </c:pt>
                <c:pt idx="727">
                  <c:v>412</c:v>
                </c:pt>
                <c:pt idx="728">
                  <c:v>413.52</c:v>
                </c:pt>
                <c:pt idx="729">
                  <c:v>414.83</c:v>
                </c:pt>
                <c:pt idx="730">
                  <c:v>413.96</c:v>
                </c:pt>
                <c:pt idx="731">
                  <c:v>411.85</c:v>
                </c:pt>
                <c:pt idx="732">
                  <c:v>410.08</c:v>
                </c:pt>
                <c:pt idx="733">
                  <c:v>408.55</c:v>
                </c:pt>
                <c:pt idx="734">
                  <c:v>408.43</c:v>
                </c:pt>
                <c:pt idx="735">
                  <c:v>410.29</c:v>
                </c:pt>
                <c:pt idx="736">
                  <c:v>411.85</c:v>
                </c:pt>
                <c:pt idx="737">
                  <c:v>413.37</c:v>
                </c:pt>
                <c:pt idx="738">
                  <c:v>414.09</c:v>
                </c:pt>
                <c:pt idx="739">
                  <c:v>414.51</c:v>
                </c:pt>
                <c:pt idx="740">
                  <c:v>416.18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E4-451F-846E-9B3824F56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405640"/>
        <c:axId val="562406000"/>
      </c:scatterChart>
      <c:valAx>
        <c:axId val="562405640"/>
        <c:scaling>
          <c:orientation val="minMax"/>
          <c:max val="44197"/>
          <c:min val="2118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Date (t)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2406000"/>
        <c:crosses val="autoZero"/>
        <c:crossBetween val="midCat"/>
        <c:majorUnit val="3652.5"/>
      </c:valAx>
      <c:valAx>
        <c:axId val="562406000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CO</a:t>
                </a:r>
                <a:r>
                  <a:rPr lang="en-US" altLang="ja-JP" baseline="-25000"/>
                  <a:t>2</a:t>
                </a:r>
                <a:r>
                  <a:rPr lang="en-US" altLang="ja-JP"/>
                  <a:t> (y)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2405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16</xdr:col>
      <xdr:colOff>228600</xdr:colOff>
      <xdr:row>24</xdr:row>
      <xdr:rowOff>9525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7B91BE8-F014-407D-82A7-1E6BDD16C3EC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0ED4-D569-4A52-8024-5A101C2AB103}">
  <sheetPr codeName="Sheet1"/>
  <dimension ref="A1:B742"/>
  <sheetViews>
    <sheetView tabSelected="1" zoomScaleNormal="100" workbookViewId="0"/>
  </sheetViews>
  <sheetFormatPr defaultRowHeight="18.75"/>
  <cols>
    <col min="1" max="1" width="10.25" bestFit="1" customWidth="1"/>
  </cols>
  <sheetData>
    <row r="1" spans="1:2">
      <c r="A1" t="s">
        <v>0</v>
      </c>
      <c r="B1" t="s">
        <v>1</v>
      </c>
    </row>
    <row r="2" spans="1:2">
      <c r="A2" s="1">
        <v>21245</v>
      </c>
      <c r="B2">
        <v>315.7</v>
      </c>
    </row>
    <row r="3" spans="1:2">
      <c r="A3" s="1">
        <v>21276</v>
      </c>
      <c r="B3">
        <v>317.45999999999998</v>
      </c>
    </row>
    <row r="4" spans="1:2">
      <c r="A4" s="1">
        <v>21306</v>
      </c>
      <c r="B4">
        <v>317.51</v>
      </c>
    </row>
    <row r="5" spans="1:2">
      <c r="A5" s="1">
        <v>21367</v>
      </c>
      <c r="B5">
        <v>315.86</v>
      </c>
    </row>
    <row r="6" spans="1:2">
      <c r="A6" s="1">
        <v>21398</v>
      </c>
      <c r="B6">
        <v>314.93</v>
      </c>
    </row>
    <row r="7" spans="1:2">
      <c r="A7" s="1">
        <v>21429</v>
      </c>
      <c r="B7">
        <v>313.20999999999998</v>
      </c>
    </row>
    <row r="8" spans="1:2">
      <c r="A8" s="1">
        <v>21490</v>
      </c>
      <c r="B8">
        <v>313.33</v>
      </c>
    </row>
    <row r="9" spans="1:2">
      <c r="A9" s="1">
        <v>21520</v>
      </c>
      <c r="B9">
        <v>314.67</v>
      </c>
    </row>
    <row r="10" spans="1:2">
      <c r="A10" s="1">
        <v>21551</v>
      </c>
      <c r="B10">
        <v>315.58</v>
      </c>
    </row>
    <row r="11" spans="1:2">
      <c r="A11" s="1">
        <v>21582</v>
      </c>
      <c r="B11">
        <v>316.49</v>
      </c>
    </row>
    <row r="12" spans="1:2">
      <c r="A12" s="1">
        <v>21610</v>
      </c>
      <c r="B12">
        <v>316.64999999999998</v>
      </c>
    </row>
    <row r="13" spans="1:2">
      <c r="A13" s="1">
        <v>21641</v>
      </c>
      <c r="B13">
        <v>317.72000000000003</v>
      </c>
    </row>
    <row r="14" spans="1:2">
      <c r="A14" s="1">
        <v>21671</v>
      </c>
      <c r="B14">
        <v>318.29000000000002</v>
      </c>
    </row>
    <row r="15" spans="1:2">
      <c r="A15" s="1">
        <v>21702</v>
      </c>
      <c r="B15">
        <v>318.14999999999998</v>
      </c>
    </row>
    <row r="16" spans="1:2">
      <c r="A16" s="1">
        <v>21732</v>
      </c>
      <c r="B16">
        <v>316.54000000000002</v>
      </c>
    </row>
    <row r="17" spans="1:2">
      <c r="A17" s="1">
        <v>21763</v>
      </c>
      <c r="B17">
        <v>314.8</v>
      </c>
    </row>
    <row r="18" spans="1:2">
      <c r="A18" s="1">
        <v>21794</v>
      </c>
      <c r="B18">
        <v>313.83999999999997</v>
      </c>
    </row>
    <row r="19" spans="1:2">
      <c r="A19" s="1">
        <v>21824</v>
      </c>
      <c r="B19">
        <v>313.33</v>
      </c>
    </row>
    <row r="20" spans="1:2">
      <c r="A20" s="1">
        <v>21855</v>
      </c>
      <c r="B20">
        <v>314.81</v>
      </c>
    </row>
    <row r="21" spans="1:2">
      <c r="A21" s="1">
        <v>21885</v>
      </c>
      <c r="B21">
        <v>315.58</v>
      </c>
    </row>
    <row r="22" spans="1:2">
      <c r="A22" s="1">
        <v>21916</v>
      </c>
      <c r="B22">
        <v>316.43</v>
      </c>
    </row>
    <row r="23" spans="1:2">
      <c r="A23" s="1">
        <v>21947</v>
      </c>
      <c r="B23">
        <v>316.98</v>
      </c>
    </row>
    <row r="24" spans="1:2">
      <c r="A24" s="1">
        <v>21976</v>
      </c>
      <c r="B24">
        <v>317.58</v>
      </c>
    </row>
    <row r="25" spans="1:2">
      <c r="A25" s="1">
        <v>22007</v>
      </c>
      <c r="B25">
        <v>319.02999999999997</v>
      </c>
    </row>
    <row r="26" spans="1:2">
      <c r="A26" s="1">
        <v>22037</v>
      </c>
      <c r="B26">
        <v>320.04000000000002</v>
      </c>
    </row>
    <row r="27" spans="1:2">
      <c r="A27" s="1">
        <v>22068</v>
      </c>
      <c r="B27">
        <v>319.58</v>
      </c>
    </row>
    <row r="28" spans="1:2">
      <c r="A28" s="1">
        <v>22098</v>
      </c>
      <c r="B28">
        <v>318.18</v>
      </c>
    </row>
    <row r="29" spans="1:2">
      <c r="A29" s="1">
        <v>22129</v>
      </c>
      <c r="B29">
        <v>315.89999999999998</v>
      </c>
    </row>
    <row r="30" spans="1:2">
      <c r="A30" s="1">
        <v>22160</v>
      </c>
      <c r="B30">
        <v>314.17</v>
      </c>
    </row>
    <row r="31" spans="1:2">
      <c r="A31" s="1">
        <v>22190</v>
      </c>
      <c r="B31">
        <v>313.83</v>
      </c>
    </row>
    <row r="32" spans="1:2">
      <c r="A32" s="1">
        <v>22221</v>
      </c>
      <c r="B32">
        <v>315</v>
      </c>
    </row>
    <row r="33" spans="1:2">
      <c r="A33" s="1">
        <v>22251</v>
      </c>
      <c r="B33">
        <v>316.19</v>
      </c>
    </row>
    <row r="34" spans="1:2">
      <c r="A34" s="1">
        <v>22282</v>
      </c>
      <c r="B34">
        <v>316.89999999999998</v>
      </c>
    </row>
    <row r="35" spans="1:2">
      <c r="A35" s="1">
        <v>22313</v>
      </c>
      <c r="B35">
        <v>317.7</v>
      </c>
    </row>
    <row r="36" spans="1:2">
      <c r="A36" s="1">
        <v>22341</v>
      </c>
      <c r="B36">
        <v>318.54000000000002</v>
      </c>
    </row>
    <row r="37" spans="1:2">
      <c r="A37" s="1">
        <v>22372</v>
      </c>
      <c r="B37">
        <v>319.48</v>
      </c>
    </row>
    <row r="38" spans="1:2">
      <c r="A38" s="1">
        <v>22402</v>
      </c>
      <c r="B38">
        <v>320.58</v>
      </c>
    </row>
    <row r="39" spans="1:2">
      <c r="A39" s="1">
        <v>22433</v>
      </c>
      <c r="B39">
        <v>319.77</v>
      </c>
    </row>
    <row r="40" spans="1:2">
      <c r="A40" s="1">
        <v>22463</v>
      </c>
      <c r="B40">
        <v>318.57</v>
      </c>
    </row>
    <row r="41" spans="1:2">
      <c r="A41" s="1">
        <v>22494</v>
      </c>
      <c r="B41">
        <v>316.79000000000002</v>
      </c>
    </row>
    <row r="42" spans="1:2">
      <c r="A42" s="1">
        <v>22525</v>
      </c>
      <c r="B42">
        <v>314.99</v>
      </c>
    </row>
    <row r="43" spans="1:2">
      <c r="A43" s="1">
        <v>22555</v>
      </c>
      <c r="B43">
        <v>315.31</v>
      </c>
    </row>
    <row r="44" spans="1:2">
      <c r="A44" s="1">
        <v>22586</v>
      </c>
      <c r="B44">
        <v>316.10000000000002</v>
      </c>
    </row>
    <row r="45" spans="1:2">
      <c r="A45" s="1">
        <v>22616</v>
      </c>
      <c r="B45">
        <v>317.01</v>
      </c>
    </row>
    <row r="46" spans="1:2">
      <c r="A46" s="1">
        <v>22647</v>
      </c>
      <c r="B46">
        <v>317.94</v>
      </c>
    </row>
    <row r="47" spans="1:2">
      <c r="A47" s="1">
        <v>22678</v>
      </c>
      <c r="B47">
        <v>318.55</v>
      </c>
    </row>
    <row r="48" spans="1:2">
      <c r="A48" s="1">
        <v>22706</v>
      </c>
      <c r="B48">
        <v>319.68</v>
      </c>
    </row>
    <row r="49" spans="1:2">
      <c r="A49" s="1">
        <v>22737</v>
      </c>
      <c r="B49">
        <v>320.57</v>
      </c>
    </row>
    <row r="50" spans="1:2">
      <c r="A50" s="1">
        <v>22767</v>
      </c>
      <c r="B50">
        <v>321.02</v>
      </c>
    </row>
    <row r="51" spans="1:2">
      <c r="A51" s="1">
        <v>22798</v>
      </c>
      <c r="B51">
        <v>320.62</v>
      </c>
    </row>
    <row r="52" spans="1:2">
      <c r="A52" s="1">
        <v>22828</v>
      </c>
      <c r="B52">
        <v>319.61</v>
      </c>
    </row>
    <row r="53" spans="1:2">
      <c r="A53" s="1">
        <v>22859</v>
      </c>
      <c r="B53">
        <v>317.39999999999998</v>
      </c>
    </row>
    <row r="54" spans="1:2">
      <c r="A54" s="1">
        <v>22890</v>
      </c>
      <c r="B54">
        <v>316.25</v>
      </c>
    </row>
    <row r="55" spans="1:2">
      <c r="A55" s="1">
        <v>22920</v>
      </c>
      <c r="B55">
        <v>315.42</v>
      </c>
    </row>
    <row r="56" spans="1:2">
      <c r="A56" s="1">
        <v>22951</v>
      </c>
      <c r="B56">
        <v>316.69</v>
      </c>
    </row>
    <row r="57" spans="1:2">
      <c r="A57" s="1">
        <v>22981</v>
      </c>
      <c r="B57">
        <v>317.7</v>
      </c>
    </row>
    <row r="58" spans="1:2">
      <c r="A58" s="1">
        <v>23012</v>
      </c>
      <c r="B58">
        <v>318.74</v>
      </c>
    </row>
    <row r="59" spans="1:2">
      <c r="A59" s="1">
        <v>23043</v>
      </c>
      <c r="B59">
        <v>319.07</v>
      </c>
    </row>
    <row r="60" spans="1:2">
      <c r="A60" s="1">
        <v>23071</v>
      </c>
      <c r="B60">
        <v>319.86</v>
      </c>
    </row>
    <row r="61" spans="1:2">
      <c r="A61" s="1">
        <v>23102</v>
      </c>
      <c r="B61">
        <v>321.38</v>
      </c>
    </row>
    <row r="62" spans="1:2">
      <c r="A62" s="1">
        <v>23132</v>
      </c>
      <c r="B62">
        <v>322.25</v>
      </c>
    </row>
    <row r="63" spans="1:2">
      <c r="A63" s="1">
        <v>23163</v>
      </c>
      <c r="B63">
        <v>321.48</v>
      </c>
    </row>
    <row r="64" spans="1:2">
      <c r="A64" s="1">
        <v>23193</v>
      </c>
      <c r="B64">
        <v>319.74</v>
      </c>
    </row>
    <row r="65" spans="1:2">
      <c r="A65" s="1">
        <v>23224</v>
      </c>
      <c r="B65">
        <v>317.77</v>
      </c>
    </row>
    <row r="66" spans="1:2">
      <c r="A66" s="1">
        <v>23255</v>
      </c>
      <c r="B66">
        <v>316.20999999999998</v>
      </c>
    </row>
    <row r="67" spans="1:2">
      <c r="A67" s="1">
        <v>23285</v>
      </c>
      <c r="B67">
        <v>315.99</v>
      </c>
    </row>
    <row r="68" spans="1:2">
      <c r="A68" s="1">
        <v>23316</v>
      </c>
      <c r="B68">
        <v>317.07</v>
      </c>
    </row>
    <row r="69" spans="1:2">
      <c r="A69" s="1">
        <v>23346</v>
      </c>
      <c r="B69">
        <v>318.35000000000002</v>
      </c>
    </row>
    <row r="70" spans="1:2">
      <c r="A70" s="1">
        <v>23377</v>
      </c>
      <c r="B70">
        <v>319.57</v>
      </c>
    </row>
    <row r="71" spans="1:2">
      <c r="A71" s="1">
        <v>23498</v>
      </c>
      <c r="B71">
        <v>322.26</v>
      </c>
    </row>
    <row r="72" spans="1:2">
      <c r="A72" s="1">
        <v>23529</v>
      </c>
      <c r="B72">
        <v>321.89</v>
      </c>
    </row>
    <row r="73" spans="1:2">
      <c r="A73" s="1">
        <v>23559</v>
      </c>
      <c r="B73">
        <v>320.44</v>
      </c>
    </row>
    <row r="74" spans="1:2">
      <c r="A74" s="1">
        <v>23590</v>
      </c>
      <c r="B74">
        <v>318.69</v>
      </c>
    </row>
    <row r="75" spans="1:2">
      <c r="A75" s="1">
        <v>23621</v>
      </c>
      <c r="B75">
        <v>316.7</v>
      </c>
    </row>
    <row r="76" spans="1:2">
      <c r="A76" s="1">
        <v>23651</v>
      </c>
      <c r="B76">
        <v>316.87</v>
      </c>
    </row>
    <row r="77" spans="1:2">
      <c r="A77" s="1">
        <v>23682</v>
      </c>
      <c r="B77">
        <v>317.68</v>
      </c>
    </row>
    <row r="78" spans="1:2">
      <c r="A78" s="1">
        <v>23712</v>
      </c>
      <c r="B78">
        <v>318.70999999999998</v>
      </c>
    </row>
    <row r="79" spans="1:2">
      <c r="A79" s="1">
        <v>23743</v>
      </c>
      <c r="B79">
        <v>319.44</v>
      </c>
    </row>
    <row r="80" spans="1:2">
      <c r="A80" s="1">
        <v>23774</v>
      </c>
      <c r="B80">
        <v>320.44</v>
      </c>
    </row>
    <row r="81" spans="1:2">
      <c r="A81" s="1">
        <v>23802</v>
      </c>
      <c r="B81">
        <v>320.89</v>
      </c>
    </row>
    <row r="82" spans="1:2">
      <c r="A82" s="1">
        <v>23833</v>
      </c>
      <c r="B82">
        <v>322.14</v>
      </c>
    </row>
    <row r="83" spans="1:2">
      <c r="A83" s="1">
        <v>23863</v>
      </c>
      <c r="B83">
        <v>322.17</v>
      </c>
    </row>
    <row r="84" spans="1:2">
      <c r="A84" s="1">
        <v>23894</v>
      </c>
      <c r="B84">
        <v>321.87</v>
      </c>
    </row>
    <row r="85" spans="1:2">
      <c r="A85" s="1">
        <v>23924</v>
      </c>
      <c r="B85">
        <v>321.20999999999998</v>
      </c>
    </row>
    <row r="86" spans="1:2">
      <c r="A86" s="1">
        <v>23955</v>
      </c>
      <c r="B86">
        <v>318.87</v>
      </c>
    </row>
    <row r="87" spans="1:2">
      <c r="A87" s="1">
        <v>23986</v>
      </c>
      <c r="B87">
        <v>317.81</v>
      </c>
    </row>
    <row r="88" spans="1:2">
      <c r="A88" s="1">
        <v>24016</v>
      </c>
      <c r="B88">
        <v>317.3</v>
      </c>
    </row>
    <row r="89" spans="1:2">
      <c r="A89" s="1">
        <v>24047</v>
      </c>
      <c r="B89">
        <v>318.87</v>
      </c>
    </row>
    <row r="90" spans="1:2">
      <c r="A90" s="1">
        <v>24077</v>
      </c>
      <c r="B90">
        <v>319.42</v>
      </c>
    </row>
    <row r="91" spans="1:2">
      <c r="A91" s="1">
        <v>24108</v>
      </c>
      <c r="B91">
        <v>320.62</v>
      </c>
    </row>
    <row r="92" spans="1:2">
      <c r="A92" s="1">
        <v>24139</v>
      </c>
      <c r="B92">
        <v>321.60000000000002</v>
      </c>
    </row>
    <row r="93" spans="1:2">
      <c r="A93" s="1">
        <v>24167</v>
      </c>
      <c r="B93">
        <v>322.39</v>
      </c>
    </row>
    <row r="94" spans="1:2">
      <c r="A94" s="1">
        <v>24198</v>
      </c>
      <c r="B94">
        <v>323.7</v>
      </c>
    </row>
    <row r="95" spans="1:2">
      <c r="A95" s="1">
        <v>24228</v>
      </c>
      <c r="B95">
        <v>324.08</v>
      </c>
    </row>
    <row r="96" spans="1:2">
      <c r="A96" s="1">
        <v>24259</v>
      </c>
      <c r="B96">
        <v>323.75</v>
      </c>
    </row>
    <row r="97" spans="1:2">
      <c r="A97" s="1">
        <v>24289</v>
      </c>
      <c r="B97">
        <v>322.38</v>
      </c>
    </row>
    <row r="98" spans="1:2">
      <c r="A98" s="1">
        <v>24320</v>
      </c>
      <c r="B98">
        <v>320.36</v>
      </c>
    </row>
    <row r="99" spans="1:2">
      <c r="A99" s="1">
        <v>24351</v>
      </c>
      <c r="B99">
        <v>318.64</v>
      </c>
    </row>
    <row r="100" spans="1:2">
      <c r="A100" s="1">
        <v>24381</v>
      </c>
      <c r="B100">
        <v>318.10000000000002</v>
      </c>
    </row>
    <row r="101" spans="1:2">
      <c r="A101" s="1">
        <v>24412</v>
      </c>
      <c r="B101">
        <v>319.77999999999997</v>
      </c>
    </row>
    <row r="102" spans="1:2">
      <c r="A102" s="1">
        <v>24442</v>
      </c>
      <c r="B102">
        <v>321.02999999999997</v>
      </c>
    </row>
    <row r="103" spans="1:2">
      <c r="A103" s="1">
        <v>24473</v>
      </c>
      <c r="B103">
        <v>322.33</v>
      </c>
    </row>
    <row r="104" spans="1:2">
      <c r="A104" s="1">
        <v>24504</v>
      </c>
      <c r="B104">
        <v>322.5</v>
      </c>
    </row>
    <row r="105" spans="1:2">
      <c r="A105" s="1">
        <v>24532</v>
      </c>
      <c r="B105">
        <v>323.04000000000002</v>
      </c>
    </row>
    <row r="106" spans="1:2">
      <c r="A106" s="1">
        <v>24563</v>
      </c>
      <c r="B106">
        <v>324.42</v>
      </c>
    </row>
    <row r="107" spans="1:2">
      <c r="A107" s="1">
        <v>24593</v>
      </c>
      <c r="B107">
        <v>325</v>
      </c>
    </row>
    <row r="108" spans="1:2">
      <c r="A108" s="1">
        <v>24624</v>
      </c>
      <c r="B108">
        <v>324.08999999999997</v>
      </c>
    </row>
    <row r="109" spans="1:2">
      <c r="A109" s="1">
        <v>24654</v>
      </c>
      <c r="B109">
        <v>322.54000000000002</v>
      </c>
    </row>
    <row r="110" spans="1:2">
      <c r="A110" s="1">
        <v>24685</v>
      </c>
      <c r="B110">
        <v>320.92</v>
      </c>
    </row>
    <row r="111" spans="1:2">
      <c r="A111" s="1">
        <v>24716</v>
      </c>
      <c r="B111">
        <v>319.25</v>
      </c>
    </row>
    <row r="112" spans="1:2">
      <c r="A112" s="1">
        <v>24746</v>
      </c>
      <c r="B112">
        <v>319.39</v>
      </c>
    </row>
    <row r="113" spans="1:2">
      <c r="A113" s="1">
        <v>24777</v>
      </c>
      <c r="B113">
        <v>320.73</v>
      </c>
    </row>
    <row r="114" spans="1:2">
      <c r="A114" s="1">
        <v>24807</v>
      </c>
      <c r="B114">
        <v>321.95999999999998</v>
      </c>
    </row>
    <row r="115" spans="1:2">
      <c r="A115" s="1">
        <v>24838</v>
      </c>
      <c r="B115">
        <v>322.57</v>
      </c>
    </row>
    <row r="116" spans="1:2">
      <c r="A116" s="1">
        <v>24869</v>
      </c>
      <c r="B116">
        <v>323.14999999999998</v>
      </c>
    </row>
    <row r="117" spans="1:2">
      <c r="A117" s="1">
        <v>24898</v>
      </c>
      <c r="B117">
        <v>323.89</v>
      </c>
    </row>
    <row r="118" spans="1:2">
      <c r="A118" s="1">
        <v>24929</v>
      </c>
      <c r="B118">
        <v>325.02</v>
      </c>
    </row>
    <row r="119" spans="1:2">
      <c r="A119" s="1">
        <v>24959</v>
      </c>
      <c r="B119">
        <v>325.57</v>
      </c>
    </row>
    <row r="120" spans="1:2">
      <c r="A120" s="1">
        <v>24990</v>
      </c>
      <c r="B120">
        <v>325.36</v>
      </c>
    </row>
    <row r="121" spans="1:2">
      <c r="A121" s="1">
        <v>25020</v>
      </c>
      <c r="B121">
        <v>324.14</v>
      </c>
    </row>
    <row r="122" spans="1:2">
      <c r="A122" s="1">
        <v>25051</v>
      </c>
      <c r="B122">
        <v>322.11</v>
      </c>
    </row>
    <row r="123" spans="1:2">
      <c r="A123" s="1">
        <v>25082</v>
      </c>
      <c r="B123">
        <v>320.33</v>
      </c>
    </row>
    <row r="124" spans="1:2">
      <c r="A124" s="1">
        <v>25112</v>
      </c>
      <c r="B124">
        <v>320.25</v>
      </c>
    </row>
    <row r="125" spans="1:2">
      <c r="A125" s="1">
        <v>25143</v>
      </c>
      <c r="B125">
        <v>321.32</v>
      </c>
    </row>
    <row r="126" spans="1:2">
      <c r="A126" s="1">
        <v>25173</v>
      </c>
      <c r="B126">
        <v>322.89</v>
      </c>
    </row>
    <row r="127" spans="1:2">
      <c r="A127" s="1">
        <v>25204</v>
      </c>
      <c r="B127">
        <v>324</v>
      </c>
    </row>
    <row r="128" spans="1:2">
      <c r="A128" s="1">
        <v>25235</v>
      </c>
      <c r="B128">
        <v>324.41000000000003</v>
      </c>
    </row>
    <row r="129" spans="1:2">
      <c r="A129" s="1">
        <v>25263</v>
      </c>
      <c r="B129">
        <v>325.63</v>
      </c>
    </row>
    <row r="130" spans="1:2">
      <c r="A130" s="1">
        <v>25294</v>
      </c>
      <c r="B130">
        <v>326.66000000000003</v>
      </c>
    </row>
    <row r="131" spans="1:2">
      <c r="A131" s="1">
        <v>25324</v>
      </c>
      <c r="B131">
        <v>327.38</v>
      </c>
    </row>
    <row r="132" spans="1:2">
      <c r="A132" s="1">
        <v>25355</v>
      </c>
      <c r="B132">
        <v>326.70999999999998</v>
      </c>
    </row>
    <row r="133" spans="1:2">
      <c r="A133" s="1">
        <v>25385</v>
      </c>
      <c r="B133">
        <v>325.88</v>
      </c>
    </row>
    <row r="134" spans="1:2">
      <c r="A134" s="1">
        <v>25416</v>
      </c>
      <c r="B134">
        <v>323.66000000000003</v>
      </c>
    </row>
    <row r="135" spans="1:2">
      <c r="A135" s="1">
        <v>25447</v>
      </c>
      <c r="B135">
        <v>322.38</v>
      </c>
    </row>
    <row r="136" spans="1:2">
      <c r="A136" s="1">
        <v>25477</v>
      </c>
      <c r="B136">
        <v>321.77999999999997</v>
      </c>
    </row>
    <row r="137" spans="1:2">
      <c r="A137" s="1">
        <v>25508</v>
      </c>
      <c r="B137">
        <v>322.85000000000002</v>
      </c>
    </row>
    <row r="138" spans="1:2">
      <c r="A138" s="1">
        <v>25538</v>
      </c>
      <c r="B138">
        <v>324.12</v>
      </c>
    </row>
    <row r="139" spans="1:2">
      <c r="A139" s="1">
        <v>25569</v>
      </c>
      <c r="B139">
        <v>325.06</v>
      </c>
    </row>
    <row r="140" spans="1:2">
      <c r="A140" s="1">
        <v>25600</v>
      </c>
      <c r="B140">
        <v>325.98</v>
      </c>
    </row>
    <row r="141" spans="1:2">
      <c r="A141" s="1">
        <v>25628</v>
      </c>
      <c r="B141">
        <v>326.93</v>
      </c>
    </row>
    <row r="142" spans="1:2">
      <c r="A142" s="1">
        <v>25659</v>
      </c>
      <c r="B142">
        <v>328.13</v>
      </c>
    </row>
    <row r="143" spans="1:2">
      <c r="A143" s="1">
        <v>25689</v>
      </c>
      <c r="B143">
        <v>328.08</v>
      </c>
    </row>
    <row r="144" spans="1:2">
      <c r="A144" s="1">
        <v>25720</v>
      </c>
      <c r="B144">
        <v>327.67</v>
      </c>
    </row>
    <row r="145" spans="1:2">
      <c r="A145" s="1">
        <v>25750</v>
      </c>
      <c r="B145">
        <v>326.33999999999997</v>
      </c>
    </row>
    <row r="146" spans="1:2">
      <c r="A146" s="1">
        <v>25781</v>
      </c>
      <c r="B146">
        <v>324.69</v>
      </c>
    </row>
    <row r="147" spans="1:2">
      <c r="A147" s="1">
        <v>25812</v>
      </c>
      <c r="B147">
        <v>323.10000000000002</v>
      </c>
    </row>
    <row r="148" spans="1:2">
      <c r="A148" s="1">
        <v>25842</v>
      </c>
      <c r="B148">
        <v>323.06</v>
      </c>
    </row>
    <row r="149" spans="1:2">
      <c r="A149" s="1">
        <v>25873</v>
      </c>
      <c r="B149">
        <v>324.01</v>
      </c>
    </row>
    <row r="150" spans="1:2">
      <c r="A150" s="1">
        <v>25903</v>
      </c>
      <c r="B150">
        <v>325.13</v>
      </c>
    </row>
    <row r="151" spans="1:2">
      <c r="A151" s="1">
        <v>25934</v>
      </c>
      <c r="B151">
        <v>326.17</v>
      </c>
    </row>
    <row r="152" spans="1:2">
      <c r="A152" s="1">
        <v>25965</v>
      </c>
      <c r="B152">
        <v>326.68</v>
      </c>
    </row>
    <row r="153" spans="1:2">
      <c r="A153" s="1">
        <v>25993</v>
      </c>
      <c r="B153">
        <v>327.17</v>
      </c>
    </row>
    <row r="154" spans="1:2">
      <c r="A154" s="1">
        <v>26024</v>
      </c>
      <c r="B154">
        <v>327.79</v>
      </c>
    </row>
    <row r="155" spans="1:2">
      <c r="A155" s="1">
        <v>26054</v>
      </c>
      <c r="B155">
        <v>328.93</v>
      </c>
    </row>
    <row r="156" spans="1:2">
      <c r="A156" s="1">
        <v>26085</v>
      </c>
      <c r="B156">
        <v>328.57</v>
      </c>
    </row>
    <row r="157" spans="1:2">
      <c r="A157" s="1">
        <v>26115</v>
      </c>
      <c r="B157">
        <v>327.36</v>
      </c>
    </row>
    <row r="158" spans="1:2">
      <c r="A158" s="1">
        <v>26146</v>
      </c>
      <c r="B158">
        <v>325.43</v>
      </c>
    </row>
    <row r="159" spans="1:2">
      <c r="A159" s="1">
        <v>26177</v>
      </c>
      <c r="B159">
        <v>323.36</v>
      </c>
    </row>
    <row r="160" spans="1:2">
      <c r="A160" s="1">
        <v>26207</v>
      </c>
      <c r="B160">
        <v>323.56</v>
      </c>
    </row>
    <row r="161" spans="1:2">
      <c r="A161" s="1">
        <v>26238</v>
      </c>
      <c r="B161">
        <v>324.8</v>
      </c>
    </row>
    <row r="162" spans="1:2">
      <c r="A162" s="1">
        <v>26268</v>
      </c>
      <c r="B162">
        <v>326.01</v>
      </c>
    </row>
    <row r="163" spans="1:2">
      <c r="A163" s="1">
        <v>26299</v>
      </c>
      <c r="B163">
        <v>326.77</v>
      </c>
    </row>
    <row r="164" spans="1:2">
      <c r="A164" s="1">
        <v>26330</v>
      </c>
      <c r="B164">
        <v>327.63</v>
      </c>
    </row>
    <row r="165" spans="1:2">
      <c r="A165" s="1">
        <v>26359</v>
      </c>
      <c r="B165">
        <v>327.75</v>
      </c>
    </row>
    <row r="166" spans="1:2">
      <c r="A166" s="1">
        <v>26390</v>
      </c>
      <c r="B166">
        <v>329.72</v>
      </c>
    </row>
    <row r="167" spans="1:2">
      <c r="A167" s="1">
        <v>26420</v>
      </c>
      <c r="B167">
        <v>330.07</v>
      </c>
    </row>
    <row r="168" spans="1:2">
      <c r="A168" s="1">
        <v>26451</v>
      </c>
      <c r="B168">
        <v>329.09</v>
      </c>
    </row>
    <row r="169" spans="1:2">
      <c r="A169" s="1">
        <v>26481</v>
      </c>
      <c r="B169">
        <v>328.04</v>
      </c>
    </row>
    <row r="170" spans="1:2">
      <c r="A170" s="1">
        <v>26512</v>
      </c>
      <c r="B170">
        <v>326.32</v>
      </c>
    </row>
    <row r="171" spans="1:2">
      <c r="A171" s="1">
        <v>26543</v>
      </c>
      <c r="B171">
        <v>324.83999999999997</v>
      </c>
    </row>
    <row r="172" spans="1:2">
      <c r="A172" s="1">
        <v>26573</v>
      </c>
      <c r="B172">
        <v>325.2</v>
      </c>
    </row>
    <row r="173" spans="1:2">
      <c r="A173" s="1">
        <v>26604</v>
      </c>
      <c r="B173">
        <v>326.5</v>
      </c>
    </row>
    <row r="174" spans="1:2">
      <c r="A174" s="1">
        <v>26634</v>
      </c>
      <c r="B174">
        <v>327.55</v>
      </c>
    </row>
    <row r="175" spans="1:2">
      <c r="A175" s="1">
        <v>26665</v>
      </c>
      <c r="B175">
        <v>328.55</v>
      </c>
    </row>
    <row r="176" spans="1:2">
      <c r="A176" s="1">
        <v>26696</v>
      </c>
      <c r="B176">
        <v>329.56</v>
      </c>
    </row>
    <row r="177" spans="1:2">
      <c r="A177" s="1">
        <v>26724</v>
      </c>
      <c r="B177">
        <v>330.3</v>
      </c>
    </row>
    <row r="178" spans="1:2">
      <c r="A178" s="1">
        <v>26755</v>
      </c>
      <c r="B178">
        <v>331.5</v>
      </c>
    </row>
    <row r="179" spans="1:2">
      <c r="A179" s="1">
        <v>26785</v>
      </c>
      <c r="B179">
        <v>332.48</v>
      </c>
    </row>
    <row r="180" spans="1:2">
      <c r="A180" s="1">
        <v>26816</v>
      </c>
      <c r="B180">
        <v>332.07</v>
      </c>
    </row>
    <row r="181" spans="1:2">
      <c r="A181" s="1">
        <v>26846</v>
      </c>
      <c r="B181">
        <v>330.87</v>
      </c>
    </row>
    <row r="182" spans="1:2">
      <c r="A182" s="1">
        <v>26877</v>
      </c>
      <c r="B182">
        <v>329.31</v>
      </c>
    </row>
    <row r="183" spans="1:2">
      <c r="A183" s="1">
        <v>26908</v>
      </c>
      <c r="B183">
        <v>327.51</v>
      </c>
    </row>
    <row r="184" spans="1:2">
      <c r="A184" s="1">
        <v>26938</v>
      </c>
      <c r="B184">
        <v>327.18</v>
      </c>
    </row>
    <row r="185" spans="1:2">
      <c r="A185" s="1">
        <v>26969</v>
      </c>
      <c r="B185">
        <v>328.16</v>
      </c>
    </row>
    <row r="186" spans="1:2">
      <c r="A186" s="1">
        <v>26999</v>
      </c>
      <c r="B186">
        <v>328.64</v>
      </c>
    </row>
    <row r="187" spans="1:2">
      <c r="A187" s="1">
        <v>27030</v>
      </c>
      <c r="B187">
        <v>329.35</v>
      </c>
    </row>
    <row r="188" spans="1:2">
      <c r="A188" s="1">
        <v>27061</v>
      </c>
      <c r="B188">
        <v>330.71</v>
      </c>
    </row>
    <row r="189" spans="1:2">
      <c r="A189" s="1">
        <v>27089</v>
      </c>
      <c r="B189">
        <v>331.48</v>
      </c>
    </row>
    <row r="190" spans="1:2">
      <c r="A190" s="1">
        <v>27120</v>
      </c>
      <c r="B190">
        <v>332.65</v>
      </c>
    </row>
    <row r="191" spans="1:2">
      <c r="A191" s="1">
        <v>27150</v>
      </c>
      <c r="B191">
        <v>333.09</v>
      </c>
    </row>
    <row r="192" spans="1:2">
      <c r="A192" s="1">
        <v>27181</v>
      </c>
      <c r="B192">
        <v>332.25</v>
      </c>
    </row>
    <row r="193" spans="1:2">
      <c r="A193" s="1">
        <v>27211</v>
      </c>
      <c r="B193">
        <v>331.18</v>
      </c>
    </row>
    <row r="194" spans="1:2">
      <c r="A194" s="1">
        <v>27242</v>
      </c>
      <c r="B194">
        <v>329.39</v>
      </c>
    </row>
    <row r="195" spans="1:2">
      <c r="A195" s="1">
        <v>27273</v>
      </c>
      <c r="B195">
        <v>327.43</v>
      </c>
    </row>
    <row r="196" spans="1:2">
      <c r="A196" s="1">
        <v>27303</v>
      </c>
      <c r="B196">
        <v>327.37</v>
      </c>
    </row>
    <row r="197" spans="1:2">
      <c r="A197" s="1">
        <v>27334</v>
      </c>
      <c r="B197">
        <v>328.46</v>
      </c>
    </row>
    <row r="198" spans="1:2">
      <c r="A198" s="1">
        <v>27364</v>
      </c>
      <c r="B198">
        <v>329.57</v>
      </c>
    </row>
    <row r="199" spans="1:2">
      <c r="A199" s="1">
        <v>27395</v>
      </c>
      <c r="B199">
        <v>330.4</v>
      </c>
    </row>
    <row r="200" spans="1:2">
      <c r="A200" s="1">
        <v>27426</v>
      </c>
      <c r="B200">
        <v>331.4</v>
      </c>
    </row>
    <row r="201" spans="1:2">
      <c r="A201" s="1">
        <v>27454</v>
      </c>
      <c r="B201">
        <v>332.04</v>
      </c>
    </row>
    <row r="202" spans="1:2">
      <c r="A202" s="1">
        <v>27485</v>
      </c>
      <c r="B202">
        <v>333.31</v>
      </c>
    </row>
    <row r="203" spans="1:2">
      <c r="A203" s="1">
        <v>27515</v>
      </c>
      <c r="B203">
        <v>333.97</v>
      </c>
    </row>
    <row r="204" spans="1:2">
      <c r="A204" s="1">
        <v>27546</v>
      </c>
      <c r="B204">
        <v>333.6</v>
      </c>
    </row>
    <row r="205" spans="1:2">
      <c r="A205" s="1">
        <v>27576</v>
      </c>
      <c r="B205">
        <v>331.9</v>
      </c>
    </row>
    <row r="206" spans="1:2">
      <c r="A206" s="1">
        <v>27607</v>
      </c>
      <c r="B206">
        <v>330.06</v>
      </c>
    </row>
    <row r="207" spans="1:2">
      <c r="A207" s="1">
        <v>27638</v>
      </c>
      <c r="B207">
        <v>328.56</v>
      </c>
    </row>
    <row r="208" spans="1:2">
      <c r="A208" s="1">
        <v>27668</v>
      </c>
      <c r="B208">
        <v>328.34</v>
      </c>
    </row>
    <row r="209" spans="1:2">
      <c r="A209" s="1">
        <v>27699</v>
      </c>
      <c r="B209">
        <v>329.49</v>
      </c>
    </row>
    <row r="210" spans="1:2">
      <c r="A210" s="1">
        <v>27729</v>
      </c>
      <c r="B210">
        <v>330.76</v>
      </c>
    </row>
    <row r="211" spans="1:2">
      <c r="A211" s="1">
        <v>27760</v>
      </c>
      <c r="B211">
        <v>331.75</v>
      </c>
    </row>
    <row r="212" spans="1:2">
      <c r="A212" s="1">
        <v>27791</v>
      </c>
      <c r="B212">
        <v>332.57</v>
      </c>
    </row>
    <row r="213" spans="1:2">
      <c r="A213" s="1">
        <v>27820</v>
      </c>
      <c r="B213">
        <v>333.5</v>
      </c>
    </row>
    <row r="214" spans="1:2">
      <c r="A214" s="1">
        <v>27851</v>
      </c>
      <c r="B214">
        <v>334.58</v>
      </c>
    </row>
    <row r="215" spans="1:2">
      <c r="A215" s="1">
        <v>27881</v>
      </c>
      <c r="B215">
        <v>334.88</v>
      </c>
    </row>
    <row r="216" spans="1:2">
      <c r="A216" s="1">
        <v>27912</v>
      </c>
      <c r="B216">
        <v>334.33</v>
      </c>
    </row>
    <row r="217" spans="1:2">
      <c r="A217" s="1">
        <v>27942</v>
      </c>
      <c r="B217">
        <v>333.05</v>
      </c>
    </row>
    <row r="218" spans="1:2">
      <c r="A218" s="1">
        <v>27973</v>
      </c>
      <c r="B218">
        <v>330.94</v>
      </c>
    </row>
    <row r="219" spans="1:2">
      <c r="A219" s="1">
        <v>28004</v>
      </c>
      <c r="B219">
        <v>329.3</v>
      </c>
    </row>
    <row r="220" spans="1:2">
      <c r="A220" s="1">
        <v>28034</v>
      </c>
      <c r="B220">
        <v>328.94</v>
      </c>
    </row>
    <row r="221" spans="1:2">
      <c r="A221" s="1">
        <v>28065</v>
      </c>
      <c r="B221">
        <v>330.31</v>
      </c>
    </row>
    <row r="222" spans="1:2">
      <c r="A222" s="1">
        <v>28095</v>
      </c>
      <c r="B222">
        <v>331.68</v>
      </c>
    </row>
    <row r="223" spans="1:2">
      <c r="A223" s="1">
        <v>28126</v>
      </c>
      <c r="B223">
        <v>332.93</v>
      </c>
    </row>
    <row r="224" spans="1:2">
      <c r="A224" s="1">
        <v>28157</v>
      </c>
      <c r="B224">
        <v>333.42</v>
      </c>
    </row>
    <row r="225" spans="1:2">
      <c r="A225" s="1">
        <v>28185</v>
      </c>
      <c r="B225">
        <v>334.7</v>
      </c>
    </row>
    <row r="226" spans="1:2">
      <c r="A226" s="1">
        <v>28216</v>
      </c>
      <c r="B226">
        <v>336.07</v>
      </c>
    </row>
    <row r="227" spans="1:2">
      <c r="A227" s="1">
        <v>28246</v>
      </c>
      <c r="B227">
        <v>336.75</v>
      </c>
    </row>
    <row r="228" spans="1:2">
      <c r="A228" s="1">
        <v>28277</v>
      </c>
      <c r="B228">
        <v>336.27</v>
      </c>
    </row>
    <row r="229" spans="1:2">
      <c r="A229" s="1">
        <v>28307</v>
      </c>
      <c r="B229">
        <v>334.92</v>
      </c>
    </row>
    <row r="230" spans="1:2">
      <c r="A230" s="1">
        <v>28338</v>
      </c>
      <c r="B230">
        <v>332.75</v>
      </c>
    </row>
    <row r="231" spans="1:2">
      <c r="A231" s="1">
        <v>28369</v>
      </c>
      <c r="B231">
        <v>331.59</v>
      </c>
    </row>
    <row r="232" spans="1:2">
      <c r="A232" s="1">
        <v>28399</v>
      </c>
      <c r="B232">
        <v>331.16</v>
      </c>
    </row>
    <row r="233" spans="1:2">
      <c r="A233" s="1">
        <v>28430</v>
      </c>
      <c r="B233">
        <v>332.4</v>
      </c>
    </row>
    <row r="234" spans="1:2">
      <c r="A234" s="1">
        <v>28460</v>
      </c>
      <c r="B234">
        <v>333.85</v>
      </c>
    </row>
    <row r="235" spans="1:2">
      <c r="A235" s="1">
        <v>28491</v>
      </c>
      <c r="B235">
        <v>334.97</v>
      </c>
    </row>
    <row r="236" spans="1:2">
      <c r="A236" s="1">
        <v>28522</v>
      </c>
      <c r="B236">
        <v>335.39</v>
      </c>
    </row>
    <row r="237" spans="1:2">
      <c r="A237" s="1">
        <v>28550</v>
      </c>
      <c r="B237">
        <v>336.64</v>
      </c>
    </row>
    <row r="238" spans="1:2">
      <c r="A238" s="1">
        <v>28581</v>
      </c>
      <c r="B238">
        <v>337.76</v>
      </c>
    </row>
    <row r="239" spans="1:2">
      <c r="A239" s="1">
        <v>28611</v>
      </c>
      <c r="B239">
        <v>338.01</v>
      </c>
    </row>
    <row r="240" spans="1:2">
      <c r="A240" s="1">
        <v>28642</v>
      </c>
      <c r="B240">
        <v>337.9</v>
      </c>
    </row>
    <row r="241" spans="1:2">
      <c r="A241" s="1">
        <v>28672</v>
      </c>
      <c r="B241">
        <v>336.54</v>
      </c>
    </row>
    <row r="242" spans="1:2">
      <c r="A242" s="1">
        <v>28703</v>
      </c>
      <c r="B242">
        <v>334.68</v>
      </c>
    </row>
    <row r="243" spans="1:2">
      <c r="A243" s="1">
        <v>28734</v>
      </c>
      <c r="B243">
        <v>332.76</v>
      </c>
    </row>
    <row r="244" spans="1:2">
      <c r="A244" s="1">
        <v>28764</v>
      </c>
      <c r="B244">
        <v>332.55</v>
      </c>
    </row>
    <row r="245" spans="1:2">
      <c r="A245" s="1">
        <v>28795</v>
      </c>
      <c r="B245">
        <v>333.92</v>
      </c>
    </row>
    <row r="246" spans="1:2">
      <c r="A246" s="1">
        <v>28825</v>
      </c>
      <c r="B246">
        <v>334.95</v>
      </c>
    </row>
    <row r="247" spans="1:2">
      <c r="A247" s="1">
        <v>28856</v>
      </c>
      <c r="B247">
        <v>336.23</v>
      </c>
    </row>
    <row r="248" spans="1:2">
      <c r="A248" s="1">
        <v>28887</v>
      </c>
      <c r="B248">
        <v>336.76</v>
      </c>
    </row>
    <row r="249" spans="1:2">
      <c r="A249" s="1">
        <v>28915</v>
      </c>
      <c r="B249">
        <v>337.96</v>
      </c>
    </row>
    <row r="250" spans="1:2">
      <c r="A250" s="1">
        <v>28946</v>
      </c>
      <c r="B250">
        <v>338.88</v>
      </c>
    </row>
    <row r="251" spans="1:2">
      <c r="A251" s="1">
        <v>28976</v>
      </c>
      <c r="B251">
        <v>339.47</v>
      </c>
    </row>
    <row r="252" spans="1:2">
      <c r="A252" s="1">
        <v>29007</v>
      </c>
      <c r="B252">
        <v>339.29</v>
      </c>
    </row>
    <row r="253" spans="1:2">
      <c r="A253" s="1">
        <v>29037</v>
      </c>
      <c r="B253">
        <v>337.73</v>
      </c>
    </row>
    <row r="254" spans="1:2">
      <c r="A254" s="1">
        <v>29068</v>
      </c>
      <c r="B254">
        <v>336.09</v>
      </c>
    </row>
    <row r="255" spans="1:2">
      <c r="A255" s="1">
        <v>29099</v>
      </c>
      <c r="B255">
        <v>333.92</v>
      </c>
    </row>
    <row r="256" spans="1:2">
      <c r="A256" s="1">
        <v>29129</v>
      </c>
      <c r="B256">
        <v>333.86</v>
      </c>
    </row>
    <row r="257" spans="1:2">
      <c r="A257" s="1">
        <v>29160</v>
      </c>
      <c r="B257">
        <v>335.29</v>
      </c>
    </row>
    <row r="258" spans="1:2">
      <c r="A258" s="1">
        <v>29190</v>
      </c>
      <c r="B258">
        <v>336.73</v>
      </c>
    </row>
    <row r="259" spans="1:2">
      <c r="A259" s="1">
        <v>29221</v>
      </c>
      <c r="B259">
        <v>338.01</v>
      </c>
    </row>
    <row r="260" spans="1:2">
      <c r="A260" s="1">
        <v>29252</v>
      </c>
      <c r="B260">
        <v>338.36</v>
      </c>
    </row>
    <row r="261" spans="1:2">
      <c r="A261" s="1">
        <v>29281</v>
      </c>
      <c r="B261">
        <v>340.07</v>
      </c>
    </row>
    <row r="262" spans="1:2">
      <c r="A262" s="1">
        <v>29312</v>
      </c>
      <c r="B262">
        <v>340.76</v>
      </c>
    </row>
    <row r="263" spans="1:2">
      <c r="A263" s="1">
        <v>29342</v>
      </c>
      <c r="B263">
        <v>341.47</v>
      </c>
    </row>
    <row r="264" spans="1:2">
      <c r="A264" s="1">
        <v>29373</v>
      </c>
      <c r="B264">
        <v>341.17</v>
      </c>
    </row>
    <row r="265" spans="1:2">
      <c r="A265" s="1">
        <v>29403</v>
      </c>
      <c r="B265">
        <v>339.56</v>
      </c>
    </row>
    <row r="266" spans="1:2">
      <c r="A266" s="1">
        <v>29434</v>
      </c>
      <c r="B266">
        <v>337.6</v>
      </c>
    </row>
    <row r="267" spans="1:2">
      <c r="A267" s="1">
        <v>29465</v>
      </c>
      <c r="B267">
        <v>335.88</v>
      </c>
    </row>
    <row r="268" spans="1:2">
      <c r="A268" s="1">
        <v>29495</v>
      </c>
      <c r="B268">
        <v>336.02</v>
      </c>
    </row>
    <row r="269" spans="1:2">
      <c r="A269" s="1">
        <v>29526</v>
      </c>
      <c r="B269">
        <v>337.1</v>
      </c>
    </row>
    <row r="270" spans="1:2">
      <c r="A270" s="1">
        <v>29556</v>
      </c>
      <c r="B270">
        <v>338.21</v>
      </c>
    </row>
    <row r="271" spans="1:2">
      <c r="A271" s="1">
        <v>29587</v>
      </c>
      <c r="B271">
        <v>339.24</v>
      </c>
    </row>
    <row r="272" spans="1:2">
      <c r="A272" s="1">
        <v>29618</v>
      </c>
      <c r="B272">
        <v>340.48</v>
      </c>
    </row>
    <row r="273" spans="1:2">
      <c r="A273" s="1">
        <v>29646</v>
      </c>
      <c r="B273">
        <v>341.38</v>
      </c>
    </row>
    <row r="274" spans="1:2">
      <c r="A274" s="1">
        <v>29677</v>
      </c>
      <c r="B274">
        <v>342.5</v>
      </c>
    </row>
    <row r="275" spans="1:2">
      <c r="A275" s="1">
        <v>29707</v>
      </c>
      <c r="B275">
        <v>342.91</v>
      </c>
    </row>
    <row r="276" spans="1:2">
      <c r="A276" s="1">
        <v>29738</v>
      </c>
      <c r="B276">
        <v>342.25</v>
      </c>
    </row>
    <row r="277" spans="1:2">
      <c r="A277" s="1">
        <v>29768</v>
      </c>
      <c r="B277">
        <v>340.49</v>
      </c>
    </row>
    <row r="278" spans="1:2">
      <c r="A278" s="1">
        <v>29799</v>
      </c>
      <c r="B278">
        <v>338.43</v>
      </c>
    </row>
    <row r="279" spans="1:2">
      <c r="A279" s="1">
        <v>29830</v>
      </c>
      <c r="B279">
        <v>336.69</v>
      </c>
    </row>
    <row r="280" spans="1:2">
      <c r="A280" s="1">
        <v>29860</v>
      </c>
      <c r="B280">
        <v>336.86</v>
      </c>
    </row>
    <row r="281" spans="1:2">
      <c r="A281" s="1">
        <v>29891</v>
      </c>
      <c r="B281">
        <v>338.36</v>
      </c>
    </row>
    <row r="282" spans="1:2">
      <c r="A282" s="1">
        <v>29921</v>
      </c>
      <c r="B282">
        <v>339.61</v>
      </c>
    </row>
    <row r="283" spans="1:2">
      <c r="A283" s="1">
        <v>29952</v>
      </c>
      <c r="B283">
        <v>340.75</v>
      </c>
    </row>
    <row r="284" spans="1:2">
      <c r="A284" s="1">
        <v>29983</v>
      </c>
      <c r="B284">
        <v>341.61</v>
      </c>
    </row>
    <row r="285" spans="1:2">
      <c r="A285" s="1">
        <v>30011</v>
      </c>
      <c r="B285">
        <v>342.7</v>
      </c>
    </row>
    <row r="286" spans="1:2">
      <c r="A286" s="1">
        <v>30042</v>
      </c>
      <c r="B286">
        <v>343.57</v>
      </c>
    </row>
    <row r="287" spans="1:2">
      <c r="A287" s="1">
        <v>30072</v>
      </c>
      <c r="B287">
        <v>344.14</v>
      </c>
    </row>
    <row r="288" spans="1:2">
      <c r="A288" s="1">
        <v>30103</v>
      </c>
      <c r="B288">
        <v>343.35</v>
      </c>
    </row>
    <row r="289" spans="1:2">
      <c r="A289" s="1">
        <v>30133</v>
      </c>
      <c r="B289">
        <v>342.06</v>
      </c>
    </row>
    <row r="290" spans="1:2">
      <c r="A290" s="1">
        <v>30164</v>
      </c>
      <c r="B290">
        <v>339.81</v>
      </c>
    </row>
    <row r="291" spans="1:2">
      <c r="A291" s="1">
        <v>30195</v>
      </c>
      <c r="B291">
        <v>337.98</v>
      </c>
    </row>
    <row r="292" spans="1:2">
      <c r="A292" s="1">
        <v>30225</v>
      </c>
      <c r="B292">
        <v>337.86</v>
      </c>
    </row>
    <row r="293" spans="1:2">
      <c r="A293" s="1">
        <v>30256</v>
      </c>
      <c r="B293">
        <v>339.26</v>
      </c>
    </row>
    <row r="294" spans="1:2">
      <c r="A294" s="1">
        <v>30286</v>
      </c>
      <c r="B294">
        <v>340.49</v>
      </c>
    </row>
    <row r="295" spans="1:2">
      <c r="A295" s="1">
        <v>30317</v>
      </c>
      <c r="B295">
        <v>341.38</v>
      </c>
    </row>
    <row r="296" spans="1:2">
      <c r="A296" s="1">
        <v>30348</v>
      </c>
      <c r="B296">
        <v>342.52</v>
      </c>
    </row>
    <row r="297" spans="1:2">
      <c r="A297" s="1">
        <v>30376</v>
      </c>
      <c r="B297">
        <v>343.1</v>
      </c>
    </row>
    <row r="298" spans="1:2">
      <c r="A298" s="1">
        <v>30407</v>
      </c>
      <c r="B298">
        <v>344.94</v>
      </c>
    </row>
    <row r="299" spans="1:2">
      <c r="A299" s="1">
        <v>30437</v>
      </c>
      <c r="B299">
        <v>345.76</v>
      </c>
    </row>
    <row r="300" spans="1:2">
      <c r="A300" s="1">
        <v>30468</v>
      </c>
      <c r="B300">
        <v>345.32</v>
      </c>
    </row>
    <row r="301" spans="1:2">
      <c r="A301" s="1">
        <v>30498</v>
      </c>
      <c r="B301">
        <v>343.98</v>
      </c>
    </row>
    <row r="302" spans="1:2">
      <c r="A302" s="1">
        <v>30529</v>
      </c>
      <c r="B302">
        <v>342.38</v>
      </c>
    </row>
    <row r="303" spans="1:2">
      <c r="A303" s="1">
        <v>30560</v>
      </c>
      <c r="B303">
        <v>339.87</v>
      </c>
    </row>
    <row r="304" spans="1:2">
      <c r="A304" s="1">
        <v>30590</v>
      </c>
      <c r="B304">
        <v>339.99</v>
      </c>
    </row>
    <row r="305" spans="1:2">
      <c r="A305" s="1">
        <v>30621</v>
      </c>
      <c r="B305">
        <v>341.15</v>
      </c>
    </row>
    <row r="306" spans="1:2">
      <c r="A306" s="1">
        <v>30651</v>
      </c>
      <c r="B306">
        <v>342.99</v>
      </c>
    </row>
    <row r="307" spans="1:2">
      <c r="A307" s="1">
        <v>30682</v>
      </c>
      <c r="B307">
        <v>343.7</v>
      </c>
    </row>
    <row r="308" spans="1:2">
      <c r="A308" s="1">
        <v>30713</v>
      </c>
      <c r="B308">
        <v>344.5</v>
      </c>
    </row>
    <row r="309" spans="1:2">
      <c r="A309" s="1">
        <v>30742</v>
      </c>
      <c r="B309">
        <v>345.28</v>
      </c>
    </row>
    <row r="310" spans="1:2">
      <c r="A310" s="1">
        <v>30773</v>
      </c>
      <c r="B310">
        <v>347.05</v>
      </c>
    </row>
    <row r="311" spans="1:2">
      <c r="A311" s="1">
        <v>30803</v>
      </c>
      <c r="B311">
        <v>347.43</v>
      </c>
    </row>
    <row r="312" spans="1:2">
      <c r="A312" s="1">
        <v>30834</v>
      </c>
      <c r="B312">
        <v>346.8</v>
      </c>
    </row>
    <row r="313" spans="1:2">
      <c r="A313" s="1">
        <v>30864</v>
      </c>
      <c r="B313">
        <v>345.39</v>
      </c>
    </row>
    <row r="314" spans="1:2">
      <c r="A314" s="1">
        <v>30895</v>
      </c>
      <c r="B314">
        <v>343.28</v>
      </c>
    </row>
    <row r="315" spans="1:2">
      <c r="A315" s="1">
        <v>30926</v>
      </c>
      <c r="B315">
        <v>341.07</v>
      </c>
    </row>
    <row r="316" spans="1:2">
      <c r="A316" s="1">
        <v>30956</v>
      </c>
      <c r="B316">
        <v>341.35</v>
      </c>
    </row>
    <row r="317" spans="1:2">
      <c r="A317" s="1">
        <v>30987</v>
      </c>
      <c r="B317">
        <v>342.98</v>
      </c>
    </row>
    <row r="318" spans="1:2">
      <c r="A318" s="1">
        <v>31017</v>
      </c>
      <c r="B318">
        <v>344.22</v>
      </c>
    </row>
    <row r="319" spans="1:2">
      <c r="A319" s="1">
        <v>31048</v>
      </c>
      <c r="B319">
        <v>344.97</v>
      </c>
    </row>
    <row r="320" spans="1:2">
      <c r="A320" s="1">
        <v>31079</v>
      </c>
      <c r="B320">
        <v>345.99</v>
      </c>
    </row>
    <row r="321" spans="1:2">
      <c r="A321" s="1">
        <v>31107</v>
      </c>
      <c r="B321">
        <v>347.42</v>
      </c>
    </row>
    <row r="322" spans="1:2">
      <c r="A322" s="1">
        <v>31138</v>
      </c>
      <c r="B322">
        <v>348.35</v>
      </c>
    </row>
    <row r="323" spans="1:2">
      <c r="A323" s="1">
        <v>31168</v>
      </c>
      <c r="B323">
        <v>348.93</v>
      </c>
    </row>
    <row r="324" spans="1:2">
      <c r="A324" s="1">
        <v>31199</v>
      </c>
      <c r="B324">
        <v>348.25</v>
      </c>
    </row>
    <row r="325" spans="1:2">
      <c r="A325" s="1">
        <v>31229</v>
      </c>
      <c r="B325">
        <v>346.56</v>
      </c>
    </row>
    <row r="326" spans="1:2">
      <c r="A326" s="1">
        <v>31260</v>
      </c>
      <c r="B326">
        <v>344.67</v>
      </c>
    </row>
    <row r="327" spans="1:2">
      <c r="A327" s="1">
        <v>31291</v>
      </c>
      <c r="B327">
        <v>343.09</v>
      </c>
    </row>
    <row r="328" spans="1:2">
      <c r="A328" s="1">
        <v>31321</v>
      </c>
      <c r="B328">
        <v>342.8</v>
      </c>
    </row>
    <row r="329" spans="1:2">
      <c r="A329" s="1">
        <v>31352</v>
      </c>
      <c r="B329">
        <v>344.24</v>
      </c>
    </row>
    <row r="330" spans="1:2">
      <c r="A330" s="1">
        <v>31382</v>
      </c>
      <c r="B330">
        <v>345.56</v>
      </c>
    </row>
    <row r="331" spans="1:2">
      <c r="A331" s="1">
        <v>31413</v>
      </c>
      <c r="B331">
        <v>346.3</v>
      </c>
    </row>
    <row r="332" spans="1:2">
      <c r="A332" s="1">
        <v>31444</v>
      </c>
      <c r="B332">
        <v>346.95</v>
      </c>
    </row>
    <row r="333" spans="1:2">
      <c r="A333" s="1">
        <v>31472</v>
      </c>
      <c r="B333">
        <v>347.85</v>
      </c>
    </row>
    <row r="334" spans="1:2">
      <c r="A334" s="1">
        <v>31503</v>
      </c>
      <c r="B334">
        <v>349.55</v>
      </c>
    </row>
    <row r="335" spans="1:2">
      <c r="A335" s="1">
        <v>31533</v>
      </c>
      <c r="B335">
        <v>350.22</v>
      </c>
    </row>
    <row r="336" spans="1:2">
      <c r="A336" s="1">
        <v>31564</v>
      </c>
      <c r="B336">
        <v>349.55</v>
      </c>
    </row>
    <row r="337" spans="1:2">
      <c r="A337" s="1">
        <v>31594</v>
      </c>
      <c r="B337">
        <v>347.94</v>
      </c>
    </row>
    <row r="338" spans="1:2">
      <c r="A338" s="1">
        <v>31625</v>
      </c>
      <c r="B338">
        <v>345.9</v>
      </c>
    </row>
    <row r="339" spans="1:2">
      <c r="A339" s="1">
        <v>31656</v>
      </c>
      <c r="B339">
        <v>344.85</v>
      </c>
    </row>
    <row r="340" spans="1:2">
      <c r="A340" s="1">
        <v>31686</v>
      </c>
      <c r="B340">
        <v>344.17</v>
      </c>
    </row>
    <row r="341" spans="1:2">
      <c r="A341" s="1">
        <v>31717</v>
      </c>
      <c r="B341">
        <v>345.66</v>
      </c>
    </row>
    <row r="342" spans="1:2">
      <c r="A342" s="1">
        <v>31747</v>
      </c>
      <c r="B342">
        <v>346.9</v>
      </c>
    </row>
    <row r="343" spans="1:2">
      <c r="A343" s="1">
        <v>31778</v>
      </c>
      <c r="B343">
        <v>348.02</v>
      </c>
    </row>
    <row r="344" spans="1:2">
      <c r="A344" s="1">
        <v>31809</v>
      </c>
      <c r="B344">
        <v>348.48</v>
      </c>
    </row>
    <row r="345" spans="1:2">
      <c r="A345" s="1">
        <v>31837</v>
      </c>
      <c r="B345">
        <v>349.42</v>
      </c>
    </row>
    <row r="346" spans="1:2">
      <c r="A346" s="1">
        <v>31868</v>
      </c>
      <c r="B346">
        <v>350.98</v>
      </c>
    </row>
    <row r="347" spans="1:2">
      <c r="A347" s="1">
        <v>31898</v>
      </c>
      <c r="B347">
        <v>351.85</v>
      </c>
    </row>
    <row r="348" spans="1:2">
      <c r="A348" s="1">
        <v>31929</v>
      </c>
      <c r="B348">
        <v>351.26</v>
      </c>
    </row>
    <row r="349" spans="1:2">
      <c r="A349" s="1">
        <v>31959</v>
      </c>
      <c r="B349">
        <v>349.51</v>
      </c>
    </row>
    <row r="350" spans="1:2">
      <c r="A350" s="1">
        <v>31990</v>
      </c>
      <c r="B350">
        <v>348.1</v>
      </c>
    </row>
    <row r="351" spans="1:2">
      <c r="A351" s="1">
        <v>32021</v>
      </c>
      <c r="B351">
        <v>346.45</v>
      </c>
    </row>
    <row r="352" spans="1:2">
      <c r="A352" s="1">
        <v>32051</v>
      </c>
      <c r="B352">
        <v>346.36</v>
      </c>
    </row>
    <row r="353" spans="1:2">
      <c r="A353" s="1">
        <v>32082</v>
      </c>
      <c r="B353">
        <v>347.81</v>
      </c>
    </row>
    <row r="354" spans="1:2">
      <c r="A354" s="1">
        <v>32112</v>
      </c>
      <c r="B354">
        <v>348.96</v>
      </c>
    </row>
    <row r="355" spans="1:2">
      <c r="A355" s="1">
        <v>32143</v>
      </c>
      <c r="B355">
        <v>350.43</v>
      </c>
    </row>
    <row r="356" spans="1:2">
      <c r="A356" s="1">
        <v>32174</v>
      </c>
      <c r="B356">
        <v>351.73</v>
      </c>
    </row>
    <row r="357" spans="1:2">
      <c r="A357" s="1">
        <v>32203</v>
      </c>
      <c r="B357">
        <v>352.22</v>
      </c>
    </row>
    <row r="358" spans="1:2">
      <c r="A358" s="1">
        <v>32234</v>
      </c>
      <c r="B358">
        <v>353.59</v>
      </c>
    </row>
    <row r="359" spans="1:2">
      <c r="A359" s="1">
        <v>32264</v>
      </c>
      <c r="B359">
        <v>354.22</v>
      </c>
    </row>
    <row r="360" spans="1:2">
      <c r="A360" s="1">
        <v>32295</v>
      </c>
      <c r="B360">
        <v>353.8</v>
      </c>
    </row>
    <row r="361" spans="1:2">
      <c r="A361" s="1">
        <v>32325</v>
      </c>
      <c r="B361">
        <v>352.38</v>
      </c>
    </row>
    <row r="362" spans="1:2">
      <c r="A362" s="1">
        <v>32356</v>
      </c>
      <c r="B362">
        <v>350.43</v>
      </c>
    </row>
    <row r="363" spans="1:2">
      <c r="A363" s="1">
        <v>32387</v>
      </c>
      <c r="B363">
        <v>348.73</v>
      </c>
    </row>
    <row r="364" spans="1:2">
      <c r="A364" s="1">
        <v>32417</v>
      </c>
      <c r="B364">
        <v>348.88</v>
      </c>
    </row>
    <row r="365" spans="1:2">
      <c r="A365" s="1">
        <v>32448</v>
      </c>
      <c r="B365">
        <v>350.07</v>
      </c>
    </row>
    <row r="366" spans="1:2">
      <c r="A366" s="1">
        <v>32478</v>
      </c>
      <c r="B366">
        <v>351.34</v>
      </c>
    </row>
    <row r="367" spans="1:2">
      <c r="A367" s="1">
        <v>32509</v>
      </c>
      <c r="B367">
        <v>352.76</v>
      </c>
    </row>
    <row r="368" spans="1:2">
      <c r="A368" s="1">
        <v>32540</v>
      </c>
      <c r="B368">
        <v>353.07</v>
      </c>
    </row>
    <row r="369" spans="1:2">
      <c r="A369" s="1">
        <v>32568</v>
      </c>
      <c r="B369">
        <v>353.68</v>
      </c>
    </row>
    <row r="370" spans="1:2">
      <c r="A370" s="1">
        <v>32599</v>
      </c>
      <c r="B370">
        <v>355.42</v>
      </c>
    </row>
    <row r="371" spans="1:2">
      <c r="A371" s="1">
        <v>32629</v>
      </c>
      <c r="B371">
        <v>355.67</v>
      </c>
    </row>
    <row r="372" spans="1:2">
      <c r="A372" s="1">
        <v>32660</v>
      </c>
      <c r="B372">
        <v>355.12</v>
      </c>
    </row>
    <row r="373" spans="1:2">
      <c r="A373" s="1">
        <v>32690</v>
      </c>
      <c r="B373">
        <v>353.9</v>
      </c>
    </row>
    <row r="374" spans="1:2">
      <c r="A374" s="1">
        <v>32721</v>
      </c>
      <c r="B374">
        <v>351.67</v>
      </c>
    </row>
    <row r="375" spans="1:2">
      <c r="A375" s="1">
        <v>32752</v>
      </c>
      <c r="B375">
        <v>349.81</v>
      </c>
    </row>
    <row r="376" spans="1:2">
      <c r="A376" s="1">
        <v>32782</v>
      </c>
      <c r="B376">
        <v>349.99</v>
      </c>
    </row>
    <row r="377" spans="1:2">
      <c r="A377" s="1">
        <v>32813</v>
      </c>
      <c r="B377">
        <v>351.3</v>
      </c>
    </row>
    <row r="378" spans="1:2">
      <c r="A378" s="1">
        <v>32843</v>
      </c>
      <c r="B378">
        <v>352.52</v>
      </c>
    </row>
    <row r="379" spans="1:2">
      <c r="A379" s="1">
        <v>32874</v>
      </c>
      <c r="B379">
        <v>353.66</v>
      </c>
    </row>
    <row r="380" spans="1:2">
      <c r="A380" s="1">
        <v>32905</v>
      </c>
      <c r="B380">
        <v>354.7</v>
      </c>
    </row>
    <row r="381" spans="1:2">
      <c r="A381" s="1">
        <v>32933</v>
      </c>
      <c r="B381">
        <v>355.38</v>
      </c>
    </row>
    <row r="382" spans="1:2">
      <c r="A382" s="1">
        <v>32964</v>
      </c>
      <c r="B382">
        <v>356.2</v>
      </c>
    </row>
    <row r="383" spans="1:2">
      <c r="A383" s="1">
        <v>32994</v>
      </c>
      <c r="B383">
        <v>357.16</v>
      </c>
    </row>
    <row r="384" spans="1:2">
      <c r="A384" s="1">
        <v>33025</v>
      </c>
      <c r="B384">
        <v>356.23</v>
      </c>
    </row>
    <row r="385" spans="1:2">
      <c r="A385" s="1">
        <v>33055</v>
      </c>
      <c r="B385">
        <v>354.81</v>
      </c>
    </row>
    <row r="386" spans="1:2">
      <c r="A386" s="1">
        <v>33086</v>
      </c>
      <c r="B386">
        <v>352.91</v>
      </c>
    </row>
    <row r="387" spans="1:2">
      <c r="A387" s="1">
        <v>33117</v>
      </c>
      <c r="B387">
        <v>350.96</v>
      </c>
    </row>
    <row r="388" spans="1:2">
      <c r="A388" s="1">
        <v>33147</v>
      </c>
      <c r="B388">
        <v>351.18</v>
      </c>
    </row>
    <row r="389" spans="1:2">
      <c r="A389" s="1">
        <v>33178</v>
      </c>
      <c r="B389">
        <v>352.83</v>
      </c>
    </row>
    <row r="390" spans="1:2">
      <c r="A390" s="1">
        <v>33208</v>
      </c>
      <c r="B390">
        <v>354.21</v>
      </c>
    </row>
    <row r="391" spans="1:2">
      <c r="A391" s="1">
        <v>33239</v>
      </c>
      <c r="B391">
        <v>354.72</v>
      </c>
    </row>
    <row r="392" spans="1:2">
      <c r="A392" s="1">
        <v>33270</v>
      </c>
      <c r="B392">
        <v>355.75</v>
      </c>
    </row>
    <row r="393" spans="1:2">
      <c r="A393" s="1">
        <v>33298</v>
      </c>
      <c r="B393">
        <v>357.16</v>
      </c>
    </row>
    <row r="394" spans="1:2">
      <c r="A394" s="1">
        <v>33329</v>
      </c>
      <c r="B394">
        <v>358.6</v>
      </c>
    </row>
    <row r="395" spans="1:2">
      <c r="A395" s="1">
        <v>33359</v>
      </c>
      <c r="B395">
        <v>359.34</v>
      </c>
    </row>
    <row r="396" spans="1:2">
      <c r="A396" s="1">
        <v>33390</v>
      </c>
      <c r="B396">
        <v>358.24</v>
      </c>
    </row>
    <row r="397" spans="1:2">
      <c r="A397" s="1">
        <v>33420</v>
      </c>
      <c r="B397">
        <v>356.17</v>
      </c>
    </row>
    <row r="398" spans="1:2">
      <c r="A398" s="1">
        <v>33451</v>
      </c>
      <c r="B398">
        <v>354.01</v>
      </c>
    </row>
    <row r="399" spans="1:2">
      <c r="A399" s="1">
        <v>33482</v>
      </c>
      <c r="B399">
        <v>352.15</v>
      </c>
    </row>
    <row r="400" spans="1:2">
      <c r="A400" s="1">
        <v>33512</v>
      </c>
      <c r="B400">
        <v>352.21</v>
      </c>
    </row>
    <row r="401" spans="1:2">
      <c r="A401" s="1">
        <v>33543</v>
      </c>
      <c r="B401">
        <v>353.75</v>
      </c>
    </row>
    <row r="402" spans="1:2">
      <c r="A402" s="1">
        <v>33573</v>
      </c>
      <c r="B402">
        <v>354.99</v>
      </c>
    </row>
    <row r="403" spans="1:2">
      <c r="A403" s="1">
        <v>33604</v>
      </c>
      <c r="B403">
        <v>355.99</v>
      </c>
    </row>
    <row r="404" spans="1:2">
      <c r="A404" s="1">
        <v>33635</v>
      </c>
      <c r="B404">
        <v>356.72</v>
      </c>
    </row>
    <row r="405" spans="1:2">
      <c r="A405" s="1">
        <v>33664</v>
      </c>
      <c r="B405">
        <v>357.81</v>
      </c>
    </row>
    <row r="406" spans="1:2">
      <c r="A406" s="1">
        <v>33695</v>
      </c>
      <c r="B406">
        <v>359.15</v>
      </c>
    </row>
    <row r="407" spans="1:2">
      <c r="A407" s="1">
        <v>33725</v>
      </c>
      <c r="B407">
        <v>359.66</v>
      </c>
    </row>
    <row r="408" spans="1:2">
      <c r="A408" s="1">
        <v>33756</v>
      </c>
      <c r="B408">
        <v>359.25</v>
      </c>
    </row>
    <row r="409" spans="1:2">
      <c r="A409" s="1">
        <v>33786</v>
      </c>
      <c r="B409">
        <v>357.02</v>
      </c>
    </row>
    <row r="410" spans="1:2">
      <c r="A410" s="1">
        <v>33817</v>
      </c>
      <c r="B410">
        <v>355</v>
      </c>
    </row>
    <row r="411" spans="1:2">
      <c r="A411" s="1">
        <v>33848</v>
      </c>
      <c r="B411">
        <v>353.01</v>
      </c>
    </row>
    <row r="412" spans="1:2">
      <c r="A412" s="1">
        <v>33878</v>
      </c>
      <c r="B412">
        <v>353.31</v>
      </c>
    </row>
    <row r="413" spans="1:2">
      <c r="A413" s="1">
        <v>33909</v>
      </c>
      <c r="B413">
        <v>354.16</v>
      </c>
    </row>
    <row r="414" spans="1:2">
      <c r="A414" s="1">
        <v>33939</v>
      </c>
      <c r="B414">
        <v>355.4</v>
      </c>
    </row>
    <row r="415" spans="1:2">
      <c r="A415" s="1">
        <v>33970</v>
      </c>
      <c r="B415">
        <v>356.7</v>
      </c>
    </row>
    <row r="416" spans="1:2">
      <c r="A416" s="1">
        <v>34001</v>
      </c>
      <c r="B416">
        <v>357.17</v>
      </c>
    </row>
    <row r="417" spans="1:2">
      <c r="A417" s="1">
        <v>34029</v>
      </c>
      <c r="B417">
        <v>358.38</v>
      </c>
    </row>
    <row r="418" spans="1:2">
      <c r="A418" s="1">
        <v>34060</v>
      </c>
      <c r="B418">
        <v>359.46</v>
      </c>
    </row>
    <row r="419" spans="1:2">
      <c r="A419" s="1">
        <v>34090</v>
      </c>
      <c r="B419">
        <v>360.28</v>
      </c>
    </row>
    <row r="420" spans="1:2">
      <c r="A420" s="1">
        <v>34121</v>
      </c>
      <c r="B420">
        <v>359.6</v>
      </c>
    </row>
    <row r="421" spans="1:2">
      <c r="A421" s="1">
        <v>34151</v>
      </c>
      <c r="B421">
        <v>357.57</v>
      </c>
    </row>
    <row r="422" spans="1:2">
      <c r="A422" s="1">
        <v>34182</v>
      </c>
      <c r="B422">
        <v>355.52</v>
      </c>
    </row>
    <row r="423" spans="1:2">
      <c r="A423" s="1">
        <v>34213</v>
      </c>
      <c r="B423">
        <v>353.69</v>
      </c>
    </row>
    <row r="424" spans="1:2">
      <c r="A424" s="1">
        <v>34243</v>
      </c>
      <c r="B424">
        <v>353.99</v>
      </c>
    </row>
    <row r="425" spans="1:2">
      <c r="A425" s="1">
        <v>34274</v>
      </c>
      <c r="B425">
        <v>355.34</v>
      </c>
    </row>
    <row r="426" spans="1:2">
      <c r="A426" s="1">
        <v>34304</v>
      </c>
      <c r="B426">
        <v>356.8</v>
      </c>
    </row>
    <row r="427" spans="1:2">
      <c r="A427" s="1">
        <v>34335</v>
      </c>
      <c r="B427">
        <v>358.37</v>
      </c>
    </row>
    <row r="428" spans="1:2">
      <c r="A428" s="1">
        <v>34366</v>
      </c>
      <c r="B428">
        <v>358.91</v>
      </c>
    </row>
    <row r="429" spans="1:2">
      <c r="A429" s="1">
        <v>34394</v>
      </c>
      <c r="B429">
        <v>359.97</v>
      </c>
    </row>
    <row r="430" spans="1:2">
      <c r="A430" s="1">
        <v>34425</v>
      </c>
      <c r="B430">
        <v>361.26</v>
      </c>
    </row>
    <row r="431" spans="1:2">
      <c r="A431" s="1">
        <v>34455</v>
      </c>
      <c r="B431">
        <v>361.69</v>
      </c>
    </row>
    <row r="432" spans="1:2">
      <c r="A432" s="1">
        <v>34486</v>
      </c>
      <c r="B432">
        <v>360.94</v>
      </c>
    </row>
    <row r="433" spans="1:2">
      <c r="A433" s="1">
        <v>34516</v>
      </c>
      <c r="B433">
        <v>359.55</v>
      </c>
    </row>
    <row r="434" spans="1:2">
      <c r="A434" s="1">
        <v>34547</v>
      </c>
      <c r="B434">
        <v>357.48</v>
      </c>
    </row>
    <row r="435" spans="1:2">
      <c r="A435" s="1">
        <v>34578</v>
      </c>
      <c r="B435">
        <v>355.84</v>
      </c>
    </row>
    <row r="436" spans="1:2">
      <c r="A436" s="1">
        <v>34608</v>
      </c>
      <c r="B436">
        <v>356</v>
      </c>
    </row>
    <row r="437" spans="1:2">
      <c r="A437" s="1">
        <v>34639</v>
      </c>
      <c r="B437">
        <v>357.58</v>
      </c>
    </row>
    <row r="438" spans="1:2">
      <c r="A438" s="1">
        <v>34669</v>
      </c>
      <c r="B438">
        <v>359.04</v>
      </c>
    </row>
    <row r="439" spans="1:2">
      <c r="A439" s="1">
        <v>34700</v>
      </c>
      <c r="B439">
        <v>359.97</v>
      </c>
    </row>
    <row r="440" spans="1:2">
      <c r="A440" s="1">
        <v>34731</v>
      </c>
      <c r="B440">
        <v>361</v>
      </c>
    </row>
    <row r="441" spans="1:2">
      <c r="A441" s="1">
        <v>34759</v>
      </c>
      <c r="B441">
        <v>361.63</v>
      </c>
    </row>
    <row r="442" spans="1:2">
      <c r="A442" s="1">
        <v>34790</v>
      </c>
      <c r="B442">
        <v>363.45</v>
      </c>
    </row>
    <row r="443" spans="1:2">
      <c r="A443" s="1">
        <v>34820</v>
      </c>
      <c r="B443">
        <v>363.8</v>
      </c>
    </row>
    <row r="444" spans="1:2">
      <c r="A444" s="1">
        <v>34851</v>
      </c>
      <c r="B444">
        <v>363.26</v>
      </c>
    </row>
    <row r="445" spans="1:2">
      <c r="A445" s="1">
        <v>34881</v>
      </c>
      <c r="B445">
        <v>361.89</v>
      </c>
    </row>
    <row r="446" spans="1:2">
      <c r="A446" s="1">
        <v>34912</v>
      </c>
      <c r="B446">
        <v>359.45</v>
      </c>
    </row>
    <row r="447" spans="1:2">
      <c r="A447" s="1">
        <v>34943</v>
      </c>
      <c r="B447">
        <v>358.05</v>
      </c>
    </row>
    <row r="448" spans="1:2">
      <c r="A448" s="1">
        <v>34973</v>
      </c>
      <c r="B448">
        <v>357.75</v>
      </c>
    </row>
    <row r="449" spans="1:2">
      <c r="A449" s="1">
        <v>35004</v>
      </c>
      <c r="B449">
        <v>359.56</v>
      </c>
    </row>
    <row r="450" spans="1:2">
      <c r="A450" s="1">
        <v>35034</v>
      </c>
      <c r="B450">
        <v>360.7</v>
      </c>
    </row>
    <row r="451" spans="1:2">
      <c r="A451" s="1">
        <v>35065</v>
      </c>
      <c r="B451">
        <v>362.05</v>
      </c>
    </row>
    <row r="452" spans="1:2">
      <c r="A452" s="1">
        <v>35096</v>
      </c>
      <c r="B452">
        <v>363.24</v>
      </c>
    </row>
    <row r="453" spans="1:2">
      <c r="A453" s="1">
        <v>35125</v>
      </c>
      <c r="B453">
        <v>364.02</v>
      </c>
    </row>
    <row r="454" spans="1:2">
      <c r="A454" s="1">
        <v>35156</v>
      </c>
      <c r="B454">
        <v>364.71</v>
      </c>
    </row>
    <row r="455" spans="1:2">
      <c r="A455" s="1">
        <v>35186</v>
      </c>
      <c r="B455">
        <v>365.42</v>
      </c>
    </row>
    <row r="456" spans="1:2">
      <c r="A456" s="1">
        <v>35217</v>
      </c>
      <c r="B456">
        <v>364.97</v>
      </c>
    </row>
    <row r="457" spans="1:2">
      <c r="A457" s="1">
        <v>35247</v>
      </c>
      <c r="B457">
        <v>363.65</v>
      </c>
    </row>
    <row r="458" spans="1:2">
      <c r="A458" s="1">
        <v>35278</v>
      </c>
      <c r="B458">
        <v>361.48</v>
      </c>
    </row>
    <row r="459" spans="1:2">
      <c r="A459" s="1">
        <v>35309</v>
      </c>
      <c r="B459">
        <v>359.45</v>
      </c>
    </row>
    <row r="460" spans="1:2">
      <c r="A460" s="1">
        <v>35339</v>
      </c>
      <c r="B460">
        <v>359.61</v>
      </c>
    </row>
    <row r="461" spans="1:2">
      <c r="A461" s="1">
        <v>35370</v>
      </c>
      <c r="B461">
        <v>360.76</v>
      </c>
    </row>
    <row r="462" spans="1:2">
      <c r="A462" s="1">
        <v>35400</v>
      </c>
      <c r="B462">
        <v>362.33</v>
      </c>
    </row>
    <row r="463" spans="1:2">
      <c r="A463" s="1">
        <v>35431</v>
      </c>
      <c r="B463">
        <v>363.19</v>
      </c>
    </row>
    <row r="464" spans="1:2">
      <c r="A464" s="1">
        <v>35462</v>
      </c>
      <c r="B464">
        <v>363.99</v>
      </c>
    </row>
    <row r="465" spans="1:2">
      <c r="A465" s="1">
        <v>35490</v>
      </c>
      <c r="B465">
        <v>364.56</v>
      </c>
    </row>
    <row r="466" spans="1:2">
      <c r="A466" s="1">
        <v>35521</v>
      </c>
      <c r="B466">
        <v>366.36</v>
      </c>
    </row>
    <row r="467" spans="1:2">
      <c r="A467" s="1">
        <v>35551</v>
      </c>
      <c r="B467">
        <v>366.8</v>
      </c>
    </row>
    <row r="468" spans="1:2">
      <c r="A468" s="1">
        <v>35582</v>
      </c>
      <c r="B468">
        <v>365.63</v>
      </c>
    </row>
    <row r="469" spans="1:2">
      <c r="A469" s="1">
        <v>35612</v>
      </c>
      <c r="B469">
        <v>364.47</v>
      </c>
    </row>
    <row r="470" spans="1:2">
      <c r="A470" s="1">
        <v>35643</v>
      </c>
      <c r="B470">
        <v>362.5</v>
      </c>
    </row>
    <row r="471" spans="1:2">
      <c r="A471" s="1">
        <v>35674</v>
      </c>
      <c r="B471">
        <v>360.19</v>
      </c>
    </row>
    <row r="472" spans="1:2">
      <c r="A472" s="1">
        <v>35704</v>
      </c>
      <c r="B472">
        <v>360.78</v>
      </c>
    </row>
    <row r="473" spans="1:2">
      <c r="A473" s="1">
        <v>35735</v>
      </c>
      <c r="B473">
        <v>362.43</v>
      </c>
    </row>
    <row r="474" spans="1:2">
      <c r="A474" s="1">
        <v>35765</v>
      </c>
      <c r="B474">
        <v>364.28</v>
      </c>
    </row>
    <row r="475" spans="1:2">
      <c r="A475" s="1">
        <v>35796</v>
      </c>
      <c r="B475">
        <v>365.33</v>
      </c>
    </row>
    <row r="476" spans="1:2">
      <c r="A476" s="1">
        <v>35827</v>
      </c>
      <c r="B476">
        <v>366.15</v>
      </c>
    </row>
    <row r="477" spans="1:2">
      <c r="A477" s="1">
        <v>35855</v>
      </c>
      <c r="B477">
        <v>367.31</v>
      </c>
    </row>
    <row r="478" spans="1:2">
      <c r="A478" s="1">
        <v>35886</v>
      </c>
      <c r="B478">
        <v>368.61</v>
      </c>
    </row>
    <row r="479" spans="1:2">
      <c r="A479" s="1">
        <v>35916</v>
      </c>
      <c r="B479">
        <v>369.3</v>
      </c>
    </row>
    <row r="480" spans="1:2">
      <c r="A480" s="1">
        <v>35947</v>
      </c>
      <c r="B480">
        <v>368.88</v>
      </c>
    </row>
    <row r="481" spans="1:2">
      <c r="A481" s="1">
        <v>35977</v>
      </c>
      <c r="B481">
        <v>367.64</v>
      </c>
    </row>
    <row r="482" spans="1:2">
      <c r="A482" s="1">
        <v>36008</v>
      </c>
      <c r="B482">
        <v>365.78</v>
      </c>
    </row>
    <row r="483" spans="1:2">
      <c r="A483" s="1">
        <v>36039</v>
      </c>
      <c r="B483">
        <v>363.9</v>
      </c>
    </row>
    <row r="484" spans="1:2">
      <c r="A484" s="1">
        <v>36069</v>
      </c>
      <c r="B484">
        <v>364.23</v>
      </c>
    </row>
    <row r="485" spans="1:2">
      <c r="A485" s="1">
        <v>36100</v>
      </c>
      <c r="B485">
        <v>365.46</v>
      </c>
    </row>
    <row r="486" spans="1:2">
      <c r="A486" s="1">
        <v>36130</v>
      </c>
      <c r="B486">
        <v>366.97</v>
      </c>
    </row>
    <row r="487" spans="1:2">
      <c r="A487" s="1">
        <v>36161</v>
      </c>
      <c r="B487">
        <v>368.15</v>
      </c>
    </row>
    <row r="488" spans="1:2">
      <c r="A488" s="1">
        <v>36192</v>
      </c>
      <c r="B488">
        <v>368.87</v>
      </c>
    </row>
    <row r="489" spans="1:2">
      <c r="A489" s="1">
        <v>36220</v>
      </c>
      <c r="B489">
        <v>369.59</v>
      </c>
    </row>
    <row r="490" spans="1:2">
      <c r="A490" s="1">
        <v>36251</v>
      </c>
      <c r="B490">
        <v>371.14</v>
      </c>
    </row>
    <row r="491" spans="1:2">
      <c r="A491" s="1">
        <v>36281</v>
      </c>
      <c r="B491">
        <v>371</v>
      </c>
    </row>
    <row r="492" spans="1:2">
      <c r="A492" s="1">
        <v>36312</v>
      </c>
      <c r="B492">
        <v>370.35</v>
      </c>
    </row>
    <row r="493" spans="1:2">
      <c r="A493" s="1">
        <v>36342</v>
      </c>
      <c r="B493">
        <v>369.27</v>
      </c>
    </row>
    <row r="494" spans="1:2">
      <c r="A494" s="1">
        <v>36373</v>
      </c>
      <c r="B494">
        <v>366.93</v>
      </c>
    </row>
    <row r="495" spans="1:2">
      <c r="A495" s="1">
        <v>36404</v>
      </c>
      <c r="B495">
        <v>364.64</v>
      </c>
    </row>
    <row r="496" spans="1:2">
      <c r="A496" s="1">
        <v>36434</v>
      </c>
      <c r="B496">
        <v>365.13</v>
      </c>
    </row>
    <row r="497" spans="1:2">
      <c r="A497" s="1">
        <v>36465</v>
      </c>
      <c r="B497">
        <v>366.68</v>
      </c>
    </row>
    <row r="498" spans="1:2">
      <c r="A498" s="1">
        <v>36495</v>
      </c>
      <c r="B498">
        <v>368</v>
      </c>
    </row>
    <row r="499" spans="1:2">
      <c r="A499" s="1">
        <v>36526</v>
      </c>
      <c r="B499">
        <v>369.14</v>
      </c>
    </row>
    <row r="500" spans="1:2">
      <c r="A500" s="1">
        <v>36557</v>
      </c>
      <c r="B500">
        <v>369.46</v>
      </c>
    </row>
    <row r="501" spans="1:2">
      <c r="A501" s="1">
        <v>36586</v>
      </c>
      <c r="B501">
        <v>370.51</v>
      </c>
    </row>
    <row r="502" spans="1:2">
      <c r="A502" s="1">
        <v>36617</v>
      </c>
      <c r="B502">
        <v>371.66</v>
      </c>
    </row>
    <row r="503" spans="1:2">
      <c r="A503" s="1">
        <v>36647</v>
      </c>
      <c r="B503">
        <v>371.83</v>
      </c>
    </row>
    <row r="504" spans="1:2">
      <c r="A504" s="1">
        <v>36678</v>
      </c>
      <c r="B504">
        <v>371.69</v>
      </c>
    </row>
    <row r="505" spans="1:2">
      <c r="A505" s="1">
        <v>36708</v>
      </c>
      <c r="B505">
        <v>370.12</v>
      </c>
    </row>
    <row r="506" spans="1:2">
      <c r="A506" s="1">
        <v>36739</v>
      </c>
      <c r="B506">
        <v>368.12</v>
      </c>
    </row>
    <row r="507" spans="1:2">
      <c r="A507" s="1">
        <v>36770</v>
      </c>
      <c r="B507">
        <v>366.62</v>
      </c>
    </row>
    <row r="508" spans="1:2">
      <c r="A508" s="1">
        <v>36800</v>
      </c>
      <c r="B508">
        <v>366.73</v>
      </c>
    </row>
    <row r="509" spans="1:2">
      <c r="A509" s="1">
        <v>36831</v>
      </c>
      <c r="B509">
        <v>368.29</v>
      </c>
    </row>
    <row r="510" spans="1:2">
      <c r="A510" s="1">
        <v>36861</v>
      </c>
      <c r="B510">
        <v>369.52</v>
      </c>
    </row>
    <row r="511" spans="1:2">
      <c r="A511" s="1">
        <v>36892</v>
      </c>
      <c r="B511">
        <v>370.28</v>
      </c>
    </row>
    <row r="512" spans="1:2">
      <c r="A512" s="1">
        <v>36923</v>
      </c>
      <c r="B512">
        <v>371.5</v>
      </c>
    </row>
    <row r="513" spans="1:2">
      <c r="A513" s="1">
        <v>36951</v>
      </c>
      <c r="B513">
        <v>372.12</v>
      </c>
    </row>
    <row r="514" spans="1:2">
      <c r="A514" s="1">
        <v>36982</v>
      </c>
      <c r="B514">
        <v>372.86</v>
      </c>
    </row>
    <row r="515" spans="1:2">
      <c r="A515" s="1">
        <v>37012</v>
      </c>
      <c r="B515">
        <v>374.02</v>
      </c>
    </row>
    <row r="516" spans="1:2">
      <c r="A516" s="1">
        <v>37043</v>
      </c>
      <c r="B516">
        <v>373.31</v>
      </c>
    </row>
    <row r="517" spans="1:2">
      <c r="A517" s="1">
        <v>37073</v>
      </c>
      <c r="B517">
        <v>371.62</v>
      </c>
    </row>
    <row r="518" spans="1:2">
      <c r="A518" s="1">
        <v>37104</v>
      </c>
      <c r="B518">
        <v>369.55</v>
      </c>
    </row>
    <row r="519" spans="1:2">
      <c r="A519" s="1">
        <v>37135</v>
      </c>
      <c r="B519">
        <v>367.96</v>
      </c>
    </row>
    <row r="520" spans="1:2">
      <c r="A520" s="1">
        <v>37165</v>
      </c>
      <c r="B520">
        <v>368.09</v>
      </c>
    </row>
    <row r="521" spans="1:2">
      <c r="A521" s="1">
        <v>37196</v>
      </c>
      <c r="B521">
        <v>369.68</v>
      </c>
    </row>
    <row r="522" spans="1:2">
      <c r="A522" s="1">
        <v>37226</v>
      </c>
      <c r="B522">
        <v>371.24</v>
      </c>
    </row>
    <row r="523" spans="1:2">
      <c r="A523" s="1">
        <v>37257</v>
      </c>
      <c r="B523">
        <v>372.44</v>
      </c>
    </row>
    <row r="524" spans="1:2">
      <c r="A524" s="1">
        <v>37288</v>
      </c>
      <c r="B524">
        <v>373.08</v>
      </c>
    </row>
    <row r="525" spans="1:2">
      <c r="A525" s="1">
        <v>37316</v>
      </c>
      <c r="B525">
        <v>373.52</v>
      </c>
    </row>
    <row r="526" spans="1:2">
      <c r="A526" s="1">
        <v>37347</v>
      </c>
      <c r="B526">
        <v>374.85</v>
      </c>
    </row>
    <row r="527" spans="1:2">
      <c r="A527" s="1">
        <v>37377</v>
      </c>
      <c r="B527">
        <v>375.55</v>
      </c>
    </row>
    <row r="528" spans="1:2">
      <c r="A528" s="1">
        <v>37408</v>
      </c>
      <c r="B528">
        <v>375.4</v>
      </c>
    </row>
    <row r="529" spans="1:2">
      <c r="A529" s="1">
        <v>37438</v>
      </c>
      <c r="B529">
        <v>374.02</v>
      </c>
    </row>
    <row r="530" spans="1:2">
      <c r="A530" s="1">
        <v>37469</v>
      </c>
      <c r="B530">
        <v>371.48</v>
      </c>
    </row>
    <row r="531" spans="1:2">
      <c r="A531" s="1">
        <v>37500</v>
      </c>
      <c r="B531">
        <v>370.7</v>
      </c>
    </row>
    <row r="532" spans="1:2">
      <c r="A532" s="1">
        <v>37530</v>
      </c>
      <c r="B532">
        <v>370.25</v>
      </c>
    </row>
    <row r="533" spans="1:2">
      <c r="A533" s="1">
        <v>37561</v>
      </c>
      <c r="B533">
        <v>372.08</v>
      </c>
    </row>
    <row r="534" spans="1:2">
      <c r="A534" s="1">
        <v>37591</v>
      </c>
      <c r="B534">
        <v>373.78</v>
      </c>
    </row>
    <row r="535" spans="1:2">
      <c r="A535" s="1">
        <v>37622</v>
      </c>
      <c r="B535">
        <v>374.68</v>
      </c>
    </row>
    <row r="536" spans="1:2">
      <c r="A536" s="1">
        <v>37653</v>
      </c>
      <c r="B536">
        <v>375.62</v>
      </c>
    </row>
    <row r="537" spans="1:2">
      <c r="A537" s="1">
        <v>37681</v>
      </c>
      <c r="B537">
        <v>376.11</v>
      </c>
    </row>
    <row r="538" spans="1:2">
      <c r="A538" s="1">
        <v>37712</v>
      </c>
      <c r="B538">
        <v>377.65</v>
      </c>
    </row>
    <row r="539" spans="1:2">
      <c r="A539" s="1">
        <v>37742</v>
      </c>
      <c r="B539">
        <v>378.35</v>
      </c>
    </row>
    <row r="540" spans="1:2">
      <c r="A540" s="1">
        <v>37773</v>
      </c>
      <c r="B540">
        <v>378.13</v>
      </c>
    </row>
    <row r="541" spans="1:2">
      <c r="A541" s="1">
        <v>37803</v>
      </c>
      <c r="B541">
        <v>376.6</v>
      </c>
    </row>
    <row r="542" spans="1:2">
      <c r="A542" s="1">
        <v>37834</v>
      </c>
      <c r="B542">
        <v>374.48</v>
      </c>
    </row>
    <row r="543" spans="1:2">
      <c r="A543" s="1">
        <v>37865</v>
      </c>
      <c r="B543">
        <v>372.98</v>
      </c>
    </row>
    <row r="544" spans="1:2">
      <c r="A544" s="1">
        <v>37895</v>
      </c>
      <c r="B544">
        <v>373</v>
      </c>
    </row>
    <row r="545" spans="1:2">
      <c r="A545" s="1">
        <v>37926</v>
      </c>
      <c r="B545">
        <v>374.35</v>
      </c>
    </row>
    <row r="546" spans="1:2">
      <c r="A546" s="1">
        <v>37956</v>
      </c>
      <c r="B546">
        <v>375.69</v>
      </c>
    </row>
    <row r="547" spans="1:2">
      <c r="A547" s="1">
        <v>37987</v>
      </c>
      <c r="B547">
        <v>376.79</v>
      </c>
    </row>
    <row r="548" spans="1:2">
      <c r="A548" s="1">
        <v>38018</v>
      </c>
      <c r="B548">
        <v>377.37</v>
      </c>
    </row>
    <row r="549" spans="1:2">
      <c r="A549" s="1">
        <v>38047</v>
      </c>
      <c r="B549">
        <v>378.39</v>
      </c>
    </row>
    <row r="550" spans="1:2">
      <c r="A550" s="1">
        <v>38078</v>
      </c>
      <c r="B550">
        <v>380.5</v>
      </c>
    </row>
    <row r="551" spans="1:2">
      <c r="A551" s="1">
        <v>38108</v>
      </c>
      <c r="B551">
        <v>380.62</v>
      </c>
    </row>
    <row r="552" spans="1:2">
      <c r="A552" s="1">
        <v>38139</v>
      </c>
      <c r="B552">
        <v>379.55</v>
      </c>
    </row>
    <row r="553" spans="1:2">
      <c r="A553" s="1">
        <v>38169</v>
      </c>
      <c r="B553">
        <v>377.76</v>
      </c>
    </row>
    <row r="554" spans="1:2">
      <c r="A554" s="1">
        <v>38200</v>
      </c>
      <c r="B554">
        <v>375.83</v>
      </c>
    </row>
    <row r="555" spans="1:2">
      <c r="A555" s="1">
        <v>38231</v>
      </c>
      <c r="B555">
        <v>374.05</v>
      </c>
    </row>
    <row r="556" spans="1:2">
      <c r="A556" s="1">
        <v>38261</v>
      </c>
      <c r="B556">
        <v>374.22</v>
      </c>
    </row>
    <row r="557" spans="1:2">
      <c r="A557" s="1">
        <v>38292</v>
      </c>
      <c r="B557">
        <v>375.84</v>
      </c>
    </row>
    <row r="558" spans="1:2">
      <c r="A558" s="1">
        <v>38322</v>
      </c>
      <c r="B558">
        <v>377.44</v>
      </c>
    </row>
    <row r="559" spans="1:2">
      <c r="A559" s="1">
        <v>38353</v>
      </c>
      <c r="B559">
        <v>378.34</v>
      </c>
    </row>
    <row r="560" spans="1:2">
      <c r="A560" s="1">
        <v>38384</v>
      </c>
      <c r="B560">
        <v>379.61</v>
      </c>
    </row>
    <row r="561" spans="1:2">
      <c r="A561" s="1">
        <v>38412</v>
      </c>
      <c r="B561">
        <v>380.08</v>
      </c>
    </row>
    <row r="562" spans="1:2">
      <c r="A562" s="1">
        <v>38443</v>
      </c>
      <c r="B562">
        <v>382.05</v>
      </c>
    </row>
    <row r="563" spans="1:2">
      <c r="A563" s="1">
        <v>38473</v>
      </c>
      <c r="B563">
        <v>382.24</v>
      </c>
    </row>
    <row r="564" spans="1:2">
      <c r="A564" s="1">
        <v>38504</v>
      </c>
      <c r="B564">
        <v>382.08</v>
      </c>
    </row>
    <row r="565" spans="1:2">
      <c r="A565" s="1">
        <v>38534</v>
      </c>
      <c r="B565">
        <v>380.66</v>
      </c>
    </row>
    <row r="566" spans="1:2">
      <c r="A566" s="1">
        <v>38565</v>
      </c>
      <c r="B566">
        <v>378.67</v>
      </c>
    </row>
    <row r="567" spans="1:2">
      <c r="A567" s="1">
        <v>38596</v>
      </c>
      <c r="B567">
        <v>376.42</v>
      </c>
    </row>
    <row r="568" spans="1:2">
      <c r="A568" s="1">
        <v>38626</v>
      </c>
      <c r="B568">
        <v>376.8</v>
      </c>
    </row>
    <row r="569" spans="1:2">
      <c r="A569" s="1">
        <v>38657</v>
      </c>
      <c r="B569">
        <v>378.31</v>
      </c>
    </row>
    <row r="570" spans="1:2">
      <c r="A570" s="1">
        <v>38687</v>
      </c>
      <c r="B570">
        <v>379.96</v>
      </c>
    </row>
    <row r="571" spans="1:2">
      <c r="A571" s="1">
        <v>38718</v>
      </c>
      <c r="B571">
        <v>381.37</v>
      </c>
    </row>
    <row r="572" spans="1:2">
      <c r="A572" s="1">
        <v>38749</v>
      </c>
      <c r="B572">
        <v>382.02</v>
      </c>
    </row>
    <row r="573" spans="1:2">
      <c r="A573" s="1">
        <v>38777</v>
      </c>
      <c r="B573">
        <v>382.56</v>
      </c>
    </row>
    <row r="574" spans="1:2">
      <c r="A574" s="1">
        <v>38808</v>
      </c>
      <c r="B574">
        <v>384.36</v>
      </c>
    </row>
    <row r="575" spans="1:2">
      <c r="A575" s="1">
        <v>38838</v>
      </c>
      <c r="B575">
        <v>384.92</v>
      </c>
    </row>
    <row r="576" spans="1:2">
      <c r="A576" s="1">
        <v>38869</v>
      </c>
      <c r="B576">
        <v>384.03</v>
      </c>
    </row>
    <row r="577" spans="1:2">
      <c r="A577" s="1">
        <v>38899</v>
      </c>
      <c r="B577">
        <v>382.28</v>
      </c>
    </row>
    <row r="578" spans="1:2">
      <c r="A578" s="1">
        <v>38930</v>
      </c>
      <c r="B578">
        <v>380.48</v>
      </c>
    </row>
    <row r="579" spans="1:2">
      <c r="A579" s="1">
        <v>38961</v>
      </c>
      <c r="B579">
        <v>378.81</v>
      </c>
    </row>
    <row r="580" spans="1:2">
      <c r="A580" s="1">
        <v>38991</v>
      </c>
      <c r="B580">
        <v>379.06</v>
      </c>
    </row>
    <row r="581" spans="1:2">
      <c r="A581" s="1">
        <v>39022</v>
      </c>
      <c r="B581">
        <v>380.14</v>
      </c>
    </row>
    <row r="582" spans="1:2">
      <c r="A582" s="1">
        <v>39052</v>
      </c>
      <c r="B582">
        <v>381.66</v>
      </c>
    </row>
    <row r="583" spans="1:2">
      <c r="A583" s="1">
        <v>39083</v>
      </c>
      <c r="B583">
        <v>382.58</v>
      </c>
    </row>
    <row r="584" spans="1:2">
      <c r="A584" s="1">
        <v>39114</v>
      </c>
      <c r="B584">
        <v>383.71</v>
      </c>
    </row>
    <row r="585" spans="1:2">
      <c r="A585" s="1">
        <v>39142</v>
      </c>
      <c r="B585">
        <v>384.34</v>
      </c>
    </row>
    <row r="586" spans="1:2">
      <c r="A586" s="1">
        <v>39173</v>
      </c>
      <c r="B586">
        <v>386.23</v>
      </c>
    </row>
    <row r="587" spans="1:2">
      <c r="A587" s="1">
        <v>39203</v>
      </c>
      <c r="B587">
        <v>386.41</v>
      </c>
    </row>
    <row r="588" spans="1:2">
      <c r="A588" s="1">
        <v>39234</v>
      </c>
      <c r="B588">
        <v>385.87</v>
      </c>
    </row>
    <row r="589" spans="1:2">
      <c r="A589" s="1">
        <v>39264</v>
      </c>
      <c r="B589">
        <v>384.44</v>
      </c>
    </row>
    <row r="590" spans="1:2">
      <c r="A590" s="1">
        <v>39295</v>
      </c>
      <c r="B590">
        <v>381.84</v>
      </c>
    </row>
    <row r="591" spans="1:2">
      <c r="A591" s="1">
        <v>39326</v>
      </c>
      <c r="B591">
        <v>380.86</v>
      </c>
    </row>
    <row r="592" spans="1:2">
      <c r="A592" s="1">
        <v>39356</v>
      </c>
      <c r="B592">
        <v>380.86</v>
      </c>
    </row>
    <row r="593" spans="1:2">
      <c r="A593" s="1">
        <v>39387</v>
      </c>
      <c r="B593">
        <v>382.36</v>
      </c>
    </row>
    <row r="594" spans="1:2">
      <c r="A594" s="1">
        <v>39417</v>
      </c>
      <c r="B594">
        <v>383.61</v>
      </c>
    </row>
    <row r="595" spans="1:2">
      <c r="A595" s="1">
        <v>39448</v>
      </c>
      <c r="B595">
        <v>385.07</v>
      </c>
    </row>
    <row r="596" spans="1:2">
      <c r="A596" s="1">
        <v>39479</v>
      </c>
      <c r="B596">
        <v>385.84</v>
      </c>
    </row>
    <row r="597" spans="1:2">
      <c r="A597" s="1">
        <v>39508</v>
      </c>
      <c r="B597">
        <v>385.83</v>
      </c>
    </row>
    <row r="598" spans="1:2">
      <c r="A598" s="1">
        <v>39539</v>
      </c>
      <c r="B598">
        <v>386.77</v>
      </c>
    </row>
    <row r="599" spans="1:2">
      <c r="A599" s="1">
        <v>39569</v>
      </c>
      <c r="B599">
        <v>388.51</v>
      </c>
    </row>
    <row r="600" spans="1:2">
      <c r="A600" s="1">
        <v>39600</v>
      </c>
      <c r="B600">
        <v>388.05</v>
      </c>
    </row>
    <row r="601" spans="1:2">
      <c r="A601" s="1">
        <v>39630</v>
      </c>
      <c r="B601">
        <v>386.25</v>
      </c>
    </row>
    <row r="602" spans="1:2">
      <c r="A602" s="1">
        <v>39661</v>
      </c>
      <c r="B602">
        <v>384.08</v>
      </c>
    </row>
    <row r="603" spans="1:2">
      <c r="A603" s="1">
        <v>39692</v>
      </c>
      <c r="B603">
        <v>383.09</v>
      </c>
    </row>
    <row r="604" spans="1:2">
      <c r="A604" s="1">
        <v>39722</v>
      </c>
      <c r="B604">
        <v>382.78</v>
      </c>
    </row>
    <row r="605" spans="1:2">
      <c r="A605" s="1">
        <v>39753</v>
      </c>
      <c r="B605">
        <v>384.01</v>
      </c>
    </row>
    <row r="606" spans="1:2">
      <c r="A606" s="1">
        <v>39783</v>
      </c>
      <c r="B606">
        <v>385.11</v>
      </c>
    </row>
    <row r="607" spans="1:2">
      <c r="A607" s="1">
        <v>39814</v>
      </c>
      <c r="B607">
        <v>386.65</v>
      </c>
    </row>
    <row r="608" spans="1:2">
      <c r="A608" s="1">
        <v>39845</v>
      </c>
      <c r="B608">
        <v>387.12</v>
      </c>
    </row>
    <row r="609" spans="1:2">
      <c r="A609" s="1">
        <v>39873</v>
      </c>
      <c r="B609">
        <v>388.52</v>
      </c>
    </row>
    <row r="610" spans="1:2">
      <c r="A610" s="1">
        <v>39904</v>
      </c>
      <c r="B610">
        <v>389.57</v>
      </c>
    </row>
    <row r="611" spans="1:2">
      <c r="A611" s="1">
        <v>39934</v>
      </c>
      <c r="B611">
        <v>390.17</v>
      </c>
    </row>
    <row r="612" spans="1:2">
      <c r="A612" s="1">
        <v>39965</v>
      </c>
      <c r="B612">
        <v>389.62</v>
      </c>
    </row>
    <row r="613" spans="1:2">
      <c r="A613" s="1">
        <v>39995</v>
      </c>
      <c r="B613">
        <v>388.07</v>
      </c>
    </row>
    <row r="614" spans="1:2">
      <c r="A614" s="1">
        <v>40026</v>
      </c>
      <c r="B614">
        <v>386.08</v>
      </c>
    </row>
    <row r="615" spans="1:2">
      <c r="A615" s="1">
        <v>40057</v>
      </c>
      <c r="B615">
        <v>384.65</v>
      </c>
    </row>
    <row r="616" spans="1:2">
      <c r="A616" s="1">
        <v>40087</v>
      </c>
      <c r="B616">
        <v>384.33</v>
      </c>
    </row>
    <row r="617" spans="1:2">
      <c r="A617" s="1">
        <v>40118</v>
      </c>
      <c r="B617">
        <v>386.05</v>
      </c>
    </row>
    <row r="618" spans="1:2">
      <c r="A618" s="1">
        <v>40148</v>
      </c>
      <c r="B618">
        <v>387.49</v>
      </c>
    </row>
    <row r="619" spans="1:2">
      <c r="A619" s="1">
        <v>40179</v>
      </c>
      <c r="B619">
        <v>388.55</v>
      </c>
    </row>
    <row r="620" spans="1:2">
      <c r="A620" s="1">
        <v>40210</v>
      </c>
      <c r="B620">
        <v>390.08</v>
      </c>
    </row>
    <row r="621" spans="1:2">
      <c r="A621" s="1">
        <v>40238</v>
      </c>
      <c r="B621">
        <v>391.01</v>
      </c>
    </row>
    <row r="622" spans="1:2">
      <c r="A622" s="1">
        <v>40269</v>
      </c>
      <c r="B622">
        <v>392.38</v>
      </c>
    </row>
    <row r="623" spans="1:2">
      <c r="A623" s="1">
        <v>40299</v>
      </c>
      <c r="B623">
        <v>393.22</v>
      </c>
    </row>
    <row r="624" spans="1:2">
      <c r="A624" s="1">
        <v>40330</v>
      </c>
      <c r="B624">
        <v>392.24</v>
      </c>
    </row>
    <row r="625" spans="1:2">
      <c r="A625" s="1">
        <v>40360</v>
      </c>
      <c r="B625">
        <v>390.33</v>
      </c>
    </row>
    <row r="626" spans="1:2">
      <c r="A626" s="1">
        <v>40391</v>
      </c>
      <c r="B626">
        <v>388.52</v>
      </c>
    </row>
    <row r="627" spans="1:2">
      <c r="A627" s="1">
        <v>40422</v>
      </c>
      <c r="B627">
        <v>386.84</v>
      </c>
    </row>
    <row r="628" spans="1:2">
      <c r="A628" s="1">
        <v>40452</v>
      </c>
      <c r="B628">
        <v>387.16</v>
      </c>
    </row>
    <row r="629" spans="1:2">
      <c r="A629" s="1">
        <v>40483</v>
      </c>
      <c r="B629">
        <v>388.67</v>
      </c>
    </row>
    <row r="630" spans="1:2">
      <c r="A630" s="1">
        <v>40513</v>
      </c>
      <c r="B630">
        <v>389.81</v>
      </c>
    </row>
    <row r="631" spans="1:2">
      <c r="A631" s="1">
        <v>40544</v>
      </c>
      <c r="B631">
        <v>391.3</v>
      </c>
    </row>
    <row r="632" spans="1:2">
      <c r="A632" s="1">
        <v>40575</v>
      </c>
      <c r="B632">
        <v>391.92</v>
      </c>
    </row>
    <row r="633" spans="1:2">
      <c r="A633" s="1">
        <v>40603</v>
      </c>
      <c r="B633">
        <v>392.45</v>
      </c>
    </row>
    <row r="634" spans="1:2">
      <c r="A634" s="1">
        <v>40634</v>
      </c>
      <c r="B634">
        <v>393.37</v>
      </c>
    </row>
    <row r="635" spans="1:2">
      <c r="A635" s="1">
        <v>40664</v>
      </c>
      <c r="B635">
        <v>394.28</v>
      </c>
    </row>
    <row r="636" spans="1:2">
      <c r="A636" s="1">
        <v>40695</v>
      </c>
      <c r="B636">
        <v>393.69</v>
      </c>
    </row>
    <row r="637" spans="1:2">
      <c r="A637" s="1">
        <v>40725</v>
      </c>
      <c r="B637">
        <v>392.59</v>
      </c>
    </row>
    <row r="638" spans="1:2">
      <c r="A638" s="1">
        <v>40756</v>
      </c>
      <c r="B638">
        <v>390.21</v>
      </c>
    </row>
    <row r="639" spans="1:2">
      <c r="A639" s="1">
        <v>40787</v>
      </c>
      <c r="B639">
        <v>389</v>
      </c>
    </row>
    <row r="640" spans="1:2">
      <c r="A640" s="1">
        <v>40817</v>
      </c>
      <c r="B640">
        <v>388.93</v>
      </c>
    </row>
    <row r="641" spans="1:2">
      <c r="A641" s="1">
        <v>40848</v>
      </c>
      <c r="B641">
        <v>390.24</v>
      </c>
    </row>
    <row r="642" spans="1:2">
      <c r="A642" s="1">
        <v>40878</v>
      </c>
      <c r="B642">
        <v>391.8</v>
      </c>
    </row>
    <row r="643" spans="1:2">
      <c r="A643" s="1">
        <v>40909</v>
      </c>
      <c r="B643">
        <v>393.07</v>
      </c>
    </row>
    <row r="644" spans="1:2">
      <c r="A644" s="1">
        <v>40940</v>
      </c>
      <c r="B644">
        <v>393.35</v>
      </c>
    </row>
    <row r="645" spans="1:2">
      <c r="A645" s="1">
        <v>40969</v>
      </c>
      <c r="B645">
        <v>394.36</v>
      </c>
    </row>
    <row r="646" spans="1:2">
      <c r="A646" s="1">
        <v>41000</v>
      </c>
      <c r="B646">
        <v>396.43</v>
      </c>
    </row>
    <row r="647" spans="1:2">
      <c r="A647" s="1">
        <v>41030</v>
      </c>
      <c r="B647">
        <v>396.87</v>
      </c>
    </row>
    <row r="648" spans="1:2">
      <c r="A648" s="1">
        <v>41061</v>
      </c>
      <c r="B648">
        <v>395.88</v>
      </c>
    </row>
    <row r="649" spans="1:2">
      <c r="A649" s="1">
        <v>41091</v>
      </c>
      <c r="B649">
        <v>394.52</v>
      </c>
    </row>
    <row r="650" spans="1:2">
      <c r="A650" s="1">
        <v>41122</v>
      </c>
      <c r="B650">
        <v>392.54</v>
      </c>
    </row>
    <row r="651" spans="1:2">
      <c r="A651" s="1">
        <v>41153</v>
      </c>
      <c r="B651">
        <v>391.13</v>
      </c>
    </row>
    <row r="652" spans="1:2">
      <c r="A652" s="1">
        <v>41183</v>
      </c>
      <c r="B652">
        <v>391.01</v>
      </c>
    </row>
    <row r="653" spans="1:2">
      <c r="A653" s="1">
        <v>41214</v>
      </c>
      <c r="B653">
        <v>392.95</v>
      </c>
    </row>
    <row r="654" spans="1:2">
      <c r="A654" s="1">
        <v>41244</v>
      </c>
      <c r="B654">
        <v>394.33</v>
      </c>
    </row>
    <row r="655" spans="1:2">
      <c r="A655" s="1">
        <v>41275</v>
      </c>
      <c r="B655">
        <v>395.61</v>
      </c>
    </row>
    <row r="656" spans="1:2">
      <c r="A656" s="1">
        <v>41306</v>
      </c>
      <c r="B656">
        <v>396.85</v>
      </c>
    </row>
    <row r="657" spans="1:2">
      <c r="A657" s="1">
        <v>41334</v>
      </c>
      <c r="B657">
        <v>397.26</v>
      </c>
    </row>
    <row r="658" spans="1:2">
      <c r="A658" s="1">
        <v>41365</v>
      </c>
      <c r="B658">
        <v>398.35</v>
      </c>
    </row>
    <row r="659" spans="1:2">
      <c r="A659" s="1">
        <v>41395</v>
      </c>
      <c r="B659">
        <v>399.98</v>
      </c>
    </row>
    <row r="660" spans="1:2">
      <c r="A660" s="1">
        <v>41426</v>
      </c>
      <c r="B660">
        <v>398.87</v>
      </c>
    </row>
    <row r="661" spans="1:2">
      <c r="A661" s="1">
        <v>41456</v>
      </c>
      <c r="B661">
        <v>397.37</v>
      </c>
    </row>
    <row r="662" spans="1:2">
      <c r="A662" s="1">
        <v>41487</v>
      </c>
      <c r="B662">
        <v>395.41</v>
      </c>
    </row>
    <row r="663" spans="1:2">
      <c r="A663" s="1">
        <v>41518</v>
      </c>
      <c r="B663">
        <v>393.39</v>
      </c>
    </row>
    <row r="664" spans="1:2">
      <c r="A664" s="1">
        <v>41548</v>
      </c>
      <c r="B664">
        <v>393.7</v>
      </c>
    </row>
    <row r="665" spans="1:2">
      <c r="A665" s="1">
        <v>41579</v>
      </c>
      <c r="B665">
        <v>395.19</v>
      </c>
    </row>
    <row r="666" spans="1:2">
      <c r="A666" s="1">
        <v>41609</v>
      </c>
      <c r="B666">
        <v>396.82</v>
      </c>
    </row>
    <row r="667" spans="1:2">
      <c r="A667" s="1">
        <v>41640</v>
      </c>
      <c r="B667">
        <v>397.93</v>
      </c>
    </row>
    <row r="668" spans="1:2">
      <c r="A668" s="1">
        <v>41671</v>
      </c>
      <c r="B668">
        <v>398.1</v>
      </c>
    </row>
    <row r="669" spans="1:2">
      <c r="A669" s="1">
        <v>41699</v>
      </c>
      <c r="B669">
        <v>399.47</v>
      </c>
    </row>
    <row r="670" spans="1:2">
      <c r="A670" s="1">
        <v>41730</v>
      </c>
      <c r="B670">
        <v>401.33</v>
      </c>
    </row>
    <row r="671" spans="1:2">
      <c r="A671" s="1">
        <v>41760</v>
      </c>
      <c r="B671">
        <v>401.88</v>
      </c>
    </row>
    <row r="672" spans="1:2">
      <c r="A672" s="1">
        <v>41791</v>
      </c>
      <c r="B672">
        <v>401.31</v>
      </c>
    </row>
    <row r="673" spans="1:2">
      <c r="A673" s="1">
        <v>41821</v>
      </c>
      <c r="B673">
        <v>399.07</v>
      </c>
    </row>
    <row r="674" spans="1:2">
      <c r="A674" s="1">
        <v>41852</v>
      </c>
      <c r="B674">
        <v>397.21</v>
      </c>
    </row>
    <row r="675" spans="1:2">
      <c r="A675" s="1">
        <v>41883</v>
      </c>
      <c r="B675">
        <v>395.4</v>
      </c>
    </row>
    <row r="676" spans="1:2">
      <c r="A676" s="1">
        <v>41913</v>
      </c>
      <c r="B676">
        <v>395.65</v>
      </c>
    </row>
    <row r="677" spans="1:2">
      <c r="A677" s="1">
        <v>41944</v>
      </c>
      <c r="B677">
        <v>397.23</v>
      </c>
    </row>
    <row r="678" spans="1:2">
      <c r="A678" s="1">
        <v>41974</v>
      </c>
      <c r="B678">
        <v>398.79</v>
      </c>
    </row>
    <row r="679" spans="1:2">
      <c r="A679" s="1">
        <v>42005</v>
      </c>
      <c r="B679">
        <v>399.85</v>
      </c>
    </row>
    <row r="680" spans="1:2">
      <c r="A680" s="1">
        <v>42036</v>
      </c>
      <c r="B680">
        <v>400.31</v>
      </c>
    </row>
    <row r="681" spans="1:2">
      <c r="A681" s="1">
        <v>42064</v>
      </c>
      <c r="B681">
        <v>401.51</v>
      </c>
    </row>
    <row r="682" spans="1:2">
      <c r="A682" s="1">
        <v>42095</v>
      </c>
      <c r="B682">
        <v>403.45</v>
      </c>
    </row>
    <row r="683" spans="1:2">
      <c r="A683" s="1">
        <v>42125</v>
      </c>
      <c r="B683">
        <v>404.1</v>
      </c>
    </row>
    <row r="684" spans="1:2">
      <c r="A684" s="1">
        <v>42156</v>
      </c>
      <c r="B684">
        <v>402.88</v>
      </c>
    </row>
    <row r="685" spans="1:2">
      <c r="A685" s="1">
        <v>42186</v>
      </c>
      <c r="B685">
        <v>401.61</v>
      </c>
    </row>
    <row r="686" spans="1:2">
      <c r="A686" s="1">
        <v>42217</v>
      </c>
      <c r="B686">
        <v>399</v>
      </c>
    </row>
    <row r="687" spans="1:2">
      <c r="A687" s="1">
        <v>42248</v>
      </c>
      <c r="B687">
        <v>397.5</v>
      </c>
    </row>
    <row r="688" spans="1:2">
      <c r="A688" s="1">
        <v>42278</v>
      </c>
      <c r="B688">
        <v>398.28</v>
      </c>
    </row>
    <row r="689" spans="1:2">
      <c r="A689" s="1">
        <v>42309</v>
      </c>
      <c r="B689">
        <v>400.24</v>
      </c>
    </row>
    <row r="690" spans="1:2">
      <c r="A690" s="1">
        <v>42339</v>
      </c>
      <c r="B690">
        <v>401.89</v>
      </c>
    </row>
    <row r="691" spans="1:2">
      <c r="A691" s="1">
        <v>42370</v>
      </c>
      <c r="B691">
        <v>402.65</v>
      </c>
    </row>
    <row r="692" spans="1:2">
      <c r="A692" s="1">
        <v>42401</v>
      </c>
      <c r="B692">
        <v>404.16</v>
      </c>
    </row>
    <row r="693" spans="1:2">
      <c r="A693" s="1">
        <v>42430</v>
      </c>
      <c r="B693">
        <v>404.85</v>
      </c>
    </row>
    <row r="694" spans="1:2">
      <c r="A694" s="1">
        <v>42461</v>
      </c>
      <c r="B694">
        <v>407.57</v>
      </c>
    </row>
    <row r="695" spans="1:2">
      <c r="A695" s="1">
        <v>42491</v>
      </c>
      <c r="B695">
        <v>407.66</v>
      </c>
    </row>
    <row r="696" spans="1:2">
      <c r="A696" s="1">
        <v>42522</v>
      </c>
      <c r="B696">
        <v>407</v>
      </c>
    </row>
    <row r="697" spans="1:2">
      <c r="A697" s="1">
        <v>42552</v>
      </c>
      <c r="B697">
        <v>404.5</v>
      </c>
    </row>
    <row r="698" spans="1:2">
      <c r="A698" s="1">
        <v>42583</v>
      </c>
      <c r="B698">
        <v>402.24</v>
      </c>
    </row>
    <row r="699" spans="1:2">
      <c r="A699" s="1">
        <v>42614</v>
      </c>
      <c r="B699">
        <v>401.01</v>
      </c>
    </row>
    <row r="700" spans="1:2">
      <c r="A700" s="1">
        <v>42644</v>
      </c>
      <c r="B700">
        <v>401.5</v>
      </c>
    </row>
    <row r="701" spans="1:2">
      <c r="A701" s="1">
        <v>42675</v>
      </c>
      <c r="B701">
        <v>403.64</v>
      </c>
    </row>
    <row r="702" spans="1:2">
      <c r="A702" s="1">
        <v>42705</v>
      </c>
      <c r="B702">
        <v>404.55</v>
      </c>
    </row>
    <row r="703" spans="1:2">
      <c r="A703" s="1">
        <v>42736</v>
      </c>
      <c r="B703">
        <v>406.07</v>
      </c>
    </row>
    <row r="704" spans="1:2">
      <c r="A704" s="1">
        <v>42767</v>
      </c>
      <c r="B704">
        <v>406.64</v>
      </c>
    </row>
    <row r="705" spans="1:2">
      <c r="A705" s="1">
        <v>42795</v>
      </c>
      <c r="B705">
        <v>407.05</v>
      </c>
    </row>
    <row r="706" spans="1:2">
      <c r="A706" s="1">
        <v>42826</v>
      </c>
      <c r="B706">
        <v>408.95</v>
      </c>
    </row>
    <row r="707" spans="1:2">
      <c r="A707" s="1">
        <v>42856</v>
      </c>
      <c r="B707">
        <v>409.91</v>
      </c>
    </row>
    <row r="708" spans="1:2">
      <c r="A708" s="1">
        <v>42887</v>
      </c>
      <c r="B708">
        <v>409.12</v>
      </c>
    </row>
    <row r="709" spans="1:2">
      <c r="A709" s="1">
        <v>42917</v>
      </c>
      <c r="B709">
        <v>407.2</v>
      </c>
    </row>
    <row r="710" spans="1:2">
      <c r="A710" s="1">
        <v>42948</v>
      </c>
      <c r="B710">
        <v>405.24</v>
      </c>
    </row>
    <row r="711" spans="1:2">
      <c r="A711" s="1">
        <v>42979</v>
      </c>
      <c r="B711">
        <v>403.27</v>
      </c>
    </row>
    <row r="712" spans="1:2">
      <c r="A712" s="1">
        <v>43009</v>
      </c>
      <c r="B712">
        <v>403.64</v>
      </c>
    </row>
    <row r="713" spans="1:2">
      <c r="A713" s="1">
        <v>43040</v>
      </c>
      <c r="B713">
        <v>405.17</v>
      </c>
    </row>
    <row r="714" spans="1:2">
      <c r="A714" s="1">
        <v>43070</v>
      </c>
      <c r="B714">
        <v>406.75</v>
      </c>
    </row>
    <row r="715" spans="1:2">
      <c r="A715" s="1">
        <v>43101</v>
      </c>
      <c r="B715">
        <v>408.05</v>
      </c>
    </row>
    <row r="716" spans="1:2">
      <c r="A716" s="1">
        <v>43132</v>
      </c>
      <c r="B716">
        <v>408.34</v>
      </c>
    </row>
    <row r="717" spans="1:2">
      <c r="A717" s="1">
        <v>43160</v>
      </c>
      <c r="B717">
        <v>409.25</v>
      </c>
    </row>
    <row r="718" spans="1:2">
      <c r="A718" s="1">
        <v>43191</v>
      </c>
      <c r="B718">
        <v>410.3</v>
      </c>
    </row>
    <row r="719" spans="1:2">
      <c r="A719" s="1">
        <v>43221</v>
      </c>
      <c r="B719">
        <v>411.3</v>
      </c>
    </row>
    <row r="720" spans="1:2">
      <c r="A720" s="1">
        <v>43252</v>
      </c>
      <c r="B720">
        <v>410.88</v>
      </c>
    </row>
    <row r="721" spans="1:2">
      <c r="A721" s="1">
        <v>43282</v>
      </c>
      <c r="B721">
        <v>408.9</v>
      </c>
    </row>
    <row r="722" spans="1:2">
      <c r="A722" s="1">
        <v>43313</v>
      </c>
      <c r="B722">
        <v>407.1</v>
      </c>
    </row>
    <row r="723" spans="1:2">
      <c r="A723" s="1">
        <v>43344</v>
      </c>
      <c r="B723">
        <v>405.59</v>
      </c>
    </row>
    <row r="724" spans="1:2">
      <c r="A724" s="1">
        <v>43374</v>
      </c>
      <c r="B724">
        <v>405.99</v>
      </c>
    </row>
    <row r="725" spans="1:2">
      <c r="A725" s="1">
        <v>43405</v>
      </c>
      <c r="B725">
        <v>408.12</v>
      </c>
    </row>
    <row r="726" spans="1:2">
      <c r="A726" s="1">
        <v>43435</v>
      </c>
      <c r="B726">
        <v>409.23</v>
      </c>
    </row>
    <row r="727" spans="1:2">
      <c r="A727" s="1">
        <v>43466</v>
      </c>
      <c r="B727">
        <v>410.92</v>
      </c>
    </row>
    <row r="728" spans="1:2">
      <c r="A728" s="1">
        <v>43497</v>
      </c>
      <c r="B728">
        <v>411.66</v>
      </c>
    </row>
    <row r="729" spans="1:2">
      <c r="A729" s="1">
        <v>43525</v>
      </c>
      <c r="B729">
        <v>412</v>
      </c>
    </row>
    <row r="730" spans="1:2">
      <c r="A730" s="1">
        <v>43556</v>
      </c>
      <c r="B730">
        <v>413.52</v>
      </c>
    </row>
    <row r="731" spans="1:2">
      <c r="A731" s="1">
        <v>43586</v>
      </c>
      <c r="B731">
        <v>414.83</v>
      </c>
    </row>
    <row r="732" spans="1:2">
      <c r="A732" s="1">
        <v>43617</v>
      </c>
      <c r="B732">
        <v>413.96</v>
      </c>
    </row>
    <row r="733" spans="1:2">
      <c r="A733" s="1">
        <v>43647</v>
      </c>
      <c r="B733">
        <v>411.85</v>
      </c>
    </row>
    <row r="734" spans="1:2">
      <c r="A734" s="1">
        <v>43678</v>
      </c>
      <c r="B734">
        <v>410.08</v>
      </c>
    </row>
    <row r="735" spans="1:2">
      <c r="A735" s="1">
        <v>43709</v>
      </c>
      <c r="B735">
        <v>408.55</v>
      </c>
    </row>
    <row r="736" spans="1:2">
      <c r="A736" s="1">
        <v>43739</v>
      </c>
      <c r="B736">
        <v>408.43</v>
      </c>
    </row>
    <row r="737" spans="1:2">
      <c r="A737" s="1">
        <v>43770</v>
      </c>
      <c r="B737">
        <v>410.29</v>
      </c>
    </row>
    <row r="738" spans="1:2">
      <c r="A738" s="1">
        <v>43800</v>
      </c>
      <c r="B738">
        <v>411.85</v>
      </c>
    </row>
    <row r="739" spans="1:2">
      <c r="A739" s="1">
        <v>43831</v>
      </c>
      <c r="B739">
        <v>413.37</v>
      </c>
    </row>
    <row r="740" spans="1:2">
      <c r="A740" s="1">
        <v>43862</v>
      </c>
      <c r="B740">
        <v>414.09</v>
      </c>
    </row>
    <row r="741" spans="1:2">
      <c r="A741" s="1">
        <v>43891</v>
      </c>
      <c r="B741">
        <v>414.51</v>
      </c>
    </row>
    <row r="742" spans="1:2">
      <c r="A742" s="1">
        <v>43922</v>
      </c>
      <c r="B742">
        <v>416.18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B57CB-A724-4FA3-B546-A33AFE5701D5}">
  <sheetPr codeName="Sheet2"/>
  <dimension ref="A1:P982"/>
  <sheetViews>
    <sheetView zoomScaleNormal="100" workbookViewId="0"/>
  </sheetViews>
  <sheetFormatPr defaultRowHeight="18.75" customHeight="1"/>
  <cols>
    <col min="1" max="1" width="15.125" style="2" bestFit="1" customWidth="1"/>
    <col min="2" max="4" width="12.75" customWidth="1"/>
    <col min="5" max="5" width="33.125" customWidth="1"/>
    <col min="6" max="6" width="10.25" bestFit="1" customWidth="1"/>
    <col min="7" max="7" width="5.25" bestFit="1" customWidth="1"/>
    <col min="8" max="8" width="12.125" style="7" bestFit="1" customWidth="1"/>
    <col min="9" max="9" width="7.5" style="7" bestFit="1" customWidth="1"/>
    <col min="10" max="10" width="9" bestFit="1" customWidth="1"/>
    <col min="11" max="11" width="7.875" style="7" bestFit="1" customWidth="1"/>
    <col min="12" max="12" width="7.5" style="7" customWidth="1"/>
    <col min="13" max="13" width="11.375" style="7" bestFit="1" customWidth="1"/>
    <col min="14" max="14" width="3.125" customWidth="1"/>
    <col min="16" max="16" width="50.75" customWidth="1"/>
  </cols>
  <sheetData>
    <row r="1" spans="1:16" ht="18.75" customHeight="1">
      <c r="A1" s="2" t="s">
        <v>9</v>
      </c>
      <c r="B1" s="8" t="s">
        <v>31</v>
      </c>
      <c r="D1" t="s">
        <v>32</v>
      </c>
      <c r="F1" s="3" t="s">
        <v>39</v>
      </c>
      <c r="G1" s="3" t="s">
        <v>22</v>
      </c>
      <c r="H1" s="6" t="s">
        <v>40</v>
      </c>
      <c r="I1" s="6" t="s">
        <v>20</v>
      </c>
      <c r="J1" s="3" t="s">
        <v>21</v>
      </c>
      <c r="K1" s="6" t="s">
        <v>17</v>
      </c>
      <c r="L1" s="6" t="s">
        <v>23</v>
      </c>
      <c r="M1" s="6" t="s">
        <v>41</v>
      </c>
      <c r="O1" s="9" t="s">
        <v>12</v>
      </c>
      <c r="P1" s="22" t="s">
        <v>48</v>
      </c>
    </row>
    <row r="2" spans="1:16" ht="18.75" customHeight="1">
      <c r="A2" s="2" t="s">
        <v>2</v>
      </c>
      <c r="B2" s="8" t="s">
        <v>17</v>
      </c>
      <c r="D2" t="s">
        <v>18</v>
      </c>
      <c r="F2" s="1">
        <v>21245</v>
      </c>
      <c r="G2">
        <f>MONTH(F2)</f>
        <v>3</v>
      </c>
      <c r="H2" s="7">
        <v>315.7</v>
      </c>
      <c r="I2" s="7">
        <f>_B*F2+_C</f>
        <v>310.56099854233639</v>
      </c>
      <c r="J2" s="7">
        <f>H2-I2</f>
        <v>5.1390014576635963</v>
      </c>
      <c r="K2" s="7" cm="1">
        <f t="array" ref="K2">INDEX(Sm,G2)</f>
        <v>5.1390014576635963</v>
      </c>
      <c r="L2" s="7">
        <f>I2+K2</f>
        <v>315.7</v>
      </c>
      <c r="M2" s="7">
        <f>H2-L2</f>
        <v>0</v>
      </c>
      <c r="O2" s="10">
        <v>1</v>
      </c>
      <c r="P2" t="s">
        <v>47</v>
      </c>
    </row>
    <row r="3" spans="1:16" ht="18.75" customHeight="1">
      <c r="A3" s="2" t="s">
        <v>14</v>
      </c>
      <c r="B3" s="8" t="s">
        <v>19</v>
      </c>
      <c r="D3" t="s">
        <v>10</v>
      </c>
      <c r="F3" s="1">
        <v>21276</v>
      </c>
      <c r="G3">
        <f t="shared" ref="G3:G66" si="0">MONTH(F3)</f>
        <v>4</v>
      </c>
      <c r="H3" s="7">
        <v>317.45999999999998</v>
      </c>
      <c r="J3" s="7"/>
      <c r="P3" t="s">
        <v>51</v>
      </c>
    </row>
    <row r="4" spans="1:16" ht="18.75" customHeight="1">
      <c r="F4" s="1">
        <v>21306</v>
      </c>
      <c r="G4">
        <f t="shared" si="0"/>
        <v>5</v>
      </c>
      <c r="H4" s="7">
        <v>317.51</v>
      </c>
      <c r="J4" s="7"/>
      <c r="P4" t="s">
        <v>50</v>
      </c>
    </row>
    <row r="5" spans="1:16" ht="18.75" customHeight="1">
      <c r="A5" t="s">
        <v>42</v>
      </c>
      <c r="F5" s="1">
        <v>21367</v>
      </c>
      <c r="G5">
        <f t="shared" si="0"/>
        <v>7</v>
      </c>
      <c r="H5" s="7">
        <v>315.86</v>
      </c>
      <c r="J5" s="7"/>
      <c r="P5" t="s">
        <v>49</v>
      </c>
    </row>
    <row r="6" spans="1:16" ht="18.75" customHeight="1">
      <c r="B6" s="3" t="s">
        <v>4</v>
      </c>
      <c r="C6" s="3" t="s">
        <v>5</v>
      </c>
      <c r="F6" s="1">
        <v>21398</v>
      </c>
      <c r="G6">
        <f t="shared" si="0"/>
        <v>8</v>
      </c>
      <c r="H6" s="7">
        <v>314.93</v>
      </c>
      <c r="J6" s="7"/>
      <c r="P6" t="s">
        <v>66</v>
      </c>
    </row>
    <row r="7" spans="1:16" ht="18.75" customHeight="1">
      <c r="B7" s="21">
        <f t="array" ref="B7:C7">LINEST($H$2:$H$502,$F$2:$F$502)</f>
        <v>3.6252542454825818E-3</v>
      </c>
      <c r="C7" s="21">
        <v>233.54247209705895</v>
      </c>
      <c r="D7" t="s">
        <v>44</v>
      </c>
      <c r="F7" s="1">
        <v>21429</v>
      </c>
      <c r="G7">
        <f t="shared" si="0"/>
        <v>9</v>
      </c>
      <c r="H7" s="7">
        <v>313.20999999999998</v>
      </c>
      <c r="J7" s="7"/>
      <c r="O7" s="10">
        <v>2</v>
      </c>
      <c r="P7" t="s">
        <v>33</v>
      </c>
    </row>
    <row r="8" spans="1:16" ht="18.75" customHeight="1">
      <c r="B8" t="s">
        <v>37</v>
      </c>
      <c r="F8" s="1">
        <v>21490</v>
      </c>
      <c r="G8">
        <f t="shared" si="0"/>
        <v>11</v>
      </c>
      <c r="H8" s="7">
        <v>313.33</v>
      </c>
      <c r="J8" s="7"/>
      <c r="P8" t="s">
        <v>55</v>
      </c>
    </row>
    <row r="9" spans="1:16" ht="18.75" customHeight="1">
      <c r="F9" s="1">
        <v>21520</v>
      </c>
      <c r="G9">
        <f t="shared" si="0"/>
        <v>12</v>
      </c>
      <c r="H9" s="7">
        <v>314.67</v>
      </c>
      <c r="J9" s="7"/>
      <c r="O9" s="10">
        <v>3</v>
      </c>
      <c r="P9" t="s">
        <v>24</v>
      </c>
    </row>
    <row r="10" spans="1:16" ht="18.75" customHeight="1">
      <c r="A10" t="s">
        <v>45</v>
      </c>
      <c r="F10" s="1">
        <v>21551</v>
      </c>
      <c r="G10">
        <f t="shared" si="0"/>
        <v>1</v>
      </c>
      <c r="H10" s="7">
        <v>315.58</v>
      </c>
      <c r="J10" s="7"/>
      <c r="O10" s="10"/>
      <c r="P10" t="s">
        <v>25</v>
      </c>
    </row>
    <row r="11" spans="1:16" ht="18.75" customHeight="1">
      <c r="A11" s="2" t="s">
        <v>6</v>
      </c>
      <c r="B11" s="3" t="s">
        <v>8</v>
      </c>
      <c r="F11" s="1">
        <v>21582</v>
      </c>
      <c r="G11">
        <f t="shared" si="0"/>
        <v>2</v>
      </c>
      <c r="H11" s="7">
        <v>316.49</v>
      </c>
      <c r="J11" s="7"/>
      <c r="O11" s="10">
        <v>4</v>
      </c>
      <c r="P11" t="s">
        <v>54</v>
      </c>
    </row>
    <row r="12" spans="1:16" ht="18.75" customHeight="1">
      <c r="A12" s="2">
        <v>1</v>
      </c>
      <c r="B12" s="13" t="e">
        <f>AVERAGEIF($G$2:$G$502,A12,$J$2:$J$502)</f>
        <v>#DIV/0!</v>
      </c>
      <c r="C12" t="s">
        <v>38</v>
      </c>
      <c r="F12" s="1">
        <v>21610</v>
      </c>
      <c r="G12">
        <f t="shared" si="0"/>
        <v>3</v>
      </c>
      <c r="H12" s="7">
        <v>316.64999999999998</v>
      </c>
      <c r="J12" s="7"/>
      <c r="P12" t="s">
        <v>52</v>
      </c>
    </row>
    <row r="13" spans="1:16" ht="18.75" customHeight="1">
      <c r="A13" s="2">
        <v>2</v>
      </c>
      <c r="B13" s="14" t="e">
        <f t="shared" ref="B13:B23" si="1">AVERAGEIF($G$2:$G$502,A13,$J$2:$J$502)</f>
        <v>#DIV/0!</v>
      </c>
      <c r="F13" s="1">
        <v>21641</v>
      </c>
      <c r="G13">
        <f t="shared" si="0"/>
        <v>4</v>
      </c>
      <c r="H13" s="7">
        <v>317.72000000000003</v>
      </c>
      <c r="J13" s="7"/>
      <c r="P13" t="s">
        <v>53</v>
      </c>
    </row>
    <row r="14" spans="1:16" ht="18.75" customHeight="1">
      <c r="A14" s="2">
        <v>3</v>
      </c>
      <c r="B14" s="14">
        <f t="shared" si="1"/>
        <v>5.1390014576635963</v>
      </c>
      <c r="F14" s="1">
        <v>21671</v>
      </c>
      <c r="G14">
        <f t="shared" si="0"/>
        <v>5</v>
      </c>
      <c r="H14" s="7">
        <v>318.29000000000002</v>
      </c>
      <c r="J14" s="7"/>
      <c r="P14" t="s">
        <v>57</v>
      </c>
    </row>
    <row r="15" spans="1:16" ht="18.75" customHeight="1">
      <c r="A15" s="2">
        <v>4</v>
      </c>
      <c r="B15" s="14" t="e">
        <f t="shared" si="1"/>
        <v>#DIV/0!</v>
      </c>
      <c r="F15" s="1">
        <v>21702</v>
      </c>
      <c r="G15">
        <f t="shared" si="0"/>
        <v>6</v>
      </c>
      <c r="H15" s="7">
        <v>318.14999999999998</v>
      </c>
      <c r="J15" s="7"/>
      <c r="P15" t="s">
        <v>58</v>
      </c>
    </row>
    <row r="16" spans="1:16" ht="18.75" customHeight="1">
      <c r="A16" s="2">
        <v>5</v>
      </c>
      <c r="B16" s="14" t="e">
        <f t="shared" si="1"/>
        <v>#DIV/0!</v>
      </c>
      <c r="F16" s="1">
        <v>21732</v>
      </c>
      <c r="G16">
        <f t="shared" si="0"/>
        <v>7</v>
      </c>
      <c r="H16" s="7">
        <v>316.54000000000002</v>
      </c>
      <c r="J16" s="7"/>
      <c r="O16" s="10">
        <v>5</v>
      </c>
      <c r="P16" t="s">
        <v>34</v>
      </c>
    </row>
    <row r="17" spans="1:16" ht="18.75" customHeight="1">
      <c r="A17" s="2">
        <v>6</v>
      </c>
      <c r="B17" s="14" t="e">
        <f t="shared" si="1"/>
        <v>#DIV/0!</v>
      </c>
      <c r="F17" s="1">
        <v>21763</v>
      </c>
      <c r="G17">
        <f t="shared" si="0"/>
        <v>8</v>
      </c>
      <c r="H17" s="7">
        <v>314.8</v>
      </c>
      <c r="J17" s="7"/>
      <c r="P17" t="s">
        <v>56</v>
      </c>
    </row>
    <row r="18" spans="1:16" ht="18.75" customHeight="1">
      <c r="A18" s="2">
        <v>7</v>
      </c>
      <c r="B18" s="14" t="e">
        <f t="shared" si="1"/>
        <v>#DIV/0!</v>
      </c>
      <c r="F18" s="1">
        <v>21794</v>
      </c>
      <c r="G18">
        <f t="shared" si="0"/>
        <v>9</v>
      </c>
      <c r="H18" s="7">
        <v>313.83999999999997</v>
      </c>
      <c r="J18" s="7"/>
      <c r="O18" s="10">
        <v>6</v>
      </c>
      <c r="P18" t="s">
        <v>36</v>
      </c>
    </row>
    <row r="19" spans="1:16" ht="18.75" customHeight="1">
      <c r="A19" s="2">
        <v>8</v>
      </c>
      <c r="B19" s="14" t="e">
        <f t="shared" si="1"/>
        <v>#DIV/0!</v>
      </c>
      <c r="F19" s="1">
        <v>21824</v>
      </c>
      <c r="G19">
        <f t="shared" si="0"/>
        <v>10</v>
      </c>
      <c r="H19" s="7">
        <v>313.33</v>
      </c>
      <c r="J19" s="7"/>
      <c r="P19" t="s">
        <v>26</v>
      </c>
    </row>
    <row r="20" spans="1:16" ht="18.75" customHeight="1">
      <c r="A20" s="2">
        <v>9</v>
      </c>
      <c r="B20" s="14" t="e">
        <f t="shared" si="1"/>
        <v>#DIV/0!</v>
      </c>
      <c r="F20" s="1">
        <v>21855</v>
      </c>
      <c r="G20">
        <f t="shared" si="0"/>
        <v>11</v>
      </c>
      <c r="H20" s="7">
        <v>314.81</v>
      </c>
      <c r="J20" s="7"/>
      <c r="O20" s="10">
        <v>7</v>
      </c>
      <c r="P20" t="s">
        <v>27</v>
      </c>
    </row>
    <row r="21" spans="1:16" ht="18.75" customHeight="1">
      <c r="A21" s="2">
        <v>10</v>
      </c>
      <c r="B21" s="14" t="e">
        <f t="shared" si="1"/>
        <v>#DIV/0!</v>
      </c>
      <c r="F21" s="1">
        <v>21885</v>
      </c>
      <c r="G21">
        <f t="shared" si="0"/>
        <v>12</v>
      </c>
      <c r="H21" s="7">
        <v>315.58</v>
      </c>
      <c r="J21" s="7"/>
      <c r="O21" s="10"/>
      <c r="P21" t="s">
        <v>62</v>
      </c>
    </row>
    <row r="22" spans="1:16" ht="18.75" customHeight="1">
      <c r="A22" s="2">
        <v>11</v>
      </c>
      <c r="B22" s="14" t="e">
        <f t="shared" si="1"/>
        <v>#DIV/0!</v>
      </c>
      <c r="F22" s="1">
        <v>21916</v>
      </c>
      <c r="G22">
        <f t="shared" si="0"/>
        <v>1</v>
      </c>
      <c r="H22" s="7">
        <v>316.43</v>
      </c>
      <c r="J22" s="7"/>
      <c r="P22" t="s">
        <v>59</v>
      </c>
    </row>
    <row r="23" spans="1:16" ht="18.75" customHeight="1">
      <c r="A23" s="2">
        <v>12</v>
      </c>
      <c r="B23" s="15" t="e">
        <f t="shared" si="1"/>
        <v>#DIV/0!</v>
      </c>
      <c r="F23" s="1">
        <v>21947</v>
      </c>
      <c r="G23">
        <f t="shared" si="0"/>
        <v>2</v>
      </c>
      <c r="H23" s="7">
        <v>316.98</v>
      </c>
      <c r="J23" s="7"/>
      <c r="P23" t="s">
        <v>67</v>
      </c>
    </row>
    <row r="24" spans="1:16" ht="18.75" customHeight="1">
      <c r="A24" s="4">
        <v>13</v>
      </c>
      <c r="B24" s="20" t="e">
        <f>B12</f>
        <v>#DIV/0!</v>
      </c>
      <c r="C24" s="19" t="s">
        <v>29</v>
      </c>
      <c r="D24" s="5"/>
      <c r="F24" s="1">
        <v>21976</v>
      </c>
      <c r="G24">
        <f t="shared" si="0"/>
        <v>3</v>
      </c>
      <c r="H24" s="7">
        <v>317.58</v>
      </c>
      <c r="J24" s="7"/>
      <c r="O24" s="10">
        <v>8</v>
      </c>
      <c r="P24" t="s">
        <v>13</v>
      </c>
    </row>
    <row r="25" spans="1:16" ht="18.75" customHeight="1">
      <c r="A25" s="2" t="s">
        <v>7</v>
      </c>
      <c r="B25" s="12" t="e">
        <f>SUM(B12:B23)</f>
        <v>#DIV/0!</v>
      </c>
      <c r="C25" s="11"/>
      <c r="F25" s="1">
        <v>22007</v>
      </c>
      <c r="G25">
        <f t="shared" si="0"/>
        <v>4</v>
      </c>
      <c r="H25" s="7">
        <v>319.02999999999997</v>
      </c>
      <c r="J25" s="7"/>
      <c r="P25" t="s">
        <v>60</v>
      </c>
    </row>
    <row r="26" spans="1:16" ht="18.75" customHeight="1">
      <c r="F26" s="1">
        <v>22037</v>
      </c>
      <c r="G26">
        <f t="shared" si="0"/>
        <v>5</v>
      </c>
      <c r="H26" s="7">
        <v>320.04000000000002</v>
      </c>
      <c r="J26" s="7"/>
      <c r="P26" t="s">
        <v>61</v>
      </c>
    </row>
    <row r="27" spans="1:16" ht="18.75" customHeight="1">
      <c r="A27" s="2" t="s">
        <v>11</v>
      </c>
      <c r="B27" s="12">
        <f>SUMSQ(M2:M742)/COUNT(M2:M742)</f>
        <v>0</v>
      </c>
      <c r="F27" s="1">
        <v>22068</v>
      </c>
      <c r="G27">
        <f t="shared" si="0"/>
        <v>6</v>
      </c>
      <c r="H27" s="7">
        <v>319.58</v>
      </c>
      <c r="J27" s="7"/>
      <c r="O27" s="10">
        <v>9</v>
      </c>
      <c r="P27" t="s">
        <v>30</v>
      </c>
    </row>
    <row r="28" spans="1:16" ht="18.75" customHeight="1">
      <c r="F28" s="1">
        <v>22098</v>
      </c>
      <c r="G28">
        <f t="shared" si="0"/>
        <v>7</v>
      </c>
      <c r="H28" s="7">
        <v>318.18</v>
      </c>
      <c r="J28" s="7"/>
      <c r="O28" s="10"/>
      <c r="P28" t="s">
        <v>63</v>
      </c>
    </row>
    <row r="29" spans="1:16" ht="18.75" customHeight="1">
      <c r="F29" s="1">
        <v>22129</v>
      </c>
      <c r="G29">
        <f t="shared" si="0"/>
        <v>8</v>
      </c>
      <c r="H29" s="7">
        <v>315.89999999999998</v>
      </c>
      <c r="J29" s="7"/>
      <c r="P29" t="s">
        <v>64</v>
      </c>
    </row>
    <row r="30" spans="1:16" ht="18.75" customHeight="1">
      <c r="F30" s="1">
        <v>22160</v>
      </c>
      <c r="G30">
        <f t="shared" si="0"/>
        <v>9</v>
      </c>
      <c r="H30" s="7">
        <v>314.17</v>
      </c>
      <c r="J30" s="7"/>
      <c r="O30" s="10">
        <v>10</v>
      </c>
      <c r="P30" t="s">
        <v>13</v>
      </c>
    </row>
    <row r="31" spans="1:16" ht="18.75" customHeight="1">
      <c r="F31" s="1">
        <v>22190</v>
      </c>
      <c r="G31">
        <f t="shared" si="0"/>
        <v>10</v>
      </c>
      <c r="H31" s="7">
        <v>313.83</v>
      </c>
      <c r="J31" s="7"/>
      <c r="P31" t="s">
        <v>65</v>
      </c>
    </row>
    <row r="32" spans="1:16" ht="18.75" customHeight="1">
      <c r="F32" s="1">
        <v>22221</v>
      </c>
      <c r="G32">
        <f t="shared" si="0"/>
        <v>11</v>
      </c>
      <c r="H32" s="7">
        <v>315</v>
      </c>
      <c r="J32" s="7"/>
    </row>
    <row r="33" spans="6:15" ht="18.75" customHeight="1">
      <c r="F33" s="1">
        <v>22251</v>
      </c>
      <c r="G33">
        <f t="shared" si="0"/>
        <v>12</v>
      </c>
      <c r="H33" s="7">
        <v>316.19</v>
      </c>
      <c r="J33" s="7"/>
      <c r="O33" t="s">
        <v>35</v>
      </c>
    </row>
    <row r="34" spans="6:15" ht="18.75" customHeight="1">
      <c r="F34" s="1">
        <v>22282</v>
      </c>
      <c r="G34">
        <f t="shared" si="0"/>
        <v>1</v>
      </c>
      <c r="H34" s="7">
        <v>316.89999999999998</v>
      </c>
      <c r="J34" s="7"/>
    </row>
    <row r="35" spans="6:15" ht="18.75" customHeight="1">
      <c r="F35" s="1">
        <v>22313</v>
      </c>
      <c r="G35">
        <f t="shared" si="0"/>
        <v>2</v>
      </c>
      <c r="H35" s="7">
        <v>317.7</v>
      </c>
      <c r="J35" s="7"/>
    </row>
    <row r="36" spans="6:15" ht="18.75" customHeight="1">
      <c r="F36" s="1">
        <v>22341</v>
      </c>
      <c r="G36">
        <f t="shared" si="0"/>
        <v>3</v>
      </c>
      <c r="H36" s="7">
        <v>318.54000000000002</v>
      </c>
      <c r="J36" s="7"/>
    </row>
    <row r="37" spans="6:15" ht="18.75" customHeight="1">
      <c r="F37" s="1">
        <v>22372</v>
      </c>
      <c r="G37">
        <f t="shared" si="0"/>
        <v>4</v>
      </c>
      <c r="H37" s="7">
        <v>319.48</v>
      </c>
      <c r="J37" s="7"/>
    </row>
    <row r="38" spans="6:15" ht="18.75" customHeight="1">
      <c r="F38" s="1">
        <v>22402</v>
      </c>
      <c r="G38">
        <f t="shared" si="0"/>
        <v>5</v>
      </c>
      <c r="H38" s="7">
        <v>320.58</v>
      </c>
      <c r="J38" s="7"/>
    </row>
    <row r="39" spans="6:15" ht="18.75" customHeight="1">
      <c r="F39" s="1">
        <v>22433</v>
      </c>
      <c r="G39">
        <f t="shared" si="0"/>
        <v>6</v>
      </c>
      <c r="H39" s="7">
        <v>319.77</v>
      </c>
      <c r="J39" s="7"/>
    </row>
    <row r="40" spans="6:15" ht="18.75" customHeight="1">
      <c r="F40" s="1">
        <v>22463</v>
      </c>
      <c r="G40">
        <f t="shared" si="0"/>
        <v>7</v>
      </c>
      <c r="H40" s="7">
        <v>318.57</v>
      </c>
      <c r="J40" s="7"/>
    </row>
    <row r="41" spans="6:15" ht="18.75" customHeight="1">
      <c r="F41" s="1">
        <v>22494</v>
      </c>
      <c r="G41">
        <f t="shared" si="0"/>
        <v>8</v>
      </c>
      <c r="H41" s="7">
        <v>316.79000000000002</v>
      </c>
      <c r="J41" s="7"/>
    </row>
    <row r="42" spans="6:15" ht="18.75" customHeight="1">
      <c r="F42" s="1">
        <v>22525</v>
      </c>
      <c r="G42">
        <f t="shared" si="0"/>
        <v>9</v>
      </c>
      <c r="H42" s="7">
        <v>314.99</v>
      </c>
      <c r="J42" s="7"/>
    </row>
    <row r="43" spans="6:15" ht="18.75" customHeight="1">
      <c r="F43" s="1">
        <v>22555</v>
      </c>
      <c r="G43">
        <f t="shared" si="0"/>
        <v>10</v>
      </c>
      <c r="H43" s="7">
        <v>315.31</v>
      </c>
      <c r="J43" s="7"/>
    </row>
    <row r="44" spans="6:15" ht="18.75" customHeight="1">
      <c r="F44" s="1">
        <v>22586</v>
      </c>
      <c r="G44">
        <f t="shared" si="0"/>
        <v>11</v>
      </c>
      <c r="H44" s="7">
        <v>316.10000000000002</v>
      </c>
      <c r="J44" s="7"/>
    </row>
    <row r="45" spans="6:15" ht="18.75" customHeight="1">
      <c r="F45" s="1">
        <v>22616</v>
      </c>
      <c r="G45">
        <f t="shared" si="0"/>
        <v>12</v>
      </c>
      <c r="H45" s="7">
        <v>317.01</v>
      </c>
      <c r="J45" s="7"/>
    </row>
    <row r="46" spans="6:15" ht="18.75" customHeight="1">
      <c r="F46" s="1">
        <v>22647</v>
      </c>
      <c r="G46">
        <f t="shared" si="0"/>
        <v>1</v>
      </c>
      <c r="H46" s="7">
        <v>317.94</v>
      </c>
      <c r="J46" s="7"/>
    </row>
    <row r="47" spans="6:15" ht="18.75" customHeight="1">
      <c r="F47" s="1">
        <v>22678</v>
      </c>
      <c r="G47">
        <f t="shared" si="0"/>
        <v>2</v>
      </c>
      <c r="H47" s="7">
        <v>318.55</v>
      </c>
      <c r="J47" s="7"/>
    </row>
    <row r="48" spans="6:15" ht="18.75" customHeight="1">
      <c r="F48" s="1">
        <v>22706</v>
      </c>
      <c r="G48">
        <f t="shared" si="0"/>
        <v>3</v>
      </c>
      <c r="H48" s="7">
        <v>319.68</v>
      </c>
      <c r="J48" s="7"/>
    </row>
    <row r="49" spans="6:10" ht="18.75" customHeight="1">
      <c r="F49" s="1">
        <v>22737</v>
      </c>
      <c r="G49">
        <f t="shared" si="0"/>
        <v>4</v>
      </c>
      <c r="H49" s="7">
        <v>320.57</v>
      </c>
      <c r="J49" s="7"/>
    </row>
    <row r="50" spans="6:10" ht="18.75" customHeight="1">
      <c r="F50" s="1">
        <v>22767</v>
      </c>
      <c r="G50">
        <f t="shared" si="0"/>
        <v>5</v>
      </c>
      <c r="H50" s="7">
        <v>321.02</v>
      </c>
      <c r="J50" s="7"/>
    </row>
    <row r="51" spans="6:10" ht="18.75" customHeight="1">
      <c r="F51" s="1">
        <v>22798</v>
      </c>
      <c r="G51">
        <f t="shared" si="0"/>
        <v>6</v>
      </c>
      <c r="H51" s="7">
        <v>320.62</v>
      </c>
      <c r="J51" s="7"/>
    </row>
    <row r="52" spans="6:10" ht="18.75" customHeight="1">
      <c r="F52" s="1">
        <v>22828</v>
      </c>
      <c r="G52">
        <f t="shared" si="0"/>
        <v>7</v>
      </c>
      <c r="H52" s="7">
        <v>319.61</v>
      </c>
      <c r="J52" s="7"/>
    </row>
    <row r="53" spans="6:10" ht="18.75" customHeight="1">
      <c r="F53" s="1">
        <v>22859</v>
      </c>
      <c r="G53">
        <f t="shared" si="0"/>
        <v>8</v>
      </c>
      <c r="H53" s="7">
        <v>317.39999999999998</v>
      </c>
      <c r="J53" s="7"/>
    </row>
    <row r="54" spans="6:10" ht="18.75" customHeight="1">
      <c r="F54" s="1">
        <v>22890</v>
      </c>
      <c r="G54">
        <f t="shared" si="0"/>
        <v>9</v>
      </c>
      <c r="H54" s="7">
        <v>316.25</v>
      </c>
      <c r="J54" s="7"/>
    </row>
    <row r="55" spans="6:10" ht="18.75" customHeight="1">
      <c r="F55" s="1">
        <v>22920</v>
      </c>
      <c r="G55">
        <f t="shared" si="0"/>
        <v>10</v>
      </c>
      <c r="H55" s="7">
        <v>315.42</v>
      </c>
      <c r="J55" s="7"/>
    </row>
    <row r="56" spans="6:10" ht="18.75" customHeight="1">
      <c r="F56" s="1">
        <v>22951</v>
      </c>
      <c r="G56">
        <f t="shared" si="0"/>
        <v>11</v>
      </c>
      <c r="H56" s="7">
        <v>316.69</v>
      </c>
      <c r="J56" s="7"/>
    </row>
    <row r="57" spans="6:10" ht="18.75" customHeight="1">
      <c r="F57" s="1">
        <v>22981</v>
      </c>
      <c r="G57">
        <f t="shared" si="0"/>
        <v>12</v>
      </c>
      <c r="H57" s="7">
        <v>317.7</v>
      </c>
      <c r="J57" s="7"/>
    </row>
    <row r="58" spans="6:10" ht="18.75" customHeight="1">
      <c r="F58" s="1">
        <v>23012</v>
      </c>
      <c r="G58">
        <f t="shared" si="0"/>
        <v>1</v>
      </c>
      <c r="H58" s="7">
        <v>318.74</v>
      </c>
      <c r="J58" s="7"/>
    </row>
    <row r="59" spans="6:10" ht="18.75" customHeight="1">
      <c r="F59" s="1">
        <v>23043</v>
      </c>
      <c r="G59">
        <f t="shared" si="0"/>
        <v>2</v>
      </c>
      <c r="H59" s="7">
        <v>319.07</v>
      </c>
      <c r="J59" s="7"/>
    </row>
    <row r="60" spans="6:10" ht="18.75" customHeight="1">
      <c r="F60" s="1">
        <v>23071</v>
      </c>
      <c r="G60">
        <f t="shared" si="0"/>
        <v>3</v>
      </c>
      <c r="H60" s="7">
        <v>319.86</v>
      </c>
      <c r="J60" s="7"/>
    </row>
    <row r="61" spans="6:10" ht="18.75" customHeight="1">
      <c r="F61" s="1">
        <v>23102</v>
      </c>
      <c r="G61">
        <f t="shared" si="0"/>
        <v>4</v>
      </c>
      <c r="H61" s="7">
        <v>321.38</v>
      </c>
      <c r="J61" s="7"/>
    </row>
    <row r="62" spans="6:10" ht="18.75" customHeight="1">
      <c r="F62" s="1">
        <v>23132</v>
      </c>
      <c r="G62">
        <f t="shared" si="0"/>
        <v>5</v>
      </c>
      <c r="H62" s="7">
        <v>322.25</v>
      </c>
      <c r="J62" s="7"/>
    </row>
    <row r="63" spans="6:10" ht="18.75" customHeight="1">
      <c r="F63" s="1">
        <v>23163</v>
      </c>
      <c r="G63">
        <f t="shared" si="0"/>
        <v>6</v>
      </c>
      <c r="H63" s="7">
        <v>321.48</v>
      </c>
      <c r="J63" s="7"/>
    </row>
    <row r="64" spans="6:10" ht="18.75" customHeight="1">
      <c r="F64" s="1">
        <v>23193</v>
      </c>
      <c r="G64">
        <f t="shared" si="0"/>
        <v>7</v>
      </c>
      <c r="H64" s="7">
        <v>319.74</v>
      </c>
      <c r="J64" s="7"/>
    </row>
    <row r="65" spans="6:10" ht="18.75" customHeight="1">
      <c r="F65" s="1">
        <v>23224</v>
      </c>
      <c r="G65">
        <f t="shared" si="0"/>
        <v>8</v>
      </c>
      <c r="H65" s="7">
        <v>317.77</v>
      </c>
      <c r="J65" s="7"/>
    </row>
    <row r="66" spans="6:10" ht="18.75" customHeight="1">
      <c r="F66" s="1">
        <v>23255</v>
      </c>
      <c r="G66">
        <f t="shared" si="0"/>
        <v>9</v>
      </c>
      <c r="H66" s="7">
        <v>316.20999999999998</v>
      </c>
      <c r="J66" s="7"/>
    </row>
    <row r="67" spans="6:10" ht="18.75" customHeight="1">
      <c r="F67" s="1">
        <v>23285</v>
      </c>
      <c r="G67">
        <f t="shared" ref="G67:G130" si="2">MONTH(F67)</f>
        <v>10</v>
      </c>
      <c r="H67" s="7">
        <v>315.99</v>
      </c>
      <c r="J67" s="7"/>
    </row>
    <row r="68" spans="6:10" ht="18.75" customHeight="1">
      <c r="F68" s="1">
        <v>23316</v>
      </c>
      <c r="G68">
        <f t="shared" si="2"/>
        <v>11</v>
      </c>
      <c r="H68" s="7">
        <v>317.07</v>
      </c>
      <c r="J68" s="7"/>
    </row>
    <row r="69" spans="6:10" ht="18.75" customHeight="1">
      <c r="F69" s="1">
        <v>23346</v>
      </c>
      <c r="G69">
        <f t="shared" si="2"/>
        <v>12</v>
      </c>
      <c r="H69" s="7">
        <v>318.35000000000002</v>
      </c>
      <c r="J69" s="7"/>
    </row>
    <row r="70" spans="6:10" ht="18.75" customHeight="1">
      <c r="F70" s="1">
        <v>23377</v>
      </c>
      <c r="G70">
        <f t="shared" si="2"/>
        <v>1</v>
      </c>
      <c r="H70" s="7">
        <v>319.57</v>
      </c>
      <c r="J70" s="7"/>
    </row>
    <row r="71" spans="6:10" ht="18.75" customHeight="1">
      <c r="F71" s="1">
        <v>23498</v>
      </c>
      <c r="G71">
        <f t="shared" si="2"/>
        <v>5</v>
      </c>
      <c r="H71" s="7">
        <v>322.26</v>
      </c>
      <c r="J71" s="7"/>
    </row>
    <row r="72" spans="6:10" ht="18.75" customHeight="1">
      <c r="F72" s="1">
        <v>23529</v>
      </c>
      <c r="G72">
        <f t="shared" si="2"/>
        <v>6</v>
      </c>
      <c r="H72" s="7">
        <v>321.89</v>
      </c>
      <c r="J72" s="7"/>
    </row>
    <row r="73" spans="6:10" ht="18.75" customHeight="1">
      <c r="F73" s="1">
        <v>23559</v>
      </c>
      <c r="G73">
        <f t="shared" si="2"/>
        <v>7</v>
      </c>
      <c r="H73" s="7">
        <v>320.44</v>
      </c>
      <c r="J73" s="7"/>
    </row>
    <row r="74" spans="6:10" ht="18.75" customHeight="1">
      <c r="F74" s="1">
        <v>23590</v>
      </c>
      <c r="G74">
        <f t="shared" si="2"/>
        <v>8</v>
      </c>
      <c r="H74" s="7">
        <v>318.69</v>
      </c>
      <c r="J74" s="7"/>
    </row>
    <row r="75" spans="6:10" ht="18.75" customHeight="1">
      <c r="F75" s="1">
        <v>23621</v>
      </c>
      <c r="G75">
        <f t="shared" si="2"/>
        <v>9</v>
      </c>
      <c r="H75" s="7">
        <v>316.7</v>
      </c>
      <c r="J75" s="7"/>
    </row>
    <row r="76" spans="6:10" ht="18.75" customHeight="1">
      <c r="F76" s="1">
        <v>23651</v>
      </c>
      <c r="G76">
        <f t="shared" si="2"/>
        <v>10</v>
      </c>
      <c r="H76" s="7">
        <v>316.87</v>
      </c>
      <c r="J76" s="7"/>
    </row>
    <row r="77" spans="6:10" ht="18.75" customHeight="1">
      <c r="F77" s="1">
        <v>23682</v>
      </c>
      <c r="G77">
        <f t="shared" si="2"/>
        <v>11</v>
      </c>
      <c r="H77" s="7">
        <v>317.68</v>
      </c>
      <c r="J77" s="7"/>
    </row>
    <row r="78" spans="6:10" ht="18.75" customHeight="1">
      <c r="F78" s="1">
        <v>23712</v>
      </c>
      <c r="G78">
        <f t="shared" si="2"/>
        <v>12</v>
      </c>
      <c r="H78" s="7">
        <v>318.70999999999998</v>
      </c>
      <c r="J78" s="7"/>
    </row>
    <row r="79" spans="6:10" ht="18.75" customHeight="1">
      <c r="F79" s="1">
        <v>23743</v>
      </c>
      <c r="G79">
        <f t="shared" si="2"/>
        <v>1</v>
      </c>
      <c r="H79" s="7">
        <v>319.44</v>
      </c>
      <c r="J79" s="7"/>
    </row>
    <row r="80" spans="6:10" ht="18.75" customHeight="1">
      <c r="F80" s="1">
        <v>23774</v>
      </c>
      <c r="G80">
        <f t="shared" si="2"/>
        <v>2</v>
      </c>
      <c r="H80" s="7">
        <v>320.44</v>
      </c>
      <c r="J80" s="7"/>
    </row>
    <row r="81" spans="6:10" ht="18.75" customHeight="1">
      <c r="F81" s="1">
        <v>23802</v>
      </c>
      <c r="G81">
        <f t="shared" si="2"/>
        <v>3</v>
      </c>
      <c r="H81" s="7">
        <v>320.89</v>
      </c>
      <c r="J81" s="7"/>
    </row>
    <row r="82" spans="6:10" ht="18.75" customHeight="1">
      <c r="F82" s="1">
        <v>23833</v>
      </c>
      <c r="G82">
        <f t="shared" si="2"/>
        <v>4</v>
      </c>
      <c r="H82" s="7">
        <v>322.14</v>
      </c>
      <c r="J82" s="7"/>
    </row>
    <row r="83" spans="6:10" ht="18.75" customHeight="1">
      <c r="F83" s="1">
        <v>23863</v>
      </c>
      <c r="G83">
        <f t="shared" si="2"/>
        <v>5</v>
      </c>
      <c r="H83" s="7">
        <v>322.17</v>
      </c>
      <c r="J83" s="7"/>
    </row>
    <row r="84" spans="6:10" ht="18.75" customHeight="1">
      <c r="F84" s="1">
        <v>23894</v>
      </c>
      <c r="G84">
        <f t="shared" si="2"/>
        <v>6</v>
      </c>
      <c r="H84" s="7">
        <v>321.87</v>
      </c>
      <c r="J84" s="7"/>
    </row>
    <row r="85" spans="6:10" ht="18.75" customHeight="1">
      <c r="F85" s="1">
        <v>23924</v>
      </c>
      <c r="G85">
        <f t="shared" si="2"/>
        <v>7</v>
      </c>
      <c r="H85" s="7">
        <v>321.20999999999998</v>
      </c>
      <c r="J85" s="7"/>
    </row>
    <row r="86" spans="6:10" ht="18.75" customHeight="1">
      <c r="F86" s="1">
        <v>23955</v>
      </c>
      <c r="G86">
        <f t="shared" si="2"/>
        <v>8</v>
      </c>
      <c r="H86" s="7">
        <v>318.87</v>
      </c>
      <c r="J86" s="7"/>
    </row>
    <row r="87" spans="6:10" ht="18.75" customHeight="1">
      <c r="F87" s="1">
        <v>23986</v>
      </c>
      <c r="G87">
        <f t="shared" si="2"/>
        <v>9</v>
      </c>
      <c r="H87" s="7">
        <v>317.81</v>
      </c>
      <c r="J87" s="7"/>
    </row>
    <row r="88" spans="6:10" ht="18.75" customHeight="1">
      <c r="F88" s="1">
        <v>24016</v>
      </c>
      <c r="G88">
        <f t="shared" si="2"/>
        <v>10</v>
      </c>
      <c r="H88" s="7">
        <v>317.3</v>
      </c>
      <c r="J88" s="7"/>
    </row>
    <row r="89" spans="6:10" ht="18.75" customHeight="1">
      <c r="F89" s="1">
        <v>24047</v>
      </c>
      <c r="G89">
        <f t="shared" si="2"/>
        <v>11</v>
      </c>
      <c r="H89" s="7">
        <v>318.87</v>
      </c>
      <c r="J89" s="7"/>
    </row>
    <row r="90" spans="6:10" ht="18.75" customHeight="1">
      <c r="F90" s="1">
        <v>24077</v>
      </c>
      <c r="G90">
        <f t="shared" si="2"/>
        <v>12</v>
      </c>
      <c r="H90" s="7">
        <v>319.42</v>
      </c>
      <c r="J90" s="7"/>
    </row>
    <row r="91" spans="6:10" ht="18.75" customHeight="1">
      <c r="F91" s="1">
        <v>24108</v>
      </c>
      <c r="G91">
        <f t="shared" si="2"/>
        <v>1</v>
      </c>
      <c r="H91" s="7">
        <v>320.62</v>
      </c>
      <c r="J91" s="7"/>
    </row>
    <row r="92" spans="6:10" ht="18.75" customHeight="1">
      <c r="F92" s="1">
        <v>24139</v>
      </c>
      <c r="G92">
        <f t="shared" si="2"/>
        <v>2</v>
      </c>
      <c r="H92" s="7">
        <v>321.60000000000002</v>
      </c>
      <c r="J92" s="7"/>
    </row>
    <row r="93" spans="6:10" ht="18.75" customHeight="1">
      <c r="F93" s="1">
        <v>24167</v>
      </c>
      <c r="G93">
        <f t="shared" si="2"/>
        <v>3</v>
      </c>
      <c r="H93" s="7">
        <v>322.39</v>
      </c>
      <c r="J93" s="7"/>
    </row>
    <row r="94" spans="6:10" ht="18.75" customHeight="1">
      <c r="F94" s="1">
        <v>24198</v>
      </c>
      <c r="G94">
        <f t="shared" si="2"/>
        <v>4</v>
      </c>
      <c r="H94" s="7">
        <v>323.7</v>
      </c>
      <c r="J94" s="7"/>
    </row>
    <row r="95" spans="6:10" ht="18.75" customHeight="1">
      <c r="F95" s="1">
        <v>24228</v>
      </c>
      <c r="G95">
        <f t="shared" si="2"/>
        <v>5</v>
      </c>
      <c r="H95" s="7">
        <v>324.08</v>
      </c>
      <c r="J95" s="7"/>
    </row>
    <row r="96" spans="6:10" ht="18.75" customHeight="1">
      <c r="F96" s="1">
        <v>24259</v>
      </c>
      <c r="G96">
        <f t="shared" si="2"/>
        <v>6</v>
      </c>
      <c r="H96" s="7">
        <v>323.75</v>
      </c>
      <c r="J96" s="7"/>
    </row>
    <row r="97" spans="6:10" ht="18.75" customHeight="1">
      <c r="F97" s="1">
        <v>24289</v>
      </c>
      <c r="G97">
        <f t="shared" si="2"/>
        <v>7</v>
      </c>
      <c r="H97" s="7">
        <v>322.38</v>
      </c>
      <c r="J97" s="7"/>
    </row>
    <row r="98" spans="6:10" ht="18.75" customHeight="1">
      <c r="F98" s="1">
        <v>24320</v>
      </c>
      <c r="G98">
        <f t="shared" si="2"/>
        <v>8</v>
      </c>
      <c r="H98" s="7">
        <v>320.36</v>
      </c>
      <c r="J98" s="7"/>
    </row>
    <row r="99" spans="6:10" ht="18.75" customHeight="1">
      <c r="F99" s="1">
        <v>24351</v>
      </c>
      <c r="G99">
        <f t="shared" si="2"/>
        <v>9</v>
      </c>
      <c r="H99" s="7">
        <v>318.64</v>
      </c>
      <c r="J99" s="7"/>
    </row>
    <row r="100" spans="6:10" ht="18.75" customHeight="1">
      <c r="F100" s="1">
        <v>24381</v>
      </c>
      <c r="G100">
        <f t="shared" si="2"/>
        <v>10</v>
      </c>
      <c r="H100" s="7">
        <v>318.10000000000002</v>
      </c>
      <c r="J100" s="7"/>
    </row>
    <row r="101" spans="6:10" ht="18.75" customHeight="1">
      <c r="F101" s="1">
        <v>24412</v>
      </c>
      <c r="G101">
        <f t="shared" si="2"/>
        <v>11</v>
      </c>
      <c r="H101" s="7">
        <v>319.77999999999997</v>
      </c>
      <c r="J101" s="7"/>
    </row>
    <row r="102" spans="6:10" ht="18.75" customHeight="1">
      <c r="F102" s="1">
        <v>24442</v>
      </c>
      <c r="G102">
        <f t="shared" si="2"/>
        <v>12</v>
      </c>
      <c r="H102" s="7">
        <v>321.02999999999997</v>
      </c>
      <c r="J102" s="7"/>
    </row>
    <row r="103" spans="6:10" ht="18.75" customHeight="1">
      <c r="F103" s="1">
        <v>24473</v>
      </c>
      <c r="G103">
        <f t="shared" si="2"/>
        <v>1</v>
      </c>
      <c r="H103" s="7">
        <v>322.33</v>
      </c>
      <c r="J103" s="7"/>
    </row>
    <row r="104" spans="6:10" ht="18.75" customHeight="1">
      <c r="F104" s="1">
        <v>24504</v>
      </c>
      <c r="G104">
        <f t="shared" si="2"/>
        <v>2</v>
      </c>
      <c r="H104" s="7">
        <v>322.5</v>
      </c>
      <c r="J104" s="7"/>
    </row>
    <row r="105" spans="6:10" ht="18.75" customHeight="1">
      <c r="F105" s="1">
        <v>24532</v>
      </c>
      <c r="G105">
        <f t="shared" si="2"/>
        <v>3</v>
      </c>
      <c r="H105" s="7">
        <v>323.04000000000002</v>
      </c>
      <c r="J105" s="7"/>
    </row>
    <row r="106" spans="6:10" ht="18.75" customHeight="1">
      <c r="F106" s="1">
        <v>24563</v>
      </c>
      <c r="G106">
        <f t="shared" si="2"/>
        <v>4</v>
      </c>
      <c r="H106" s="7">
        <v>324.42</v>
      </c>
      <c r="J106" s="7"/>
    </row>
    <row r="107" spans="6:10" ht="18.75" customHeight="1">
      <c r="F107" s="1">
        <v>24593</v>
      </c>
      <c r="G107">
        <f t="shared" si="2"/>
        <v>5</v>
      </c>
      <c r="H107" s="7">
        <v>325</v>
      </c>
      <c r="J107" s="7"/>
    </row>
    <row r="108" spans="6:10" ht="18.75" customHeight="1">
      <c r="F108" s="1">
        <v>24624</v>
      </c>
      <c r="G108">
        <f t="shared" si="2"/>
        <v>6</v>
      </c>
      <c r="H108" s="7">
        <v>324.08999999999997</v>
      </c>
      <c r="J108" s="7"/>
    </row>
    <row r="109" spans="6:10" ht="18.75" customHeight="1">
      <c r="F109" s="1">
        <v>24654</v>
      </c>
      <c r="G109">
        <f t="shared" si="2"/>
        <v>7</v>
      </c>
      <c r="H109" s="7">
        <v>322.54000000000002</v>
      </c>
      <c r="J109" s="7"/>
    </row>
    <row r="110" spans="6:10" ht="18.75" customHeight="1">
      <c r="F110" s="1">
        <v>24685</v>
      </c>
      <c r="G110">
        <f t="shared" si="2"/>
        <v>8</v>
      </c>
      <c r="H110" s="7">
        <v>320.92</v>
      </c>
      <c r="J110" s="7"/>
    </row>
    <row r="111" spans="6:10" ht="18.75" customHeight="1">
      <c r="F111" s="1">
        <v>24716</v>
      </c>
      <c r="G111">
        <f t="shared" si="2"/>
        <v>9</v>
      </c>
      <c r="H111" s="7">
        <v>319.25</v>
      </c>
      <c r="J111" s="7"/>
    </row>
    <row r="112" spans="6:10" ht="18.75" customHeight="1">
      <c r="F112" s="1">
        <v>24746</v>
      </c>
      <c r="G112">
        <f t="shared" si="2"/>
        <v>10</v>
      </c>
      <c r="H112" s="7">
        <v>319.39</v>
      </c>
      <c r="J112" s="7"/>
    </row>
    <row r="113" spans="6:10" ht="18.75" customHeight="1">
      <c r="F113" s="1">
        <v>24777</v>
      </c>
      <c r="G113">
        <f t="shared" si="2"/>
        <v>11</v>
      </c>
      <c r="H113" s="7">
        <v>320.73</v>
      </c>
      <c r="J113" s="7"/>
    </row>
    <row r="114" spans="6:10" ht="18.75" customHeight="1">
      <c r="F114" s="1">
        <v>24807</v>
      </c>
      <c r="G114">
        <f t="shared" si="2"/>
        <v>12</v>
      </c>
      <c r="H114" s="7">
        <v>321.95999999999998</v>
      </c>
      <c r="J114" s="7"/>
    </row>
    <row r="115" spans="6:10" ht="18.75" customHeight="1">
      <c r="F115" s="1">
        <v>24838</v>
      </c>
      <c r="G115">
        <f t="shared" si="2"/>
        <v>1</v>
      </c>
      <c r="H115" s="7">
        <v>322.57</v>
      </c>
      <c r="J115" s="7"/>
    </row>
    <row r="116" spans="6:10" ht="18.75" customHeight="1">
      <c r="F116" s="1">
        <v>24869</v>
      </c>
      <c r="G116">
        <f t="shared" si="2"/>
        <v>2</v>
      </c>
      <c r="H116" s="7">
        <v>323.14999999999998</v>
      </c>
      <c r="J116" s="7"/>
    </row>
    <row r="117" spans="6:10" ht="18.75" customHeight="1">
      <c r="F117" s="1">
        <v>24898</v>
      </c>
      <c r="G117">
        <f t="shared" si="2"/>
        <v>3</v>
      </c>
      <c r="H117" s="7">
        <v>323.89</v>
      </c>
      <c r="J117" s="7"/>
    </row>
    <row r="118" spans="6:10" ht="18.75" customHeight="1">
      <c r="F118" s="1">
        <v>24929</v>
      </c>
      <c r="G118">
        <f t="shared" si="2"/>
        <v>4</v>
      </c>
      <c r="H118" s="7">
        <v>325.02</v>
      </c>
      <c r="J118" s="7"/>
    </row>
    <row r="119" spans="6:10" ht="18.75" customHeight="1">
      <c r="F119" s="1">
        <v>24959</v>
      </c>
      <c r="G119">
        <f t="shared" si="2"/>
        <v>5</v>
      </c>
      <c r="H119" s="7">
        <v>325.57</v>
      </c>
      <c r="J119" s="7"/>
    </row>
    <row r="120" spans="6:10" ht="18.75" customHeight="1">
      <c r="F120" s="1">
        <v>24990</v>
      </c>
      <c r="G120">
        <f t="shared" si="2"/>
        <v>6</v>
      </c>
      <c r="H120" s="7">
        <v>325.36</v>
      </c>
      <c r="J120" s="7"/>
    </row>
    <row r="121" spans="6:10" ht="18.75" customHeight="1">
      <c r="F121" s="1">
        <v>25020</v>
      </c>
      <c r="G121">
        <f t="shared" si="2"/>
        <v>7</v>
      </c>
      <c r="H121" s="7">
        <v>324.14</v>
      </c>
      <c r="J121" s="7"/>
    </row>
    <row r="122" spans="6:10" ht="18.75" customHeight="1">
      <c r="F122" s="1">
        <v>25051</v>
      </c>
      <c r="G122">
        <f t="shared" si="2"/>
        <v>8</v>
      </c>
      <c r="H122" s="7">
        <v>322.11</v>
      </c>
      <c r="J122" s="7"/>
    </row>
    <row r="123" spans="6:10" ht="18.75" customHeight="1">
      <c r="F123" s="1">
        <v>25082</v>
      </c>
      <c r="G123">
        <f t="shared" si="2"/>
        <v>9</v>
      </c>
      <c r="H123" s="7">
        <v>320.33</v>
      </c>
      <c r="J123" s="7"/>
    </row>
    <row r="124" spans="6:10" ht="18.75" customHeight="1">
      <c r="F124" s="1">
        <v>25112</v>
      </c>
      <c r="G124">
        <f t="shared" si="2"/>
        <v>10</v>
      </c>
      <c r="H124" s="7">
        <v>320.25</v>
      </c>
      <c r="J124" s="7"/>
    </row>
    <row r="125" spans="6:10" ht="18.75" customHeight="1">
      <c r="F125" s="1">
        <v>25143</v>
      </c>
      <c r="G125">
        <f t="shared" si="2"/>
        <v>11</v>
      </c>
      <c r="H125" s="7">
        <v>321.32</v>
      </c>
      <c r="J125" s="7"/>
    </row>
    <row r="126" spans="6:10" ht="18.75" customHeight="1">
      <c r="F126" s="1">
        <v>25173</v>
      </c>
      <c r="G126">
        <f t="shared" si="2"/>
        <v>12</v>
      </c>
      <c r="H126" s="7">
        <v>322.89</v>
      </c>
      <c r="J126" s="7"/>
    </row>
    <row r="127" spans="6:10" ht="18.75" customHeight="1">
      <c r="F127" s="1">
        <v>25204</v>
      </c>
      <c r="G127">
        <f t="shared" si="2"/>
        <v>1</v>
      </c>
      <c r="H127" s="7">
        <v>324</v>
      </c>
      <c r="J127" s="7"/>
    </row>
    <row r="128" spans="6:10" ht="18.75" customHeight="1">
      <c r="F128" s="1">
        <v>25235</v>
      </c>
      <c r="G128">
        <f t="shared" si="2"/>
        <v>2</v>
      </c>
      <c r="H128" s="7">
        <v>324.41000000000003</v>
      </c>
      <c r="J128" s="7"/>
    </row>
    <row r="129" spans="6:10" ht="18.75" customHeight="1">
      <c r="F129" s="1">
        <v>25263</v>
      </c>
      <c r="G129">
        <f t="shared" si="2"/>
        <v>3</v>
      </c>
      <c r="H129" s="7">
        <v>325.63</v>
      </c>
      <c r="J129" s="7"/>
    </row>
    <row r="130" spans="6:10" ht="18.75" customHeight="1">
      <c r="F130" s="1">
        <v>25294</v>
      </c>
      <c r="G130">
        <f t="shared" si="2"/>
        <v>4</v>
      </c>
      <c r="H130" s="7">
        <v>326.66000000000003</v>
      </c>
      <c r="J130" s="7"/>
    </row>
    <row r="131" spans="6:10" ht="18.75" customHeight="1">
      <c r="F131" s="1">
        <v>25324</v>
      </c>
      <c r="G131">
        <f t="shared" ref="G131:G194" si="3">MONTH(F131)</f>
        <v>5</v>
      </c>
      <c r="H131" s="7">
        <v>327.38</v>
      </c>
      <c r="J131" s="7"/>
    </row>
    <row r="132" spans="6:10" ht="18.75" customHeight="1">
      <c r="F132" s="1">
        <v>25355</v>
      </c>
      <c r="G132">
        <f t="shared" si="3"/>
        <v>6</v>
      </c>
      <c r="H132" s="7">
        <v>326.70999999999998</v>
      </c>
      <c r="J132" s="7"/>
    </row>
    <row r="133" spans="6:10" ht="18.75" customHeight="1">
      <c r="F133" s="1">
        <v>25385</v>
      </c>
      <c r="G133">
        <f t="shared" si="3"/>
        <v>7</v>
      </c>
      <c r="H133" s="7">
        <v>325.88</v>
      </c>
      <c r="J133" s="7"/>
    </row>
    <row r="134" spans="6:10" ht="18.75" customHeight="1">
      <c r="F134" s="1">
        <v>25416</v>
      </c>
      <c r="G134">
        <f t="shared" si="3"/>
        <v>8</v>
      </c>
      <c r="H134" s="7">
        <v>323.66000000000003</v>
      </c>
      <c r="J134" s="7"/>
    </row>
    <row r="135" spans="6:10" ht="18.75" customHeight="1">
      <c r="F135" s="1">
        <v>25447</v>
      </c>
      <c r="G135">
        <f t="shared" si="3"/>
        <v>9</v>
      </c>
      <c r="H135" s="7">
        <v>322.38</v>
      </c>
      <c r="J135" s="7"/>
    </row>
    <row r="136" spans="6:10" ht="18.75" customHeight="1">
      <c r="F136" s="1">
        <v>25477</v>
      </c>
      <c r="G136">
        <f t="shared" si="3"/>
        <v>10</v>
      </c>
      <c r="H136" s="7">
        <v>321.77999999999997</v>
      </c>
      <c r="J136" s="7"/>
    </row>
    <row r="137" spans="6:10" ht="18.75" customHeight="1">
      <c r="F137" s="1">
        <v>25508</v>
      </c>
      <c r="G137">
        <f t="shared" si="3"/>
        <v>11</v>
      </c>
      <c r="H137" s="7">
        <v>322.85000000000002</v>
      </c>
      <c r="J137" s="7"/>
    </row>
    <row r="138" spans="6:10" ht="18.75" customHeight="1">
      <c r="F138" s="1">
        <v>25538</v>
      </c>
      <c r="G138">
        <f t="shared" si="3"/>
        <v>12</v>
      </c>
      <c r="H138" s="7">
        <v>324.12</v>
      </c>
      <c r="J138" s="7"/>
    </row>
    <row r="139" spans="6:10" ht="18.75" customHeight="1">
      <c r="F139" s="1">
        <v>25569</v>
      </c>
      <c r="G139">
        <f t="shared" si="3"/>
        <v>1</v>
      </c>
      <c r="H139" s="7">
        <v>325.06</v>
      </c>
      <c r="J139" s="7"/>
    </row>
    <row r="140" spans="6:10" ht="18.75" customHeight="1">
      <c r="F140" s="1">
        <v>25600</v>
      </c>
      <c r="G140">
        <f t="shared" si="3"/>
        <v>2</v>
      </c>
      <c r="H140" s="7">
        <v>325.98</v>
      </c>
      <c r="J140" s="7"/>
    </row>
    <row r="141" spans="6:10" ht="18.75" customHeight="1">
      <c r="F141" s="1">
        <v>25628</v>
      </c>
      <c r="G141">
        <f t="shared" si="3"/>
        <v>3</v>
      </c>
      <c r="H141" s="7">
        <v>326.93</v>
      </c>
      <c r="J141" s="7"/>
    </row>
    <row r="142" spans="6:10" ht="18.75" customHeight="1">
      <c r="F142" s="1">
        <v>25659</v>
      </c>
      <c r="G142">
        <f t="shared" si="3"/>
        <v>4</v>
      </c>
      <c r="H142" s="7">
        <v>328.13</v>
      </c>
      <c r="J142" s="7"/>
    </row>
    <row r="143" spans="6:10" ht="18.75" customHeight="1">
      <c r="F143" s="1">
        <v>25689</v>
      </c>
      <c r="G143">
        <f t="shared" si="3"/>
        <v>5</v>
      </c>
      <c r="H143" s="7">
        <v>328.08</v>
      </c>
      <c r="J143" s="7"/>
    </row>
    <row r="144" spans="6:10" ht="18.75" customHeight="1">
      <c r="F144" s="1">
        <v>25720</v>
      </c>
      <c r="G144">
        <f t="shared" si="3"/>
        <v>6</v>
      </c>
      <c r="H144" s="7">
        <v>327.67</v>
      </c>
      <c r="J144" s="7"/>
    </row>
    <row r="145" spans="6:10" ht="18.75" customHeight="1">
      <c r="F145" s="1">
        <v>25750</v>
      </c>
      <c r="G145">
        <f t="shared" si="3"/>
        <v>7</v>
      </c>
      <c r="H145" s="7">
        <v>326.33999999999997</v>
      </c>
      <c r="J145" s="7"/>
    </row>
    <row r="146" spans="6:10" ht="18.75" customHeight="1">
      <c r="F146" s="1">
        <v>25781</v>
      </c>
      <c r="G146">
        <f t="shared" si="3"/>
        <v>8</v>
      </c>
      <c r="H146" s="7">
        <v>324.69</v>
      </c>
      <c r="J146" s="7"/>
    </row>
    <row r="147" spans="6:10" ht="18.75" customHeight="1">
      <c r="F147" s="1">
        <v>25812</v>
      </c>
      <c r="G147">
        <f t="shared" si="3"/>
        <v>9</v>
      </c>
      <c r="H147" s="7">
        <v>323.10000000000002</v>
      </c>
      <c r="J147" s="7"/>
    </row>
    <row r="148" spans="6:10" ht="18.75" customHeight="1">
      <c r="F148" s="1">
        <v>25842</v>
      </c>
      <c r="G148">
        <f t="shared" si="3"/>
        <v>10</v>
      </c>
      <c r="H148" s="7">
        <v>323.06</v>
      </c>
      <c r="J148" s="7"/>
    </row>
    <row r="149" spans="6:10" ht="18.75" customHeight="1">
      <c r="F149" s="1">
        <v>25873</v>
      </c>
      <c r="G149">
        <f t="shared" si="3"/>
        <v>11</v>
      </c>
      <c r="H149" s="7">
        <v>324.01</v>
      </c>
      <c r="J149" s="7"/>
    </row>
    <row r="150" spans="6:10" ht="18.75" customHeight="1">
      <c r="F150" s="1">
        <v>25903</v>
      </c>
      <c r="G150">
        <f t="shared" si="3"/>
        <v>12</v>
      </c>
      <c r="H150" s="7">
        <v>325.13</v>
      </c>
      <c r="J150" s="7"/>
    </row>
    <row r="151" spans="6:10" ht="18.75" customHeight="1">
      <c r="F151" s="1">
        <v>25934</v>
      </c>
      <c r="G151">
        <f t="shared" si="3"/>
        <v>1</v>
      </c>
      <c r="H151" s="7">
        <v>326.17</v>
      </c>
      <c r="J151" s="7"/>
    </row>
    <row r="152" spans="6:10" ht="18.75" customHeight="1">
      <c r="F152" s="1">
        <v>25965</v>
      </c>
      <c r="G152">
        <f t="shared" si="3"/>
        <v>2</v>
      </c>
      <c r="H152" s="7">
        <v>326.68</v>
      </c>
      <c r="J152" s="7"/>
    </row>
    <row r="153" spans="6:10" ht="18.75" customHeight="1">
      <c r="F153" s="1">
        <v>25993</v>
      </c>
      <c r="G153">
        <f t="shared" si="3"/>
        <v>3</v>
      </c>
      <c r="H153" s="7">
        <v>327.17</v>
      </c>
      <c r="J153" s="7"/>
    </row>
    <row r="154" spans="6:10" ht="18.75" customHeight="1">
      <c r="F154" s="1">
        <v>26024</v>
      </c>
      <c r="G154">
        <f t="shared" si="3"/>
        <v>4</v>
      </c>
      <c r="H154" s="7">
        <v>327.79</v>
      </c>
      <c r="J154" s="7"/>
    </row>
    <row r="155" spans="6:10" ht="18.75" customHeight="1">
      <c r="F155" s="1">
        <v>26054</v>
      </c>
      <c r="G155">
        <f t="shared" si="3"/>
        <v>5</v>
      </c>
      <c r="H155" s="7">
        <v>328.93</v>
      </c>
      <c r="J155" s="7"/>
    </row>
    <row r="156" spans="6:10" ht="18.75" customHeight="1">
      <c r="F156" s="1">
        <v>26085</v>
      </c>
      <c r="G156">
        <f t="shared" si="3"/>
        <v>6</v>
      </c>
      <c r="H156" s="7">
        <v>328.57</v>
      </c>
      <c r="J156" s="7"/>
    </row>
    <row r="157" spans="6:10" ht="18.75" customHeight="1">
      <c r="F157" s="1">
        <v>26115</v>
      </c>
      <c r="G157">
        <f t="shared" si="3"/>
        <v>7</v>
      </c>
      <c r="H157" s="7">
        <v>327.36</v>
      </c>
      <c r="J157" s="7"/>
    </row>
    <row r="158" spans="6:10" ht="18.75" customHeight="1">
      <c r="F158" s="1">
        <v>26146</v>
      </c>
      <c r="G158">
        <f t="shared" si="3"/>
        <v>8</v>
      </c>
      <c r="H158" s="7">
        <v>325.43</v>
      </c>
      <c r="J158" s="7"/>
    </row>
    <row r="159" spans="6:10" ht="18.75" customHeight="1">
      <c r="F159" s="1">
        <v>26177</v>
      </c>
      <c r="G159">
        <f t="shared" si="3"/>
        <v>9</v>
      </c>
      <c r="H159" s="7">
        <v>323.36</v>
      </c>
      <c r="J159" s="7"/>
    </row>
    <row r="160" spans="6:10" ht="18.75" customHeight="1">
      <c r="F160" s="1">
        <v>26207</v>
      </c>
      <c r="G160">
        <f t="shared" si="3"/>
        <v>10</v>
      </c>
      <c r="H160" s="7">
        <v>323.56</v>
      </c>
      <c r="J160" s="7"/>
    </row>
    <row r="161" spans="6:10" ht="18.75" customHeight="1">
      <c r="F161" s="1">
        <v>26238</v>
      </c>
      <c r="G161">
        <f t="shared" si="3"/>
        <v>11</v>
      </c>
      <c r="H161" s="7">
        <v>324.8</v>
      </c>
      <c r="J161" s="7"/>
    </row>
    <row r="162" spans="6:10" ht="18.75" customHeight="1">
      <c r="F162" s="1">
        <v>26268</v>
      </c>
      <c r="G162">
        <f t="shared" si="3"/>
        <v>12</v>
      </c>
      <c r="H162" s="7">
        <v>326.01</v>
      </c>
      <c r="J162" s="7"/>
    </row>
    <row r="163" spans="6:10" ht="18.75" customHeight="1">
      <c r="F163" s="1">
        <v>26299</v>
      </c>
      <c r="G163">
        <f t="shared" si="3"/>
        <v>1</v>
      </c>
      <c r="H163" s="7">
        <v>326.77</v>
      </c>
      <c r="J163" s="7"/>
    </row>
    <row r="164" spans="6:10" ht="18.75" customHeight="1">
      <c r="F164" s="1">
        <v>26330</v>
      </c>
      <c r="G164">
        <f t="shared" si="3"/>
        <v>2</v>
      </c>
      <c r="H164" s="7">
        <v>327.63</v>
      </c>
      <c r="J164" s="7"/>
    </row>
    <row r="165" spans="6:10" ht="18.75" customHeight="1">
      <c r="F165" s="1">
        <v>26359</v>
      </c>
      <c r="G165">
        <f t="shared" si="3"/>
        <v>3</v>
      </c>
      <c r="H165" s="7">
        <v>327.75</v>
      </c>
      <c r="J165" s="7"/>
    </row>
    <row r="166" spans="6:10" ht="18.75" customHeight="1">
      <c r="F166" s="1">
        <v>26390</v>
      </c>
      <c r="G166">
        <f t="shared" si="3"/>
        <v>4</v>
      </c>
      <c r="H166" s="7">
        <v>329.72</v>
      </c>
      <c r="J166" s="7"/>
    </row>
    <row r="167" spans="6:10" ht="18.75" customHeight="1">
      <c r="F167" s="1">
        <v>26420</v>
      </c>
      <c r="G167">
        <f t="shared" si="3"/>
        <v>5</v>
      </c>
      <c r="H167" s="7">
        <v>330.07</v>
      </c>
      <c r="J167" s="7"/>
    </row>
    <row r="168" spans="6:10" ht="18.75" customHeight="1">
      <c r="F168" s="1">
        <v>26451</v>
      </c>
      <c r="G168">
        <f t="shared" si="3"/>
        <v>6</v>
      </c>
      <c r="H168" s="7">
        <v>329.09</v>
      </c>
      <c r="J168" s="7"/>
    </row>
    <row r="169" spans="6:10" ht="18.75" customHeight="1">
      <c r="F169" s="1">
        <v>26481</v>
      </c>
      <c r="G169">
        <f t="shared" si="3"/>
        <v>7</v>
      </c>
      <c r="H169" s="7">
        <v>328.04</v>
      </c>
      <c r="J169" s="7"/>
    </row>
    <row r="170" spans="6:10" ht="18.75" customHeight="1">
      <c r="F170" s="1">
        <v>26512</v>
      </c>
      <c r="G170">
        <f t="shared" si="3"/>
        <v>8</v>
      </c>
      <c r="H170" s="7">
        <v>326.32</v>
      </c>
      <c r="J170" s="7"/>
    </row>
    <row r="171" spans="6:10" ht="18.75" customHeight="1">
      <c r="F171" s="1">
        <v>26543</v>
      </c>
      <c r="G171">
        <f t="shared" si="3"/>
        <v>9</v>
      </c>
      <c r="H171" s="7">
        <v>324.83999999999997</v>
      </c>
      <c r="J171" s="7"/>
    </row>
    <row r="172" spans="6:10" ht="18.75" customHeight="1">
      <c r="F172" s="1">
        <v>26573</v>
      </c>
      <c r="G172">
        <f t="shared" si="3"/>
        <v>10</v>
      </c>
      <c r="H172" s="7">
        <v>325.2</v>
      </c>
      <c r="J172" s="7"/>
    </row>
    <row r="173" spans="6:10" ht="18.75" customHeight="1">
      <c r="F173" s="1">
        <v>26604</v>
      </c>
      <c r="G173">
        <f t="shared" si="3"/>
        <v>11</v>
      </c>
      <c r="H173" s="7">
        <v>326.5</v>
      </c>
      <c r="J173" s="7"/>
    </row>
    <row r="174" spans="6:10" ht="18.75" customHeight="1">
      <c r="F174" s="1">
        <v>26634</v>
      </c>
      <c r="G174">
        <f t="shared" si="3"/>
        <v>12</v>
      </c>
      <c r="H174" s="7">
        <v>327.55</v>
      </c>
      <c r="J174" s="7"/>
    </row>
    <row r="175" spans="6:10" ht="18.75" customHeight="1">
      <c r="F175" s="1">
        <v>26665</v>
      </c>
      <c r="G175">
        <f t="shared" si="3"/>
        <v>1</v>
      </c>
      <c r="H175" s="7">
        <v>328.55</v>
      </c>
      <c r="J175" s="7"/>
    </row>
    <row r="176" spans="6:10" ht="18.75" customHeight="1">
      <c r="F176" s="1">
        <v>26696</v>
      </c>
      <c r="G176">
        <f t="shared" si="3"/>
        <v>2</v>
      </c>
      <c r="H176" s="7">
        <v>329.56</v>
      </c>
      <c r="J176" s="7"/>
    </row>
    <row r="177" spans="6:10" ht="18.75" customHeight="1">
      <c r="F177" s="1">
        <v>26724</v>
      </c>
      <c r="G177">
        <f t="shared" si="3"/>
        <v>3</v>
      </c>
      <c r="H177" s="7">
        <v>330.3</v>
      </c>
      <c r="J177" s="7"/>
    </row>
    <row r="178" spans="6:10" ht="18.75" customHeight="1">
      <c r="F178" s="1">
        <v>26755</v>
      </c>
      <c r="G178">
        <f t="shared" si="3"/>
        <v>4</v>
      </c>
      <c r="H178" s="7">
        <v>331.5</v>
      </c>
      <c r="J178" s="7"/>
    </row>
    <row r="179" spans="6:10" ht="18.75" customHeight="1">
      <c r="F179" s="1">
        <v>26785</v>
      </c>
      <c r="G179">
        <f t="shared" si="3"/>
        <v>5</v>
      </c>
      <c r="H179" s="7">
        <v>332.48</v>
      </c>
      <c r="J179" s="7"/>
    </row>
    <row r="180" spans="6:10" ht="18.75" customHeight="1">
      <c r="F180" s="1">
        <v>26816</v>
      </c>
      <c r="G180">
        <f t="shared" si="3"/>
        <v>6</v>
      </c>
      <c r="H180" s="7">
        <v>332.07</v>
      </c>
      <c r="J180" s="7"/>
    </row>
    <row r="181" spans="6:10" ht="18.75" customHeight="1">
      <c r="F181" s="1">
        <v>26846</v>
      </c>
      <c r="G181">
        <f t="shared" si="3"/>
        <v>7</v>
      </c>
      <c r="H181" s="7">
        <v>330.87</v>
      </c>
      <c r="J181" s="7"/>
    </row>
    <row r="182" spans="6:10" ht="18.75" customHeight="1">
      <c r="F182" s="1">
        <v>26877</v>
      </c>
      <c r="G182">
        <f t="shared" si="3"/>
        <v>8</v>
      </c>
      <c r="H182" s="7">
        <v>329.31</v>
      </c>
      <c r="J182" s="7"/>
    </row>
    <row r="183" spans="6:10" ht="18.75" customHeight="1">
      <c r="F183" s="1">
        <v>26908</v>
      </c>
      <c r="G183">
        <f t="shared" si="3"/>
        <v>9</v>
      </c>
      <c r="H183" s="7">
        <v>327.51</v>
      </c>
      <c r="J183" s="7"/>
    </row>
    <row r="184" spans="6:10" ht="18.75" customHeight="1">
      <c r="F184" s="1">
        <v>26938</v>
      </c>
      <c r="G184">
        <f t="shared" si="3"/>
        <v>10</v>
      </c>
      <c r="H184" s="7">
        <v>327.18</v>
      </c>
      <c r="J184" s="7"/>
    </row>
    <row r="185" spans="6:10" ht="18.75" customHeight="1">
      <c r="F185" s="1">
        <v>26969</v>
      </c>
      <c r="G185">
        <f t="shared" si="3"/>
        <v>11</v>
      </c>
      <c r="H185" s="7">
        <v>328.16</v>
      </c>
      <c r="J185" s="7"/>
    </row>
    <row r="186" spans="6:10" ht="18.75" customHeight="1">
      <c r="F186" s="1">
        <v>26999</v>
      </c>
      <c r="G186">
        <f t="shared" si="3"/>
        <v>12</v>
      </c>
      <c r="H186" s="7">
        <v>328.64</v>
      </c>
      <c r="J186" s="7"/>
    </row>
    <row r="187" spans="6:10" ht="18.75" customHeight="1">
      <c r="F187" s="1">
        <v>27030</v>
      </c>
      <c r="G187">
        <f t="shared" si="3"/>
        <v>1</v>
      </c>
      <c r="H187" s="7">
        <v>329.35</v>
      </c>
      <c r="J187" s="7"/>
    </row>
    <row r="188" spans="6:10" ht="18.75" customHeight="1">
      <c r="F188" s="1">
        <v>27061</v>
      </c>
      <c r="G188">
        <f t="shared" si="3"/>
        <v>2</v>
      </c>
      <c r="H188" s="7">
        <v>330.71</v>
      </c>
      <c r="J188" s="7"/>
    </row>
    <row r="189" spans="6:10" ht="18.75" customHeight="1">
      <c r="F189" s="1">
        <v>27089</v>
      </c>
      <c r="G189">
        <f t="shared" si="3"/>
        <v>3</v>
      </c>
      <c r="H189" s="7">
        <v>331.48</v>
      </c>
      <c r="J189" s="7"/>
    </row>
    <row r="190" spans="6:10" ht="18.75" customHeight="1">
      <c r="F190" s="1">
        <v>27120</v>
      </c>
      <c r="G190">
        <f t="shared" si="3"/>
        <v>4</v>
      </c>
      <c r="H190" s="7">
        <v>332.65</v>
      </c>
      <c r="J190" s="7"/>
    </row>
    <row r="191" spans="6:10" ht="18.75" customHeight="1">
      <c r="F191" s="1">
        <v>27150</v>
      </c>
      <c r="G191">
        <f t="shared" si="3"/>
        <v>5</v>
      </c>
      <c r="H191" s="7">
        <v>333.09</v>
      </c>
      <c r="J191" s="7"/>
    </row>
    <row r="192" spans="6:10" ht="18.75" customHeight="1">
      <c r="F192" s="1">
        <v>27181</v>
      </c>
      <c r="G192">
        <f t="shared" si="3"/>
        <v>6</v>
      </c>
      <c r="H192" s="7">
        <v>332.25</v>
      </c>
      <c r="J192" s="7"/>
    </row>
    <row r="193" spans="6:10" ht="18.75" customHeight="1">
      <c r="F193" s="1">
        <v>27211</v>
      </c>
      <c r="G193">
        <f t="shared" si="3"/>
        <v>7</v>
      </c>
      <c r="H193" s="7">
        <v>331.18</v>
      </c>
      <c r="J193" s="7"/>
    </row>
    <row r="194" spans="6:10" ht="18.75" customHeight="1">
      <c r="F194" s="1">
        <v>27242</v>
      </c>
      <c r="G194">
        <f t="shared" si="3"/>
        <v>8</v>
      </c>
      <c r="H194" s="7">
        <v>329.39</v>
      </c>
      <c r="J194" s="7"/>
    </row>
    <row r="195" spans="6:10" ht="18.75" customHeight="1">
      <c r="F195" s="1">
        <v>27273</v>
      </c>
      <c r="G195">
        <f t="shared" ref="G195:G258" si="4">MONTH(F195)</f>
        <v>9</v>
      </c>
      <c r="H195" s="7">
        <v>327.43</v>
      </c>
      <c r="J195" s="7"/>
    </row>
    <row r="196" spans="6:10" ht="18.75" customHeight="1">
      <c r="F196" s="1">
        <v>27303</v>
      </c>
      <c r="G196">
        <f t="shared" si="4"/>
        <v>10</v>
      </c>
      <c r="H196" s="7">
        <v>327.37</v>
      </c>
      <c r="J196" s="7"/>
    </row>
    <row r="197" spans="6:10" ht="18.75" customHeight="1">
      <c r="F197" s="1">
        <v>27334</v>
      </c>
      <c r="G197">
        <f t="shared" si="4"/>
        <v>11</v>
      </c>
      <c r="H197" s="7">
        <v>328.46</v>
      </c>
      <c r="J197" s="7"/>
    </row>
    <row r="198" spans="6:10" ht="18.75" customHeight="1">
      <c r="F198" s="1">
        <v>27364</v>
      </c>
      <c r="G198">
        <f t="shared" si="4"/>
        <v>12</v>
      </c>
      <c r="H198" s="7">
        <v>329.57</v>
      </c>
      <c r="J198" s="7"/>
    </row>
    <row r="199" spans="6:10" ht="18.75" customHeight="1">
      <c r="F199" s="1">
        <v>27395</v>
      </c>
      <c r="G199">
        <f t="shared" si="4"/>
        <v>1</v>
      </c>
      <c r="H199" s="7">
        <v>330.4</v>
      </c>
      <c r="J199" s="7"/>
    </row>
    <row r="200" spans="6:10" ht="18.75" customHeight="1">
      <c r="F200" s="1">
        <v>27426</v>
      </c>
      <c r="G200">
        <f t="shared" si="4"/>
        <v>2</v>
      </c>
      <c r="H200" s="7">
        <v>331.4</v>
      </c>
      <c r="J200" s="7"/>
    </row>
    <row r="201" spans="6:10" ht="18.75" customHeight="1">
      <c r="F201" s="1">
        <v>27454</v>
      </c>
      <c r="G201">
        <f t="shared" si="4"/>
        <v>3</v>
      </c>
      <c r="H201" s="7">
        <v>332.04</v>
      </c>
      <c r="J201" s="7"/>
    </row>
    <row r="202" spans="6:10" ht="18.75" customHeight="1">
      <c r="F202" s="1">
        <v>27485</v>
      </c>
      <c r="G202">
        <f t="shared" si="4"/>
        <v>4</v>
      </c>
      <c r="H202" s="7">
        <v>333.31</v>
      </c>
      <c r="J202" s="7"/>
    </row>
    <row r="203" spans="6:10" ht="18.75" customHeight="1">
      <c r="F203" s="1">
        <v>27515</v>
      </c>
      <c r="G203">
        <f t="shared" si="4"/>
        <v>5</v>
      </c>
      <c r="H203" s="7">
        <v>333.97</v>
      </c>
      <c r="J203" s="7"/>
    </row>
    <row r="204" spans="6:10" ht="18.75" customHeight="1">
      <c r="F204" s="1">
        <v>27546</v>
      </c>
      <c r="G204">
        <f t="shared" si="4"/>
        <v>6</v>
      </c>
      <c r="H204" s="7">
        <v>333.6</v>
      </c>
      <c r="J204" s="7"/>
    </row>
    <row r="205" spans="6:10" ht="18.75" customHeight="1">
      <c r="F205" s="1">
        <v>27576</v>
      </c>
      <c r="G205">
        <f t="shared" si="4"/>
        <v>7</v>
      </c>
      <c r="H205" s="7">
        <v>331.9</v>
      </c>
      <c r="J205" s="7"/>
    </row>
    <row r="206" spans="6:10" ht="18.75" customHeight="1">
      <c r="F206" s="1">
        <v>27607</v>
      </c>
      <c r="G206">
        <f t="shared" si="4"/>
        <v>8</v>
      </c>
      <c r="H206" s="7">
        <v>330.06</v>
      </c>
      <c r="J206" s="7"/>
    </row>
    <row r="207" spans="6:10" ht="18.75" customHeight="1">
      <c r="F207" s="1">
        <v>27638</v>
      </c>
      <c r="G207">
        <f t="shared" si="4"/>
        <v>9</v>
      </c>
      <c r="H207" s="7">
        <v>328.56</v>
      </c>
      <c r="J207" s="7"/>
    </row>
    <row r="208" spans="6:10" ht="18.75" customHeight="1">
      <c r="F208" s="1">
        <v>27668</v>
      </c>
      <c r="G208">
        <f t="shared" si="4"/>
        <v>10</v>
      </c>
      <c r="H208" s="7">
        <v>328.34</v>
      </c>
      <c r="J208" s="7"/>
    </row>
    <row r="209" spans="6:10" ht="18.75" customHeight="1">
      <c r="F209" s="1">
        <v>27699</v>
      </c>
      <c r="G209">
        <f t="shared" si="4"/>
        <v>11</v>
      </c>
      <c r="H209" s="7">
        <v>329.49</v>
      </c>
      <c r="J209" s="7"/>
    </row>
    <row r="210" spans="6:10" ht="18.75" customHeight="1">
      <c r="F210" s="1">
        <v>27729</v>
      </c>
      <c r="G210">
        <f t="shared" si="4"/>
        <v>12</v>
      </c>
      <c r="H210" s="7">
        <v>330.76</v>
      </c>
      <c r="J210" s="7"/>
    </row>
    <row r="211" spans="6:10" ht="18.75" customHeight="1">
      <c r="F211" s="1">
        <v>27760</v>
      </c>
      <c r="G211">
        <f t="shared" si="4"/>
        <v>1</v>
      </c>
      <c r="H211" s="7">
        <v>331.75</v>
      </c>
      <c r="J211" s="7"/>
    </row>
    <row r="212" spans="6:10" ht="18.75" customHeight="1">
      <c r="F212" s="1">
        <v>27791</v>
      </c>
      <c r="G212">
        <f t="shared" si="4"/>
        <v>2</v>
      </c>
      <c r="H212" s="7">
        <v>332.57</v>
      </c>
      <c r="J212" s="7"/>
    </row>
    <row r="213" spans="6:10" ht="18.75" customHeight="1">
      <c r="F213" s="1">
        <v>27820</v>
      </c>
      <c r="G213">
        <f t="shared" si="4"/>
        <v>3</v>
      </c>
      <c r="H213" s="7">
        <v>333.5</v>
      </c>
      <c r="J213" s="7"/>
    </row>
    <row r="214" spans="6:10" ht="18.75" customHeight="1">
      <c r="F214" s="1">
        <v>27851</v>
      </c>
      <c r="G214">
        <f t="shared" si="4"/>
        <v>4</v>
      </c>
      <c r="H214" s="7">
        <v>334.58</v>
      </c>
      <c r="J214" s="7"/>
    </row>
    <row r="215" spans="6:10" ht="18.75" customHeight="1">
      <c r="F215" s="1">
        <v>27881</v>
      </c>
      <c r="G215">
        <f t="shared" si="4"/>
        <v>5</v>
      </c>
      <c r="H215" s="7">
        <v>334.88</v>
      </c>
      <c r="J215" s="7"/>
    </row>
    <row r="216" spans="6:10" ht="18.75" customHeight="1">
      <c r="F216" s="1">
        <v>27912</v>
      </c>
      <c r="G216">
        <f t="shared" si="4"/>
        <v>6</v>
      </c>
      <c r="H216" s="7">
        <v>334.33</v>
      </c>
      <c r="J216" s="7"/>
    </row>
    <row r="217" spans="6:10" ht="18.75" customHeight="1">
      <c r="F217" s="1">
        <v>27942</v>
      </c>
      <c r="G217">
        <f t="shared" si="4"/>
        <v>7</v>
      </c>
      <c r="H217" s="7">
        <v>333.05</v>
      </c>
      <c r="J217" s="7"/>
    </row>
    <row r="218" spans="6:10" ht="18.75" customHeight="1">
      <c r="F218" s="1">
        <v>27973</v>
      </c>
      <c r="G218">
        <f t="shared" si="4"/>
        <v>8</v>
      </c>
      <c r="H218" s="7">
        <v>330.94</v>
      </c>
      <c r="J218" s="7"/>
    </row>
    <row r="219" spans="6:10" ht="18.75" customHeight="1">
      <c r="F219" s="1">
        <v>28004</v>
      </c>
      <c r="G219">
        <f t="shared" si="4"/>
        <v>9</v>
      </c>
      <c r="H219" s="7">
        <v>329.3</v>
      </c>
      <c r="J219" s="7"/>
    </row>
    <row r="220" spans="6:10" ht="18.75" customHeight="1">
      <c r="F220" s="1">
        <v>28034</v>
      </c>
      <c r="G220">
        <f t="shared" si="4"/>
        <v>10</v>
      </c>
      <c r="H220" s="7">
        <v>328.94</v>
      </c>
      <c r="J220" s="7"/>
    </row>
    <row r="221" spans="6:10" ht="18.75" customHeight="1">
      <c r="F221" s="1">
        <v>28065</v>
      </c>
      <c r="G221">
        <f t="shared" si="4"/>
        <v>11</v>
      </c>
      <c r="H221" s="7">
        <v>330.31</v>
      </c>
      <c r="J221" s="7"/>
    </row>
    <row r="222" spans="6:10" ht="18.75" customHeight="1">
      <c r="F222" s="1">
        <v>28095</v>
      </c>
      <c r="G222">
        <f t="shared" si="4"/>
        <v>12</v>
      </c>
      <c r="H222" s="7">
        <v>331.68</v>
      </c>
      <c r="J222" s="7"/>
    </row>
    <row r="223" spans="6:10" ht="18.75" customHeight="1">
      <c r="F223" s="1">
        <v>28126</v>
      </c>
      <c r="G223">
        <f t="shared" si="4"/>
        <v>1</v>
      </c>
      <c r="H223" s="7">
        <v>332.93</v>
      </c>
      <c r="J223" s="7"/>
    </row>
    <row r="224" spans="6:10" ht="18.75" customHeight="1">
      <c r="F224" s="1">
        <v>28157</v>
      </c>
      <c r="G224">
        <f t="shared" si="4"/>
        <v>2</v>
      </c>
      <c r="H224" s="7">
        <v>333.42</v>
      </c>
      <c r="J224" s="7"/>
    </row>
    <row r="225" spans="6:10" ht="18.75" customHeight="1">
      <c r="F225" s="1">
        <v>28185</v>
      </c>
      <c r="G225">
        <f t="shared" si="4"/>
        <v>3</v>
      </c>
      <c r="H225" s="7">
        <v>334.7</v>
      </c>
      <c r="J225" s="7"/>
    </row>
    <row r="226" spans="6:10" ht="18.75" customHeight="1">
      <c r="F226" s="1">
        <v>28216</v>
      </c>
      <c r="G226">
        <f t="shared" si="4"/>
        <v>4</v>
      </c>
      <c r="H226" s="7">
        <v>336.07</v>
      </c>
      <c r="J226" s="7"/>
    </row>
    <row r="227" spans="6:10" ht="18.75" customHeight="1">
      <c r="F227" s="1">
        <v>28246</v>
      </c>
      <c r="G227">
        <f t="shared" si="4"/>
        <v>5</v>
      </c>
      <c r="H227" s="7">
        <v>336.75</v>
      </c>
      <c r="J227" s="7"/>
    </row>
    <row r="228" spans="6:10" ht="18.75" customHeight="1">
      <c r="F228" s="1">
        <v>28277</v>
      </c>
      <c r="G228">
        <f t="shared" si="4"/>
        <v>6</v>
      </c>
      <c r="H228" s="7">
        <v>336.27</v>
      </c>
      <c r="J228" s="7"/>
    </row>
    <row r="229" spans="6:10" ht="18.75" customHeight="1">
      <c r="F229" s="1">
        <v>28307</v>
      </c>
      <c r="G229">
        <f t="shared" si="4"/>
        <v>7</v>
      </c>
      <c r="H229" s="7">
        <v>334.92</v>
      </c>
      <c r="J229" s="7"/>
    </row>
    <row r="230" spans="6:10" ht="18.75" customHeight="1">
      <c r="F230" s="1">
        <v>28338</v>
      </c>
      <c r="G230">
        <f t="shared" si="4"/>
        <v>8</v>
      </c>
      <c r="H230" s="7">
        <v>332.75</v>
      </c>
      <c r="J230" s="7"/>
    </row>
    <row r="231" spans="6:10" ht="18.75" customHeight="1">
      <c r="F231" s="1">
        <v>28369</v>
      </c>
      <c r="G231">
        <f t="shared" si="4"/>
        <v>9</v>
      </c>
      <c r="H231" s="7">
        <v>331.59</v>
      </c>
      <c r="J231" s="7"/>
    </row>
    <row r="232" spans="6:10" ht="18.75" customHeight="1">
      <c r="F232" s="1">
        <v>28399</v>
      </c>
      <c r="G232">
        <f t="shared" si="4"/>
        <v>10</v>
      </c>
      <c r="H232" s="7">
        <v>331.16</v>
      </c>
      <c r="J232" s="7"/>
    </row>
    <row r="233" spans="6:10" ht="18.75" customHeight="1">
      <c r="F233" s="1">
        <v>28430</v>
      </c>
      <c r="G233">
        <f t="shared" si="4"/>
        <v>11</v>
      </c>
      <c r="H233" s="7">
        <v>332.4</v>
      </c>
      <c r="J233" s="7"/>
    </row>
    <row r="234" spans="6:10" ht="18.75" customHeight="1">
      <c r="F234" s="1">
        <v>28460</v>
      </c>
      <c r="G234">
        <f t="shared" si="4"/>
        <v>12</v>
      </c>
      <c r="H234" s="7">
        <v>333.85</v>
      </c>
      <c r="J234" s="7"/>
    </row>
    <row r="235" spans="6:10" ht="18.75" customHeight="1">
      <c r="F235" s="1">
        <v>28491</v>
      </c>
      <c r="G235">
        <f t="shared" si="4"/>
        <v>1</v>
      </c>
      <c r="H235" s="7">
        <v>334.97</v>
      </c>
      <c r="J235" s="7"/>
    </row>
    <row r="236" spans="6:10" ht="18.75" customHeight="1">
      <c r="F236" s="1">
        <v>28522</v>
      </c>
      <c r="G236">
        <f t="shared" si="4"/>
        <v>2</v>
      </c>
      <c r="H236" s="7">
        <v>335.39</v>
      </c>
      <c r="J236" s="7"/>
    </row>
    <row r="237" spans="6:10" ht="18.75" customHeight="1">
      <c r="F237" s="1">
        <v>28550</v>
      </c>
      <c r="G237">
        <f t="shared" si="4"/>
        <v>3</v>
      </c>
      <c r="H237" s="7">
        <v>336.64</v>
      </c>
      <c r="J237" s="7"/>
    </row>
    <row r="238" spans="6:10" ht="18.75" customHeight="1">
      <c r="F238" s="1">
        <v>28581</v>
      </c>
      <c r="G238">
        <f t="shared" si="4"/>
        <v>4</v>
      </c>
      <c r="H238" s="7">
        <v>337.76</v>
      </c>
      <c r="J238" s="7"/>
    </row>
    <row r="239" spans="6:10" ht="18.75" customHeight="1">
      <c r="F239" s="1">
        <v>28611</v>
      </c>
      <c r="G239">
        <f t="shared" si="4"/>
        <v>5</v>
      </c>
      <c r="H239" s="7">
        <v>338.01</v>
      </c>
      <c r="J239" s="7"/>
    </row>
    <row r="240" spans="6:10" ht="18.75" customHeight="1">
      <c r="F240" s="1">
        <v>28642</v>
      </c>
      <c r="G240">
        <f t="shared" si="4"/>
        <v>6</v>
      </c>
      <c r="H240" s="7">
        <v>337.9</v>
      </c>
      <c r="J240" s="7"/>
    </row>
    <row r="241" spans="6:10" ht="18.75" customHeight="1">
      <c r="F241" s="1">
        <v>28672</v>
      </c>
      <c r="G241">
        <f t="shared" si="4"/>
        <v>7</v>
      </c>
      <c r="H241" s="7">
        <v>336.54</v>
      </c>
      <c r="J241" s="7"/>
    </row>
    <row r="242" spans="6:10" ht="18.75" customHeight="1">
      <c r="F242" s="1">
        <v>28703</v>
      </c>
      <c r="G242">
        <f t="shared" si="4"/>
        <v>8</v>
      </c>
      <c r="H242" s="7">
        <v>334.68</v>
      </c>
      <c r="J242" s="7"/>
    </row>
    <row r="243" spans="6:10" ht="18.75" customHeight="1">
      <c r="F243" s="1">
        <v>28734</v>
      </c>
      <c r="G243">
        <f t="shared" si="4"/>
        <v>9</v>
      </c>
      <c r="H243" s="7">
        <v>332.76</v>
      </c>
      <c r="J243" s="7"/>
    </row>
    <row r="244" spans="6:10" ht="18.75" customHeight="1">
      <c r="F244" s="1">
        <v>28764</v>
      </c>
      <c r="G244">
        <f t="shared" si="4"/>
        <v>10</v>
      </c>
      <c r="H244" s="7">
        <v>332.55</v>
      </c>
      <c r="J244" s="7"/>
    </row>
    <row r="245" spans="6:10" ht="18.75" customHeight="1">
      <c r="F245" s="1">
        <v>28795</v>
      </c>
      <c r="G245">
        <f t="shared" si="4"/>
        <v>11</v>
      </c>
      <c r="H245" s="7">
        <v>333.92</v>
      </c>
      <c r="J245" s="7"/>
    </row>
    <row r="246" spans="6:10" ht="18.75" customHeight="1">
      <c r="F246" s="1">
        <v>28825</v>
      </c>
      <c r="G246">
        <f t="shared" si="4"/>
        <v>12</v>
      </c>
      <c r="H246" s="7">
        <v>334.95</v>
      </c>
      <c r="J246" s="7"/>
    </row>
    <row r="247" spans="6:10" ht="18.75" customHeight="1">
      <c r="F247" s="1">
        <v>28856</v>
      </c>
      <c r="G247">
        <f t="shared" si="4"/>
        <v>1</v>
      </c>
      <c r="H247" s="7">
        <v>336.23</v>
      </c>
      <c r="J247" s="7"/>
    </row>
    <row r="248" spans="6:10" ht="18.75" customHeight="1">
      <c r="F248" s="1">
        <v>28887</v>
      </c>
      <c r="G248">
        <f t="shared" si="4"/>
        <v>2</v>
      </c>
      <c r="H248" s="7">
        <v>336.76</v>
      </c>
      <c r="J248" s="7"/>
    </row>
    <row r="249" spans="6:10" ht="18.75" customHeight="1">
      <c r="F249" s="1">
        <v>28915</v>
      </c>
      <c r="G249">
        <f t="shared" si="4"/>
        <v>3</v>
      </c>
      <c r="H249" s="7">
        <v>337.96</v>
      </c>
      <c r="J249" s="7"/>
    </row>
    <row r="250" spans="6:10" ht="18.75" customHeight="1">
      <c r="F250" s="1">
        <v>28946</v>
      </c>
      <c r="G250">
        <f t="shared" si="4"/>
        <v>4</v>
      </c>
      <c r="H250" s="7">
        <v>338.88</v>
      </c>
      <c r="J250" s="7"/>
    </row>
    <row r="251" spans="6:10" ht="18.75" customHeight="1">
      <c r="F251" s="1">
        <v>28976</v>
      </c>
      <c r="G251">
        <f t="shared" si="4"/>
        <v>5</v>
      </c>
      <c r="H251" s="7">
        <v>339.47</v>
      </c>
      <c r="J251" s="7"/>
    </row>
    <row r="252" spans="6:10" ht="18.75" customHeight="1">
      <c r="F252" s="1">
        <v>29007</v>
      </c>
      <c r="G252">
        <f t="shared" si="4"/>
        <v>6</v>
      </c>
      <c r="H252" s="7">
        <v>339.29</v>
      </c>
      <c r="J252" s="7"/>
    </row>
    <row r="253" spans="6:10" ht="18.75" customHeight="1">
      <c r="F253" s="1">
        <v>29037</v>
      </c>
      <c r="G253">
        <f t="shared" si="4"/>
        <v>7</v>
      </c>
      <c r="H253" s="7">
        <v>337.73</v>
      </c>
      <c r="J253" s="7"/>
    </row>
    <row r="254" spans="6:10" ht="18.75" customHeight="1">
      <c r="F254" s="1">
        <v>29068</v>
      </c>
      <c r="G254">
        <f t="shared" si="4"/>
        <v>8</v>
      </c>
      <c r="H254" s="7">
        <v>336.09</v>
      </c>
      <c r="J254" s="7"/>
    </row>
    <row r="255" spans="6:10" ht="18.75" customHeight="1">
      <c r="F255" s="1">
        <v>29099</v>
      </c>
      <c r="G255">
        <f t="shared" si="4"/>
        <v>9</v>
      </c>
      <c r="H255" s="7">
        <v>333.92</v>
      </c>
      <c r="J255" s="7"/>
    </row>
    <row r="256" spans="6:10" ht="18.75" customHeight="1">
      <c r="F256" s="1">
        <v>29129</v>
      </c>
      <c r="G256">
        <f t="shared" si="4"/>
        <v>10</v>
      </c>
      <c r="H256" s="7">
        <v>333.86</v>
      </c>
      <c r="J256" s="7"/>
    </row>
    <row r="257" spans="6:10" ht="18.75" customHeight="1">
      <c r="F257" s="1">
        <v>29160</v>
      </c>
      <c r="G257">
        <f t="shared" si="4"/>
        <v>11</v>
      </c>
      <c r="H257" s="7">
        <v>335.29</v>
      </c>
      <c r="J257" s="7"/>
    </row>
    <row r="258" spans="6:10" ht="18.75" customHeight="1">
      <c r="F258" s="1">
        <v>29190</v>
      </c>
      <c r="G258">
        <f t="shared" si="4"/>
        <v>12</v>
      </c>
      <c r="H258" s="7">
        <v>336.73</v>
      </c>
      <c r="J258" s="7"/>
    </row>
    <row r="259" spans="6:10" ht="18.75" customHeight="1">
      <c r="F259" s="1">
        <v>29221</v>
      </c>
      <c r="G259">
        <f t="shared" ref="G259:G322" si="5">MONTH(F259)</f>
        <v>1</v>
      </c>
      <c r="H259" s="7">
        <v>338.01</v>
      </c>
      <c r="J259" s="7"/>
    </row>
    <row r="260" spans="6:10" ht="18.75" customHeight="1">
      <c r="F260" s="1">
        <v>29252</v>
      </c>
      <c r="G260">
        <f t="shared" si="5"/>
        <v>2</v>
      </c>
      <c r="H260" s="7">
        <v>338.36</v>
      </c>
      <c r="J260" s="7"/>
    </row>
    <row r="261" spans="6:10" ht="18.75" customHeight="1">
      <c r="F261" s="1">
        <v>29281</v>
      </c>
      <c r="G261">
        <f t="shared" si="5"/>
        <v>3</v>
      </c>
      <c r="H261" s="7">
        <v>340.07</v>
      </c>
      <c r="J261" s="7"/>
    </row>
    <row r="262" spans="6:10" ht="18.75" customHeight="1">
      <c r="F262" s="1">
        <v>29312</v>
      </c>
      <c r="G262">
        <f t="shared" si="5"/>
        <v>4</v>
      </c>
      <c r="H262" s="7">
        <v>340.76</v>
      </c>
      <c r="J262" s="7"/>
    </row>
    <row r="263" spans="6:10" ht="18.75" customHeight="1">
      <c r="F263" s="1">
        <v>29342</v>
      </c>
      <c r="G263">
        <f t="shared" si="5"/>
        <v>5</v>
      </c>
      <c r="H263" s="7">
        <v>341.47</v>
      </c>
      <c r="J263" s="7"/>
    </row>
    <row r="264" spans="6:10" ht="18.75" customHeight="1">
      <c r="F264" s="1">
        <v>29373</v>
      </c>
      <c r="G264">
        <f t="shared" si="5"/>
        <v>6</v>
      </c>
      <c r="H264" s="7">
        <v>341.17</v>
      </c>
      <c r="J264" s="7"/>
    </row>
    <row r="265" spans="6:10" ht="18.75" customHeight="1">
      <c r="F265" s="1">
        <v>29403</v>
      </c>
      <c r="G265">
        <f t="shared" si="5"/>
        <v>7</v>
      </c>
      <c r="H265" s="7">
        <v>339.56</v>
      </c>
      <c r="J265" s="7"/>
    </row>
    <row r="266" spans="6:10" ht="18.75" customHeight="1">
      <c r="F266" s="1">
        <v>29434</v>
      </c>
      <c r="G266">
        <f t="shared" si="5"/>
        <v>8</v>
      </c>
      <c r="H266" s="7">
        <v>337.6</v>
      </c>
      <c r="J266" s="7"/>
    </row>
    <row r="267" spans="6:10" ht="18.75" customHeight="1">
      <c r="F267" s="1">
        <v>29465</v>
      </c>
      <c r="G267">
        <f t="shared" si="5"/>
        <v>9</v>
      </c>
      <c r="H267" s="7">
        <v>335.88</v>
      </c>
      <c r="J267" s="7"/>
    </row>
    <row r="268" spans="6:10" ht="18.75" customHeight="1">
      <c r="F268" s="1">
        <v>29495</v>
      </c>
      <c r="G268">
        <f t="shared" si="5"/>
        <v>10</v>
      </c>
      <c r="H268" s="7">
        <v>336.02</v>
      </c>
      <c r="J268" s="7"/>
    </row>
    <row r="269" spans="6:10" ht="18.75" customHeight="1">
      <c r="F269" s="1">
        <v>29526</v>
      </c>
      <c r="G269">
        <f t="shared" si="5"/>
        <v>11</v>
      </c>
      <c r="H269" s="7">
        <v>337.1</v>
      </c>
      <c r="J269" s="7"/>
    </row>
    <row r="270" spans="6:10" ht="18.75" customHeight="1">
      <c r="F270" s="1">
        <v>29556</v>
      </c>
      <c r="G270">
        <f t="shared" si="5"/>
        <v>12</v>
      </c>
      <c r="H270" s="7">
        <v>338.21</v>
      </c>
      <c r="J270" s="7"/>
    </row>
    <row r="271" spans="6:10" ht="18.75" customHeight="1">
      <c r="F271" s="1">
        <v>29587</v>
      </c>
      <c r="G271">
        <f t="shared" si="5"/>
        <v>1</v>
      </c>
      <c r="H271" s="7">
        <v>339.24</v>
      </c>
      <c r="J271" s="7"/>
    </row>
    <row r="272" spans="6:10" ht="18.75" customHeight="1">
      <c r="F272" s="1">
        <v>29618</v>
      </c>
      <c r="G272">
        <f t="shared" si="5"/>
        <v>2</v>
      </c>
      <c r="H272" s="7">
        <v>340.48</v>
      </c>
      <c r="J272" s="7"/>
    </row>
    <row r="273" spans="6:10" ht="18.75" customHeight="1">
      <c r="F273" s="1">
        <v>29646</v>
      </c>
      <c r="G273">
        <f t="shared" si="5"/>
        <v>3</v>
      </c>
      <c r="H273" s="7">
        <v>341.38</v>
      </c>
      <c r="J273" s="7"/>
    </row>
    <row r="274" spans="6:10" ht="18.75" customHeight="1">
      <c r="F274" s="1">
        <v>29677</v>
      </c>
      <c r="G274">
        <f t="shared" si="5"/>
        <v>4</v>
      </c>
      <c r="H274" s="7">
        <v>342.5</v>
      </c>
      <c r="J274" s="7"/>
    </row>
    <row r="275" spans="6:10" ht="18.75" customHeight="1">
      <c r="F275" s="1">
        <v>29707</v>
      </c>
      <c r="G275">
        <f t="shared" si="5"/>
        <v>5</v>
      </c>
      <c r="H275" s="7">
        <v>342.91</v>
      </c>
      <c r="J275" s="7"/>
    </row>
    <row r="276" spans="6:10" ht="18.75" customHeight="1">
      <c r="F276" s="1">
        <v>29738</v>
      </c>
      <c r="G276">
        <f t="shared" si="5"/>
        <v>6</v>
      </c>
      <c r="H276" s="7">
        <v>342.25</v>
      </c>
      <c r="J276" s="7"/>
    </row>
    <row r="277" spans="6:10" ht="18.75" customHeight="1">
      <c r="F277" s="1">
        <v>29768</v>
      </c>
      <c r="G277">
        <f t="shared" si="5"/>
        <v>7</v>
      </c>
      <c r="H277" s="7">
        <v>340.49</v>
      </c>
      <c r="J277" s="7"/>
    </row>
    <row r="278" spans="6:10" ht="18.75" customHeight="1">
      <c r="F278" s="1">
        <v>29799</v>
      </c>
      <c r="G278">
        <f t="shared" si="5"/>
        <v>8</v>
      </c>
      <c r="H278" s="7">
        <v>338.43</v>
      </c>
      <c r="J278" s="7"/>
    </row>
    <row r="279" spans="6:10" ht="18.75" customHeight="1">
      <c r="F279" s="1">
        <v>29830</v>
      </c>
      <c r="G279">
        <f t="shared" si="5"/>
        <v>9</v>
      </c>
      <c r="H279" s="7">
        <v>336.69</v>
      </c>
      <c r="J279" s="7"/>
    </row>
    <row r="280" spans="6:10" ht="18.75" customHeight="1">
      <c r="F280" s="1">
        <v>29860</v>
      </c>
      <c r="G280">
        <f t="shared" si="5"/>
        <v>10</v>
      </c>
      <c r="H280" s="7">
        <v>336.86</v>
      </c>
      <c r="J280" s="7"/>
    </row>
    <row r="281" spans="6:10" ht="18.75" customHeight="1">
      <c r="F281" s="1">
        <v>29891</v>
      </c>
      <c r="G281">
        <f t="shared" si="5"/>
        <v>11</v>
      </c>
      <c r="H281" s="7">
        <v>338.36</v>
      </c>
      <c r="J281" s="7"/>
    </row>
    <row r="282" spans="6:10" ht="18.75" customHeight="1">
      <c r="F282" s="1">
        <v>29921</v>
      </c>
      <c r="G282">
        <f t="shared" si="5"/>
        <v>12</v>
      </c>
      <c r="H282" s="7">
        <v>339.61</v>
      </c>
      <c r="J282" s="7"/>
    </row>
    <row r="283" spans="6:10" ht="18.75" customHeight="1">
      <c r="F283" s="1">
        <v>29952</v>
      </c>
      <c r="G283">
        <f t="shared" si="5"/>
        <v>1</v>
      </c>
      <c r="H283" s="7">
        <v>340.75</v>
      </c>
      <c r="J283" s="7"/>
    </row>
    <row r="284" spans="6:10" ht="18.75" customHeight="1">
      <c r="F284" s="1">
        <v>29983</v>
      </c>
      <c r="G284">
        <f t="shared" si="5"/>
        <v>2</v>
      </c>
      <c r="H284" s="7">
        <v>341.61</v>
      </c>
      <c r="J284" s="7"/>
    </row>
    <row r="285" spans="6:10" ht="18.75" customHeight="1">
      <c r="F285" s="1">
        <v>30011</v>
      </c>
      <c r="G285">
        <f t="shared" si="5"/>
        <v>3</v>
      </c>
      <c r="H285" s="7">
        <v>342.7</v>
      </c>
      <c r="J285" s="7"/>
    </row>
    <row r="286" spans="6:10" ht="18.75" customHeight="1">
      <c r="F286" s="1">
        <v>30042</v>
      </c>
      <c r="G286">
        <f t="shared" si="5"/>
        <v>4</v>
      </c>
      <c r="H286" s="7">
        <v>343.57</v>
      </c>
      <c r="J286" s="7"/>
    </row>
    <row r="287" spans="6:10" ht="18.75" customHeight="1">
      <c r="F287" s="1">
        <v>30072</v>
      </c>
      <c r="G287">
        <f t="shared" si="5"/>
        <v>5</v>
      </c>
      <c r="H287" s="7">
        <v>344.14</v>
      </c>
      <c r="J287" s="7"/>
    </row>
    <row r="288" spans="6:10" ht="18.75" customHeight="1">
      <c r="F288" s="1">
        <v>30103</v>
      </c>
      <c r="G288">
        <f t="shared" si="5"/>
        <v>6</v>
      </c>
      <c r="H288" s="7">
        <v>343.35</v>
      </c>
      <c r="J288" s="7"/>
    </row>
    <row r="289" spans="6:10" ht="18.75" customHeight="1">
      <c r="F289" s="1">
        <v>30133</v>
      </c>
      <c r="G289">
        <f t="shared" si="5"/>
        <v>7</v>
      </c>
      <c r="H289" s="7">
        <v>342.06</v>
      </c>
      <c r="J289" s="7"/>
    </row>
    <row r="290" spans="6:10" ht="18.75" customHeight="1">
      <c r="F290" s="1">
        <v>30164</v>
      </c>
      <c r="G290">
        <f t="shared" si="5"/>
        <v>8</v>
      </c>
      <c r="H290" s="7">
        <v>339.81</v>
      </c>
      <c r="J290" s="7"/>
    </row>
    <row r="291" spans="6:10" ht="18.75" customHeight="1">
      <c r="F291" s="1">
        <v>30195</v>
      </c>
      <c r="G291">
        <f t="shared" si="5"/>
        <v>9</v>
      </c>
      <c r="H291" s="7">
        <v>337.98</v>
      </c>
      <c r="J291" s="7"/>
    </row>
    <row r="292" spans="6:10" ht="18.75" customHeight="1">
      <c r="F292" s="1">
        <v>30225</v>
      </c>
      <c r="G292">
        <f t="shared" si="5"/>
        <v>10</v>
      </c>
      <c r="H292" s="7">
        <v>337.86</v>
      </c>
      <c r="J292" s="7"/>
    </row>
    <row r="293" spans="6:10" ht="18.75" customHeight="1">
      <c r="F293" s="1">
        <v>30256</v>
      </c>
      <c r="G293">
        <f t="shared" si="5"/>
        <v>11</v>
      </c>
      <c r="H293" s="7">
        <v>339.26</v>
      </c>
      <c r="J293" s="7"/>
    </row>
    <row r="294" spans="6:10" ht="18.75" customHeight="1">
      <c r="F294" s="1">
        <v>30286</v>
      </c>
      <c r="G294">
        <f t="shared" si="5"/>
        <v>12</v>
      </c>
      <c r="H294" s="7">
        <v>340.49</v>
      </c>
      <c r="J294" s="7"/>
    </row>
    <row r="295" spans="6:10" ht="18.75" customHeight="1">
      <c r="F295" s="1">
        <v>30317</v>
      </c>
      <c r="G295">
        <f t="shared" si="5"/>
        <v>1</v>
      </c>
      <c r="H295" s="7">
        <v>341.38</v>
      </c>
      <c r="J295" s="7"/>
    </row>
    <row r="296" spans="6:10" ht="18.75" customHeight="1">
      <c r="F296" s="1">
        <v>30348</v>
      </c>
      <c r="G296">
        <f t="shared" si="5"/>
        <v>2</v>
      </c>
      <c r="H296" s="7">
        <v>342.52</v>
      </c>
      <c r="J296" s="7"/>
    </row>
    <row r="297" spans="6:10" ht="18.75" customHeight="1">
      <c r="F297" s="1">
        <v>30376</v>
      </c>
      <c r="G297">
        <f t="shared" si="5"/>
        <v>3</v>
      </c>
      <c r="H297" s="7">
        <v>343.1</v>
      </c>
      <c r="J297" s="7"/>
    </row>
    <row r="298" spans="6:10" ht="18.75" customHeight="1">
      <c r="F298" s="1">
        <v>30407</v>
      </c>
      <c r="G298">
        <f t="shared" si="5"/>
        <v>4</v>
      </c>
      <c r="H298" s="7">
        <v>344.94</v>
      </c>
      <c r="J298" s="7"/>
    </row>
    <row r="299" spans="6:10" ht="18.75" customHeight="1">
      <c r="F299" s="1">
        <v>30437</v>
      </c>
      <c r="G299">
        <f t="shared" si="5"/>
        <v>5</v>
      </c>
      <c r="H299" s="7">
        <v>345.76</v>
      </c>
      <c r="J299" s="7"/>
    </row>
    <row r="300" spans="6:10" ht="18.75" customHeight="1">
      <c r="F300" s="1">
        <v>30468</v>
      </c>
      <c r="G300">
        <f t="shared" si="5"/>
        <v>6</v>
      </c>
      <c r="H300" s="7">
        <v>345.32</v>
      </c>
      <c r="J300" s="7"/>
    </row>
    <row r="301" spans="6:10" ht="18.75" customHeight="1">
      <c r="F301" s="1">
        <v>30498</v>
      </c>
      <c r="G301">
        <f t="shared" si="5"/>
        <v>7</v>
      </c>
      <c r="H301" s="7">
        <v>343.98</v>
      </c>
      <c r="J301" s="7"/>
    </row>
    <row r="302" spans="6:10" ht="18.75" customHeight="1">
      <c r="F302" s="1">
        <v>30529</v>
      </c>
      <c r="G302">
        <f t="shared" si="5"/>
        <v>8</v>
      </c>
      <c r="H302" s="7">
        <v>342.38</v>
      </c>
      <c r="J302" s="7"/>
    </row>
    <row r="303" spans="6:10" ht="18.75" customHeight="1">
      <c r="F303" s="1">
        <v>30560</v>
      </c>
      <c r="G303">
        <f t="shared" si="5"/>
        <v>9</v>
      </c>
      <c r="H303" s="7">
        <v>339.87</v>
      </c>
      <c r="J303" s="7"/>
    </row>
    <row r="304" spans="6:10" ht="18.75" customHeight="1">
      <c r="F304" s="1">
        <v>30590</v>
      </c>
      <c r="G304">
        <f t="shared" si="5"/>
        <v>10</v>
      </c>
      <c r="H304" s="7">
        <v>339.99</v>
      </c>
      <c r="J304" s="7"/>
    </row>
    <row r="305" spans="6:10" ht="18.75" customHeight="1">
      <c r="F305" s="1">
        <v>30621</v>
      </c>
      <c r="G305">
        <f t="shared" si="5"/>
        <v>11</v>
      </c>
      <c r="H305" s="7">
        <v>341.15</v>
      </c>
      <c r="J305" s="7"/>
    </row>
    <row r="306" spans="6:10" ht="18.75" customHeight="1">
      <c r="F306" s="1">
        <v>30651</v>
      </c>
      <c r="G306">
        <f t="shared" si="5"/>
        <v>12</v>
      </c>
      <c r="H306" s="7">
        <v>342.99</v>
      </c>
      <c r="J306" s="7"/>
    </row>
    <row r="307" spans="6:10" ht="18.75" customHeight="1">
      <c r="F307" s="1">
        <v>30682</v>
      </c>
      <c r="G307">
        <f t="shared" si="5"/>
        <v>1</v>
      </c>
      <c r="H307" s="7">
        <v>343.7</v>
      </c>
      <c r="J307" s="7"/>
    </row>
    <row r="308" spans="6:10" ht="18.75" customHeight="1">
      <c r="F308" s="1">
        <v>30713</v>
      </c>
      <c r="G308">
        <f t="shared" si="5"/>
        <v>2</v>
      </c>
      <c r="H308" s="7">
        <v>344.5</v>
      </c>
      <c r="J308" s="7"/>
    </row>
    <row r="309" spans="6:10" ht="18.75" customHeight="1">
      <c r="F309" s="1">
        <v>30742</v>
      </c>
      <c r="G309">
        <f t="shared" si="5"/>
        <v>3</v>
      </c>
      <c r="H309" s="7">
        <v>345.28</v>
      </c>
      <c r="J309" s="7"/>
    </row>
    <row r="310" spans="6:10" ht="18.75" customHeight="1">
      <c r="F310" s="1">
        <v>30773</v>
      </c>
      <c r="G310">
        <f t="shared" si="5"/>
        <v>4</v>
      </c>
      <c r="H310" s="7">
        <v>347.05</v>
      </c>
      <c r="J310" s="7"/>
    </row>
    <row r="311" spans="6:10" ht="18.75" customHeight="1">
      <c r="F311" s="1">
        <v>30803</v>
      </c>
      <c r="G311">
        <f t="shared" si="5"/>
        <v>5</v>
      </c>
      <c r="H311" s="7">
        <v>347.43</v>
      </c>
      <c r="J311" s="7"/>
    </row>
    <row r="312" spans="6:10" ht="18.75" customHeight="1">
      <c r="F312" s="1">
        <v>30834</v>
      </c>
      <c r="G312">
        <f t="shared" si="5"/>
        <v>6</v>
      </c>
      <c r="H312" s="7">
        <v>346.8</v>
      </c>
      <c r="J312" s="7"/>
    </row>
    <row r="313" spans="6:10" ht="18.75" customHeight="1">
      <c r="F313" s="1">
        <v>30864</v>
      </c>
      <c r="G313">
        <f t="shared" si="5"/>
        <v>7</v>
      </c>
      <c r="H313" s="7">
        <v>345.39</v>
      </c>
      <c r="J313" s="7"/>
    </row>
    <row r="314" spans="6:10" ht="18.75" customHeight="1">
      <c r="F314" s="1">
        <v>30895</v>
      </c>
      <c r="G314">
        <f t="shared" si="5"/>
        <v>8</v>
      </c>
      <c r="H314" s="7">
        <v>343.28</v>
      </c>
      <c r="J314" s="7"/>
    </row>
    <row r="315" spans="6:10" ht="18.75" customHeight="1">
      <c r="F315" s="1">
        <v>30926</v>
      </c>
      <c r="G315">
        <f t="shared" si="5"/>
        <v>9</v>
      </c>
      <c r="H315" s="7">
        <v>341.07</v>
      </c>
      <c r="J315" s="7"/>
    </row>
    <row r="316" spans="6:10" ht="18.75" customHeight="1">
      <c r="F316" s="1">
        <v>30956</v>
      </c>
      <c r="G316">
        <f t="shared" si="5"/>
        <v>10</v>
      </c>
      <c r="H316" s="7">
        <v>341.35</v>
      </c>
      <c r="J316" s="7"/>
    </row>
    <row r="317" spans="6:10" ht="18.75" customHeight="1">
      <c r="F317" s="1">
        <v>30987</v>
      </c>
      <c r="G317">
        <f t="shared" si="5"/>
        <v>11</v>
      </c>
      <c r="H317" s="7">
        <v>342.98</v>
      </c>
      <c r="J317" s="7"/>
    </row>
    <row r="318" spans="6:10" ht="18.75" customHeight="1">
      <c r="F318" s="1">
        <v>31017</v>
      </c>
      <c r="G318">
        <f t="shared" si="5"/>
        <v>12</v>
      </c>
      <c r="H318" s="7">
        <v>344.22</v>
      </c>
      <c r="J318" s="7"/>
    </row>
    <row r="319" spans="6:10" ht="18.75" customHeight="1">
      <c r="F319" s="1">
        <v>31048</v>
      </c>
      <c r="G319">
        <f t="shared" si="5"/>
        <v>1</v>
      </c>
      <c r="H319" s="7">
        <v>344.97</v>
      </c>
      <c r="J319" s="7"/>
    </row>
    <row r="320" spans="6:10" ht="18.75" customHeight="1">
      <c r="F320" s="1">
        <v>31079</v>
      </c>
      <c r="G320">
        <f t="shared" si="5"/>
        <v>2</v>
      </c>
      <c r="H320" s="7">
        <v>345.99</v>
      </c>
      <c r="J320" s="7"/>
    </row>
    <row r="321" spans="6:10" ht="18.75" customHeight="1">
      <c r="F321" s="1">
        <v>31107</v>
      </c>
      <c r="G321">
        <f t="shared" si="5"/>
        <v>3</v>
      </c>
      <c r="H321" s="7">
        <v>347.42</v>
      </c>
      <c r="J321" s="7"/>
    </row>
    <row r="322" spans="6:10" ht="18.75" customHeight="1">
      <c r="F322" s="1">
        <v>31138</v>
      </c>
      <c r="G322">
        <f t="shared" si="5"/>
        <v>4</v>
      </c>
      <c r="H322" s="7">
        <v>348.35</v>
      </c>
      <c r="J322" s="7"/>
    </row>
    <row r="323" spans="6:10" ht="18.75" customHeight="1">
      <c r="F323" s="1">
        <v>31168</v>
      </c>
      <c r="G323">
        <f t="shared" ref="G323:G386" si="6">MONTH(F323)</f>
        <v>5</v>
      </c>
      <c r="H323" s="7">
        <v>348.93</v>
      </c>
      <c r="J323" s="7"/>
    </row>
    <row r="324" spans="6:10" ht="18.75" customHeight="1">
      <c r="F324" s="1">
        <v>31199</v>
      </c>
      <c r="G324">
        <f t="shared" si="6"/>
        <v>6</v>
      </c>
      <c r="H324" s="7">
        <v>348.25</v>
      </c>
      <c r="J324" s="7"/>
    </row>
    <row r="325" spans="6:10" ht="18.75" customHeight="1">
      <c r="F325" s="1">
        <v>31229</v>
      </c>
      <c r="G325">
        <f t="shared" si="6"/>
        <v>7</v>
      </c>
      <c r="H325" s="7">
        <v>346.56</v>
      </c>
      <c r="J325" s="7"/>
    </row>
    <row r="326" spans="6:10" ht="18.75" customHeight="1">
      <c r="F326" s="1">
        <v>31260</v>
      </c>
      <c r="G326">
        <f t="shared" si="6"/>
        <v>8</v>
      </c>
      <c r="H326" s="7">
        <v>344.67</v>
      </c>
      <c r="J326" s="7"/>
    </row>
    <row r="327" spans="6:10" ht="18.75" customHeight="1">
      <c r="F327" s="1">
        <v>31291</v>
      </c>
      <c r="G327">
        <f t="shared" si="6"/>
        <v>9</v>
      </c>
      <c r="H327" s="7">
        <v>343.09</v>
      </c>
      <c r="J327" s="7"/>
    </row>
    <row r="328" spans="6:10" ht="18.75" customHeight="1">
      <c r="F328" s="1">
        <v>31321</v>
      </c>
      <c r="G328">
        <f t="shared" si="6"/>
        <v>10</v>
      </c>
      <c r="H328" s="7">
        <v>342.8</v>
      </c>
      <c r="J328" s="7"/>
    </row>
    <row r="329" spans="6:10" ht="18.75" customHeight="1">
      <c r="F329" s="1">
        <v>31352</v>
      </c>
      <c r="G329">
        <f t="shared" si="6"/>
        <v>11</v>
      </c>
      <c r="H329" s="7">
        <v>344.24</v>
      </c>
      <c r="J329" s="7"/>
    </row>
    <row r="330" spans="6:10" ht="18.75" customHeight="1">
      <c r="F330" s="1">
        <v>31382</v>
      </c>
      <c r="G330">
        <f t="shared" si="6"/>
        <v>12</v>
      </c>
      <c r="H330" s="7">
        <v>345.56</v>
      </c>
      <c r="J330" s="7"/>
    </row>
    <row r="331" spans="6:10" ht="18.75" customHeight="1">
      <c r="F331" s="1">
        <v>31413</v>
      </c>
      <c r="G331">
        <f t="shared" si="6"/>
        <v>1</v>
      </c>
      <c r="H331" s="7">
        <v>346.3</v>
      </c>
      <c r="J331" s="7"/>
    </row>
    <row r="332" spans="6:10" ht="18.75" customHeight="1">
      <c r="F332" s="1">
        <v>31444</v>
      </c>
      <c r="G332">
        <f t="shared" si="6"/>
        <v>2</v>
      </c>
      <c r="H332" s="7">
        <v>346.95</v>
      </c>
      <c r="J332" s="7"/>
    </row>
    <row r="333" spans="6:10" ht="18.75" customHeight="1">
      <c r="F333" s="1">
        <v>31472</v>
      </c>
      <c r="G333">
        <f t="shared" si="6"/>
        <v>3</v>
      </c>
      <c r="H333" s="7">
        <v>347.85</v>
      </c>
      <c r="J333" s="7"/>
    </row>
    <row r="334" spans="6:10" ht="18.75" customHeight="1">
      <c r="F334" s="1">
        <v>31503</v>
      </c>
      <c r="G334">
        <f t="shared" si="6"/>
        <v>4</v>
      </c>
      <c r="H334" s="7">
        <v>349.55</v>
      </c>
      <c r="J334" s="7"/>
    </row>
    <row r="335" spans="6:10" ht="18.75" customHeight="1">
      <c r="F335" s="1">
        <v>31533</v>
      </c>
      <c r="G335">
        <f t="shared" si="6"/>
        <v>5</v>
      </c>
      <c r="H335" s="7">
        <v>350.22</v>
      </c>
      <c r="J335" s="7"/>
    </row>
    <row r="336" spans="6:10" ht="18.75" customHeight="1">
      <c r="F336" s="1">
        <v>31564</v>
      </c>
      <c r="G336">
        <f t="shared" si="6"/>
        <v>6</v>
      </c>
      <c r="H336" s="7">
        <v>349.55</v>
      </c>
      <c r="J336" s="7"/>
    </row>
    <row r="337" spans="6:10" ht="18.75" customHeight="1">
      <c r="F337" s="1">
        <v>31594</v>
      </c>
      <c r="G337">
        <f t="shared" si="6"/>
        <v>7</v>
      </c>
      <c r="H337" s="7">
        <v>347.94</v>
      </c>
      <c r="J337" s="7"/>
    </row>
    <row r="338" spans="6:10" ht="18.75" customHeight="1">
      <c r="F338" s="1">
        <v>31625</v>
      </c>
      <c r="G338">
        <f t="shared" si="6"/>
        <v>8</v>
      </c>
      <c r="H338" s="7">
        <v>345.9</v>
      </c>
      <c r="J338" s="7"/>
    </row>
    <row r="339" spans="6:10" ht="18.75" customHeight="1">
      <c r="F339" s="1">
        <v>31656</v>
      </c>
      <c r="G339">
        <f t="shared" si="6"/>
        <v>9</v>
      </c>
      <c r="H339" s="7">
        <v>344.85</v>
      </c>
      <c r="J339" s="7"/>
    </row>
    <row r="340" spans="6:10" ht="18.75" customHeight="1">
      <c r="F340" s="1">
        <v>31686</v>
      </c>
      <c r="G340">
        <f t="shared" si="6"/>
        <v>10</v>
      </c>
      <c r="H340" s="7">
        <v>344.17</v>
      </c>
      <c r="J340" s="7"/>
    </row>
    <row r="341" spans="6:10" ht="18.75" customHeight="1">
      <c r="F341" s="1">
        <v>31717</v>
      </c>
      <c r="G341">
        <f t="shared" si="6"/>
        <v>11</v>
      </c>
      <c r="H341" s="7">
        <v>345.66</v>
      </c>
      <c r="J341" s="7"/>
    </row>
    <row r="342" spans="6:10" ht="18.75" customHeight="1">
      <c r="F342" s="1">
        <v>31747</v>
      </c>
      <c r="G342">
        <f t="shared" si="6"/>
        <v>12</v>
      </c>
      <c r="H342" s="7">
        <v>346.9</v>
      </c>
      <c r="J342" s="7"/>
    </row>
    <row r="343" spans="6:10" ht="18.75" customHeight="1">
      <c r="F343" s="1">
        <v>31778</v>
      </c>
      <c r="G343">
        <f t="shared" si="6"/>
        <v>1</v>
      </c>
      <c r="H343" s="7">
        <v>348.02</v>
      </c>
      <c r="J343" s="7"/>
    </row>
    <row r="344" spans="6:10" ht="18.75" customHeight="1">
      <c r="F344" s="1">
        <v>31809</v>
      </c>
      <c r="G344">
        <f t="shared" si="6"/>
        <v>2</v>
      </c>
      <c r="H344" s="7">
        <v>348.48</v>
      </c>
      <c r="J344" s="7"/>
    </row>
    <row r="345" spans="6:10" ht="18.75" customHeight="1">
      <c r="F345" s="1">
        <v>31837</v>
      </c>
      <c r="G345">
        <f t="shared" si="6"/>
        <v>3</v>
      </c>
      <c r="H345" s="7">
        <v>349.42</v>
      </c>
      <c r="J345" s="7"/>
    </row>
    <row r="346" spans="6:10" ht="18.75" customHeight="1">
      <c r="F346" s="1">
        <v>31868</v>
      </c>
      <c r="G346">
        <f t="shared" si="6"/>
        <v>4</v>
      </c>
      <c r="H346" s="7">
        <v>350.98</v>
      </c>
      <c r="J346" s="7"/>
    </row>
    <row r="347" spans="6:10" ht="18.75" customHeight="1">
      <c r="F347" s="1">
        <v>31898</v>
      </c>
      <c r="G347">
        <f t="shared" si="6"/>
        <v>5</v>
      </c>
      <c r="H347" s="7">
        <v>351.85</v>
      </c>
      <c r="J347" s="7"/>
    </row>
    <row r="348" spans="6:10" ht="18.75" customHeight="1">
      <c r="F348" s="1">
        <v>31929</v>
      </c>
      <c r="G348">
        <f t="shared" si="6"/>
        <v>6</v>
      </c>
      <c r="H348" s="7">
        <v>351.26</v>
      </c>
      <c r="J348" s="7"/>
    </row>
    <row r="349" spans="6:10" ht="18.75" customHeight="1">
      <c r="F349" s="1">
        <v>31959</v>
      </c>
      <c r="G349">
        <f t="shared" si="6"/>
        <v>7</v>
      </c>
      <c r="H349" s="7">
        <v>349.51</v>
      </c>
      <c r="J349" s="7"/>
    </row>
    <row r="350" spans="6:10" ht="18.75" customHeight="1">
      <c r="F350" s="1">
        <v>31990</v>
      </c>
      <c r="G350">
        <f t="shared" si="6"/>
        <v>8</v>
      </c>
      <c r="H350" s="7">
        <v>348.1</v>
      </c>
      <c r="J350" s="7"/>
    </row>
    <row r="351" spans="6:10" ht="18.75" customHeight="1">
      <c r="F351" s="1">
        <v>32021</v>
      </c>
      <c r="G351">
        <f t="shared" si="6"/>
        <v>9</v>
      </c>
      <c r="H351" s="7">
        <v>346.45</v>
      </c>
      <c r="J351" s="7"/>
    </row>
    <row r="352" spans="6:10" ht="18.75" customHeight="1">
      <c r="F352" s="1">
        <v>32051</v>
      </c>
      <c r="G352">
        <f t="shared" si="6"/>
        <v>10</v>
      </c>
      <c r="H352" s="7">
        <v>346.36</v>
      </c>
      <c r="J352" s="7"/>
    </row>
    <row r="353" spans="6:10" ht="18.75" customHeight="1">
      <c r="F353" s="1">
        <v>32082</v>
      </c>
      <c r="G353">
        <f t="shared" si="6"/>
        <v>11</v>
      </c>
      <c r="H353" s="7">
        <v>347.81</v>
      </c>
      <c r="J353" s="7"/>
    </row>
    <row r="354" spans="6:10" ht="18.75" customHeight="1">
      <c r="F354" s="1">
        <v>32112</v>
      </c>
      <c r="G354">
        <f t="shared" si="6"/>
        <v>12</v>
      </c>
      <c r="H354" s="7">
        <v>348.96</v>
      </c>
      <c r="J354" s="7"/>
    </row>
    <row r="355" spans="6:10" ht="18.75" customHeight="1">
      <c r="F355" s="1">
        <v>32143</v>
      </c>
      <c r="G355">
        <f t="shared" si="6"/>
        <v>1</v>
      </c>
      <c r="H355" s="7">
        <v>350.43</v>
      </c>
      <c r="J355" s="7"/>
    </row>
    <row r="356" spans="6:10" ht="18.75" customHeight="1">
      <c r="F356" s="1">
        <v>32174</v>
      </c>
      <c r="G356">
        <f t="shared" si="6"/>
        <v>2</v>
      </c>
      <c r="H356" s="7">
        <v>351.73</v>
      </c>
      <c r="J356" s="7"/>
    </row>
    <row r="357" spans="6:10" ht="18.75" customHeight="1">
      <c r="F357" s="1">
        <v>32203</v>
      </c>
      <c r="G357">
        <f t="shared" si="6"/>
        <v>3</v>
      </c>
      <c r="H357" s="7">
        <v>352.22</v>
      </c>
      <c r="J357" s="7"/>
    </row>
    <row r="358" spans="6:10" ht="18.75" customHeight="1">
      <c r="F358" s="1">
        <v>32234</v>
      </c>
      <c r="G358">
        <f t="shared" si="6"/>
        <v>4</v>
      </c>
      <c r="H358" s="7">
        <v>353.59</v>
      </c>
      <c r="J358" s="7"/>
    </row>
    <row r="359" spans="6:10" ht="18.75" customHeight="1">
      <c r="F359" s="1">
        <v>32264</v>
      </c>
      <c r="G359">
        <f t="shared" si="6"/>
        <v>5</v>
      </c>
      <c r="H359" s="7">
        <v>354.22</v>
      </c>
      <c r="J359" s="7"/>
    </row>
    <row r="360" spans="6:10" ht="18.75" customHeight="1">
      <c r="F360" s="1">
        <v>32295</v>
      </c>
      <c r="G360">
        <f t="shared" si="6"/>
        <v>6</v>
      </c>
      <c r="H360" s="7">
        <v>353.8</v>
      </c>
      <c r="J360" s="7"/>
    </row>
    <row r="361" spans="6:10" ht="18.75" customHeight="1">
      <c r="F361" s="1">
        <v>32325</v>
      </c>
      <c r="G361">
        <f t="shared" si="6"/>
        <v>7</v>
      </c>
      <c r="H361" s="7">
        <v>352.38</v>
      </c>
      <c r="J361" s="7"/>
    </row>
    <row r="362" spans="6:10" ht="18.75" customHeight="1">
      <c r="F362" s="1">
        <v>32356</v>
      </c>
      <c r="G362">
        <f t="shared" si="6"/>
        <v>8</v>
      </c>
      <c r="H362" s="7">
        <v>350.43</v>
      </c>
      <c r="J362" s="7"/>
    </row>
    <row r="363" spans="6:10" ht="18.75" customHeight="1">
      <c r="F363" s="1">
        <v>32387</v>
      </c>
      <c r="G363">
        <f t="shared" si="6"/>
        <v>9</v>
      </c>
      <c r="H363" s="7">
        <v>348.73</v>
      </c>
      <c r="J363" s="7"/>
    </row>
    <row r="364" spans="6:10" ht="18.75" customHeight="1">
      <c r="F364" s="1">
        <v>32417</v>
      </c>
      <c r="G364">
        <f t="shared" si="6"/>
        <v>10</v>
      </c>
      <c r="H364" s="7">
        <v>348.88</v>
      </c>
      <c r="J364" s="7"/>
    </row>
    <row r="365" spans="6:10" ht="18.75" customHeight="1">
      <c r="F365" s="1">
        <v>32448</v>
      </c>
      <c r="G365">
        <f t="shared" si="6"/>
        <v>11</v>
      </c>
      <c r="H365" s="7">
        <v>350.07</v>
      </c>
      <c r="J365" s="7"/>
    </row>
    <row r="366" spans="6:10" ht="18.75" customHeight="1">
      <c r="F366" s="1">
        <v>32478</v>
      </c>
      <c r="G366">
        <f t="shared" si="6"/>
        <v>12</v>
      </c>
      <c r="H366" s="7">
        <v>351.34</v>
      </c>
      <c r="J366" s="7"/>
    </row>
    <row r="367" spans="6:10" ht="18.75" customHeight="1">
      <c r="F367" s="1">
        <v>32509</v>
      </c>
      <c r="G367">
        <f t="shared" si="6"/>
        <v>1</v>
      </c>
      <c r="H367" s="7">
        <v>352.76</v>
      </c>
      <c r="J367" s="7"/>
    </row>
    <row r="368" spans="6:10" ht="18.75" customHeight="1">
      <c r="F368" s="1">
        <v>32540</v>
      </c>
      <c r="G368">
        <f t="shared" si="6"/>
        <v>2</v>
      </c>
      <c r="H368" s="7">
        <v>353.07</v>
      </c>
      <c r="J368" s="7"/>
    </row>
    <row r="369" spans="6:10" ht="18.75" customHeight="1">
      <c r="F369" s="1">
        <v>32568</v>
      </c>
      <c r="G369">
        <f t="shared" si="6"/>
        <v>3</v>
      </c>
      <c r="H369" s="7">
        <v>353.68</v>
      </c>
      <c r="J369" s="7"/>
    </row>
    <row r="370" spans="6:10" ht="18.75" customHeight="1">
      <c r="F370" s="1">
        <v>32599</v>
      </c>
      <c r="G370">
        <f t="shared" si="6"/>
        <v>4</v>
      </c>
      <c r="H370" s="7">
        <v>355.42</v>
      </c>
      <c r="J370" s="7"/>
    </row>
    <row r="371" spans="6:10" ht="18.75" customHeight="1">
      <c r="F371" s="1">
        <v>32629</v>
      </c>
      <c r="G371">
        <f t="shared" si="6"/>
        <v>5</v>
      </c>
      <c r="H371" s="7">
        <v>355.67</v>
      </c>
      <c r="J371" s="7"/>
    </row>
    <row r="372" spans="6:10" ht="18.75" customHeight="1">
      <c r="F372" s="1">
        <v>32660</v>
      </c>
      <c r="G372">
        <f t="shared" si="6"/>
        <v>6</v>
      </c>
      <c r="H372" s="7">
        <v>355.12</v>
      </c>
      <c r="J372" s="7"/>
    </row>
    <row r="373" spans="6:10" ht="18.75" customHeight="1">
      <c r="F373" s="1">
        <v>32690</v>
      </c>
      <c r="G373">
        <f t="shared" si="6"/>
        <v>7</v>
      </c>
      <c r="H373" s="7">
        <v>353.9</v>
      </c>
      <c r="J373" s="7"/>
    </row>
    <row r="374" spans="6:10" ht="18.75" customHeight="1">
      <c r="F374" s="1">
        <v>32721</v>
      </c>
      <c r="G374">
        <f t="shared" si="6"/>
        <v>8</v>
      </c>
      <c r="H374" s="7">
        <v>351.67</v>
      </c>
      <c r="J374" s="7"/>
    </row>
    <row r="375" spans="6:10" ht="18.75" customHeight="1">
      <c r="F375" s="1">
        <v>32752</v>
      </c>
      <c r="G375">
        <f t="shared" si="6"/>
        <v>9</v>
      </c>
      <c r="H375" s="7">
        <v>349.81</v>
      </c>
      <c r="J375" s="7"/>
    </row>
    <row r="376" spans="6:10" ht="18.75" customHeight="1">
      <c r="F376" s="1">
        <v>32782</v>
      </c>
      <c r="G376">
        <f t="shared" si="6"/>
        <v>10</v>
      </c>
      <c r="H376" s="7">
        <v>349.99</v>
      </c>
      <c r="J376" s="7"/>
    </row>
    <row r="377" spans="6:10" ht="18.75" customHeight="1">
      <c r="F377" s="1">
        <v>32813</v>
      </c>
      <c r="G377">
        <f t="shared" si="6"/>
        <v>11</v>
      </c>
      <c r="H377" s="7">
        <v>351.3</v>
      </c>
      <c r="J377" s="7"/>
    </row>
    <row r="378" spans="6:10" ht="18.75" customHeight="1">
      <c r="F378" s="1">
        <v>32843</v>
      </c>
      <c r="G378">
        <f t="shared" si="6"/>
        <v>12</v>
      </c>
      <c r="H378" s="7">
        <v>352.52</v>
      </c>
      <c r="J378" s="7"/>
    </row>
    <row r="379" spans="6:10" ht="18.75" customHeight="1">
      <c r="F379" s="1">
        <v>32874</v>
      </c>
      <c r="G379">
        <f t="shared" si="6"/>
        <v>1</v>
      </c>
      <c r="H379" s="7">
        <v>353.66</v>
      </c>
      <c r="J379" s="7"/>
    </row>
    <row r="380" spans="6:10" ht="18.75" customHeight="1">
      <c r="F380" s="1">
        <v>32905</v>
      </c>
      <c r="G380">
        <f t="shared" si="6"/>
        <v>2</v>
      </c>
      <c r="H380" s="7">
        <v>354.7</v>
      </c>
      <c r="J380" s="7"/>
    </row>
    <row r="381" spans="6:10" ht="18.75" customHeight="1">
      <c r="F381" s="1">
        <v>32933</v>
      </c>
      <c r="G381">
        <f t="shared" si="6"/>
        <v>3</v>
      </c>
      <c r="H381" s="7">
        <v>355.38</v>
      </c>
      <c r="J381" s="7"/>
    </row>
    <row r="382" spans="6:10" ht="18.75" customHeight="1">
      <c r="F382" s="1">
        <v>32964</v>
      </c>
      <c r="G382">
        <f t="shared" si="6"/>
        <v>4</v>
      </c>
      <c r="H382" s="7">
        <v>356.2</v>
      </c>
      <c r="J382" s="7"/>
    </row>
    <row r="383" spans="6:10" ht="18.75" customHeight="1">
      <c r="F383" s="1">
        <v>32994</v>
      </c>
      <c r="G383">
        <f t="shared" si="6"/>
        <v>5</v>
      </c>
      <c r="H383" s="7">
        <v>357.16</v>
      </c>
      <c r="J383" s="7"/>
    </row>
    <row r="384" spans="6:10" ht="18.75" customHeight="1">
      <c r="F384" s="1">
        <v>33025</v>
      </c>
      <c r="G384">
        <f t="shared" si="6"/>
        <v>6</v>
      </c>
      <c r="H384" s="7">
        <v>356.23</v>
      </c>
      <c r="J384" s="7"/>
    </row>
    <row r="385" spans="6:10" ht="18.75" customHeight="1">
      <c r="F385" s="1">
        <v>33055</v>
      </c>
      <c r="G385">
        <f t="shared" si="6"/>
        <v>7</v>
      </c>
      <c r="H385" s="7">
        <v>354.81</v>
      </c>
      <c r="J385" s="7"/>
    </row>
    <row r="386" spans="6:10" ht="18.75" customHeight="1">
      <c r="F386" s="1">
        <v>33086</v>
      </c>
      <c r="G386">
        <f t="shared" si="6"/>
        <v>8</v>
      </c>
      <c r="H386" s="7">
        <v>352.91</v>
      </c>
      <c r="J386" s="7"/>
    </row>
    <row r="387" spans="6:10" ht="18.75" customHeight="1">
      <c r="F387" s="1">
        <v>33117</v>
      </c>
      <c r="G387">
        <f t="shared" ref="G387:G450" si="7">MONTH(F387)</f>
        <v>9</v>
      </c>
      <c r="H387" s="7">
        <v>350.96</v>
      </c>
      <c r="J387" s="7"/>
    </row>
    <row r="388" spans="6:10" ht="18.75" customHeight="1">
      <c r="F388" s="1">
        <v>33147</v>
      </c>
      <c r="G388">
        <f t="shared" si="7"/>
        <v>10</v>
      </c>
      <c r="H388" s="7">
        <v>351.18</v>
      </c>
      <c r="J388" s="7"/>
    </row>
    <row r="389" spans="6:10" ht="18.75" customHeight="1">
      <c r="F389" s="1">
        <v>33178</v>
      </c>
      <c r="G389">
        <f t="shared" si="7"/>
        <v>11</v>
      </c>
      <c r="H389" s="7">
        <v>352.83</v>
      </c>
      <c r="J389" s="7"/>
    </row>
    <row r="390" spans="6:10" ht="18.75" customHeight="1">
      <c r="F390" s="1">
        <v>33208</v>
      </c>
      <c r="G390">
        <f t="shared" si="7"/>
        <v>12</v>
      </c>
      <c r="H390" s="7">
        <v>354.21</v>
      </c>
      <c r="J390" s="7"/>
    </row>
    <row r="391" spans="6:10" ht="18.75" customHeight="1">
      <c r="F391" s="1">
        <v>33239</v>
      </c>
      <c r="G391">
        <f t="shared" si="7"/>
        <v>1</v>
      </c>
      <c r="H391" s="7">
        <v>354.72</v>
      </c>
      <c r="J391" s="7"/>
    </row>
    <row r="392" spans="6:10" ht="18.75" customHeight="1">
      <c r="F392" s="1">
        <v>33270</v>
      </c>
      <c r="G392">
        <f t="shared" si="7"/>
        <v>2</v>
      </c>
      <c r="H392" s="7">
        <v>355.75</v>
      </c>
      <c r="J392" s="7"/>
    </row>
    <row r="393" spans="6:10" ht="18.75" customHeight="1">
      <c r="F393" s="1">
        <v>33298</v>
      </c>
      <c r="G393">
        <f t="shared" si="7"/>
        <v>3</v>
      </c>
      <c r="H393" s="7">
        <v>357.16</v>
      </c>
      <c r="J393" s="7"/>
    </row>
    <row r="394" spans="6:10" ht="18.75" customHeight="1">
      <c r="F394" s="1">
        <v>33329</v>
      </c>
      <c r="G394">
        <f t="shared" si="7"/>
        <v>4</v>
      </c>
      <c r="H394" s="7">
        <v>358.6</v>
      </c>
      <c r="J394" s="7"/>
    </row>
    <row r="395" spans="6:10" ht="18.75" customHeight="1">
      <c r="F395" s="1">
        <v>33359</v>
      </c>
      <c r="G395">
        <f t="shared" si="7"/>
        <v>5</v>
      </c>
      <c r="H395" s="7">
        <v>359.34</v>
      </c>
      <c r="J395" s="7"/>
    </row>
    <row r="396" spans="6:10" ht="18.75" customHeight="1">
      <c r="F396" s="1">
        <v>33390</v>
      </c>
      <c r="G396">
        <f t="shared" si="7"/>
        <v>6</v>
      </c>
      <c r="H396" s="7">
        <v>358.24</v>
      </c>
      <c r="J396" s="7"/>
    </row>
    <row r="397" spans="6:10" ht="18.75" customHeight="1">
      <c r="F397" s="1">
        <v>33420</v>
      </c>
      <c r="G397">
        <f t="shared" si="7"/>
        <v>7</v>
      </c>
      <c r="H397" s="7">
        <v>356.17</v>
      </c>
      <c r="J397" s="7"/>
    </row>
    <row r="398" spans="6:10" ht="18.75" customHeight="1">
      <c r="F398" s="1">
        <v>33451</v>
      </c>
      <c r="G398">
        <f t="shared" si="7"/>
        <v>8</v>
      </c>
      <c r="H398" s="7">
        <v>354.01</v>
      </c>
      <c r="J398" s="7"/>
    </row>
    <row r="399" spans="6:10" ht="18.75" customHeight="1">
      <c r="F399" s="1">
        <v>33482</v>
      </c>
      <c r="G399">
        <f t="shared" si="7"/>
        <v>9</v>
      </c>
      <c r="H399" s="7">
        <v>352.15</v>
      </c>
      <c r="J399" s="7"/>
    </row>
    <row r="400" spans="6:10" ht="18.75" customHeight="1">
      <c r="F400" s="1">
        <v>33512</v>
      </c>
      <c r="G400">
        <f t="shared" si="7"/>
        <v>10</v>
      </c>
      <c r="H400" s="7">
        <v>352.21</v>
      </c>
      <c r="J400" s="7"/>
    </row>
    <row r="401" spans="6:10" ht="18.75" customHeight="1">
      <c r="F401" s="1">
        <v>33543</v>
      </c>
      <c r="G401">
        <f t="shared" si="7"/>
        <v>11</v>
      </c>
      <c r="H401" s="7">
        <v>353.75</v>
      </c>
      <c r="J401" s="7"/>
    </row>
    <row r="402" spans="6:10" ht="18.75" customHeight="1">
      <c r="F402" s="1">
        <v>33573</v>
      </c>
      <c r="G402">
        <f t="shared" si="7"/>
        <v>12</v>
      </c>
      <c r="H402" s="7">
        <v>354.99</v>
      </c>
      <c r="J402" s="7"/>
    </row>
    <row r="403" spans="6:10" ht="18.75" customHeight="1">
      <c r="F403" s="1">
        <v>33604</v>
      </c>
      <c r="G403">
        <f t="shared" si="7"/>
        <v>1</v>
      </c>
      <c r="H403" s="7">
        <v>355.99</v>
      </c>
      <c r="J403" s="7"/>
    </row>
    <row r="404" spans="6:10" ht="18.75" customHeight="1">
      <c r="F404" s="1">
        <v>33635</v>
      </c>
      <c r="G404">
        <f t="shared" si="7"/>
        <v>2</v>
      </c>
      <c r="H404" s="7">
        <v>356.72</v>
      </c>
      <c r="J404" s="7"/>
    </row>
    <row r="405" spans="6:10" ht="18.75" customHeight="1">
      <c r="F405" s="1">
        <v>33664</v>
      </c>
      <c r="G405">
        <f t="shared" si="7"/>
        <v>3</v>
      </c>
      <c r="H405" s="7">
        <v>357.81</v>
      </c>
      <c r="J405" s="7"/>
    </row>
    <row r="406" spans="6:10" ht="18.75" customHeight="1">
      <c r="F406" s="1">
        <v>33695</v>
      </c>
      <c r="G406">
        <f t="shared" si="7"/>
        <v>4</v>
      </c>
      <c r="H406" s="7">
        <v>359.15</v>
      </c>
      <c r="J406" s="7"/>
    </row>
    <row r="407" spans="6:10" ht="18.75" customHeight="1">
      <c r="F407" s="1">
        <v>33725</v>
      </c>
      <c r="G407">
        <f t="shared" si="7"/>
        <v>5</v>
      </c>
      <c r="H407" s="7">
        <v>359.66</v>
      </c>
      <c r="J407" s="7"/>
    </row>
    <row r="408" spans="6:10" ht="18.75" customHeight="1">
      <c r="F408" s="1">
        <v>33756</v>
      </c>
      <c r="G408">
        <f t="shared" si="7"/>
        <v>6</v>
      </c>
      <c r="H408" s="7">
        <v>359.25</v>
      </c>
      <c r="J408" s="7"/>
    </row>
    <row r="409" spans="6:10" ht="18.75" customHeight="1">
      <c r="F409" s="1">
        <v>33786</v>
      </c>
      <c r="G409">
        <f t="shared" si="7"/>
        <v>7</v>
      </c>
      <c r="H409" s="7">
        <v>357.02</v>
      </c>
      <c r="J409" s="7"/>
    </row>
    <row r="410" spans="6:10" ht="18.75" customHeight="1">
      <c r="F410" s="1">
        <v>33817</v>
      </c>
      <c r="G410">
        <f t="shared" si="7"/>
        <v>8</v>
      </c>
      <c r="H410" s="7">
        <v>355</v>
      </c>
      <c r="J410" s="7"/>
    </row>
    <row r="411" spans="6:10" ht="18.75" customHeight="1">
      <c r="F411" s="1">
        <v>33848</v>
      </c>
      <c r="G411">
        <f t="shared" si="7"/>
        <v>9</v>
      </c>
      <c r="H411" s="7">
        <v>353.01</v>
      </c>
      <c r="J411" s="7"/>
    </row>
    <row r="412" spans="6:10" ht="18.75" customHeight="1">
      <c r="F412" s="1">
        <v>33878</v>
      </c>
      <c r="G412">
        <f t="shared" si="7"/>
        <v>10</v>
      </c>
      <c r="H412" s="7">
        <v>353.31</v>
      </c>
      <c r="J412" s="7"/>
    </row>
    <row r="413" spans="6:10" ht="18.75" customHeight="1">
      <c r="F413" s="1">
        <v>33909</v>
      </c>
      <c r="G413">
        <f t="shared" si="7"/>
        <v>11</v>
      </c>
      <c r="H413" s="7">
        <v>354.16</v>
      </c>
      <c r="J413" s="7"/>
    </row>
    <row r="414" spans="6:10" ht="18.75" customHeight="1">
      <c r="F414" s="1">
        <v>33939</v>
      </c>
      <c r="G414">
        <f t="shared" si="7"/>
        <v>12</v>
      </c>
      <c r="H414" s="7">
        <v>355.4</v>
      </c>
      <c r="J414" s="7"/>
    </row>
    <row r="415" spans="6:10" ht="18.75" customHeight="1">
      <c r="F415" s="1">
        <v>33970</v>
      </c>
      <c r="G415">
        <f t="shared" si="7"/>
        <v>1</v>
      </c>
      <c r="H415" s="7">
        <v>356.7</v>
      </c>
      <c r="J415" s="7"/>
    </row>
    <row r="416" spans="6:10" ht="18.75" customHeight="1">
      <c r="F416" s="1">
        <v>34001</v>
      </c>
      <c r="G416">
        <f t="shared" si="7"/>
        <v>2</v>
      </c>
      <c r="H416" s="7">
        <v>357.17</v>
      </c>
      <c r="J416" s="7"/>
    </row>
    <row r="417" spans="6:10" ht="18.75" customHeight="1">
      <c r="F417" s="1">
        <v>34029</v>
      </c>
      <c r="G417">
        <f t="shared" si="7"/>
        <v>3</v>
      </c>
      <c r="H417" s="7">
        <v>358.38</v>
      </c>
      <c r="J417" s="7"/>
    </row>
    <row r="418" spans="6:10" ht="18.75" customHeight="1">
      <c r="F418" s="1">
        <v>34060</v>
      </c>
      <c r="G418">
        <f t="shared" si="7"/>
        <v>4</v>
      </c>
      <c r="H418" s="7">
        <v>359.46</v>
      </c>
      <c r="J418" s="7"/>
    </row>
    <row r="419" spans="6:10" ht="18.75" customHeight="1">
      <c r="F419" s="1">
        <v>34090</v>
      </c>
      <c r="G419">
        <f t="shared" si="7"/>
        <v>5</v>
      </c>
      <c r="H419" s="7">
        <v>360.28</v>
      </c>
      <c r="J419" s="7"/>
    </row>
    <row r="420" spans="6:10" ht="18.75" customHeight="1">
      <c r="F420" s="1">
        <v>34121</v>
      </c>
      <c r="G420">
        <f t="shared" si="7"/>
        <v>6</v>
      </c>
      <c r="H420" s="7">
        <v>359.6</v>
      </c>
      <c r="J420" s="7"/>
    </row>
    <row r="421" spans="6:10" ht="18.75" customHeight="1">
      <c r="F421" s="1">
        <v>34151</v>
      </c>
      <c r="G421">
        <f t="shared" si="7"/>
        <v>7</v>
      </c>
      <c r="H421" s="7">
        <v>357.57</v>
      </c>
      <c r="J421" s="7"/>
    </row>
    <row r="422" spans="6:10" ht="18.75" customHeight="1">
      <c r="F422" s="1">
        <v>34182</v>
      </c>
      <c r="G422">
        <f t="shared" si="7"/>
        <v>8</v>
      </c>
      <c r="H422" s="7">
        <v>355.52</v>
      </c>
      <c r="J422" s="7"/>
    </row>
    <row r="423" spans="6:10" ht="18.75" customHeight="1">
      <c r="F423" s="1">
        <v>34213</v>
      </c>
      <c r="G423">
        <f t="shared" si="7"/>
        <v>9</v>
      </c>
      <c r="H423" s="7">
        <v>353.69</v>
      </c>
      <c r="J423" s="7"/>
    </row>
    <row r="424" spans="6:10" ht="18.75" customHeight="1">
      <c r="F424" s="1">
        <v>34243</v>
      </c>
      <c r="G424">
        <f t="shared" si="7"/>
        <v>10</v>
      </c>
      <c r="H424" s="7">
        <v>353.99</v>
      </c>
      <c r="J424" s="7"/>
    </row>
    <row r="425" spans="6:10" ht="18.75" customHeight="1">
      <c r="F425" s="1">
        <v>34274</v>
      </c>
      <c r="G425">
        <f t="shared" si="7"/>
        <v>11</v>
      </c>
      <c r="H425" s="7">
        <v>355.34</v>
      </c>
      <c r="J425" s="7"/>
    </row>
    <row r="426" spans="6:10" ht="18.75" customHeight="1">
      <c r="F426" s="1">
        <v>34304</v>
      </c>
      <c r="G426">
        <f t="shared" si="7"/>
        <v>12</v>
      </c>
      <c r="H426" s="7">
        <v>356.8</v>
      </c>
      <c r="J426" s="7"/>
    </row>
    <row r="427" spans="6:10" ht="18.75" customHeight="1">
      <c r="F427" s="1">
        <v>34335</v>
      </c>
      <c r="G427">
        <f t="shared" si="7"/>
        <v>1</v>
      </c>
      <c r="H427" s="7">
        <v>358.37</v>
      </c>
      <c r="J427" s="7"/>
    </row>
    <row r="428" spans="6:10" ht="18.75" customHeight="1">
      <c r="F428" s="1">
        <v>34366</v>
      </c>
      <c r="G428">
        <f t="shared" si="7"/>
        <v>2</v>
      </c>
      <c r="H428" s="7">
        <v>358.91</v>
      </c>
      <c r="J428" s="7"/>
    </row>
    <row r="429" spans="6:10" ht="18.75" customHeight="1">
      <c r="F429" s="1">
        <v>34394</v>
      </c>
      <c r="G429">
        <f t="shared" si="7"/>
        <v>3</v>
      </c>
      <c r="H429" s="7">
        <v>359.97</v>
      </c>
      <c r="J429" s="7"/>
    </row>
    <row r="430" spans="6:10" ht="18.75" customHeight="1">
      <c r="F430" s="1">
        <v>34425</v>
      </c>
      <c r="G430">
        <f t="shared" si="7"/>
        <v>4</v>
      </c>
      <c r="H430" s="7">
        <v>361.26</v>
      </c>
      <c r="J430" s="7"/>
    </row>
    <row r="431" spans="6:10" ht="18.75" customHeight="1">
      <c r="F431" s="1">
        <v>34455</v>
      </c>
      <c r="G431">
        <f t="shared" si="7"/>
        <v>5</v>
      </c>
      <c r="H431" s="7">
        <v>361.69</v>
      </c>
      <c r="J431" s="7"/>
    </row>
    <row r="432" spans="6:10" ht="18.75" customHeight="1">
      <c r="F432" s="1">
        <v>34486</v>
      </c>
      <c r="G432">
        <f t="shared" si="7"/>
        <v>6</v>
      </c>
      <c r="H432" s="7">
        <v>360.94</v>
      </c>
      <c r="J432" s="7"/>
    </row>
    <row r="433" spans="6:10" ht="18.75" customHeight="1">
      <c r="F433" s="1">
        <v>34516</v>
      </c>
      <c r="G433">
        <f t="shared" si="7"/>
        <v>7</v>
      </c>
      <c r="H433" s="7">
        <v>359.55</v>
      </c>
      <c r="J433" s="7"/>
    </row>
    <row r="434" spans="6:10" ht="18.75" customHeight="1">
      <c r="F434" s="1">
        <v>34547</v>
      </c>
      <c r="G434">
        <f t="shared" si="7"/>
        <v>8</v>
      </c>
      <c r="H434" s="7">
        <v>357.48</v>
      </c>
      <c r="J434" s="7"/>
    </row>
    <row r="435" spans="6:10" ht="18.75" customHeight="1">
      <c r="F435" s="1">
        <v>34578</v>
      </c>
      <c r="G435">
        <f t="shared" si="7"/>
        <v>9</v>
      </c>
      <c r="H435" s="7">
        <v>355.84</v>
      </c>
      <c r="J435" s="7"/>
    </row>
    <row r="436" spans="6:10" ht="18.75" customHeight="1">
      <c r="F436" s="1">
        <v>34608</v>
      </c>
      <c r="G436">
        <f t="shared" si="7"/>
        <v>10</v>
      </c>
      <c r="H436" s="7">
        <v>356</v>
      </c>
      <c r="J436" s="7"/>
    </row>
    <row r="437" spans="6:10" ht="18.75" customHeight="1">
      <c r="F437" s="1">
        <v>34639</v>
      </c>
      <c r="G437">
        <f t="shared" si="7"/>
        <v>11</v>
      </c>
      <c r="H437" s="7">
        <v>357.58</v>
      </c>
      <c r="J437" s="7"/>
    </row>
    <row r="438" spans="6:10" ht="18.75" customHeight="1">
      <c r="F438" s="1">
        <v>34669</v>
      </c>
      <c r="G438">
        <f t="shared" si="7"/>
        <v>12</v>
      </c>
      <c r="H438" s="7">
        <v>359.04</v>
      </c>
      <c r="J438" s="7"/>
    </row>
    <row r="439" spans="6:10" ht="18.75" customHeight="1">
      <c r="F439" s="1">
        <v>34700</v>
      </c>
      <c r="G439">
        <f t="shared" si="7"/>
        <v>1</v>
      </c>
      <c r="H439" s="7">
        <v>359.97</v>
      </c>
      <c r="J439" s="7"/>
    </row>
    <row r="440" spans="6:10" ht="18.75" customHeight="1">
      <c r="F440" s="1">
        <v>34731</v>
      </c>
      <c r="G440">
        <f t="shared" si="7"/>
        <v>2</v>
      </c>
      <c r="H440" s="7">
        <v>361</v>
      </c>
      <c r="J440" s="7"/>
    </row>
    <row r="441" spans="6:10" ht="18.75" customHeight="1">
      <c r="F441" s="1">
        <v>34759</v>
      </c>
      <c r="G441">
        <f t="shared" si="7"/>
        <v>3</v>
      </c>
      <c r="H441" s="7">
        <v>361.63</v>
      </c>
      <c r="J441" s="7"/>
    </row>
    <row r="442" spans="6:10" ht="18.75" customHeight="1">
      <c r="F442" s="1">
        <v>34790</v>
      </c>
      <c r="G442">
        <f t="shared" si="7"/>
        <v>4</v>
      </c>
      <c r="H442" s="7">
        <v>363.45</v>
      </c>
      <c r="J442" s="7"/>
    </row>
    <row r="443" spans="6:10" ht="18.75" customHeight="1">
      <c r="F443" s="1">
        <v>34820</v>
      </c>
      <c r="G443">
        <f t="shared" si="7"/>
        <v>5</v>
      </c>
      <c r="H443" s="7">
        <v>363.8</v>
      </c>
      <c r="J443" s="7"/>
    </row>
    <row r="444" spans="6:10" ht="18.75" customHeight="1">
      <c r="F444" s="1">
        <v>34851</v>
      </c>
      <c r="G444">
        <f t="shared" si="7"/>
        <v>6</v>
      </c>
      <c r="H444" s="7">
        <v>363.26</v>
      </c>
      <c r="J444" s="7"/>
    </row>
    <row r="445" spans="6:10" ht="18.75" customHeight="1">
      <c r="F445" s="1">
        <v>34881</v>
      </c>
      <c r="G445">
        <f t="shared" si="7"/>
        <v>7</v>
      </c>
      <c r="H445" s="7">
        <v>361.89</v>
      </c>
      <c r="J445" s="7"/>
    </row>
    <row r="446" spans="6:10" ht="18.75" customHeight="1">
      <c r="F446" s="1">
        <v>34912</v>
      </c>
      <c r="G446">
        <f t="shared" si="7"/>
        <v>8</v>
      </c>
      <c r="H446" s="7">
        <v>359.45</v>
      </c>
      <c r="J446" s="7"/>
    </row>
    <row r="447" spans="6:10" ht="18.75" customHeight="1">
      <c r="F447" s="1">
        <v>34943</v>
      </c>
      <c r="G447">
        <f t="shared" si="7"/>
        <v>9</v>
      </c>
      <c r="H447" s="7">
        <v>358.05</v>
      </c>
      <c r="J447" s="7"/>
    </row>
    <row r="448" spans="6:10" ht="18.75" customHeight="1">
      <c r="F448" s="1">
        <v>34973</v>
      </c>
      <c r="G448">
        <f t="shared" si="7"/>
        <v>10</v>
      </c>
      <c r="H448" s="7">
        <v>357.75</v>
      </c>
      <c r="J448" s="7"/>
    </row>
    <row r="449" spans="6:10" ht="18.75" customHeight="1">
      <c r="F449" s="1">
        <v>35004</v>
      </c>
      <c r="G449">
        <f t="shared" si="7"/>
        <v>11</v>
      </c>
      <c r="H449" s="7">
        <v>359.56</v>
      </c>
      <c r="J449" s="7"/>
    </row>
    <row r="450" spans="6:10" ht="18.75" customHeight="1">
      <c r="F450" s="1">
        <v>35034</v>
      </c>
      <c r="G450">
        <f t="shared" si="7"/>
        <v>12</v>
      </c>
      <c r="H450" s="7">
        <v>360.7</v>
      </c>
      <c r="J450" s="7"/>
    </row>
    <row r="451" spans="6:10" ht="18.75" customHeight="1">
      <c r="F451" s="1">
        <v>35065</v>
      </c>
      <c r="G451">
        <f t="shared" ref="G451:G514" si="8">MONTH(F451)</f>
        <v>1</v>
      </c>
      <c r="H451" s="7">
        <v>362.05</v>
      </c>
      <c r="J451" s="7"/>
    </row>
    <row r="452" spans="6:10" ht="18.75" customHeight="1">
      <c r="F452" s="1">
        <v>35096</v>
      </c>
      <c r="G452">
        <f t="shared" si="8"/>
        <v>2</v>
      </c>
      <c r="H452" s="7">
        <v>363.24</v>
      </c>
      <c r="J452" s="7"/>
    </row>
    <row r="453" spans="6:10" ht="18.75" customHeight="1">
      <c r="F453" s="1">
        <v>35125</v>
      </c>
      <c r="G453">
        <f t="shared" si="8"/>
        <v>3</v>
      </c>
      <c r="H453" s="7">
        <v>364.02</v>
      </c>
      <c r="J453" s="7"/>
    </row>
    <row r="454" spans="6:10" ht="18.75" customHeight="1">
      <c r="F454" s="1">
        <v>35156</v>
      </c>
      <c r="G454">
        <f t="shared" si="8"/>
        <v>4</v>
      </c>
      <c r="H454" s="7">
        <v>364.71</v>
      </c>
      <c r="J454" s="7"/>
    </row>
    <row r="455" spans="6:10" ht="18.75" customHeight="1">
      <c r="F455" s="1">
        <v>35186</v>
      </c>
      <c r="G455">
        <f t="shared" si="8"/>
        <v>5</v>
      </c>
      <c r="H455" s="7">
        <v>365.42</v>
      </c>
      <c r="J455" s="7"/>
    </row>
    <row r="456" spans="6:10" ht="18.75" customHeight="1">
      <c r="F456" s="1">
        <v>35217</v>
      </c>
      <c r="G456">
        <f t="shared" si="8"/>
        <v>6</v>
      </c>
      <c r="H456" s="7">
        <v>364.97</v>
      </c>
      <c r="J456" s="7"/>
    </row>
    <row r="457" spans="6:10" ht="18.75" customHeight="1">
      <c r="F457" s="1">
        <v>35247</v>
      </c>
      <c r="G457">
        <f t="shared" si="8"/>
        <v>7</v>
      </c>
      <c r="H457" s="7">
        <v>363.65</v>
      </c>
      <c r="J457" s="7"/>
    </row>
    <row r="458" spans="6:10" ht="18.75" customHeight="1">
      <c r="F458" s="1">
        <v>35278</v>
      </c>
      <c r="G458">
        <f t="shared" si="8"/>
        <v>8</v>
      </c>
      <c r="H458" s="7">
        <v>361.48</v>
      </c>
      <c r="J458" s="7"/>
    </row>
    <row r="459" spans="6:10" ht="18.75" customHeight="1">
      <c r="F459" s="1">
        <v>35309</v>
      </c>
      <c r="G459">
        <f t="shared" si="8"/>
        <v>9</v>
      </c>
      <c r="H459" s="7">
        <v>359.45</v>
      </c>
      <c r="J459" s="7"/>
    </row>
    <row r="460" spans="6:10" ht="18.75" customHeight="1">
      <c r="F460" s="1">
        <v>35339</v>
      </c>
      <c r="G460">
        <f t="shared" si="8"/>
        <v>10</v>
      </c>
      <c r="H460" s="7">
        <v>359.61</v>
      </c>
      <c r="J460" s="7"/>
    </row>
    <row r="461" spans="6:10" ht="18.75" customHeight="1">
      <c r="F461" s="1">
        <v>35370</v>
      </c>
      <c r="G461">
        <f t="shared" si="8"/>
        <v>11</v>
      </c>
      <c r="H461" s="7">
        <v>360.76</v>
      </c>
      <c r="J461" s="7"/>
    </row>
    <row r="462" spans="6:10" ht="18.75" customHeight="1">
      <c r="F462" s="1">
        <v>35400</v>
      </c>
      <c r="G462">
        <f t="shared" si="8"/>
        <v>12</v>
      </c>
      <c r="H462" s="7">
        <v>362.33</v>
      </c>
      <c r="J462" s="7"/>
    </row>
    <row r="463" spans="6:10" ht="18.75" customHeight="1">
      <c r="F463" s="1">
        <v>35431</v>
      </c>
      <c r="G463">
        <f t="shared" si="8"/>
        <v>1</v>
      </c>
      <c r="H463" s="7">
        <v>363.19</v>
      </c>
      <c r="J463" s="7"/>
    </row>
    <row r="464" spans="6:10" ht="18.75" customHeight="1">
      <c r="F464" s="1">
        <v>35462</v>
      </c>
      <c r="G464">
        <f t="shared" si="8"/>
        <v>2</v>
      </c>
      <c r="H464" s="7">
        <v>363.99</v>
      </c>
      <c r="J464" s="7"/>
    </row>
    <row r="465" spans="6:10" ht="18.75" customHeight="1">
      <c r="F465" s="1">
        <v>35490</v>
      </c>
      <c r="G465">
        <f t="shared" si="8"/>
        <v>3</v>
      </c>
      <c r="H465" s="7">
        <v>364.56</v>
      </c>
      <c r="J465" s="7"/>
    </row>
    <row r="466" spans="6:10" ht="18.75" customHeight="1">
      <c r="F466" s="1">
        <v>35521</v>
      </c>
      <c r="G466">
        <f t="shared" si="8"/>
        <v>4</v>
      </c>
      <c r="H466" s="7">
        <v>366.36</v>
      </c>
      <c r="J466" s="7"/>
    </row>
    <row r="467" spans="6:10" ht="18.75" customHeight="1">
      <c r="F467" s="1">
        <v>35551</v>
      </c>
      <c r="G467">
        <f t="shared" si="8"/>
        <v>5</v>
      </c>
      <c r="H467" s="7">
        <v>366.8</v>
      </c>
      <c r="J467" s="7"/>
    </row>
    <row r="468" spans="6:10" ht="18.75" customHeight="1">
      <c r="F468" s="1">
        <v>35582</v>
      </c>
      <c r="G468">
        <f t="shared" si="8"/>
        <v>6</v>
      </c>
      <c r="H468" s="7">
        <v>365.63</v>
      </c>
      <c r="J468" s="7"/>
    </row>
    <row r="469" spans="6:10" ht="18.75" customHeight="1">
      <c r="F469" s="1">
        <v>35612</v>
      </c>
      <c r="G469">
        <f t="shared" si="8"/>
        <v>7</v>
      </c>
      <c r="H469" s="7">
        <v>364.47</v>
      </c>
      <c r="J469" s="7"/>
    </row>
    <row r="470" spans="6:10" ht="18.75" customHeight="1">
      <c r="F470" s="1">
        <v>35643</v>
      </c>
      <c r="G470">
        <f t="shared" si="8"/>
        <v>8</v>
      </c>
      <c r="H470" s="7">
        <v>362.5</v>
      </c>
      <c r="J470" s="7"/>
    </row>
    <row r="471" spans="6:10" ht="18.75" customHeight="1">
      <c r="F471" s="1">
        <v>35674</v>
      </c>
      <c r="G471">
        <f t="shared" si="8"/>
        <v>9</v>
      </c>
      <c r="H471" s="7">
        <v>360.19</v>
      </c>
      <c r="J471" s="7"/>
    </row>
    <row r="472" spans="6:10" ht="18.75" customHeight="1">
      <c r="F472" s="1">
        <v>35704</v>
      </c>
      <c r="G472">
        <f t="shared" si="8"/>
        <v>10</v>
      </c>
      <c r="H472" s="7">
        <v>360.78</v>
      </c>
      <c r="J472" s="7"/>
    </row>
    <row r="473" spans="6:10" ht="18.75" customHeight="1">
      <c r="F473" s="1">
        <v>35735</v>
      </c>
      <c r="G473">
        <f t="shared" si="8"/>
        <v>11</v>
      </c>
      <c r="H473" s="7">
        <v>362.43</v>
      </c>
      <c r="J473" s="7"/>
    </row>
    <row r="474" spans="6:10" ht="18.75" customHeight="1">
      <c r="F474" s="1">
        <v>35765</v>
      </c>
      <c r="G474">
        <f t="shared" si="8"/>
        <v>12</v>
      </c>
      <c r="H474" s="7">
        <v>364.28</v>
      </c>
      <c r="J474" s="7"/>
    </row>
    <row r="475" spans="6:10" ht="18.75" customHeight="1">
      <c r="F475" s="1">
        <v>35796</v>
      </c>
      <c r="G475">
        <f t="shared" si="8"/>
        <v>1</v>
      </c>
      <c r="H475" s="7">
        <v>365.33</v>
      </c>
      <c r="J475" s="7"/>
    </row>
    <row r="476" spans="6:10" ht="18.75" customHeight="1">
      <c r="F476" s="1">
        <v>35827</v>
      </c>
      <c r="G476">
        <f t="shared" si="8"/>
        <v>2</v>
      </c>
      <c r="H476" s="7">
        <v>366.15</v>
      </c>
      <c r="J476" s="7"/>
    </row>
    <row r="477" spans="6:10" ht="18.75" customHeight="1">
      <c r="F477" s="1">
        <v>35855</v>
      </c>
      <c r="G477">
        <f t="shared" si="8"/>
        <v>3</v>
      </c>
      <c r="H477" s="7">
        <v>367.31</v>
      </c>
      <c r="J477" s="7"/>
    </row>
    <row r="478" spans="6:10" ht="18.75" customHeight="1">
      <c r="F478" s="1">
        <v>35886</v>
      </c>
      <c r="G478">
        <f t="shared" si="8"/>
        <v>4</v>
      </c>
      <c r="H478" s="7">
        <v>368.61</v>
      </c>
      <c r="J478" s="7"/>
    </row>
    <row r="479" spans="6:10" ht="18.75" customHeight="1">
      <c r="F479" s="1">
        <v>35916</v>
      </c>
      <c r="G479">
        <f t="shared" si="8"/>
        <v>5</v>
      </c>
      <c r="H479" s="7">
        <v>369.3</v>
      </c>
      <c r="J479" s="7"/>
    </row>
    <row r="480" spans="6:10" ht="18.75" customHeight="1">
      <c r="F480" s="1">
        <v>35947</v>
      </c>
      <c r="G480">
        <f t="shared" si="8"/>
        <v>6</v>
      </c>
      <c r="H480" s="7">
        <v>368.88</v>
      </c>
      <c r="J480" s="7"/>
    </row>
    <row r="481" spans="6:10" ht="18.75" customHeight="1">
      <c r="F481" s="1">
        <v>35977</v>
      </c>
      <c r="G481">
        <f t="shared" si="8"/>
        <v>7</v>
      </c>
      <c r="H481" s="7">
        <v>367.64</v>
      </c>
      <c r="J481" s="7"/>
    </row>
    <row r="482" spans="6:10" ht="18.75" customHeight="1">
      <c r="F482" s="1">
        <v>36008</v>
      </c>
      <c r="G482">
        <f t="shared" si="8"/>
        <v>8</v>
      </c>
      <c r="H482" s="7">
        <v>365.78</v>
      </c>
      <c r="J482" s="7"/>
    </row>
    <row r="483" spans="6:10" ht="18.75" customHeight="1">
      <c r="F483" s="1">
        <v>36039</v>
      </c>
      <c r="G483">
        <f t="shared" si="8"/>
        <v>9</v>
      </c>
      <c r="H483" s="7">
        <v>363.9</v>
      </c>
      <c r="J483" s="7"/>
    </row>
    <row r="484" spans="6:10" ht="18.75" customHeight="1">
      <c r="F484" s="1">
        <v>36069</v>
      </c>
      <c r="G484">
        <f t="shared" si="8"/>
        <v>10</v>
      </c>
      <c r="H484" s="7">
        <v>364.23</v>
      </c>
      <c r="J484" s="7"/>
    </row>
    <row r="485" spans="6:10" ht="18.75" customHeight="1">
      <c r="F485" s="1">
        <v>36100</v>
      </c>
      <c r="G485">
        <f t="shared" si="8"/>
        <v>11</v>
      </c>
      <c r="H485" s="7">
        <v>365.46</v>
      </c>
      <c r="J485" s="7"/>
    </row>
    <row r="486" spans="6:10" ht="18.75" customHeight="1">
      <c r="F486" s="1">
        <v>36130</v>
      </c>
      <c r="G486">
        <f t="shared" si="8"/>
        <v>12</v>
      </c>
      <c r="H486" s="7">
        <v>366.97</v>
      </c>
      <c r="J486" s="7"/>
    </row>
    <row r="487" spans="6:10" ht="18.75" customHeight="1">
      <c r="F487" s="1">
        <v>36161</v>
      </c>
      <c r="G487">
        <f t="shared" si="8"/>
        <v>1</v>
      </c>
      <c r="H487" s="7">
        <v>368.15</v>
      </c>
      <c r="J487" s="7"/>
    </row>
    <row r="488" spans="6:10" ht="18.75" customHeight="1">
      <c r="F488" s="1">
        <v>36192</v>
      </c>
      <c r="G488">
        <f t="shared" si="8"/>
        <v>2</v>
      </c>
      <c r="H488" s="7">
        <v>368.87</v>
      </c>
      <c r="J488" s="7"/>
    </row>
    <row r="489" spans="6:10" ht="18.75" customHeight="1">
      <c r="F489" s="1">
        <v>36220</v>
      </c>
      <c r="G489">
        <f t="shared" si="8"/>
        <v>3</v>
      </c>
      <c r="H489" s="7">
        <v>369.59</v>
      </c>
      <c r="J489" s="7"/>
    </row>
    <row r="490" spans="6:10" ht="18.75" customHeight="1">
      <c r="F490" s="1">
        <v>36251</v>
      </c>
      <c r="G490">
        <f t="shared" si="8"/>
        <v>4</v>
      </c>
      <c r="H490" s="7">
        <v>371.14</v>
      </c>
      <c r="J490" s="7"/>
    </row>
    <row r="491" spans="6:10" ht="18.75" customHeight="1">
      <c r="F491" s="1">
        <v>36281</v>
      </c>
      <c r="G491">
        <f t="shared" si="8"/>
        <v>5</v>
      </c>
      <c r="H491" s="7">
        <v>371</v>
      </c>
      <c r="J491" s="7"/>
    </row>
    <row r="492" spans="6:10" ht="18.75" customHeight="1">
      <c r="F492" s="1">
        <v>36312</v>
      </c>
      <c r="G492">
        <f t="shared" si="8"/>
        <v>6</v>
      </c>
      <c r="H492" s="7">
        <v>370.35</v>
      </c>
      <c r="J492" s="7"/>
    </row>
    <row r="493" spans="6:10" ht="18.75" customHeight="1">
      <c r="F493" s="1">
        <v>36342</v>
      </c>
      <c r="G493">
        <f t="shared" si="8"/>
        <v>7</v>
      </c>
      <c r="H493" s="7">
        <v>369.27</v>
      </c>
      <c r="J493" s="7"/>
    </row>
    <row r="494" spans="6:10" ht="18.75" customHeight="1">
      <c r="F494" s="1">
        <v>36373</v>
      </c>
      <c r="G494">
        <f t="shared" si="8"/>
        <v>8</v>
      </c>
      <c r="H494" s="7">
        <v>366.93</v>
      </c>
      <c r="J494" s="7"/>
    </row>
    <row r="495" spans="6:10" ht="18.75" customHeight="1">
      <c r="F495" s="1">
        <v>36404</v>
      </c>
      <c r="G495">
        <f t="shared" si="8"/>
        <v>9</v>
      </c>
      <c r="H495" s="7">
        <v>364.64</v>
      </c>
      <c r="J495" s="7"/>
    </row>
    <row r="496" spans="6:10" ht="18.75" customHeight="1">
      <c r="F496" s="1">
        <v>36434</v>
      </c>
      <c r="G496">
        <f t="shared" si="8"/>
        <v>10</v>
      </c>
      <c r="H496" s="7">
        <v>365.13</v>
      </c>
      <c r="J496" s="7"/>
    </row>
    <row r="497" spans="6:10" ht="18.75" customHeight="1">
      <c r="F497" s="1">
        <v>36465</v>
      </c>
      <c r="G497">
        <f t="shared" si="8"/>
        <v>11</v>
      </c>
      <c r="H497" s="7">
        <v>366.68</v>
      </c>
      <c r="J497" s="7"/>
    </row>
    <row r="498" spans="6:10" ht="18.75" customHeight="1">
      <c r="F498" s="1">
        <v>36495</v>
      </c>
      <c r="G498">
        <f t="shared" si="8"/>
        <v>12</v>
      </c>
      <c r="H498" s="7">
        <v>368</v>
      </c>
      <c r="J498" s="7"/>
    </row>
    <row r="499" spans="6:10" ht="18.75" customHeight="1">
      <c r="F499" s="1">
        <v>36526</v>
      </c>
      <c r="G499">
        <f t="shared" si="8"/>
        <v>1</v>
      </c>
      <c r="H499" s="7">
        <v>369.14</v>
      </c>
      <c r="J499" s="7"/>
    </row>
    <row r="500" spans="6:10" ht="18.75" customHeight="1">
      <c r="F500" s="1">
        <v>36557</v>
      </c>
      <c r="G500">
        <f t="shared" si="8"/>
        <v>2</v>
      </c>
      <c r="H500" s="7">
        <v>369.46</v>
      </c>
      <c r="J500" s="7"/>
    </row>
    <row r="501" spans="6:10" ht="18.75" customHeight="1">
      <c r="F501" s="1">
        <v>36586</v>
      </c>
      <c r="G501">
        <f t="shared" si="8"/>
        <v>3</v>
      </c>
      <c r="H501" s="7">
        <v>370.51</v>
      </c>
      <c r="J501" s="7"/>
    </row>
    <row r="502" spans="6:10" ht="18.75" customHeight="1">
      <c r="F502" s="16">
        <v>36617</v>
      </c>
      <c r="G502" s="17">
        <f t="shared" si="8"/>
        <v>4</v>
      </c>
      <c r="H502" s="18">
        <v>371.66</v>
      </c>
      <c r="J502" s="7"/>
    </row>
    <row r="503" spans="6:10" ht="18.75" customHeight="1">
      <c r="F503" s="1">
        <v>36647</v>
      </c>
      <c r="G503">
        <f t="shared" si="8"/>
        <v>5</v>
      </c>
      <c r="H503" s="7">
        <v>371.83</v>
      </c>
      <c r="J503" s="7"/>
    </row>
    <row r="504" spans="6:10" ht="18.75" customHeight="1">
      <c r="F504" s="1">
        <v>36678</v>
      </c>
      <c r="G504">
        <f t="shared" si="8"/>
        <v>6</v>
      </c>
      <c r="H504" s="7">
        <v>371.69</v>
      </c>
      <c r="J504" s="7"/>
    </row>
    <row r="505" spans="6:10" ht="18.75" customHeight="1">
      <c r="F505" s="1">
        <v>36708</v>
      </c>
      <c r="G505">
        <f t="shared" si="8"/>
        <v>7</v>
      </c>
      <c r="H505" s="7">
        <v>370.12</v>
      </c>
      <c r="J505" s="7"/>
    </row>
    <row r="506" spans="6:10" ht="18.75" customHeight="1">
      <c r="F506" s="1">
        <v>36739</v>
      </c>
      <c r="G506">
        <f t="shared" si="8"/>
        <v>8</v>
      </c>
      <c r="H506" s="7">
        <v>368.12</v>
      </c>
      <c r="J506" s="7"/>
    </row>
    <row r="507" spans="6:10" ht="18.75" customHeight="1">
      <c r="F507" s="1">
        <v>36770</v>
      </c>
      <c r="G507">
        <f t="shared" si="8"/>
        <v>9</v>
      </c>
      <c r="H507" s="7">
        <v>366.62</v>
      </c>
      <c r="J507" s="7"/>
    </row>
    <row r="508" spans="6:10" ht="18.75" customHeight="1">
      <c r="F508" s="1">
        <v>36800</v>
      </c>
      <c r="G508">
        <f t="shared" si="8"/>
        <v>10</v>
      </c>
      <c r="H508" s="7">
        <v>366.73</v>
      </c>
      <c r="J508" s="7"/>
    </row>
    <row r="509" spans="6:10" ht="18.75" customHeight="1">
      <c r="F509" s="1">
        <v>36831</v>
      </c>
      <c r="G509">
        <f t="shared" si="8"/>
        <v>11</v>
      </c>
      <c r="H509" s="7">
        <v>368.29</v>
      </c>
      <c r="J509" s="7"/>
    </row>
    <row r="510" spans="6:10" ht="18.75" customHeight="1">
      <c r="F510" s="1">
        <v>36861</v>
      </c>
      <c r="G510">
        <f t="shared" si="8"/>
        <v>12</v>
      </c>
      <c r="H510" s="7">
        <v>369.52</v>
      </c>
      <c r="J510" s="7"/>
    </row>
    <row r="511" spans="6:10" ht="18.75" customHeight="1">
      <c r="F511" s="1">
        <v>36892</v>
      </c>
      <c r="G511">
        <f t="shared" si="8"/>
        <v>1</v>
      </c>
      <c r="H511" s="7">
        <v>370.28</v>
      </c>
      <c r="J511" s="7"/>
    </row>
    <row r="512" spans="6:10" ht="18.75" customHeight="1">
      <c r="F512" s="1">
        <v>36923</v>
      </c>
      <c r="G512">
        <f t="shared" si="8"/>
        <v>2</v>
      </c>
      <c r="H512" s="7">
        <v>371.5</v>
      </c>
      <c r="J512" s="7"/>
    </row>
    <row r="513" spans="6:10" ht="18.75" customHeight="1">
      <c r="F513" s="1">
        <v>36951</v>
      </c>
      <c r="G513">
        <f t="shared" si="8"/>
        <v>3</v>
      </c>
      <c r="H513" s="7">
        <v>372.12</v>
      </c>
      <c r="J513" s="7"/>
    </row>
    <row r="514" spans="6:10" ht="18.75" customHeight="1">
      <c r="F514" s="1">
        <v>36982</v>
      </c>
      <c r="G514">
        <f t="shared" si="8"/>
        <v>4</v>
      </c>
      <c r="H514" s="7">
        <v>372.86</v>
      </c>
      <c r="J514" s="7"/>
    </row>
    <row r="515" spans="6:10" ht="18.75" customHeight="1">
      <c r="F515" s="1">
        <v>37012</v>
      </c>
      <c r="G515">
        <f t="shared" ref="G515:G578" si="9">MONTH(F515)</f>
        <v>5</v>
      </c>
      <c r="H515" s="7">
        <v>374.02</v>
      </c>
      <c r="J515" s="7"/>
    </row>
    <row r="516" spans="6:10" ht="18.75" customHeight="1">
      <c r="F516" s="1">
        <v>37043</v>
      </c>
      <c r="G516">
        <f t="shared" si="9"/>
        <v>6</v>
      </c>
      <c r="H516" s="7">
        <v>373.31</v>
      </c>
      <c r="J516" s="7"/>
    </row>
    <row r="517" spans="6:10" ht="18.75" customHeight="1">
      <c r="F517" s="1">
        <v>37073</v>
      </c>
      <c r="G517">
        <f t="shared" si="9"/>
        <v>7</v>
      </c>
      <c r="H517" s="7">
        <v>371.62</v>
      </c>
      <c r="J517" s="7"/>
    </row>
    <row r="518" spans="6:10" ht="18.75" customHeight="1">
      <c r="F518" s="1">
        <v>37104</v>
      </c>
      <c r="G518">
        <f t="shared" si="9"/>
        <v>8</v>
      </c>
      <c r="H518" s="7">
        <v>369.55</v>
      </c>
      <c r="J518" s="7"/>
    </row>
    <row r="519" spans="6:10" ht="18.75" customHeight="1">
      <c r="F519" s="1">
        <v>37135</v>
      </c>
      <c r="G519">
        <f t="shared" si="9"/>
        <v>9</v>
      </c>
      <c r="H519" s="7">
        <v>367.96</v>
      </c>
      <c r="J519" s="7"/>
    </row>
    <row r="520" spans="6:10" ht="18.75" customHeight="1">
      <c r="F520" s="1">
        <v>37165</v>
      </c>
      <c r="G520">
        <f t="shared" si="9"/>
        <v>10</v>
      </c>
      <c r="H520" s="7">
        <v>368.09</v>
      </c>
      <c r="J520" s="7"/>
    </row>
    <row r="521" spans="6:10" ht="18.75" customHeight="1">
      <c r="F521" s="1">
        <v>37196</v>
      </c>
      <c r="G521">
        <f t="shared" si="9"/>
        <v>11</v>
      </c>
      <c r="H521" s="7">
        <v>369.68</v>
      </c>
      <c r="J521" s="7"/>
    </row>
    <row r="522" spans="6:10" ht="18.75" customHeight="1">
      <c r="F522" s="1">
        <v>37226</v>
      </c>
      <c r="G522">
        <f t="shared" si="9"/>
        <v>12</v>
      </c>
      <c r="H522" s="7">
        <v>371.24</v>
      </c>
      <c r="J522" s="7"/>
    </row>
    <row r="523" spans="6:10" ht="18.75" customHeight="1">
      <c r="F523" s="1">
        <v>37257</v>
      </c>
      <c r="G523">
        <f t="shared" si="9"/>
        <v>1</v>
      </c>
      <c r="H523" s="7">
        <v>372.44</v>
      </c>
      <c r="J523" s="7"/>
    </row>
    <row r="524" spans="6:10" ht="18.75" customHeight="1">
      <c r="F524" s="1">
        <v>37288</v>
      </c>
      <c r="G524">
        <f t="shared" si="9"/>
        <v>2</v>
      </c>
      <c r="H524" s="7">
        <v>373.08</v>
      </c>
      <c r="J524" s="7"/>
    </row>
    <row r="525" spans="6:10" ht="18.75" customHeight="1">
      <c r="F525" s="1">
        <v>37316</v>
      </c>
      <c r="G525">
        <f t="shared" si="9"/>
        <v>3</v>
      </c>
      <c r="H525" s="7">
        <v>373.52</v>
      </c>
      <c r="J525" s="7"/>
    </row>
    <row r="526" spans="6:10" ht="18.75" customHeight="1">
      <c r="F526" s="1">
        <v>37347</v>
      </c>
      <c r="G526">
        <f t="shared" si="9"/>
        <v>4</v>
      </c>
      <c r="H526" s="7">
        <v>374.85</v>
      </c>
      <c r="J526" s="7"/>
    </row>
    <row r="527" spans="6:10" ht="18.75" customHeight="1">
      <c r="F527" s="1">
        <v>37377</v>
      </c>
      <c r="G527">
        <f t="shared" si="9"/>
        <v>5</v>
      </c>
      <c r="H527" s="7">
        <v>375.55</v>
      </c>
      <c r="J527" s="7"/>
    </row>
    <row r="528" spans="6:10" ht="18.75" customHeight="1">
      <c r="F528" s="1">
        <v>37408</v>
      </c>
      <c r="G528">
        <f t="shared" si="9"/>
        <v>6</v>
      </c>
      <c r="H528" s="7">
        <v>375.4</v>
      </c>
      <c r="J528" s="7"/>
    </row>
    <row r="529" spans="6:10" ht="18.75" customHeight="1">
      <c r="F529" s="1">
        <v>37438</v>
      </c>
      <c r="G529">
        <f t="shared" si="9"/>
        <v>7</v>
      </c>
      <c r="H529" s="7">
        <v>374.02</v>
      </c>
      <c r="J529" s="7"/>
    </row>
    <row r="530" spans="6:10" ht="18.75" customHeight="1">
      <c r="F530" s="1">
        <v>37469</v>
      </c>
      <c r="G530">
        <f t="shared" si="9"/>
        <v>8</v>
      </c>
      <c r="H530" s="7">
        <v>371.48</v>
      </c>
      <c r="J530" s="7"/>
    </row>
    <row r="531" spans="6:10" ht="18.75" customHeight="1">
      <c r="F531" s="1">
        <v>37500</v>
      </c>
      <c r="G531">
        <f t="shared" si="9"/>
        <v>9</v>
      </c>
      <c r="H531" s="7">
        <v>370.7</v>
      </c>
      <c r="J531" s="7"/>
    </row>
    <row r="532" spans="6:10" ht="18.75" customHeight="1">
      <c r="F532" s="1">
        <v>37530</v>
      </c>
      <c r="G532">
        <f t="shared" si="9"/>
        <v>10</v>
      </c>
      <c r="H532" s="7">
        <v>370.25</v>
      </c>
      <c r="J532" s="7"/>
    </row>
    <row r="533" spans="6:10" ht="18.75" customHeight="1">
      <c r="F533" s="1">
        <v>37561</v>
      </c>
      <c r="G533">
        <f t="shared" si="9"/>
        <v>11</v>
      </c>
      <c r="H533" s="7">
        <v>372.08</v>
      </c>
      <c r="J533" s="7"/>
    </row>
    <row r="534" spans="6:10" ht="18.75" customHeight="1">
      <c r="F534" s="1">
        <v>37591</v>
      </c>
      <c r="G534">
        <f t="shared" si="9"/>
        <v>12</v>
      </c>
      <c r="H534" s="7">
        <v>373.78</v>
      </c>
      <c r="J534" s="7"/>
    </row>
    <row r="535" spans="6:10" ht="18.75" customHeight="1">
      <c r="F535" s="1">
        <v>37622</v>
      </c>
      <c r="G535">
        <f t="shared" si="9"/>
        <v>1</v>
      </c>
      <c r="H535" s="7">
        <v>374.68</v>
      </c>
      <c r="J535" s="7"/>
    </row>
    <row r="536" spans="6:10" ht="18.75" customHeight="1">
      <c r="F536" s="1">
        <v>37653</v>
      </c>
      <c r="G536">
        <f t="shared" si="9"/>
        <v>2</v>
      </c>
      <c r="H536" s="7">
        <v>375.62</v>
      </c>
      <c r="J536" s="7"/>
    </row>
    <row r="537" spans="6:10" ht="18.75" customHeight="1">
      <c r="F537" s="1">
        <v>37681</v>
      </c>
      <c r="G537">
        <f t="shared" si="9"/>
        <v>3</v>
      </c>
      <c r="H537" s="7">
        <v>376.11</v>
      </c>
      <c r="J537" s="7"/>
    </row>
    <row r="538" spans="6:10" ht="18.75" customHeight="1">
      <c r="F538" s="1">
        <v>37712</v>
      </c>
      <c r="G538">
        <f t="shared" si="9"/>
        <v>4</v>
      </c>
      <c r="H538" s="7">
        <v>377.65</v>
      </c>
      <c r="J538" s="7"/>
    </row>
    <row r="539" spans="6:10" ht="18.75" customHeight="1">
      <c r="F539" s="1">
        <v>37742</v>
      </c>
      <c r="G539">
        <f t="shared" si="9"/>
        <v>5</v>
      </c>
      <c r="H539" s="7">
        <v>378.35</v>
      </c>
      <c r="J539" s="7"/>
    </row>
    <row r="540" spans="6:10" ht="18.75" customHeight="1">
      <c r="F540" s="1">
        <v>37773</v>
      </c>
      <c r="G540">
        <f t="shared" si="9"/>
        <v>6</v>
      </c>
      <c r="H540" s="7">
        <v>378.13</v>
      </c>
      <c r="J540" s="7"/>
    </row>
    <row r="541" spans="6:10" ht="18.75" customHeight="1">
      <c r="F541" s="1">
        <v>37803</v>
      </c>
      <c r="G541">
        <f t="shared" si="9"/>
        <v>7</v>
      </c>
      <c r="H541" s="7">
        <v>376.6</v>
      </c>
      <c r="J541" s="7"/>
    </row>
    <row r="542" spans="6:10" ht="18.75" customHeight="1">
      <c r="F542" s="1">
        <v>37834</v>
      </c>
      <c r="G542">
        <f t="shared" si="9"/>
        <v>8</v>
      </c>
      <c r="H542" s="7">
        <v>374.48</v>
      </c>
      <c r="J542" s="7"/>
    </row>
    <row r="543" spans="6:10" ht="18.75" customHeight="1">
      <c r="F543" s="1">
        <v>37865</v>
      </c>
      <c r="G543">
        <f t="shared" si="9"/>
        <v>9</v>
      </c>
      <c r="H543" s="7">
        <v>372.98</v>
      </c>
      <c r="J543" s="7"/>
    </row>
    <row r="544" spans="6:10" ht="18.75" customHeight="1">
      <c r="F544" s="1">
        <v>37895</v>
      </c>
      <c r="G544">
        <f t="shared" si="9"/>
        <v>10</v>
      </c>
      <c r="H544" s="7">
        <v>373</v>
      </c>
      <c r="J544" s="7"/>
    </row>
    <row r="545" spans="6:10" ht="18.75" customHeight="1">
      <c r="F545" s="1">
        <v>37926</v>
      </c>
      <c r="G545">
        <f t="shared" si="9"/>
        <v>11</v>
      </c>
      <c r="H545" s="7">
        <v>374.35</v>
      </c>
      <c r="J545" s="7"/>
    </row>
    <row r="546" spans="6:10" ht="18.75" customHeight="1">
      <c r="F546" s="1">
        <v>37956</v>
      </c>
      <c r="G546">
        <f t="shared" si="9"/>
        <v>12</v>
      </c>
      <c r="H546" s="7">
        <v>375.69</v>
      </c>
      <c r="J546" s="7"/>
    </row>
    <row r="547" spans="6:10" ht="18.75" customHeight="1">
      <c r="F547" s="1">
        <v>37987</v>
      </c>
      <c r="G547">
        <f t="shared" si="9"/>
        <v>1</v>
      </c>
      <c r="H547" s="7">
        <v>376.79</v>
      </c>
      <c r="J547" s="7"/>
    </row>
    <row r="548" spans="6:10" ht="18.75" customHeight="1">
      <c r="F548" s="1">
        <v>38018</v>
      </c>
      <c r="G548">
        <f t="shared" si="9"/>
        <v>2</v>
      </c>
      <c r="H548" s="7">
        <v>377.37</v>
      </c>
      <c r="J548" s="7"/>
    </row>
    <row r="549" spans="6:10" ht="18.75" customHeight="1">
      <c r="F549" s="1">
        <v>38047</v>
      </c>
      <c r="G549">
        <f t="shared" si="9"/>
        <v>3</v>
      </c>
      <c r="H549" s="7">
        <v>378.39</v>
      </c>
      <c r="J549" s="7"/>
    </row>
    <row r="550" spans="6:10" ht="18.75" customHeight="1">
      <c r="F550" s="1">
        <v>38078</v>
      </c>
      <c r="G550">
        <f t="shared" si="9"/>
        <v>4</v>
      </c>
      <c r="H550" s="7">
        <v>380.5</v>
      </c>
      <c r="J550" s="7"/>
    </row>
    <row r="551" spans="6:10" ht="18.75" customHeight="1">
      <c r="F551" s="1">
        <v>38108</v>
      </c>
      <c r="G551">
        <f t="shared" si="9"/>
        <v>5</v>
      </c>
      <c r="H551" s="7">
        <v>380.62</v>
      </c>
      <c r="J551" s="7"/>
    </row>
    <row r="552" spans="6:10" ht="18.75" customHeight="1">
      <c r="F552" s="1">
        <v>38139</v>
      </c>
      <c r="G552">
        <f t="shared" si="9"/>
        <v>6</v>
      </c>
      <c r="H552" s="7">
        <v>379.55</v>
      </c>
      <c r="J552" s="7"/>
    </row>
    <row r="553" spans="6:10" ht="18.75" customHeight="1">
      <c r="F553" s="1">
        <v>38169</v>
      </c>
      <c r="G553">
        <f t="shared" si="9"/>
        <v>7</v>
      </c>
      <c r="H553" s="7">
        <v>377.76</v>
      </c>
      <c r="J553" s="7"/>
    </row>
    <row r="554" spans="6:10" ht="18.75" customHeight="1">
      <c r="F554" s="1">
        <v>38200</v>
      </c>
      <c r="G554">
        <f t="shared" si="9"/>
        <v>8</v>
      </c>
      <c r="H554" s="7">
        <v>375.83</v>
      </c>
      <c r="J554" s="7"/>
    </row>
    <row r="555" spans="6:10" ht="18.75" customHeight="1">
      <c r="F555" s="1">
        <v>38231</v>
      </c>
      <c r="G555">
        <f t="shared" si="9"/>
        <v>9</v>
      </c>
      <c r="H555" s="7">
        <v>374.05</v>
      </c>
      <c r="J555" s="7"/>
    </row>
    <row r="556" spans="6:10" ht="18.75" customHeight="1">
      <c r="F556" s="1">
        <v>38261</v>
      </c>
      <c r="G556">
        <f t="shared" si="9"/>
        <v>10</v>
      </c>
      <c r="H556" s="7">
        <v>374.22</v>
      </c>
      <c r="J556" s="7"/>
    </row>
    <row r="557" spans="6:10" ht="18.75" customHeight="1">
      <c r="F557" s="1">
        <v>38292</v>
      </c>
      <c r="G557">
        <f t="shared" si="9"/>
        <v>11</v>
      </c>
      <c r="H557" s="7">
        <v>375.84</v>
      </c>
      <c r="J557" s="7"/>
    </row>
    <row r="558" spans="6:10" ht="18.75" customHeight="1">
      <c r="F558" s="1">
        <v>38322</v>
      </c>
      <c r="G558">
        <f t="shared" si="9"/>
        <v>12</v>
      </c>
      <c r="H558" s="7">
        <v>377.44</v>
      </c>
      <c r="J558" s="7"/>
    </row>
    <row r="559" spans="6:10" ht="18.75" customHeight="1">
      <c r="F559" s="1">
        <v>38353</v>
      </c>
      <c r="G559">
        <f t="shared" si="9"/>
        <v>1</v>
      </c>
      <c r="H559" s="7">
        <v>378.34</v>
      </c>
      <c r="J559" s="7"/>
    </row>
    <row r="560" spans="6:10" ht="18.75" customHeight="1">
      <c r="F560" s="1">
        <v>38384</v>
      </c>
      <c r="G560">
        <f t="shared" si="9"/>
        <v>2</v>
      </c>
      <c r="H560" s="7">
        <v>379.61</v>
      </c>
      <c r="J560" s="7"/>
    </row>
    <row r="561" spans="6:10" ht="18.75" customHeight="1">
      <c r="F561" s="1">
        <v>38412</v>
      </c>
      <c r="G561">
        <f t="shared" si="9"/>
        <v>3</v>
      </c>
      <c r="H561" s="7">
        <v>380.08</v>
      </c>
      <c r="J561" s="7"/>
    </row>
    <row r="562" spans="6:10" ht="18.75" customHeight="1">
      <c r="F562" s="1">
        <v>38443</v>
      </c>
      <c r="G562">
        <f t="shared" si="9"/>
        <v>4</v>
      </c>
      <c r="H562" s="7">
        <v>382.05</v>
      </c>
      <c r="J562" s="7"/>
    </row>
    <row r="563" spans="6:10" ht="18.75" customHeight="1">
      <c r="F563" s="1">
        <v>38473</v>
      </c>
      <c r="G563">
        <f t="shared" si="9"/>
        <v>5</v>
      </c>
      <c r="H563" s="7">
        <v>382.24</v>
      </c>
      <c r="J563" s="7"/>
    </row>
    <row r="564" spans="6:10" ht="18.75" customHeight="1">
      <c r="F564" s="1">
        <v>38504</v>
      </c>
      <c r="G564">
        <f t="shared" si="9"/>
        <v>6</v>
      </c>
      <c r="H564" s="7">
        <v>382.08</v>
      </c>
      <c r="J564" s="7"/>
    </row>
    <row r="565" spans="6:10" ht="18.75" customHeight="1">
      <c r="F565" s="1">
        <v>38534</v>
      </c>
      <c r="G565">
        <f t="shared" si="9"/>
        <v>7</v>
      </c>
      <c r="H565" s="7">
        <v>380.66</v>
      </c>
      <c r="J565" s="7"/>
    </row>
    <row r="566" spans="6:10" ht="18.75" customHeight="1">
      <c r="F566" s="1">
        <v>38565</v>
      </c>
      <c r="G566">
        <f t="shared" si="9"/>
        <v>8</v>
      </c>
      <c r="H566" s="7">
        <v>378.67</v>
      </c>
      <c r="J566" s="7"/>
    </row>
    <row r="567" spans="6:10" ht="18.75" customHeight="1">
      <c r="F567" s="1">
        <v>38596</v>
      </c>
      <c r="G567">
        <f t="shared" si="9"/>
        <v>9</v>
      </c>
      <c r="H567" s="7">
        <v>376.42</v>
      </c>
      <c r="J567" s="7"/>
    </row>
    <row r="568" spans="6:10" ht="18.75" customHeight="1">
      <c r="F568" s="1">
        <v>38626</v>
      </c>
      <c r="G568">
        <f t="shared" si="9"/>
        <v>10</v>
      </c>
      <c r="H568" s="7">
        <v>376.8</v>
      </c>
      <c r="J568" s="7"/>
    </row>
    <row r="569" spans="6:10" ht="18.75" customHeight="1">
      <c r="F569" s="1">
        <v>38657</v>
      </c>
      <c r="G569">
        <f t="shared" si="9"/>
        <v>11</v>
      </c>
      <c r="H569" s="7">
        <v>378.31</v>
      </c>
      <c r="J569" s="7"/>
    </row>
    <row r="570" spans="6:10" ht="18.75" customHeight="1">
      <c r="F570" s="1">
        <v>38687</v>
      </c>
      <c r="G570">
        <f t="shared" si="9"/>
        <v>12</v>
      </c>
      <c r="H570" s="7">
        <v>379.96</v>
      </c>
      <c r="J570" s="7"/>
    </row>
    <row r="571" spans="6:10" ht="18.75" customHeight="1">
      <c r="F571" s="1">
        <v>38718</v>
      </c>
      <c r="G571">
        <f t="shared" si="9"/>
        <v>1</v>
      </c>
      <c r="H571" s="7">
        <v>381.37</v>
      </c>
      <c r="J571" s="7"/>
    </row>
    <row r="572" spans="6:10" ht="18.75" customHeight="1">
      <c r="F572" s="1">
        <v>38749</v>
      </c>
      <c r="G572">
        <f t="shared" si="9"/>
        <v>2</v>
      </c>
      <c r="H572" s="7">
        <v>382.02</v>
      </c>
      <c r="J572" s="7"/>
    </row>
    <row r="573" spans="6:10" ht="18.75" customHeight="1">
      <c r="F573" s="1">
        <v>38777</v>
      </c>
      <c r="G573">
        <f t="shared" si="9"/>
        <v>3</v>
      </c>
      <c r="H573" s="7">
        <v>382.56</v>
      </c>
      <c r="J573" s="7"/>
    </row>
    <row r="574" spans="6:10" ht="18.75" customHeight="1">
      <c r="F574" s="1">
        <v>38808</v>
      </c>
      <c r="G574">
        <f t="shared" si="9"/>
        <v>4</v>
      </c>
      <c r="H574" s="7">
        <v>384.36</v>
      </c>
      <c r="J574" s="7"/>
    </row>
    <row r="575" spans="6:10" ht="18.75" customHeight="1">
      <c r="F575" s="1">
        <v>38838</v>
      </c>
      <c r="G575">
        <f t="shared" si="9"/>
        <v>5</v>
      </c>
      <c r="H575" s="7">
        <v>384.92</v>
      </c>
      <c r="J575" s="7"/>
    </row>
    <row r="576" spans="6:10" ht="18.75" customHeight="1">
      <c r="F576" s="1">
        <v>38869</v>
      </c>
      <c r="G576">
        <f t="shared" si="9"/>
        <v>6</v>
      </c>
      <c r="H576" s="7">
        <v>384.03</v>
      </c>
      <c r="J576" s="7"/>
    </row>
    <row r="577" spans="6:10" ht="18.75" customHeight="1">
      <c r="F577" s="1">
        <v>38899</v>
      </c>
      <c r="G577">
        <f t="shared" si="9"/>
        <v>7</v>
      </c>
      <c r="H577" s="7">
        <v>382.28</v>
      </c>
      <c r="J577" s="7"/>
    </row>
    <row r="578" spans="6:10" ht="18.75" customHeight="1">
      <c r="F578" s="1">
        <v>38930</v>
      </c>
      <c r="G578">
        <f t="shared" si="9"/>
        <v>8</v>
      </c>
      <c r="H578" s="7">
        <v>380.48</v>
      </c>
      <c r="J578" s="7"/>
    </row>
    <row r="579" spans="6:10" ht="18.75" customHeight="1">
      <c r="F579" s="1">
        <v>38961</v>
      </c>
      <c r="G579">
        <f t="shared" ref="G579:G642" si="10">MONTH(F579)</f>
        <v>9</v>
      </c>
      <c r="H579" s="7">
        <v>378.81</v>
      </c>
      <c r="J579" s="7"/>
    </row>
    <row r="580" spans="6:10" ht="18.75" customHeight="1">
      <c r="F580" s="1">
        <v>38991</v>
      </c>
      <c r="G580">
        <f t="shared" si="10"/>
        <v>10</v>
      </c>
      <c r="H580" s="7">
        <v>379.06</v>
      </c>
      <c r="J580" s="7"/>
    </row>
    <row r="581" spans="6:10" ht="18.75" customHeight="1">
      <c r="F581" s="1">
        <v>39022</v>
      </c>
      <c r="G581">
        <f t="shared" si="10"/>
        <v>11</v>
      </c>
      <c r="H581" s="7">
        <v>380.14</v>
      </c>
      <c r="J581" s="7"/>
    </row>
    <row r="582" spans="6:10" ht="18.75" customHeight="1">
      <c r="F582" s="1">
        <v>39052</v>
      </c>
      <c r="G582">
        <f t="shared" si="10"/>
        <v>12</v>
      </c>
      <c r="H582" s="7">
        <v>381.66</v>
      </c>
      <c r="J582" s="7"/>
    </row>
    <row r="583" spans="6:10" ht="18.75" customHeight="1">
      <c r="F583" s="1">
        <v>39083</v>
      </c>
      <c r="G583">
        <f t="shared" si="10"/>
        <v>1</v>
      </c>
      <c r="H583" s="7">
        <v>382.58</v>
      </c>
      <c r="J583" s="7"/>
    </row>
    <row r="584" spans="6:10" ht="18.75" customHeight="1">
      <c r="F584" s="1">
        <v>39114</v>
      </c>
      <c r="G584">
        <f t="shared" si="10"/>
        <v>2</v>
      </c>
      <c r="H584" s="7">
        <v>383.71</v>
      </c>
      <c r="J584" s="7"/>
    </row>
    <row r="585" spans="6:10" ht="18.75" customHeight="1">
      <c r="F585" s="1">
        <v>39142</v>
      </c>
      <c r="G585">
        <f t="shared" si="10"/>
        <v>3</v>
      </c>
      <c r="H585" s="7">
        <v>384.34</v>
      </c>
      <c r="J585" s="7"/>
    </row>
    <row r="586" spans="6:10" ht="18.75" customHeight="1">
      <c r="F586" s="1">
        <v>39173</v>
      </c>
      <c r="G586">
        <f t="shared" si="10"/>
        <v>4</v>
      </c>
      <c r="H586" s="7">
        <v>386.23</v>
      </c>
      <c r="J586" s="7"/>
    </row>
    <row r="587" spans="6:10" ht="18.75" customHeight="1">
      <c r="F587" s="1">
        <v>39203</v>
      </c>
      <c r="G587">
        <f t="shared" si="10"/>
        <v>5</v>
      </c>
      <c r="H587" s="7">
        <v>386.41</v>
      </c>
      <c r="J587" s="7"/>
    </row>
    <row r="588" spans="6:10" ht="18.75" customHeight="1">
      <c r="F588" s="1">
        <v>39234</v>
      </c>
      <c r="G588">
        <f t="shared" si="10"/>
        <v>6</v>
      </c>
      <c r="H588" s="7">
        <v>385.87</v>
      </c>
      <c r="J588" s="7"/>
    </row>
    <row r="589" spans="6:10" ht="18.75" customHeight="1">
      <c r="F589" s="1">
        <v>39264</v>
      </c>
      <c r="G589">
        <f t="shared" si="10"/>
        <v>7</v>
      </c>
      <c r="H589" s="7">
        <v>384.44</v>
      </c>
      <c r="J589" s="7"/>
    </row>
    <row r="590" spans="6:10" ht="18.75" customHeight="1">
      <c r="F590" s="1">
        <v>39295</v>
      </c>
      <c r="G590">
        <f t="shared" si="10"/>
        <v>8</v>
      </c>
      <c r="H590" s="7">
        <v>381.84</v>
      </c>
      <c r="J590" s="7"/>
    </row>
    <row r="591" spans="6:10" ht="18.75" customHeight="1">
      <c r="F591" s="1">
        <v>39326</v>
      </c>
      <c r="G591">
        <f t="shared" si="10"/>
        <v>9</v>
      </c>
      <c r="H591" s="7">
        <v>380.86</v>
      </c>
      <c r="J591" s="7"/>
    </row>
    <row r="592" spans="6:10" ht="18.75" customHeight="1">
      <c r="F592" s="1">
        <v>39356</v>
      </c>
      <c r="G592">
        <f t="shared" si="10"/>
        <v>10</v>
      </c>
      <c r="H592" s="7">
        <v>380.86</v>
      </c>
      <c r="J592" s="7"/>
    </row>
    <row r="593" spans="6:10" ht="18.75" customHeight="1">
      <c r="F593" s="1">
        <v>39387</v>
      </c>
      <c r="G593">
        <f t="shared" si="10"/>
        <v>11</v>
      </c>
      <c r="H593" s="7">
        <v>382.36</v>
      </c>
      <c r="J593" s="7"/>
    </row>
    <row r="594" spans="6:10" ht="18.75" customHeight="1">
      <c r="F594" s="1">
        <v>39417</v>
      </c>
      <c r="G594">
        <f t="shared" si="10"/>
        <v>12</v>
      </c>
      <c r="H594" s="7">
        <v>383.61</v>
      </c>
      <c r="J594" s="7"/>
    </row>
    <row r="595" spans="6:10" ht="18.75" customHeight="1">
      <c r="F595" s="1">
        <v>39448</v>
      </c>
      <c r="G595">
        <f t="shared" si="10"/>
        <v>1</v>
      </c>
      <c r="H595" s="7">
        <v>385.07</v>
      </c>
      <c r="J595" s="7"/>
    </row>
    <row r="596" spans="6:10" ht="18.75" customHeight="1">
      <c r="F596" s="1">
        <v>39479</v>
      </c>
      <c r="G596">
        <f t="shared" si="10"/>
        <v>2</v>
      </c>
      <c r="H596" s="7">
        <v>385.84</v>
      </c>
      <c r="J596" s="7"/>
    </row>
    <row r="597" spans="6:10" ht="18.75" customHeight="1">
      <c r="F597" s="1">
        <v>39508</v>
      </c>
      <c r="G597">
        <f t="shared" si="10"/>
        <v>3</v>
      </c>
      <c r="H597" s="7">
        <v>385.83</v>
      </c>
      <c r="J597" s="7"/>
    </row>
    <row r="598" spans="6:10" ht="18.75" customHeight="1">
      <c r="F598" s="1">
        <v>39539</v>
      </c>
      <c r="G598">
        <f t="shared" si="10"/>
        <v>4</v>
      </c>
      <c r="H598" s="7">
        <v>386.77</v>
      </c>
      <c r="J598" s="7"/>
    </row>
    <row r="599" spans="6:10" ht="18.75" customHeight="1">
      <c r="F599" s="1">
        <v>39569</v>
      </c>
      <c r="G599">
        <f t="shared" si="10"/>
        <v>5</v>
      </c>
      <c r="H599" s="7">
        <v>388.51</v>
      </c>
      <c r="J599" s="7"/>
    </row>
    <row r="600" spans="6:10" ht="18.75" customHeight="1">
      <c r="F600" s="1">
        <v>39600</v>
      </c>
      <c r="G600">
        <f t="shared" si="10"/>
        <v>6</v>
      </c>
      <c r="H600" s="7">
        <v>388.05</v>
      </c>
      <c r="J600" s="7"/>
    </row>
    <row r="601" spans="6:10" ht="18.75" customHeight="1">
      <c r="F601" s="1">
        <v>39630</v>
      </c>
      <c r="G601">
        <f t="shared" si="10"/>
        <v>7</v>
      </c>
      <c r="H601" s="7">
        <v>386.25</v>
      </c>
      <c r="J601" s="7"/>
    </row>
    <row r="602" spans="6:10" ht="18.75" customHeight="1">
      <c r="F602" s="1">
        <v>39661</v>
      </c>
      <c r="G602">
        <f t="shared" si="10"/>
        <v>8</v>
      </c>
      <c r="H602" s="7">
        <v>384.08</v>
      </c>
      <c r="J602" s="7"/>
    </row>
    <row r="603" spans="6:10" ht="18.75" customHeight="1">
      <c r="F603" s="1">
        <v>39692</v>
      </c>
      <c r="G603">
        <f t="shared" si="10"/>
        <v>9</v>
      </c>
      <c r="H603" s="7">
        <v>383.09</v>
      </c>
      <c r="J603" s="7"/>
    </row>
    <row r="604" spans="6:10" ht="18.75" customHeight="1">
      <c r="F604" s="1">
        <v>39722</v>
      </c>
      <c r="G604">
        <f t="shared" si="10"/>
        <v>10</v>
      </c>
      <c r="H604" s="7">
        <v>382.78</v>
      </c>
      <c r="J604" s="7"/>
    </row>
    <row r="605" spans="6:10" ht="18.75" customHeight="1">
      <c r="F605" s="1">
        <v>39753</v>
      </c>
      <c r="G605">
        <f t="shared" si="10"/>
        <v>11</v>
      </c>
      <c r="H605" s="7">
        <v>384.01</v>
      </c>
      <c r="J605" s="7"/>
    </row>
    <row r="606" spans="6:10" ht="18.75" customHeight="1">
      <c r="F606" s="1">
        <v>39783</v>
      </c>
      <c r="G606">
        <f t="shared" si="10"/>
        <v>12</v>
      </c>
      <c r="H606" s="7">
        <v>385.11</v>
      </c>
      <c r="J606" s="7"/>
    </row>
    <row r="607" spans="6:10" ht="18.75" customHeight="1">
      <c r="F607" s="1">
        <v>39814</v>
      </c>
      <c r="G607">
        <f t="shared" si="10"/>
        <v>1</v>
      </c>
      <c r="H607" s="7">
        <v>386.65</v>
      </c>
      <c r="J607" s="7"/>
    </row>
    <row r="608" spans="6:10" ht="18.75" customHeight="1">
      <c r="F608" s="1">
        <v>39845</v>
      </c>
      <c r="G608">
        <f t="shared" si="10"/>
        <v>2</v>
      </c>
      <c r="H608" s="7">
        <v>387.12</v>
      </c>
      <c r="J608" s="7"/>
    </row>
    <row r="609" spans="6:10" ht="18.75" customHeight="1">
      <c r="F609" s="1">
        <v>39873</v>
      </c>
      <c r="G609">
        <f t="shared" si="10"/>
        <v>3</v>
      </c>
      <c r="H609" s="7">
        <v>388.52</v>
      </c>
      <c r="J609" s="7"/>
    </row>
    <row r="610" spans="6:10" ht="18.75" customHeight="1">
      <c r="F610" s="1">
        <v>39904</v>
      </c>
      <c r="G610">
        <f t="shared" si="10"/>
        <v>4</v>
      </c>
      <c r="H610" s="7">
        <v>389.57</v>
      </c>
      <c r="J610" s="7"/>
    </row>
    <row r="611" spans="6:10" ht="18.75" customHeight="1">
      <c r="F611" s="1">
        <v>39934</v>
      </c>
      <c r="G611">
        <f t="shared" si="10"/>
        <v>5</v>
      </c>
      <c r="H611" s="7">
        <v>390.17</v>
      </c>
      <c r="J611" s="7"/>
    </row>
    <row r="612" spans="6:10" ht="18.75" customHeight="1">
      <c r="F612" s="1">
        <v>39965</v>
      </c>
      <c r="G612">
        <f t="shared" si="10"/>
        <v>6</v>
      </c>
      <c r="H612" s="7">
        <v>389.62</v>
      </c>
      <c r="J612" s="7"/>
    </row>
    <row r="613" spans="6:10" ht="18.75" customHeight="1">
      <c r="F613" s="1">
        <v>39995</v>
      </c>
      <c r="G613">
        <f t="shared" si="10"/>
        <v>7</v>
      </c>
      <c r="H613" s="7">
        <v>388.07</v>
      </c>
      <c r="J613" s="7"/>
    </row>
    <row r="614" spans="6:10" ht="18.75" customHeight="1">
      <c r="F614" s="1">
        <v>40026</v>
      </c>
      <c r="G614">
        <f t="shared" si="10"/>
        <v>8</v>
      </c>
      <c r="H614" s="7">
        <v>386.08</v>
      </c>
      <c r="J614" s="7"/>
    </row>
    <row r="615" spans="6:10" ht="18.75" customHeight="1">
      <c r="F615" s="1">
        <v>40057</v>
      </c>
      <c r="G615">
        <f t="shared" si="10"/>
        <v>9</v>
      </c>
      <c r="H615" s="7">
        <v>384.65</v>
      </c>
      <c r="J615" s="7"/>
    </row>
    <row r="616" spans="6:10" ht="18.75" customHeight="1">
      <c r="F616" s="1">
        <v>40087</v>
      </c>
      <c r="G616">
        <f t="shared" si="10"/>
        <v>10</v>
      </c>
      <c r="H616" s="7">
        <v>384.33</v>
      </c>
      <c r="J616" s="7"/>
    </row>
    <row r="617" spans="6:10" ht="18.75" customHeight="1">
      <c r="F617" s="1">
        <v>40118</v>
      </c>
      <c r="G617">
        <f t="shared" si="10"/>
        <v>11</v>
      </c>
      <c r="H617" s="7">
        <v>386.05</v>
      </c>
      <c r="J617" s="7"/>
    </row>
    <row r="618" spans="6:10" ht="18.75" customHeight="1">
      <c r="F618" s="1">
        <v>40148</v>
      </c>
      <c r="G618">
        <f t="shared" si="10"/>
        <v>12</v>
      </c>
      <c r="H618" s="7">
        <v>387.49</v>
      </c>
      <c r="J618" s="7"/>
    </row>
    <row r="619" spans="6:10" ht="18.75" customHeight="1">
      <c r="F619" s="1">
        <v>40179</v>
      </c>
      <c r="G619">
        <f t="shared" si="10"/>
        <v>1</v>
      </c>
      <c r="H619" s="7">
        <v>388.55</v>
      </c>
      <c r="J619" s="7"/>
    </row>
    <row r="620" spans="6:10" ht="18.75" customHeight="1">
      <c r="F620" s="1">
        <v>40210</v>
      </c>
      <c r="G620">
        <f t="shared" si="10"/>
        <v>2</v>
      </c>
      <c r="H620" s="7">
        <v>390.08</v>
      </c>
      <c r="J620" s="7"/>
    </row>
    <row r="621" spans="6:10" ht="18.75" customHeight="1">
      <c r="F621" s="1">
        <v>40238</v>
      </c>
      <c r="G621">
        <f t="shared" si="10"/>
        <v>3</v>
      </c>
      <c r="H621" s="7">
        <v>391.01</v>
      </c>
      <c r="J621" s="7"/>
    </row>
    <row r="622" spans="6:10" ht="18.75" customHeight="1">
      <c r="F622" s="1">
        <v>40269</v>
      </c>
      <c r="G622">
        <f t="shared" si="10"/>
        <v>4</v>
      </c>
      <c r="H622" s="7">
        <v>392.38</v>
      </c>
      <c r="J622" s="7"/>
    </row>
    <row r="623" spans="6:10" ht="18.75" customHeight="1">
      <c r="F623" s="1">
        <v>40299</v>
      </c>
      <c r="G623">
        <f t="shared" si="10"/>
        <v>5</v>
      </c>
      <c r="H623" s="7">
        <v>393.22</v>
      </c>
      <c r="J623" s="7"/>
    </row>
    <row r="624" spans="6:10" ht="18.75" customHeight="1">
      <c r="F624" s="1">
        <v>40330</v>
      </c>
      <c r="G624">
        <f t="shared" si="10"/>
        <v>6</v>
      </c>
      <c r="H624" s="7">
        <v>392.24</v>
      </c>
      <c r="J624" s="7"/>
    </row>
    <row r="625" spans="6:10" ht="18.75" customHeight="1">
      <c r="F625" s="1">
        <v>40360</v>
      </c>
      <c r="G625">
        <f t="shared" si="10"/>
        <v>7</v>
      </c>
      <c r="H625" s="7">
        <v>390.33</v>
      </c>
      <c r="J625" s="7"/>
    </row>
    <row r="626" spans="6:10" ht="18.75" customHeight="1">
      <c r="F626" s="1">
        <v>40391</v>
      </c>
      <c r="G626">
        <f t="shared" si="10"/>
        <v>8</v>
      </c>
      <c r="H626" s="7">
        <v>388.52</v>
      </c>
      <c r="J626" s="7"/>
    </row>
    <row r="627" spans="6:10" ht="18.75" customHeight="1">
      <c r="F627" s="1">
        <v>40422</v>
      </c>
      <c r="G627">
        <f t="shared" si="10"/>
        <v>9</v>
      </c>
      <c r="H627" s="7">
        <v>386.84</v>
      </c>
      <c r="J627" s="7"/>
    </row>
    <row r="628" spans="6:10" ht="18.75" customHeight="1">
      <c r="F628" s="1">
        <v>40452</v>
      </c>
      <c r="G628">
        <f t="shared" si="10"/>
        <v>10</v>
      </c>
      <c r="H628" s="7">
        <v>387.16</v>
      </c>
      <c r="J628" s="7"/>
    </row>
    <row r="629" spans="6:10" ht="18.75" customHeight="1">
      <c r="F629" s="1">
        <v>40483</v>
      </c>
      <c r="G629">
        <f t="shared" si="10"/>
        <v>11</v>
      </c>
      <c r="H629" s="7">
        <v>388.67</v>
      </c>
      <c r="J629" s="7"/>
    </row>
    <row r="630" spans="6:10" ht="18.75" customHeight="1">
      <c r="F630" s="1">
        <v>40513</v>
      </c>
      <c r="G630">
        <f t="shared" si="10"/>
        <v>12</v>
      </c>
      <c r="H630" s="7">
        <v>389.81</v>
      </c>
      <c r="J630" s="7"/>
    </row>
    <row r="631" spans="6:10" ht="18.75" customHeight="1">
      <c r="F631" s="1">
        <v>40544</v>
      </c>
      <c r="G631">
        <f t="shared" si="10"/>
        <v>1</v>
      </c>
      <c r="H631" s="7">
        <v>391.3</v>
      </c>
      <c r="J631" s="7"/>
    </row>
    <row r="632" spans="6:10" ht="18.75" customHeight="1">
      <c r="F632" s="1">
        <v>40575</v>
      </c>
      <c r="G632">
        <f t="shared" si="10"/>
        <v>2</v>
      </c>
      <c r="H632" s="7">
        <v>391.92</v>
      </c>
      <c r="J632" s="7"/>
    </row>
    <row r="633" spans="6:10" ht="18.75" customHeight="1">
      <c r="F633" s="1">
        <v>40603</v>
      </c>
      <c r="G633">
        <f t="shared" si="10"/>
        <v>3</v>
      </c>
      <c r="H633" s="7">
        <v>392.45</v>
      </c>
      <c r="J633" s="7"/>
    </row>
    <row r="634" spans="6:10" ht="18.75" customHeight="1">
      <c r="F634" s="1">
        <v>40634</v>
      </c>
      <c r="G634">
        <f t="shared" si="10"/>
        <v>4</v>
      </c>
      <c r="H634" s="7">
        <v>393.37</v>
      </c>
      <c r="J634" s="7"/>
    </row>
    <row r="635" spans="6:10" ht="18.75" customHeight="1">
      <c r="F635" s="1">
        <v>40664</v>
      </c>
      <c r="G635">
        <f t="shared" si="10"/>
        <v>5</v>
      </c>
      <c r="H635" s="7">
        <v>394.28</v>
      </c>
      <c r="J635" s="7"/>
    </row>
    <row r="636" spans="6:10" ht="18.75" customHeight="1">
      <c r="F636" s="1">
        <v>40695</v>
      </c>
      <c r="G636">
        <f t="shared" si="10"/>
        <v>6</v>
      </c>
      <c r="H636" s="7">
        <v>393.69</v>
      </c>
      <c r="J636" s="7"/>
    </row>
    <row r="637" spans="6:10" ht="18.75" customHeight="1">
      <c r="F637" s="1">
        <v>40725</v>
      </c>
      <c r="G637">
        <f t="shared" si="10"/>
        <v>7</v>
      </c>
      <c r="H637" s="7">
        <v>392.59</v>
      </c>
      <c r="J637" s="7"/>
    </row>
    <row r="638" spans="6:10" ht="18.75" customHeight="1">
      <c r="F638" s="1">
        <v>40756</v>
      </c>
      <c r="G638">
        <f t="shared" si="10"/>
        <v>8</v>
      </c>
      <c r="H638" s="7">
        <v>390.21</v>
      </c>
      <c r="J638" s="7"/>
    </row>
    <row r="639" spans="6:10" ht="18.75" customHeight="1">
      <c r="F639" s="1">
        <v>40787</v>
      </c>
      <c r="G639">
        <f t="shared" si="10"/>
        <v>9</v>
      </c>
      <c r="H639" s="7">
        <v>389</v>
      </c>
      <c r="J639" s="7"/>
    </row>
    <row r="640" spans="6:10" ht="18.75" customHeight="1">
      <c r="F640" s="1">
        <v>40817</v>
      </c>
      <c r="G640">
        <f t="shared" si="10"/>
        <v>10</v>
      </c>
      <c r="H640" s="7">
        <v>388.93</v>
      </c>
      <c r="J640" s="7"/>
    </row>
    <row r="641" spans="6:10" ht="18.75" customHeight="1">
      <c r="F641" s="1">
        <v>40848</v>
      </c>
      <c r="G641">
        <f t="shared" si="10"/>
        <v>11</v>
      </c>
      <c r="H641" s="7">
        <v>390.24</v>
      </c>
      <c r="J641" s="7"/>
    </row>
    <row r="642" spans="6:10" ht="18.75" customHeight="1">
      <c r="F642" s="1">
        <v>40878</v>
      </c>
      <c r="G642">
        <f t="shared" si="10"/>
        <v>12</v>
      </c>
      <c r="H642" s="7">
        <v>391.8</v>
      </c>
      <c r="J642" s="7"/>
    </row>
    <row r="643" spans="6:10" ht="18.75" customHeight="1">
      <c r="F643" s="1">
        <v>40909</v>
      </c>
      <c r="G643">
        <f t="shared" ref="G643:G706" si="11">MONTH(F643)</f>
        <v>1</v>
      </c>
      <c r="H643" s="7">
        <v>393.07</v>
      </c>
      <c r="J643" s="7"/>
    </row>
    <row r="644" spans="6:10" ht="18.75" customHeight="1">
      <c r="F644" s="1">
        <v>40940</v>
      </c>
      <c r="G644">
        <f t="shared" si="11"/>
        <v>2</v>
      </c>
      <c r="H644" s="7">
        <v>393.35</v>
      </c>
      <c r="J644" s="7"/>
    </row>
    <row r="645" spans="6:10" ht="18.75" customHeight="1">
      <c r="F645" s="1">
        <v>40969</v>
      </c>
      <c r="G645">
        <f t="shared" si="11"/>
        <v>3</v>
      </c>
      <c r="H645" s="7">
        <v>394.36</v>
      </c>
      <c r="J645" s="7"/>
    </row>
    <row r="646" spans="6:10" ht="18.75" customHeight="1">
      <c r="F646" s="1">
        <v>41000</v>
      </c>
      <c r="G646">
        <f t="shared" si="11"/>
        <v>4</v>
      </c>
      <c r="H646" s="7">
        <v>396.43</v>
      </c>
      <c r="J646" s="7"/>
    </row>
    <row r="647" spans="6:10" ht="18.75" customHeight="1">
      <c r="F647" s="1">
        <v>41030</v>
      </c>
      <c r="G647">
        <f t="shared" si="11"/>
        <v>5</v>
      </c>
      <c r="H647" s="7">
        <v>396.87</v>
      </c>
      <c r="J647" s="7"/>
    </row>
    <row r="648" spans="6:10" ht="18.75" customHeight="1">
      <c r="F648" s="1">
        <v>41061</v>
      </c>
      <c r="G648">
        <f t="shared" si="11"/>
        <v>6</v>
      </c>
      <c r="H648" s="7">
        <v>395.88</v>
      </c>
      <c r="J648" s="7"/>
    </row>
    <row r="649" spans="6:10" ht="18.75" customHeight="1">
      <c r="F649" s="1">
        <v>41091</v>
      </c>
      <c r="G649">
        <f t="shared" si="11"/>
        <v>7</v>
      </c>
      <c r="H649" s="7">
        <v>394.52</v>
      </c>
      <c r="J649" s="7"/>
    </row>
    <row r="650" spans="6:10" ht="18.75" customHeight="1">
      <c r="F650" s="1">
        <v>41122</v>
      </c>
      <c r="G650">
        <f t="shared" si="11"/>
        <v>8</v>
      </c>
      <c r="H650" s="7">
        <v>392.54</v>
      </c>
      <c r="J650" s="7"/>
    </row>
    <row r="651" spans="6:10" ht="18.75" customHeight="1">
      <c r="F651" s="1">
        <v>41153</v>
      </c>
      <c r="G651">
        <f t="shared" si="11"/>
        <v>9</v>
      </c>
      <c r="H651" s="7">
        <v>391.13</v>
      </c>
      <c r="J651" s="7"/>
    </row>
    <row r="652" spans="6:10" ht="18.75" customHeight="1">
      <c r="F652" s="1">
        <v>41183</v>
      </c>
      <c r="G652">
        <f t="shared" si="11"/>
        <v>10</v>
      </c>
      <c r="H652" s="7">
        <v>391.01</v>
      </c>
      <c r="J652" s="7"/>
    </row>
    <row r="653" spans="6:10" ht="18.75" customHeight="1">
      <c r="F653" s="1">
        <v>41214</v>
      </c>
      <c r="G653">
        <f t="shared" si="11"/>
        <v>11</v>
      </c>
      <c r="H653" s="7">
        <v>392.95</v>
      </c>
      <c r="J653" s="7"/>
    </row>
    <row r="654" spans="6:10" ht="18.75" customHeight="1">
      <c r="F654" s="1">
        <v>41244</v>
      </c>
      <c r="G654">
        <f t="shared" si="11"/>
        <v>12</v>
      </c>
      <c r="H654" s="7">
        <v>394.33</v>
      </c>
      <c r="J654" s="7"/>
    </row>
    <row r="655" spans="6:10" ht="18.75" customHeight="1">
      <c r="F655" s="1">
        <v>41275</v>
      </c>
      <c r="G655">
        <f t="shared" si="11"/>
        <v>1</v>
      </c>
      <c r="H655" s="7">
        <v>395.61</v>
      </c>
      <c r="J655" s="7"/>
    </row>
    <row r="656" spans="6:10" ht="18.75" customHeight="1">
      <c r="F656" s="1">
        <v>41306</v>
      </c>
      <c r="G656">
        <f t="shared" si="11"/>
        <v>2</v>
      </c>
      <c r="H656" s="7">
        <v>396.85</v>
      </c>
      <c r="J656" s="7"/>
    </row>
    <row r="657" spans="6:10" ht="18.75" customHeight="1">
      <c r="F657" s="1">
        <v>41334</v>
      </c>
      <c r="G657">
        <f t="shared" si="11"/>
        <v>3</v>
      </c>
      <c r="H657" s="7">
        <v>397.26</v>
      </c>
      <c r="J657" s="7"/>
    </row>
    <row r="658" spans="6:10" ht="18.75" customHeight="1">
      <c r="F658" s="1">
        <v>41365</v>
      </c>
      <c r="G658">
        <f t="shared" si="11"/>
        <v>4</v>
      </c>
      <c r="H658" s="7">
        <v>398.35</v>
      </c>
      <c r="J658" s="7"/>
    </row>
    <row r="659" spans="6:10" ht="18.75" customHeight="1">
      <c r="F659" s="1">
        <v>41395</v>
      </c>
      <c r="G659">
        <f t="shared" si="11"/>
        <v>5</v>
      </c>
      <c r="H659" s="7">
        <v>399.98</v>
      </c>
      <c r="J659" s="7"/>
    </row>
    <row r="660" spans="6:10" ht="18.75" customHeight="1">
      <c r="F660" s="1">
        <v>41426</v>
      </c>
      <c r="G660">
        <f t="shared" si="11"/>
        <v>6</v>
      </c>
      <c r="H660" s="7">
        <v>398.87</v>
      </c>
      <c r="J660" s="7"/>
    </row>
    <row r="661" spans="6:10" ht="18.75" customHeight="1">
      <c r="F661" s="1">
        <v>41456</v>
      </c>
      <c r="G661">
        <f t="shared" si="11"/>
        <v>7</v>
      </c>
      <c r="H661" s="7">
        <v>397.37</v>
      </c>
      <c r="J661" s="7"/>
    </row>
    <row r="662" spans="6:10" ht="18.75" customHeight="1">
      <c r="F662" s="1">
        <v>41487</v>
      </c>
      <c r="G662">
        <f t="shared" si="11"/>
        <v>8</v>
      </c>
      <c r="H662" s="7">
        <v>395.41</v>
      </c>
      <c r="J662" s="7"/>
    </row>
    <row r="663" spans="6:10" ht="18.75" customHeight="1">
      <c r="F663" s="1">
        <v>41518</v>
      </c>
      <c r="G663">
        <f t="shared" si="11"/>
        <v>9</v>
      </c>
      <c r="H663" s="7">
        <v>393.39</v>
      </c>
      <c r="J663" s="7"/>
    </row>
    <row r="664" spans="6:10" ht="18.75" customHeight="1">
      <c r="F664" s="1">
        <v>41548</v>
      </c>
      <c r="G664">
        <f t="shared" si="11"/>
        <v>10</v>
      </c>
      <c r="H664" s="7">
        <v>393.7</v>
      </c>
      <c r="J664" s="7"/>
    </row>
    <row r="665" spans="6:10" ht="18.75" customHeight="1">
      <c r="F665" s="1">
        <v>41579</v>
      </c>
      <c r="G665">
        <f t="shared" si="11"/>
        <v>11</v>
      </c>
      <c r="H665" s="7">
        <v>395.19</v>
      </c>
      <c r="J665" s="7"/>
    </row>
    <row r="666" spans="6:10" ht="18.75" customHeight="1">
      <c r="F666" s="1">
        <v>41609</v>
      </c>
      <c r="G666">
        <f t="shared" si="11"/>
        <v>12</v>
      </c>
      <c r="H666" s="7">
        <v>396.82</v>
      </c>
      <c r="J666" s="7"/>
    </row>
    <row r="667" spans="6:10" ht="18.75" customHeight="1">
      <c r="F667" s="1">
        <v>41640</v>
      </c>
      <c r="G667">
        <f t="shared" si="11"/>
        <v>1</v>
      </c>
      <c r="H667" s="7">
        <v>397.93</v>
      </c>
      <c r="J667" s="7"/>
    </row>
    <row r="668" spans="6:10" ht="18.75" customHeight="1">
      <c r="F668" s="1">
        <v>41671</v>
      </c>
      <c r="G668">
        <f t="shared" si="11"/>
        <v>2</v>
      </c>
      <c r="H668" s="7">
        <v>398.1</v>
      </c>
      <c r="J668" s="7"/>
    </row>
    <row r="669" spans="6:10" ht="18.75" customHeight="1">
      <c r="F669" s="1">
        <v>41699</v>
      </c>
      <c r="G669">
        <f t="shared" si="11"/>
        <v>3</v>
      </c>
      <c r="H669" s="7">
        <v>399.47</v>
      </c>
      <c r="J669" s="7"/>
    </row>
    <row r="670" spans="6:10" ht="18.75" customHeight="1">
      <c r="F670" s="1">
        <v>41730</v>
      </c>
      <c r="G670">
        <f t="shared" si="11"/>
        <v>4</v>
      </c>
      <c r="H670" s="7">
        <v>401.33</v>
      </c>
      <c r="J670" s="7"/>
    </row>
    <row r="671" spans="6:10" ht="18.75" customHeight="1">
      <c r="F671" s="1">
        <v>41760</v>
      </c>
      <c r="G671">
        <f t="shared" si="11"/>
        <v>5</v>
      </c>
      <c r="H671" s="7">
        <v>401.88</v>
      </c>
      <c r="J671" s="7"/>
    </row>
    <row r="672" spans="6:10" ht="18.75" customHeight="1">
      <c r="F672" s="1">
        <v>41791</v>
      </c>
      <c r="G672">
        <f t="shared" si="11"/>
        <v>6</v>
      </c>
      <c r="H672" s="7">
        <v>401.31</v>
      </c>
      <c r="J672" s="7"/>
    </row>
    <row r="673" spans="6:10" ht="18.75" customHeight="1">
      <c r="F673" s="1">
        <v>41821</v>
      </c>
      <c r="G673">
        <f t="shared" si="11"/>
        <v>7</v>
      </c>
      <c r="H673" s="7">
        <v>399.07</v>
      </c>
      <c r="J673" s="7"/>
    </row>
    <row r="674" spans="6:10" ht="18.75" customHeight="1">
      <c r="F674" s="1">
        <v>41852</v>
      </c>
      <c r="G674">
        <f t="shared" si="11"/>
        <v>8</v>
      </c>
      <c r="H674" s="7">
        <v>397.21</v>
      </c>
      <c r="J674" s="7"/>
    </row>
    <row r="675" spans="6:10" ht="18.75" customHeight="1">
      <c r="F675" s="1">
        <v>41883</v>
      </c>
      <c r="G675">
        <f t="shared" si="11"/>
        <v>9</v>
      </c>
      <c r="H675" s="7">
        <v>395.4</v>
      </c>
      <c r="J675" s="7"/>
    </row>
    <row r="676" spans="6:10" ht="18.75" customHeight="1">
      <c r="F676" s="1">
        <v>41913</v>
      </c>
      <c r="G676">
        <f t="shared" si="11"/>
        <v>10</v>
      </c>
      <c r="H676" s="7">
        <v>395.65</v>
      </c>
      <c r="J676" s="7"/>
    </row>
    <row r="677" spans="6:10" ht="18.75" customHeight="1">
      <c r="F677" s="1">
        <v>41944</v>
      </c>
      <c r="G677">
        <f t="shared" si="11"/>
        <v>11</v>
      </c>
      <c r="H677" s="7">
        <v>397.23</v>
      </c>
      <c r="J677" s="7"/>
    </row>
    <row r="678" spans="6:10" ht="18.75" customHeight="1">
      <c r="F678" s="1">
        <v>41974</v>
      </c>
      <c r="G678">
        <f t="shared" si="11"/>
        <v>12</v>
      </c>
      <c r="H678" s="7">
        <v>398.79</v>
      </c>
      <c r="J678" s="7"/>
    </row>
    <row r="679" spans="6:10" ht="18.75" customHeight="1">
      <c r="F679" s="1">
        <v>42005</v>
      </c>
      <c r="G679">
        <f t="shared" si="11"/>
        <v>1</v>
      </c>
      <c r="H679" s="7">
        <v>399.85</v>
      </c>
      <c r="J679" s="7"/>
    </row>
    <row r="680" spans="6:10" ht="18.75" customHeight="1">
      <c r="F680" s="1">
        <v>42036</v>
      </c>
      <c r="G680">
        <f t="shared" si="11"/>
        <v>2</v>
      </c>
      <c r="H680" s="7">
        <v>400.31</v>
      </c>
      <c r="J680" s="7"/>
    </row>
    <row r="681" spans="6:10" ht="18.75" customHeight="1">
      <c r="F681" s="1">
        <v>42064</v>
      </c>
      <c r="G681">
        <f t="shared" si="11"/>
        <v>3</v>
      </c>
      <c r="H681" s="7">
        <v>401.51</v>
      </c>
      <c r="J681" s="7"/>
    </row>
    <row r="682" spans="6:10" ht="18.75" customHeight="1">
      <c r="F682" s="1">
        <v>42095</v>
      </c>
      <c r="G682">
        <f t="shared" si="11"/>
        <v>4</v>
      </c>
      <c r="H682" s="7">
        <v>403.45</v>
      </c>
      <c r="J682" s="7"/>
    </row>
    <row r="683" spans="6:10" ht="18.75" customHeight="1">
      <c r="F683" s="1">
        <v>42125</v>
      </c>
      <c r="G683">
        <f t="shared" si="11"/>
        <v>5</v>
      </c>
      <c r="H683" s="7">
        <v>404.1</v>
      </c>
      <c r="J683" s="7"/>
    </row>
    <row r="684" spans="6:10" ht="18.75" customHeight="1">
      <c r="F684" s="1">
        <v>42156</v>
      </c>
      <c r="G684">
        <f t="shared" si="11"/>
        <v>6</v>
      </c>
      <c r="H684" s="7">
        <v>402.88</v>
      </c>
      <c r="J684" s="7"/>
    </row>
    <row r="685" spans="6:10" ht="18.75" customHeight="1">
      <c r="F685" s="1">
        <v>42186</v>
      </c>
      <c r="G685">
        <f t="shared" si="11"/>
        <v>7</v>
      </c>
      <c r="H685" s="7">
        <v>401.61</v>
      </c>
      <c r="J685" s="7"/>
    </row>
    <row r="686" spans="6:10" ht="18.75" customHeight="1">
      <c r="F686" s="1">
        <v>42217</v>
      </c>
      <c r="G686">
        <f t="shared" si="11"/>
        <v>8</v>
      </c>
      <c r="H686" s="7">
        <v>399</v>
      </c>
      <c r="J686" s="7"/>
    </row>
    <row r="687" spans="6:10" ht="18.75" customHeight="1">
      <c r="F687" s="1">
        <v>42248</v>
      </c>
      <c r="G687">
        <f t="shared" si="11"/>
        <v>9</v>
      </c>
      <c r="H687" s="7">
        <v>397.5</v>
      </c>
      <c r="J687" s="7"/>
    </row>
    <row r="688" spans="6:10" ht="18.75" customHeight="1">
      <c r="F688" s="1">
        <v>42278</v>
      </c>
      <c r="G688">
        <f t="shared" si="11"/>
        <v>10</v>
      </c>
      <c r="H688" s="7">
        <v>398.28</v>
      </c>
      <c r="J688" s="7"/>
    </row>
    <row r="689" spans="6:10" ht="18.75" customHeight="1">
      <c r="F689" s="1">
        <v>42309</v>
      </c>
      <c r="G689">
        <f t="shared" si="11"/>
        <v>11</v>
      </c>
      <c r="H689" s="7">
        <v>400.24</v>
      </c>
      <c r="J689" s="7"/>
    </row>
    <row r="690" spans="6:10" ht="18.75" customHeight="1">
      <c r="F690" s="1">
        <v>42339</v>
      </c>
      <c r="G690">
        <f t="shared" si="11"/>
        <v>12</v>
      </c>
      <c r="H690" s="7">
        <v>401.89</v>
      </c>
      <c r="J690" s="7"/>
    </row>
    <row r="691" spans="6:10" ht="18.75" customHeight="1">
      <c r="F691" s="1">
        <v>42370</v>
      </c>
      <c r="G691">
        <f t="shared" si="11"/>
        <v>1</v>
      </c>
      <c r="H691" s="7">
        <v>402.65</v>
      </c>
      <c r="J691" s="7"/>
    </row>
    <row r="692" spans="6:10" ht="18.75" customHeight="1">
      <c r="F692" s="1">
        <v>42401</v>
      </c>
      <c r="G692">
        <f t="shared" si="11"/>
        <v>2</v>
      </c>
      <c r="H692" s="7">
        <v>404.16</v>
      </c>
      <c r="J692" s="7"/>
    </row>
    <row r="693" spans="6:10" ht="18.75" customHeight="1">
      <c r="F693" s="1">
        <v>42430</v>
      </c>
      <c r="G693">
        <f t="shared" si="11"/>
        <v>3</v>
      </c>
      <c r="H693" s="7">
        <v>404.85</v>
      </c>
      <c r="J693" s="7"/>
    </row>
    <row r="694" spans="6:10" ht="18.75" customHeight="1">
      <c r="F694" s="1">
        <v>42461</v>
      </c>
      <c r="G694">
        <f t="shared" si="11"/>
        <v>4</v>
      </c>
      <c r="H694" s="7">
        <v>407.57</v>
      </c>
      <c r="J694" s="7"/>
    </row>
    <row r="695" spans="6:10" ht="18.75" customHeight="1">
      <c r="F695" s="1">
        <v>42491</v>
      </c>
      <c r="G695">
        <f t="shared" si="11"/>
        <v>5</v>
      </c>
      <c r="H695" s="7">
        <v>407.66</v>
      </c>
      <c r="J695" s="7"/>
    </row>
    <row r="696" spans="6:10" ht="18.75" customHeight="1">
      <c r="F696" s="1">
        <v>42522</v>
      </c>
      <c r="G696">
        <f t="shared" si="11"/>
        <v>6</v>
      </c>
      <c r="H696" s="7">
        <v>407</v>
      </c>
      <c r="J696" s="7"/>
    </row>
    <row r="697" spans="6:10" ht="18.75" customHeight="1">
      <c r="F697" s="1">
        <v>42552</v>
      </c>
      <c r="G697">
        <f t="shared" si="11"/>
        <v>7</v>
      </c>
      <c r="H697" s="7">
        <v>404.5</v>
      </c>
      <c r="J697" s="7"/>
    </row>
    <row r="698" spans="6:10" ht="18.75" customHeight="1">
      <c r="F698" s="1">
        <v>42583</v>
      </c>
      <c r="G698">
        <f t="shared" si="11"/>
        <v>8</v>
      </c>
      <c r="H698" s="7">
        <v>402.24</v>
      </c>
      <c r="J698" s="7"/>
    </row>
    <row r="699" spans="6:10" ht="18.75" customHeight="1">
      <c r="F699" s="1">
        <v>42614</v>
      </c>
      <c r="G699">
        <f t="shared" si="11"/>
        <v>9</v>
      </c>
      <c r="H699" s="7">
        <v>401.01</v>
      </c>
      <c r="J699" s="7"/>
    </row>
    <row r="700" spans="6:10" ht="18.75" customHeight="1">
      <c r="F700" s="1">
        <v>42644</v>
      </c>
      <c r="G700">
        <f t="shared" si="11"/>
        <v>10</v>
      </c>
      <c r="H700" s="7">
        <v>401.5</v>
      </c>
      <c r="J700" s="7"/>
    </row>
    <row r="701" spans="6:10" ht="18.75" customHeight="1">
      <c r="F701" s="1">
        <v>42675</v>
      </c>
      <c r="G701">
        <f t="shared" si="11"/>
        <v>11</v>
      </c>
      <c r="H701" s="7">
        <v>403.64</v>
      </c>
      <c r="J701" s="7"/>
    </row>
    <row r="702" spans="6:10" ht="18.75" customHeight="1">
      <c r="F702" s="1">
        <v>42705</v>
      </c>
      <c r="G702">
        <f t="shared" si="11"/>
        <v>12</v>
      </c>
      <c r="H702" s="7">
        <v>404.55</v>
      </c>
      <c r="J702" s="7"/>
    </row>
    <row r="703" spans="6:10" ht="18.75" customHeight="1">
      <c r="F703" s="1">
        <v>42736</v>
      </c>
      <c r="G703">
        <f t="shared" si="11"/>
        <v>1</v>
      </c>
      <c r="H703" s="7">
        <v>406.07</v>
      </c>
      <c r="J703" s="7"/>
    </row>
    <row r="704" spans="6:10" ht="18.75" customHeight="1">
      <c r="F704" s="1">
        <v>42767</v>
      </c>
      <c r="G704">
        <f t="shared" si="11"/>
        <v>2</v>
      </c>
      <c r="H704" s="7">
        <v>406.64</v>
      </c>
      <c r="J704" s="7"/>
    </row>
    <row r="705" spans="6:10" ht="18.75" customHeight="1">
      <c r="F705" s="1">
        <v>42795</v>
      </c>
      <c r="G705">
        <f t="shared" si="11"/>
        <v>3</v>
      </c>
      <c r="H705" s="7">
        <v>407.05</v>
      </c>
      <c r="J705" s="7"/>
    </row>
    <row r="706" spans="6:10" ht="18.75" customHeight="1">
      <c r="F706" s="1">
        <v>42826</v>
      </c>
      <c r="G706">
        <f t="shared" si="11"/>
        <v>4</v>
      </c>
      <c r="H706" s="7">
        <v>408.95</v>
      </c>
      <c r="J706" s="7"/>
    </row>
    <row r="707" spans="6:10" ht="18.75" customHeight="1">
      <c r="F707" s="1">
        <v>42856</v>
      </c>
      <c r="G707">
        <f t="shared" ref="G707:G770" si="12">MONTH(F707)</f>
        <v>5</v>
      </c>
      <c r="H707" s="7">
        <v>409.91</v>
      </c>
      <c r="J707" s="7"/>
    </row>
    <row r="708" spans="6:10" ht="18.75" customHeight="1">
      <c r="F708" s="1">
        <v>42887</v>
      </c>
      <c r="G708">
        <f t="shared" si="12"/>
        <v>6</v>
      </c>
      <c r="H708" s="7">
        <v>409.12</v>
      </c>
      <c r="J708" s="7"/>
    </row>
    <row r="709" spans="6:10" ht="18.75" customHeight="1">
      <c r="F709" s="1">
        <v>42917</v>
      </c>
      <c r="G709">
        <f t="shared" si="12"/>
        <v>7</v>
      </c>
      <c r="H709" s="7">
        <v>407.2</v>
      </c>
      <c r="J709" s="7"/>
    </row>
    <row r="710" spans="6:10" ht="18.75" customHeight="1">
      <c r="F710" s="1">
        <v>42948</v>
      </c>
      <c r="G710">
        <f t="shared" si="12"/>
        <v>8</v>
      </c>
      <c r="H710" s="7">
        <v>405.24</v>
      </c>
      <c r="J710" s="7"/>
    </row>
    <row r="711" spans="6:10" ht="18.75" customHeight="1">
      <c r="F711" s="1">
        <v>42979</v>
      </c>
      <c r="G711">
        <f t="shared" si="12"/>
        <v>9</v>
      </c>
      <c r="H711" s="7">
        <v>403.27</v>
      </c>
      <c r="J711" s="7"/>
    </row>
    <row r="712" spans="6:10" ht="18.75" customHeight="1">
      <c r="F712" s="1">
        <v>43009</v>
      </c>
      <c r="G712">
        <f t="shared" si="12"/>
        <v>10</v>
      </c>
      <c r="H712" s="7">
        <v>403.64</v>
      </c>
      <c r="J712" s="7"/>
    </row>
    <row r="713" spans="6:10" ht="18.75" customHeight="1">
      <c r="F713" s="1">
        <v>43040</v>
      </c>
      <c r="G713">
        <f t="shared" si="12"/>
        <v>11</v>
      </c>
      <c r="H713" s="7">
        <v>405.17</v>
      </c>
      <c r="J713" s="7"/>
    </row>
    <row r="714" spans="6:10" ht="18.75" customHeight="1">
      <c r="F714" s="1">
        <v>43070</v>
      </c>
      <c r="G714">
        <f t="shared" si="12"/>
        <v>12</v>
      </c>
      <c r="H714" s="7">
        <v>406.75</v>
      </c>
      <c r="J714" s="7"/>
    </row>
    <row r="715" spans="6:10" ht="18.75" customHeight="1">
      <c r="F715" s="1">
        <v>43101</v>
      </c>
      <c r="G715">
        <f t="shared" si="12"/>
        <v>1</v>
      </c>
      <c r="H715" s="7">
        <v>408.05</v>
      </c>
      <c r="J715" s="7"/>
    </row>
    <row r="716" spans="6:10" ht="18.75" customHeight="1">
      <c r="F716" s="1">
        <v>43132</v>
      </c>
      <c r="G716">
        <f t="shared" si="12"/>
        <v>2</v>
      </c>
      <c r="H716" s="7">
        <v>408.34</v>
      </c>
      <c r="J716" s="7"/>
    </row>
    <row r="717" spans="6:10" ht="18.75" customHeight="1">
      <c r="F717" s="1">
        <v>43160</v>
      </c>
      <c r="G717">
        <f t="shared" si="12"/>
        <v>3</v>
      </c>
      <c r="H717" s="7">
        <v>409.25</v>
      </c>
      <c r="J717" s="7"/>
    </row>
    <row r="718" spans="6:10" ht="18.75" customHeight="1">
      <c r="F718" s="1">
        <v>43191</v>
      </c>
      <c r="G718">
        <f t="shared" si="12"/>
        <v>4</v>
      </c>
      <c r="H718" s="7">
        <v>410.3</v>
      </c>
      <c r="J718" s="7"/>
    </row>
    <row r="719" spans="6:10" ht="18.75" customHeight="1">
      <c r="F719" s="1">
        <v>43221</v>
      </c>
      <c r="G719">
        <f t="shared" si="12"/>
        <v>5</v>
      </c>
      <c r="H719" s="7">
        <v>411.3</v>
      </c>
      <c r="J719" s="7"/>
    </row>
    <row r="720" spans="6:10" ht="18.75" customHeight="1">
      <c r="F720" s="1">
        <v>43252</v>
      </c>
      <c r="G720">
        <f t="shared" si="12"/>
        <v>6</v>
      </c>
      <c r="H720" s="7">
        <v>410.88</v>
      </c>
      <c r="J720" s="7"/>
    </row>
    <row r="721" spans="6:10" ht="18.75" customHeight="1">
      <c r="F721" s="1">
        <v>43282</v>
      </c>
      <c r="G721">
        <f t="shared" si="12"/>
        <v>7</v>
      </c>
      <c r="H721" s="7">
        <v>408.9</v>
      </c>
      <c r="J721" s="7"/>
    </row>
    <row r="722" spans="6:10" ht="18.75" customHeight="1">
      <c r="F722" s="1">
        <v>43313</v>
      </c>
      <c r="G722">
        <f t="shared" si="12"/>
        <v>8</v>
      </c>
      <c r="H722" s="7">
        <v>407.1</v>
      </c>
      <c r="J722" s="7"/>
    </row>
    <row r="723" spans="6:10" ht="18.75" customHeight="1">
      <c r="F723" s="1">
        <v>43344</v>
      </c>
      <c r="G723">
        <f t="shared" si="12"/>
        <v>9</v>
      </c>
      <c r="H723" s="7">
        <v>405.59</v>
      </c>
      <c r="J723" s="7"/>
    </row>
    <row r="724" spans="6:10" ht="18.75" customHeight="1">
      <c r="F724" s="1">
        <v>43374</v>
      </c>
      <c r="G724">
        <f t="shared" si="12"/>
        <v>10</v>
      </c>
      <c r="H724" s="7">
        <v>405.99</v>
      </c>
      <c r="J724" s="7"/>
    </row>
    <row r="725" spans="6:10" ht="18.75" customHeight="1">
      <c r="F725" s="1">
        <v>43405</v>
      </c>
      <c r="G725">
        <f t="shared" si="12"/>
        <v>11</v>
      </c>
      <c r="H725" s="7">
        <v>408.12</v>
      </c>
      <c r="J725" s="7"/>
    </row>
    <row r="726" spans="6:10" ht="18.75" customHeight="1">
      <c r="F726" s="1">
        <v>43435</v>
      </c>
      <c r="G726">
        <f t="shared" si="12"/>
        <v>12</v>
      </c>
      <c r="H726" s="7">
        <v>409.23</v>
      </c>
      <c r="J726" s="7"/>
    </row>
    <row r="727" spans="6:10" ht="18.75" customHeight="1">
      <c r="F727" s="1">
        <v>43466</v>
      </c>
      <c r="G727">
        <f t="shared" si="12"/>
        <v>1</v>
      </c>
      <c r="H727" s="7">
        <v>410.92</v>
      </c>
      <c r="J727" s="7"/>
    </row>
    <row r="728" spans="6:10" ht="18.75" customHeight="1">
      <c r="F728" s="1">
        <v>43497</v>
      </c>
      <c r="G728">
        <f t="shared" si="12"/>
        <v>2</v>
      </c>
      <c r="H728" s="7">
        <v>411.66</v>
      </c>
      <c r="J728" s="7"/>
    </row>
    <row r="729" spans="6:10" ht="18.75" customHeight="1">
      <c r="F729" s="1">
        <v>43525</v>
      </c>
      <c r="G729">
        <f t="shared" si="12"/>
        <v>3</v>
      </c>
      <c r="H729" s="7">
        <v>412</v>
      </c>
      <c r="J729" s="7"/>
    </row>
    <row r="730" spans="6:10" ht="18.75" customHeight="1">
      <c r="F730" s="1">
        <v>43556</v>
      </c>
      <c r="G730">
        <f t="shared" si="12"/>
        <v>4</v>
      </c>
      <c r="H730" s="7">
        <v>413.52</v>
      </c>
      <c r="J730" s="7"/>
    </row>
    <row r="731" spans="6:10" ht="18.75" customHeight="1">
      <c r="F731" s="1">
        <v>43586</v>
      </c>
      <c r="G731">
        <f t="shared" si="12"/>
        <v>5</v>
      </c>
      <c r="H731" s="7">
        <v>414.83</v>
      </c>
      <c r="J731" s="7"/>
    </row>
    <row r="732" spans="6:10" ht="18.75" customHeight="1">
      <c r="F732" s="1">
        <v>43617</v>
      </c>
      <c r="G732">
        <f t="shared" si="12"/>
        <v>6</v>
      </c>
      <c r="H732" s="7">
        <v>413.96</v>
      </c>
      <c r="J732" s="7"/>
    </row>
    <row r="733" spans="6:10" ht="18.75" customHeight="1">
      <c r="F733" s="1">
        <v>43647</v>
      </c>
      <c r="G733">
        <f t="shared" si="12"/>
        <v>7</v>
      </c>
      <c r="H733" s="7">
        <v>411.85</v>
      </c>
      <c r="J733" s="7"/>
    </row>
    <row r="734" spans="6:10" ht="18.75" customHeight="1">
      <c r="F734" s="1">
        <v>43678</v>
      </c>
      <c r="G734">
        <f t="shared" si="12"/>
        <v>8</v>
      </c>
      <c r="H734" s="7">
        <v>410.08</v>
      </c>
      <c r="J734" s="7"/>
    </row>
    <row r="735" spans="6:10" ht="18.75" customHeight="1">
      <c r="F735" s="1">
        <v>43709</v>
      </c>
      <c r="G735">
        <f t="shared" si="12"/>
        <v>9</v>
      </c>
      <c r="H735" s="7">
        <v>408.55</v>
      </c>
      <c r="J735" s="7"/>
    </row>
    <row r="736" spans="6:10" ht="18.75" customHeight="1">
      <c r="F736" s="1">
        <v>43739</v>
      </c>
      <c r="G736">
        <f t="shared" si="12"/>
        <v>10</v>
      </c>
      <c r="H736" s="7">
        <v>408.43</v>
      </c>
      <c r="J736" s="7"/>
    </row>
    <row r="737" spans="6:10" ht="18.75" customHeight="1">
      <c r="F737" s="1">
        <v>43770</v>
      </c>
      <c r="G737">
        <f t="shared" si="12"/>
        <v>11</v>
      </c>
      <c r="H737" s="7">
        <v>410.29</v>
      </c>
      <c r="J737" s="7"/>
    </row>
    <row r="738" spans="6:10" ht="18.75" customHeight="1">
      <c r="F738" s="1">
        <v>43800</v>
      </c>
      <c r="G738">
        <f t="shared" si="12"/>
        <v>12</v>
      </c>
      <c r="H738" s="7">
        <v>411.85</v>
      </c>
      <c r="J738" s="7"/>
    </row>
    <row r="739" spans="6:10" ht="18.75" customHeight="1">
      <c r="F739" s="1">
        <v>43831</v>
      </c>
      <c r="G739">
        <f t="shared" si="12"/>
        <v>1</v>
      </c>
      <c r="H739" s="7">
        <v>413.37</v>
      </c>
      <c r="J739" s="7"/>
    </row>
    <row r="740" spans="6:10" ht="18.75" customHeight="1">
      <c r="F740" s="1">
        <v>43862</v>
      </c>
      <c r="G740">
        <f t="shared" si="12"/>
        <v>2</v>
      </c>
      <c r="H740" s="7">
        <v>414.09</v>
      </c>
      <c r="J740" s="7"/>
    </row>
    <row r="741" spans="6:10" ht="18.75" customHeight="1">
      <c r="F741" s="1">
        <v>43891</v>
      </c>
      <c r="G741">
        <f t="shared" si="12"/>
        <v>3</v>
      </c>
      <c r="H741" s="7">
        <v>414.51</v>
      </c>
      <c r="J741" s="7"/>
    </row>
    <row r="742" spans="6:10" ht="18.75" customHeight="1">
      <c r="F742" s="16">
        <v>43922</v>
      </c>
      <c r="G742" s="17">
        <f t="shared" si="12"/>
        <v>4</v>
      </c>
      <c r="H742" s="18">
        <v>416.18</v>
      </c>
      <c r="J742" s="7"/>
    </row>
    <row r="743" spans="6:10" ht="18.75" customHeight="1">
      <c r="F743" s="1">
        <v>43952</v>
      </c>
      <c r="G743">
        <f t="shared" si="12"/>
        <v>5</v>
      </c>
      <c r="J743" s="7"/>
    </row>
    <row r="744" spans="6:10" ht="18.75" customHeight="1">
      <c r="F744" s="1">
        <v>43983</v>
      </c>
      <c r="G744">
        <f t="shared" si="12"/>
        <v>6</v>
      </c>
      <c r="J744" s="7"/>
    </row>
    <row r="745" spans="6:10" ht="18.75" customHeight="1">
      <c r="F745" s="1">
        <v>44013</v>
      </c>
      <c r="G745">
        <f t="shared" si="12"/>
        <v>7</v>
      </c>
      <c r="J745" s="7"/>
    </row>
    <row r="746" spans="6:10" ht="18.75" customHeight="1">
      <c r="F746" s="1">
        <v>44044</v>
      </c>
      <c r="G746">
        <f t="shared" si="12"/>
        <v>8</v>
      </c>
      <c r="J746" s="7"/>
    </row>
    <row r="747" spans="6:10" ht="18.75" customHeight="1">
      <c r="F747" s="1">
        <v>44075</v>
      </c>
      <c r="G747">
        <f t="shared" si="12"/>
        <v>9</v>
      </c>
      <c r="J747" s="7"/>
    </row>
    <row r="748" spans="6:10" ht="18.75" customHeight="1">
      <c r="F748" s="1">
        <v>44105</v>
      </c>
      <c r="G748">
        <f t="shared" si="12"/>
        <v>10</v>
      </c>
      <c r="J748" s="7"/>
    </row>
    <row r="749" spans="6:10" ht="18.75" customHeight="1">
      <c r="F749" s="1">
        <v>44136</v>
      </c>
      <c r="G749">
        <f t="shared" si="12"/>
        <v>11</v>
      </c>
      <c r="J749" s="7"/>
    </row>
    <row r="750" spans="6:10" ht="18.75" customHeight="1">
      <c r="F750" s="1">
        <v>44166</v>
      </c>
      <c r="G750">
        <f t="shared" si="12"/>
        <v>12</v>
      </c>
      <c r="J750" s="7"/>
    </row>
    <row r="751" spans="6:10" ht="18.75" customHeight="1">
      <c r="F751" s="1">
        <v>44197</v>
      </c>
      <c r="G751">
        <f t="shared" si="12"/>
        <v>1</v>
      </c>
      <c r="J751" s="7"/>
    </row>
    <row r="752" spans="6:10" ht="18.75" customHeight="1">
      <c r="F752" s="1">
        <v>44228</v>
      </c>
      <c r="G752">
        <f t="shared" si="12"/>
        <v>2</v>
      </c>
      <c r="J752" s="7"/>
    </row>
    <row r="753" spans="6:10" ht="18.75" customHeight="1">
      <c r="F753" s="1">
        <v>44256</v>
      </c>
      <c r="G753">
        <f t="shared" si="12"/>
        <v>3</v>
      </c>
      <c r="J753" s="7"/>
    </row>
    <row r="754" spans="6:10" ht="18.75" customHeight="1">
      <c r="F754" s="1">
        <v>44287</v>
      </c>
      <c r="G754">
        <f t="shared" si="12"/>
        <v>4</v>
      </c>
      <c r="J754" s="7"/>
    </row>
    <row r="755" spans="6:10" ht="18.75" customHeight="1">
      <c r="F755" s="1">
        <v>44317</v>
      </c>
      <c r="G755">
        <f t="shared" si="12"/>
        <v>5</v>
      </c>
      <c r="J755" s="7"/>
    </row>
    <row r="756" spans="6:10" ht="18.75" customHeight="1">
      <c r="F756" s="1">
        <v>44348</v>
      </c>
      <c r="G756">
        <f t="shared" si="12"/>
        <v>6</v>
      </c>
      <c r="J756" s="7"/>
    </row>
    <row r="757" spans="6:10" ht="18.75" customHeight="1">
      <c r="F757" s="1">
        <v>44378</v>
      </c>
      <c r="G757">
        <f t="shared" si="12"/>
        <v>7</v>
      </c>
      <c r="J757" s="7"/>
    </row>
    <row r="758" spans="6:10" ht="18.75" customHeight="1">
      <c r="F758" s="1">
        <v>44409</v>
      </c>
      <c r="G758">
        <f t="shared" si="12"/>
        <v>8</v>
      </c>
      <c r="J758" s="7"/>
    </row>
    <row r="759" spans="6:10" ht="18.75" customHeight="1">
      <c r="F759" s="1">
        <v>44440</v>
      </c>
      <c r="G759">
        <f t="shared" si="12"/>
        <v>9</v>
      </c>
      <c r="J759" s="7"/>
    </row>
    <row r="760" spans="6:10" ht="18.75" customHeight="1">
      <c r="F760" s="1">
        <v>44470</v>
      </c>
      <c r="G760">
        <f t="shared" si="12"/>
        <v>10</v>
      </c>
      <c r="J760" s="7"/>
    </row>
    <row r="761" spans="6:10" ht="18.75" customHeight="1">
      <c r="F761" s="1">
        <v>44501</v>
      </c>
      <c r="G761">
        <f t="shared" si="12"/>
        <v>11</v>
      </c>
      <c r="J761" s="7"/>
    </row>
    <row r="762" spans="6:10" ht="18.75" customHeight="1">
      <c r="F762" s="1">
        <v>44531</v>
      </c>
      <c r="G762">
        <f t="shared" si="12"/>
        <v>12</v>
      </c>
      <c r="J762" s="7"/>
    </row>
    <row r="763" spans="6:10" ht="18.75" customHeight="1">
      <c r="F763" s="1">
        <v>44562</v>
      </c>
      <c r="G763">
        <f t="shared" si="12"/>
        <v>1</v>
      </c>
      <c r="J763" s="7"/>
    </row>
    <row r="764" spans="6:10" ht="18.75" customHeight="1">
      <c r="F764" s="1">
        <v>44593</v>
      </c>
      <c r="G764">
        <f t="shared" si="12"/>
        <v>2</v>
      </c>
      <c r="J764" s="7"/>
    </row>
    <row r="765" spans="6:10" ht="18.75" customHeight="1">
      <c r="F765" s="1">
        <v>44621</v>
      </c>
      <c r="G765">
        <f t="shared" si="12"/>
        <v>3</v>
      </c>
      <c r="J765" s="7"/>
    </row>
    <row r="766" spans="6:10" ht="18.75" customHeight="1">
      <c r="F766" s="1">
        <v>44652</v>
      </c>
      <c r="G766">
        <f t="shared" si="12"/>
        <v>4</v>
      </c>
      <c r="J766" s="7"/>
    </row>
    <row r="767" spans="6:10" ht="18.75" customHeight="1">
      <c r="F767" s="1">
        <v>44682</v>
      </c>
      <c r="G767">
        <f t="shared" si="12"/>
        <v>5</v>
      </c>
      <c r="J767" s="7"/>
    </row>
    <row r="768" spans="6:10" ht="18.75" customHeight="1">
      <c r="F768" s="1">
        <v>44713</v>
      </c>
      <c r="G768">
        <f t="shared" si="12"/>
        <v>6</v>
      </c>
      <c r="J768" s="7"/>
    </row>
    <row r="769" spans="6:10" ht="18.75" customHeight="1">
      <c r="F769" s="1">
        <v>44743</v>
      </c>
      <c r="G769">
        <f t="shared" si="12"/>
        <v>7</v>
      </c>
      <c r="J769" s="7"/>
    </row>
    <row r="770" spans="6:10" ht="18.75" customHeight="1">
      <c r="F770" s="1">
        <v>44774</v>
      </c>
      <c r="G770">
        <f t="shared" si="12"/>
        <v>8</v>
      </c>
      <c r="J770" s="7"/>
    </row>
    <row r="771" spans="6:10" ht="18.75" customHeight="1">
      <c r="F771" s="1">
        <v>44805</v>
      </c>
      <c r="G771">
        <f t="shared" ref="G771:G834" si="13">MONTH(F771)</f>
        <v>9</v>
      </c>
      <c r="J771" s="7"/>
    </row>
    <row r="772" spans="6:10" ht="18.75" customHeight="1">
      <c r="F772" s="1">
        <v>44835</v>
      </c>
      <c r="G772">
        <f t="shared" si="13"/>
        <v>10</v>
      </c>
      <c r="J772" s="7"/>
    </row>
    <row r="773" spans="6:10" ht="18.75" customHeight="1">
      <c r="F773" s="1">
        <v>44866</v>
      </c>
      <c r="G773">
        <f t="shared" si="13"/>
        <v>11</v>
      </c>
      <c r="J773" s="7"/>
    </row>
    <row r="774" spans="6:10" ht="18.75" customHeight="1">
      <c r="F774" s="1">
        <v>44896</v>
      </c>
      <c r="G774">
        <f t="shared" si="13"/>
        <v>12</v>
      </c>
      <c r="J774" s="7"/>
    </row>
    <row r="775" spans="6:10" ht="18.75" customHeight="1">
      <c r="F775" s="1">
        <v>44927</v>
      </c>
      <c r="G775">
        <f t="shared" si="13"/>
        <v>1</v>
      </c>
      <c r="J775" s="7"/>
    </row>
    <row r="776" spans="6:10" ht="18.75" customHeight="1">
      <c r="F776" s="1">
        <v>44958</v>
      </c>
      <c r="G776">
        <f t="shared" si="13"/>
        <v>2</v>
      </c>
      <c r="J776" s="7"/>
    </row>
    <row r="777" spans="6:10" ht="18.75" customHeight="1">
      <c r="F777" s="1">
        <v>44986</v>
      </c>
      <c r="G777">
        <f t="shared" si="13"/>
        <v>3</v>
      </c>
      <c r="J777" s="7"/>
    </row>
    <row r="778" spans="6:10" ht="18.75" customHeight="1">
      <c r="F778" s="1">
        <v>45017</v>
      </c>
      <c r="G778">
        <f t="shared" si="13"/>
        <v>4</v>
      </c>
      <c r="J778" s="7"/>
    </row>
    <row r="779" spans="6:10" ht="18.75" customHeight="1">
      <c r="F779" s="1">
        <v>45047</v>
      </c>
      <c r="G779">
        <f t="shared" si="13"/>
        <v>5</v>
      </c>
      <c r="J779" s="7"/>
    </row>
    <row r="780" spans="6:10" ht="18.75" customHeight="1">
      <c r="F780" s="1">
        <v>45078</v>
      </c>
      <c r="G780">
        <f t="shared" si="13"/>
        <v>6</v>
      </c>
      <c r="J780" s="7"/>
    </row>
    <row r="781" spans="6:10" ht="18.75" customHeight="1">
      <c r="F781" s="1">
        <v>45108</v>
      </c>
      <c r="G781">
        <f t="shared" si="13"/>
        <v>7</v>
      </c>
      <c r="J781" s="7"/>
    </row>
    <row r="782" spans="6:10" ht="18.75" customHeight="1">
      <c r="F782" s="1">
        <v>45139</v>
      </c>
      <c r="G782">
        <f t="shared" si="13"/>
        <v>8</v>
      </c>
      <c r="J782" s="7"/>
    </row>
    <row r="783" spans="6:10" ht="18.75" customHeight="1">
      <c r="F783" s="1">
        <v>45170</v>
      </c>
      <c r="G783">
        <f t="shared" si="13"/>
        <v>9</v>
      </c>
      <c r="J783" s="7"/>
    </row>
    <row r="784" spans="6:10" ht="18.75" customHeight="1">
      <c r="F784" s="1">
        <v>45200</v>
      </c>
      <c r="G784">
        <f t="shared" si="13"/>
        <v>10</v>
      </c>
      <c r="J784" s="7"/>
    </row>
    <row r="785" spans="6:10" ht="18.75" customHeight="1">
      <c r="F785" s="1">
        <v>45231</v>
      </c>
      <c r="G785">
        <f t="shared" si="13"/>
        <v>11</v>
      </c>
      <c r="J785" s="7"/>
    </row>
    <row r="786" spans="6:10" ht="18.75" customHeight="1">
      <c r="F786" s="1">
        <v>45261</v>
      </c>
      <c r="G786">
        <f t="shared" si="13"/>
        <v>12</v>
      </c>
      <c r="J786" s="7"/>
    </row>
    <row r="787" spans="6:10" ht="18.75" customHeight="1">
      <c r="F787" s="1">
        <v>45292</v>
      </c>
      <c r="G787">
        <f t="shared" si="13"/>
        <v>1</v>
      </c>
      <c r="J787" s="7"/>
    </row>
    <row r="788" spans="6:10" ht="18.75" customHeight="1">
      <c r="F788" s="1">
        <v>45323</v>
      </c>
      <c r="G788">
        <f t="shared" si="13"/>
        <v>2</v>
      </c>
      <c r="J788" s="7"/>
    </row>
    <row r="789" spans="6:10" ht="18.75" customHeight="1">
      <c r="F789" s="1">
        <v>45352</v>
      </c>
      <c r="G789">
        <f t="shared" si="13"/>
        <v>3</v>
      </c>
      <c r="J789" s="7"/>
    </row>
    <row r="790" spans="6:10" ht="18.75" customHeight="1">
      <c r="F790" s="1">
        <v>45383</v>
      </c>
      <c r="G790">
        <f t="shared" si="13"/>
        <v>4</v>
      </c>
      <c r="J790" s="7"/>
    </row>
    <row r="791" spans="6:10" ht="18.75" customHeight="1">
      <c r="F791" s="1">
        <v>45413</v>
      </c>
      <c r="G791">
        <f t="shared" si="13"/>
        <v>5</v>
      </c>
      <c r="J791" s="7"/>
    </row>
    <row r="792" spans="6:10" ht="18.75" customHeight="1">
      <c r="F792" s="1">
        <v>45444</v>
      </c>
      <c r="G792">
        <f t="shared" si="13"/>
        <v>6</v>
      </c>
      <c r="J792" s="7"/>
    </row>
    <row r="793" spans="6:10" ht="18.75" customHeight="1">
      <c r="F793" s="1">
        <v>45474</v>
      </c>
      <c r="G793">
        <f t="shared" si="13"/>
        <v>7</v>
      </c>
      <c r="J793" s="7"/>
    </row>
    <row r="794" spans="6:10" ht="18.75" customHeight="1">
      <c r="F794" s="1">
        <v>45505</v>
      </c>
      <c r="G794">
        <f t="shared" si="13"/>
        <v>8</v>
      </c>
      <c r="J794" s="7"/>
    </row>
    <row r="795" spans="6:10" ht="18.75" customHeight="1">
      <c r="F795" s="1">
        <v>45536</v>
      </c>
      <c r="G795">
        <f t="shared" si="13"/>
        <v>9</v>
      </c>
      <c r="J795" s="7"/>
    </row>
    <row r="796" spans="6:10" ht="18.75" customHeight="1">
      <c r="F796" s="1">
        <v>45566</v>
      </c>
      <c r="G796">
        <f t="shared" si="13"/>
        <v>10</v>
      </c>
      <c r="J796" s="7"/>
    </row>
    <row r="797" spans="6:10" ht="18.75" customHeight="1">
      <c r="F797" s="1">
        <v>45597</v>
      </c>
      <c r="G797">
        <f t="shared" si="13"/>
        <v>11</v>
      </c>
      <c r="J797" s="7"/>
    </row>
    <row r="798" spans="6:10" ht="18.75" customHeight="1">
      <c r="F798" s="1">
        <v>45627</v>
      </c>
      <c r="G798">
        <f t="shared" si="13"/>
        <v>12</v>
      </c>
      <c r="J798" s="7"/>
    </row>
    <row r="799" spans="6:10" ht="18.75" customHeight="1">
      <c r="F799" s="1">
        <v>45658</v>
      </c>
      <c r="G799">
        <f t="shared" si="13"/>
        <v>1</v>
      </c>
      <c r="J799" s="7"/>
    </row>
    <row r="800" spans="6:10" ht="18.75" customHeight="1">
      <c r="F800" s="1">
        <v>45689</v>
      </c>
      <c r="G800">
        <f t="shared" si="13"/>
        <v>2</v>
      </c>
      <c r="J800" s="7"/>
    </row>
    <row r="801" spans="6:10" ht="18.75" customHeight="1">
      <c r="F801" s="1">
        <v>45717</v>
      </c>
      <c r="G801">
        <f t="shared" si="13"/>
        <v>3</v>
      </c>
      <c r="J801" s="7"/>
    </row>
    <row r="802" spans="6:10" ht="18.75" customHeight="1">
      <c r="F802" s="1">
        <v>45748</v>
      </c>
      <c r="G802">
        <f t="shared" si="13"/>
        <v>4</v>
      </c>
      <c r="J802" s="7"/>
    </row>
    <row r="803" spans="6:10" ht="18.75" customHeight="1">
      <c r="F803" s="1">
        <v>45778</v>
      </c>
      <c r="G803">
        <f t="shared" si="13"/>
        <v>5</v>
      </c>
      <c r="J803" s="7"/>
    </row>
    <row r="804" spans="6:10" ht="18.75" customHeight="1">
      <c r="F804" s="1">
        <v>45809</v>
      </c>
      <c r="G804">
        <f t="shared" si="13"/>
        <v>6</v>
      </c>
      <c r="J804" s="7"/>
    </row>
    <row r="805" spans="6:10" ht="18.75" customHeight="1">
      <c r="F805" s="1">
        <v>45839</v>
      </c>
      <c r="G805">
        <f t="shared" si="13"/>
        <v>7</v>
      </c>
      <c r="J805" s="7"/>
    </row>
    <row r="806" spans="6:10" ht="18.75" customHeight="1">
      <c r="F806" s="1">
        <v>45870</v>
      </c>
      <c r="G806">
        <f t="shared" si="13"/>
        <v>8</v>
      </c>
      <c r="J806" s="7"/>
    </row>
    <row r="807" spans="6:10" ht="18.75" customHeight="1">
      <c r="F807" s="1">
        <v>45901</v>
      </c>
      <c r="G807">
        <f t="shared" si="13"/>
        <v>9</v>
      </c>
      <c r="J807" s="7"/>
    </row>
    <row r="808" spans="6:10" ht="18.75" customHeight="1">
      <c r="F808" s="1">
        <v>45931</v>
      </c>
      <c r="G808">
        <f t="shared" si="13"/>
        <v>10</v>
      </c>
      <c r="J808" s="7"/>
    </row>
    <row r="809" spans="6:10" ht="18.75" customHeight="1">
      <c r="F809" s="1">
        <v>45962</v>
      </c>
      <c r="G809">
        <f t="shared" si="13"/>
        <v>11</v>
      </c>
      <c r="J809" s="7"/>
    </row>
    <row r="810" spans="6:10" ht="18.75" customHeight="1">
      <c r="F810" s="1">
        <v>45992</v>
      </c>
      <c r="G810">
        <f t="shared" si="13"/>
        <v>12</v>
      </c>
      <c r="J810" s="7"/>
    </row>
    <row r="811" spans="6:10" ht="18.75" customHeight="1">
      <c r="F811" s="1">
        <v>46023</v>
      </c>
      <c r="G811">
        <f t="shared" si="13"/>
        <v>1</v>
      </c>
      <c r="J811" s="7"/>
    </row>
    <row r="812" spans="6:10" ht="18.75" customHeight="1">
      <c r="F812" s="1">
        <v>46054</v>
      </c>
      <c r="G812">
        <f t="shared" si="13"/>
        <v>2</v>
      </c>
      <c r="J812" s="7"/>
    </row>
    <row r="813" spans="6:10" ht="18.75" customHeight="1">
      <c r="F813" s="1">
        <v>46082</v>
      </c>
      <c r="G813">
        <f t="shared" si="13"/>
        <v>3</v>
      </c>
      <c r="J813" s="7"/>
    </row>
    <row r="814" spans="6:10" ht="18.75" customHeight="1">
      <c r="F814" s="1">
        <v>46113</v>
      </c>
      <c r="G814">
        <f t="shared" si="13"/>
        <v>4</v>
      </c>
      <c r="J814" s="7"/>
    </row>
    <row r="815" spans="6:10" ht="18.75" customHeight="1">
      <c r="F815" s="1">
        <v>46143</v>
      </c>
      <c r="G815">
        <f t="shared" si="13"/>
        <v>5</v>
      </c>
      <c r="J815" s="7"/>
    </row>
    <row r="816" spans="6:10" ht="18.75" customHeight="1">
      <c r="F816" s="1">
        <v>46174</v>
      </c>
      <c r="G816">
        <f t="shared" si="13"/>
        <v>6</v>
      </c>
      <c r="J816" s="7"/>
    </row>
    <row r="817" spans="6:10" ht="18.75" customHeight="1">
      <c r="F817" s="1">
        <v>46204</v>
      </c>
      <c r="G817">
        <f t="shared" si="13"/>
        <v>7</v>
      </c>
      <c r="J817" s="7"/>
    </row>
    <row r="818" spans="6:10" ht="18.75" customHeight="1">
      <c r="F818" s="1">
        <v>46235</v>
      </c>
      <c r="G818">
        <f t="shared" si="13"/>
        <v>8</v>
      </c>
      <c r="J818" s="7"/>
    </row>
    <row r="819" spans="6:10" ht="18.75" customHeight="1">
      <c r="F819" s="1">
        <v>46266</v>
      </c>
      <c r="G819">
        <f t="shared" si="13"/>
        <v>9</v>
      </c>
      <c r="J819" s="7"/>
    </row>
    <row r="820" spans="6:10" ht="18.75" customHeight="1">
      <c r="F820" s="1">
        <v>46296</v>
      </c>
      <c r="G820">
        <f t="shared" si="13"/>
        <v>10</v>
      </c>
      <c r="J820" s="7"/>
    </row>
    <row r="821" spans="6:10" ht="18.75" customHeight="1">
      <c r="F821" s="1">
        <v>46327</v>
      </c>
      <c r="G821">
        <f t="shared" si="13"/>
        <v>11</v>
      </c>
      <c r="J821" s="7"/>
    </row>
    <row r="822" spans="6:10" ht="18.75" customHeight="1">
      <c r="F822" s="1">
        <v>46357</v>
      </c>
      <c r="G822">
        <f t="shared" si="13"/>
        <v>12</v>
      </c>
      <c r="J822" s="7"/>
    </row>
    <row r="823" spans="6:10" ht="18.75" customHeight="1">
      <c r="F823" s="1">
        <v>46388</v>
      </c>
      <c r="G823">
        <f t="shared" si="13"/>
        <v>1</v>
      </c>
      <c r="J823" s="7"/>
    </row>
    <row r="824" spans="6:10" ht="18.75" customHeight="1">
      <c r="F824" s="1">
        <v>46419</v>
      </c>
      <c r="G824">
        <f t="shared" si="13"/>
        <v>2</v>
      </c>
      <c r="J824" s="7"/>
    </row>
    <row r="825" spans="6:10" ht="18.75" customHeight="1">
      <c r="F825" s="1">
        <v>46447</v>
      </c>
      <c r="G825">
        <f t="shared" si="13"/>
        <v>3</v>
      </c>
      <c r="J825" s="7"/>
    </row>
    <row r="826" spans="6:10" ht="18.75" customHeight="1">
      <c r="F826" s="1">
        <v>46478</v>
      </c>
      <c r="G826">
        <f t="shared" si="13"/>
        <v>4</v>
      </c>
      <c r="J826" s="7"/>
    </row>
    <row r="827" spans="6:10" ht="18.75" customHeight="1">
      <c r="F827" s="1">
        <v>46508</v>
      </c>
      <c r="G827">
        <f t="shared" si="13"/>
        <v>5</v>
      </c>
      <c r="J827" s="7"/>
    </row>
    <row r="828" spans="6:10" ht="18.75" customHeight="1">
      <c r="F828" s="1">
        <v>46539</v>
      </c>
      <c r="G828">
        <f t="shared" si="13"/>
        <v>6</v>
      </c>
      <c r="J828" s="7"/>
    </row>
    <row r="829" spans="6:10" ht="18.75" customHeight="1">
      <c r="F829" s="1">
        <v>46569</v>
      </c>
      <c r="G829">
        <f t="shared" si="13"/>
        <v>7</v>
      </c>
      <c r="J829" s="7"/>
    </row>
    <row r="830" spans="6:10" ht="18.75" customHeight="1">
      <c r="F830" s="1">
        <v>46600</v>
      </c>
      <c r="G830">
        <f t="shared" si="13"/>
        <v>8</v>
      </c>
      <c r="J830" s="7"/>
    </row>
    <row r="831" spans="6:10" ht="18.75" customHeight="1">
      <c r="F831" s="1">
        <v>46631</v>
      </c>
      <c r="G831">
        <f t="shared" si="13"/>
        <v>9</v>
      </c>
      <c r="J831" s="7"/>
    </row>
    <row r="832" spans="6:10" ht="18.75" customHeight="1">
      <c r="F832" s="1">
        <v>46661</v>
      </c>
      <c r="G832">
        <f t="shared" si="13"/>
        <v>10</v>
      </c>
      <c r="J832" s="7"/>
    </row>
    <row r="833" spans="6:10" ht="18.75" customHeight="1">
      <c r="F833" s="1">
        <v>46692</v>
      </c>
      <c r="G833">
        <f t="shared" si="13"/>
        <v>11</v>
      </c>
      <c r="J833" s="7"/>
    </row>
    <row r="834" spans="6:10" ht="18.75" customHeight="1">
      <c r="F834" s="1">
        <v>46722</v>
      </c>
      <c r="G834">
        <f t="shared" si="13"/>
        <v>12</v>
      </c>
      <c r="J834" s="7"/>
    </row>
    <row r="835" spans="6:10" ht="18.75" customHeight="1">
      <c r="F835" s="1">
        <v>46753</v>
      </c>
      <c r="G835">
        <f t="shared" ref="G835:G898" si="14">MONTH(F835)</f>
        <v>1</v>
      </c>
      <c r="J835" s="7"/>
    </row>
    <row r="836" spans="6:10" ht="18.75" customHeight="1">
      <c r="F836" s="1">
        <v>46784</v>
      </c>
      <c r="G836">
        <f t="shared" si="14"/>
        <v>2</v>
      </c>
      <c r="J836" s="7"/>
    </row>
    <row r="837" spans="6:10" ht="18.75" customHeight="1">
      <c r="F837" s="1">
        <v>46813</v>
      </c>
      <c r="G837">
        <f t="shared" si="14"/>
        <v>3</v>
      </c>
      <c r="J837" s="7"/>
    </row>
    <row r="838" spans="6:10" ht="18.75" customHeight="1">
      <c r="F838" s="1">
        <v>46844</v>
      </c>
      <c r="G838">
        <f t="shared" si="14"/>
        <v>4</v>
      </c>
      <c r="J838" s="7"/>
    </row>
    <row r="839" spans="6:10" ht="18.75" customHeight="1">
      <c r="F839" s="1">
        <v>46874</v>
      </c>
      <c r="G839">
        <f t="shared" si="14"/>
        <v>5</v>
      </c>
      <c r="J839" s="7"/>
    </row>
    <row r="840" spans="6:10" ht="18.75" customHeight="1">
      <c r="F840" s="1">
        <v>46905</v>
      </c>
      <c r="G840">
        <f t="shared" si="14"/>
        <v>6</v>
      </c>
      <c r="J840" s="7"/>
    </row>
    <row r="841" spans="6:10" ht="18.75" customHeight="1">
      <c r="F841" s="1">
        <v>46935</v>
      </c>
      <c r="G841">
        <f t="shared" si="14"/>
        <v>7</v>
      </c>
      <c r="J841" s="7"/>
    </row>
    <row r="842" spans="6:10" ht="18.75" customHeight="1">
      <c r="F842" s="1">
        <v>46966</v>
      </c>
      <c r="G842">
        <f t="shared" si="14"/>
        <v>8</v>
      </c>
      <c r="J842" s="7"/>
    </row>
    <row r="843" spans="6:10" ht="18.75" customHeight="1">
      <c r="F843" s="1">
        <v>46997</v>
      </c>
      <c r="G843">
        <f t="shared" si="14"/>
        <v>9</v>
      </c>
      <c r="J843" s="7"/>
    </row>
    <row r="844" spans="6:10" ht="18.75" customHeight="1">
      <c r="F844" s="1">
        <v>47027</v>
      </c>
      <c r="G844">
        <f t="shared" si="14"/>
        <v>10</v>
      </c>
      <c r="J844" s="7"/>
    </row>
    <row r="845" spans="6:10" ht="18.75" customHeight="1">
      <c r="F845" s="1">
        <v>47058</v>
      </c>
      <c r="G845">
        <f t="shared" si="14"/>
        <v>11</v>
      </c>
      <c r="J845" s="7"/>
    </row>
    <row r="846" spans="6:10" ht="18.75" customHeight="1">
      <c r="F846" s="1">
        <v>47088</v>
      </c>
      <c r="G846">
        <f t="shared" si="14"/>
        <v>12</v>
      </c>
      <c r="J846" s="7"/>
    </row>
    <row r="847" spans="6:10" ht="18.75" customHeight="1">
      <c r="F847" s="1">
        <v>47119</v>
      </c>
      <c r="G847">
        <f t="shared" si="14"/>
        <v>1</v>
      </c>
      <c r="J847" s="7"/>
    </row>
    <row r="848" spans="6:10" ht="18.75" customHeight="1">
      <c r="F848" s="1">
        <v>47150</v>
      </c>
      <c r="G848">
        <f t="shared" si="14"/>
        <v>2</v>
      </c>
      <c r="J848" s="7"/>
    </row>
    <row r="849" spans="6:10" ht="18.75" customHeight="1">
      <c r="F849" s="1">
        <v>47178</v>
      </c>
      <c r="G849">
        <f t="shared" si="14"/>
        <v>3</v>
      </c>
      <c r="J849" s="7"/>
    </row>
    <row r="850" spans="6:10" ht="18.75" customHeight="1">
      <c r="F850" s="1">
        <v>47209</v>
      </c>
      <c r="G850">
        <f t="shared" si="14"/>
        <v>4</v>
      </c>
      <c r="J850" s="7"/>
    </row>
    <row r="851" spans="6:10" ht="18.75" customHeight="1">
      <c r="F851" s="1">
        <v>47239</v>
      </c>
      <c r="G851">
        <f t="shared" si="14"/>
        <v>5</v>
      </c>
      <c r="J851" s="7"/>
    </row>
    <row r="852" spans="6:10" ht="18.75" customHeight="1">
      <c r="F852" s="1">
        <v>47270</v>
      </c>
      <c r="G852">
        <f t="shared" si="14"/>
        <v>6</v>
      </c>
      <c r="J852" s="7"/>
    </row>
    <row r="853" spans="6:10" ht="18.75" customHeight="1">
      <c r="F853" s="1">
        <v>47300</v>
      </c>
      <c r="G853">
        <f t="shared" si="14"/>
        <v>7</v>
      </c>
      <c r="J853" s="7"/>
    </row>
    <row r="854" spans="6:10" ht="18.75" customHeight="1">
      <c r="F854" s="1">
        <v>47331</v>
      </c>
      <c r="G854">
        <f t="shared" si="14"/>
        <v>8</v>
      </c>
      <c r="J854" s="7"/>
    </row>
    <row r="855" spans="6:10" ht="18.75" customHeight="1">
      <c r="F855" s="1">
        <v>47362</v>
      </c>
      <c r="G855">
        <f t="shared" si="14"/>
        <v>9</v>
      </c>
      <c r="J855" s="7"/>
    </row>
    <row r="856" spans="6:10" ht="18.75" customHeight="1">
      <c r="F856" s="1">
        <v>47392</v>
      </c>
      <c r="G856">
        <f t="shared" si="14"/>
        <v>10</v>
      </c>
      <c r="J856" s="7"/>
    </row>
    <row r="857" spans="6:10" ht="18.75" customHeight="1">
      <c r="F857" s="1">
        <v>47423</v>
      </c>
      <c r="G857">
        <f t="shared" si="14"/>
        <v>11</v>
      </c>
      <c r="J857" s="7"/>
    </row>
    <row r="858" spans="6:10" ht="18.75" customHeight="1">
      <c r="F858" s="1">
        <v>47453</v>
      </c>
      <c r="G858">
        <f t="shared" si="14"/>
        <v>12</v>
      </c>
      <c r="J858" s="7"/>
    </row>
    <row r="859" spans="6:10" ht="18.75" customHeight="1">
      <c r="F859" s="1">
        <v>47484</v>
      </c>
      <c r="G859">
        <f t="shared" si="14"/>
        <v>1</v>
      </c>
      <c r="J859" s="7"/>
    </row>
    <row r="860" spans="6:10" ht="18.75" customHeight="1">
      <c r="F860" s="1">
        <v>47515</v>
      </c>
      <c r="G860">
        <f t="shared" si="14"/>
        <v>2</v>
      </c>
      <c r="J860" s="7"/>
    </row>
    <row r="861" spans="6:10" ht="18.75" customHeight="1">
      <c r="F861" s="1">
        <v>47543</v>
      </c>
      <c r="G861">
        <f t="shared" si="14"/>
        <v>3</v>
      </c>
      <c r="J861" s="7"/>
    </row>
    <row r="862" spans="6:10" ht="18.75" customHeight="1">
      <c r="F862" s="1">
        <v>47574</v>
      </c>
      <c r="G862">
        <f t="shared" si="14"/>
        <v>4</v>
      </c>
      <c r="J862" s="7"/>
    </row>
    <row r="863" spans="6:10" ht="18.75" customHeight="1">
      <c r="F863" s="1">
        <v>47604</v>
      </c>
      <c r="G863">
        <f t="shared" si="14"/>
        <v>5</v>
      </c>
      <c r="J863" s="7"/>
    </row>
    <row r="864" spans="6:10" ht="18.75" customHeight="1">
      <c r="F864" s="1">
        <v>47635</v>
      </c>
      <c r="G864">
        <f t="shared" si="14"/>
        <v>6</v>
      </c>
      <c r="J864" s="7"/>
    </row>
    <row r="865" spans="6:10" ht="18.75" customHeight="1">
      <c r="F865" s="1">
        <v>47665</v>
      </c>
      <c r="G865">
        <f t="shared" si="14"/>
        <v>7</v>
      </c>
      <c r="J865" s="7"/>
    </row>
    <row r="866" spans="6:10" ht="18.75" customHeight="1">
      <c r="F866" s="1">
        <v>47696</v>
      </c>
      <c r="G866">
        <f t="shared" si="14"/>
        <v>8</v>
      </c>
      <c r="J866" s="7"/>
    </row>
    <row r="867" spans="6:10" ht="18.75" customHeight="1">
      <c r="F867" s="1">
        <v>47727</v>
      </c>
      <c r="G867">
        <f t="shared" si="14"/>
        <v>9</v>
      </c>
      <c r="J867" s="7"/>
    </row>
    <row r="868" spans="6:10" ht="18.75" customHeight="1">
      <c r="F868" s="1">
        <v>47757</v>
      </c>
      <c r="G868">
        <f t="shared" si="14"/>
        <v>10</v>
      </c>
      <c r="J868" s="7"/>
    </row>
    <row r="869" spans="6:10" ht="18.75" customHeight="1">
      <c r="F869" s="1">
        <v>47788</v>
      </c>
      <c r="G869">
        <f t="shared" si="14"/>
        <v>11</v>
      </c>
      <c r="J869" s="7"/>
    </row>
    <row r="870" spans="6:10" ht="18.75" customHeight="1">
      <c r="F870" s="1">
        <v>47818</v>
      </c>
      <c r="G870">
        <f t="shared" si="14"/>
        <v>12</v>
      </c>
      <c r="J870" s="7"/>
    </row>
    <row r="871" spans="6:10" ht="18.75" customHeight="1">
      <c r="F871" s="1">
        <v>47849</v>
      </c>
      <c r="G871">
        <f t="shared" si="14"/>
        <v>1</v>
      </c>
      <c r="J871" s="7"/>
    </row>
    <row r="872" spans="6:10" ht="18.75" customHeight="1">
      <c r="F872" s="1">
        <v>47880</v>
      </c>
      <c r="G872">
        <f t="shared" si="14"/>
        <v>2</v>
      </c>
      <c r="J872" s="7"/>
    </row>
    <row r="873" spans="6:10" ht="18.75" customHeight="1">
      <c r="F873" s="1">
        <v>47908</v>
      </c>
      <c r="G873">
        <f t="shared" si="14"/>
        <v>3</v>
      </c>
      <c r="J873" s="7"/>
    </row>
    <row r="874" spans="6:10" ht="18.75" customHeight="1">
      <c r="F874" s="1">
        <v>47939</v>
      </c>
      <c r="G874">
        <f t="shared" si="14"/>
        <v>4</v>
      </c>
      <c r="J874" s="7"/>
    </row>
    <row r="875" spans="6:10" ht="18.75" customHeight="1">
      <c r="F875" s="1">
        <v>47969</v>
      </c>
      <c r="G875">
        <f t="shared" si="14"/>
        <v>5</v>
      </c>
      <c r="J875" s="7"/>
    </row>
    <row r="876" spans="6:10" ht="18.75" customHeight="1">
      <c r="F876" s="1">
        <v>48000</v>
      </c>
      <c r="G876">
        <f t="shared" si="14"/>
        <v>6</v>
      </c>
      <c r="J876" s="7"/>
    </row>
    <row r="877" spans="6:10" ht="18.75" customHeight="1">
      <c r="F877" s="1">
        <v>48030</v>
      </c>
      <c r="G877">
        <f t="shared" si="14"/>
        <v>7</v>
      </c>
      <c r="J877" s="7"/>
    </row>
    <row r="878" spans="6:10" ht="18.75" customHeight="1">
      <c r="F878" s="1">
        <v>48061</v>
      </c>
      <c r="G878">
        <f t="shared" si="14"/>
        <v>8</v>
      </c>
      <c r="J878" s="7"/>
    </row>
    <row r="879" spans="6:10" ht="18.75" customHeight="1">
      <c r="F879" s="1">
        <v>48092</v>
      </c>
      <c r="G879">
        <f t="shared" si="14"/>
        <v>9</v>
      </c>
      <c r="J879" s="7"/>
    </row>
    <row r="880" spans="6:10" ht="18.75" customHeight="1">
      <c r="F880" s="1">
        <v>48122</v>
      </c>
      <c r="G880">
        <f t="shared" si="14"/>
        <v>10</v>
      </c>
      <c r="J880" s="7"/>
    </row>
    <row r="881" spans="6:10" ht="18.75" customHeight="1">
      <c r="F881" s="1">
        <v>48153</v>
      </c>
      <c r="G881">
        <f t="shared" si="14"/>
        <v>11</v>
      </c>
      <c r="J881" s="7"/>
    </row>
    <row r="882" spans="6:10" ht="18.75" customHeight="1">
      <c r="F882" s="1">
        <v>48183</v>
      </c>
      <c r="G882">
        <f t="shared" si="14"/>
        <v>12</v>
      </c>
      <c r="J882" s="7"/>
    </row>
    <row r="883" spans="6:10" ht="18.75" customHeight="1">
      <c r="F883" s="1">
        <v>48214</v>
      </c>
      <c r="G883">
        <f t="shared" si="14"/>
        <v>1</v>
      </c>
      <c r="J883" s="7"/>
    </row>
    <row r="884" spans="6:10" ht="18.75" customHeight="1">
      <c r="F884" s="1">
        <v>48245</v>
      </c>
      <c r="G884">
        <f t="shared" si="14"/>
        <v>2</v>
      </c>
      <c r="J884" s="7"/>
    </row>
    <row r="885" spans="6:10" ht="18.75" customHeight="1">
      <c r="F885" s="1">
        <v>48274</v>
      </c>
      <c r="G885">
        <f t="shared" si="14"/>
        <v>3</v>
      </c>
      <c r="J885" s="7"/>
    </row>
    <row r="886" spans="6:10" ht="18.75" customHeight="1">
      <c r="F886" s="1">
        <v>48305</v>
      </c>
      <c r="G886">
        <f t="shared" si="14"/>
        <v>4</v>
      </c>
      <c r="J886" s="7"/>
    </row>
    <row r="887" spans="6:10" ht="18.75" customHeight="1">
      <c r="F887" s="1">
        <v>48335</v>
      </c>
      <c r="G887">
        <f t="shared" si="14"/>
        <v>5</v>
      </c>
      <c r="J887" s="7"/>
    </row>
    <row r="888" spans="6:10" ht="18.75" customHeight="1">
      <c r="F888" s="1">
        <v>48366</v>
      </c>
      <c r="G888">
        <f t="shared" si="14"/>
        <v>6</v>
      </c>
      <c r="J888" s="7"/>
    </row>
    <row r="889" spans="6:10" ht="18.75" customHeight="1">
      <c r="F889" s="1">
        <v>48396</v>
      </c>
      <c r="G889">
        <f t="shared" si="14"/>
        <v>7</v>
      </c>
      <c r="J889" s="7"/>
    </row>
    <row r="890" spans="6:10" ht="18.75" customHeight="1">
      <c r="F890" s="1">
        <v>48427</v>
      </c>
      <c r="G890">
        <f t="shared" si="14"/>
        <v>8</v>
      </c>
      <c r="J890" s="7"/>
    </row>
    <row r="891" spans="6:10" ht="18.75" customHeight="1">
      <c r="F891" s="1">
        <v>48458</v>
      </c>
      <c r="G891">
        <f t="shared" si="14"/>
        <v>9</v>
      </c>
      <c r="J891" s="7"/>
    </row>
    <row r="892" spans="6:10" ht="18.75" customHeight="1">
      <c r="F892" s="1">
        <v>48488</v>
      </c>
      <c r="G892">
        <f t="shared" si="14"/>
        <v>10</v>
      </c>
      <c r="J892" s="7"/>
    </row>
    <row r="893" spans="6:10" ht="18.75" customHeight="1">
      <c r="F893" s="1">
        <v>48519</v>
      </c>
      <c r="G893">
        <f t="shared" si="14"/>
        <v>11</v>
      </c>
      <c r="J893" s="7"/>
    </row>
    <row r="894" spans="6:10" ht="18.75" customHeight="1">
      <c r="F894" s="1">
        <v>48549</v>
      </c>
      <c r="G894">
        <f t="shared" si="14"/>
        <v>12</v>
      </c>
      <c r="J894" s="7"/>
    </row>
    <row r="895" spans="6:10" ht="18.75" customHeight="1">
      <c r="F895" s="1">
        <v>48580</v>
      </c>
      <c r="G895">
        <f t="shared" si="14"/>
        <v>1</v>
      </c>
      <c r="J895" s="7"/>
    </row>
    <row r="896" spans="6:10" ht="18.75" customHeight="1">
      <c r="F896" s="1">
        <v>48611</v>
      </c>
      <c r="G896">
        <f t="shared" si="14"/>
        <v>2</v>
      </c>
      <c r="J896" s="7"/>
    </row>
    <row r="897" spans="6:10" ht="18.75" customHeight="1">
      <c r="F897" s="1">
        <v>48639</v>
      </c>
      <c r="G897">
        <f t="shared" si="14"/>
        <v>3</v>
      </c>
      <c r="J897" s="7"/>
    </row>
    <row r="898" spans="6:10" ht="18.75" customHeight="1">
      <c r="F898" s="1">
        <v>48670</v>
      </c>
      <c r="G898">
        <f t="shared" si="14"/>
        <v>4</v>
      </c>
      <c r="J898" s="7"/>
    </row>
    <row r="899" spans="6:10" ht="18.75" customHeight="1">
      <c r="F899" s="1">
        <v>48700</v>
      </c>
      <c r="G899">
        <f t="shared" ref="G899:G962" si="15">MONTH(F899)</f>
        <v>5</v>
      </c>
      <c r="J899" s="7"/>
    </row>
    <row r="900" spans="6:10" ht="18.75" customHeight="1">
      <c r="F900" s="1">
        <v>48731</v>
      </c>
      <c r="G900">
        <f t="shared" si="15"/>
        <v>6</v>
      </c>
      <c r="J900" s="7"/>
    </row>
    <row r="901" spans="6:10" ht="18.75" customHeight="1">
      <c r="F901" s="1">
        <v>48761</v>
      </c>
      <c r="G901">
        <f t="shared" si="15"/>
        <v>7</v>
      </c>
      <c r="J901" s="7"/>
    </row>
    <row r="902" spans="6:10" ht="18.75" customHeight="1">
      <c r="F902" s="1">
        <v>48792</v>
      </c>
      <c r="G902">
        <f t="shared" si="15"/>
        <v>8</v>
      </c>
      <c r="J902" s="7"/>
    </row>
    <row r="903" spans="6:10" ht="18.75" customHeight="1">
      <c r="F903" s="1">
        <v>48823</v>
      </c>
      <c r="G903">
        <f t="shared" si="15"/>
        <v>9</v>
      </c>
      <c r="J903" s="7"/>
    </row>
    <row r="904" spans="6:10" ht="18.75" customHeight="1">
      <c r="F904" s="1">
        <v>48853</v>
      </c>
      <c r="G904">
        <f t="shared" si="15"/>
        <v>10</v>
      </c>
      <c r="J904" s="7"/>
    </row>
    <row r="905" spans="6:10" ht="18.75" customHeight="1">
      <c r="F905" s="1">
        <v>48884</v>
      </c>
      <c r="G905">
        <f t="shared" si="15"/>
        <v>11</v>
      </c>
      <c r="J905" s="7"/>
    </row>
    <row r="906" spans="6:10" ht="18.75" customHeight="1">
      <c r="F906" s="1">
        <v>48914</v>
      </c>
      <c r="G906">
        <f t="shared" si="15"/>
        <v>12</v>
      </c>
      <c r="J906" s="7"/>
    </row>
    <row r="907" spans="6:10" ht="18.75" customHeight="1">
      <c r="F907" s="1">
        <v>48945</v>
      </c>
      <c r="G907">
        <f t="shared" si="15"/>
        <v>1</v>
      </c>
      <c r="J907" s="7"/>
    </row>
    <row r="908" spans="6:10" ht="18.75" customHeight="1">
      <c r="F908" s="1">
        <v>48976</v>
      </c>
      <c r="G908">
        <f t="shared" si="15"/>
        <v>2</v>
      </c>
      <c r="J908" s="7"/>
    </row>
    <row r="909" spans="6:10" ht="18.75" customHeight="1">
      <c r="F909" s="1">
        <v>49004</v>
      </c>
      <c r="G909">
        <f t="shared" si="15"/>
        <v>3</v>
      </c>
      <c r="J909" s="7"/>
    </row>
    <row r="910" spans="6:10" ht="18.75" customHeight="1">
      <c r="F910" s="1">
        <v>49035</v>
      </c>
      <c r="G910">
        <f t="shared" si="15"/>
        <v>4</v>
      </c>
      <c r="J910" s="7"/>
    </row>
    <row r="911" spans="6:10" ht="18.75" customHeight="1">
      <c r="F911" s="1">
        <v>49065</v>
      </c>
      <c r="G911">
        <f t="shared" si="15"/>
        <v>5</v>
      </c>
      <c r="J911" s="7"/>
    </row>
    <row r="912" spans="6:10" ht="18.75" customHeight="1">
      <c r="F912" s="1">
        <v>49096</v>
      </c>
      <c r="G912">
        <f t="shared" si="15"/>
        <v>6</v>
      </c>
      <c r="J912" s="7"/>
    </row>
    <row r="913" spans="6:10" ht="18.75" customHeight="1">
      <c r="F913" s="1">
        <v>49126</v>
      </c>
      <c r="G913">
        <f t="shared" si="15"/>
        <v>7</v>
      </c>
      <c r="J913" s="7"/>
    </row>
    <row r="914" spans="6:10" ht="18.75" customHeight="1">
      <c r="F914" s="1">
        <v>49157</v>
      </c>
      <c r="G914">
        <f t="shared" si="15"/>
        <v>8</v>
      </c>
      <c r="J914" s="7"/>
    </row>
    <row r="915" spans="6:10" ht="18.75" customHeight="1">
      <c r="F915" s="1">
        <v>49188</v>
      </c>
      <c r="G915">
        <f t="shared" si="15"/>
        <v>9</v>
      </c>
      <c r="J915" s="7"/>
    </row>
    <row r="916" spans="6:10" ht="18.75" customHeight="1">
      <c r="F916" s="1">
        <v>49218</v>
      </c>
      <c r="G916">
        <f t="shared" si="15"/>
        <v>10</v>
      </c>
      <c r="J916" s="7"/>
    </row>
    <row r="917" spans="6:10" ht="18.75" customHeight="1">
      <c r="F917" s="1">
        <v>49249</v>
      </c>
      <c r="G917">
        <f t="shared" si="15"/>
        <v>11</v>
      </c>
      <c r="J917" s="7"/>
    </row>
    <row r="918" spans="6:10" ht="18.75" customHeight="1">
      <c r="F918" s="1">
        <v>49279</v>
      </c>
      <c r="G918">
        <f t="shared" si="15"/>
        <v>12</v>
      </c>
      <c r="J918" s="7"/>
    </row>
    <row r="919" spans="6:10" ht="18.75" customHeight="1">
      <c r="F919" s="1">
        <v>49310</v>
      </c>
      <c r="G919">
        <f t="shared" si="15"/>
        <v>1</v>
      </c>
      <c r="J919" s="7"/>
    </row>
    <row r="920" spans="6:10" ht="18.75" customHeight="1">
      <c r="F920" s="1">
        <v>49341</v>
      </c>
      <c r="G920">
        <f t="shared" si="15"/>
        <v>2</v>
      </c>
      <c r="J920" s="7"/>
    </row>
    <row r="921" spans="6:10" ht="18.75" customHeight="1">
      <c r="F921" s="1">
        <v>49369</v>
      </c>
      <c r="G921">
        <f t="shared" si="15"/>
        <v>3</v>
      </c>
      <c r="J921" s="7"/>
    </row>
    <row r="922" spans="6:10" ht="18.75" customHeight="1">
      <c r="F922" s="1">
        <v>49400</v>
      </c>
      <c r="G922">
        <f t="shared" si="15"/>
        <v>4</v>
      </c>
      <c r="J922" s="7"/>
    </row>
    <row r="923" spans="6:10" ht="18.75" customHeight="1">
      <c r="F923" s="1">
        <v>49430</v>
      </c>
      <c r="G923">
        <f t="shared" si="15"/>
        <v>5</v>
      </c>
      <c r="J923" s="7"/>
    </row>
    <row r="924" spans="6:10" ht="18.75" customHeight="1">
      <c r="F924" s="1">
        <v>49461</v>
      </c>
      <c r="G924">
        <f t="shared" si="15"/>
        <v>6</v>
      </c>
      <c r="J924" s="7"/>
    </row>
    <row r="925" spans="6:10" ht="18.75" customHeight="1">
      <c r="F925" s="1">
        <v>49491</v>
      </c>
      <c r="G925">
        <f t="shared" si="15"/>
        <v>7</v>
      </c>
      <c r="J925" s="7"/>
    </row>
    <row r="926" spans="6:10" ht="18.75" customHeight="1">
      <c r="F926" s="1">
        <v>49522</v>
      </c>
      <c r="G926">
        <f t="shared" si="15"/>
        <v>8</v>
      </c>
      <c r="J926" s="7"/>
    </row>
    <row r="927" spans="6:10" ht="18.75" customHeight="1">
      <c r="F927" s="1">
        <v>49553</v>
      </c>
      <c r="G927">
        <f t="shared" si="15"/>
        <v>9</v>
      </c>
      <c r="J927" s="7"/>
    </row>
    <row r="928" spans="6:10" ht="18.75" customHeight="1">
      <c r="F928" s="1">
        <v>49583</v>
      </c>
      <c r="G928">
        <f t="shared" si="15"/>
        <v>10</v>
      </c>
      <c r="J928" s="7"/>
    </row>
    <row r="929" spans="6:10" ht="18.75" customHeight="1">
      <c r="F929" s="1">
        <v>49614</v>
      </c>
      <c r="G929">
        <f t="shared" si="15"/>
        <v>11</v>
      </c>
      <c r="J929" s="7"/>
    </row>
    <row r="930" spans="6:10" ht="18.75" customHeight="1">
      <c r="F930" s="1">
        <v>49644</v>
      </c>
      <c r="G930">
        <f t="shared" si="15"/>
        <v>12</v>
      </c>
      <c r="J930" s="7"/>
    </row>
    <row r="931" spans="6:10" ht="18.75" customHeight="1">
      <c r="F931" s="1">
        <v>49675</v>
      </c>
      <c r="G931">
        <f t="shared" si="15"/>
        <v>1</v>
      </c>
      <c r="J931" s="7"/>
    </row>
    <row r="932" spans="6:10" ht="18.75" customHeight="1">
      <c r="F932" s="1">
        <v>49706</v>
      </c>
      <c r="G932">
        <f t="shared" si="15"/>
        <v>2</v>
      </c>
      <c r="J932" s="7"/>
    </row>
    <row r="933" spans="6:10" ht="18.75" customHeight="1">
      <c r="F933" s="1">
        <v>49735</v>
      </c>
      <c r="G933">
        <f t="shared" si="15"/>
        <v>3</v>
      </c>
      <c r="J933" s="7"/>
    </row>
    <row r="934" spans="6:10" ht="18.75" customHeight="1">
      <c r="F934" s="1">
        <v>49766</v>
      </c>
      <c r="G934">
        <f t="shared" si="15"/>
        <v>4</v>
      </c>
      <c r="J934" s="7"/>
    </row>
    <row r="935" spans="6:10" ht="18.75" customHeight="1">
      <c r="F935" s="1">
        <v>49796</v>
      </c>
      <c r="G935">
        <f t="shared" si="15"/>
        <v>5</v>
      </c>
      <c r="J935" s="7"/>
    </row>
    <row r="936" spans="6:10" ht="18.75" customHeight="1">
      <c r="F936" s="1">
        <v>49827</v>
      </c>
      <c r="G936">
        <f t="shared" si="15"/>
        <v>6</v>
      </c>
      <c r="J936" s="7"/>
    </row>
    <row r="937" spans="6:10" ht="18.75" customHeight="1">
      <c r="F937" s="1">
        <v>49857</v>
      </c>
      <c r="G937">
        <f t="shared" si="15"/>
        <v>7</v>
      </c>
      <c r="J937" s="7"/>
    </row>
    <row r="938" spans="6:10" ht="18.75" customHeight="1">
      <c r="F938" s="1">
        <v>49888</v>
      </c>
      <c r="G938">
        <f t="shared" si="15"/>
        <v>8</v>
      </c>
      <c r="J938" s="7"/>
    </row>
    <row r="939" spans="6:10" ht="18.75" customHeight="1">
      <c r="F939" s="1">
        <v>49919</v>
      </c>
      <c r="G939">
        <f t="shared" si="15"/>
        <v>9</v>
      </c>
      <c r="J939" s="7"/>
    </row>
    <row r="940" spans="6:10" ht="18.75" customHeight="1">
      <c r="F940" s="1">
        <v>49949</v>
      </c>
      <c r="G940">
        <f t="shared" si="15"/>
        <v>10</v>
      </c>
      <c r="J940" s="7"/>
    </row>
    <row r="941" spans="6:10" ht="18.75" customHeight="1">
      <c r="F941" s="1">
        <v>49980</v>
      </c>
      <c r="G941">
        <f t="shared" si="15"/>
        <v>11</v>
      </c>
      <c r="J941" s="7"/>
    </row>
    <row r="942" spans="6:10" ht="18.75" customHeight="1">
      <c r="F942" s="1">
        <v>50010</v>
      </c>
      <c r="G942">
        <f t="shared" si="15"/>
        <v>12</v>
      </c>
      <c r="J942" s="7"/>
    </row>
    <row r="943" spans="6:10" ht="18.75" customHeight="1">
      <c r="F943" s="1">
        <v>50041</v>
      </c>
      <c r="G943">
        <f t="shared" si="15"/>
        <v>1</v>
      </c>
      <c r="J943" s="7"/>
    </row>
    <row r="944" spans="6:10" ht="18.75" customHeight="1">
      <c r="F944" s="1">
        <v>50072</v>
      </c>
      <c r="G944">
        <f t="shared" si="15"/>
        <v>2</v>
      </c>
      <c r="J944" s="7"/>
    </row>
    <row r="945" spans="6:10" ht="18.75" customHeight="1">
      <c r="F945" s="1">
        <v>50100</v>
      </c>
      <c r="G945">
        <f t="shared" si="15"/>
        <v>3</v>
      </c>
      <c r="J945" s="7"/>
    </row>
    <row r="946" spans="6:10" ht="18.75" customHeight="1">
      <c r="F946" s="1">
        <v>50131</v>
      </c>
      <c r="G946">
        <f t="shared" si="15"/>
        <v>4</v>
      </c>
      <c r="J946" s="7"/>
    </row>
    <row r="947" spans="6:10" ht="18.75" customHeight="1">
      <c r="F947" s="1">
        <v>50161</v>
      </c>
      <c r="G947">
        <f t="shared" si="15"/>
        <v>5</v>
      </c>
      <c r="J947" s="7"/>
    </row>
    <row r="948" spans="6:10" ht="18.75" customHeight="1">
      <c r="F948" s="1">
        <v>50192</v>
      </c>
      <c r="G948">
        <f t="shared" si="15"/>
        <v>6</v>
      </c>
      <c r="J948" s="7"/>
    </row>
    <row r="949" spans="6:10" ht="18.75" customHeight="1">
      <c r="F949" s="1">
        <v>50222</v>
      </c>
      <c r="G949">
        <f t="shared" si="15"/>
        <v>7</v>
      </c>
      <c r="J949" s="7"/>
    </row>
    <row r="950" spans="6:10" ht="18.75" customHeight="1">
      <c r="F950" s="1">
        <v>50253</v>
      </c>
      <c r="G950">
        <f t="shared" si="15"/>
        <v>8</v>
      </c>
      <c r="J950" s="7"/>
    </row>
    <row r="951" spans="6:10" ht="18.75" customHeight="1">
      <c r="F951" s="1">
        <v>50284</v>
      </c>
      <c r="G951">
        <f t="shared" si="15"/>
        <v>9</v>
      </c>
      <c r="J951" s="7"/>
    </row>
    <row r="952" spans="6:10" ht="18.75" customHeight="1">
      <c r="F952" s="1">
        <v>50314</v>
      </c>
      <c r="G952">
        <f t="shared" si="15"/>
        <v>10</v>
      </c>
      <c r="J952" s="7"/>
    </row>
    <row r="953" spans="6:10" ht="18.75" customHeight="1">
      <c r="F953" s="1">
        <v>50345</v>
      </c>
      <c r="G953">
        <f t="shared" si="15"/>
        <v>11</v>
      </c>
      <c r="J953" s="7"/>
    </row>
    <row r="954" spans="6:10" ht="18.75" customHeight="1">
      <c r="F954" s="1">
        <v>50375</v>
      </c>
      <c r="G954">
        <f t="shared" si="15"/>
        <v>12</v>
      </c>
      <c r="J954" s="7"/>
    </row>
    <row r="955" spans="6:10" ht="18.75" customHeight="1">
      <c r="F955" s="1">
        <v>50406</v>
      </c>
      <c r="G955">
        <f t="shared" si="15"/>
        <v>1</v>
      </c>
      <c r="J955" s="7"/>
    </row>
    <row r="956" spans="6:10" ht="18.75" customHeight="1">
      <c r="F956" s="1">
        <v>50437</v>
      </c>
      <c r="G956">
        <f t="shared" si="15"/>
        <v>2</v>
      </c>
      <c r="J956" s="7"/>
    </row>
    <row r="957" spans="6:10" ht="18.75" customHeight="1">
      <c r="F957" s="1">
        <v>50465</v>
      </c>
      <c r="G957">
        <f t="shared" si="15"/>
        <v>3</v>
      </c>
      <c r="J957" s="7"/>
    </row>
    <row r="958" spans="6:10" ht="18.75" customHeight="1">
      <c r="F958" s="1">
        <v>50496</v>
      </c>
      <c r="G958">
        <f t="shared" si="15"/>
        <v>4</v>
      </c>
      <c r="J958" s="7"/>
    </row>
    <row r="959" spans="6:10" ht="18.75" customHeight="1">
      <c r="F959" s="1">
        <v>50526</v>
      </c>
      <c r="G959">
        <f t="shared" si="15"/>
        <v>5</v>
      </c>
      <c r="J959" s="7"/>
    </row>
    <row r="960" spans="6:10" ht="18.75" customHeight="1">
      <c r="F960" s="1">
        <v>50557</v>
      </c>
      <c r="G960">
        <f t="shared" si="15"/>
        <v>6</v>
      </c>
      <c r="J960" s="7"/>
    </row>
    <row r="961" spans="6:10" ht="18.75" customHeight="1">
      <c r="F961" s="1">
        <v>50587</v>
      </c>
      <c r="G961">
        <f t="shared" si="15"/>
        <v>7</v>
      </c>
      <c r="J961" s="7"/>
    </row>
    <row r="962" spans="6:10" ht="18.75" customHeight="1">
      <c r="F962" s="1">
        <v>50618</v>
      </c>
      <c r="G962">
        <f t="shared" si="15"/>
        <v>8</v>
      </c>
      <c r="J962" s="7"/>
    </row>
    <row r="963" spans="6:10" ht="18.75" customHeight="1">
      <c r="F963" s="1">
        <v>50649</v>
      </c>
      <c r="G963">
        <f t="shared" ref="G963:G982" si="16">MONTH(F963)</f>
        <v>9</v>
      </c>
      <c r="J963" s="7"/>
    </row>
    <row r="964" spans="6:10" ht="18.75" customHeight="1">
      <c r="F964" s="1">
        <v>50679</v>
      </c>
      <c r="G964">
        <f t="shared" si="16"/>
        <v>10</v>
      </c>
      <c r="J964" s="7"/>
    </row>
    <row r="965" spans="6:10" ht="18.75" customHeight="1">
      <c r="F965" s="1">
        <v>50710</v>
      </c>
      <c r="G965">
        <f t="shared" si="16"/>
        <v>11</v>
      </c>
      <c r="J965" s="7"/>
    </row>
    <row r="966" spans="6:10" ht="18.75" customHeight="1">
      <c r="F966" s="1">
        <v>50740</v>
      </c>
      <c r="G966">
        <f t="shared" si="16"/>
        <v>12</v>
      </c>
      <c r="J966" s="7"/>
    </row>
    <row r="967" spans="6:10" ht="18.75" customHeight="1">
      <c r="F967" s="1">
        <v>50771</v>
      </c>
      <c r="G967">
        <f t="shared" si="16"/>
        <v>1</v>
      </c>
      <c r="J967" s="7"/>
    </row>
    <row r="968" spans="6:10" ht="18.75" customHeight="1">
      <c r="F968" s="1">
        <v>50802</v>
      </c>
      <c r="G968">
        <f t="shared" si="16"/>
        <v>2</v>
      </c>
      <c r="J968" s="7"/>
    </row>
    <row r="969" spans="6:10" ht="18.75" customHeight="1">
      <c r="F969" s="1">
        <v>50830</v>
      </c>
      <c r="G969">
        <f t="shared" si="16"/>
        <v>3</v>
      </c>
      <c r="J969" s="7"/>
    </row>
    <row r="970" spans="6:10" ht="18.75" customHeight="1">
      <c r="F970" s="1">
        <v>50861</v>
      </c>
      <c r="G970">
        <f t="shared" si="16"/>
        <v>4</v>
      </c>
      <c r="J970" s="7"/>
    </row>
    <row r="971" spans="6:10" ht="18.75" customHeight="1">
      <c r="F971" s="1">
        <v>50891</v>
      </c>
      <c r="G971">
        <f t="shared" si="16"/>
        <v>5</v>
      </c>
      <c r="J971" s="7"/>
    </row>
    <row r="972" spans="6:10" ht="18.75" customHeight="1">
      <c r="F972" s="1">
        <v>50922</v>
      </c>
      <c r="G972">
        <f t="shared" si="16"/>
        <v>6</v>
      </c>
      <c r="J972" s="7"/>
    </row>
    <row r="973" spans="6:10" ht="18.75" customHeight="1">
      <c r="F973" s="1">
        <v>50952</v>
      </c>
      <c r="G973">
        <f t="shared" si="16"/>
        <v>7</v>
      </c>
      <c r="J973" s="7"/>
    </row>
    <row r="974" spans="6:10" ht="18.75" customHeight="1">
      <c r="F974" s="1">
        <v>50983</v>
      </c>
      <c r="G974">
        <f t="shared" si="16"/>
        <v>8</v>
      </c>
      <c r="J974" s="7"/>
    </row>
    <row r="975" spans="6:10" ht="18.75" customHeight="1">
      <c r="F975" s="1">
        <v>51014</v>
      </c>
      <c r="G975">
        <f t="shared" si="16"/>
        <v>9</v>
      </c>
      <c r="J975" s="7"/>
    </row>
    <row r="976" spans="6:10" ht="18.75" customHeight="1">
      <c r="F976" s="1">
        <v>51044</v>
      </c>
      <c r="G976">
        <f t="shared" si="16"/>
        <v>10</v>
      </c>
      <c r="J976" s="7"/>
    </row>
    <row r="977" spans="6:10" ht="18.75" customHeight="1">
      <c r="F977" s="1">
        <v>51075</v>
      </c>
      <c r="G977">
        <f t="shared" si="16"/>
        <v>11</v>
      </c>
      <c r="J977" s="7"/>
    </row>
    <row r="978" spans="6:10" ht="18.75" customHeight="1">
      <c r="F978" s="1">
        <v>51105</v>
      </c>
      <c r="G978">
        <f t="shared" si="16"/>
        <v>12</v>
      </c>
      <c r="J978" s="7"/>
    </row>
    <row r="979" spans="6:10" ht="18.75" customHeight="1">
      <c r="F979" s="1">
        <v>51136</v>
      </c>
      <c r="G979">
        <f t="shared" si="16"/>
        <v>1</v>
      </c>
      <c r="J979" s="7"/>
    </row>
    <row r="980" spans="6:10" ht="18.75" customHeight="1">
      <c r="F980" s="1">
        <v>51167</v>
      </c>
      <c r="G980">
        <f t="shared" si="16"/>
        <v>2</v>
      </c>
      <c r="J980" s="7"/>
    </row>
    <row r="981" spans="6:10" ht="18.75" customHeight="1">
      <c r="F981" s="1">
        <v>51196</v>
      </c>
      <c r="G981">
        <f t="shared" si="16"/>
        <v>3</v>
      </c>
      <c r="J981" s="7"/>
    </row>
    <row r="982" spans="6:10" ht="18.75" customHeight="1">
      <c r="F982" s="16">
        <v>51227</v>
      </c>
      <c r="G982" s="17">
        <f t="shared" si="16"/>
        <v>4</v>
      </c>
      <c r="H982" s="18"/>
      <c r="J982" s="7"/>
    </row>
  </sheetData>
  <phoneticPr fontId="1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4C93C-E887-4A30-8467-8CB7A39EC3AE}">
  <sheetPr codeName="Sheet4"/>
  <dimension ref="A1:P982"/>
  <sheetViews>
    <sheetView zoomScaleNormal="100" workbookViewId="0"/>
  </sheetViews>
  <sheetFormatPr defaultRowHeight="18.75" customHeight="1"/>
  <cols>
    <col min="1" max="1" width="15.125" style="2" bestFit="1" customWidth="1"/>
    <col min="2" max="4" width="12.75" customWidth="1"/>
    <col min="5" max="5" width="33.125" bestFit="1" customWidth="1"/>
    <col min="6" max="6" width="10.25" bestFit="1" customWidth="1"/>
    <col min="7" max="7" width="5.25" bestFit="1" customWidth="1"/>
    <col min="8" max="8" width="12.125" style="7" bestFit="1" customWidth="1"/>
    <col min="9" max="9" width="7.5" style="7" bestFit="1" customWidth="1"/>
    <col min="10" max="10" width="9" bestFit="1" customWidth="1"/>
    <col min="11" max="11" width="7.875" style="7" bestFit="1" customWidth="1"/>
    <col min="12" max="12" width="7.5" style="7" customWidth="1"/>
    <col min="13" max="13" width="11.375" style="7" bestFit="1" customWidth="1"/>
    <col min="14" max="14" width="3.125" customWidth="1"/>
    <col min="16" max="16" width="50.75" customWidth="1"/>
  </cols>
  <sheetData>
    <row r="1" spans="1:16" ht="18.75" customHeight="1">
      <c r="A1" s="2" t="s">
        <v>9</v>
      </c>
      <c r="B1" s="8" t="s">
        <v>15</v>
      </c>
      <c r="D1" t="s">
        <v>16</v>
      </c>
      <c r="F1" s="3" t="s">
        <v>39</v>
      </c>
      <c r="G1" s="3" t="s">
        <v>22</v>
      </c>
      <c r="H1" s="6" t="s">
        <v>40</v>
      </c>
      <c r="I1" s="6" t="s">
        <v>20</v>
      </c>
      <c r="J1" s="3" t="s">
        <v>21</v>
      </c>
      <c r="K1" s="6" t="s">
        <v>17</v>
      </c>
      <c r="L1" s="6" t="s">
        <v>23</v>
      </c>
      <c r="M1" s="6" t="s">
        <v>41</v>
      </c>
      <c r="O1" s="9" t="s">
        <v>12</v>
      </c>
      <c r="P1" s="22" t="s">
        <v>48</v>
      </c>
    </row>
    <row r="2" spans="1:16" ht="18.75" customHeight="1">
      <c r="A2" s="2" t="s">
        <v>2</v>
      </c>
      <c r="B2" s="8" t="s">
        <v>17</v>
      </c>
      <c r="D2" t="s">
        <v>18</v>
      </c>
      <c r="F2" s="1">
        <v>21245</v>
      </c>
      <c r="G2">
        <f>MONTH(F2)</f>
        <v>3</v>
      </c>
      <c r="H2" s="7">
        <v>315.7</v>
      </c>
      <c r="I2" s="7">
        <f>_A*F2*F2+_B*F2+_C</f>
        <v>314.32880345834894</v>
      </c>
      <c r="J2" s="7">
        <f>H2-I2</f>
        <v>1.3711965416510452</v>
      </c>
      <c r="K2" s="7" cm="1">
        <f t="array" ref="K2">INDEX(Sm,G2)</f>
        <v>1.3711965416510452</v>
      </c>
      <c r="L2" s="7">
        <f>I2+K2</f>
        <v>315.7</v>
      </c>
      <c r="M2" s="7">
        <f>H2-L2</f>
        <v>0</v>
      </c>
      <c r="O2" s="10">
        <v>1</v>
      </c>
      <c r="P2" t="s">
        <v>47</v>
      </c>
    </row>
    <row r="3" spans="1:16" ht="18.75" customHeight="1">
      <c r="A3" s="2" t="s">
        <v>14</v>
      </c>
      <c r="B3" s="8" t="s">
        <v>19</v>
      </c>
      <c r="D3" t="s">
        <v>10</v>
      </c>
      <c r="F3" s="1">
        <v>21276</v>
      </c>
      <c r="G3">
        <f t="shared" ref="G3:G66" si="0">MONTH(F3)</f>
        <v>4</v>
      </c>
      <c r="H3" s="7">
        <v>317.45999999999998</v>
      </c>
      <c r="J3" s="7"/>
      <c r="P3" t="s">
        <v>51</v>
      </c>
    </row>
    <row r="4" spans="1:16" ht="18.75" customHeight="1">
      <c r="F4" s="1">
        <v>21306</v>
      </c>
      <c r="G4">
        <f t="shared" si="0"/>
        <v>5</v>
      </c>
      <c r="H4" s="7">
        <v>317.51</v>
      </c>
      <c r="J4" s="7"/>
      <c r="P4" t="s">
        <v>50</v>
      </c>
    </row>
    <row r="5" spans="1:16" ht="18.75" customHeight="1">
      <c r="A5" t="s">
        <v>43</v>
      </c>
      <c r="F5" s="1">
        <v>21367</v>
      </c>
      <c r="G5">
        <f t="shared" si="0"/>
        <v>7</v>
      </c>
      <c r="H5" s="7">
        <v>315.86</v>
      </c>
      <c r="J5" s="7"/>
      <c r="P5" t="s">
        <v>49</v>
      </c>
    </row>
    <row r="6" spans="1:16" ht="18.75" customHeight="1">
      <c r="B6" s="3" t="s">
        <v>3</v>
      </c>
      <c r="C6" s="3" t="s">
        <v>4</v>
      </c>
      <c r="D6" s="3" t="s">
        <v>5</v>
      </c>
      <c r="F6" s="1">
        <v>21398</v>
      </c>
      <c r="G6">
        <f t="shared" si="0"/>
        <v>8</v>
      </c>
      <c r="H6" s="7">
        <v>314.93</v>
      </c>
      <c r="J6" s="7"/>
      <c r="P6" t="s">
        <v>66</v>
      </c>
    </row>
    <row r="7" spans="1:16" ht="18.75" customHeight="1">
      <c r="B7" s="21">
        <f t="array" ref="B7:D7">LINEST($H$2:$H$502,$F$2:$F$502^{1,2})</f>
        <v>9.3943704454783883E-8</v>
      </c>
      <c r="C7" s="21">
        <v>-1.8176605040235326E-3</v>
      </c>
      <c r="D7" s="21">
        <v>310.5435075120696</v>
      </c>
      <c r="E7" t="s">
        <v>44</v>
      </c>
      <c r="F7" s="1">
        <v>21429</v>
      </c>
      <c r="G7">
        <f t="shared" si="0"/>
        <v>9</v>
      </c>
      <c r="H7" s="7">
        <v>313.20999999999998</v>
      </c>
      <c r="J7" s="7"/>
      <c r="O7" s="10">
        <v>2</v>
      </c>
      <c r="P7" t="s">
        <v>33</v>
      </c>
    </row>
    <row r="8" spans="1:16" ht="18.75" customHeight="1">
      <c r="B8" t="s">
        <v>37</v>
      </c>
      <c r="F8" s="1">
        <v>21490</v>
      </c>
      <c r="G8">
        <f t="shared" si="0"/>
        <v>11</v>
      </c>
      <c r="H8" s="7">
        <v>313.33</v>
      </c>
      <c r="J8" s="7"/>
      <c r="P8" t="s">
        <v>55</v>
      </c>
    </row>
    <row r="9" spans="1:16" ht="18.75" customHeight="1">
      <c r="F9" s="1">
        <v>21520</v>
      </c>
      <c r="G9">
        <f t="shared" si="0"/>
        <v>12</v>
      </c>
      <c r="H9" s="7">
        <v>314.67</v>
      </c>
      <c r="J9" s="7"/>
      <c r="O9" s="10">
        <v>3</v>
      </c>
      <c r="P9" t="s">
        <v>24</v>
      </c>
    </row>
    <row r="10" spans="1:16" ht="18.75" customHeight="1">
      <c r="A10" t="s">
        <v>46</v>
      </c>
      <c r="F10" s="1">
        <v>21551</v>
      </c>
      <c r="G10">
        <f t="shared" si="0"/>
        <v>1</v>
      </c>
      <c r="H10" s="7">
        <v>315.58</v>
      </c>
      <c r="J10" s="7"/>
      <c r="O10" s="10"/>
      <c r="P10" t="s">
        <v>25</v>
      </c>
    </row>
    <row r="11" spans="1:16" ht="18.75" customHeight="1">
      <c r="A11" s="2" t="s">
        <v>6</v>
      </c>
      <c r="B11" s="3" t="s">
        <v>8</v>
      </c>
      <c r="F11" s="1">
        <v>21582</v>
      </c>
      <c r="G11">
        <f t="shared" si="0"/>
        <v>2</v>
      </c>
      <c r="H11" s="7">
        <v>316.49</v>
      </c>
      <c r="J11" s="7"/>
      <c r="O11" s="10">
        <v>4</v>
      </c>
      <c r="P11" t="s">
        <v>54</v>
      </c>
    </row>
    <row r="12" spans="1:16" ht="18.75" customHeight="1">
      <c r="A12" s="2">
        <v>1</v>
      </c>
      <c r="B12" s="13" t="e">
        <f t="shared" ref="B12:B23" si="1">AVERAGEIF($G$2:$G$502,A12,$J$2:$J$502)</f>
        <v>#DIV/0!</v>
      </c>
      <c r="C12" t="s">
        <v>38</v>
      </c>
      <c r="F12" s="1">
        <v>21610</v>
      </c>
      <c r="G12">
        <f t="shared" si="0"/>
        <v>3</v>
      </c>
      <c r="H12" s="7">
        <v>316.64999999999998</v>
      </c>
      <c r="J12" s="7"/>
      <c r="P12" t="s">
        <v>52</v>
      </c>
    </row>
    <row r="13" spans="1:16" ht="18.75" customHeight="1">
      <c r="A13" s="2">
        <v>2</v>
      </c>
      <c r="B13" s="14" t="e">
        <f t="shared" si="1"/>
        <v>#DIV/0!</v>
      </c>
      <c r="F13" s="1">
        <v>21641</v>
      </c>
      <c r="G13">
        <f t="shared" si="0"/>
        <v>4</v>
      </c>
      <c r="H13" s="7">
        <v>317.72000000000003</v>
      </c>
      <c r="J13" s="7"/>
      <c r="P13" t="s">
        <v>53</v>
      </c>
    </row>
    <row r="14" spans="1:16" ht="18.75" customHeight="1">
      <c r="A14" s="2">
        <v>3</v>
      </c>
      <c r="B14" s="14">
        <f t="shared" si="1"/>
        <v>1.3711965416510452</v>
      </c>
      <c r="F14" s="1">
        <v>21671</v>
      </c>
      <c r="G14">
        <f t="shared" si="0"/>
        <v>5</v>
      </c>
      <c r="H14" s="7">
        <v>318.29000000000002</v>
      </c>
      <c r="J14" s="7"/>
      <c r="P14" t="s">
        <v>57</v>
      </c>
    </row>
    <row r="15" spans="1:16" ht="18.75" customHeight="1">
      <c r="A15" s="2">
        <v>4</v>
      </c>
      <c r="B15" s="14" t="e">
        <f t="shared" si="1"/>
        <v>#DIV/0!</v>
      </c>
      <c r="F15" s="1">
        <v>21702</v>
      </c>
      <c r="G15">
        <f t="shared" si="0"/>
        <v>6</v>
      </c>
      <c r="H15" s="7">
        <v>318.14999999999998</v>
      </c>
      <c r="J15" s="7"/>
      <c r="P15" t="s">
        <v>58</v>
      </c>
    </row>
    <row r="16" spans="1:16" ht="18.75" customHeight="1">
      <c r="A16" s="2">
        <v>5</v>
      </c>
      <c r="B16" s="14" t="e">
        <f t="shared" si="1"/>
        <v>#DIV/0!</v>
      </c>
      <c r="F16" s="1">
        <v>21732</v>
      </c>
      <c r="G16">
        <f t="shared" si="0"/>
        <v>7</v>
      </c>
      <c r="H16" s="7">
        <v>316.54000000000002</v>
      </c>
      <c r="J16" s="7"/>
      <c r="O16" s="10">
        <v>5</v>
      </c>
      <c r="P16" t="s">
        <v>34</v>
      </c>
    </row>
    <row r="17" spans="1:16" ht="18.75" customHeight="1">
      <c r="A17" s="2">
        <v>6</v>
      </c>
      <c r="B17" s="14" t="e">
        <f t="shared" si="1"/>
        <v>#DIV/0!</v>
      </c>
      <c r="F17" s="1">
        <v>21763</v>
      </c>
      <c r="G17">
        <f t="shared" si="0"/>
        <v>8</v>
      </c>
      <c r="H17" s="7">
        <v>314.8</v>
      </c>
      <c r="J17" s="7"/>
      <c r="P17" t="s">
        <v>56</v>
      </c>
    </row>
    <row r="18" spans="1:16" ht="18.75" customHeight="1">
      <c r="A18" s="2">
        <v>7</v>
      </c>
      <c r="B18" s="14" t="e">
        <f t="shared" si="1"/>
        <v>#DIV/0!</v>
      </c>
      <c r="F18" s="1">
        <v>21794</v>
      </c>
      <c r="G18">
        <f t="shared" si="0"/>
        <v>9</v>
      </c>
      <c r="H18" s="7">
        <v>313.83999999999997</v>
      </c>
      <c r="J18" s="7"/>
      <c r="O18" s="10">
        <v>6</v>
      </c>
      <c r="P18" t="s">
        <v>36</v>
      </c>
    </row>
    <row r="19" spans="1:16" ht="18.75" customHeight="1">
      <c r="A19" s="2">
        <v>8</v>
      </c>
      <c r="B19" s="14" t="e">
        <f t="shared" si="1"/>
        <v>#DIV/0!</v>
      </c>
      <c r="F19" s="1">
        <v>21824</v>
      </c>
      <c r="G19">
        <f t="shared" si="0"/>
        <v>10</v>
      </c>
      <c r="H19" s="7">
        <v>313.33</v>
      </c>
      <c r="J19" s="7"/>
      <c r="P19" t="s">
        <v>26</v>
      </c>
    </row>
    <row r="20" spans="1:16" ht="18.75" customHeight="1">
      <c r="A20" s="2">
        <v>9</v>
      </c>
      <c r="B20" s="14" t="e">
        <f t="shared" si="1"/>
        <v>#DIV/0!</v>
      </c>
      <c r="F20" s="1">
        <v>21855</v>
      </c>
      <c r="G20">
        <f t="shared" si="0"/>
        <v>11</v>
      </c>
      <c r="H20" s="7">
        <v>314.81</v>
      </c>
      <c r="J20" s="7"/>
      <c r="O20" s="10">
        <v>7</v>
      </c>
      <c r="P20" t="s">
        <v>27</v>
      </c>
    </row>
    <row r="21" spans="1:16" ht="18.75" customHeight="1">
      <c r="A21" s="2">
        <v>10</v>
      </c>
      <c r="B21" s="14" t="e">
        <f t="shared" si="1"/>
        <v>#DIV/0!</v>
      </c>
      <c r="F21" s="1">
        <v>21885</v>
      </c>
      <c r="G21">
        <f t="shared" si="0"/>
        <v>12</v>
      </c>
      <c r="H21" s="7">
        <v>315.58</v>
      </c>
      <c r="J21" s="7"/>
      <c r="O21" s="10"/>
      <c r="P21" t="s">
        <v>62</v>
      </c>
    </row>
    <row r="22" spans="1:16" ht="18.75" customHeight="1">
      <c r="A22" s="2">
        <v>11</v>
      </c>
      <c r="B22" s="14" t="e">
        <f t="shared" si="1"/>
        <v>#DIV/0!</v>
      </c>
      <c r="F22" s="1">
        <v>21916</v>
      </c>
      <c r="G22">
        <f t="shared" si="0"/>
        <v>1</v>
      </c>
      <c r="H22" s="7">
        <v>316.43</v>
      </c>
      <c r="J22" s="7"/>
      <c r="P22" t="s">
        <v>59</v>
      </c>
    </row>
    <row r="23" spans="1:16" ht="18.75" customHeight="1">
      <c r="A23" s="2">
        <v>12</v>
      </c>
      <c r="B23" s="15" t="e">
        <f t="shared" si="1"/>
        <v>#DIV/0!</v>
      </c>
      <c r="F23" s="1">
        <v>21947</v>
      </c>
      <c r="G23">
        <f t="shared" si="0"/>
        <v>2</v>
      </c>
      <c r="H23" s="7">
        <v>316.98</v>
      </c>
      <c r="J23" s="7"/>
      <c r="P23" t="s">
        <v>67</v>
      </c>
    </row>
    <row r="24" spans="1:16" ht="18.75" customHeight="1">
      <c r="A24" s="4">
        <v>13</v>
      </c>
      <c r="B24" s="20" t="e">
        <f>B12</f>
        <v>#DIV/0!</v>
      </c>
      <c r="C24" s="19" t="s">
        <v>29</v>
      </c>
      <c r="D24" s="5"/>
      <c r="F24" s="1">
        <v>21976</v>
      </c>
      <c r="G24">
        <f t="shared" si="0"/>
        <v>3</v>
      </c>
      <c r="H24" s="7">
        <v>317.58</v>
      </c>
      <c r="J24" s="7"/>
      <c r="O24" s="10">
        <v>8</v>
      </c>
      <c r="P24" t="s">
        <v>13</v>
      </c>
    </row>
    <row r="25" spans="1:16" ht="18.75" customHeight="1">
      <c r="A25" s="2" t="s">
        <v>7</v>
      </c>
      <c r="B25" s="12" t="e">
        <f>SUM(B12:B23)</f>
        <v>#DIV/0!</v>
      </c>
      <c r="C25" s="11"/>
      <c r="F25" s="1">
        <v>22007</v>
      </c>
      <c r="G25">
        <f t="shared" si="0"/>
        <v>4</v>
      </c>
      <c r="H25" s="7">
        <v>319.02999999999997</v>
      </c>
      <c r="J25" s="7"/>
      <c r="P25" t="s">
        <v>60</v>
      </c>
    </row>
    <row r="26" spans="1:16" ht="18.75" customHeight="1">
      <c r="F26" s="1">
        <v>22037</v>
      </c>
      <c r="G26">
        <f t="shared" si="0"/>
        <v>5</v>
      </c>
      <c r="H26" s="7">
        <v>320.04000000000002</v>
      </c>
      <c r="J26" s="7"/>
      <c r="P26" t="s">
        <v>61</v>
      </c>
    </row>
    <row r="27" spans="1:16" ht="18.75" customHeight="1">
      <c r="A27" s="2" t="s">
        <v>11</v>
      </c>
      <c r="B27" s="12">
        <f>SUMSQ(M2:M742)/COUNT(M2:M742)</f>
        <v>0</v>
      </c>
      <c r="F27" s="1">
        <v>22068</v>
      </c>
      <c r="G27">
        <f t="shared" si="0"/>
        <v>6</v>
      </c>
      <c r="H27" s="7">
        <v>319.58</v>
      </c>
      <c r="J27" s="7"/>
      <c r="O27" s="10">
        <v>9</v>
      </c>
      <c r="P27" t="s">
        <v>30</v>
      </c>
    </row>
    <row r="28" spans="1:16" ht="18.75" customHeight="1">
      <c r="F28" s="1">
        <v>22098</v>
      </c>
      <c r="G28">
        <f t="shared" si="0"/>
        <v>7</v>
      </c>
      <c r="H28" s="7">
        <v>318.18</v>
      </c>
      <c r="J28" s="7"/>
      <c r="O28" s="10"/>
      <c r="P28" t="s">
        <v>63</v>
      </c>
    </row>
    <row r="29" spans="1:16" ht="18.75" customHeight="1">
      <c r="F29" s="1">
        <v>22129</v>
      </c>
      <c r="G29">
        <f t="shared" si="0"/>
        <v>8</v>
      </c>
      <c r="H29" s="7">
        <v>315.89999999999998</v>
      </c>
      <c r="J29" s="7"/>
      <c r="P29" t="s">
        <v>64</v>
      </c>
    </row>
    <row r="30" spans="1:16" ht="18.75" customHeight="1">
      <c r="F30" s="1">
        <v>22160</v>
      </c>
      <c r="G30">
        <f t="shared" si="0"/>
        <v>9</v>
      </c>
      <c r="H30" s="7">
        <v>314.17</v>
      </c>
      <c r="J30" s="7"/>
      <c r="O30" s="10">
        <v>10</v>
      </c>
      <c r="P30" t="s">
        <v>13</v>
      </c>
    </row>
    <row r="31" spans="1:16" ht="18.75" customHeight="1">
      <c r="F31" s="1">
        <v>22190</v>
      </c>
      <c r="G31">
        <f t="shared" si="0"/>
        <v>10</v>
      </c>
      <c r="H31" s="7">
        <v>313.83</v>
      </c>
      <c r="J31" s="7"/>
      <c r="P31" t="s">
        <v>65</v>
      </c>
    </row>
    <row r="32" spans="1:16" ht="18.75" customHeight="1">
      <c r="F32" s="1">
        <v>22221</v>
      </c>
      <c r="G32">
        <f t="shared" si="0"/>
        <v>11</v>
      </c>
      <c r="H32" s="7">
        <v>315</v>
      </c>
      <c r="J32" s="7"/>
    </row>
    <row r="33" spans="6:15" ht="18.75" customHeight="1">
      <c r="F33" s="1">
        <v>22251</v>
      </c>
      <c r="G33">
        <f t="shared" si="0"/>
        <v>12</v>
      </c>
      <c r="H33" s="7">
        <v>316.19</v>
      </c>
      <c r="J33" s="7"/>
      <c r="O33" t="s">
        <v>28</v>
      </c>
    </row>
    <row r="34" spans="6:15" ht="18.75" customHeight="1">
      <c r="F34" s="1">
        <v>22282</v>
      </c>
      <c r="G34">
        <f t="shared" si="0"/>
        <v>1</v>
      </c>
      <c r="H34" s="7">
        <v>316.89999999999998</v>
      </c>
      <c r="J34" s="7"/>
    </row>
    <row r="35" spans="6:15" ht="18.75" customHeight="1">
      <c r="F35" s="1">
        <v>22313</v>
      </c>
      <c r="G35">
        <f t="shared" si="0"/>
        <v>2</v>
      </c>
      <c r="H35" s="7">
        <v>317.7</v>
      </c>
      <c r="J35" s="7"/>
    </row>
    <row r="36" spans="6:15" ht="18.75" customHeight="1">
      <c r="F36" s="1">
        <v>22341</v>
      </c>
      <c r="G36">
        <f t="shared" si="0"/>
        <v>3</v>
      </c>
      <c r="H36" s="7">
        <v>318.54000000000002</v>
      </c>
      <c r="J36" s="7"/>
    </row>
    <row r="37" spans="6:15" ht="18.75" customHeight="1">
      <c r="F37" s="1">
        <v>22372</v>
      </c>
      <c r="G37">
        <f t="shared" si="0"/>
        <v>4</v>
      </c>
      <c r="H37" s="7">
        <v>319.48</v>
      </c>
      <c r="J37" s="7"/>
    </row>
    <row r="38" spans="6:15" ht="18.75" customHeight="1">
      <c r="F38" s="1">
        <v>22402</v>
      </c>
      <c r="G38">
        <f t="shared" si="0"/>
        <v>5</v>
      </c>
      <c r="H38" s="7">
        <v>320.58</v>
      </c>
      <c r="J38" s="7"/>
    </row>
    <row r="39" spans="6:15" ht="18.75" customHeight="1">
      <c r="F39" s="1">
        <v>22433</v>
      </c>
      <c r="G39">
        <f t="shared" si="0"/>
        <v>6</v>
      </c>
      <c r="H39" s="7">
        <v>319.77</v>
      </c>
      <c r="J39" s="7"/>
    </row>
    <row r="40" spans="6:15" ht="18.75" customHeight="1">
      <c r="F40" s="1">
        <v>22463</v>
      </c>
      <c r="G40">
        <f t="shared" si="0"/>
        <v>7</v>
      </c>
      <c r="H40" s="7">
        <v>318.57</v>
      </c>
      <c r="J40" s="7"/>
    </row>
    <row r="41" spans="6:15" ht="18.75" customHeight="1">
      <c r="F41" s="1">
        <v>22494</v>
      </c>
      <c r="G41">
        <f t="shared" si="0"/>
        <v>8</v>
      </c>
      <c r="H41" s="7">
        <v>316.79000000000002</v>
      </c>
      <c r="J41" s="7"/>
    </row>
    <row r="42" spans="6:15" ht="18.75" customHeight="1">
      <c r="F42" s="1">
        <v>22525</v>
      </c>
      <c r="G42">
        <f t="shared" si="0"/>
        <v>9</v>
      </c>
      <c r="H42" s="7">
        <v>314.99</v>
      </c>
      <c r="J42" s="7"/>
    </row>
    <row r="43" spans="6:15" ht="18.75" customHeight="1">
      <c r="F43" s="1">
        <v>22555</v>
      </c>
      <c r="G43">
        <f t="shared" si="0"/>
        <v>10</v>
      </c>
      <c r="H43" s="7">
        <v>315.31</v>
      </c>
      <c r="J43" s="7"/>
    </row>
    <row r="44" spans="6:15" ht="18.75" customHeight="1">
      <c r="F44" s="1">
        <v>22586</v>
      </c>
      <c r="G44">
        <f t="shared" si="0"/>
        <v>11</v>
      </c>
      <c r="H44" s="7">
        <v>316.10000000000002</v>
      </c>
      <c r="J44" s="7"/>
    </row>
    <row r="45" spans="6:15" ht="18.75" customHeight="1">
      <c r="F45" s="1">
        <v>22616</v>
      </c>
      <c r="G45">
        <f t="shared" si="0"/>
        <v>12</v>
      </c>
      <c r="H45" s="7">
        <v>317.01</v>
      </c>
      <c r="J45" s="7"/>
    </row>
    <row r="46" spans="6:15" ht="18.75" customHeight="1">
      <c r="F46" s="1">
        <v>22647</v>
      </c>
      <c r="G46">
        <f t="shared" si="0"/>
        <v>1</v>
      </c>
      <c r="H46" s="7">
        <v>317.94</v>
      </c>
      <c r="J46" s="7"/>
    </row>
    <row r="47" spans="6:15" ht="18.75" customHeight="1">
      <c r="F47" s="1">
        <v>22678</v>
      </c>
      <c r="G47">
        <f t="shared" si="0"/>
        <v>2</v>
      </c>
      <c r="H47" s="7">
        <v>318.55</v>
      </c>
      <c r="J47" s="7"/>
    </row>
    <row r="48" spans="6:15" ht="18.75" customHeight="1">
      <c r="F48" s="1">
        <v>22706</v>
      </c>
      <c r="G48">
        <f t="shared" si="0"/>
        <v>3</v>
      </c>
      <c r="H48" s="7">
        <v>319.68</v>
      </c>
      <c r="J48" s="7"/>
    </row>
    <row r="49" spans="6:10" ht="18.75" customHeight="1">
      <c r="F49" s="1">
        <v>22737</v>
      </c>
      <c r="G49">
        <f t="shared" si="0"/>
        <v>4</v>
      </c>
      <c r="H49" s="7">
        <v>320.57</v>
      </c>
      <c r="J49" s="7"/>
    </row>
    <row r="50" spans="6:10" ht="18.75" customHeight="1">
      <c r="F50" s="1">
        <v>22767</v>
      </c>
      <c r="G50">
        <f t="shared" si="0"/>
        <v>5</v>
      </c>
      <c r="H50" s="7">
        <v>321.02</v>
      </c>
      <c r="J50" s="7"/>
    </row>
    <row r="51" spans="6:10" ht="18.75" customHeight="1">
      <c r="F51" s="1">
        <v>22798</v>
      </c>
      <c r="G51">
        <f t="shared" si="0"/>
        <v>6</v>
      </c>
      <c r="H51" s="7">
        <v>320.62</v>
      </c>
      <c r="J51" s="7"/>
    </row>
    <row r="52" spans="6:10" ht="18.75" customHeight="1">
      <c r="F52" s="1">
        <v>22828</v>
      </c>
      <c r="G52">
        <f t="shared" si="0"/>
        <v>7</v>
      </c>
      <c r="H52" s="7">
        <v>319.61</v>
      </c>
      <c r="J52" s="7"/>
    </row>
    <row r="53" spans="6:10" ht="18.75" customHeight="1">
      <c r="F53" s="1">
        <v>22859</v>
      </c>
      <c r="G53">
        <f t="shared" si="0"/>
        <v>8</v>
      </c>
      <c r="H53" s="7">
        <v>317.39999999999998</v>
      </c>
      <c r="J53" s="7"/>
    </row>
    <row r="54" spans="6:10" ht="18.75" customHeight="1">
      <c r="F54" s="1">
        <v>22890</v>
      </c>
      <c r="G54">
        <f t="shared" si="0"/>
        <v>9</v>
      </c>
      <c r="H54" s="7">
        <v>316.25</v>
      </c>
      <c r="J54" s="7"/>
    </row>
    <row r="55" spans="6:10" ht="18.75" customHeight="1">
      <c r="F55" s="1">
        <v>22920</v>
      </c>
      <c r="G55">
        <f t="shared" si="0"/>
        <v>10</v>
      </c>
      <c r="H55" s="7">
        <v>315.42</v>
      </c>
      <c r="J55" s="7"/>
    </row>
    <row r="56" spans="6:10" ht="18.75" customHeight="1">
      <c r="F56" s="1">
        <v>22951</v>
      </c>
      <c r="G56">
        <f t="shared" si="0"/>
        <v>11</v>
      </c>
      <c r="H56" s="7">
        <v>316.69</v>
      </c>
      <c r="J56" s="7"/>
    </row>
    <row r="57" spans="6:10" ht="18.75" customHeight="1">
      <c r="F57" s="1">
        <v>22981</v>
      </c>
      <c r="G57">
        <f t="shared" si="0"/>
        <v>12</v>
      </c>
      <c r="H57" s="7">
        <v>317.7</v>
      </c>
      <c r="J57" s="7"/>
    </row>
    <row r="58" spans="6:10" ht="18.75" customHeight="1">
      <c r="F58" s="1">
        <v>23012</v>
      </c>
      <c r="G58">
        <f t="shared" si="0"/>
        <v>1</v>
      </c>
      <c r="H58" s="7">
        <v>318.74</v>
      </c>
      <c r="J58" s="7"/>
    </row>
    <row r="59" spans="6:10" ht="18.75" customHeight="1">
      <c r="F59" s="1">
        <v>23043</v>
      </c>
      <c r="G59">
        <f t="shared" si="0"/>
        <v>2</v>
      </c>
      <c r="H59" s="7">
        <v>319.07</v>
      </c>
      <c r="J59" s="7"/>
    </row>
    <row r="60" spans="6:10" ht="18.75" customHeight="1">
      <c r="F60" s="1">
        <v>23071</v>
      </c>
      <c r="G60">
        <f t="shared" si="0"/>
        <v>3</v>
      </c>
      <c r="H60" s="7">
        <v>319.86</v>
      </c>
      <c r="J60" s="7"/>
    </row>
    <row r="61" spans="6:10" ht="18.75" customHeight="1">
      <c r="F61" s="1">
        <v>23102</v>
      </c>
      <c r="G61">
        <f t="shared" si="0"/>
        <v>4</v>
      </c>
      <c r="H61" s="7">
        <v>321.38</v>
      </c>
      <c r="J61" s="7"/>
    </row>
    <row r="62" spans="6:10" ht="18.75" customHeight="1">
      <c r="F62" s="1">
        <v>23132</v>
      </c>
      <c r="G62">
        <f t="shared" si="0"/>
        <v>5</v>
      </c>
      <c r="H62" s="7">
        <v>322.25</v>
      </c>
      <c r="J62" s="7"/>
    </row>
    <row r="63" spans="6:10" ht="18.75" customHeight="1">
      <c r="F63" s="1">
        <v>23163</v>
      </c>
      <c r="G63">
        <f t="shared" si="0"/>
        <v>6</v>
      </c>
      <c r="H63" s="7">
        <v>321.48</v>
      </c>
      <c r="J63" s="7"/>
    </row>
    <row r="64" spans="6:10" ht="18.75" customHeight="1">
      <c r="F64" s="1">
        <v>23193</v>
      </c>
      <c r="G64">
        <f t="shared" si="0"/>
        <v>7</v>
      </c>
      <c r="H64" s="7">
        <v>319.74</v>
      </c>
      <c r="J64" s="7"/>
    </row>
    <row r="65" spans="6:10" ht="18.75" customHeight="1">
      <c r="F65" s="1">
        <v>23224</v>
      </c>
      <c r="G65">
        <f t="shared" si="0"/>
        <v>8</v>
      </c>
      <c r="H65" s="7">
        <v>317.77</v>
      </c>
      <c r="J65" s="7"/>
    </row>
    <row r="66" spans="6:10" ht="18.75" customHeight="1">
      <c r="F66" s="1">
        <v>23255</v>
      </c>
      <c r="G66">
        <f t="shared" si="0"/>
        <v>9</v>
      </c>
      <c r="H66" s="7">
        <v>316.20999999999998</v>
      </c>
      <c r="J66" s="7"/>
    </row>
    <row r="67" spans="6:10" ht="18.75" customHeight="1">
      <c r="F67" s="1">
        <v>23285</v>
      </c>
      <c r="G67">
        <f t="shared" ref="G67:G130" si="2">MONTH(F67)</f>
        <v>10</v>
      </c>
      <c r="H67" s="7">
        <v>315.99</v>
      </c>
      <c r="J67" s="7"/>
    </row>
    <row r="68" spans="6:10" ht="18.75" customHeight="1">
      <c r="F68" s="1">
        <v>23316</v>
      </c>
      <c r="G68">
        <f t="shared" si="2"/>
        <v>11</v>
      </c>
      <c r="H68" s="7">
        <v>317.07</v>
      </c>
      <c r="J68" s="7"/>
    </row>
    <row r="69" spans="6:10" ht="18.75" customHeight="1">
      <c r="F69" s="1">
        <v>23346</v>
      </c>
      <c r="G69">
        <f t="shared" si="2"/>
        <v>12</v>
      </c>
      <c r="H69" s="7">
        <v>318.35000000000002</v>
      </c>
      <c r="J69" s="7"/>
    </row>
    <row r="70" spans="6:10" ht="18.75" customHeight="1">
      <c r="F70" s="1">
        <v>23377</v>
      </c>
      <c r="G70">
        <f t="shared" si="2"/>
        <v>1</v>
      </c>
      <c r="H70" s="7">
        <v>319.57</v>
      </c>
      <c r="J70" s="7"/>
    </row>
    <row r="71" spans="6:10" ht="18.75" customHeight="1">
      <c r="F71" s="1">
        <v>23498</v>
      </c>
      <c r="G71">
        <f t="shared" si="2"/>
        <v>5</v>
      </c>
      <c r="H71" s="7">
        <v>322.26</v>
      </c>
      <c r="J71" s="7"/>
    </row>
    <row r="72" spans="6:10" ht="18.75" customHeight="1">
      <c r="F72" s="1">
        <v>23529</v>
      </c>
      <c r="G72">
        <f t="shared" si="2"/>
        <v>6</v>
      </c>
      <c r="H72" s="7">
        <v>321.89</v>
      </c>
      <c r="J72" s="7"/>
    </row>
    <row r="73" spans="6:10" ht="18.75" customHeight="1">
      <c r="F73" s="1">
        <v>23559</v>
      </c>
      <c r="G73">
        <f t="shared" si="2"/>
        <v>7</v>
      </c>
      <c r="H73" s="7">
        <v>320.44</v>
      </c>
      <c r="J73" s="7"/>
    </row>
    <row r="74" spans="6:10" ht="18.75" customHeight="1">
      <c r="F74" s="1">
        <v>23590</v>
      </c>
      <c r="G74">
        <f t="shared" si="2"/>
        <v>8</v>
      </c>
      <c r="H74" s="7">
        <v>318.69</v>
      </c>
      <c r="J74" s="7"/>
    </row>
    <row r="75" spans="6:10" ht="18.75" customHeight="1">
      <c r="F75" s="1">
        <v>23621</v>
      </c>
      <c r="G75">
        <f t="shared" si="2"/>
        <v>9</v>
      </c>
      <c r="H75" s="7">
        <v>316.7</v>
      </c>
      <c r="J75" s="7"/>
    </row>
    <row r="76" spans="6:10" ht="18.75" customHeight="1">
      <c r="F76" s="1">
        <v>23651</v>
      </c>
      <c r="G76">
        <f t="shared" si="2"/>
        <v>10</v>
      </c>
      <c r="H76" s="7">
        <v>316.87</v>
      </c>
      <c r="J76" s="7"/>
    </row>
    <row r="77" spans="6:10" ht="18.75" customHeight="1">
      <c r="F77" s="1">
        <v>23682</v>
      </c>
      <c r="G77">
        <f t="shared" si="2"/>
        <v>11</v>
      </c>
      <c r="H77" s="7">
        <v>317.68</v>
      </c>
      <c r="J77" s="7"/>
    </row>
    <row r="78" spans="6:10" ht="18.75" customHeight="1">
      <c r="F78" s="1">
        <v>23712</v>
      </c>
      <c r="G78">
        <f t="shared" si="2"/>
        <v>12</v>
      </c>
      <c r="H78" s="7">
        <v>318.70999999999998</v>
      </c>
      <c r="J78" s="7"/>
    </row>
    <row r="79" spans="6:10" ht="18.75" customHeight="1">
      <c r="F79" s="1">
        <v>23743</v>
      </c>
      <c r="G79">
        <f t="shared" si="2"/>
        <v>1</v>
      </c>
      <c r="H79" s="7">
        <v>319.44</v>
      </c>
      <c r="J79" s="7"/>
    </row>
    <row r="80" spans="6:10" ht="18.75" customHeight="1">
      <c r="F80" s="1">
        <v>23774</v>
      </c>
      <c r="G80">
        <f t="shared" si="2"/>
        <v>2</v>
      </c>
      <c r="H80" s="7">
        <v>320.44</v>
      </c>
      <c r="J80" s="7"/>
    </row>
    <row r="81" spans="6:10" ht="18.75" customHeight="1">
      <c r="F81" s="1">
        <v>23802</v>
      </c>
      <c r="G81">
        <f t="shared" si="2"/>
        <v>3</v>
      </c>
      <c r="H81" s="7">
        <v>320.89</v>
      </c>
      <c r="J81" s="7"/>
    </row>
    <row r="82" spans="6:10" ht="18.75" customHeight="1">
      <c r="F82" s="1">
        <v>23833</v>
      </c>
      <c r="G82">
        <f t="shared" si="2"/>
        <v>4</v>
      </c>
      <c r="H82" s="7">
        <v>322.14</v>
      </c>
      <c r="J82" s="7"/>
    </row>
    <row r="83" spans="6:10" ht="18.75" customHeight="1">
      <c r="F83" s="1">
        <v>23863</v>
      </c>
      <c r="G83">
        <f t="shared" si="2"/>
        <v>5</v>
      </c>
      <c r="H83" s="7">
        <v>322.17</v>
      </c>
      <c r="J83" s="7"/>
    </row>
    <row r="84" spans="6:10" ht="18.75" customHeight="1">
      <c r="F84" s="1">
        <v>23894</v>
      </c>
      <c r="G84">
        <f t="shared" si="2"/>
        <v>6</v>
      </c>
      <c r="H84" s="7">
        <v>321.87</v>
      </c>
      <c r="J84" s="7"/>
    </row>
    <row r="85" spans="6:10" ht="18.75" customHeight="1">
      <c r="F85" s="1">
        <v>23924</v>
      </c>
      <c r="G85">
        <f t="shared" si="2"/>
        <v>7</v>
      </c>
      <c r="H85" s="7">
        <v>321.20999999999998</v>
      </c>
      <c r="J85" s="7"/>
    </row>
    <row r="86" spans="6:10" ht="18.75" customHeight="1">
      <c r="F86" s="1">
        <v>23955</v>
      </c>
      <c r="G86">
        <f t="shared" si="2"/>
        <v>8</v>
      </c>
      <c r="H86" s="7">
        <v>318.87</v>
      </c>
      <c r="J86" s="7"/>
    </row>
    <row r="87" spans="6:10" ht="18.75" customHeight="1">
      <c r="F87" s="1">
        <v>23986</v>
      </c>
      <c r="G87">
        <f t="shared" si="2"/>
        <v>9</v>
      </c>
      <c r="H87" s="7">
        <v>317.81</v>
      </c>
      <c r="J87" s="7"/>
    </row>
    <row r="88" spans="6:10" ht="18.75" customHeight="1">
      <c r="F88" s="1">
        <v>24016</v>
      </c>
      <c r="G88">
        <f t="shared" si="2"/>
        <v>10</v>
      </c>
      <c r="H88" s="7">
        <v>317.3</v>
      </c>
      <c r="J88" s="7"/>
    </row>
    <row r="89" spans="6:10" ht="18.75" customHeight="1">
      <c r="F89" s="1">
        <v>24047</v>
      </c>
      <c r="G89">
        <f t="shared" si="2"/>
        <v>11</v>
      </c>
      <c r="H89" s="7">
        <v>318.87</v>
      </c>
      <c r="J89" s="7"/>
    </row>
    <row r="90" spans="6:10" ht="18.75" customHeight="1">
      <c r="F90" s="1">
        <v>24077</v>
      </c>
      <c r="G90">
        <f t="shared" si="2"/>
        <v>12</v>
      </c>
      <c r="H90" s="7">
        <v>319.42</v>
      </c>
      <c r="J90" s="7"/>
    </row>
    <row r="91" spans="6:10" ht="18.75" customHeight="1">
      <c r="F91" s="1">
        <v>24108</v>
      </c>
      <c r="G91">
        <f t="shared" si="2"/>
        <v>1</v>
      </c>
      <c r="H91" s="7">
        <v>320.62</v>
      </c>
      <c r="J91" s="7"/>
    </row>
    <row r="92" spans="6:10" ht="18.75" customHeight="1">
      <c r="F92" s="1">
        <v>24139</v>
      </c>
      <c r="G92">
        <f t="shared" si="2"/>
        <v>2</v>
      </c>
      <c r="H92" s="7">
        <v>321.60000000000002</v>
      </c>
      <c r="J92" s="7"/>
    </row>
    <row r="93" spans="6:10" ht="18.75" customHeight="1">
      <c r="F93" s="1">
        <v>24167</v>
      </c>
      <c r="G93">
        <f t="shared" si="2"/>
        <v>3</v>
      </c>
      <c r="H93" s="7">
        <v>322.39</v>
      </c>
      <c r="J93" s="7"/>
    </row>
    <row r="94" spans="6:10" ht="18.75" customHeight="1">
      <c r="F94" s="1">
        <v>24198</v>
      </c>
      <c r="G94">
        <f t="shared" si="2"/>
        <v>4</v>
      </c>
      <c r="H94" s="7">
        <v>323.7</v>
      </c>
      <c r="J94" s="7"/>
    </row>
    <row r="95" spans="6:10" ht="18.75" customHeight="1">
      <c r="F95" s="1">
        <v>24228</v>
      </c>
      <c r="G95">
        <f t="shared" si="2"/>
        <v>5</v>
      </c>
      <c r="H95" s="7">
        <v>324.08</v>
      </c>
      <c r="J95" s="7"/>
    </row>
    <row r="96" spans="6:10" ht="18.75" customHeight="1">
      <c r="F96" s="1">
        <v>24259</v>
      </c>
      <c r="G96">
        <f t="shared" si="2"/>
        <v>6</v>
      </c>
      <c r="H96" s="7">
        <v>323.75</v>
      </c>
      <c r="J96" s="7"/>
    </row>
    <row r="97" spans="6:10" ht="18.75" customHeight="1">
      <c r="F97" s="1">
        <v>24289</v>
      </c>
      <c r="G97">
        <f t="shared" si="2"/>
        <v>7</v>
      </c>
      <c r="H97" s="7">
        <v>322.38</v>
      </c>
      <c r="J97" s="7"/>
    </row>
    <row r="98" spans="6:10" ht="18.75" customHeight="1">
      <c r="F98" s="1">
        <v>24320</v>
      </c>
      <c r="G98">
        <f t="shared" si="2"/>
        <v>8</v>
      </c>
      <c r="H98" s="7">
        <v>320.36</v>
      </c>
      <c r="J98" s="7"/>
    </row>
    <row r="99" spans="6:10" ht="18.75" customHeight="1">
      <c r="F99" s="1">
        <v>24351</v>
      </c>
      <c r="G99">
        <f t="shared" si="2"/>
        <v>9</v>
      </c>
      <c r="H99" s="7">
        <v>318.64</v>
      </c>
      <c r="J99" s="7"/>
    </row>
    <row r="100" spans="6:10" ht="18.75" customHeight="1">
      <c r="F100" s="1">
        <v>24381</v>
      </c>
      <c r="G100">
        <f t="shared" si="2"/>
        <v>10</v>
      </c>
      <c r="H100" s="7">
        <v>318.10000000000002</v>
      </c>
      <c r="J100" s="7"/>
    </row>
    <row r="101" spans="6:10" ht="18.75" customHeight="1">
      <c r="F101" s="1">
        <v>24412</v>
      </c>
      <c r="G101">
        <f t="shared" si="2"/>
        <v>11</v>
      </c>
      <c r="H101" s="7">
        <v>319.77999999999997</v>
      </c>
      <c r="J101" s="7"/>
    </row>
    <row r="102" spans="6:10" ht="18.75" customHeight="1">
      <c r="F102" s="1">
        <v>24442</v>
      </c>
      <c r="G102">
        <f t="shared" si="2"/>
        <v>12</v>
      </c>
      <c r="H102" s="7">
        <v>321.02999999999997</v>
      </c>
      <c r="J102" s="7"/>
    </row>
    <row r="103" spans="6:10" ht="18.75" customHeight="1">
      <c r="F103" s="1">
        <v>24473</v>
      </c>
      <c r="G103">
        <f t="shared" si="2"/>
        <v>1</v>
      </c>
      <c r="H103" s="7">
        <v>322.33</v>
      </c>
      <c r="J103" s="7"/>
    </row>
    <row r="104" spans="6:10" ht="18.75" customHeight="1">
      <c r="F104" s="1">
        <v>24504</v>
      </c>
      <c r="G104">
        <f t="shared" si="2"/>
        <v>2</v>
      </c>
      <c r="H104" s="7">
        <v>322.5</v>
      </c>
      <c r="J104" s="7"/>
    </row>
    <row r="105" spans="6:10" ht="18.75" customHeight="1">
      <c r="F105" s="1">
        <v>24532</v>
      </c>
      <c r="G105">
        <f t="shared" si="2"/>
        <v>3</v>
      </c>
      <c r="H105" s="7">
        <v>323.04000000000002</v>
      </c>
      <c r="J105" s="7"/>
    </row>
    <row r="106" spans="6:10" ht="18.75" customHeight="1">
      <c r="F106" s="1">
        <v>24563</v>
      </c>
      <c r="G106">
        <f t="shared" si="2"/>
        <v>4</v>
      </c>
      <c r="H106" s="7">
        <v>324.42</v>
      </c>
      <c r="J106" s="7"/>
    </row>
    <row r="107" spans="6:10" ht="18.75" customHeight="1">
      <c r="F107" s="1">
        <v>24593</v>
      </c>
      <c r="G107">
        <f t="shared" si="2"/>
        <v>5</v>
      </c>
      <c r="H107" s="7">
        <v>325</v>
      </c>
      <c r="J107" s="7"/>
    </row>
    <row r="108" spans="6:10" ht="18.75" customHeight="1">
      <c r="F108" s="1">
        <v>24624</v>
      </c>
      <c r="G108">
        <f t="shared" si="2"/>
        <v>6</v>
      </c>
      <c r="H108" s="7">
        <v>324.08999999999997</v>
      </c>
      <c r="J108" s="7"/>
    </row>
    <row r="109" spans="6:10" ht="18.75" customHeight="1">
      <c r="F109" s="1">
        <v>24654</v>
      </c>
      <c r="G109">
        <f t="shared" si="2"/>
        <v>7</v>
      </c>
      <c r="H109" s="7">
        <v>322.54000000000002</v>
      </c>
      <c r="J109" s="7"/>
    </row>
    <row r="110" spans="6:10" ht="18.75" customHeight="1">
      <c r="F110" s="1">
        <v>24685</v>
      </c>
      <c r="G110">
        <f t="shared" si="2"/>
        <v>8</v>
      </c>
      <c r="H110" s="7">
        <v>320.92</v>
      </c>
      <c r="J110" s="7"/>
    </row>
    <row r="111" spans="6:10" ht="18.75" customHeight="1">
      <c r="F111" s="1">
        <v>24716</v>
      </c>
      <c r="G111">
        <f t="shared" si="2"/>
        <v>9</v>
      </c>
      <c r="H111" s="7">
        <v>319.25</v>
      </c>
      <c r="J111" s="7"/>
    </row>
    <row r="112" spans="6:10" ht="18.75" customHeight="1">
      <c r="F112" s="1">
        <v>24746</v>
      </c>
      <c r="G112">
        <f t="shared" si="2"/>
        <v>10</v>
      </c>
      <c r="H112" s="7">
        <v>319.39</v>
      </c>
      <c r="J112" s="7"/>
    </row>
    <row r="113" spans="6:10" ht="18.75" customHeight="1">
      <c r="F113" s="1">
        <v>24777</v>
      </c>
      <c r="G113">
        <f t="shared" si="2"/>
        <v>11</v>
      </c>
      <c r="H113" s="7">
        <v>320.73</v>
      </c>
      <c r="J113" s="7"/>
    </row>
    <row r="114" spans="6:10" ht="18.75" customHeight="1">
      <c r="F114" s="1">
        <v>24807</v>
      </c>
      <c r="G114">
        <f t="shared" si="2"/>
        <v>12</v>
      </c>
      <c r="H114" s="7">
        <v>321.95999999999998</v>
      </c>
      <c r="J114" s="7"/>
    </row>
    <row r="115" spans="6:10" ht="18.75" customHeight="1">
      <c r="F115" s="1">
        <v>24838</v>
      </c>
      <c r="G115">
        <f t="shared" si="2"/>
        <v>1</v>
      </c>
      <c r="H115" s="7">
        <v>322.57</v>
      </c>
      <c r="J115" s="7"/>
    </row>
    <row r="116" spans="6:10" ht="18.75" customHeight="1">
      <c r="F116" s="1">
        <v>24869</v>
      </c>
      <c r="G116">
        <f t="shared" si="2"/>
        <v>2</v>
      </c>
      <c r="H116" s="7">
        <v>323.14999999999998</v>
      </c>
      <c r="J116" s="7"/>
    </row>
    <row r="117" spans="6:10" ht="18.75" customHeight="1">
      <c r="F117" s="1">
        <v>24898</v>
      </c>
      <c r="G117">
        <f t="shared" si="2"/>
        <v>3</v>
      </c>
      <c r="H117" s="7">
        <v>323.89</v>
      </c>
      <c r="J117" s="7"/>
    </row>
    <row r="118" spans="6:10" ht="18.75" customHeight="1">
      <c r="F118" s="1">
        <v>24929</v>
      </c>
      <c r="G118">
        <f t="shared" si="2"/>
        <v>4</v>
      </c>
      <c r="H118" s="7">
        <v>325.02</v>
      </c>
      <c r="J118" s="7"/>
    </row>
    <row r="119" spans="6:10" ht="18.75" customHeight="1">
      <c r="F119" s="1">
        <v>24959</v>
      </c>
      <c r="G119">
        <f t="shared" si="2"/>
        <v>5</v>
      </c>
      <c r="H119" s="7">
        <v>325.57</v>
      </c>
      <c r="J119" s="7"/>
    </row>
    <row r="120" spans="6:10" ht="18.75" customHeight="1">
      <c r="F120" s="1">
        <v>24990</v>
      </c>
      <c r="G120">
        <f t="shared" si="2"/>
        <v>6</v>
      </c>
      <c r="H120" s="7">
        <v>325.36</v>
      </c>
      <c r="J120" s="7"/>
    </row>
    <row r="121" spans="6:10" ht="18.75" customHeight="1">
      <c r="F121" s="1">
        <v>25020</v>
      </c>
      <c r="G121">
        <f t="shared" si="2"/>
        <v>7</v>
      </c>
      <c r="H121" s="7">
        <v>324.14</v>
      </c>
      <c r="J121" s="7"/>
    </row>
    <row r="122" spans="6:10" ht="18.75" customHeight="1">
      <c r="F122" s="1">
        <v>25051</v>
      </c>
      <c r="G122">
        <f t="shared" si="2"/>
        <v>8</v>
      </c>
      <c r="H122" s="7">
        <v>322.11</v>
      </c>
      <c r="J122" s="7"/>
    </row>
    <row r="123" spans="6:10" ht="18.75" customHeight="1">
      <c r="F123" s="1">
        <v>25082</v>
      </c>
      <c r="G123">
        <f t="shared" si="2"/>
        <v>9</v>
      </c>
      <c r="H123" s="7">
        <v>320.33</v>
      </c>
      <c r="J123" s="7"/>
    </row>
    <row r="124" spans="6:10" ht="18.75" customHeight="1">
      <c r="F124" s="1">
        <v>25112</v>
      </c>
      <c r="G124">
        <f t="shared" si="2"/>
        <v>10</v>
      </c>
      <c r="H124" s="7">
        <v>320.25</v>
      </c>
      <c r="J124" s="7"/>
    </row>
    <row r="125" spans="6:10" ht="18.75" customHeight="1">
      <c r="F125" s="1">
        <v>25143</v>
      </c>
      <c r="G125">
        <f t="shared" si="2"/>
        <v>11</v>
      </c>
      <c r="H125" s="7">
        <v>321.32</v>
      </c>
      <c r="J125" s="7"/>
    </row>
    <row r="126" spans="6:10" ht="18.75" customHeight="1">
      <c r="F126" s="1">
        <v>25173</v>
      </c>
      <c r="G126">
        <f t="shared" si="2"/>
        <v>12</v>
      </c>
      <c r="H126" s="7">
        <v>322.89</v>
      </c>
      <c r="J126" s="7"/>
    </row>
    <row r="127" spans="6:10" ht="18.75" customHeight="1">
      <c r="F127" s="1">
        <v>25204</v>
      </c>
      <c r="G127">
        <f t="shared" si="2"/>
        <v>1</v>
      </c>
      <c r="H127" s="7">
        <v>324</v>
      </c>
      <c r="J127" s="7"/>
    </row>
    <row r="128" spans="6:10" ht="18.75" customHeight="1">
      <c r="F128" s="1">
        <v>25235</v>
      </c>
      <c r="G128">
        <f t="shared" si="2"/>
        <v>2</v>
      </c>
      <c r="H128" s="7">
        <v>324.41000000000003</v>
      </c>
      <c r="J128" s="7"/>
    </row>
    <row r="129" spans="6:10" ht="18.75" customHeight="1">
      <c r="F129" s="1">
        <v>25263</v>
      </c>
      <c r="G129">
        <f t="shared" si="2"/>
        <v>3</v>
      </c>
      <c r="H129" s="7">
        <v>325.63</v>
      </c>
      <c r="J129" s="7"/>
    </row>
    <row r="130" spans="6:10" ht="18.75" customHeight="1">
      <c r="F130" s="1">
        <v>25294</v>
      </c>
      <c r="G130">
        <f t="shared" si="2"/>
        <v>4</v>
      </c>
      <c r="H130" s="7">
        <v>326.66000000000003</v>
      </c>
      <c r="J130" s="7"/>
    </row>
    <row r="131" spans="6:10" ht="18.75" customHeight="1">
      <c r="F131" s="1">
        <v>25324</v>
      </c>
      <c r="G131">
        <f t="shared" ref="G131:G194" si="3">MONTH(F131)</f>
        <v>5</v>
      </c>
      <c r="H131" s="7">
        <v>327.38</v>
      </c>
      <c r="J131" s="7"/>
    </row>
    <row r="132" spans="6:10" ht="18.75" customHeight="1">
      <c r="F132" s="1">
        <v>25355</v>
      </c>
      <c r="G132">
        <f t="shared" si="3"/>
        <v>6</v>
      </c>
      <c r="H132" s="7">
        <v>326.70999999999998</v>
      </c>
      <c r="J132" s="7"/>
    </row>
    <row r="133" spans="6:10" ht="18.75" customHeight="1">
      <c r="F133" s="1">
        <v>25385</v>
      </c>
      <c r="G133">
        <f t="shared" si="3"/>
        <v>7</v>
      </c>
      <c r="H133" s="7">
        <v>325.88</v>
      </c>
      <c r="J133" s="7"/>
    </row>
    <row r="134" spans="6:10" ht="18.75" customHeight="1">
      <c r="F134" s="1">
        <v>25416</v>
      </c>
      <c r="G134">
        <f t="shared" si="3"/>
        <v>8</v>
      </c>
      <c r="H134" s="7">
        <v>323.66000000000003</v>
      </c>
      <c r="J134" s="7"/>
    </row>
    <row r="135" spans="6:10" ht="18.75" customHeight="1">
      <c r="F135" s="1">
        <v>25447</v>
      </c>
      <c r="G135">
        <f t="shared" si="3"/>
        <v>9</v>
      </c>
      <c r="H135" s="7">
        <v>322.38</v>
      </c>
      <c r="J135" s="7"/>
    </row>
    <row r="136" spans="6:10" ht="18.75" customHeight="1">
      <c r="F136" s="1">
        <v>25477</v>
      </c>
      <c r="G136">
        <f t="shared" si="3"/>
        <v>10</v>
      </c>
      <c r="H136" s="7">
        <v>321.77999999999997</v>
      </c>
      <c r="J136" s="7"/>
    </row>
    <row r="137" spans="6:10" ht="18.75" customHeight="1">
      <c r="F137" s="1">
        <v>25508</v>
      </c>
      <c r="G137">
        <f t="shared" si="3"/>
        <v>11</v>
      </c>
      <c r="H137" s="7">
        <v>322.85000000000002</v>
      </c>
      <c r="J137" s="7"/>
    </row>
    <row r="138" spans="6:10" ht="18.75" customHeight="1">
      <c r="F138" s="1">
        <v>25538</v>
      </c>
      <c r="G138">
        <f t="shared" si="3"/>
        <v>12</v>
      </c>
      <c r="H138" s="7">
        <v>324.12</v>
      </c>
      <c r="J138" s="7"/>
    </row>
    <row r="139" spans="6:10" ht="18.75" customHeight="1">
      <c r="F139" s="1">
        <v>25569</v>
      </c>
      <c r="G139">
        <f t="shared" si="3"/>
        <v>1</v>
      </c>
      <c r="H139" s="7">
        <v>325.06</v>
      </c>
      <c r="J139" s="7"/>
    </row>
    <row r="140" spans="6:10" ht="18.75" customHeight="1">
      <c r="F140" s="1">
        <v>25600</v>
      </c>
      <c r="G140">
        <f t="shared" si="3"/>
        <v>2</v>
      </c>
      <c r="H140" s="7">
        <v>325.98</v>
      </c>
      <c r="J140" s="7"/>
    </row>
    <row r="141" spans="6:10" ht="18.75" customHeight="1">
      <c r="F141" s="1">
        <v>25628</v>
      </c>
      <c r="G141">
        <f t="shared" si="3"/>
        <v>3</v>
      </c>
      <c r="H141" s="7">
        <v>326.93</v>
      </c>
      <c r="J141" s="7"/>
    </row>
    <row r="142" spans="6:10" ht="18.75" customHeight="1">
      <c r="F142" s="1">
        <v>25659</v>
      </c>
      <c r="G142">
        <f t="shared" si="3"/>
        <v>4</v>
      </c>
      <c r="H142" s="7">
        <v>328.13</v>
      </c>
      <c r="J142" s="7"/>
    </row>
    <row r="143" spans="6:10" ht="18.75" customHeight="1">
      <c r="F143" s="1">
        <v>25689</v>
      </c>
      <c r="G143">
        <f t="shared" si="3"/>
        <v>5</v>
      </c>
      <c r="H143" s="7">
        <v>328.08</v>
      </c>
      <c r="J143" s="7"/>
    </row>
    <row r="144" spans="6:10" ht="18.75" customHeight="1">
      <c r="F144" s="1">
        <v>25720</v>
      </c>
      <c r="G144">
        <f t="shared" si="3"/>
        <v>6</v>
      </c>
      <c r="H144" s="7">
        <v>327.67</v>
      </c>
      <c r="J144" s="7"/>
    </row>
    <row r="145" spans="6:10" ht="18.75" customHeight="1">
      <c r="F145" s="1">
        <v>25750</v>
      </c>
      <c r="G145">
        <f t="shared" si="3"/>
        <v>7</v>
      </c>
      <c r="H145" s="7">
        <v>326.33999999999997</v>
      </c>
      <c r="J145" s="7"/>
    </row>
    <row r="146" spans="6:10" ht="18.75" customHeight="1">
      <c r="F146" s="1">
        <v>25781</v>
      </c>
      <c r="G146">
        <f t="shared" si="3"/>
        <v>8</v>
      </c>
      <c r="H146" s="7">
        <v>324.69</v>
      </c>
      <c r="J146" s="7"/>
    </row>
    <row r="147" spans="6:10" ht="18.75" customHeight="1">
      <c r="F147" s="1">
        <v>25812</v>
      </c>
      <c r="G147">
        <f t="shared" si="3"/>
        <v>9</v>
      </c>
      <c r="H147" s="7">
        <v>323.10000000000002</v>
      </c>
      <c r="J147" s="7"/>
    </row>
    <row r="148" spans="6:10" ht="18.75" customHeight="1">
      <c r="F148" s="1">
        <v>25842</v>
      </c>
      <c r="G148">
        <f t="shared" si="3"/>
        <v>10</v>
      </c>
      <c r="H148" s="7">
        <v>323.06</v>
      </c>
      <c r="J148" s="7"/>
    </row>
    <row r="149" spans="6:10" ht="18.75" customHeight="1">
      <c r="F149" s="1">
        <v>25873</v>
      </c>
      <c r="G149">
        <f t="shared" si="3"/>
        <v>11</v>
      </c>
      <c r="H149" s="7">
        <v>324.01</v>
      </c>
      <c r="J149" s="7"/>
    </row>
    <row r="150" spans="6:10" ht="18.75" customHeight="1">
      <c r="F150" s="1">
        <v>25903</v>
      </c>
      <c r="G150">
        <f t="shared" si="3"/>
        <v>12</v>
      </c>
      <c r="H150" s="7">
        <v>325.13</v>
      </c>
      <c r="J150" s="7"/>
    </row>
    <row r="151" spans="6:10" ht="18.75" customHeight="1">
      <c r="F151" s="1">
        <v>25934</v>
      </c>
      <c r="G151">
        <f t="shared" si="3"/>
        <v>1</v>
      </c>
      <c r="H151" s="7">
        <v>326.17</v>
      </c>
      <c r="J151" s="7"/>
    </row>
    <row r="152" spans="6:10" ht="18.75" customHeight="1">
      <c r="F152" s="1">
        <v>25965</v>
      </c>
      <c r="G152">
        <f t="shared" si="3"/>
        <v>2</v>
      </c>
      <c r="H152" s="7">
        <v>326.68</v>
      </c>
      <c r="J152" s="7"/>
    </row>
    <row r="153" spans="6:10" ht="18.75" customHeight="1">
      <c r="F153" s="1">
        <v>25993</v>
      </c>
      <c r="G153">
        <f t="shared" si="3"/>
        <v>3</v>
      </c>
      <c r="H153" s="7">
        <v>327.17</v>
      </c>
      <c r="J153" s="7"/>
    </row>
    <row r="154" spans="6:10" ht="18.75" customHeight="1">
      <c r="F154" s="1">
        <v>26024</v>
      </c>
      <c r="G154">
        <f t="shared" si="3"/>
        <v>4</v>
      </c>
      <c r="H154" s="7">
        <v>327.79</v>
      </c>
      <c r="J154" s="7"/>
    </row>
    <row r="155" spans="6:10" ht="18.75" customHeight="1">
      <c r="F155" s="1">
        <v>26054</v>
      </c>
      <c r="G155">
        <f t="shared" si="3"/>
        <v>5</v>
      </c>
      <c r="H155" s="7">
        <v>328.93</v>
      </c>
      <c r="J155" s="7"/>
    </row>
    <row r="156" spans="6:10" ht="18.75" customHeight="1">
      <c r="F156" s="1">
        <v>26085</v>
      </c>
      <c r="G156">
        <f t="shared" si="3"/>
        <v>6</v>
      </c>
      <c r="H156" s="7">
        <v>328.57</v>
      </c>
      <c r="J156" s="7"/>
    </row>
    <row r="157" spans="6:10" ht="18.75" customHeight="1">
      <c r="F157" s="1">
        <v>26115</v>
      </c>
      <c r="G157">
        <f t="shared" si="3"/>
        <v>7</v>
      </c>
      <c r="H157" s="7">
        <v>327.36</v>
      </c>
      <c r="J157" s="7"/>
    </row>
    <row r="158" spans="6:10" ht="18.75" customHeight="1">
      <c r="F158" s="1">
        <v>26146</v>
      </c>
      <c r="G158">
        <f t="shared" si="3"/>
        <v>8</v>
      </c>
      <c r="H158" s="7">
        <v>325.43</v>
      </c>
      <c r="J158" s="7"/>
    </row>
    <row r="159" spans="6:10" ht="18.75" customHeight="1">
      <c r="F159" s="1">
        <v>26177</v>
      </c>
      <c r="G159">
        <f t="shared" si="3"/>
        <v>9</v>
      </c>
      <c r="H159" s="7">
        <v>323.36</v>
      </c>
      <c r="J159" s="7"/>
    </row>
    <row r="160" spans="6:10" ht="18.75" customHeight="1">
      <c r="F160" s="1">
        <v>26207</v>
      </c>
      <c r="G160">
        <f t="shared" si="3"/>
        <v>10</v>
      </c>
      <c r="H160" s="7">
        <v>323.56</v>
      </c>
      <c r="J160" s="7"/>
    </row>
    <row r="161" spans="6:10" ht="18.75" customHeight="1">
      <c r="F161" s="1">
        <v>26238</v>
      </c>
      <c r="G161">
        <f t="shared" si="3"/>
        <v>11</v>
      </c>
      <c r="H161" s="7">
        <v>324.8</v>
      </c>
      <c r="J161" s="7"/>
    </row>
    <row r="162" spans="6:10" ht="18.75" customHeight="1">
      <c r="F162" s="1">
        <v>26268</v>
      </c>
      <c r="G162">
        <f t="shared" si="3"/>
        <v>12</v>
      </c>
      <c r="H162" s="7">
        <v>326.01</v>
      </c>
      <c r="J162" s="7"/>
    </row>
    <row r="163" spans="6:10" ht="18.75" customHeight="1">
      <c r="F163" s="1">
        <v>26299</v>
      </c>
      <c r="G163">
        <f t="shared" si="3"/>
        <v>1</v>
      </c>
      <c r="H163" s="7">
        <v>326.77</v>
      </c>
      <c r="J163" s="7"/>
    </row>
    <row r="164" spans="6:10" ht="18.75" customHeight="1">
      <c r="F164" s="1">
        <v>26330</v>
      </c>
      <c r="G164">
        <f t="shared" si="3"/>
        <v>2</v>
      </c>
      <c r="H164" s="7">
        <v>327.63</v>
      </c>
      <c r="J164" s="7"/>
    </row>
    <row r="165" spans="6:10" ht="18.75" customHeight="1">
      <c r="F165" s="1">
        <v>26359</v>
      </c>
      <c r="G165">
        <f t="shared" si="3"/>
        <v>3</v>
      </c>
      <c r="H165" s="7">
        <v>327.75</v>
      </c>
      <c r="J165" s="7"/>
    </row>
    <row r="166" spans="6:10" ht="18.75" customHeight="1">
      <c r="F166" s="1">
        <v>26390</v>
      </c>
      <c r="G166">
        <f t="shared" si="3"/>
        <v>4</v>
      </c>
      <c r="H166" s="7">
        <v>329.72</v>
      </c>
      <c r="J166" s="7"/>
    </row>
    <row r="167" spans="6:10" ht="18.75" customHeight="1">
      <c r="F167" s="1">
        <v>26420</v>
      </c>
      <c r="G167">
        <f t="shared" si="3"/>
        <v>5</v>
      </c>
      <c r="H167" s="7">
        <v>330.07</v>
      </c>
      <c r="J167" s="7"/>
    </row>
    <row r="168" spans="6:10" ht="18.75" customHeight="1">
      <c r="F168" s="1">
        <v>26451</v>
      </c>
      <c r="G168">
        <f t="shared" si="3"/>
        <v>6</v>
      </c>
      <c r="H168" s="7">
        <v>329.09</v>
      </c>
      <c r="J168" s="7"/>
    </row>
    <row r="169" spans="6:10" ht="18.75" customHeight="1">
      <c r="F169" s="1">
        <v>26481</v>
      </c>
      <c r="G169">
        <f t="shared" si="3"/>
        <v>7</v>
      </c>
      <c r="H169" s="7">
        <v>328.04</v>
      </c>
      <c r="J169" s="7"/>
    </row>
    <row r="170" spans="6:10" ht="18.75" customHeight="1">
      <c r="F170" s="1">
        <v>26512</v>
      </c>
      <c r="G170">
        <f t="shared" si="3"/>
        <v>8</v>
      </c>
      <c r="H170" s="7">
        <v>326.32</v>
      </c>
      <c r="J170" s="7"/>
    </row>
    <row r="171" spans="6:10" ht="18.75" customHeight="1">
      <c r="F171" s="1">
        <v>26543</v>
      </c>
      <c r="G171">
        <f t="shared" si="3"/>
        <v>9</v>
      </c>
      <c r="H171" s="7">
        <v>324.83999999999997</v>
      </c>
      <c r="J171" s="7"/>
    </row>
    <row r="172" spans="6:10" ht="18.75" customHeight="1">
      <c r="F172" s="1">
        <v>26573</v>
      </c>
      <c r="G172">
        <f t="shared" si="3"/>
        <v>10</v>
      </c>
      <c r="H172" s="7">
        <v>325.2</v>
      </c>
      <c r="J172" s="7"/>
    </row>
    <row r="173" spans="6:10" ht="18.75" customHeight="1">
      <c r="F173" s="1">
        <v>26604</v>
      </c>
      <c r="G173">
        <f t="shared" si="3"/>
        <v>11</v>
      </c>
      <c r="H173" s="7">
        <v>326.5</v>
      </c>
      <c r="J173" s="7"/>
    </row>
    <row r="174" spans="6:10" ht="18.75" customHeight="1">
      <c r="F174" s="1">
        <v>26634</v>
      </c>
      <c r="G174">
        <f t="shared" si="3"/>
        <v>12</v>
      </c>
      <c r="H174" s="7">
        <v>327.55</v>
      </c>
      <c r="J174" s="7"/>
    </row>
    <row r="175" spans="6:10" ht="18.75" customHeight="1">
      <c r="F175" s="1">
        <v>26665</v>
      </c>
      <c r="G175">
        <f t="shared" si="3"/>
        <v>1</v>
      </c>
      <c r="H175" s="7">
        <v>328.55</v>
      </c>
      <c r="J175" s="7"/>
    </row>
    <row r="176" spans="6:10" ht="18.75" customHeight="1">
      <c r="F176" s="1">
        <v>26696</v>
      </c>
      <c r="G176">
        <f t="shared" si="3"/>
        <v>2</v>
      </c>
      <c r="H176" s="7">
        <v>329.56</v>
      </c>
      <c r="J176" s="7"/>
    </row>
    <row r="177" spans="6:10" ht="18.75" customHeight="1">
      <c r="F177" s="1">
        <v>26724</v>
      </c>
      <c r="G177">
        <f t="shared" si="3"/>
        <v>3</v>
      </c>
      <c r="H177" s="7">
        <v>330.3</v>
      </c>
      <c r="J177" s="7"/>
    </row>
    <row r="178" spans="6:10" ht="18.75" customHeight="1">
      <c r="F178" s="1">
        <v>26755</v>
      </c>
      <c r="G178">
        <f t="shared" si="3"/>
        <v>4</v>
      </c>
      <c r="H178" s="7">
        <v>331.5</v>
      </c>
      <c r="J178" s="7"/>
    </row>
    <row r="179" spans="6:10" ht="18.75" customHeight="1">
      <c r="F179" s="1">
        <v>26785</v>
      </c>
      <c r="G179">
        <f t="shared" si="3"/>
        <v>5</v>
      </c>
      <c r="H179" s="7">
        <v>332.48</v>
      </c>
      <c r="J179" s="7"/>
    </row>
    <row r="180" spans="6:10" ht="18.75" customHeight="1">
      <c r="F180" s="1">
        <v>26816</v>
      </c>
      <c r="G180">
        <f t="shared" si="3"/>
        <v>6</v>
      </c>
      <c r="H180" s="7">
        <v>332.07</v>
      </c>
      <c r="J180" s="7"/>
    </row>
    <row r="181" spans="6:10" ht="18.75" customHeight="1">
      <c r="F181" s="1">
        <v>26846</v>
      </c>
      <c r="G181">
        <f t="shared" si="3"/>
        <v>7</v>
      </c>
      <c r="H181" s="7">
        <v>330.87</v>
      </c>
      <c r="J181" s="7"/>
    </row>
    <row r="182" spans="6:10" ht="18.75" customHeight="1">
      <c r="F182" s="1">
        <v>26877</v>
      </c>
      <c r="G182">
        <f t="shared" si="3"/>
        <v>8</v>
      </c>
      <c r="H182" s="7">
        <v>329.31</v>
      </c>
      <c r="J182" s="7"/>
    </row>
    <row r="183" spans="6:10" ht="18.75" customHeight="1">
      <c r="F183" s="1">
        <v>26908</v>
      </c>
      <c r="G183">
        <f t="shared" si="3"/>
        <v>9</v>
      </c>
      <c r="H183" s="7">
        <v>327.51</v>
      </c>
      <c r="J183" s="7"/>
    </row>
    <row r="184" spans="6:10" ht="18.75" customHeight="1">
      <c r="F184" s="1">
        <v>26938</v>
      </c>
      <c r="G184">
        <f t="shared" si="3"/>
        <v>10</v>
      </c>
      <c r="H184" s="7">
        <v>327.18</v>
      </c>
      <c r="J184" s="7"/>
    </row>
    <row r="185" spans="6:10" ht="18.75" customHeight="1">
      <c r="F185" s="1">
        <v>26969</v>
      </c>
      <c r="G185">
        <f t="shared" si="3"/>
        <v>11</v>
      </c>
      <c r="H185" s="7">
        <v>328.16</v>
      </c>
      <c r="J185" s="7"/>
    </row>
    <row r="186" spans="6:10" ht="18.75" customHeight="1">
      <c r="F186" s="1">
        <v>26999</v>
      </c>
      <c r="G186">
        <f t="shared" si="3"/>
        <v>12</v>
      </c>
      <c r="H186" s="7">
        <v>328.64</v>
      </c>
      <c r="J186" s="7"/>
    </row>
    <row r="187" spans="6:10" ht="18.75" customHeight="1">
      <c r="F187" s="1">
        <v>27030</v>
      </c>
      <c r="G187">
        <f t="shared" si="3"/>
        <v>1</v>
      </c>
      <c r="H187" s="7">
        <v>329.35</v>
      </c>
      <c r="J187" s="7"/>
    </row>
    <row r="188" spans="6:10" ht="18.75" customHeight="1">
      <c r="F188" s="1">
        <v>27061</v>
      </c>
      <c r="G188">
        <f t="shared" si="3"/>
        <v>2</v>
      </c>
      <c r="H188" s="7">
        <v>330.71</v>
      </c>
      <c r="J188" s="7"/>
    </row>
    <row r="189" spans="6:10" ht="18.75" customHeight="1">
      <c r="F189" s="1">
        <v>27089</v>
      </c>
      <c r="G189">
        <f t="shared" si="3"/>
        <v>3</v>
      </c>
      <c r="H189" s="7">
        <v>331.48</v>
      </c>
      <c r="J189" s="7"/>
    </row>
    <row r="190" spans="6:10" ht="18.75" customHeight="1">
      <c r="F190" s="1">
        <v>27120</v>
      </c>
      <c r="G190">
        <f t="shared" si="3"/>
        <v>4</v>
      </c>
      <c r="H190" s="7">
        <v>332.65</v>
      </c>
      <c r="J190" s="7"/>
    </row>
    <row r="191" spans="6:10" ht="18.75" customHeight="1">
      <c r="F191" s="1">
        <v>27150</v>
      </c>
      <c r="G191">
        <f t="shared" si="3"/>
        <v>5</v>
      </c>
      <c r="H191" s="7">
        <v>333.09</v>
      </c>
      <c r="J191" s="7"/>
    </row>
    <row r="192" spans="6:10" ht="18.75" customHeight="1">
      <c r="F192" s="1">
        <v>27181</v>
      </c>
      <c r="G192">
        <f t="shared" si="3"/>
        <v>6</v>
      </c>
      <c r="H192" s="7">
        <v>332.25</v>
      </c>
      <c r="J192" s="7"/>
    </row>
    <row r="193" spans="6:10" ht="18.75" customHeight="1">
      <c r="F193" s="1">
        <v>27211</v>
      </c>
      <c r="G193">
        <f t="shared" si="3"/>
        <v>7</v>
      </c>
      <c r="H193" s="7">
        <v>331.18</v>
      </c>
      <c r="J193" s="7"/>
    </row>
    <row r="194" spans="6:10" ht="18.75" customHeight="1">
      <c r="F194" s="1">
        <v>27242</v>
      </c>
      <c r="G194">
        <f t="shared" si="3"/>
        <v>8</v>
      </c>
      <c r="H194" s="7">
        <v>329.39</v>
      </c>
      <c r="J194" s="7"/>
    </row>
    <row r="195" spans="6:10" ht="18.75" customHeight="1">
      <c r="F195" s="1">
        <v>27273</v>
      </c>
      <c r="G195">
        <f t="shared" ref="G195:G258" si="4">MONTH(F195)</f>
        <v>9</v>
      </c>
      <c r="H195" s="7">
        <v>327.43</v>
      </c>
      <c r="J195" s="7"/>
    </row>
    <row r="196" spans="6:10" ht="18.75" customHeight="1">
      <c r="F196" s="1">
        <v>27303</v>
      </c>
      <c r="G196">
        <f t="shared" si="4"/>
        <v>10</v>
      </c>
      <c r="H196" s="7">
        <v>327.37</v>
      </c>
      <c r="J196" s="7"/>
    </row>
    <row r="197" spans="6:10" ht="18.75" customHeight="1">
      <c r="F197" s="1">
        <v>27334</v>
      </c>
      <c r="G197">
        <f t="shared" si="4"/>
        <v>11</v>
      </c>
      <c r="H197" s="7">
        <v>328.46</v>
      </c>
      <c r="J197" s="7"/>
    </row>
    <row r="198" spans="6:10" ht="18.75" customHeight="1">
      <c r="F198" s="1">
        <v>27364</v>
      </c>
      <c r="G198">
        <f t="shared" si="4"/>
        <v>12</v>
      </c>
      <c r="H198" s="7">
        <v>329.57</v>
      </c>
      <c r="J198" s="7"/>
    </row>
    <row r="199" spans="6:10" ht="18.75" customHeight="1">
      <c r="F199" s="1">
        <v>27395</v>
      </c>
      <c r="G199">
        <f t="shared" si="4"/>
        <v>1</v>
      </c>
      <c r="H199" s="7">
        <v>330.4</v>
      </c>
      <c r="J199" s="7"/>
    </row>
    <row r="200" spans="6:10" ht="18.75" customHeight="1">
      <c r="F200" s="1">
        <v>27426</v>
      </c>
      <c r="G200">
        <f t="shared" si="4"/>
        <v>2</v>
      </c>
      <c r="H200" s="7">
        <v>331.4</v>
      </c>
      <c r="J200" s="7"/>
    </row>
    <row r="201" spans="6:10" ht="18.75" customHeight="1">
      <c r="F201" s="1">
        <v>27454</v>
      </c>
      <c r="G201">
        <f t="shared" si="4"/>
        <v>3</v>
      </c>
      <c r="H201" s="7">
        <v>332.04</v>
      </c>
      <c r="J201" s="7"/>
    </row>
    <row r="202" spans="6:10" ht="18.75" customHeight="1">
      <c r="F202" s="1">
        <v>27485</v>
      </c>
      <c r="G202">
        <f t="shared" si="4"/>
        <v>4</v>
      </c>
      <c r="H202" s="7">
        <v>333.31</v>
      </c>
      <c r="J202" s="7"/>
    </row>
    <row r="203" spans="6:10" ht="18.75" customHeight="1">
      <c r="F203" s="1">
        <v>27515</v>
      </c>
      <c r="G203">
        <f t="shared" si="4"/>
        <v>5</v>
      </c>
      <c r="H203" s="7">
        <v>333.97</v>
      </c>
      <c r="J203" s="7"/>
    </row>
    <row r="204" spans="6:10" ht="18.75" customHeight="1">
      <c r="F204" s="1">
        <v>27546</v>
      </c>
      <c r="G204">
        <f t="shared" si="4"/>
        <v>6</v>
      </c>
      <c r="H204" s="7">
        <v>333.6</v>
      </c>
      <c r="J204" s="7"/>
    </row>
    <row r="205" spans="6:10" ht="18.75" customHeight="1">
      <c r="F205" s="1">
        <v>27576</v>
      </c>
      <c r="G205">
        <f t="shared" si="4"/>
        <v>7</v>
      </c>
      <c r="H205" s="7">
        <v>331.9</v>
      </c>
      <c r="J205" s="7"/>
    </row>
    <row r="206" spans="6:10" ht="18.75" customHeight="1">
      <c r="F206" s="1">
        <v>27607</v>
      </c>
      <c r="G206">
        <f t="shared" si="4"/>
        <v>8</v>
      </c>
      <c r="H206" s="7">
        <v>330.06</v>
      </c>
      <c r="J206" s="7"/>
    </row>
    <row r="207" spans="6:10" ht="18.75" customHeight="1">
      <c r="F207" s="1">
        <v>27638</v>
      </c>
      <c r="G207">
        <f t="shared" si="4"/>
        <v>9</v>
      </c>
      <c r="H207" s="7">
        <v>328.56</v>
      </c>
      <c r="J207" s="7"/>
    </row>
    <row r="208" spans="6:10" ht="18.75" customHeight="1">
      <c r="F208" s="1">
        <v>27668</v>
      </c>
      <c r="G208">
        <f t="shared" si="4"/>
        <v>10</v>
      </c>
      <c r="H208" s="7">
        <v>328.34</v>
      </c>
      <c r="J208" s="7"/>
    </row>
    <row r="209" spans="6:10" ht="18.75" customHeight="1">
      <c r="F209" s="1">
        <v>27699</v>
      </c>
      <c r="G209">
        <f t="shared" si="4"/>
        <v>11</v>
      </c>
      <c r="H209" s="7">
        <v>329.49</v>
      </c>
      <c r="J209" s="7"/>
    </row>
    <row r="210" spans="6:10" ht="18.75" customHeight="1">
      <c r="F210" s="1">
        <v>27729</v>
      </c>
      <c r="G210">
        <f t="shared" si="4"/>
        <v>12</v>
      </c>
      <c r="H210" s="7">
        <v>330.76</v>
      </c>
      <c r="J210" s="7"/>
    </row>
    <row r="211" spans="6:10" ht="18.75" customHeight="1">
      <c r="F211" s="1">
        <v>27760</v>
      </c>
      <c r="G211">
        <f t="shared" si="4"/>
        <v>1</v>
      </c>
      <c r="H211" s="7">
        <v>331.75</v>
      </c>
      <c r="J211" s="7"/>
    </row>
    <row r="212" spans="6:10" ht="18.75" customHeight="1">
      <c r="F212" s="1">
        <v>27791</v>
      </c>
      <c r="G212">
        <f t="shared" si="4"/>
        <v>2</v>
      </c>
      <c r="H212" s="7">
        <v>332.57</v>
      </c>
      <c r="J212" s="7"/>
    </row>
    <row r="213" spans="6:10" ht="18.75" customHeight="1">
      <c r="F213" s="1">
        <v>27820</v>
      </c>
      <c r="G213">
        <f t="shared" si="4"/>
        <v>3</v>
      </c>
      <c r="H213" s="7">
        <v>333.5</v>
      </c>
      <c r="J213" s="7"/>
    </row>
    <row r="214" spans="6:10" ht="18.75" customHeight="1">
      <c r="F214" s="1">
        <v>27851</v>
      </c>
      <c r="G214">
        <f t="shared" si="4"/>
        <v>4</v>
      </c>
      <c r="H214" s="7">
        <v>334.58</v>
      </c>
      <c r="J214" s="7"/>
    </row>
    <row r="215" spans="6:10" ht="18.75" customHeight="1">
      <c r="F215" s="1">
        <v>27881</v>
      </c>
      <c r="G215">
        <f t="shared" si="4"/>
        <v>5</v>
      </c>
      <c r="H215" s="7">
        <v>334.88</v>
      </c>
      <c r="J215" s="7"/>
    </row>
    <row r="216" spans="6:10" ht="18.75" customHeight="1">
      <c r="F216" s="1">
        <v>27912</v>
      </c>
      <c r="G216">
        <f t="shared" si="4"/>
        <v>6</v>
      </c>
      <c r="H216" s="7">
        <v>334.33</v>
      </c>
      <c r="J216" s="7"/>
    </row>
    <row r="217" spans="6:10" ht="18.75" customHeight="1">
      <c r="F217" s="1">
        <v>27942</v>
      </c>
      <c r="G217">
        <f t="shared" si="4"/>
        <v>7</v>
      </c>
      <c r="H217" s="7">
        <v>333.05</v>
      </c>
      <c r="J217" s="7"/>
    </row>
    <row r="218" spans="6:10" ht="18.75" customHeight="1">
      <c r="F218" s="1">
        <v>27973</v>
      </c>
      <c r="G218">
        <f t="shared" si="4"/>
        <v>8</v>
      </c>
      <c r="H218" s="7">
        <v>330.94</v>
      </c>
      <c r="J218" s="7"/>
    </row>
    <row r="219" spans="6:10" ht="18.75" customHeight="1">
      <c r="F219" s="1">
        <v>28004</v>
      </c>
      <c r="G219">
        <f t="shared" si="4"/>
        <v>9</v>
      </c>
      <c r="H219" s="7">
        <v>329.3</v>
      </c>
      <c r="J219" s="7"/>
    </row>
    <row r="220" spans="6:10" ht="18.75" customHeight="1">
      <c r="F220" s="1">
        <v>28034</v>
      </c>
      <c r="G220">
        <f t="shared" si="4"/>
        <v>10</v>
      </c>
      <c r="H220" s="7">
        <v>328.94</v>
      </c>
      <c r="J220" s="7"/>
    </row>
    <row r="221" spans="6:10" ht="18.75" customHeight="1">
      <c r="F221" s="1">
        <v>28065</v>
      </c>
      <c r="G221">
        <f t="shared" si="4"/>
        <v>11</v>
      </c>
      <c r="H221" s="7">
        <v>330.31</v>
      </c>
      <c r="J221" s="7"/>
    </row>
    <row r="222" spans="6:10" ht="18.75" customHeight="1">
      <c r="F222" s="1">
        <v>28095</v>
      </c>
      <c r="G222">
        <f t="shared" si="4"/>
        <v>12</v>
      </c>
      <c r="H222" s="7">
        <v>331.68</v>
      </c>
      <c r="J222" s="7"/>
    </row>
    <row r="223" spans="6:10" ht="18.75" customHeight="1">
      <c r="F223" s="1">
        <v>28126</v>
      </c>
      <c r="G223">
        <f t="shared" si="4"/>
        <v>1</v>
      </c>
      <c r="H223" s="7">
        <v>332.93</v>
      </c>
      <c r="J223" s="7"/>
    </row>
    <row r="224" spans="6:10" ht="18.75" customHeight="1">
      <c r="F224" s="1">
        <v>28157</v>
      </c>
      <c r="G224">
        <f t="shared" si="4"/>
        <v>2</v>
      </c>
      <c r="H224" s="7">
        <v>333.42</v>
      </c>
      <c r="J224" s="7"/>
    </row>
    <row r="225" spans="6:10" ht="18.75" customHeight="1">
      <c r="F225" s="1">
        <v>28185</v>
      </c>
      <c r="G225">
        <f t="shared" si="4"/>
        <v>3</v>
      </c>
      <c r="H225" s="7">
        <v>334.7</v>
      </c>
      <c r="J225" s="7"/>
    </row>
    <row r="226" spans="6:10" ht="18.75" customHeight="1">
      <c r="F226" s="1">
        <v>28216</v>
      </c>
      <c r="G226">
        <f t="shared" si="4"/>
        <v>4</v>
      </c>
      <c r="H226" s="7">
        <v>336.07</v>
      </c>
      <c r="J226" s="7"/>
    </row>
    <row r="227" spans="6:10" ht="18.75" customHeight="1">
      <c r="F227" s="1">
        <v>28246</v>
      </c>
      <c r="G227">
        <f t="shared" si="4"/>
        <v>5</v>
      </c>
      <c r="H227" s="7">
        <v>336.75</v>
      </c>
      <c r="J227" s="7"/>
    </row>
    <row r="228" spans="6:10" ht="18.75" customHeight="1">
      <c r="F228" s="1">
        <v>28277</v>
      </c>
      <c r="G228">
        <f t="shared" si="4"/>
        <v>6</v>
      </c>
      <c r="H228" s="7">
        <v>336.27</v>
      </c>
      <c r="J228" s="7"/>
    </row>
    <row r="229" spans="6:10" ht="18.75" customHeight="1">
      <c r="F229" s="1">
        <v>28307</v>
      </c>
      <c r="G229">
        <f t="shared" si="4"/>
        <v>7</v>
      </c>
      <c r="H229" s="7">
        <v>334.92</v>
      </c>
      <c r="J229" s="7"/>
    </row>
    <row r="230" spans="6:10" ht="18.75" customHeight="1">
      <c r="F230" s="1">
        <v>28338</v>
      </c>
      <c r="G230">
        <f t="shared" si="4"/>
        <v>8</v>
      </c>
      <c r="H230" s="7">
        <v>332.75</v>
      </c>
      <c r="J230" s="7"/>
    </row>
    <row r="231" spans="6:10" ht="18.75" customHeight="1">
      <c r="F231" s="1">
        <v>28369</v>
      </c>
      <c r="G231">
        <f t="shared" si="4"/>
        <v>9</v>
      </c>
      <c r="H231" s="7">
        <v>331.59</v>
      </c>
      <c r="J231" s="7"/>
    </row>
    <row r="232" spans="6:10" ht="18.75" customHeight="1">
      <c r="F232" s="1">
        <v>28399</v>
      </c>
      <c r="G232">
        <f t="shared" si="4"/>
        <v>10</v>
      </c>
      <c r="H232" s="7">
        <v>331.16</v>
      </c>
      <c r="J232" s="7"/>
    </row>
    <row r="233" spans="6:10" ht="18.75" customHeight="1">
      <c r="F233" s="1">
        <v>28430</v>
      </c>
      <c r="G233">
        <f t="shared" si="4"/>
        <v>11</v>
      </c>
      <c r="H233" s="7">
        <v>332.4</v>
      </c>
      <c r="J233" s="7"/>
    </row>
    <row r="234" spans="6:10" ht="18.75" customHeight="1">
      <c r="F234" s="1">
        <v>28460</v>
      </c>
      <c r="G234">
        <f t="shared" si="4"/>
        <v>12</v>
      </c>
      <c r="H234" s="7">
        <v>333.85</v>
      </c>
      <c r="J234" s="7"/>
    </row>
    <row r="235" spans="6:10" ht="18.75" customHeight="1">
      <c r="F235" s="1">
        <v>28491</v>
      </c>
      <c r="G235">
        <f t="shared" si="4"/>
        <v>1</v>
      </c>
      <c r="H235" s="7">
        <v>334.97</v>
      </c>
      <c r="J235" s="7"/>
    </row>
    <row r="236" spans="6:10" ht="18.75" customHeight="1">
      <c r="F236" s="1">
        <v>28522</v>
      </c>
      <c r="G236">
        <f t="shared" si="4"/>
        <v>2</v>
      </c>
      <c r="H236" s="7">
        <v>335.39</v>
      </c>
      <c r="J236" s="7"/>
    </row>
    <row r="237" spans="6:10" ht="18.75" customHeight="1">
      <c r="F237" s="1">
        <v>28550</v>
      </c>
      <c r="G237">
        <f t="shared" si="4"/>
        <v>3</v>
      </c>
      <c r="H237" s="7">
        <v>336.64</v>
      </c>
      <c r="J237" s="7"/>
    </row>
    <row r="238" spans="6:10" ht="18.75" customHeight="1">
      <c r="F238" s="1">
        <v>28581</v>
      </c>
      <c r="G238">
        <f t="shared" si="4"/>
        <v>4</v>
      </c>
      <c r="H238" s="7">
        <v>337.76</v>
      </c>
      <c r="J238" s="7"/>
    </row>
    <row r="239" spans="6:10" ht="18.75" customHeight="1">
      <c r="F239" s="1">
        <v>28611</v>
      </c>
      <c r="G239">
        <f t="shared" si="4"/>
        <v>5</v>
      </c>
      <c r="H239" s="7">
        <v>338.01</v>
      </c>
      <c r="J239" s="7"/>
    </row>
    <row r="240" spans="6:10" ht="18.75" customHeight="1">
      <c r="F240" s="1">
        <v>28642</v>
      </c>
      <c r="G240">
        <f t="shared" si="4"/>
        <v>6</v>
      </c>
      <c r="H240" s="7">
        <v>337.9</v>
      </c>
      <c r="J240" s="7"/>
    </row>
    <row r="241" spans="6:10" ht="18.75" customHeight="1">
      <c r="F241" s="1">
        <v>28672</v>
      </c>
      <c r="G241">
        <f t="shared" si="4"/>
        <v>7</v>
      </c>
      <c r="H241" s="7">
        <v>336.54</v>
      </c>
      <c r="J241" s="7"/>
    </row>
    <row r="242" spans="6:10" ht="18.75" customHeight="1">
      <c r="F242" s="1">
        <v>28703</v>
      </c>
      <c r="G242">
        <f t="shared" si="4"/>
        <v>8</v>
      </c>
      <c r="H242" s="7">
        <v>334.68</v>
      </c>
      <c r="J242" s="7"/>
    </row>
    <row r="243" spans="6:10" ht="18.75" customHeight="1">
      <c r="F243" s="1">
        <v>28734</v>
      </c>
      <c r="G243">
        <f t="shared" si="4"/>
        <v>9</v>
      </c>
      <c r="H243" s="7">
        <v>332.76</v>
      </c>
      <c r="J243" s="7"/>
    </row>
    <row r="244" spans="6:10" ht="18.75" customHeight="1">
      <c r="F244" s="1">
        <v>28764</v>
      </c>
      <c r="G244">
        <f t="shared" si="4"/>
        <v>10</v>
      </c>
      <c r="H244" s="7">
        <v>332.55</v>
      </c>
      <c r="J244" s="7"/>
    </row>
    <row r="245" spans="6:10" ht="18.75" customHeight="1">
      <c r="F245" s="1">
        <v>28795</v>
      </c>
      <c r="G245">
        <f t="shared" si="4"/>
        <v>11</v>
      </c>
      <c r="H245" s="7">
        <v>333.92</v>
      </c>
      <c r="J245" s="7"/>
    </row>
    <row r="246" spans="6:10" ht="18.75" customHeight="1">
      <c r="F246" s="1">
        <v>28825</v>
      </c>
      <c r="G246">
        <f t="shared" si="4"/>
        <v>12</v>
      </c>
      <c r="H246" s="7">
        <v>334.95</v>
      </c>
      <c r="J246" s="7"/>
    </row>
    <row r="247" spans="6:10" ht="18.75" customHeight="1">
      <c r="F247" s="1">
        <v>28856</v>
      </c>
      <c r="G247">
        <f t="shared" si="4"/>
        <v>1</v>
      </c>
      <c r="H247" s="7">
        <v>336.23</v>
      </c>
      <c r="J247" s="7"/>
    </row>
    <row r="248" spans="6:10" ht="18.75" customHeight="1">
      <c r="F248" s="1">
        <v>28887</v>
      </c>
      <c r="G248">
        <f t="shared" si="4"/>
        <v>2</v>
      </c>
      <c r="H248" s="7">
        <v>336.76</v>
      </c>
      <c r="J248" s="7"/>
    </row>
    <row r="249" spans="6:10" ht="18.75" customHeight="1">
      <c r="F249" s="1">
        <v>28915</v>
      </c>
      <c r="G249">
        <f t="shared" si="4"/>
        <v>3</v>
      </c>
      <c r="H249" s="7">
        <v>337.96</v>
      </c>
      <c r="J249" s="7"/>
    </row>
    <row r="250" spans="6:10" ht="18.75" customHeight="1">
      <c r="F250" s="1">
        <v>28946</v>
      </c>
      <c r="G250">
        <f t="shared" si="4"/>
        <v>4</v>
      </c>
      <c r="H250" s="7">
        <v>338.88</v>
      </c>
      <c r="J250" s="7"/>
    </row>
    <row r="251" spans="6:10" ht="18.75" customHeight="1">
      <c r="F251" s="1">
        <v>28976</v>
      </c>
      <c r="G251">
        <f t="shared" si="4"/>
        <v>5</v>
      </c>
      <c r="H251" s="7">
        <v>339.47</v>
      </c>
      <c r="J251" s="7"/>
    </row>
    <row r="252" spans="6:10" ht="18.75" customHeight="1">
      <c r="F252" s="1">
        <v>29007</v>
      </c>
      <c r="G252">
        <f t="shared" si="4"/>
        <v>6</v>
      </c>
      <c r="H252" s="7">
        <v>339.29</v>
      </c>
      <c r="J252" s="7"/>
    </row>
    <row r="253" spans="6:10" ht="18.75" customHeight="1">
      <c r="F253" s="1">
        <v>29037</v>
      </c>
      <c r="G253">
        <f t="shared" si="4"/>
        <v>7</v>
      </c>
      <c r="H253" s="7">
        <v>337.73</v>
      </c>
      <c r="J253" s="7"/>
    </row>
    <row r="254" spans="6:10" ht="18.75" customHeight="1">
      <c r="F254" s="1">
        <v>29068</v>
      </c>
      <c r="G254">
        <f t="shared" si="4"/>
        <v>8</v>
      </c>
      <c r="H254" s="7">
        <v>336.09</v>
      </c>
      <c r="J254" s="7"/>
    </row>
    <row r="255" spans="6:10" ht="18.75" customHeight="1">
      <c r="F255" s="1">
        <v>29099</v>
      </c>
      <c r="G255">
        <f t="shared" si="4"/>
        <v>9</v>
      </c>
      <c r="H255" s="7">
        <v>333.92</v>
      </c>
      <c r="J255" s="7"/>
    </row>
    <row r="256" spans="6:10" ht="18.75" customHeight="1">
      <c r="F256" s="1">
        <v>29129</v>
      </c>
      <c r="G256">
        <f t="shared" si="4"/>
        <v>10</v>
      </c>
      <c r="H256" s="7">
        <v>333.86</v>
      </c>
      <c r="J256" s="7"/>
    </row>
    <row r="257" spans="6:10" ht="18.75" customHeight="1">
      <c r="F257" s="1">
        <v>29160</v>
      </c>
      <c r="G257">
        <f t="shared" si="4"/>
        <v>11</v>
      </c>
      <c r="H257" s="7">
        <v>335.29</v>
      </c>
      <c r="J257" s="7"/>
    </row>
    <row r="258" spans="6:10" ht="18.75" customHeight="1">
      <c r="F258" s="1">
        <v>29190</v>
      </c>
      <c r="G258">
        <f t="shared" si="4"/>
        <v>12</v>
      </c>
      <c r="H258" s="7">
        <v>336.73</v>
      </c>
      <c r="J258" s="7"/>
    </row>
    <row r="259" spans="6:10" ht="18.75" customHeight="1">
      <c r="F259" s="1">
        <v>29221</v>
      </c>
      <c r="G259">
        <f t="shared" ref="G259:G322" si="5">MONTH(F259)</f>
        <v>1</v>
      </c>
      <c r="H259" s="7">
        <v>338.01</v>
      </c>
      <c r="J259" s="7"/>
    </row>
    <row r="260" spans="6:10" ht="18.75" customHeight="1">
      <c r="F260" s="1">
        <v>29252</v>
      </c>
      <c r="G260">
        <f t="shared" si="5"/>
        <v>2</v>
      </c>
      <c r="H260" s="7">
        <v>338.36</v>
      </c>
      <c r="J260" s="7"/>
    </row>
    <row r="261" spans="6:10" ht="18.75" customHeight="1">
      <c r="F261" s="1">
        <v>29281</v>
      </c>
      <c r="G261">
        <f t="shared" si="5"/>
        <v>3</v>
      </c>
      <c r="H261" s="7">
        <v>340.07</v>
      </c>
      <c r="J261" s="7"/>
    </row>
    <row r="262" spans="6:10" ht="18.75" customHeight="1">
      <c r="F262" s="1">
        <v>29312</v>
      </c>
      <c r="G262">
        <f t="shared" si="5"/>
        <v>4</v>
      </c>
      <c r="H262" s="7">
        <v>340.76</v>
      </c>
      <c r="J262" s="7"/>
    </row>
    <row r="263" spans="6:10" ht="18.75" customHeight="1">
      <c r="F263" s="1">
        <v>29342</v>
      </c>
      <c r="G263">
        <f t="shared" si="5"/>
        <v>5</v>
      </c>
      <c r="H263" s="7">
        <v>341.47</v>
      </c>
      <c r="J263" s="7"/>
    </row>
    <row r="264" spans="6:10" ht="18.75" customHeight="1">
      <c r="F264" s="1">
        <v>29373</v>
      </c>
      <c r="G264">
        <f t="shared" si="5"/>
        <v>6</v>
      </c>
      <c r="H264" s="7">
        <v>341.17</v>
      </c>
      <c r="J264" s="7"/>
    </row>
    <row r="265" spans="6:10" ht="18.75" customHeight="1">
      <c r="F265" s="1">
        <v>29403</v>
      </c>
      <c r="G265">
        <f t="shared" si="5"/>
        <v>7</v>
      </c>
      <c r="H265" s="7">
        <v>339.56</v>
      </c>
      <c r="J265" s="7"/>
    </row>
    <row r="266" spans="6:10" ht="18.75" customHeight="1">
      <c r="F266" s="1">
        <v>29434</v>
      </c>
      <c r="G266">
        <f t="shared" si="5"/>
        <v>8</v>
      </c>
      <c r="H266" s="7">
        <v>337.6</v>
      </c>
      <c r="J266" s="7"/>
    </row>
    <row r="267" spans="6:10" ht="18.75" customHeight="1">
      <c r="F267" s="1">
        <v>29465</v>
      </c>
      <c r="G267">
        <f t="shared" si="5"/>
        <v>9</v>
      </c>
      <c r="H267" s="7">
        <v>335.88</v>
      </c>
      <c r="J267" s="7"/>
    </row>
    <row r="268" spans="6:10" ht="18.75" customHeight="1">
      <c r="F268" s="1">
        <v>29495</v>
      </c>
      <c r="G268">
        <f t="shared" si="5"/>
        <v>10</v>
      </c>
      <c r="H268" s="7">
        <v>336.02</v>
      </c>
      <c r="J268" s="7"/>
    </row>
    <row r="269" spans="6:10" ht="18.75" customHeight="1">
      <c r="F269" s="1">
        <v>29526</v>
      </c>
      <c r="G269">
        <f t="shared" si="5"/>
        <v>11</v>
      </c>
      <c r="H269" s="7">
        <v>337.1</v>
      </c>
      <c r="J269" s="7"/>
    </row>
    <row r="270" spans="6:10" ht="18.75" customHeight="1">
      <c r="F270" s="1">
        <v>29556</v>
      </c>
      <c r="G270">
        <f t="shared" si="5"/>
        <v>12</v>
      </c>
      <c r="H270" s="7">
        <v>338.21</v>
      </c>
      <c r="J270" s="7"/>
    </row>
    <row r="271" spans="6:10" ht="18.75" customHeight="1">
      <c r="F271" s="1">
        <v>29587</v>
      </c>
      <c r="G271">
        <f t="shared" si="5"/>
        <v>1</v>
      </c>
      <c r="H271" s="7">
        <v>339.24</v>
      </c>
      <c r="J271" s="7"/>
    </row>
    <row r="272" spans="6:10" ht="18.75" customHeight="1">
      <c r="F272" s="1">
        <v>29618</v>
      </c>
      <c r="G272">
        <f t="shared" si="5"/>
        <v>2</v>
      </c>
      <c r="H272" s="7">
        <v>340.48</v>
      </c>
      <c r="J272" s="7"/>
    </row>
    <row r="273" spans="6:10" ht="18.75" customHeight="1">
      <c r="F273" s="1">
        <v>29646</v>
      </c>
      <c r="G273">
        <f t="shared" si="5"/>
        <v>3</v>
      </c>
      <c r="H273" s="7">
        <v>341.38</v>
      </c>
      <c r="J273" s="7"/>
    </row>
    <row r="274" spans="6:10" ht="18.75" customHeight="1">
      <c r="F274" s="1">
        <v>29677</v>
      </c>
      <c r="G274">
        <f t="shared" si="5"/>
        <v>4</v>
      </c>
      <c r="H274" s="7">
        <v>342.5</v>
      </c>
      <c r="J274" s="7"/>
    </row>
    <row r="275" spans="6:10" ht="18.75" customHeight="1">
      <c r="F275" s="1">
        <v>29707</v>
      </c>
      <c r="G275">
        <f t="shared" si="5"/>
        <v>5</v>
      </c>
      <c r="H275" s="7">
        <v>342.91</v>
      </c>
      <c r="J275" s="7"/>
    </row>
    <row r="276" spans="6:10" ht="18.75" customHeight="1">
      <c r="F276" s="1">
        <v>29738</v>
      </c>
      <c r="G276">
        <f t="shared" si="5"/>
        <v>6</v>
      </c>
      <c r="H276" s="7">
        <v>342.25</v>
      </c>
      <c r="J276" s="7"/>
    </row>
    <row r="277" spans="6:10" ht="18.75" customHeight="1">
      <c r="F277" s="1">
        <v>29768</v>
      </c>
      <c r="G277">
        <f t="shared" si="5"/>
        <v>7</v>
      </c>
      <c r="H277" s="7">
        <v>340.49</v>
      </c>
      <c r="J277" s="7"/>
    </row>
    <row r="278" spans="6:10" ht="18.75" customHeight="1">
      <c r="F278" s="1">
        <v>29799</v>
      </c>
      <c r="G278">
        <f t="shared" si="5"/>
        <v>8</v>
      </c>
      <c r="H278" s="7">
        <v>338.43</v>
      </c>
      <c r="J278" s="7"/>
    </row>
    <row r="279" spans="6:10" ht="18.75" customHeight="1">
      <c r="F279" s="1">
        <v>29830</v>
      </c>
      <c r="G279">
        <f t="shared" si="5"/>
        <v>9</v>
      </c>
      <c r="H279" s="7">
        <v>336.69</v>
      </c>
      <c r="J279" s="7"/>
    </row>
    <row r="280" spans="6:10" ht="18.75" customHeight="1">
      <c r="F280" s="1">
        <v>29860</v>
      </c>
      <c r="G280">
        <f t="shared" si="5"/>
        <v>10</v>
      </c>
      <c r="H280" s="7">
        <v>336.86</v>
      </c>
      <c r="J280" s="7"/>
    </row>
    <row r="281" spans="6:10" ht="18.75" customHeight="1">
      <c r="F281" s="1">
        <v>29891</v>
      </c>
      <c r="G281">
        <f t="shared" si="5"/>
        <v>11</v>
      </c>
      <c r="H281" s="7">
        <v>338.36</v>
      </c>
      <c r="J281" s="7"/>
    </row>
    <row r="282" spans="6:10" ht="18.75" customHeight="1">
      <c r="F282" s="1">
        <v>29921</v>
      </c>
      <c r="G282">
        <f t="shared" si="5"/>
        <v>12</v>
      </c>
      <c r="H282" s="7">
        <v>339.61</v>
      </c>
      <c r="J282" s="7"/>
    </row>
    <row r="283" spans="6:10" ht="18.75" customHeight="1">
      <c r="F283" s="1">
        <v>29952</v>
      </c>
      <c r="G283">
        <f t="shared" si="5"/>
        <v>1</v>
      </c>
      <c r="H283" s="7">
        <v>340.75</v>
      </c>
      <c r="J283" s="7"/>
    </row>
    <row r="284" spans="6:10" ht="18.75" customHeight="1">
      <c r="F284" s="1">
        <v>29983</v>
      </c>
      <c r="G284">
        <f t="shared" si="5"/>
        <v>2</v>
      </c>
      <c r="H284" s="7">
        <v>341.61</v>
      </c>
      <c r="J284" s="7"/>
    </row>
    <row r="285" spans="6:10" ht="18.75" customHeight="1">
      <c r="F285" s="1">
        <v>30011</v>
      </c>
      <c r="G285">
        <f t="shared" si="5"/>
        <v>3</v>
      </c>
      <c r="H285" s="7">
        <v>342.7</v>
      </c>
      <c r="J285" s="7"/>
    </row>
    <row r="286" spans="6:10" ht="18.75" customHeight="1">
      <c r="F286" s="1">
        <v>30042</v>
      </c>
      <c r="G286">
        <f t="shared" si="5"/>
        <v>4</v>
      </c>
      <c r="H286" s="7">
        <v>343.57</v>
      </c>
      <c r="J286" s="7"/>
    </row>
    <row r="287" spans="6:10" ht="18.75" customHeight="1">
      <c r="F287" s="1">
        <v>30072</v>
      </c>
      <c r="G287">
        <f t="shared" si="5"/>
        <v>5</v>
      </c>
      <c r="H287" s="7">
        <v>344.14</v>
      </c>
      <c r="J287" s="7"/>
    </row>
    <row r="288" spans="6:10" ht="18.75" customHeight="1">
      <c r="F288" s="1">
        <v>30103</v>
      </c>
      <c r="G288">
        <f t="shared" si="5"/>
        <v>6</v>
      </c>
      <c r="H288" s="7">
        <v>343.35</v>
      </c>
      <c r="J288" s="7"/>
    </row>
    <row r="289" spans="6:10" ht="18.75" customHeight="1">
      <c r="F289" s="1">
        <v>30133</v>
      </c>
      <c r="G289">
        <f t="shared" si="5"/>
        <v>7</v>
      </c>
      <c r="H289" s="7">
        <v>342.06</v>
      </c>
      <c r="J289" s="7"/>
    </row>
    <row r="290" spans="6:10" ht="18.75" customHeight="1">
      <c r="F290" s="1">
        <v>30164</v>
      </c>
      <c r="G290">
        <f t="shared" si="5"/>
        <v>8</v>
      </c>
      <c r="H290" s="7">
        <v>339.81</v>
      </c>
      <c r="J290" s="7"/>
    </row>
    <row r="291" spans="6:10" ht="18.75" customHeight="1">
      <c r="F291" s="1">
        <v>30195</v>
      </c>
      <c r="G291">
        <f t="shared" si="5"/>
        <v>9</v>
      </c>
      <c r="H291" s="7">
        <v>337.98</v>
      </c>
      <c r="J291" s="7"/>
    </row>
    <row r="292" spans="6:10" ht="18.75" customHeight="1">
      <c r="F292" s="1">
        <v>30225</v>
      </c>
      <c r="G292">
        <f t="shared" si="5"/>
        <v>10</v>
      </c>
      <c r="H292" s="7">
        <v>337.86</v>
      </c>
      <c r="J292" s="7"/>
    </row>
    <row r="293" spans="6:10" ht="18.75" customHeight="1">
      <c r="F293" s="1">
        <v>30256</v>
      </c>
      <c r="G293">
        <f t="shared" si="5"/>
        <v>11</v>
      </c>
      <c r="H293" s="7">
        <v>339.26</v>
      </c>
      <c r="J293" s="7"/>
    </row>
    <row r="294" spans="6:10" ht="18.75" customHeight="1">
      <c r="F294" s="1">
        <v>30286</v>
      </c>
      <c r="G294">
        <f t="shared" si="5"/>
        <v>12</v>
      </c>
      <c r="H294" s="7">
        <v>340.49</v>
      </c>
      <c r="J294" s="7"/>
    </row>
    <row r="295" spans="6:10" ht="18.75" customHeight="1">
      <c r="F295" s="1">
        <v>30317</v>
      </c>
      <c r="G295">
        <f t="shared" si="5"/>
        <v>1</v>
      </c>
      <c r="H295" s="7">
        <v>341.38</v>
      </c>
      <c r="J295" s="7"/>
    </row>
    <row r="296" spans="6:10" ht="18.75" customHeight="1">
      <c r="F296" s="1">
        <v>30348</v>
      </c>
      <c r="G296">
        <f t="shared" si="5"/>
        <v>2</v>
      </c>
      <c r="H296" s="7">
        <v>342.52</v>
      </c>
      <c r="J296" s="7"/>
    </row>
    <row r="297" spans="6:10" ht="18.75" customHeight="1">
      <c r="F297" s="1">
        <v>30376</v>
      </c>
      <c r="G297">
        <f t="shared" si="5"/>
        <v>3</v>
      </c>
      <c r="H297" s="7">
        <v>343.1</v>
      </c>
      <c r="J297" s="7"/>
    </row>
    <row r="298" spans="6:10" ht="18.75" customHeight="1">
      <c r="F298" s="1">
        <v>30407</v>
      </c>
      <c r="G298">
        <f t="shared" si="5"/>
        <v>4</v>
      </c>
      <c r="H298" s="7">
        <v>344.94</v>
      </c>
      <c r="J298" s="7"/>
    </row>
    <row r="299" spans="6:10" ht="18.75" customHeight="1">
      <c r="F299" s="1">
        <v>30437</v>
      </c>
      <c r="G299">
        <f t="shared" si="5"/>
        <v>5</v>
      </c>
      <c r="H299" s="7">
        <v>345.76</v>
      </c>
      <c r="J299" s="7"/>
    </row>
    <row r="300" spans="6:10" ht="18.75" customHeight="1">
      <c r="F300" s="1">
        <v>30468</v>
      </c>
      <c r="G300">
        <f t="shared" si="5"/>
        <v>6</v>
      </c>
      <c r="H300" s="7">
        <v>345.32</v>
      </c>
      <c r="J300" s="7"/>
    </row>
    <row r="301" spans="6:10" ht="18.75" customHeight="1">
      <c r="F301" s="1">
        <v>30498</v>
      </c>
      <c r="G301">
        <f t="shared" si="5"/>
        <v>7</v>
      </c>
      <c r="H301" s="7">
        <v>343.98</v>
      </c>
      <c r="J301" s="7"/>
    </row>
    <row r="302" spans="6:10" ht="18.75" customHeight="1">
      <c r="F302" s="1">
        <v>30529</v>
      </c>
      <c r="G302">
        <f t="shared" si="5"/>
        <v>8</v>
      </c>
      <c r="H302" s="7">
        <v>342.38</v>
      </c>
      <c r="J302" s="7"/>
    </row>
    <row r="303" spans="6:10" ht="18.75" customHeight="1">
      <c r="F303" s="1">
        <v>30560</v>
      </c>
      <c r="G303">
        <f t="shared" si="5"/>
        <v>9</v>
      </c>
      <c r="H303" s="7">
        <v>339.87</v>
      </c>
      <c r="J303" s="7"/>
    </row>
    <row r="304" spans="6:10" ht="18.75" customHeight="1">
      <c r="F304" s="1">
        <v>30590</v>
      </c>
      <c r="G304">
        <f t="shared" si="5"/>
        <v>10</v>
      </c>
      <c r="H304" s="7">
        <v>339.99</v>
      </c>
      <c r="J304" s="7"/>
    </row>
    <row r="305" spans="6:10" ht="18.75" customHeight="1">
      <c r="F305" s="1">
        <v>30621</v>
      </c>
      <c r="G305">
        <f t="shared" si="5"/>
        <v>11</v>
      </c>
      <c r="H305" s="7">
        <v>341.15</v>
      </c>
      <c r="J305" s="7"/>
    </row>
    <row r="306" spans="6:10" ht="18.75" customHeight="1">
      <c r="F306" s="1">
        <v>30651</v>
      </c>
      <c r="G306">
        <f t="shared" si="5"/>
        <v>12</v>
      </c>
      <c r="H306" s="7">
        <v>342.99</v>
      </c>
      <c r="J306" s="7"/>
    </row>
    <row r="307" spans="6:10" ht="18.75" customHeight="1">
      <c r="F307" s="1">
        <v>30682</v>
      </c>
      <c r="G307">
        <f t="shared" si="5"/>
        <v>1</v>
      </c>
      <c r="H307" s="7">
        <v>343.7</v>
      </c>
      <c r="J307" s="7"/>
    </row>
    <row r="308" spans="6:10" ht="18.75" customHeight="1">
      <c r="F308" s="1">
        <v>30713</v>
      </c>
      <c r="G308">
        <f t="shared" si="5"/>
        <v>2</v>
      </c>
      <c r="H308" s="7">
        <v>344.5</v>
      </c>
      <c r="J308" s="7"/>
    </row>
    <row r="309" spans="6:10" ht="18.75" customHeight="1">
      <c r="F309" s="1">
        <v>30742</v>
      </c>
      <c r="G309">
        <f t="shared" si="5"/>
        <v>3</v>
      </c>
      <c r="H309" s="7">
        <v>345.28</v>
      </c>
      <c r="J309" s="7"/>
    </row>
    <row r="310" spans="6:10" ht="18.75" customHeight="1">
      <c r="F310" s="1">
        <v>30773</v>
      </c>
      <c r="G310">
        <f t="shared" si="5"/>
        <v>4</v>
      </c>
      <c r="H310" s="7">
        <v>347.05</v>
      </c>
      <c r="J310" s="7"/>
    </row>
    <row r="311" spans="6:10" ht="18.75" customHeight="1">
      <c r="F311" s="1">
        <v>30803</v>
      </c>
      <c r="G311">
        <f t="shared" si="5"/>
        <v>5</v>
      </c>
      <c r="H311" s="7">
        <v>347.43</v>
      </c>
      <c r="J311" s="7"/>
    </row>
    <row r="312" spans="6:10" ht="18.75" customHeight="1">
      <c r="F312" s="1">
        <v>30834</v>
      </c>
      <c r="G312">
        <f t="shared" si="5"/>
        <v>6</v>
      </c>
      <c r="H312" s="7">
        <v>346.8</v>
      </c>
      <c r="J312" s="7"/>
    </row>
    <row r="313" spans="6:10" ht="18.75" customHeight="1">
      <c r="F313" s="1">
        <v>30864</v>
      </c>
      <c r="G313">
        <f t="shared" si="5"/>
        <v>7</v>
      </c>
      <c r="H313" s="7">
        <v>345.39</v>
      </c>
      <c r="J313" s="7"/>
    </row>
    <row r="314" spans="6:10" ht="18.75" customHeight="1">
      <c r="F314" s="1">
        <v>30895</v>
      </c>
      <c r="G314">
        <f t="shared" si="5"/>
        <v>8</v>
      </c>
      <c r="H314" s="7">
        <v>343.28</v>
      </c>
      <c r="J314" s="7"/>
    </row>
    <row r="315" spans="6:10" ht="18.75" customHeight="1">
      <c r="F315" s="1">
        <v>30926</v>
      </c>
      <c r="G315">
        <f t="shared" si="5"/>
        <v>9</v>
      </c>
      <c r="H315" s="7">
        <v>341.07</v>
      </c>
      <c r="J315" s="7"/>
    </row>
    <row r="316" spans="6:10" ht="18.75" customHeight="1">
      <c r="F316" s="1">
        <v>30956</v>
      </c>
      <c r="G316">
        <f t="shared" si="5"/>
        <v>10</v>
      </c>
      <c r="H316" s="7">
        <v>341.35</v>
      </c>
      <c r="J316" s="7"/>
    </row>
    <row r="317" spans="6:10" ht="18.75" customHeight="1">
      <c r="F317" s="1">
        <v>30987</v>
      </c>
      <c r="G317">
        <f t="shared" si="5"/>
        <v>11</v>
      </c>
      <c r="H317" s="7">
        <v>342.98</v>
      </c>
      <c r="J317" s="7"/>
    </row>
    <row r="318" spans="6:10" ht="18.75" customHeight="1">
      <c r="F318" s="1">
        <v>31017</v>
      </c>
      <c r="G318">
        <f t="shared" si="5"/>
        <v>12</v>
      </c>
      <c r="H318" s="7">
        <v>344.22</v>
      </c>
      <c r="J318" s="7"/>
    </row>
    <row r="319" spans="6:10" ht="18.75" customHeight="1">
      <c r="F319" s="1">
        <v>31048</v>
      </c>
      <c r="G319">
        <f t="shared" si="5"/>
        <v>1</v>
      </c>
      <c r="H319" s="7">
        <v>344.97</v>
      </c>
      <c r="J319" s="7"/>
    </row>
    <row r="320" spans="6:10" ht="18.75" customHeight="1">
      <c r="F320" s="1">
        <v>31079</v>
      </c>
      <c r="G320">
        <f t="shared" si="5"/>
        <v>2</v>
      </c>
      <c r="H320" s="7">
        <v>345.99</v>
      </c>
      <c r="J320" s="7"/>
    </row>
    <row r="321" spans="6:10" ht="18.75" customHeight="1">
      <c r="F321" s="1">
        <v>31107</v>
      </c>
      <c r="G321">
        <f t="shared" si="5"/>
        <v>3</v>
      </c>
      <c r="H321" s="7">
        <v>347.42</v>
      </c>
      <c r="J321" s="7"/>
    </row>
    <row r="322" spans="6:10" ht="18.75" customHeight="1">
      <c r="F322" s="1">
        <v>31138</v>
      </c>
      <c r="G322">
        <f t="shared" si="5"/>
        <v>4</v>
      </c>
      <c r="H322" s="7">
        <v>348.35</v>
      </c>
      <c r="J322" s="7"/>
    </row>
    <row r="323" spans="6:10" ht="18.75" customHeight="1">
      <c r="F323" s="1">
        <v>31168</v>
      </c>
      <c r="G323">
        <f t="shared" ref="G323:G386" si="6">MONTH(F323)</f>
        <v>5</v>
      </c>
      <c r="H323" s="7">
        <v>348.93</v>
      </c>
      <c r="J323" s="7"/>
    </row>
    <row r="324" spans="6:10" ht="18.75" customHeight="1">
      <c r="F324" s="1">
        <v>31199</v>
      </c>
      <c r="G324">
        <f t="shared" si="6"/>
        <v>6</v>
      </c>
      <c r="H324" s="7">
        <v>348.25</v>
      </c>
      <c r="J324" s="7"/>
    </row>
    <row r="325" spans="6:10" ht="18.75" customHeight="1">
      <c r="F325" s="1">
        <v>31229</v>
      </c>
      <c r="G325">
        <f t="shared" si="6"/>
        <v>7</v>
      </c>
      <c r="H325" s="7">
        <v>346.56</v>
      </c>
      <c r="J325" s="7"/>
    </row>
    <row r="326" spans="6:10" ht="18.75" customHeight="1">
      <c r="F326" s="1">
        <v>31260</v>
      </c>
      <c r="G326">
        <f t="shared" si="6"/>
        <v>8</v>
      </c>
      <c r="H326" s="7">
        <v>344.67</v>
      </c>
      <c r="J326" s="7"/>
    </row>
    <row r="327" spans="6:10" ht="18.75" customHeight="1">
      <c r="F327" s="1">
        <v>31291</v>
      </c>
      <c r="G327">
        <f t="shared" si="6"/>
        <v>9</v>
      </c>
      <c r="H327" s="7">
        <v>343.09</v>
      </c>
      <c r="J327" s="7"/>
    </row>
    <row r="328" spans="6:10" ht="18.75" customHeight="1">
      <c r="F328" s="1">
        <v>31321</v>
      </c>
      <c r="G328">
        <f t="shared" si="6"/>
        <v>10</v>
      </c>
      <c r="H328" s="7">
        <v>342.8</v>
      </c>
      <c r="J328" s="7"/>
    </row>
    <row r="329" spans="6:10" ht="18.75" customHeight="1">
      <c r="F329" s="1">
        <v>31352</v>
      </c>
      <c r="G329">
        <f t="shared" si="6"/>
        <v>11</v>
      </c>
      <c r="H329" s="7">
        <v>344.24</v>
      </c>
      <c r="J329" s="7"/>
    </row>
    <row r="330" spans="6:10" ht="18.75" customHeight="1">
      <c r="F330" s="1">
        <v>31382</v>
      </c>
      <c r="G330">
        <f t="shared" si="6"/>
        <v>12</v>
      </c>
      <c r="H330" s="7">
        <v>345.56</v>
      </c>
      <c r="J330" s="7"/>
    </row>
    <row r="331" spans="6:10" ht="18.75" customHeight="1">
      <c r="F331" s="1">
        <v>31413</v>
      </c>
      <c r="G331">
        <f t="shared" si="6"/>
        <v>1</v>
      </c>
      <c r="H331" s="7">
        <v>346.3</v>
      </c>
      <c r="J331" s="7"/>
    </row>
    <row r="332" spans="6:10" ht="18.75" customHeight="1">
      <c r="F332" s="1">
        <v>31444</v>
      </c>
      <c r="G332">
        <f t="shared" si="6"/>
        <v>2</v>
      </c>
      <c r="H332" s="7">
        <v>346.95</v>
      </c>
      <c r="J332" s="7"/>
    </row>
    <row r="333" spans="6:10" ht="18.75" customHeight="1">
      <c r="F333" s="1">
        <v>31472</v>
      </c>
      <c r="G333">
        <f t="shared" si="6"/>
        <v>3</v>
      </c>
      <c r="H333" s="7">
        <v>347.85</v>
      </c>
      <c r="J333" s="7"/>
    </row>
    <row r="334" spans="6:10" ht="18.75" customHeight="1">
      <c r="F334" s="1">
        <v>31503</v>
      </c>
      <c r="G334">
        <f t="shared" si="6"/>
        <v>4</v>
      </c>
      <c r="H334" s="7">
        <v>349.55</v>
      </c>
      <c r="J334" s="7"/>
    </row>
    <row r="335" spans="6:10" ht="18.75" customHeight="1">
      <c r="F335" s="1">
        <v>31533</v>
      </c>
      <c r="G335">
        <f t="shared" si="6"/>
        <v>5</v>
      </c>
      <c r="H335" s="7">
        <v>350.22</v>
      </c>
      <c r="J335" s="7"/>
    </row>
    <row r="336" spans="6:10" ht="18.75" customHeight="1">
      <c r="F336" s="1">
        <v>31564</v>
      </c>
      <c r="G336">
        <f t="shared" si="6"/>
        <v>6</v>
      </c>
      <c r="H336" s="7">
        <v>349.55</v>
      </c>
      <c r="J336" s="7"/>
    </row>
    <row r="337" spans="6:10" ht="18.75" customHeight="1">
      <c r="F337" s="1">
        <v>31594</v>
      </c>
      <c r="G337">
        <f t="shared" si="6"/>
        <v>7</v>
      </c>
      <c r="H337" s="7">
        <v>347.94</v>
      </c>
      <c r="J337" s="7"/>
    </row>
    <row r="338" spans="6:10" ht="18.75" customHeight="1">
      <c r="F338" s="1">
        <v>31625</v>
      </c>
      <c r="G338">
        <f t="shared" si="6"/>
        <v>8</v>
      </c>
      <c r="H338" s="7">
        <v>345.9</v>
      </c>
      <c r="J338" s="7"/>
    </row>
    <row r="339" spans="6:10" ht="18.75" customHeight="1">
      <c r="F339" s="1">
        <v>31656</v>
      </c>
      <c r="G339">
        <f t="shared" si="6"/>
        <v>9</v>
      </c>
      <c r="H339" s="7">
        <v>344.85</v>
      </c>
      <c r="J339" s="7"/>
    </row>
    <row r="340" spans="6:10" ht="18.75" customHeight="1">
      <c r="F340" s="1">
        <v>31686</v>
      </c>
      <c r="G340">
        <f t="shared" si="6"/>
        <v>10</v>
      </c>
      <c r="H340" s="7">
        <v>344.17</v>
      </c>
      <c r="J340" s="7"/>
    </row>
    <row r="341" spans="6:10" ht="18.75" customHeight="1">
      <c r="F341" s="1">
        <v>31717</v>
      </c>
      <c r="G341">
        <f t="shared" si="6"/>
        <v>11</v>
      </c>
      <c r="H341" s="7">
        <v>345.66</v>
      </c>
      <c r="J341" s="7"/>
    </row>
    <row r="342" spans="6:10" ht="18.75" customHeight="1">
      <c r="F342" s="1">
        <v>31747</v>
      </c>
      <c r="G342">
        <f t="shared" si="6"/>
        <v>12</v>
      </c>
      <c r="H342" s="7">
        <v>346.9</v>
      </c>
      <c r="J342" s="7"/>
    </row>
    <row r="343" spans="6:10" ht="18.75" customHeight="1">
      <c r="F343" s="1">
        <v>31778</v>
      </c>
      <c r="G343">
        <f t="shared" si="6"/>
        <v>1</v>
      </c>
      <c r="H343" s="7">
        <v>348.02</v>
      </c>
      <c r="J343" s="7"/>
    </row>
    <row r="344" spans="6:10" ht="18.75" customHeight="1">
      <c r="F344" s="1">
        <v>31809</v>
      </c>
      <c r="G344">
        <f t="shared" si="6"/>
        <v>2</v>
      </c>
      <c r="H344" s="7">
        <v>348.48</v>
      </c>
      <c r="J344" s="7"/>
    </row>
    <row r="345" spans="6:10" ht="18.75" customHeight="1">
      <c r="F345" s="1">
        <v>31837</v>
      </c>
      <c r="G345">
        <f t="shared" si="6"/>
        <v>3</v>
      </c>
      <c r="H345" s="7">
        <v>349.42</v>
      </c>
      <c r="J345" s="7"/>
    </row>
    <row r="346" spans="6:10" ht="18.75" customHeight="1">
      <c r="F346" s="1">
        <v>31868</v>
      </c>
      <c r="G346">
        <f t="shared" si="6"/>
        <v>4</v>
      </c>
      <c r="H346" s="7">
        <v>350.98</v>
      </c>
      <c r="J346" s="7"/>
    </row>
    <row r="347" spans="6:10" ht="18.75" customHeight="1">
      <c r="F347" s="1">
        <v>31898</v>
      </c>
      <c r="G347">
        <f t="shared" si="6"/>
        <v>5</v>
      </c>
      <c r="H347" s="7">
        <v>351.85</v>
      </c>
      <c r="J347" s="7"/>
    </row>
    <row r="348" spans="6:10" ht="18.75" customHeight="1">
      <c r="F348" s="1">
        <v>31929</v>
      </c>
      <c r="G348">
        <f t="shared" si="6"/>
        <v>6</v>
      </c>
      <c r="H348" s="7">
        <v>351.26</v>
      </c>
      <c r="J348" s="7"/>
    </row>
    <row r="349" spans="6:10" ht="18.75" customHeight="1">
      <c r="F349" s="1">
        <v>31959</v>
      </c>
      <c r="G349">
        <f t="shared" si="6"/>
        <v>7</v>
      </c>
      <c r="H349" s="7">
        <v>349.51</v>
      </c>
      <c r="J349" s="7"/>
    </row>
    <row r="350" spans="6:10" ht="18.75" customHeight="1">
      <c r="F350" s="1">
        <v>31990</v>
      </c>
      <c r="G350">
        <f t="shared" si="6"/>
        <v>8</v>
      </c>
      <c r="H350" s="7">
        <v>348.1</v>
      </c>
      <c r="J350" s="7"/>
    </row>
    <row r="351" spans="6:10" ht="18.75" customHeight="1">
      <c r="F351" s="1">
        <v>32021</v>
      </c>
      <c r="G351">
        <f t="shared" si="6"/>
        <v>9</v>
      </c>
      <c r="H351" s="7">
        <v>346.45</v>
      </c>
      <c r="J351" s="7"/>
    </row>
    <row r="352" spans="6:10" ht="18.75" customHeight="1">
      <c r="F352" s="1">
        <v>32051</v>
      </c>
      <c r="G352">
        <f t="shared" si="6"/>
        <v>10</v>
      </c>
      <c r="H352" s="7">
        <v>346.36</v>
      </c>
      <c r="J352" s="7"/>
    </row>
    <row r="353" spans="6:10" ht="18.75" customHeight="1">
      <c r="F353" s="1">
        <v>32082</v>
      </c>
      <c r="G353">
        <f t="shared" si="6"/>
        <v>11</v>
      </c>
      <c r="H353" s="7">
        <v>347.81</v>
      </c>
      <c r="J353" s="7"/>
    </row>
    <row r="354" spans="6:10" ht="18.75" customHeight="1">
      <c r="F354" s="1">
        <v>32112</v>
      </c>
      <c r="G354">
        <f t="shared" si="6"/>
        <v>12</v>
      </c>
      <c r="H354" s="7">
        <v>348.96</v>
      </c>
      <c r="J354" s="7"/>
    </row>
    <row r="355" spans="6:10" ht="18.75" customHeight="1">
      <c r="F355" s="1">
        <v>32143</v>
      </c>
      <c r="G355">
        <f t="shared" si="6"/>
        <v>1</v>
      </c>
      <c r="H355" s="7">
        <v>350.43</v>
      </c>
      <c r="J355" s="7"/>
    </row>
    <row r="356" spans="6:10" ht="18.75" customHeight="1">
      <c r="F356" s="1">
        <v>32174</v>
      </c>
      <c r="G356">
        <f t="shared" si="6"/>
        <v>2</v>
      </c>
      <c r="H356" s="7">
        <v>351.73</v>
      </c>
      <c r="J356" s="7"/>
    </row>
    <row r="357" spans="6:10" ht="18.75" customHeight="1">
      <c r="F357" s="1">
        <v>32203</v>
      </c>
      <c r="G357">
        <f t="shared" si="6"/>
        <v>3</v>
      </c>
      <c r="H357" s="7">
        <v>352.22</v>
      </c>
      <c r="J357" s="7"/>
    </row>
    <row r="358" spans="6:10" ht="18.75" customHeight="1">
      <c r="F358" s="1">
        <v>32234</v>
      </c>
      <c r="G358">
        <f t="shared" si="6"/>
        <v>4</v>
      </c>
      <c r="H358" s="7">
        <v>353.59</v>
      </c>
      <c r="J358" s="7"/>
    </row>
    <row r="359" spans="6:10" ht="18.75" customHeight="1">
      <c r="F359" s="1">
        <v>32264</v>
      </c>
      <c r="G359">
        <f t="shared" si="6"/>
        <v>5</v>
      </c>
      <c r="H359" s="7">
        <v>354.22</v>
      </c>
      <c r="J359" s="7"/>
    </row>
    <row r="360" spans="6:10" ht="18.75" customHeight="1">
      <c r="F360" s="1">
        <v>32295</v>
      </c>
      <c r="G360">
        <f t="shared" si="6"/>
        <v>6</v>
      </c>
      <c r="H360" s="7">
        <v>353.8</v>
      </c>
      <c r="J360" s="7"/>
    </row>
    <row r="361" spans="6:10" ht="18.75" customHeight="1">
      <c r="F361" s="1">
        <v>32325</v>
      </c>
      <c r="G361">
        <f t="shared" si="6"/>
        <v>7</v>
      </c>
      <c r="H361" s="7">
        <v>352.38</v>
      </c>
      <c r="J361" s="7"/>
    </row>
    <row r="362" spans="6:10" ht="18.75" customHeight="1">
      <c r="F362" s="1">
        <v>32356</v>
      </c>
      <c r="G362">
        <f t="shared" si="6"/>
        <v>8</v>
      </c>
      <c r="H362" s="7">
        <v>350.43</v>
      </c>
      <c r="J362" s="7"/>
    </row>
    <row r="363" spans="6:10" ht="18.75" customHeight="1">
      <c r="F363" s="1">
        <v>32387</v>
      </c>
      <c r="G363">
        <f t="shared" si="6"/>
        <v>9</v>
      </c>
      <c r="H363" s="7">
        <v>348.73</v>
      </c>
      <c r="J363" s="7"/>
    </row>
    <row r="364" spans="6:10" ht="18.75" customHeight="1">
      <c r="F364" s="1">
        <v>32417</v>
      </c>
      <c r="G364">
        <f t="shared" si="6"/>
        <v>10</v>
      </c>
      <c r="H364" s="7">
        <v>348.88</v>
      </c>
      <c r="J364" s="7"/>
    </row>
    <row r="365" spans="6:10" ht="18.75" customHeight="1">
      <c r="F365" s="1">
        <v>32448</v>
      </c>
      <c r="G365">
        <f t="shared" si="6"/>
        <v>11</v>
      </c>
      <c r="H365" s="7">
        <v>350.07</v>
      </c>
      <c r="J365" s="7"/>
    </row>
    <row r="366" spans="6:10" ht="18.75" customHeight="1">
      <c r="F366" s="1">
        <v>32478</v>
      </c>
      <c r="G366">
        <f t="shared" si="6"/>
        <v>12</v>
      </c>
      <c r="H366" s="7">
        <v>351.34</v>
      </c>
      <c r="J366" s="7"/>
    </row>
    <row r="367" spans="6:10" ht="18.75" customHeight="1">
      <c r="F367" s="1">
        <v>32509</v>
      </c>
      <c r="G367">
        <f t="shared" si="6"/>
        <v>1</v>
      </c>
      <c r="H367" s="7">
        <v>352.76</v>
      </c>
      <c r="J367" s="7"/>
    </row>
    <row r="368" spans="6:10" ht="18.75" customHeight="1">
      <c r="F368" s="1">
        <v>32540</v>
      </c>
      <c r="G368">
        <f t="shared" si="6"/>
        <v>2</v>
      </c>
      <c r="H368" s="7">
        <v>353.07</v>
      </c>
      <c r="J368" s="7"/>
    </row>
    <row r="369" spans="6:10" ht="18.75" customHeight="1">
      <c r="F369" s="1">
        <v>32568</v>
      </c>
      <c r="G369">
        <f t="shared" si="6"/>
        <v>3</v>
      </c>
      <c r="H369" s="7">
        <v>353.68</v>
      </c>
      <c r="J369" s="7"/>
    </row>
    <row r="370" spans="6:10" ht="18.75" customHeight="1">
      <c r="F370" s="1">
        <v>32599</v>
      </c>
      <c r="G370">
        <f t="shared" si="6"/>
        <v>4</v>
      </c>
      <c r="H370" s="7">
        <v>355.42</v>
      </c>
      <c r="J370" s="7"/>
    </row>
    <row r="371" spans="6:10" ht="18.75" customHeight="1">
      <c r="F371" s="1">
        <v>32629</v>
      </c>
      <c r="G371">
        <f t="shared" si="6"/>
        <v>5</v>
      </c>
      <c r="H371" s="7">
        <v>355.67</v>
      </c>
      <c r="J371" s="7"/>
    </row>
    <row r="372" spans="6:10" ht="18.75" customHeight="1">
      <c r="F372" s="1">
        <v>32660</v>
      </c>
      <c r="G372">
        <f t="shared" si="6"/>
        <v>6</v>
      </c>
      <c r="H372" s="7">
        <v>355.12</v>
      </c>
      <c r="J372" s="7"/>
    </row>
    <row r="373" spans="6:10" ht="18.75" customHeight="1">
      <c r="F373" s="1">
        <v>32690</v>
      </c>
      <c r="G373">
        <f t="shared" si="6"/>
        <v>7</v>
      </c>
      <c r="H373" s="7">
        <v>353.9</v>
      </c>
      <c r="J373" s="7"/>
    </row>
    <row r="374" spans="6:10" ht="18.75" customHeight="1">
      <c r="F374" s="1">
        <v>32721</v>
      </c>
      <c r="G374">
        <f t="shared" si="6"/>
        <v>8</v>
      </c>
      <c r="H374" s="7">
        <v>351.67</v>
      </c>
      <c r="J374" s="7"/>
    </row>
    <row r="375" spans="6:10" ht="18.75" customHeight="1">
      <c r="F375" s="1">
        <v>32752</v>
      </c>
      <c r="G375">
        <f t="shared" si="6"/>
        <v>9</v>
      </c>
      <c r="H375" s="7">
        <v>349.81</v>
      </c>
      <c r="J375" s="7"/>
    </row>
    <row r="376" spans="6:10" ht="18.75" customHeight="1">
      <c r="F376" s="1">
        <v>32782</v>
      </c>
      <c r="G376">
        <f t="shared" si="6"/>
        <v>10</v>
      </c>
      <c r="H376" s="7">
        <v>349.99</v>
      </c>
      <c r="J376" s="7"/>
    </row>
    <row r="377" spans="6:10" ht="18.75" customHeight="1">
      <c r="F377" s="1">
        <v>32813</v>
      </c>
      <c r="G377">
        <f t="shared" si="6"/>
        <v>11</v>
      </c>
      <c r="H377" s="7">
        <v>351.3</v>
      </c>
      <c r="J377" s="7"/>
    </row>
    <row r="378" spans="6:10" ht="18.75" customHeight="1">
      <c r="F378" s="1">
        <v>32843</v>
      </c>
      <c r="G378">
        <f t="shared" si="6"/>
        <v>12</v>
      </c>
      <c r="H378" s="7">
        <v>352.52</v>
      </c>
      <c r="J378" s="7"/>
    </row>
    <row r="379" spans="6:10" ht="18.75" customHeight="1">
      <c r="F379" s="1">
        <v>32874</v>
      </c>
      <c r="G379">
        <f t="shared" si="6"/>
        <v>1</v>
      </c>
      <c r="H379" s="7">
        <v>353.66</v>
      </c>
      <c r="J379" s="7"/>
    </row>
    <row r="380" spans="6:10" ht="18.75" customHeight="1">
      <c r="F380" s="1">
        <v>32905</v>
      </c>
      <c r="G380">
        <f t="shared" si="6"/>
        <v>2</v>
      </c>
      <c r="H380" s="7">
        <v>354.7</v>
      </c>
      <c r="J380" s="7"/>
    </row>
    <row r="381" spans="6:10" ht="18.75" customHeight="1">
      <c r="F381" s="1">
        <v>32933</v>
      </c>
      <c r="G381">
        <f t="shared" si="6"/>
        <v>3</v>
      </c>
      <c r="H381" s="7">
        <v>355.38</v>
      </c>
      <c r="J381" s="7"/>
    </row>
    <row r="382" spans="6:10" ht="18.75" customHeight="1">
      <c r="F382" s="1">
        <v>32964</v>
      </c>
      <c r="G382">
        <f t="shared" si="6"/>
        <v>4</v>
      </c>
      <c r="H382" s="7">
        <v>356.2</v>
      </c>
      <c r="J382" s="7"/>
    </row>
    <row r="383" spans="6:10" ht="18.75" customHeight="1">
      <c r="F383" s="1">
        <v>32994</v>
      </c>
      <c r="G383">
        <f t="shared" si="6"/>
        <v>5</v>
      </c>
      <c r="H383" s="7">
        <v>357.16</v>
      </c>
      <c r="J383" s="7"/>
    </row>
    <row r="384" spans="6:10" ht="18.75" customHeight="1">
      <c r="F384" s="1">
        <v>33025</v>
      </c>
      <c r="G384">
        <f t="shared" si="6"/>
        <v>6</v>
      </c>
      <c r="H384" s="7">
        <v>356.23</v>
      </c>
      <c r="J384" s="7"/>
    </row>
    <row r="385" spans="6:10" ht="18.75" customHeight="1">
      <c r="F385" s="1">
        <v>33055</v>
      </c>
      <c r="G385">
        <f t="shared" si="6"/>
        <v>7</v>
      </c>
      <c r="H385" s="7">
        <v>354.81</v>
      </c>
      <c r="J385" s="7"/>
    </row>
    <row r="386" spans="6:10" ht="18.75" customHeight="1">
      <c r="F386" s="1">
        <v>33086</v>
      </c>
      <c r="G386">
        <f t="shared" si="6"/>
        <v>8</v>
      </c>
      <c r="H386" s="7">
        <v>352.91</v>
      </c>
      <c r="J386" s="7"/>
    </row>
    <row r="387" spans="6:10" ht="18.75" customHeight="1">
      <c r="F387" s="1">
        <v>33117</v>
      </c>
      <c r="G387">
        <f t="shared" ref="G387:G450" si="7">MONTH(F387)</f>
        <v>9</v>
      </c>
      <c r="H387" s="7">
        <v>350.96</v>
      </c>
      <c r="J387" s="7"/>
    </row>
    <row r="388" spans="6:10" ht="18.75" customHeight="1">
      <c r="F388" s="1">
        <v>33147</v>
      </c>
      <c r="G388">
        <f t="shared" si="7"/>
        <v>10</v>
      </c>
      <c r="H388" s="7">
        <v>351.18</v>
      </c>
      <c r="J388" s="7"/>
    </row>
    <row r="389" spans="6:10" ht="18.75" customHeight="1">
      <c r="F389" s="1">
        <v>33178</v>
      </c>
      <c r="G389">
        <f t="shared" si="7"/>
        <v>11</v>
      </c>
      <c r="H389" s="7">
        <v>352.83</v>
      </c>
      <c r="J389" s="7"/>
    </row>
    <row r="390" spans="6:10" ht="18.75" customHeight="1">
      <c r="F390" s="1">
        <v>33208</v>
      </c>
      <c r="G390">
        <f t="shared" si="7"/>
        <v>12</v>
      </c>
      <c r="H390" s="7">
        <v>354.21</v>
      </c>
      <c r="J390" s="7"/>
    </row>
    <row r="391" spans="6:10" ht="18.75" customHeight="1">
      <c r="F391" s="1">
        <v>33239</v>
      </c>
      <c r="G391">
        <f t="shared" si="7"/>
        <v>1</v>
      </c>
      <c r="H391" s="7">
        <v>354.72</v>
      </c>
      <c r="J391" s="7"/>
    </row>
    <row r="392" spans="6:10" ht="18.75" customHeight="1">
      <c r="F392" s="1">
        <v>33270</v>
      </c>
      <c r="G392">
        <f t="shared" si="7"/>
        <v>2</v>
      </c>
      <c r="H392" s="7">
        <v>355.75</v>
      </c>
      <c r="J392" s="7"/>
    </row>
    <row r="393" spans="6:10" ht="18.75" customHeight="1">
      <c r="F393" s="1">
        <v>33298</v>
      </c>
      <c r="G393">
        <f t="shared" si="7"/>
        <v>3</v>
      </c>
      <c r="H393" s="7">
        <v>357.16</v>
      </c>
      <c r="J393" s="7"/>
    </row>
    <row r="394" spans="6:10" ht="18.75" customHeight="1">
      <c r="F394" s="1">
        <v>33329</v>
      </c>
      <c r="G394">
        <f t="shared" si="7"/>
        <v>4</v>
      </c>
      <c r="H394" s="7">
        <v>358.6</v>
      </c>
      <c r="J394" s="7"/>
    </row>
    <row r="395" spans="6:10" ht="18.75" customHeight="1">
      <c r="F395" s="1">
        <v>33359</v>
      </c>
      <c r="G395">
        <f t="shared" si="7"/>
        <v>5</v>
      </c>
      <c r="H395" s="7">
        <v>359.34</v>
      </c>
      <c r="J395" s="7"/>
    </row>
    <row r="396" spans="6:10" ht="18.75" customHeight="1">
      <c r="F396" s="1">
        <v>33390</v>
      </c>
      <c r="G396">
        <f t="shared" si="7"/>
        <v>6</v>
      </c>
      <c r="H396" s="7">
        <v>358.24</v>
      </c>
      <c r="J396" s="7"/>
    </row>
    <row r="397" spans="6:10" ht="18.75" customHeight="1">
      <c r="F397" s="1">
        <v>33420</v>
      </c>
      <c r="G397">
        <f t="shared" si="7"/>
        <v>7</v>
      </c>
      <c r="H397" s="7">
        <v>356.17</v>
      </c>
      <c r="J397" s="7"/>
    </row>
    <row r="398" spans="6:10" ht="18.75" customHeight="1">
      <c r="F398" s="1">
        <v>33451</v>
      </c>
      <c r="G398">
        <f t="shared" si="7"/>
        <v>8</v>
      </c>
      <c r="H398" s="7">
        <v>354.01</v>
      </c>
      <c r="J398" s="7"/>
    </row>
    <row r="399" spans="6:10" ht="18.75" customHeight="1">
      <c r="F399" s="1">
        <v>33482</v>
      </c>
      <c r="G399">
        <f t="shared" si="7"/>
        <v>9</v>
      </c>
      <c r="H399" s="7">
        <v>352.15</v>
      </c>
      <c r="J399" s="7"/>
    </row>
    <row r="400" spans="6:10" ht="18.75" customHeight="1">
      <c r="F400" s="1">
        <v>33512</v>
      </c>
      <c r="G400">
        <f t="shared" si="7"/>
        <v>10</v>
      </c>
      <c r="H400" s="7">
        <v>352.21</v>
      </c>
      <c r="J400" s="7"/>
    </row>
    <row r="401" spans="6:10" ht="18.75" customHeight="1">
      <c r="F401" s="1">
        <v>33543</v>
      </c>
      <c r="G401">
        <f t="shared" si="7"/>
        <v>11</v>
      </c>
      <c r="H401" s="7">
        <v>353.75</v>
      </c>
      <c r="J401" s="7"/>
    </row>
    <row r="402" spans="6:10" ht="18.75" customHeight="1">
      <c r="F402" s="1">
        <v>33573</v>
      </c>
      <c r="G402">
        <f t="shared" si="7"/>
        <v>12</v>
      </c>
      <c r="H402" s="7">
        <v>354.99</v>
      </c>
      <c r="J402" s="7"/>
    </row>
    <row r="403" spans="6:10" ht="18.75" customHeight="1">
      <c r="F403" s="1">
        <v>33604</v>
      </c>
      <c r="G403">
        <f t="shared" si="7"/>
        <v>1</v>
      </c>
      <c r="H403" s="7">
        <v>355.99</v>
      </c>
      <c r="J403" s="7"/>
    </row>
    <row r="404" spans="6:10" ht="18.75" customHeight="1">
      <c r="F404" s="1">
        <v>33635</v>
      </c>
      <c r="G404">
        <f t="shared" si="7"/>
        <v>2</v>
      </c>
      <c r="H404" s="7">
        <v>356.72</v>
      </c>
      <c r="J404" s="7"/>
    </row>
    <row r="405" spans="6:10" ht="18.75" customHeight="1">
      <c r="F405" s="1">
        <v>33664</v>
      </c>
      <c r="G405">
        <f t="shared" si="7"/>
        <v>3</v>
      </c>
      <c r="H405" s="7">
        <v>357.81</v>
      </c>
      <c r="J405" s="7"/>
    </row>
    <row r="406" spans="6:10" ht="18.75" customHeight="1">
      <c r="F406" s="1">
        <v>33695</v>
      </c>
      <c r="G406">
        <f t="shared" si="7"/>
        <v>4</v>
      </c>
      <c r="H406" s="7">
        <v>359.15</v>
      </c>
      <c r="J406" s="7"/>
    </row>
    <row r="407" spans="6:10" ht="18.75" customHeight="1">
      <c r="F407" s="1">
        <v>33725</v>
      </c>
      <c r="G407">
        <f t="shared" si="7"/>
        <v>5</v>
      </c>
      <c r="H407" s="7">
        <v>359.66</v>
      </c>
      <c r="J407" s="7"/>
    </row>
    <row r="408" spans="6:10" ht="18.75" customHeight="1">
      <c r="F408" s="1">
        <v>33756</v>
      </c>
      <c r="G408">
        <f t="shared" si="7"/>
        <v>6</v>
      </c>
      <c r="H408" s="7">
        <v>359.25</v>
      </c>
      <c r="J408" s="7"/>
    </row>
    <row r="409" spans="6:10" ht="18.75" customHeight="1">
      <c r="F409" s="1">
        <v>33786</v>
      </c>
      <c r="G409">
        <f t="shared" si="7"/>
        <v>7</v>
      </c>
      <c r="H409" s="7">
        <v>357.02</v>
      </c>
      <c r="J409" s="7"/>
    </row>
    <row r="410" spans="6:10" ht="18.75" customHeight="1">
      <c r="F410" s="1">
        <v>33817</v>
      </c>
      <c r="G410">
        <f t="shared" si="7"/>
        <v>8</v>
      </c>
      <c r="H410" s="7">
        <v>355</v>
      </c>
      <c r="J410" s="7"/>
    </row>
    <row r="411" spans="6:10" ht="18.75" customHeight="1">
      <c r="F411" s="1">
        <v>33848</v>
      </c>
      <c r="G411">
        <f t="shared" si="7"/>
        <v>9</v>
      </c>
      <c r="H411" s="7">
        <v>353.01</v>
      </c>
      <c r="J411" s="7"/>
    </row>
    <row r="412" spans="6:10" ht="18.75" customHeight="1">
      <c r="F412" s="1">
        <v>33878</v>
      </c>
      <c r="G412">
        <f t="shared" si="7"/>
        <v>10</v>
      </c>
      <c r="H412" s="7">
        <v>353.31</v>
      </c>
      <c r="J412" s="7"/>
    </row>
    <row r="413" spans="6:10" ht="18.75" customHeight="1">
      <c r="F413" s="1">
        <v>33909</v>
      </c>
      <c r="G413">
        <f t="shared" si="7"/>
        <v>11</v>
      </c>
      <c r="H413" s="7">
        <v>354.16</v>
      </c>
      <c r="J413" s="7"/>
    </row>
    <row r="414" spans="6:10" ht="18.75" customHeight="1">
      <c r="F414" s="1">
        <v>33939</v>
      </c>
      <c r="G414">
        <f t="shared" si="7"/>
        <v>12</v>
      </c>
      <c r="H414" s="7">
        <v>355.4</v>
      </c>
      <c r="J414" s="7"/>
    </row>
    <row r="415" spans="6:10" ht="18.75" customHeight="1">
      <c r="F415" s="1">
        <v>33970</v>
      </c>
      <c r="G415">
        <f t="shared" si="7"/>
        <v>1</v>
      </c>
      <c r="H415" s="7">
        <v>356.7</v>
      </c>
      <c r="J415" s="7"/>
    </row>
    <row r="416" spans="6:10" ht="18.75" customHeight="1">
      <c r="F416" s="1">
        <v>34001</v>
      </c>
      <c r="G416">
        <f t="shared" si="7"/>
        <v>2</v>
      </c>
      <c r="H416" s="7">
        <v>357.17</v>
      </c>
      <c r="J416" s="7"/>
    </row>
    <row r="417" spans="6:10" ht="18.75" customHeight="1">
      <c r="F417" s="1">
        <v>34029</v>
      </c>
      <c r="G417">
        <f t="shared" si="7"/>
        <v>3</v>
      </c>
      <c r="H417" s="7">
        <v>358.38</v>
      </c>
      <c r="J417" s="7"/>
    </row>
    <row r="418" spans="6:10" ht="18.75" customHeight="1">
      <c r="F418" s="1">
        <v>34060</v>
      </c>
      <c r="G418">
        <f t="shared" si="7"/>
        <v>4</v>
      </c>
      <c r="H418" s="7">
        <v>359.46</v>
      </c>
      <c r="J418" s="7"/>
    </row>
    <row r="419" spans="6:10" ht="18.75" customHeight="1">
      <c r="F419" s="1">
        <v>34090</v>
      </c>
      <c r="G419">
        <f t="shared" si="7"/>
        <v>5</v>
      </c>
      <c r="H419" s="7">
        <v>360.28</v>
      </c>
      <c r="J419" s="7"/>
    </row>
    <row r="420" spans="6:10" ht="18.75" customHeight="1">
      <c r="F420" s="1">
        <v>34121</v>
      </c>
      <c r="G420">
        <f t="shared" si="7"/>
        <v>6</v>
      </c>
      <c r="H420" s="7">
        <v>359.6</v>
      </c>
      <c r="J420" s="7"/>
    </row>
    <row r="421" spans="6:10" ht="18.75" customHeight="1">
      <c r="F421" s="1">
        <v>34151</v>
      </c>
      <c r="G421">
        <f t="shared" si="7"/>
        <v>7</v>
      </c>
      <c r="H421" s="7">
        <v>357.57</v>
      </c>
      <c r="J421" s="7"/>
    </row>
    <row r="422" spans="6:10" ht="18.75" customHeight="1">
      <c r="F422" s="1">
        <v>34182</v>
      </c>
      <c r="G422">
        <f t="shared" si="7"/>
        <v>8</v>
      </c>
      <c r="H422" s="7">
        <v>355.52</v>
      </c>
      <c r="J422" s="7"/>
    </row>
    <row r="423" spans="6:10" ht="18.75" customHeight="1">
      <c r="F423" s="1">
        <v>34213</v>
      </c>
      <c r="G423">
        <f t="shared" si="7"/>
        <v>9</v>
      </c>
      <c r="H423" s="7">
        <v>353.69</v>
      </c>
      <c r="J423" s="7"/>
    </row>
    <row r="424" spans="6:10" ht="18.75" customHeight="1">
      <c r="F424" s="1">
        <v>34243</v>
      </c>
      <c r="G424">
        <f t="shared" si="7"/>
        <v>10</v>
      </c>
      <c r="H424" s="7">
        <v>353.99</v>
      </c>
      <c r="J424" s="7"/>
    </row>
    <row r="425" spans="6:10" ht="18.75" customHeight="1">
      <c r="F425" s="1">
        <v>34274</v>
      </c>
      <c r="G425">
        <f t="shared" si="7"/>
        <v>11</v>
      </c>
      <c r="H425" s="7">
        <v>355.34</v>
      </c>
      <c r="J425" s="7"/>
    </row>
    <row r="426" spans="6:10" ht="18.75" customHeight="1">
      <c r="F426" s="1">
        <v>34304</v>
      </c>
      <c r="G426">
        <f t="shared" si="7"/>
        <v>12</v>
      </c>
      <c r="H426" s="7">
        <v>356.8</v>
      </c>
      <c r="J426" s="7"/>
    </row>
    <row r="427" spans="6:10" ht="18.75" customHeight="1">
      <c r="F427" s="1">
        <v>34335</v>
      </c>
      <c r="G427">
        <f t="shared" si="7"/>
        <v>1</v>
      </c>
      <c r="H427" s="7">
        <v>358.37</v>
      </c>
      <c r="J427" s="7"/>
    </row>
    <row r="428" spans="6:10" ht="18.75" customHeight="1">
      <c r="F428" s="1">
        <v>34366</v>
      </c>
      <c r="G428">
        <f t="shared" si="7"/>
        <v>2</v>
      </c>
      <c r="H428" s="7">
        <v>358.91</v>
      </c>
      <c r="J428" s="7"/>
    </row>
    <row r="429" spans="6:10" ht="18.75" customHeight="1">
      <c r="F429" s="1">
        <v>34394</v>
      </c>
      <c r="G429">
        <f t="shared" si="7"/>
        <v>3</v>
      </c>
      <c r="H429" s="7">
        <v>359.97</v>
      </c>
      <c r="J429" s="7"/>
    </row>
    <row r="430" spans="6:10" ht="18.75" customHeight="1">
      <c r="F430" s="1">
        <v>34425</v>
      </c>
      <c r="G430">
        <f t="shared" si="7"/>
        <v>4</v>
      </c>
      <c r="H430" s="7">
        <v>361.26</v>
      </c>
      <c r="J430" s="7"/>
    </row>
    <row r="431" spans="6:10" ht="18.75" customHeight="1">
      <c r="F431" s="1">
        <v>34455</v>
      </c>
      <c r="G431">
        <f t="shared" si="7"/>
        <v>5</v>
      </c>
      <c r="H431" s="7">
        <v>361.69</v>
      </c>
      <c r="J431" s="7"/>
    </row>
    <row r="432" spans="6:10" ht="18.75" customHeight="1">
      <c r="F432" s="1">
        <v>34486</v>
      </c>
      <c r="G432">
        <f t="shared" si="7"/>
        <v>6</v>
      </c>
      <c r="H432" s="7">
        <v>360.94</v>
      </c>
      <c r="J432" s="7"/>
    </row>
    <row r="433" spans="6:10" ht="18.75" customHeight="1">
      <c r="F433" s="1">
        <v>34516</v>
      </c>
      <c r="G433">
        <f t="shared" si="7"/>
        <v>7</v>
      </c>
      <c r="H433" s="7">
        <v>359.55</v>
      </c>
      <c r="J433" s="7"/>
    </row>
    <row r="434" spans="6:10" ht="18.75" customHeight="1">
      <c r="F434" s="1">
        <v>34547</v>
      </c>
      <c r="G434">
        <f t="shared" si="7"/>
        <v>8</v>
      </c>
      <c r="H434" s="7">
        <v>357.48</v>
      </c>
      <c r="J434" s="7"/>
    </row>
    <row r="435" spans="6:10" ht="18.75" customHeight="1">
      <c r="F435" s="1">
        <v>34578</v>
      </c>
      <c r="G435">
        <f t="shared" si="7"/>
        <v>9</v>
      </c>
      <c r="H435" s="7">
        <v>355.84</v>
      </c>
      <c r="J435" s="7"/>
    </row>
    <row r="436" spans="6:10" ht="18.75" customHeight="1">
      <c r="F436" s="1">
        <v>34608</v>
      </c>
      <c r="G436">
        <f t="shared" si="7"/>
        <v>10</v>
      </c>
      <c r="H436" s="7">
        <v>356</v>
      </c>
      <c r="J436" s="7"/>
    </row>
    <row r="437" spans="6:10" ht="18.75" customHeight="1">
      <c r="F437" s="1">
        <v>34639</v>
      </c>
      <c r="G437">
        <f t="shared" si="7"/>
        <v>11</v>
      </c>
      <c r="H437" s="7">
        <v>357.58</v>
      </c>
      <c r="J437" s="7"/>
    </row>
    <row r="438" spans="6:10" ht="18.75" customHeight="1">
      <c r="F438" s="1">
        <v>34669</v>
      </c>
      <c r="G438">
        <f t="shared" si="7"/>
        <v>12</v>
      </c>
      <c r="H438" s="7">
        <v>359.04</v>
      </c>
      <c r="J438" s="7"/>
    </row>
    <row r="439" spans="6:10" ht="18.75" customHeight="1">
      <c r="F439" s="1">
        <v>34700</v>
      </c>
      <c r="G439">
        <f t="shared" si="7"/>
        <v>1</v>
      </c>
      <c r="H439" s="7">
        <v>359.97</v>
      </c>
      <c r="J439" s="7"/>
    </row>
    <row r="440" spans="6:10" ht="18.75" customHeight="1">
      <c r="F440" s="1">
        <v>34731</v>
      </c>
      <c r="G440">
        <f t="shared" si="7"/>
        <v>2</v>
      </c>
      <c r="H440" s="7">
        <v>361</v>
      </c>
      <c r="J440" s="7"/>
    </row>
    <row r="441" spans="6:10" ht="18.75" customHeight="1">
      <c r="F441" s="1">
        <v>34759</v>
      </c>
      <c r="G441">
        <f t="shared" si="7"/>
        <v>3</v>
      </c>
      <c r="H441" s="7">
        <v>361.63</v>
      </c>
      <c r="J441" s="7"/>
    </row>
    <row r="442" spans="6:10" ht="18.75" customHeight="1">
      <c r="F442" s="1">
        <v>34790</v>
      </c>
      <c r="G442">
        <f t="shared" si="7"/>
        <v>4</v>
      </c>
      <c r="H442" s="7">
        <v>363.45</v>
      </c>
      <c r="J442" s="7"/>
    </row>
    <row r="443" spans="6:10" ht="18.75" customHeight="1">
      <c r="F443" s="1">
        <v>34820</v>
      </c>
      <c r="G443">
        <f t="shared" si="7"/>
        <v>5</v>
      </c>
      <c r="H443" s="7">
        <v>363.8</v>
      </c>
      <c r="J443" s="7"/>
    </row>
    <row r="444" spans="6:10" ht="18.75" customHeight="1">
      <c r="F444" s="1">
        <v>34851</v>
      </c>
      <c r="G444">
        <f t="shared" si="7"/>
        <v>6</v>
      </c>
      <c r="H444" s="7">
        <v>363.26</v>
      </c>
      <c r="J444" s="7"/>
    </row>
    <row r="445" spans="6:10" ht="18.75" customHeight="1">
      <c r="F445" s="1">
        <v>34881</v>
      </c>
      <c r="G445">
        <f t="shared" si="7"/>
        <v>7</v>
      </c>
      <c r="H445" s="7">
        <v>361.89</v>
      </c>
      <c r="J445" s="7"/>
    </row>
    <row r="446" spans="6:10" ht="18.75" customHeight="1">
      <c r="F446" s="1">
        <v>34912</v>
      </c>
      <c r="G446">
        <f t="shared" si="7"/>
        <v>8</v>
      </c>
      <c r="H446" s="7">
        <v>359.45</v>
      </c>
      <c r="J446" s="7"/>
    </row>
    <row r="447" spans="6:10" ht="18.75" customHeight="1">
      <c r="F447" s="1">
        <v>34943</v>
      </c>
      <c r="G447">
        <f t="shared" si="7"/>
        <v>9</v>
      </c>
      <c r="H447" s="7">
        <v>358.05</v>
      </c>
      <c r="J447" s="7"/>
    </row>
    <row r="448" spans="6:10" ht="18.75" customHeight="1">
      <c r="F448" s="1">
        <v>34973</v>
      </c>
      <c r="G448">
        <f t="shared" si="7"/>
        <v>10</v>
      </c>
      <c r="H448" s="7">
        <v>357.75</v>
      </c>
      <c r="J448" s="7"/>
    </row>
    <row r="449" spans="6:10" ht="18.75" customHeight="1">
      <c r="F449" s="1">
        <v>35004</v>
      </c>
      <c r="G449">
        <f t="shared" si="7"/>
        <v>11</v>
      </c>
      <c r="H449" s="7">
        <v>359.56</v>
      </c>
      <c r="J449" s="7"/>
    </row>
    <row r="450" spans="6:10" ht="18.75" customHeight="1">
      <c r="F450" s="1">
        <v>35034</v>
      </c>
      <c r="G450">
        <f t="shared" si="7"/>
        <v>12</v>
      </c>
      <c r="H450" s="7">
        <v>360.7</v>
      </c>
      <c r="J450" s="7"/>
    </row>
    <row r="451" spans="6:10" ht="18.75" customHeight="1">
      <c r="F451" s="1">
        <v>35065</v>
      </c>
      <c r="G451">
        <f t="shared" ref="G451:G514" si="8">MONTH(F451)</f>
        <v>1</v>
      </c>
      <c r="H451" s="7">
        <v>362.05</v>
      </c>
      <c r="J451" s="7"/>
    </row>
    <row r="452" spans="6:10" ht="18.75" customHeight="1">
      <c r="F452" s="1">
        <v>35096</v>
      </c>
      <c r="G452">
        <f t="shared" si="8"/>
        <v>2</v>
      </c>
      <c r="H452" s="7">
        <v>363.24</v>
      </c>
      <c r="J452" s="7"/>
    </row>
    <row r="453" spans="6:10" ht="18.75" customHeight="1">
      <c r="F453" s="1">
        <v>35125</v>
      </c>
      <c r="G453">
        <f t="shared" si="8"/>
        <v>3</v>
      </c>
      <c r="H453" s="7">
        <v>364.02</v>
      </c>
      <c r="J453" s="7"/>
    </row>
    <row r="454" spans="6:10" ht="18.75" customHeight="1">
      <c r="F454" s="1">
        <v>35156</v>
      </c>
      <c r="G454">
        <f t="shared" si="8"/>
        <v>4</v>
      </c>
      <c r="H454" s="7">
        <v>364.71</v>
      </c>
      <c r="J454" s="7"/>
    </row>
    <row r="455" spans="6:10" ht="18.75" customHeight="1">
      <c r="F455" s="1">
        <v>35186</v>
      </c>
      <c r="G455">
        <f t="shared" si="8"/>
        <v>5</v>
      </c>
      <c r="H455" s="7">
        <v>365.42</v>
      </c>
      <c r="J455" s="7"/>
    </row>
    <row r="456" spans="6:10" ht="18.75" customHeight="1">
      <c r="F456" s="1">
        <v>35217</v>
      </c>
      <c r="G456">
        <f t="shared" si="8"/>
        <v>6</v>
      </c>
      <c r="H456" s="7">
        <v>364.97</v>
      </c>
      <c r="J456" s="7"/>
    </row>
    <row r="457" spans="6:10" ht="18.75" customHeight="1">
      <c r="F457" s="1">
        <v>35247</v>
      </c>
      <c r="G457">
        <f t="shared" si="8"/>
        <v>7</v>
      </c>
      <c r="H457" s="7">
        <v>363.65</v>
      </c>
      <c r="J457" s="7"/>
    </row>
    <row r="458" spans="6:10" ht="18.75" customHeight="1">
      <c r="F458" s="1">
        <v>35278</v>
      </c>
      <c r="G458">
        <f t="shared" si="8"/>
        <v>8</v>
      </c>
      <c r="H458" s="7">
        <v>361.48</v>
      </c>
      <c r="J458" s="7"/>
    </row>
    <row r="459" spans="6:10" ht="18.75" customHeight="1">
      <c r="F459" s="1">
        <v>35309</v>
      </c>
      <c r="G459">
        <f t="shared" si="8"/>
        <v>9</v>
      </c>
      <c r="H459" s="7">
        <v>359.45</v>
      </c>
      <c r="J459" s="7"/>
    </row>
    <row r="460" spans="6:10" ht="18.75" customHeight="1">
      <c r="F460" s="1">
        <v>35339</v>
      </c>
      <c r="G460">
        <f t="shared" si="8"/>
        <v>10</v>
      </c>
      <c r="H460" s="7">
        <v>359.61</v>
      </c>
      <c r="J460" s="7"/>
    </row>
    <row r="461" spans="6:10" ht="18.75" customHeight="1">
      <c r="F461" s="1">
        <v>35370</v>
      </c>
      <c r="G461">
        <f t="shared" si="8"/>
        <v>11</v>
      </c>
      <c r="H461" s="7">
        <v>360.76</v>
      </c>
      <c r="J461" s="7"/>
    </row>
    <row r="462" spans="6:10" ht="18.75" customHeight="1">
      <c r="F462" s="1">
        <v>35400</v>
      </c>
      <c r="G462">
        <f t="shared" si="8"/>
        <v>12</v>
      </c>
      <c r="H462" s="7">
        <v>362.33</v>
      </c>
      <c r="J462" s="7"/>
    </row>
    <row r="463" spans="6:10" ht="18.75" customHeight="1">
      <c r="F463" s="1">
        <v>35431</v>
      </c>
      <c r="G463">
        <f t="shared" si="8"/>
        <v>1</v>
      </c>
      <c r="H463" s="7">
        <v>363.19</v>
      </c>
      <c r="J463" s="7"/>
    </row>
    <row r="464" spans="6:10" ht="18.75" customHeight="1">
      <c r="F464" s="1">
        <v>35462</v>
      </c>
      <c r="G464">
        <f t="shared" si="8"/>
        <v>2</v>
      </c>
      <c r="H464" s="7">
        <v>363.99</v>
      </c>
      <c r="J464" s="7"/>
    </row>
    <row r="465" spans="6:10" ht="18.75" customHeight="1">
      <c r="F465" s="1">
        <v>35490</v>
      </c>
      <c r="G465">
        <f t="shared" si="8"/>
        <v>3</v>
      </c>
      <c r="H465" s="7">
        <v>364.56</v>
      </c>
      <c r="J465" s="7"/>
    </row>
    <row r="466" spans="6:10" ht="18.75" customHeight="1">
      <c r="F466" s="1">
        <v>35521</v>
      </c>
      <c r="G466">
        <f t="shared" si="8"/>
        <v>4</v>
      </c>
      <c r="H466" s="7">
        <v>366.36</v>
      </c>
      <c r="J466" s="7"/>
    </row>
    <row r="467" spans="6:10" ht="18.75" customHeight="1">
      <c r="F467" s="1">
        <v>35551</v>
      </c>
      <c r="G467">
        <f t="shared" si="8"/>
        <v>5</v>
      </c>
      <c r="H467" s="7">
        <v>366.8</v>
      </c>
      <c r="J467" s="7"/>
    </row>
    <row r="468" spans="6:10" ht="18.75" customHeight="1">
      <c r="F468" s="1">
        <v>35582</v>
      </c>
      <c r="G468">
        <f t="shared" si="8"/>
        <v>6</v>
      </c>
      <c r="H468" s="7">
        <v>365.63</v>
      </c>
      <c r="J468" s="7"/>
    </row>
    <row r="469" spans="6:10" ht="18.75" customHeight="1">
      <c r="F469" s="1">
        <v>35612</v>
      </c>
      <c r="G469">
        <f t="shared" si="8"/>
        <v>7</v>
      </c>
      <c r="H469" s="7">
        <v>364.47</v>
      </c>
      <c r="J469" s="7"/>
    </row>
    <row r="470" spans="6:10" ht="18.75" customHeight="1">
      <c r="F470" s="1">
        <v>35643</v>
      </c>
      <c r="G470">
        <f t="shared" si="8"/>
        <v>8</v>
      </c>
      <c r="H470" s="7">
        <v>362.5</v>
      </c>
      <c r="J470" s="7"/>
    </row>
    <row r="471" spans="6:10" ht="18.75" customHeight="1">
      <c r="F471" s="1">
        <v>35674</v>
      </c>
      <c r="G471">
        <f t="shared" si="8"/>
        <v>9</v>
      </c>
      <c r="H471" s="7">
        <v>360.19</v>
      </c>
      <c r="J471" s="7"/>
    </row>
    <row r="472" spans="6:10" ht="18.75" customHeight="1">
      <c r="F472" s="1">
        <v>35704</v>
      </c>
      <c r="G472">
        <f t="shared" si="8"/>
        <v>10</v>
      </c>
      <c r="H472" s="7">
        <v>360.78</v>
      </c>
      <c r="J472" s="7"/>
    </row>
    <row r="473" spans="6:10" ht="18.75" customHeight="1">
      <c r="F473" s="1">
        <v>35735</v>
      </c>
      <c r="G473">
        <f t="shared" si="8"/>
        <v>11</v>
      </c>
      <c r="H473" s="7">
        <v>362.43</v>
      </c>
      <c r="J473" s="7"/>
    </row>
    <row r="474" spans="6:10" ht="18.75" customHeight="1">
      <c r="F474" s="1">
        <v>35765</v>
      </c>
      <c r="G474">
        <f t="shared" si="8"/>
        <v>12</v>
      </c>
      <c r="H474" s="7">
        <v>364.28</v>
      </c>
      <c r="J474" s="7"/>
    </row>
    <row r="475" spans="6:10" ht="18.75" customHeight="1">
      <c r="F475" s="1">
        <v>35796</v>
      </c>
      <c r="G475">
        <f t="shared" si="8"/>
        <v>1</v>
      </c>
      <c r="H475" s="7">
        <v>365.33</v>
      </c>
      <c r="J475" s="7"/>
    </row>
    <row r="476" spans="6:10" ht="18.75" customHeight="1">
      <c r="F476" s="1">
        <v>35827</v>
      </c>
      <c r="G476">
        <f t="shared" si="8"/>
        <v>2</v>
      </c>
      <c r="H476" s="7">
        <v>366.15</v>
      </c>
      <c r="J476" s="7"/>
    </row>
    <row r="477" spans="6:10" ht="18.75" customHeight="1">
      <c r="F477" s="1">
        <v>35855</v>
      </c>
      <c r="G477">
        <f t="shared" si="8"/>
        <v>3</v>
      </c>
      <c r="H477" s="7">
        <v>367.31</v>
      </c>
      <c r="J477" s="7"/>
    </row>
    <row r="478" spans="6:10" ht="18.75" customHeight="1">
      <c r="F478" s="1">
        <v>35886</v>
      </c>
      <c r="G478">
        <f t="shared" si="8"/>
        <v>4</v>
      </c>
      <c r="H478" s="7">
        <v>368.61</v>
      </c>
      <c r="J478" s="7"/>
    </row>
    <row r="479" spans="6:10" ht="18.75" customHeight="1">
      <c r="F479" s="1">
        <v>35916</v>
      </c>
      <c r="G479">
        <f t="shared" si="8"/>
        <v>5</v>
      </c>
      <c r="H479" s="7">
        <v>369.3</v>
      </c>
      <c r="J479" s="7"/>
    </row>
    <row r="480" spans="6:10" ht="18.75" customHeight="1">
      <c r="F480" s="1">
        <v>35947</v>
      </c>
      <c r="G480">
        <f t="shared" si="8"/>
        <v>6</v>
      </c>
      <c r="H480" s="7">
        <v>368.88</v>
      </c>
      <c r="J480" s="7"/>
    </row>
    <row r="481" spans="6:10" ht="18.75" customHeight="1">
      <c r="F481" s="1">
        <v>35977</v>
      </c>
      <c r="G481">
        <f t="shared" si="8"/>
        <v>7</v>
      </c>
      <c r="H481" s="7">
        <v>367.64</v>
      </c>
      <c r="J481" s="7"/>
    </row>
    <row r="482" spans="6:10" ht="18.75" customHeight="1">
      <c r="F482" s="1">
        <v>36008</v>
      </c>
      <c r="G482">
        <f t="shared" si="8"/>
        <v>8</v>
      </c>
      <c r="H482" s="7">
        <v>365.78</v>
      </c>
      <c r="J482" s="7"/>
    </row>
    <row r="483" spans="6:10" ht="18.75" customHeight="1">
      <c r="F483" s="1">
        <v>36039</v>
      </c>
      <c r="G483">
        <f t="shared" si="8"/>
        <v>9</v>
      </c>
      <c r="H483" s="7">
        <v>363.9</v>
      </c>
      <c r="J483" s="7"/>
    </row>
    <row r="484" spans="6:10" ht="18.75" customHeight="1">
      <c r="F484" s="1">
        <v>36069</v>
      </c>
      <c r="G484">
        <f t="shared" si="8"/>
        <v>10</v>
      </c>
      <c r="H484" s="7">
        <v>364.23</v>
      </c>
      <c r="J484" s="7"/>
    </row>
    <row r="485" spans="6:10" ht="18.75" customHeight="1">
      <c r="F485" s="1">
        <v>36100</v>
      </c>
      <c r="G485">
        <f t="shared" si="8"/>
        <v>11</v>
      </c>
      <c r="H485" s="7">
        <v>365.46</v>
      </c>
      <c r="J485" s="7"/>
    </row>
    <row r="486" spans="6:10" ht="18.75" customHeight="1">
      <c r="F486" s="1">
        <v>36130</v>
      </c>
      <c r="G486">
        <f t="shared" si="8"/>
        <v>12</v>
      </c>
      <c r="H486" s="7">
        <v>366.97</v>
      </c>
      <c r="J486" s="7"/>
    </row>
    <row r="487" spans="6:10" ht="18.75" customHeight="1">
      <c r="F487" s="1">
        <v>36161</v>
      </c>
      <c r="G487">
        <f t="shared" si="8"/>
        <v>1</v>
      </c>
      <c r="H487" s="7">
        <v>368.15</v>
      </c>
      <c r="J487" s="7"/>
    </row>
    <row r="488" spans="6:10" ht="18.75" customHeight="1">
      <c r="F488" s="1">
        <v>36192</v>
      </c>
      <c r="G488">
        <f t="shared" si="8"/>
        <v>2</v>
      </c>
      <c r="H488" s="7">
        <v>368.87</v>
      </c>
      <c r="J488" s="7"/>
    </row>
    <row r="489" spans="6:10" ht="18.75" customHeight="1">
      <c r="F489" s="1">
        <v>36220</v>
      </c>
      <c r="G489">
        <f t="shared" si="8"/>
        <v>3</v>
      </c>
      <c r="H489" s="7">
        <v>369.59</v>
      </c>
      <c r="J489" s="7"/>
    </row>
    <row r="490" spans="6:10" ht="18.75" customHeight="1">
      <c r="F490" s="1">
        <v>36251</v>
      </c>
      <c r="G490">
        <f t="shared" si="8"/>
        <v>4</v>
      </c>
      <c r="H490" s="7">
        <v>371.14</v>
      </c>
      <c r="J490" s="7"/>
    </row>
    <row r="491" spans="6:10" ht="18.75" customHeight="1">
      <c r="F491" s="1">
        <v>36281</v>
      </c>
      <c r="G491">
        <f t="shared" si="8"/>
        <v>5</v>
      </c>
      <c r="H491" s="7">
        <v>371</v>
      </c>
      <c r="J491" s="7"/>
    </row>
    <row r="492" spans="6:10" ht="18.75" customHeight="1">
      <c r="F492" s="1">
        <v>36312</v>
      </c>
      <c r="G492">
        <f t="shared" si="8"/>
        <v>6</v>
      </c>
      <c r="H492" s="7">
        <v>370.35</v>
      </c>
      <c r="J492" s="7"/>
    </row>
    <row r="493" spans="6:10" ht="18.75" customHeight="1">
      <c r="F493" s="1">
        <v>36342</v>
      </c>
      <c r="G493">
        <f t="shared" si="8"/>
        <v>7</v>
      </c>
      <c r="H493" s="7">
        <v>369.27</v>
      </c>
      <c r="J493" s="7"/>
    </row>
    <row r="494" spans="6:10" ht="18.75" customHeight="1">
      <c r="F494" s="1">
        <v>36373</v>
      </c>
      <c r="G494">
        <f t="shared" si="8"/>
        <v>8</v>
      </c>
      <c r="H494" s="7">
        <v>366.93</v>
      </c>
      <c r="J494" s="7"/>
    </row>
    <row r="495" spans="6:10" ht="18.75" customHeight="1">
      <c r="F495" s="1">
        <v>36404</v>
      </c>
      <c r="G495">
        <f t="shared" si="8"/>
        <v>9</v>
      </c>
      <c r="H495" s="7">
        <v>364.64</v>
      </c>
      <c r="J495" s="7"/>
    </row>
    <row r="496" spans="6:10" ht="18.75" customHeight="1">
      <c r="F496" s="1">
        <v>36434</v>
      </c>
      <c r="G496">
        <f t="shared" si="8"/>
        <v>10</v>
      </c>
      <c r="H496" s="7">
        <v>365.13</v>
      </c>
      <c r="J496" s="7"/>
    </row>
    <row r="497" spans="6:10" ht="18.75" customHeight="1">
      <c r="F497" s="1">
        <v>36465</v>
      </c>
      <c r="G497">
        <f t="shared" si="8"/>
        <v>11</v>
      </c>
      <c r="H497" s="7">
        <v>366.68</v>
      </c>
      <c r="J497" s="7"/>
    </row>
    <row r="498" spans="6:10" ht="18.75" customHeight="1">
      <c r="F498" s="1">
        <v>36495</v>
      </c>
      <c r="G498">
        <f t="shared" si="8"/>
        <v>12</v>
      </c>
      <c r="H498" s="7">
        <v>368</v>
      </c>
      <c r="J498" s="7"/>
    </row>
    <row r="499" spans="6:10" ht="18.75" customHeight="1">
      <c r="F499" s="1">
        <v>36526</v>
      </c>
      <c r="G499">
        <f t="shared" si="8"/>
        <v>1</v>
      </c>
      <c r="H499" s="7">
        <v>369.14</v>
      </c>
      <c r="J499" s="7"/>
    </row>
    <row r="500" spans="6:10" ht="18.75" customHeight="1">
      <c r="F500" s="1">
        <v>36557</v>
      </c>
      <c r="G500">
        <f t="shared" si="8"/>
        <v>2</v>
      </c>
      <c r="H500" s="7">
        <v>369.46</v>
      </c>
      <c r="J500" s="7"/>
    </row>
    <row r="501" spans="6:10" ht="18.75" customHeight="1">
      <c r="F501" s="1">
        <v>36586</v>
      </c>
      <c r="G501">
        <f t="shared" si="8"/>
        <v>3</v>
      </c>
      <c r="H501" s="7">
        <v>370.51</v>
      </c>
      <c r="J501" s="7"/>
    </row>
    <row r="502" spans="6:10" ht="18.75" customHeight="1">
      <c r="F502" s="16">
        <v>36617</v>
      </c>
      <c r="G502" s="17">
        <f t="shared" si="8"/>
        <v>4</v>
      </c>
      <c r="H502" s="18">
        <v>371.66</v>
      </c>
      <c r="J502" s="7"/>
    </row>
    <row r="503" spans="6:10" ht="18.75" customHeight="1">
      <c r="F503" s="1">
        <v>36647</v>
      </c>
      <c r="G503">
        <f t="shared" si="8"/>
        <v>5</v>
      </c>
      <c r="H503" s="7">
        <v>371.83</v>
      </c>
      <c r="J503" s="7"/>
    </row>
    <row r="504" spans="6:10" ht="18.75" customHeight="1">
      <c r="F504" s="1">
        <v>36678</v>
      </c>
      <c r="G504">
        <f t="shared" si="8"/>
        <v>6</v>
      </c>
      <c r="H504" s="7">
        <v>371.69</v>
      </c>
      <c r="J504" s="7"/>
    </row>
    <row r="505" spans="6:10" ht="18.75" customHeight="1">
      <c r="F505" s="1">
        <v>36708</v>
      </c>
      <c r="G505">
        <f t="shared" si="8"/>
        <v>7</v>
      </c>
      <c r="H505" s="7">
        <v>370.12</v>
      </c>
      <c r="J505" s="7"/>
    </row>
    <row r="506" spans="6:10" ht="18.75" customHeight="1">
      <c r="F506" s="1">
        <v>36739</v>
      </c>
      <c r="G506">
        <f t="shared" si="8"/>
        <v>8</v>
      </c>
      <c r="H506" s="7">
        <v>368.12</v>
      </c>
      <c r="J506" s="7"/>
    </row>
    <row r="507" spans="6:10" ht="18.75" customHeight="1">
      <c r="F507" s="1">
        <v>36770</v>
      </c>
      <c r="G507">
        <f t="shared" si="8"/>
        <v>9</v>
      </c>
      <c r="H507" s="7">
        <v>366.62</v>
      </c>
      <c r="J507" s="7"/>
    </row>
    <row r="508" spans="6:10" ht="18.75" customHeight="1">
      <c r="F508" s="1">
        <v>36800</v>
      </c>
      <c r="G508">
        <f t="shared" si="8"/>
        <v>10</v>
      </c>
      <c r="H508" s="7">
        <v>366.73</v>
      </c>
      <c r="J508" s="7"/>
    </row>
    <row r="509" spans="6:10" ht="18.75" customHeight="1">
      <c r="F509" s="1">
        <v>36831</v>
      </c>
      <c r="G509">
        <f t="shared" si="8"/>
        <v>11</v>
      </c>
      <c r="H509" s="7">
        <v>368.29</v>
      </c>
      <c r="J509" s="7"/>
    </row>
    <row r="510" spans="6:10" ht="18.75" customHeight="1">
      <c r="F510" s="1">
        <v>36861</v>
      </c>
      <c r="G510">
        <f t="shared" si="8"/>
        <v>12</v>
      </c>
      <c r="H510" s="7">
        <v>369.52</v>
      </c>
      <c r="J510" s="7"/>
    </row>
    <row r="511" spans="6:10" ht="18.75" customHeight="1">
      <c r="F511" s="1">
        <v>36892</v>
      </c>
      <c r="G511">
        <f t="shared" si="8"/>
        <v>1</v>
      </c>
      <c r="H511" s="7">
        <v>370.28</v>
      </c>
      <c r="J511" s="7"/>
    </row>
    <row r="512" spans="6:10" ht="18.75" customHeight="1">
      <c r="F512" s="1">
        <v>36923</v>
      </c>
      <c r="G512">
        <f t="shared" si="8"/>
        <v>2</v>
      </c>
      <c r="H512" s="7">
        <v>371.5</v>
      </c>
      <c r="J512" s="7"/>
    </row>
    <row r="513" spans="6:10" ht="18.75" customHeight="1">
      <c r="F513" s="1">
        <v>36951</v>
      </c>
      <c r="G513">
        <f t="shared" si="8"/>
        <v>3</v>
      </c>
      <c r="H513" s="7">
        <v>372.12</v>
      </c>
      <c r="J513" s="7"/>
    </row>
    <row r="514" spans="6:10" ht="18.75" customHeight="1">
      <c r="F514" s="1">
        <v>36982</v>
      </c>
      <c r="G514">
        <f t="shared" si="8"/>
        <v>4</v>
      </c>
      <c r="H514" s="7">
        <v>372.86</v>
      </c>
      <c r="J514" s="7"/>
    </row>
    <row r="515" spans="6:10" ht="18.75" customHeight="1">
      <c r="F515" s="1">
        <v>37012</v>
      </c>
      <c r="G515">
        <f t="shared" ref="G515:G578" si="9">MONTH(F515)</f>
        <v>5</v>
      </c>
      <c r="H515" s="7">
        <v>374.02</v>
      </c>
      <c r="J515" s="7"/>
    </row>
    <row r="516" spans="6:10" ht="18.75" customHeight="1">
      <c r="F516" s="1">
        <v>37043</v>
      </c>
      <c r="G516">
        <f t="shared" si="9"/>
        <v>6</v>
      </c>
      <c r="H516" s="7">
        <v>373.31</v>
      </c>
      <c r="J516" s="7"/>
    </row>
    <row r="517" spans="6:10" ht="18.75" customHeight="1">
      <c r="F517" s="1">
        <v>37073</v>
      </c>
      <c r="G517">
        <f t="shared" si="9"/>
        <v>7</v>
      </c>
      <c r="H517" s="7">
        <v>371.62</v>
      </c>
      <c r="J517" s="7"/>
    </row>
    <row r="518" spans="6:10" ht="18.75" customHeight="1">
      <c r="F518" s="1">
        <v>37104</v>
      </c>
      <c r="G518">
        <f t="shared" si="9"/>
        <v>8</v>
      </c>
      <c r="H518" s="7">
        <v>369.55</v>
      </c>
      <c r="J518" s="7"/>
    </row>
    <row r="519" spans="6:10" ht="18.75" customHeight="1">
      <c r="F519" s="1">
        <v>37135</v>
      </c>
      <c r="G519">
        <f t="shared" si="9"/>
        <v>9</v>
      </c>
      <c r="H519" s="7">
        <v>367.96</v>
      </c>
      <c r="J519" s="7"/>
    </row>
    <row r="520" spans="6:10" ht="18.75" customHeight="1">
      <c r="F520" s="1">
        <v>37165</v>
      </c>
      <c r="G520">
        <f t="shared" si="9"/>
        <v>10</v>
      </c>
      <c r="H520" s="7">
        <v>368.09</v>
      </c>
      <c r="J520" s="7"/>
    </row>
    <row r="521" spans="6:10" ht="18.75" customHeight="1">
      <c r="F521" s="1">
        <v>37196</v>
      </c>
      <c r="G521">
        <f t="shared" si="9"/>
        <v>11</v>
      </c>
      <c r="H521" s="7">
        <v>369.68</v>
      </c>
      <c r="J521" s="7"/>
    </row>
    <row r="522" spans="6:10" ht="18.75" customHeight="1">
      <c r="F522" s="1">
        <v>37226</v>
      </c>
      <c r="G522">
        <f t="shared" si="9"/>
        <v>12</v>
      </c>
      <c r="H522" s="7">
        <v>371.24</v>
      </c>
      <c r="J522" s="7"/>
    </row>
    <row r="523" spans="6:10" ht="18.75" customHeight="1">
      <c r="F523" s="1">
        <v>37257</v>
      </c>
      <c r="G523">
        <f t="shared" si="9"/>
        <v>1</v>
      </c>
      <c r="H523" s="7">
        <v>372.44</v>
      </c>
      <c r="J523" s="7"/>
    </row>
    <row r="524" spans="6:10" ht="18.75" customHeight="1">
      <c r="F524" s="1">
        <v>37288</v>
      </c>
      <c r="G524">
        <f t="shared" si="9"/>
        <v>2</v>
      </c>
      <c r="H524" s="7">
        <v>373.08</v>
      </c>
      <c r="J524" s="7"/>
    </row>
    <row r="525" spans="6:10" ht="18.75" customHeight="1">
      <c r="F525" s="1">
        <v>37316</v>
      </c>
      <c r="G525">
        <f t="shared" si="9"/>
        <v>3</v>
      </c>
      <c r="H525" s="7">
        <v>373.52</v>
      </c>
      <c r="J525" s="7"/>
    </row>
    <row r="526" spans="6:10" ht="18.75" customHeight="1">
      <c r="F526" s="1">
        <v>37347</v>
      </c>
      <c r="G526">
        <f t="shared" si="9"/>
        <v>4</v>
      </c>
      <c r="H526" s="7">
        <v>374.85</v>
      </c>
      <c r="J526" s="7"/>
    </row>
    <row r="527" spans="6:10" ht="18.75" customHeight="1">
      <c r="F527" s="1">
        <v>37377</v>
      </c>
      <c r="G527">
        <f t="shared" si="9"/>
        <v>5</v>
      </c>
      <c r="H527" s="7">
        <v>375.55</v>
      </c>
      <c r="J527" s="7"/>
    </row>
    <row r="528" spans="6:10" ht="18.75" customHeight="1">
      <c r="F528" s="1">
        <v>37408</v>
      </c>
      <c r="G528">
        <f t="shared" si="9"/>
        <v>6</v>
      </c>
      <c r="H528" s="7">
        <v>375.4</v>
      </c>
      <c r="J528" s="7"/>
    </row>
    <row r="529" spans="6:10" ht="18.75" customHeight="1">
      <c r="F529" s="1">
        <v>37438</v>
      </c>
      <c r="G529">
        <f t="shared" si="9"/>
        <v>7</v>
      </c>
      <c r="H529" s="7">
        <v>374.02</v>
      </c>
      <c r="J529" s="7"/>
    </row>
    <row r="530" spans="6:10" ht="18.75" customHeight="1">
      <c r="F530" s="1">
        <v>37469</v>
      </c>
      <c r="G530">
        <f t="shared" si="9"/>
        <v>8</v>
      </c>
      <c r="H530" s="7">
        <v>371.48</v>
      </c>
      <c r="J530" s="7"/>
    </row>
    <row r="531" spans="6:10" ht="18.75" customHeight="1">
      <c r="F531" s="1">
        <v>37500</v>
      </c>
      <c r="G531">
        <f t="shared" si="9"/>
        <v>9</v>
      </c>
      <c r="H531" s="7">
        <v>370.7</v>
      </c>
      <c r="J531" s="7"/>
    </row>
    <row r="532" spans="6:10" ht="18.75" customHeight="1">
      <c r="F532" s="1">
        <v>37530</v>
      </c>
      <c r="G532">
        <f t="shared" si="9"/>
        <v>10</v>
      </c>
      <c r="H532" s="7">
        <v>370.25</v>
      </c>
      <c r="J532" s="7"/>
    </row>
    <row r="533" spans="6:10" ht="18.75" customHeight="1">
      <c r="F533" s="1">
        <v>37561</v>
      </c>
      <c r="G533">
        <f t="shared" si="9"/>
        <v>11</v>
      </c>
      <c r="H533" s="7">
        <v>372.08</v>
      </c>
      <c r="J533" s="7"/>
    </row>
    <row r="534" spans="6:10" ht="18.75" customHeight="1">
      <c r="F534" s="1">
        <v>37591</v>
      </c>
      <c r="G534">
        <f t="shared" si="9"/>
        <v>12</v>
      </c>
      <c r="H534" s="7">
        <v>373.78</v>
      </c>
      <c r="J534" s="7"/>
    </row>
    <row r="535" spans="6:10" ht="18.75" customHeight="1">
      <c r="F535" s="1">
        <v>37622</v>
      </c>
      <c r="G535">
        <f t="shared" si="9"/>
        <v>1</v>
      </c>
      <c r="H535" s="7">
        <v>374.68</v>
      </c>
      <c r="J535" s="7"/>
    </row>
    <row r="536" spans="6:10" ht="18.75" customHeight="1">
      <c r="F536" s="1">
        <v>37653</v>
      </c>
      <c r="G536">
        <f t="shared" si="9"/>
        <v>2</v>
      </c>
      <c r="H536" s="7">
        <v>375.62</v>
      </c>
      <c r="J536" s="7"/>
    </row>
    <row r="537" spans="6:10" ht="18.75" customHeight="1">
      <c r="F537" s="1">
        <v>37681</v>
      </c>
      <c r="G537">
        <f t="shared" si="9"/>
        <v>3</v>
      </c>
      <c r="H537" s="7">
        <v>376.11</v>
      </c>
      <c r="J537" s="7"/>
    </row>
    <row r="538" spans="6:10" ht="18.75" customHeight="1">
      <c r="F538" s="1">
        <v>37712</v>
      </c>
      <c r="G538">
        <f t="shared" si="9"/>
        <v>4</v>
      </c>
      <c r="H538" s="7">
        <v>377.65</v>
      </c>
      <c r="J538" s="7"/>
    </row>
    <row r="539" spans="6:10" ht="18.75" customHeight="1">
      <c r="F539" s="1">
        <v>37742</v>
      </c>
      <c r="G539">
        <f t="shared" si="9"/>
        <v>5</v>
      </c>
      <c r="H539" s="7">
        <v>378.35</v>
      </c>
      <c r="J539" s="7"/>
    </row>
    <row r="540" spans="6:10" ht="18.75" customHeight="1">
      <c r="F540" s="1">
        <v>37773</v>
      </c>
      <c r="G540">
        <f t="shared" si="9"/>
        <v>6</v>
      </c>
      <c r="H540" s="7">
        <v>378.13</v>
      </c>
      <c r="J540" s="7"/>
    </row>
    <row r="541" spans="6:10" ht="18.75" customHeight="1">
      <c r="F541" s="1">
        <v>37803</v>
      </c>
      <c r="G541">
        <f t="shared" si="9"/>
        <v>7</v>
      </c>
      <c r="H541" s="7">
        <v>376.6</v>
      </c>
      <c r="J541" s="7"/>
    </row>
    <row r="542" spans="6:10" ht="18.75" customHeight="1">
      <c r="F542" s="1">
        <v>37834</v>
      </c>
      <c r="G542">
        <f t="shared" si="9"/>
        <v>8</v>
      </c>
      <c r="H542" s="7">
        <v>374.48</v>
      </c>
      <c r="J542" s="7"/>
    </row>
    <row r="543" spans="6:10" ht="18.75" customHeight="1">
      <c r="F543" s="1">
        <v>37865</v>
      </c>
      <c r="G543">
        <f t="shared" si="9"/>
        <v>9</v>
      </c>
      <c r="H543" s="7">
        <v>372.98</v>
      </c>
      <c r="J543" s="7"/>
    </row>
    <row r="544" spans="6:10" ht="18.75" customHeight="1">
      <c r="F544" s="1">
        <v>37895</v>
      </c>
      <c r="G544">
        <f t="shared" si="9"/>
        <v>10</v>
      </c>
      <c r="H544" s="7">
        <v>373</v>
      </c>
      <c r="J544" s="7"/>
    </row>
    <row r="545" spans="6:10" ht="18.75" customHeight="1">
      <c r="F545" s="1">
        <v>37926</v>
      </c>
      <c r="G545">
        <f t="shared" si="9"/>
        <v>11</v>
      </c>
      <c r="H545" s="7">
        <v>374.35</v>
      </c>
      <c r="J545" s="7"/>
    </row>
    <row r="546" spans="6:10" ht="18.75" customHeight="1">
      <c r="F546" s="1">
        <v>37956</v>
      </c>
      <c r="G546">
        <f t="shared" si="9"/>
        <v>12</v>
      </c>
      <c r="H546" s="7">
        <v>375.69</v>
      </c>
      <c r="J546" s="7"/>
    </row>
    <row r="547" spans="6:10" ht="18.75" customHeight="1">
      <c r="F547" s="1">
        <v>37987</v>
      </c>
      <c r="G547">
        <f t="shared" si="9"/>
        <v>1</v>
      </c>
      <c r="H547" s="7">
        <v>376.79</v>
      </c>
      <c r="J547" s="7"/>
    </row>
    <row r="548" spans="6:10" ht="18.75" customHeight="1">
      <c r="F548" s="1">
        <v>38018</v>
      </c>
      <c r="G548">
        <f t="shared" si="9"/>
        <v>2</v>
      </c>
      <c r="H548" s="7">
        <v>377.37</v>
      </c>
      <c r="J548" s="7"/>
    </row>
    <row r="549" spans="6:10" ht="18.75" customHeight="1">
      <c r="F549" s="1">
        <v>38047</v>
      </c>
      <c r="G549">
        <f t="shared" si="9"/>
        <v>3</v>
      </c>
      <c r="H549" s="7">
        <v>378.39</v>
      </c>
      <c r="J549" s="7"/>
    </row>
    <row r="550" spans="6:10" ht="18.75" customHeight="1">
      <c r="F550" s="1">
        <v>38078</v>
      </c>
      <c r="G550">
        <f t="shared" si="9"/>
        <v>4</v>
      </c>
      <c r="H550" s="7">
        <v>380.5</v>
      </c>
      <c r="J550" s="7"/>
    </row>
    <row r="551" spans="6:10" ht="18.75" customHeight="1">
      <c r="F551" s="1">
        <v>38108</v>
      </c>
      <c r="G551">
        <f t="shared" si="9"/>
        <v>5</v>
      </c>
      <c r="H551" s="7">
        <v>380.62</v>
      </c>
      <c r="J551" s="7"/>
    </row>
    <row r="552" spans="6:10" ht="18.75" customHeight="1">
      <c r="F552" s="1">
        <v>38139</v>
      </c>
      <c r="G552">
        <f t="shared" si="9"/>
        <v>6</v>
      </c>
      <c r="H552" s="7">
        <v>379.55</v>
      </c>
      <c r="J552" s="7"/>
    </row>
    <row r="553" spans="6:10" ht="18.75" customHeight="1">
      <c r="F553" s="1">
        <v>38169</v>
      </c>
      <c r="G553">
        <f t="shared" si="9"/>
        <v>7</v>
      </c>
      <c r="H553" s="7">
        <v>377.76</v>
      </c>
      <c r="J553" s="7"/>
    </row>
    <row r="554" spans="6:10" ht="18.75" customHeight="1">
      <c r="F554" s="1">
        <v>38200</v>
      </c>
      <c r="G554">
        <f t="shared" si="9"/>
        <v>8</v>
      </c>
      <c r="H554" s="7">
        <v>375.83</v>
      </c>
      <c r="J554" s="7"/>
    </row>
    <row r="555" spans="6:10" ht="18.75" customHeight="1">
      <c r="F555" s="1">
        <v>38231</v>
      </c>
      <c r="G555">
        <f t="shared" si="9"/>
        <v>9</v>
      </c>
      <c r="H555" s="7">
        <v>374.05</v>
      </c>
      <c r="J555" s="7"/>
    </row>
    <row r="556" spans="6:10" ht="18.75" customHeight="1">
      <c r="F556" s="1">
        <v>38261</v>
      </c>
      <c r="G556">
        <f t="shared" si="9"/>
        <v>10</v>
      </c>
      <c r="H556" s="7">
        <v>374.22</v>
      </c>
      <c r="J556" s="7"/>
    </row>
    <row r="557" spans="6:10" ht="18.75" customHeight="1">
      <c r="F557" s="1">
        <v>38292</v>
      </c>
      <c r="G557">
        <f t="shared" si="9"/>
        <v>11</v>
      </c>
      <c r="H557" s="7">
        <v>375.84</v>
      </c>
      <c r="J557" s="7"/>
    </row>
    <row r="558" spans="6:10" ht="18.75" customHeight="1">
      <c r="F558" s="1">
        <v>38322</v>
      </c>
      <c r="G558">
        <f t="shared" si="9"/>
        <v>12</v>
      </c>
      <c r="H558" s="7">
        <v>377.44</v>
      </c>
      <c r="J558" s="7"/>
    </row>
    <row r="559" spans="6:10" ht="18.75" customHeight="1">
      <c r="F559" s="1">
        <v>38353</v>
      </c>
      <c r="G559">
        <f t="shared" si="9"/>
        <v>1</v>
      </c>
      <c r="H559" s="7">
        <v>378.34</v>
      </c>
      <c r="J559" s="7"/>
    </row>
    <row r="560" spans="6:10" ht="18.75" customHeight="1">
      <c r="F560" s="1">
        <v>38384</v>
      </c>
      <c r="G560">
        <f t="shared" si="9"/>
        <v>2</v>
      </c>
      <c r="H560" s="7">
        <v>379.61</v>
      </c>
      <c r="J560" s="7"/>
    </row>
    <row r="561" spans="6:10" ht="18.75" customHeight="1">
      <c r="F561" s="1">
        <v>38412</v>
      </c>
      <c r="G561">
        <f t="shared" si="9"/>
        <v>3</v>
      </c>
      <c r="H561" s="7">
        <v>380.08</v>
      </c>
      <c r="J561" s="7"/>
    </row>
    <row r="562" spans="6:10" ht="18.75" customHeight="1">
      <c r="F562" s="1">
        <v>38443</v>
      </c>
      <c r="G562">
        <f t="shared" si="9"/>
        <v>4</v>
      </c>
      <c r="H562" s="7">
        <v>382.05</v>
      </c>
      <c r="J562" s="7"/>
    </row>
    <row r="563" spans="6:10" ht="18.75" customHeight="1">
      <c r="F563" s="1">
        <v>38473</v>
      </c>
      <c r="G563">
        <f t="shared" si="9"/>
        <v>5</v>
      </c>
      <c r="H563" s="7">
        <v>382.24</v>
      </c>
      <c r="J563" s="7"/>
    </row>
    <row r="564" spans="6:10" ht="18.75" customHeight="1">
      <c r="F564" s="1">
        <v>38504</v>
      </c>
      <c r="G564">
        <f t="shared" si="9"/>
        <v>6</v>
      </c>
      <c r="H564" s="7">
        <v>382.08</v>
      </c>
      <c r="J564" s="7"/>
    </row>
    <row r="565" spans="6:10" ht="18.75" customHeight="1">
      <c r="F565" s="1">
        <v>38534</v>
      </c>
      <c r="G565">
        <f t="shared" si="9"/>
        <v>7</v>
      </c>
      <c r="H565" s="7">
        <v>380.66</v>
      </c>
      <c r="J565" s="7"/>
    </row>
    <row r="566" spans="6:10" ht="18.75" customHeight="1">
      <c r="F566" s="1">
        <v>38565</v>
      </c>
      <c r="G566">
        <f t="shared" si="9"/>
        <v>8</v>
      </c>
      <c r="H566" s="7">
        <v>378.67</v>
      </c>
      <c r="J566" s="7"/>
    </row>
    <row r="567" spans="6:10" ht="18.75" customHeight="1">
      <c r="F567" s="1">
        <v>38596</v>
      </c>
      <c r="G567">
        <f t="shared" si="9"/>
        <v>9</v>
      </c>
      <c r="H567" s="7">
        <v>376.42</v>
      </c>
      <c r="J567" s="7"/>
    </row>
    <row r="568" spans="6:10" ht="18.75" customHeight="1">
      <c r="F568" s="1">
        <v>38626</v>
      </c>
      <c r="G568">
        <f t="shared" si="9"/>
        <v>10</v>
      </c>
      <c r="H568" s="7">
        <v>376.8</v>
      </c>
      <c r="J568" s="7"/>
    </row>
    <row r="569" spans="6:10" ht="18.75" customHeight="1">
      <c r="F569" s="1">
        <v>38657</v>
      </c>
      <c r="G569">
        <f t="shared" si="9"/>
        <v>11</v>
      </c>
      <c r="H569" s="7">
        <v>378.31</v>
      </c>
      <c r="J569" s="7"/>
    </row>
    <row r="570" spans="6:10" ht="18.75" customHeight="1">
      <c r="F570" s="1">
        <v>38687</v>
      </c>
      <c r="G570">
        <f t="shared" si="9"/>
        <v>12</v>
      </c>
      <c r="H570" s="7">
        <v>379.96</v>
      </c>
      <c r="J570" s="7"/>
    </row>
    <row r="571" spans="6:10" ht="18.75" customHeight="1">
      <c r="F571" s="1">
        <v>38718</v>
      </c>
      <c r="G571">
        <f t="shared" si="9"/>
        <v>1</v>
      </c>
      <c r="H571" s="7">
        <v>381.37</v>
      </c>
      <c r="J571" s="7"/>
    </row>
    <row r="572" spans="6:10" ht="18.75" customHeight="1">
      <c r="F572" s="1">
        <v>38749</v>
      </c>
      <c r="G572">
        <f t="shared" si="9"/>
        <v>2</v>
      </c>
      <c r="H572" s="7">
        <v>382.02</v>
      </c>
      <c r="J572" s="7"/>
    </row>
    <row r="573" spans="6:10" ht="18.75" customHeight="1">
      <c r="F573" s="1">
        <v>38777</v>
      </c>
      <c r="G573">
        <f t="shared" si="9"/>
        <v>3</v>
      </c>
      <c r="H573" s="7">
        <v>382.56</v>
      </c>
      <c r="J573" s="7"/>
    </row>
    <row r="574" spans="6:10" ht="18.75" customHeight="1">
      <c r="F574" s="1">
        <v>38808</v>
      </c>
      <c r="G574">
        <f t="shared" si="9"/>
        <v>4</v>
      </c>
      <c r="H574" s="7">
        <v>384.36</v>
      </c>
      <c r="J574" s="7"/>
    </row>
    <row r="575" spans="6:10" ht="18.75" customHeight="1">
      <c r="F575" s="1">
        <v>38838</v>
      </c>
      <c r="G575">
        <f t="shared" si="9"/>
        <v>5</v>
      </c>
      <c r="H575" s="7">
        <v>384.92</v>
      </c>
      <c r="J575" s="7"/>
    </row>
    <row r="576" spans="6:10" ht="18.75" customHeight="1">
      <c r="F576" s="1">
        <v>38869</v>
      </c>
      <c r="G576">
        <f t="shared" si="9"/>
        <v>6</v>
      </c>
      <c r="H576" s="7">
        <v>384.03</v>
      </c>
      <c r="J576" s="7"/>
    </row>
    <row r="577" spans="6:10" ht="18.75" customHeight="1">
      <c r="F577" s="1">
        <v>38899</v>
      </c>
      <c r="G577">
        <f t="shared" si="9"/>
        <v>7</v>
      </c>
      <c r="H577" s="7">
        <v>382.28</v>
      </c>
      <c r="J577" s="7"/>
    </row>
    <row r="578" spans="6:10" ht="18.75" customHeight="1">
      <c r="F578" s="1">
        <v>38930</v>
      </c>
      <c r="G578">
        <f t="shared" si="9"/>
        <v>8</v>
      </c>
      <c r="H578" s="7">
        <v>380.48</v>
      </c>
      <c r="J578" s="7"/>
    </row>
    <row r="579" spans="6:10" ht="18.75" customHeight="1">
      <c r="F579" s="1">
        <v>38961</v>
      </c>
      <c r="G579">
        <f t="shared" ref="G579:G642" si="10">MONTH(F579)</f>
        <v>9</v>
      </c>
      <c r="H579" s="7">
        <v>378.81</v>
      </c>
      <c r="J579" s="7"/>
    </row>
    <row r="580" spans="6:10" ht="18.75" customHeight="1">
      <c r="F580" s="1">
        <v>38991</v>
      </c>
      <c r="G580">
        <f t="shared" si="10"/>
        <v>10</v>
      </c>
      <c r="H580" s="7">
        <v>379.06</v>
      </c>
      <c r="J580" s="7"/>
    </row>
    <row r="581" spans="6:10" ht="18.75" customHeight="1">
      <c r="F581" s="1">
        <v>39022</v>
      </c>
      <c r="G581">
        <f t="shared" si="10"/>
        <v>11</v>
      </c>
      <c r="H581" s="7">
        <v>380.14</v>
      </c>
      <c r="J581" s="7"/>
    </row>
    <row r="582" spans="6:10" ht="18.75" customHeight="1">
      <c r="F582" s="1">
        <v>39052</v>
      </c>
      <c r="G582">
        <f t="shared" si="10"/>
        <v>12</v>
      </c>
      <c r="H582" s="7">
        <v>381.66</v>
      </c>
      <c r="J582" s="7"/>
    </row>
    <row r="583" spans="6:10" ht="18.75" customHeight="1">
      <c r="F583" s="1">
        <v>39083</v>
      </c>
      <c r="G583">
        <f t="shared" si="10"/>
        <v>1</v>
      </c>
      <c r="H583" s="7">
        <v>382.58</v>
      </c>
      <c r="J583" s="7"/>
    </row>
    <row r="584" spans="6:10" ht="18.75" customHeight="1">
      <c r="F584" s="1">
        <v>39114</v>
      </c>
      <c r="G584">
        <f t="shared" si="10"/>
        <v>2</v>
      </c>
      <c r="H584" s="7">
        <v>383.71</v>
      </c>
      <c r="J584" s="7"/>
    </row>
    <row r="585" spans="6:10" ht="18.75" customHeight="1">
      <c r="F585" s="1">
        <v>39142</v>
      </c>
      <c r="G585">
        <f t="shared" si="10"/>
        <v>3</v>
      </c>
      <c r="H585" s="7">
        <v>384.34</v>
      </c>
      <c r="J585" s="7"/>
    </row>
    <row r="586" spans="6:10" ht="18.75" customHeight="1">
      <c r="F586" s="1">
        <v>39173</v>
      </c>
      <c r="G586">
        <f t="shared" si="10"/>
        <v>4</v>
      </c>
      <c r="H586" s="7">
        <v>386.23</v>
      </c>
      <c r="J586" s="7"/>
    </row>
    <row r="587" spans="6:10" ht="18.75" customHeight="1">
      <c r="F587" s="1">
        <v>39203</v>
      </c>
      <c r="G587">
        <f t="shared" si="10"/>
        <v>5</v>
      </c>
      <c r="H587" s="7">
        <v>386.41</v>
      </c>
      <c r="J587" s="7"/>
    </row>
    <row r="588" spans="6:10" ht="18.75" customHeight="1">
      <c r="F588" s="1">
        <v>39234</v>
      </c>
      <c r="G588">
        <f t="shared" si="10"/>
        <v>6</v>
      </c>
      <c r="H588" s="7">
        <v>385.87</v>
      </c>
      <c r="J588" s="7"/>
    </row>
    <row r="589" spans="6:10" ht="18.75" customHeight="1">
      <c r="F589" s="1">
        <v>39264</v>
      </c>
      <c r="G589">
        <f t="shared" si="10"/>
        <v>7</v>
      </c>
      <c r="H589" s="7">
        <v>384.44</v>
      </c>
      <c r="J589" s="7"/>
    </row>
    <row r="590" spans="6:10" ht="18.75" customHeight="1">
      <c r="F590" s="1">
        <v>39295</v>
      </c>
      <c r="G590">
        <f t="shared" si="10"/>
        <v>8</v>
      </c>
      <c r="H590" s="7">
        <v>381.84</v>
      </c>
      <c r="J590" s="7"/>
    </row>
    <row r="591" spans="6:10" ht="18.75" customHeight="1">
      <c r="F591" s="1">
        <v>39326</v>
      </c>
      <c r="G591">
        <f t="shared" si="10"/>
        <v>9</v>
      </c>
      <c r="H591" s="7">
        <v>380.86</v>
      </c>
      <c r="J591" s="7"/>
    </row>
    <row r="592" spans="6:10" ht="18.75" customHeight="1">
      <c r="F592" s="1">
        <v>39356</v>
      </c>
      <c r="G592">
        <f t="shared" si="10"/>
        <v>10</v>
      </c>
      <c r="H592" s="7">
        <v>380.86</v>
      </c>
      <c r="J592" s="7"/>
    </row>
    <row r="593" spans="6:10" ht="18.75" customHeight="1">
      <c r="F593" s="1">
        <v>39387</v>
      </c>
      <c r="G593">
        <f t="shared" si="10"/>
        <v>11</v>
      </c>
      <c r="H593" s="7">
        <v>382.36</v>
      </c>
      <c r="J593" s="7"/>
    </row>
    <row r="594" spans="6:10" ht="18.75" customHeight="1">
      <c r="F594" s="1">
        <v>39417</v>
      </c>
      <c r="G594">
        <f t="shared" si="10"/>
        <v>12</v>
      </c>
      <c r="H594" s="7">
        <v>383.61</v>
      </c>
      <c r="J594" s="7"/>
    </row>
    <row r="595" spans="6:10" ht="18.75" customHeight="1">
      <c r="F595" s="1">
        <v>39448</v>
      </c>
      <c r="G595">
        <f t="shared" si="10"/>
        <v>1</v>
      </c>
      <c r="H595" s="7">
        <v>385.07</v>
      </c>
      <c r="J595" s="7"/>
    </row>
    <row r="596" spans="6:10" ht="18.75" customHeight="1">
      <c r="F596" s="1">
        <v>39479</v>
      </c>
      <c r="G596">
        <f t="shared" si="10"/>
        <v>2</v>
      </c>
      <c r="H596" s="7">
        <v>385.84</v>
      </c>
      <c r="J596" s="7"/>
    </row>
    <row r="597" spans="6:10" ht="18.75" customHeight="1">
      <c r="F597" s="1">
        <v>39508</v>
      </c>
      <c r="G597">
        <f t="shared" si="10"/>
        <v>3</v>
      </c>
      <c r="H597" s="7">
        <v>385.83</v>
      </c>
      <c r="J597" s="7"/>
    </row>
    <row r="598" spans="6:10" ht="18.75" customHeight="1">
      <c r="F598" s="1">
        <v>39539</v>
      </c>
      <c r="G598">
        <f t="shared" si="10"/>
        <v>4</v>
      </c>
      <c r="H598" s="7">
        <v>386.77</v>
      </c>
      <c r="J598" s="7"/>
    </row>
    <row r="599" spans="6:10" ht="18.75" customHeight="1">
      <c r="F599" s="1">
        <v>39569</v>
      </c>
      <c r="G599">
        <f t="shared" si="10"/>
        <v>5</v>
      </c>
      <c r="H599" s="7">
        <v>388.51</v>
      </c>
      <c r="J599" s="7"/>
    </row>
    <row r="600" spans="6:10" ht="18.75" customHeight="1">
      <c r="F600" s="1">
        <v>39600</v>
      </c>
      <c r="G600">
        <f t="shared" si="10"/>
        <v>6</v>
      </c>
      <c r="H600" s="7">
        <v>388.05</v>
      </c>
      <c r="J600" s="7"/>
    </row>
    <row r="601" spans="6:10" ht="18.75" customHeight="1">
      <c r="F601" s="1">
        <v>39630</v>
      </c>
      <c r="G601">
        <f t="shared" si="10"/>
        <v>7</v>
      </c>
      <c r="H601" s="7">
        <v>386.25</v>
      </c>
      <c r="J601" s="7"/>
    </row>
    <row r="602" spans="6:10" ht="18.75" customHeight="1">
      <c r="F602" s="1">
        <v>39661</v>
      </c>
      <c r="G602">
        <f t="shared" si="10"/>
        <v>8</v>
      </c>
      <c r="H602" s="7">
        <v>384.08</v>
      </c>
      <c r="J602" s="7"/>
    </row>
    <row r="603" spans="6:10" ht="18.75" customHeight="1">
      <c r="F603" s="1">
        <v>39692</v>
      </c>
      <c r="G603">
        <f t="shared" si="10"/>
        <v>9</v>
      </c>
      <c r="H603" s="7">
        <v>383.09</v>
      </c>
      <c r="J603" s="7"/>
    </row>
    <row r="604" spans="6:10" ht="18.75" customHeight="1">
      <c r="F604" s="1">
        <v>39722</v>
      </c>
      <c r="G604">
        <f t="shared" si="10"/>
        <v>10</v>
      </c>
      <c r="H604" s="7">
        <v>382.78</v>
      </c>
      <c r="J604" s="7"/>
    </row>
    <row r="605" spans="6:10" ht="18.75" customHeight="1">
      <c r="F605" s="1">
        <v>39753</v>
      </c>
      <c r="G605">
        <f t="shared" si="10"/>
        <v>11</v>
      </c>
      <c r="H605" s="7">
        <v>384.01</v>
      </c>
      <c r="J605" s="7"/>
    </row>
    <row r="606" spans="6:10" ht="18.75" customHeight="1">
      <c r="F606" s="1">
        <v>39783</v>
      </c>
      <c r="G606">
        <f t="shared" si="10"/>
        <v>12</v>
      </c>
      <c r="H606" s="7">
        <v>385.11</v>
      </c>
      <c r="J606" s="7"/>
    </row>
    <row r="607" spans="6:10" ht="18.75" customHeight="1">
      <c r="F607" s="1">
        <v>39814</v>
      </c>
      <c r="G607">
        <f t="shared" si="10"/>
        <v>1</v>
      </c>
      <c r="H607" s="7">
        <v>386.65</v>
      </c>
      <c r="J607" s="7"/>
    </row>
    <row r="608" spans="6:10" ht="18.75" customHeight="1">
      <c r="F608" s="1">
        <v>39845</v>
      </c>
      <c r="G608">
        <f t="shared" si="10"/>
        <v>2</v>
      </c>
      <c r="H608" s="7">
        <v>387.12</v>
      </c>
      <c r="J608" s="7"/>
    </row>
    <row r="609" spans="6:10" ht="18.75" customHeight="1">
      <c r="F609" s="1">
        <v>39873</v>
      </c>
      <c r="G609">
        <f t="shared" si="10"/>
        <v>3</v>
      </c>
      <c r="H609" s="7">
        <v>388.52</v>
      </c>
      <c r="J609" s="7"/>
    </row>
    <row r="610" spans="6:10" ht="18.75" customHeight="1">
      <c r="F610" s="1">
        <v>39904</v>
      </c>
      <c r="G610">
        <f t="shared" si="10"/>
        <v>4</v>
      </c>
      <c r="H610" s="7">
        <v>389.57</v>
      </c>
      <c r="J610" s="7"/>
    </row>
    <row r="611" spans="6:10" ht="18.75" customHeight="1">
      <c r="F611" s="1">
        <v>39934</v>
      </c>
      <c r="G611">
        <f t="shared" si="10"/>
        <v>5</v>
      </c>
      <c r="H611" s="7">
        <v>390.17</v>
      </c>
      <c r="J611" s="7"/>
    </row>
    <row r="612" spans="6:10" ht="18.75" customHeight="1">
      <c r="F612" s="1">
        <v>39965</v>
      </c>
      <c r="G612">
        <f t="shared" si="10"/>
        <v>6</v>
      </c>
      <c r="H612" s="7">
        <v>389.62</v>
      </c>
      <c r="J612" s="7"/>
    </row>
    <row r="613" spans="6:10" ht="18.75" customHeight="1">
      <c r="F613" s="1">
        <v>39995</v>
      </c>
      <c r="G613">
        <f t="shared" si="10"/>
        <v>7</v>
      </c>
      <c r="H613" s="7">
        <v>388.07</v>
      </c>
      <c r="J613" s="7"/>
    </row>
    <row r="614" spans="6:10" ht="18.75" customHeight="1">
      <c r="F614" s="1">
        <v>40026</v>
      </c>
      <c r="G614">
        <f t="shared" si="10"/>
        <v>8</v>
      </c>
      <c r="H614" s="7">
        <v>386.08</v>
      </c>
      <c r="J614" s="7"/>
    </row>
    <row r="615" spans="6:10" ht="18.75" customHeight="1">
      <c r="F615" s="1">
        <v>40057</v>
      </c>
      <c r="G615">
        <f t="shared" si="10"/>
        <v>9</v>
      </c>
      <c r="H615" s="7">
        <v>384.65</v>
      </c>
      <c r="J615" s="7"/>
    </row>
    <row r="616" spans="6:10" ht="18.75" customHeight="1">
      <c r="F616" s="1">
        <v>40087</v>
      </c>
      <c r="G616">
        <f t="shared" si="10"/>
        <v>10</v>
      </c>
      <c r="H616" s="7">
        <v>384.33</v>
      </c>
      <c r="J616" s="7"/>
    </row>
    <row r="617" spans="6:10" ht="18.75" customHeight="1">
      <c r="F617" s="1">
        <v>40118</v>
      </c>
      <c r="G617">
        <f t="shared" si="10"/>
        <v>11</v>
      </c>
      <c r="H617" s="7">
        <v>386.05</v>
      </c>
      <c r="J617" s="7"/>
    </row>
    <row r="618" spans="6:10" ht="18.75" customHeight="1">
      <c r="F618" s="1">
        <v>40148</v>
      </c>
      <c r="G618">
        <f t="shared" si="10"/>
        <v>12</v>
      </c>
      <c r="H618" s="7">
        <v>387.49</v>
      </c>
      <c r="J618" s="7"/>
    </row>
    <row r="619" spans="6:10" ht="18.75" customHeight="1">
      <c r="F619" s="1">
        <v>40179</v>
      </c>
      <c r="G619">
        <f t="shared" si="10"/>
        <v>1</v>
      </c>
      <c r="H619" s="7">
        <v>388.55</v>
      </c>
      <c r="J619" s="7"/>
    </row>
    <row r="620" spans="6:10" ht="18.75" customHeight="1">
      <c r="F620" s="1">
        <v>40210</v>
      </c>
      <c r="G620">
        <f t="shared" si="10"/>
        <v>2</v>
      </c>
      <c r="H620" s="7">
        <v>390.08</v>
      </c>
      <c r="J620" s="7"/>
    </row>
    <row r="621" spans="6:10" ht="18.75" customHeight="1">
      <c r="F621" s="1">
        <v>40238</v>
      </c>
      <c r="G621">
        <f t="shared" si="10"/>
        <v>3</v>
      </c>
      <c r="H621" s="7">
        <v>391.01</v>
      </c>
      <c r="J621" s="7"/>
    </row>
    <row r="622" spans="6:10" ht="18.75" customHeight="1">
      <c r="F622" s="1">
        <v>40269</v>
      </c>
      <c r="G622">
        <f t="shared" si="10"/>
        <v>4</v>
      </c>
      <c r="H622" s="7">
        <v>392.38</v>
      </c>
      <c r="J622" s="7"/>
    </row>
    <row r="623" spans="6:10" ht="18.75" customHeight="1">
      <c r="F623" s="1">
        <v>40299</v>
      </c>
      <c r="G623">
        <f t="shared" si="10"/>
        <v>5</v>
      </c>
      <c r="H623" s="7">
        <v>393.22</v>
      </c>
      <c r="J623" s="7"/>
    </row>
    <row r="624" spans="6:10" ht="18.75" customHeight="1">
      <c r="F624" s="1">
        <v>40330</v>
      </c>
      <c r="G624">
        <f t="shared" si="10"/>
        <v>6</v>
      </c>
      <c r="H624" s="7">
        <v>392.24</v>
      </c>
      <c r="J624" s="7"/>
    </row>
    <row r="625" spans="6:10" ht="18.75" customHeight="1">
      <c r="F625" s="1">
        <v>40360</v>
      </c>
      <c r="G625">
        <f t="shared" si="10"/>
        <v>7</v>
      </c>
      <c r="H625" s="7">
        <v>390.33</v>
      </c>
      <c r="J625" s="7"/>
    </row>
    <row r="626" spans="6:10" ht="18.75" customHeight="1">
      <c r="F626" s="1">
        <v>40391</v>
      </c>
      <c r="G626">
        <f t="shared" si="10"/>
        <v>8</v>
      </c>
      <c r="H626" s="7">
        <v>388.52</v>
      </c>
      <c r="J626" s="7"/>
    </row>
    <row r="627" spans="6:10" ht="18.75" customHeight="1">
      <c r="F627" s="1">
        <v>40422</v>
      </c>
      <c r="G627">
        <f t="shared" si="10"/>
        <v>9</v>
      </c>
      <c r="H627" s="7">
        <v>386.84</v>
      </c>
      <c r="J627" s="7"/>
    </row>
    <row r="628" spans="6:10" ht="18.75" customHeight="1">
      <c r="F628" s="1">
        <v>40452</v>
      </c>
      <c r="G628">
        <f t="shared" si="10"/>
        <v>10</v>
      </c>
      <c r="H628" s="7">
        <v>387.16</v>
      </c>
      <c r="J628" s="7"/>
    </row>
    <row r="629" spans="6:10" ht="18.75" customHeight="1">
      <c r="F629" s="1">
        <v>40483</v>
      </c>
      <c r="G629">
        <f t="shared" si="10"/>
        <v>11</v>
      </c>
      <c r="H629" s="7">
        <v>388.67</v>
      </c>
      <c r="J629" s="7"/>
    </row>
    <row r="630" spans="6:10" ht="18.75" customHeight="1">
      <c r="F630" s="1">
        <v>40513</v>
      </c>
      <c r="G630">
        <f t="shared" si="10"/>
        <v>12</v>
      </c>
      <c r="H630" s="7">
        <v>389.81</v>
      </c>
      <c r="J630" s="7"/>
    </row>
    <row r="631" spans="6:10" ht="18.75" customHeight="1">
      <c r="F631" s="1">
        <v>40544</v>
      </c>
      <c r="G631">
        <f t="shared" si="10"/>
        <v>1</v>
      </c>
      <c r="H631" s="7">
        <v>391.3</v>
      </c>
      <c r="J631" s="7"/>
    </row>
    <row r="632" spans="6:10" ht="18.75" customHeight="1">
      <c r="F632" s="1">
        <v>40575</v>
      </c>
      <c r="G632">
        <f t="shared" si="10"/>
        <v>2</v>
      </c>
      <c r="H632" s="7">
        <v>391.92</v>
      </c>
      <c r="J632" s="7"/>
    </row>
    <row r="633" spans="6:10" ht="18.75" customHeight="1">
      <c r="F633" s="1">
        <v>40603</v>
      </c>
      <c r="G633">
        <f t="shared" si="10"/>
        <v>3</v>
      </c>
      <c r="H633" s="7">
        <v>392.45</v>
      </c>
      <c r="J633" s="7"/>
    </row>
    <row r="634" spans="6:10" ht="18.75" customHeight="1">
      <c r="F634" s="1">
        <v>40634</v>
      </c>
      <c r="G634">
        <f t="shared" si="10"/>
        <v>4</v>
      </c>
      <c r="H634" s="7">
        <v>393.37</v>
      </c>
      <c r="J634" s="7"/>
    </row>
    <row r="635" spans="6:10" ht="18.75" customHeight="1">
      <c r="F635" s="1">
        <v>40664</v>
      </c>
      <c r="G635">
        <f t="shared" si="10"/>
        <v>5</v>
      </c>
      <c r="H635" s="7">
        <v>394.28</v>
      </c>
      <c r="J635" s="7"/>
    </row>
    <row r="636" spans="6:10" ht="18.75" customHeight="1">
      <c r="F636" s="1">
        <v>40695</v>
      </c>
      <c r="G636">
        <f t="shared" si="10"/>
        <v>6</v>
      </c>
      <c r="H636" s="7">
        <v>393.69</v>
      </c>
      <c r="J636" s="7"/>
    </row>
    <row r="637" spans="6:10" ht="18.75" customHeight="1">
      <c r="F637" s="1">
        <v>40725</v>
      </c>
      <c r="G637">
        <f t="shared" si="10"/>
        <v>7</v>
      </c>
      <c r="H637" s="7">
        <v>392.59</v>
      </c>
      <c r="J637" s="7"/>
    </row>
    <row r="638" spans="6:10" ht="18.75" customHeight="1">
      <c r="F638" s="1">
        <v>40756</v>
      </c>
      <c r="G638">
        <f t="shared" si="10"/>
        <v>8</v>
      </c>
      <c r="H638" s="7">
        <v>390.21</v>
      </c>
      <c r="J638" s="7"/>
    </row>
    <row r="639" spans="6:10" ht="18.75" customHeight="1">
      <c r="F639" s="1">
        <v>40787</v>
      </c>
      <c r="G639">
        <f t="shared" si="10"/>
        <v>9</v>
      </c>
      <c r="H639" s="7">
        <v>389</v>
      </c>
      <c r="J639" s="7"/>
    </row>
    <row r="640" spans="6:10" ht="18.75" customHeight="1">
      <c r="F640" s="1">
        <v>40817</v>
      </c>
      <c r="G640">
        <f t="shared" si="10"/>
        <v>10</v>
      </c>
      <c r="H640" s="7">
        <v>388.93</v>
      </c>
      <c r="J640" s="7"/>
    </row>
    <row r="641" spans="6:10" ht="18.75" customHeight="1">
      <c r="F641" s="1">
        <v>40848</v>
      </c>
      <c r="G641">
        <f t="shared" si="10"/>
        <v>11</v>
      </c>
      <c r="H641" s="7">
        <v>390.24</v>
      </c>
      <c r="J641" s="7"/>
    </row>
    <row r="642" spans="6:10" ht="18.75" customHeight="1">
      <c r="F642" s="1">
        <v>40878</v>
      </c>
      <c r="G642">
        <f t="shared" si="10"/>
        <v>12</v>
      </c>
      <c r="H642" s="7">
        <v>391.8</v>
      </c>
      <c r="J642" s="7"/>
    </row>
    <row r="643" spans="6:10" ht="18.75" customHeight="1">
      <c r="F643" s="1">
        <v>40909</v>
      </c>
      <c r="G643">
        <f t="shared" ref="G643:G706" si="11">MONTH(F643)</f>
        <v>1</v>
      </c>
      <c r="H643" s="7">
        <v>393.07</v>
      </c>
      <c r="J643" s="7"/>
    </row>
    <row r="644" spans="6:10" ht="18.75" customHeight="1">
      <c r="F644" s="1">
        <v>40940</v>
      </c>
      <c r="G644">
        <f t="shared" si="11"/>
        <v>2</v>
      </c>
      <c r="H644" s="7">
        <v>393.35</v>
      </c>
      <c r="J644" s="7"/>
    </row>
    <row r="645" spans="6:10" ht="18.75" customHeight="1">
      <c r="F645" s="1">
        <v>40969</v>
      </c>
      <c r="G645">
        <f t="shared" si="11"/>
        <v>3</v>
      </c>
      <c r="H645" s="7">
        <v>394.36</v>
      </c>
      <c r="J645" s="7"/>
    </row>
    <row r="646" spans="6:10" ht="18.75" customHeight="1">
      <c r="F646" s="1">
        <v>41000</v>
      </c>
      <c r="G646">
        <f t="shared" si="11"/>
        <v>4</v>
      </c>
      <c r="H646" s="7">
        <v>396.43</v>
      </c>
      <c r="J646" s="7"/>
    </row>
    <row r="647" spans="6:10" ht="18.75" customHeight="1">
      <c r="F647" s="1">
        <v>41030</v>
      </c>
      <c r="G647">
        <f t="shared" si="11"/>
        <v>5</v>
      </c>
      <c r="H647" s="7">
        <v>396.87</v>
      </c>
      <c r="J647" s="7"/>
    </row>
    <row r="648" spans="6:10" ht="18.75" customHeight="1">
      <c r="F648" s="1">
        <v>41061</v>
      </c>
      <c r="G648">
        <f t="shared" si="11"/>
        <v>6</v>
      </c>
      <c r="H648" s="7">
        <v>395.88</v>
      </c>
      <c r="J648" s="7"/>
    </row>
    <row r="649" spans="6:10" ht="18.75" customHeight="1">
      <c r="F649" s="1">
        <v>41091</v>
      </c>
      <c r="G649">
        <f t="shared" si="11"/>
        <v>7</v>
      </c>
      <c r="H649" s="7">
        <v>394.52</v>
      </c>
      <c r="J649" s="7"/>
    </row>
    <row r="650" spans="6:10" ht="18.75" customHeight="1">
      <c r="F650" s="1">
        <v>41122</v>
      </c>
      <c r="G650">
        <f t="shared" si="11"/>
        <v>8</v>
      </c>
      <c r="H650" s="7">
        <v>392.54</v>
      </c>
      <c r="J650" s="7"/>
    </row>
    <row r="651" spans="6:10" ht="18.75" customHeight="1">
      <c r="F651" s="1">
        <v>41153</v>
      </c>
      <c r="G651">
        <f t="shared" si="11"/>
        <v>9</v>
      </c>
      <c r="H651" s="7">
        <v>391.13</v>
      </c>
      <c r="J651" s="7"/>
    </row>
    <row r="652" spans="6:10" ht="18.75" customHeight="1">
      <c r="F652" s="1">
        <v>41183</v>
      </c>
      <c r="G652">
        <f t="shared" si="11"/>
        <v>10</v>
      </c>
      <c r="H652" s="7">
        <v>391.01</v>
      </c>
      <c r="J652" s="7"/>
    </row>
    <row r="653" spans="6:10" ht="18.75" customHeight="1">
      <c r="F653" s="1">
        <v>41214</v>
      </c>
      <c r="G653">
        <f t="shared" si="11"/>
        <v>11</v>
      </c>
      <c r="H653" s="7">
        <v>392.95</v>
      </c>
      <c r="J653" s="7"/>
    </row>
    <row r="654" spans="6:10" ht="18.75" customHeight="1">
      <c r="F654" s="1">
        <v>41244</v>
      </c>
      <c r="G654">
        <f t="shared" si="11"/>
        <v>12</v>
      </c>
      <c r="H654" s="7">
        <v>394.33</v>
      </c>
      <c r="J654" s="7"/>
    </row>
    <row r="655" spans="6:10" ht="18.75" customHeight="1">
      <c r="F655" s="1">
        <v>41275</v>
      </c>
      <c r="G655">
        <f t="shared" si="11"/>
        <v>1</v>
      </c>
      <c r="H655" s="7">
        <v>395.61</v>
      </c>
      <c r="J655" s="7"/>
    </row>
    <row r="656" spans="6:10" ht="18.75" customHeight="1">
      <c r="F656" s="1">
        <v>41306</v>
      </c>
      <c r="G656">
        <f t="shared" si="11"/>
        <v>2</v>
      </c>
      <c r="H656" s="7">
        <v>396.85</v>
      </c>
      <c r="J656" s="7"/>
    </row>
    <row r="657" spans="6:10" ht="18.75" customHeight="1">
      <c r="F657" s="1">
        <v>41334</v>
      </c>
      <c r="G657">
        <f t="shared" si="11"/>
        <v>3</v>
      </c>
      <c r="H657" s="7">
        <v>397.26</v>
      </c>
      <c r="J657" s="7"/>
    </row>
    <row r="658" spans="6:10" ht="18.75" customHeight="1">
      <c r="F658" s="1">
        <v>41365</v>
      </c>
      <c r="G658">
        <f t="shared" si="11"/>
        <v>4</v>
      </c>
      <c r="H658" s="7">
        <v>398.35</v>
      </c>
      <c r="J658" s="7"/>
    </row>
    <row r="659" spans="6:10" ht="18.75" customHeight="1">
      <c r="F659" s="1">
        <v>41395</v>
      </c>
      <c r="G659">
        <f t="shared" si="11"/>
        <v>5</v>
      </c>
      <c r="H659" s="7">
        <v>399.98</v>
      </c>
      <c r="J659" s="7"/>
    </row>
    <row r="660" spans="6:10" ht="18.75" customHeight="1">
      <c r="F660" s="1">
        <v>41426</v>
      </c>
      <c r="G660">
        <f t="shared" si="11"/>
        <v>6</v>
      </c>
      <c r="H660" s="7">
        <v>398.87</v>
      </c>
      <c r="J660" s="7"/>
    </row>
    <row r="661" spans="6:10" ht="18.75" customHeight="1">
      <c r="F661" s="1">
        <v>41456</v>
      </c>
      <c r="G661">
        <f t="shared" si="11"/>
        <v>7</v>
      </c>
      <c r="H661" s="7">
        <v>397.37</v>
      </c>
      <c r="J661" s="7"/>
    </row>
    <row r="662" spans="6:10" ht="18.75" customHeight="1">
      <c r="F662" s="1">
        <v>41487</v>
      </c>
      <c r="G662">
        <f t="shared" si="11"/>
        <v>8</v>
      </c>
      <c r="H662" s="7">
        <v>395.41</v>
      </c>
      <c r="J662" s="7"/>
    </row>
    <row r="663" spans="6:10" ht="18.75" customHeight="1">
      <c r="F663" s="1">
        <v>41518</v>
      </c>
      <c r="G663">
        <f t="shared" si="11"/>
        <v>9</v>
      </c>
      <c r="H663" s="7">
        <v>393.39</v>
      </c>
      <c r="J663" s="7"/>
    </row>
    <row r="664" spans="6:10" ht="18.75" customHeight="1">
      <c r="F664" s="1">
        <v>41548</v>
      </c>
      <c r="G664">
        <f t="shared" si="11"/>
        <v>10</v>
      </c>
      <c r="H664" s="7">
        <v>393.7</v>
      </c>
      <c r="J664" s="7"/>
    </row>
    <row r="665" spans="6:10" ht="18.75" customHeight="1">
      <c r="F665" s="1">
        <v>41579</v>
      </c>
      <c r="G665">
        <f t="shared" si="11"/>
        <v>11</v>
      </c>
      <c r="H665" s="7">
        <v>395.19</v>
      </c>
      <c r="J665" s="7"/>
    </row>
    <row r="666" spans="6:10" ht="18.75" customHeight="1">
      <c r="F666" s="1">
        <v>41609</v>
      </c>
      <c r="G666">
        <f t="shared" si="11"/>
        <v>12</v>
      </c>
      <c r="H666" s="7">
        <v>396.82</v>
      </c>
      <c r="J666" s="7"/>
    </row>
    <row r="667" spans="6:10" ht="18.75" customHeight="1">
      <c r="F667" s="1">
        <v>41640</v>
      </c>
      <c r="G667">
        <f t="shared" si="11"/>
        <v>1</v>
      </c>
      <c r="H667" s="7">
        <v>397.93</v>
      </c>
      <c r="J667" s="7"/>
    </row>
    <row r="668" spans="6:10" ht="18.75" customHeight="1">
      <c r="F668" s="1">
        <v>41671</v>
      </c>
      <c r="G668">
        <f t="shared" si="11"/>
        <v>2</v>
      </c>
      <c r="H668" s="7">
        <v>398.1</v>
      </c>
      <c r="J668" s="7"/>
    </row>
    <row r="669" spans="6:10" ht="18.75" customHeight="1">
      <c r="F669" s="1">
        <v>41699</v>
      </c>
      <c r="G669">
        <f t="shared" si="11"/>
        <v>3</v>
      </c>
      <c r="H669" s="7">
        <v>399.47</v>
      </c>
      <c r="J669" s="7"/>
    </row>
    <row r="670" spans="6:10" ht="18.75" customHeight="1">
      <c r="F670" s="1">
        <v>41730</v>
      </c>
      <c r="G670">
        <f t="shared" si="11"/>
        <v>4</v>
      </c>
      <c r="H670" s="7">
        <v>401.33</v>
      </c>
      <c r="J670" s="7"/>
    </row>
    <row r="671" spans="6:10" ht="18.75" customHeight="1">
      <c r="F671" s="1">
        <v>41760</v>
      </c>
      <c r="G671">
        <f t="shared" si="11"/>
        <v>5</v>
      </c>
      <c r="H671" s="7">
        <v>401.88</v>
      </c>
      <c r="J671" s="7"/>
    </row>
    <row r="672" spans="6:10" ht="18.75" customHeight="1">
      <c r="F672" s="1">
        <v>41791</v>
      </c>
      <c r="G672">
        <f t="shared" si="11"/>
        <v>6</v>
      </c>
      <c r="H672" s="7">
        <v>401.31</v>
      </c>
      <c r="J672" s="7"/>
    </row>
    <row r="673" spans="6:10" ht="18.75" customHeight="1">
      <c r="F673" s="1">
        <v>41821</v>
      </c>
      <c r="G673">
        <f t="shared" si="11"/>
        <v>7</v>
      </c>
      <c r="H673" s="7">
        <v>399.07</v>
      </c>
      <c r="J673" s="7"/>
    </row>
    <row r="674" spans="6:10" ht="18.75" customHeight="1">
      <c r="F674" s="1">
        <v>41852</v>
      </c>
      <c r="G674">
        <f t="shared" si="11"/>
        <v>8</v>
      </c>
      <c r="H674" s="7">
        <v>397.21</v>
      </c>
      <c r="J674" s="7"/>
    </row>
    <row r="675" spans="6:10" ht="18.75" customHeight="1">
      <c r="F675" s="1">
        <v>41883</v>
      </c>
      <c r="G675">
        <f t="shared" si="11"/>
        <v>9</v>
      </c>
      <c r="H675" s="7">
        <v>395.4</v>
      </c>
      <c r="J675" s="7"/>
    </row>
    <row r="676" spans="6:10" ht="18.75" customHeight="1">
      <c r="F676" s="1">
        <v>41913</v>
      </c>
      <c r="G676">
        <f t="shared" si="11"/>
        <v>10</v>
      </c>
      <c r="H676" s="7">
        <v>395.65</v>
      </c>
      <c r="J676" s="7"/>
    </row>
    <row r="677" spans="6:10" ht="18.75" customHeight="1">
      <c r="F677" s="1">
        <v>41944</v>
      </c>
      <c r="G677">
        <f t="shared" si="11"/>
        <v>11</v>
      </c>
      <c r="H677" s="7">
        <v>397.23</v>
      </c>
      <c r="J677" s="7"/>
    </row>
    <row r="678" spans="6:10" ht="18.75" customHeight="1">
      <c r="F678" s="1">
        <v>41974</v>
      </c>
      <c r="G678">
        <f t="shared" si="11"/>
        <v>12</v>
      </c>
      <c r="H678" s="7">
        <v>398.79</v>
      </c>
      <c r="J678" s="7"/>
    </row>
    <row r="679" spans="6:10" ht="18.75" customHeight="1">
      <c r="F679" s="1">
        <v>42005</v>
      </c>
      <c r="G679">
        <f t="shared" si="11"/>
        <v>1</v>
      </c>
      <c r="H679" s="7">
        <v>399.85</v>
      </c>
      <c r="J679" s="7"/>
    </row>
    <row r="680" spans="6:10" ht="18.75" customHeight="1">
      <c r="F680" s="1">
        <v>42036</v>
      </c>
      <c r="G680">
        <f t="shared" si="11"/>
        <v>2</v>
      </c>
      <c r="H680" s="7">
        <v>400.31</v>
      </c>
      <c r="J680" s="7"/>
    </row>
    <row r="681" spans="6:10" ht="18.75" customHeight="1">
      <c r="F681" s="1">
        <v>42064</v>
      </c>
      <c r="G681">
        <f t="shared" si="11"/>
        <v>3</v>
      </c>
      <c r="H681" s="7">
        <v>401.51</v>
      </c>
      <c r="J681" s="7"/>
    </row>
    <row r="682" spans="6:10" ht="18.75" customHeight="1">
      <c r="F682" s="1">
        <v>42095</v>
      </c>
      <c r="G682">
        <f t="shared" si="11"/>
        <v>4</v>
      </c>
      <c r="H682" s="7">
        <v>403.45</v>
      </c>
      <c r="J682" s="7"/>
    </row>
    <row r="683" spans="6:10" ht="18.75" customHeight="1">
      <c r="F683" s="1">
        <v>42125</v>
      </c>
      <c r="G683">
        <f t="shared" si="11"/>
        <v>5</v>
      </c>
      <c r="H683" s="7">
        <v>404.1</v>
      </c>
      <c r="J683" s="7"/>
    </row>
    <row r="684" spans="6:10" ht="18.75" customHeight="1">
      <c r="F684" s="1">
        <v>42156</v>
      </c>
      <c r="G684">
        <f t="shared" si="11"/>
        <v>6</v>
      </c>
      <c r="H684" s="7">
        <v>402.88</v>
      </c>
      <c r="J684" s="7"/>
    </row>
    <row r="685" spans="6:10" ht="18.75" customHeight="1">
      <c r="F685" s="1">
        <v>42186</v>
      </c>
      <c r="G685">
        <f t="shared" si="11"/>
        <v>7</v>
      </c>
      <c r="H685" s="7">
        <v>401.61</v>
      </c>
      <c r="J685" s="7"/>
    </row>
    <row r="686" spans="6:10" ht="18.75" customHeight="1">
      <c r="F686" s="1">
        <v>42217</v>
      </c>
      <c r="G686">
        <f t="shared" si="11"/>
        <v>8</v>
      </c>
      <c r="H686" s="7">
        <v>399</v>
      </c>
      <c r="J686" s="7"/>
    </row>
    <row r="687" spans="6:10" ht="18.75" customHeight="1">
      <c r="F687" s="1">
        <v>42248</v>
      </c>
      <c r="G687">
        <f t="shared" si="11"/>
        <v>9</v>
      </c>
      <c r="H687" s="7">
        <v>397.5</v>
      </c>
      <c r="J687" s="7"/>
    </row>
    <row r="688" spans="6:10" ht="18.75" customHeight="1">
      <c r="F688" s="1">
        <v>42278</v>
      </c>
      <c r="G688">
        <f t="shared" si="11"/>
        <v>10</v>
      </c>
      <c r="H688" s="7">
        <v>398.28</v>
      </c>
      <c r="J688" s="7"/>
    </row>
    <row r="689" spans="6:10" ht="18.75" customHeight="1">
      <c r="F689" s="1">
        <v>42309</v>
      </c>
      <c r="G689">
        <f t="shared" si="11"/>
        <v>11</v>
      </c>
      <c r="H689" s="7">
        <v>400.24</v>
      </c>
      <c r="J689" s="7"/>
    </row>
    <row r="690" spans="6:10" ht="18.75" customHeight="1">
      <c r="F690" s="1">
        <v>42339</v>
      </c>
      <c r="G690">
        <f t="shared" si="11"/>
        <v>12</v>
      </c>
      <c r="H690" s="7">
        <v>401.89</v>
      </c>
      <c r="J690" s="7"/>
    </row>
    <row r="691" spans="6:10" ht="18.75" customHeight="1">
      <c r="F691" s="1">
        <v>42370</v>
      </c>
      <c r="G691">
        <f t="shared" si="11"/>
        <v>1</v>
      </c>
      <c r="H691" s="7">
        <v>402.65</v>
      </c>
      <c r="J691" s="7"/>
    </row>
    <row r="692" spans="6:10" ht="18.75" customHeight="1">
      <c r="F692" s="1">
        <v>42401</v>
      </c>
      <c r="G692">
        <f t="shared" si="11"/>
        <v>2</v>
      </c>
      <c r="H692" s="7">
        <v>404.16</v>
      </c>
      <c r="J692" s="7"/>
    </row>
    <row r="693" spans="6:10" ht="18.75" customHeight="1">
      <c r="F693" s="1">
        <v>42430</v>
      </c>
      <c r="G693">
        <f t="shared" si="11"/>
        <v>3</v>
      </c>
      <c r="H693" s="7">
        <v>404.85</v>
      </c>
      <c r="J693" s="7"/>
    </row>
    <row r="694" spans="6:10" ht="18.75" customHeight="1">
      <c r="F694" s="1">
        <v>42461</v>
      </c>
      <c r="G694">
        <f t="shared" si="11"/>
        <v>4</v>
      </c>
      <c r="H694" s="7">
        <v>407.57</v>
      </c>
      <c r="J694" s="7"/>
    </row>
    <row r="695" spans="6:10" ht="18.75" customHeight="1">
      <c r="F695" s="1">
        <v>42491</v>
      </c>
      <c r="G695">
        <f t="shared" si="11"/>
        <v>5</v>
      </c>
      <c r="H695" s="7">
        <v>407.66</v>
      </c>
      <c r="J695" s="7"/>
    </row>
    <row r="696" spans="6:10" ht="18.75" customHeight="1">
      <c r="F696" s="1">
        <v>42522</v>
      </c>
      <c r="G696">
        <f t="shared" si="11"/>
        <v>6</v>
      </c>
      <c r="H696" s="7">
        <v>407</v>
      </c>
      <c r="J696" s="7"/>
    </row>
    <row r="697" spans="6:10" ht="18.75" customHeight="1">
      <c r="F697" s="1">
        <v>42552</v>
      </c>
      <c r="G697">
        <f t="shared" si="11"/>
        <v>7</v>
      </c>
      <c r="H697" s="7">
        <v>404.5</v>
      </c>
      <c r="J697" s="7"/>
    </row>
    <row r="698" spans="6:10" ht="18.75" customHeight="1">
      <c r="F698" s="1">
        <v>42583</v>
      </c>
      <c r="G698">
        <f t="shared" si="11"/>
        <v>8</v>
      </c>
      <c r="H698" s="7">
        <v>402.24</v>
      </c>
      <c r="J698" s="7"/>
    </row>
    <row r="699" spans="6:10" ht="18.75" customHeight="1">
      <c r="F699" s="1">
        <v>42614</v>
      </c>
      <c r="G699">
        <f t="shared" si="11"/>
        <v>9</v>
      </c>
      <c r="H699" s="7">
        <v>401.01</v>
      </c>
      <c r="J699" s="7"/>
    </row>
    <row r="700" spans="6:10" ht="18.75" customHeight="1">
      <c r="F700" s="1">
        <v>42644</v>
      </c>
      <c r="G700">
        <f t="shared" si="11"/>
        <v>10</v>
      </c>
      <c r="H700" s="7">
        <v>401.5</v>
      </c>
      <c r="J700" s="7"/>
    </row>
    <row r="701" spans="6:10" ht="18.75" customHeight="1">
      <c r="F701" s="1">
        <v>42675</v>
      </c>
      <c r="G701">
        <f t="shared" si="11"/>
        <v>11</v>
      </c>
      <c r="H701" s="7">
        <v>403.64</v>
      </c>
      <c r="J701" s="7"/>
    </row>
    <row r="702" spans="6:10" ht="18.75" customHeight="1">
      <c r="F702" s="1">
        <v>42705</v>
      </c>
      <c r="G702">
        <f t="shared" si="11"/>
        <v>12</v>
      </c>
      <c r="H702" s="7">
        <v>404.55</v>
      </c>
      <c r="J702" s="7"/>
    </row>
    <row r="703" spans="6:10" ht="18.75" customHeight="1">
      <c r="F703" s="1">
        <v>42736</v>
      </c>
      <c r="G703">
        <f t="shared" si="11"/>
        <v>1</v>
      </c>
      <c r="H703" s="7">
        <v>406.07</v>
      </c>
      <c r="J703" s="7"/>
    </row>
    <row r="704" spans="6:10" ht="18.75" customHeight="1">
      <c r="F704" s="1">
        <v>42767</v>
      </c>
      <c r="G704">
        <f t="shared" si="11"/>
        <v>2</v>
      </c>
      <c r="H704" s="7">
        <v>406.64</v>
      </c>
      <c r="J704" s="7"/>
    </row>
    <row r="705" spans="6:10" ht="18.75" customHeight="1">
      <c r="F705" s="1">
        <v>42795</v>
      </c>
      <c r="G705">
        <f t="shared" si="11"/>
        <v>3</v>
      </c>
      <c r="H705" s="7">
        <v>407.05</v>
      </c>
      <c r="J705" s="7"/>
    </row>
    <row r="706" spans="6:10" ht="18.75" customHeight="1">
      <c r="F706" s="1">
        <v>42826</v>
      </c>
      <c r="G706">
        <f t="shared" si="11"/>
        <v>4</v>
      </c>
      <c r="H706" s="7">
        <v>408.95</v>
      </c>
      <c r="J706" s="7"/>
    </row>
    <row r="707" spans="6:10" ht="18.75" customHeight="1">
      <c r="F707" s="1">
        <v>42856</v>
      </c>
      <c r="G707">
        <f t="shared" ref="G707:G770" si="12">MONTH(F707)</f>
        <v>5</v>
      </c>
      <c r="H707" s="7">
        <v>409.91</v>
      </c>
      <c r="J707" s="7"/>
    </row>
    <row r="708" spans="6:10" ht="18.75" customHeight="1">
      <c r="F708" s="1">
        <v>42887</v>
      </c>
      <c r="G708">
        <f t="shared" si="12"/>
        <v>6</v>
      </c>
      <c r="H708" s="7">
        <v>409.12</v>
      </c>
      <c r="J708" s="7"/>
    </row>
    <row r="709" spans="6:10" ht="18.75" customHeight="1">
      <c r="F709" s="1">
        <v>42917</v>
      </c>
      <c r="G709">
        <f t="shared" si="12"/>
        <v>7</v>
      </c>
      <c r="H709" s="7">
        <v>407.2</v>
      </c>
      <c r="J709" s="7"/>
    </row>
    <row r="710" spans="6:10" ht="18.75" customHeight="1">
      <c r="F710" s="1">
        <v>42948</v>
      </c>
      <c r="G710">
        <f t="shared" si="12"/>
        <v>8</v>
      </c>
      <c r="H710" s="7">
        <v>405.24</v>
      </c>
      <c r="J710" s="7"/>
    </row>
    <row r="711" spans="6:10" ht="18.75" customHeight="1">
      <c r="F711" s="1">
        <v>42979</v>
      </c>
      <c r="G711">
        <f t="shared" si="12"/>
        <v>9</v>
      </c>
      <c r="H711" s="7">
        <v>403.27</v>
      </c>
      <c r="J711" s="7"/>
    </row>
    <row r="712" spans="6:10" ht="18.75" customHeight="1">
      <c r="F712" s="1">
        <v>43009</v>
      </c>
      <c r="G712">
        <f t="shared" si="12"/>
        <v>10</v>
      </c>
      <c r="H712" s="7">
        <v>403.64</v>
      </c>
      <c r="J712" s="7"/>
    </row>
    <row r="713" spans="6:10" ht="18.75" customHeight="1">
      <c r="F713" s="1">
        <v>43040</v>
      </c>
      <c r="G713">
        <f t="shared" si="12"/>
        <v>11</v>
      </c>
      <c r="H713" s="7">
        <v>405.17</v>
      </c>
      <c r="J713" s="7"/>
    </row>
    <row r="714" spans="6:10" ht="18.75" customHeight="1">
      <c r="F714" s="1">
        <v>43070</v>
      </c>
      <c r="G714">
        <f t="shared" si="12"/>
        <v>12</v>
      </c>
      <c r="H714" s="7">
        <v>406.75</v>
      </c>
      <c r="J714" s="7"/>
    </row>
    <row r="715" spans="6:10" ht="18.75" customHeight="1">
      <c r="F715" s="1">
        <v>43101</v>
      </c>
      <c r="G715">
        <f t="shared" si="12"/>
        <v>1</v>
      </c>
      <c r="H715" s="7">
        <v>408.05</v>
      </c>
      <c r="J715" s="7"/>
    </row>
    <row r="716" spans="6:10" ht="18.75" customHeight="1">
      <c r="F716" s="1">
        <v>43132</v>
      </c>
      <c r="G716">
        <f t="shared" si="12"/>
        <v>2</v>
      </c>
      <c r="H716" s="7">
        <v>408.34</v>
      </c>
      <c r="J716" s="7"/>
    </row>
    <row r="717" spans="6:10" ht="18.75" customHeight="1">
      <c r="F717" s="1">
        <v>43160</v>
      </c>
      <c r="G717">
        <f t="shared" si="12"/>
        <v>3</v>
      </c>
      <c r="H717" s="7">
        <v>409.25</v>
      </c>
      <c r="J717" s="7"/>
    </row>
    <row r="718" spans="6:10" ht="18.75" customHeight="1">
      <c r="F718" s="1">
        <v>43191</v>
      </c>
      <c r="G718">
        <f t="shared" si="12"/>
        <v>4</v>
      </c>
      <c r="H718" s="7">
        <v>410.3</v>
      </c>
      <c r="J718" s="7"/>
    </row>
    <row r="719" spans="6:10" ht="18.75" customHeight="1">
      <c r="F719" s="1">
        <v>43221</v>
      </c>
      <c r="G719">
        <f t="shared" si="12"/>
        <v>5</v>
      </c>
      <c r="H719" s="7">
        <v>411.3</v>
      </c>
      <c r="J719" s="7"/>
    </row>
    <row r="720" spans="6:10" ht="18.75" customHeight="1">
      <c r="F720" s="1">
        <v>43252</v>
      </c>
      <c r="G720">
        <f t="shared" si="12"/>
        <v>6</v>
      </c>
      <c r="H720" s="7">
        <v>410.88</v>
      </c>
      <c r="J720" s="7"/>
    </row>
    <row r="721" spans="6:10" ht="18.75" customHeight="1">
      <c r="F721" s="1">
        <v>43282</v>
      </c>
      <c r="G721">
        <f t="shared" si="12"/>
        <v>7</v>
      </c>
      <c r="H721" s="7">
        <v>408.9</v>
      </c>
      <c r="J721" s="7"/>
    </row>
    <row r="722" spans="6:10" ht="18.75" customHeight="1">
      <c r="F722" s="1">
        <v>43313</v>
      </c>
      <c r="G722">
        <f t="shared" si="12"/>
        <v>8</v>
      </c>
      <c r="H722" s="7">
        <v>407.1</v>
      </c>
      <c r="J722" s="7"/>
    </row>
    <row r="723" spans="6:10" ht="18.75" customHeight="1">
      <c r="F723" s="1">
        <v>43344</v>
      </c>
      <c r="G723">
        <f t="shared" si="12"/>
        <v>9</v>
      </c>
      <c r="H723" s="7">
        <v>405.59</v>
      </c>
      <c r="J723" s="7"/>
    </row>
    <row r="724" spans="6:10" ht="18.75" customHeight="1">
      <c r="F724" s="1">
        <v>43374</v>
      </c>
      <c r="G724">
        <f t="shared" si="12"/>
        <v>10</v>
      </c>
      <c r="H724" s="7">
        <v>405.99</v>
      </c>
      <c r="J724" s="7"/>
    </row>
    <row r="725" spans="6:10" ht="18.75" customHeight="1">
      <c r="F725" s="1">
        <v>43405</v>
      </c>
      <c r="G725">
        <f t="shared" si="12"/>
        <v>11</v>
      </c>
      <c r="H725" s="7">
        <v>408.12</v>
      </c>
      <c r="J725" s="7"/>
    </row>
    <row r="726" spans="6:10" ht="18.75" customHeight="1">
      <c r="F726" s="1">
        <v>43435</v>
      </c>
      <c r="G726">
        <f t="shared" si="12"/>
        <v>12</v>
      </c>
      <c r="H726" s="7">
        <v>409.23</v>
      </c>
      <c r="J726" s="7"/>
    </row>
    <row r="727" spans="6:10" ht="18.75" customHeight="1">
      <c r="F727" s="1">
        <v>43466</v>
      </c>
      <c r="G727">
        <f t="shared" si="12"/>
        <v>1</v>
      </c>
      <c r="H727" s="7">
        <v>410.92</v>
      </c>
      <c r="J727" s="7"/>
    </row>
    <row r="728" spans="6:10" ht="18.75" customHeight="1">
      <c r="F728" s="1">
        <v>43497</v>
      </c>
      <c r="G728">
        <f t="shared" si="12"/>
        <v>2</v>
      </c>
      <c r="H728" s="7">
        <v>411.66</v>
      </c>
      <c r="J728" s="7"/>
    </row>
    <row r="729" spans="6:10" ht="18.75" customHeight="1">
      <c r="F729" s="1">
        <v>43525</v>
      </c>
      <c r="G729">
        <f t="shared" si="12"/>
        <v>3</v>
      </c>
      <c r="H729" s="7">
        <v>412</v>
      </c>
      <c r="J729" s="7"/>
    </row>
    <row r="730" spans="6:10" ht="18.75" customHeight="1">
      <c r="F730" s="1">
        <v>43556</v>
      </c>
      <c r="G730">
        <f t="shared" si="12"/>
        <v>4</v>
      </c>
      <c r="H730" s="7">
        <v>413.52</v>
      </c>
      <c r="J730" s="7"/>
    </row>
    <row r="731" spans="6:10" ht="18.75" customHeight="1">
      <c r="F731" s="1">
        <v>43586</v>
      </c>
      <c r="G731">
        <f t="shared" si="12"/>
        <v>5</v>
      </c>
      <c r="H731" s="7">
        <v>414.83</v>
      </c>
      <c r="J731" s="7"/>
    </row>
    <row r="732" spans="6:10" ht="18.75" customHeight="1">
      <c r="F732" s="1">
        <v>43617</v>
      </c>
      <c r="G732">
        <f t="shared" si="12"/>
        <v>6</v>
      </c>
      <c r="H732" s="7">
        <v>413.96</v>
      </c>
      <c r="J732" s="7"/>
    </row>
    <row r="733" spans="6:10" ht="18.75" customHeight="1">
      <c r="F733" s="1">
        <v>43647</v>
      </c>
      <c r="G733">
        <f t="shared" si="12"/>
        <v>7</v>
      </c>
      <c r="H733" s="7">
        <v>411.85</v>
      </c>
      <c r="J733" s="7"/>
    </row>
    <row r="734" spans="6:10" ht="18.75" customHeight="1">
      <c r="F734" s="1">
        <v>43678</v>
      </c>
      <c r="G734">
        <f t="shared" si="12"/>
        <v>8</v>
      </c>
      <c r="H734" s="7">
        <v>410.08</v>
      </c>
      <c r="J734" s="7"/>
    </row>
    <row r="735" spans="6:10" ht="18.75" customHeight="1">
      <c r="F735" s="1">
        <v>43709</v>
      </c>
      <c r="G735">
        <f t="shared" si="12"/>
        <v>9</v>
      </c>
      <c r="H735" s="7">
        <v>408.55</v>
      </c>
      <c r="J735" s="7"/>
    </row>
    <row r="736" spans="6:10" ht="18.75" customHeight="1">
      <c r="F736" s="1">
        <v>43739</v>
      </c>
      <c r="G736">
        <f t="shared" si="12"/>
        <v>10</v>
      </c>
      <c r="H736" s="7">
        <v>408.43</v>
      </c>
      <c r="J736" s="7"/>
    </row>
    <row r="737" spans="6:10" ht="18.75" customHeight="1">
      <c r="F737" s="1">
        <v>43770</v>
      </c>
      <c r="G737">
        <f t="shared" si="12"/>
        <v>11</v>
      </c>
      <c r="H737" s="7">
        <v>410.29</v>
      </c>
      <c r="J737" s="7"/>
    </row>
    <row r="738" spans="6:10" ht="18.75" customHeight="1">
      <c r="F738" s="1">
        <v>43800</v>
      </c>
      <c r="G738">
        <f t="shared" si="12"/>
        <v>12</v>
      </c>
      <c r="H738" s="7">
        <v>411.85</v>
      </c>
      <c r="J738" s="7"/>
    </row>
    <row r="739" spans="6:10" ht="18.75" customHeight="1">
      <c r="F739" s="1">
        <v>43831</v>
      </c>
      <c r="G739">
        <f t="shared" si="12"/>
        <v>1</v>
      </c>
      <c r="H739" s="7">
        <v>413.37</v>
      </c>
      <c r="J739" s="7"/>
    </row>
    <row r="740" spans="6:10" ht="18.75" customHeight="1">
      <c r="F740" s="1">
        <v>43862</v>
      </c>
      <c r="G740">
        <f t="shared" si="12"/>
        <v>2</v>
      </c>
      <c r="H740" s="7">
        <v>414.09</v>
      </c>
      <c r="J740" s="7"/>
    </row>
    <row r="741" spans="6:10" ht="18.75" customHeight="1">
      <c r="F741" s="1">
        <v>43891</v>
      </c>
      <c r="G741">
        <f t="shared" si="12"/>
        <v>3</v>
      </c>
      <c r="H741" s="7">
        <v>414.51</v>
      </c>
      <c r="J741" s="7"/>
    </row>
    <row r="742" spans="6:10" ht="18.75" customHeight="1">
      <c r="F742" s="16">
        <v>43922</v>
      </c>
      <c r="G742" s="17">
        <f t="shared" si="12"/>
        <v>4</v>
      </c>
      <c r="H742" s="18">
        <v>416.18</v>
      </c>
      <c r="J742" s="7"/>
    </row>
    <row r="743" spans="6:10" ht="18.75" customHeight="1">
      <c r="F743" s="1">
        <v>43952</v>
      </c>
      <c r="G743">
        <f t="shared" si="12"/>
        <v>5</v>
      </c>
      <c r="J743" s="7"/>
    </row>
    <row r="744" spans="6:10" ht="18.75" customHeight="1">
      <c r="F744" s="1">
        <v>43983</v>
      </c>
      <c r="G744">
        <f t="shared" si="12"/>
        <v>6</v>
      </c>
      <c r="J744" s="7"/>
    </row>
    <row r="745" spans="6:10" ht="18.75" customHeight="1">
      <c r="F745" s="1">
        <v>44013</v>
      </c>
      <c r="G745">
        <f t="shared" si="12"/>
        <v>7</v>
      </c>
      <c r="J745" s="7"/>
    </row>
    <row r="746" spans="6:10" ht="18.75" customHeight="1">
      <c r="F746" s="1">
        <v>44044</v>
      </c>
      <c r="G746">
        <f t="shared" si="12"/>
        <v>8</v>
      </c>
      <c r="J746" s="7"/>
    </row>
    <row r="747" spans="6:10" ht="18.75" customHeight="1">
      <c r="F747" s="1">
        <v>44075</v>
      </c>
      <c r="G747">
        <f t="shared" si="12"/>
        <v>9</v>
      </c>
      <c r="J747" s="7"/>
    </row>
    <row r="748" spans="6:10" ht="18.75" customHeight="1">
      <c r="F748" s="1">
        <v>44105</v>
      </c>
      <c r="G748">
        <f t="shared" si="12"/>
        <v>10</v>
      </c>
      <c r="J748" s="7"/>
    </row>
    <row r="749" spans="6:10" ht="18.75" customHeight="1">
      <c r="F749" s="1">
        <v>44136</v>
      </c>
      <c r="G749">
        <f t="shared" si="12"/>
        <v>11</v>
      </c>
      <c r="J749" s="7"/>
    </row>
    <row r="750" spans="6:10" ht="18.75" customHeight="1">
      <c r="F750" s="1">
        <v>44166</v>
      </c>
      <c r="G750">
        <f t="shared" si="12"/>
        <v>12</v>
      </c>
      <c r="J750" s="7"/>
    </row>
    <row r="751" spans="6:10" ht="18.75" customHeight="1">
      <c r="F751" s="1">
        <v>44197</v>
      </c>
      <c r="G751">
        <f t="shared" si="12"/>
        <v>1</v>
      </c>
      <c r="J751" s="7"/>
    </row>
    <row r="752" spans="6:10" ht="18.75" customHeight="1">
      <c r="F752" s="1">
        <v>44228</v>
      </c>
      <c r="G752">
        <f t="shared" si="12"/>
        <v>2</v>
      </c>
      <c r="J752" s="7"/>
    </row>
    <row r="753" spans="6:10" ht="18.75" customHeight="1">
      <c r="F753" s="1">
        <v>44256</v>
      </c>
      <c r="G753">
        <f t="shared" si="12"/>
        <v>3</v>
      </c>
      <c r="J753" s="7"/>
    </row>
    <row r="754" spans="6:10" ht="18.75" customHeight="1">
      <c r="F754" s="1">
        <v>44287</v>
      </c>
      <c r="G754">
        <f t="shared" si="12"/>
        <v>4</v>
      </c>
      <c r="J754" s="7"/>
    </row>
    <row r="755" spans="6:10" ht="18.75" customHeight="1">
      <c r="F755" s="1">
        <v>44317</v>
      </c>
      <c r="G755">
        <f t="shared" si="12"/>
        <v>5</v>
      </c>
      <c r="J755" s="7"/>
    </row>
    <row r="756" spans="6:10" ht="18.75" customHeight="1">
      <c r="F756" s="1">
        <v>44348</v>
      </c>
      <c r="G756">
        <f t="shared" si="12"/>
        <v>6</v>
      </c>
      <c r="J756" s="7"/>
    </row>
    <row r="757" spans="6:10" ht="18.75" customHeight="1">
      <c r="F757" s="1">
        <v>44378</v>
      </c>
      <c r="G757">
        <f t="shared" si="12"/>
        <v>7</v>
      </c>
      <c r="J757" s="7"/>
    </row>
    <row r="758" spans="6:10" ht="18.75" customHeight="1">
      <c r="F758" s="1">
        <v>44409</v>
      </c>
      <c r="G758">
        <f t="shared" si="12"/>
        <v>8</v>
      </c>
      <c r="J758" s="7"/>
    </row>
    <row r="759" spans="6:10" ht="18.75" customHeight="1">
      <c r="F759" s="1">
        <v>44440</v>
      </c>
      <c r="G759">
        <f t="shared" si="12"/>
        <v>9</v>
      </c>
      <c r="J759" s="7"/>
    </row>
    <row r="760" spans="6:10" ht="18.75" customHeight="1">
      <c r="F760" s="1">
        <v>44470</v>
      </c>
      <c r="G760">
        <f t="shared" si="12"/>
        <v>10</v>
      </c>
      <c r="J760" s="7"/>
    </row>
    <row r="761" spans="6:10" ht="18.75" customHeight="1">
      <c r="F761" s="1">
        <v>44501</v>
      </c>
      <c r="G761">
        <f t="shared" si="12"/>
        <v>11</v>
      </c>
      <c r="J761" s="7"/>
    </row>
    <row r="762" spans="6:10" ht="18.75" customHeight="1">
      <c r="F762" s="1">
        <v>44531</v>
      </c>
      <c r="G762">
        <f t="shared" si="12"/>
        <v>12</v>
      </c>
      <c r="J762" s="7"/>
    </row>
    <row r="763" spans="6:10" ht="18.75" customHeight="1">
      <c r="F763" s="1">
        <v>44562</v>
      </c>
      <c r="G763">
        <f t="shared" si="12"/>
        <v>1</v>
      </c>
      <c r="J763" s="7"/>
    </row>
    <row r="764" spans="6:10" ht="18.75" customHeight="1">
      <c r="F764" s="1">
        <v>44593</v>
      </c>
      <c r="G764">
        <f t="shared" si="12"/>
        <v>2</v>
      </c>
      <c r="J764" s="7"/>
    </row>
    <row r="765" spans="6:10" ht="18.75" customHeight="1">
      <c r="F765" s="1">
        <v>44621</v>
      </c>
      <c r="G765">
        <f t="shared" si="12"/>
        <v>3</v>
      </c>
      <c r="J765" s="7"/>
    </row>
    <row r="766" spans="6:10" ht="18.75" customHeight="1">
      <c r="F766" s="1">
        <v>44652</v>
      </c>
      <c r="G766">
        <f t="shared" si="12"/>
        <v>4</v>
      </c>
      <c r="J766" s="7"/>
    </row>
    <row r="767" spans="6:10" ht="18.75" customHeight="1">
      <c r="F767" s="1">
        <v>44682</v>
      </c>
      <c r="G767">
        <f t="shared" si="12"/>
        <v>5</v>
      </c>
      <c r="J767" s="7"/>
    </row>
    <row r="768" spans="6:10" ht="18.75" customHeight="1">
      <c r="F768" s="1">
        <v>44713</v>
      </c>
      <c r="G768">
        <f t="shared" si="12"/>
        <v>6</v>
      </c>
      <c r="J768" s="7"/>
    </row>
    <row r="769" spans="6:10" ht="18.75" customHeight="1">
      <c r="F769" s="1">
        <v>44743</v>
      </c>
      <c r="G769">
        <f t="shared" si="12"/>
        <v>7</v>
      </c>
      <c r="J769" s="7"/>
    </row>
    <row r="770" spans="6:10" ht="18.75" customHeight="1">
      <c r="F770" s="1">
        <v>44774</v>
      </c>
      <c r="G770">
        <f t="shared" si="12"/>
        <v>8</v>
      </c>
      <c r="J770" s="7"/>
    </row>
    <row r="771" spans="6:10" ht="18.75" customHeight="1">
      <c r="F771" s="1">
        <v>44805</v>
      </c>
      <c r="G771">
        <f t="shared" ref="G771:G834" si="13">MONTH(F771)</f>
        <v>9</v>
      </c>
      <c r="J771" s="7"/>
    </row>
    <row r="772" spans="6:10" ht="18.75" customHeight="1">
      <c r="F772" s="1">
        <v>44835</v>
      </c>
      <c r="G772">
        <f t="shared" si="13"/>
        <v>10</v>
      </c>
      <c r="J772" s="7"/>
    </row>
    <row r="773" spans="6:10" ht="18.75" customHeight="1">
      <c r="F773" s="1">
        <v>44866</v>
      </c>
      <c r="G773">
        <f t="shared" si="13"/>
        <v>11</v>
      </c>
      <c r="J773" s="7"/>
    </row>
    <row r="774" spans="6:10" ht="18.75" customHeight="1">
      <c r="F774" s="1">
        <v>44896</v>
      </c>
      <c r="G774">
        <f t="shared" si="13"/>
        <v>12</v>
      </c>
      <c r="J774" s="7"/>
    </row>
    <row r="775" spans="6:10" ht="18.75" customHeight="1">
      <c r="F775" s="1">
        <v>44927</v>
      </c>
      <c r="G775">
        <f t="shared" si="13"/>
        <v>1</v>
      </c>
      <c r="J775" s="7"/>
    </row>
    <row r="776" spans="6:10" ht="18.75" customHeight="1">
      <c r="F776" s="1">
        <v>44958</v>
      </c>
      <c r="G776">
        <f t="shared" si="13"/>
        <v>2</v>
      </c>
      <c r="J776" s="7"/>
    </row>
    <row r="777" spans="6:10" ht="18.75" customHeight="1">
      <c r="F777" s="1">
        <v>44986</v>
      </c>
      <c r="G777">
        <f t="shared" si="13"/>
        <v>3</v>
      </c>
      <c r="J777" s="7"/>
    </row>
    <row r="778" spans="6:10" ht="18.75" customHeight="1">
      <c r="F778" s="1">
        <v>45017</v>
      </c>
      <c r="G778">
        <f t="shared" si="13"/>
        <v>4</v>
      </c>
      <c r="J778" s="7"/>
    </row>
    <row r="779" spans="6:10" ht="18.75" customHeight="1">
      <c r="F779" s="1">
        <v>45047</v>
      </c>
      <c r="G779">
        <f t="shared" si="13"/>
        <v>5</v>
      </c>
      <c r="J779" s="7"/>
    </row>
    <row r="780" spans="6:10" ht="18.75" customHeight="1">
      <c r="F780" s="1">
        <v>45078</v>
      </c>
      <c r="G780">
        <f t="shared" si="13"/>
        <v>6</v>
      </c>
      <c r="J780" s="7"/>
    </row>
    <row r="781" spans="6:10" ht="18.75" customHeight="1">
      <c r="F781" s="1">
        <v>45108</v>
      </c>
      <c r="G781">
        <f t="shared" si="13"/>
        <v>7</v>
      </c>
      <c r="J781" s="7"/>
    </row>
    <row r="782" spans="6:10" ht="18.75" customHeight="1">
      <c r="F782" s="1">
        <v>45139</v>
      </c>
      <c r="G782">
        <f t="shared" si="13"/>
        <v>8</v>
      </c>
      <c r="J782" s="7"/>
    </row>
    <row r="783" spans="6:10" ht="18.75" customHeight="1">
      <c r="F783" s="1">
        <v>45170</v>
      </c>
      <c r="G783">
        <f t="shared" si="13"/>
        <v>9</v>
      </c>
      <c r="J783" s="7"/>
    </row>
    <row r="784" spans="6:10" ht="18.75" customHeight="1">
      <c r="F784" s="1">
        <v>45200</v>
      </c>
      <c r="G784">
        <f t="shared" si="13"/>
        <v>10</v>
      </c>
      <c r="J784" s="7"/>
    </row>
    <row r="785" spans="6:10" ht="18.75" customHeight="1">
      <c r="F785" s="1">
        <v>45231</v>
      </c>
      <c r="G785">
        <f t="shared" si="13"/>
        <v>11</v>
      </c>
      <c r="J785" s="7"/>
    </row>
    <row r="786" spans="6:10" ht="18.75" customHeight="1">
      <c r="F786" s="1">
        <v>45261</v>
      </c>
      <c r="G786">
        <f t="shared" si="13"/>
        <v>12</v>
      </c>
      <c r="J786" s="7"/>
    </row>
    <row r="787" spans="6:10" ht="18.75" customHeight="1">
      <c r="F787" s="1">
        <v>45292</v>
      </c>
      <c r="G787">
        <f t="shared" si="13"/>
        <v>1</v>
      </c>
      <c r="J787" s="7"/>
    </row>
    <row r="788" spans="6:10" ht="18.75" customHeight="1">
      <c r="F788" s="1">
        <v>45323</v>
      </c>
      <c r="G788">
        <f t="shared" si="13"/>
        <v>2</v>
      </c>
      <c r="J788" s="7"/>
    </row>
    <row r="789" spans="6:10" ht="18.75" customHeight="1">
      <c r="F789" s="1">
        <v>45352</v>
      </c>
      <c r="G789">
        <f t="shared" si="13"/>
        <v>3</v>
      </c>
      <c r="J789" s="7"/>
    </row>
    <row r="790" spans="6:10" ht="18.75" customHeight="1">
      <c r="F790" s="1">
        <v>45383</v>
      </c>
      <c r="G790">
        <f t="shared" si="13"/>
        <v>4</v>
      </c>
      <c r="J790" s="7"/>
    </row>
    <row r="791" spans="6:10" ht="18.75" customHeight="1">
      <c r="F791" s="1">
        <v>45413</v>
      </c>
      <c r="G791">
        <f t="shared" si="13"/>
        <v>5</v>
      </c>
      <c r="J791" s="7"/>
    </row>
    <row r="792" spans="6:10" ht="18.75" customHeight="1">
      <c r="F792" s="1">
        <v>45444</v>
      </c>
      <c r="G792">
        <f t="shared" si="13"/>
        <v>6</v>
      </c>
      <c r="J792" s="7"/>
    </row>
    <row r="793" spans="6:10" ht="18.75" customHeight="1">
      <c r="F793" s="1">
        <v>45474</v>
      </c>
      <c r="G793">
        <f t="shared" si="13"/>
        <v>7</v>
      </c>
      <c r="J793" s="7"/>
    </row>
    <row r="794" spans="6:10" ht="18.75" customHeight="1">
      <c r="F794" s="1">
        <v>45505</v>
      </c>
      <c r="G794">
        <f t="shared" si="13"/>
        <v>8</v>
      </c>
      <c r="J794" s="7"/>
    </row>
    <row r="795" spans="6:10" ht="18.75" customHeight="1">
      <c r="F795" s="1">
        <v>45536</v>
      </c>
      <c r="G795">
        <f t="shared" si="13"/>
        <v>9</v>
      </c>
      <c r="J795" s="7"/>
    </row>
    <row r="796" spans="6:10" ht="18.75" customHeight="1">
      <c r="F796" s="1">
        <v>45566</v>
      </c>
      <c r="G796">
        <f t="shared" si="13"/>
        <v>10</v>
      </c>
      <c r="J796" s="7"/>
    </row>
    <row r="797" spans="6:10" ht="18.75" customHeight="1">
      <c r="F797" s="1">
        <v>45597</v>
      </c>
      <c r="G797">
        <f t="shared" si="13"/>
        <v>11</v>
      </c>
      <c r="J797" s="7"/>
    </row>
    <row r="798" spans="6:10" ht="18.75" customHeight="1">
      <c r="F798" s="1">
        <v>45627</v>
      </c>
      <c r="G798">
        <f t="shared" si="13"/>
        <v>12</v>
      </c>
      <c r="J798" s="7"/>
    </row>
    <row r="799" spans="6:10" ht="18.75" customHeight="1">
      <c r="F799" s="1">
        <v>45658</v>
      </c>
      <c r="G799">
        <f t="shared" si="13"/>
        <v>1</v>
      </c>
      <c r="J799" s="7"/>
    </row>
    <row r="800" spans="6:10" ht="18.75" customHeight="1">
      <c r="F800" s="1">
        <v>45689</v>
      </c>
      <c r="G800">
        <f t="shared" si="13"/>
        <v>2</v>
      </c>
      <c r="J800" s="7"/>
    </row>
    <row r="801" spans="6:10" ht="18.75" customHeight="1">
      <c r="F801" s="1">
        <v>45717</v>
      </c>
      <c r="G801">
        <f t="shared" si="13"/>
        <v>3</v>
      </c>
      <c r="J801" s="7"/>
    </row>
    <row r="802" spans="6:10" ht="18.75" customHeight="1">
      <c r="F802" s="1">
        <v>45748</v>
      </c>
      <c r="G802">
        <f t="shared" si="13"/>
        <v>4</v>
      </c>
      <c r="J802" s="7"/>
    </row>
    <row r="803" spans="6:10" ht="18.75" customHeight="1">
      <c r="F803" s="1">
        <v>45778</v>
      </c>
      <c r="G803">
        <f t="shared" si="13"/>
        <v>5</v>
      </c>
      <c r="J803" s="7"/>
    </row>
    <row r="804" spans="6:10" ht="18.75" customHeight="1">
      <c r="F804" s="1">
        <v>45809</v>
      </c>
      <c r="G804">
        <f t="shared" si="13"/>
        <v>6</v>
      </c>
      <c r="J804" s="7"/>
    </row>
    <row r="805" spans="6:10" ht="18.75" customHeight="1">
      <c r="F805" s="1">
        <v>45839</v>
      </c>
      <c r="G805">
        <f t="shared" si="13"/>
        <v>7</v>
      </c>
      <c r="J805" s="7"/>
    </row>
    <row r="806" spans="6:10" ht="18.75" customHeight="1">
      <c r="F806" s="1">
        <v>45870</v>
      </c>
      <c r="G806">
        <f t="shared" si="13"/>
        <v>8</v>
      </c>
      <c r="J806" s="7"/>
    </row>
    <row r="807" spans="6:10" ht="18.75" customHeight="1">
      <c r="F807" s="1">
        <v>45901</v>
      </c>
      <c r="G807">
        <f t="shared" si="13"/>
        <v>9</v>
      </c>
      <c r="J807" s="7"/>
    </row>
    <row r="808" spans="6:10" ht="18.75" customHeight="1">
      <c r="F808" s="1">
        <v>45931</v>
      </c>
      <c r="G808">
        <f t="shared" si="13"/>
        <v>10</v>
      </c>
      <c r="J808" s="7"/>
    </row>
    <row r="809" spans="6:10" ht="18.75" customHeight="1">
      <c r="F809" s="1">
        <v>45962</v>
      </c>
      <c r="G809">
        <f t="shared" si="13"/>
        <v>11</v>
      </c>
      <c r="J809" s="7"/>
    </row>
    <row r="810" spans="6:10" ht="18.75" customHeight="1">
      <c r="F810" s="1">
        <v>45992</v>
      </c>
      <c r="G810">
        <f t="shared" si="13"/>
        <v>12</v>
      </c>
      <c r="J810" s="7"/>
    </row>
    <row r="811" spans="6:10" ht="18.75" customHeight="1">
      <c r="F811" s="1">
        <v>46023</v>
      </c>
      <c r="G811">
        <f t="shared" si="13"/>
        <v>1</v>
      </c>
      <c r="J811" s="7"/>
    </row>
    <row r="812" spans="6:10" ht="18.75" customHeight="1">
      <c r="F812" s="1">
        <v>46054</v>
      </c>
      <c r="G812">
        <f t="shared" si="13"/>
        <v>2</v>
      </c>
      <c r="J812" s="7"/>
    </row>
    <row r="813" spans="6:10" ht="18.75" customHeight="1">
      <c r="F813" s="1">
        <v>46082</v>
      </c>
      <c r="G813">
        <f t="shared" si="13"/>
        <v>3</v>
      </c>
      <c r="J813" s="7"/>
    </row>
    <row r="814" spans="6:10" ht="18.75" customHeight="1">
      <c r="F814" s="1">
        <v>46113</v>
      </c>
      <c r="G814">
        <f t="shared" si="13"/>
        <v>4</v>
      </c>
      <c r="J814" s="7"/>
    </row>
    <row r="815" spans="6:10" ht="18.75" customHeight="1">
      <c r="F815" s="1">
        <v>46143</v>
      </c>
      <c r="G815">
        <f t="shared" si="13"/>
        <v>5</v>
      </c>
      <c r="J815" s="7"/>
    </row>
    <row r="816" spans="6:10" ht="18.75" customHeight="1">
      <c r="F816" s="1">
        <v>46174</v>
      </c>
      <c r="G816">
        <f t="shared" si="13"/>
        <v>6</v>
      </c>
      <c r="J816" s="7"/>
    </row>
    <row r="817" spans="6:10" ht="18.75" customHeight="1">
      <c r="F817" s="1">
        <v>46204</v>
      </c>
      <c r="G817">
        <f t="shared" si="13"/>
        <v>7</v>
      </c>
      <c r="J817" s="7"/>
    </row>
    <row r="818" spans="6:10" ht="18.75" customHeight="1">
      <c r="F818" s="1">
        <v>46235</v>
      </c>
      <c r="G818">
        <f t="shared" si="13"/>
        <v>8</v>
      </c>
      <c r="J818" s="7"/>
    </row>
    <row r="819" spans="6:10" ht="18.75" customHeight="1">
      <c r="F819" s="1">
        <v>46266</v>
      </c>
      <c r="G819">
        <f t="shared" si="13"/>
        <v>9</v>
      </c>
      <c r="J819" s="7"/>
    </row>
    <row r="820" spans="6:10" ht="18.75" customHeight="1">
      <c r="F820" s="1">
        <v>46296</v>
      </c>
      <c r="G820">
        <f t="shared" si="13"/>
        <v>10</v>
      </c>
      <c r="J820" s="7"/>
    </row>
    <row r="821" spans="6:10" ht="18.75" customHeight="1">
      <c r="F821" s="1">
        <v>46327</v>
      </c>
      <c r="G821">
        <f t="shared" si="13"/>
        <v>11</v>
      </c>
      <c r="J821" s="7"/>
    </row>
    <row r="822" spans="6:10" ht="18.75" customHeight="1">
      <c r="F822" s="1">
        <v>46357</v>
      </c>
      <c r="G822">
        <f t="shared" si="13"/>
        <v>12</v>
      </c>
      <c r="J822" s="7"/>
    </row>
    <row r="823" spans="6:10" ht="18.75" customHeight="1">
      <c r="F823" s="1">
        <v>46388</v>
      </c>
      <c r="G823">
        <f t="shared" si="13"/>
        <v>1</v>
      </c>
      <c r="J823" s="7"/>
    </row>
    <row r="824" spans="6:10" ht="18.75" customHeight="1">
      <c r="F824" s="1">
        <v>46419</v>
      </c>
      <c r="G824">
        <f t="shared" si="13"/>
        <v>2</v>
      </c>
      <c r="J824" s="7"/>
    </row>
    <row r="825" spans="6:10" ht="18.75" customHeight="1">
      <c r="F825" s="1">
        <v>46447</v>
      </c>
      <c r="G825">
        <f t="shared" si="13"/>
        <v>3</v>
      </c>
      <c r="J825" s="7"/>
    </row>
    <row r="826" spans="6:10" ht="18.75" customHeight="1">
      <c r="F826" s="1">
        <v>46478</v>
      </c>
      <c r="G826">
        <f t="shared" si="13"/>
        <v>4</v>
      </c>
      <c r="J826" s="7"/>
    </row>
    <row r="827" spans="6:10" ht="18.75" customHeight="1">
      <c r="F827" s="1">
        <v>46508</v>
      </c>
      <c r="G827">
        <f t="shared" si="13"/>
        <v>5</v>
      </c>
      <c r="J827" s="7"/>
    </row>
    <row r="828" spans="6:10" ht="18.75" customHeight="1">
      <c r="F828" s="1">
        <v>46539</v>
      </c>
      <c r="G828">
        <f t="shared" si="13"/>
        <v>6</v>
      </c>
      <c r="J828" s="7"/>
    </row>
    <row r="829" spans="6:10" ht="18.75" customHeight="1">
      <c r="F829" s="1">
        <v>46569</v>
      </c>
      <c r="G829">
        <f t="shared" si="13"/>
        <v>7</v>
      </c>
      <c r="J829" s="7"/>
    </row>
    <row r="830" spans="6:10" ht="18.75" customHeight="1">
      <c r="F830" s="1">
        <v>46600</v>
      </c>
      <c r="G830">
        <f t="shared" si="13"/>
        <v>8</v>
      </c>
      <c r="J830" s="7"/>
    </row>
    <row r="831" spans="6:10" ht="18.75" customHeight="1">
      <c r="F831" s="1">
        <v>46631</v>
      </c>
      <c r="G831">
        <f t="shared" si="13"/>
        <v>9</v>
      </c>
      <c r="J831" s="7"/>
    </row>
    <row r="832" spans="6:10" ht="18.75" customHeight="1">
      <c r="F832" s="1">
        <v>46661</v>
      </c>
      <c r="G832">
        <f t="shared" si="13"/>
        <v>10</v>
      </c>
      <c r="J832" s="7"/>
    </row>
    <row r="833" spans="6:10" ht="18.75" customHeight="1">
      <c r="F833" s="1">
        <v>46692</v>
      </c>
      <c r="G833">
        <f t="shared" si="13"/>
        <v>11</v>
      </c>
      <c r="J833" s="7"/>
    </row>
    <row r="834" spans="6:10" ht="18.75" customHeight="1">
      <c r="F834" s="1">
        <v>46722</v>
      </c>
      <c r="G834">
        <f t="shared" si="13"/>
        <v>12</v>
      </c>
      <c r="J834" s="7"/>
    </row>
    <row r="835" spans="6:10" ht="18.75" customHeight="1">
      <c r="F835" s="1">
        <v>46753</v>
      </c>
      <c r="G835">
        <f t="shared" ref="G835:G898" si="14">MONTH(F835)</f>
        <v>1</v>
      </c>
      <c r="J835" s="7"/>
    </row>
    <row r="836" spans="6:10" ht="18.75" customHeight="1">
      <c r="F836" s="1">
        <v>46784</v>
      </c>
      <c r="G836">
        <f t="shared" si="14"/>
        <v>2</v>
      </c>
      <c r="J836" s="7"/>
    </row>
    <row r="837" spans="6:10" ht="18.75" customHeight="1">
      <c r="F837" s="1">
        <v>46813</v>
      </c>
      <c r="G837">
        <f t="shared" si="14"/>
        <v>3</v>
      </c>
      <c r="J837" s="7"/>
    </row>
    <row r="838" spans="6:10" ht="18.75" customHeight="1">
      <c r="F838" s="1">
        <v>46844</v>
      </c>
      <c r="G838">
        <f t="shared" si="14"/>
        <v>4</v>
      </c>
      <c r="J838" s="7"/>
    </row>
    <row r="839" spans="6:10" ht="18.75" customHeight="1">
      <c r="F839" s="1">
        <v>46874</v>
      </c>
      <c r="G839">
        <f t="shared" si="14"/>
        <v>5</v>
      </c>
      <c r="J839" s="7"/>
    </row>
    <row r="840" spans="6:10" ht="18.75" customHeight="1">
      <c r="F840" s="1">
        <v>46905</v>
      </c>
      <c r="G840">
        <f t="shared" si="14"/>
        <v>6</v>
      </c>
      <c r="J840" s="7"/>
    </row>
    <row r="841" spans="6:10" ht="18.75" customHeight="1">
      <c r="F841" s="1">
        <v>46935</v>
      </c>
      <c r="G841">
        <f t="shared" si="14"/>
        <v>7</v>
      </c>
      <c r="J841" s="7"/>
    </row>
    <row r="842" spans="6:10" ht="18.75" customHeight="1">
      <c r="F842" s="1">
        <v>46966</v>
      </c>
      <c r="G842">
        <f t="shared" si="14"/>
        <v>8</v>
      </c>
      <c r="J842" s="7"/>
    </row>
    <row r="843" spans="6:10" ht="18.75" customHeight="1">
      <c r="F843" s="1">
        <v>46997</v>
      </c>
      <c r="G843">
        <f t="shared" si="14"/>
        <v>9</v>
      </c>
      <c r="J843" s="7"/>
    </row>
    <row r="844" spans="6:10" ht="18.75" customHeight="1">
      <c r="F844" s="1">
        <v>47027</v>
      </c>
      <c r="G844">
        <f t="shared" si="14"/>
        <v>10</v>
      </c>
      <c r="J844" s="7"/>
    </row>
    <row r="845" spans="6:10" ht="18.75" customHeight="1">
      <c r="F845" s="1">
        <v>47058</v>
      </c>
      <c r="G845">
        <f t="shared" si="14"/>
        <v>11</v>
      </c>
      <c r="J845" s="7"/>
    </row>
    <row r="846" spans="6:10" ht="18.75" customHeight="1">
      <c r="F846" s="1">
        <v>47088</v>
      </c>
      <c r="G846">
        <f t="shared" si="14"/>
        <v>12</v>
      </c>
      <c r="J846" s="7"/>
    </row>
    <row r="847" spans="6:10" ht="18.75" customHeight="1">
      <c r="F847" s="1">
        <v>47119</v>
      </c>
      <c r="G847">
        <f t="shared" si="14"/>
        <v>1</v>
      </c>
      <c r="J847" s="7"/>
    </row>
    <row r="848" spans="6:10" ht="18.75" customHeight="1">
      <c r="F848" s="1">
        <v>47150</v>
      </c>
      <c r="G848">
        <f t="shared" si="14"/>
        <v>2</v>
      </c>
      <c r="J848" s="7"/>
    </row>
    <row r="849" spans="6:10" ht="18.75" customHeight="1">
      <c r="F849" s="1">
        <v>47178</v>
      </c>
      <c r="G849">
        <f t="shared" si="14"/>
        <v>3</v>
      </c>
      <c r="J849" s="7"/>
    </row>
    <row r="850" spans="6:10" ht="18.75" customHeight="1">
      <c r="F850" s="1">
        <v>47209</v>
      </c>
      <c r="G850">
        <f t="shared" si="14"/>
        <v>4</v>
      </c>
      <c r="J850" s="7"/>
    </row>
    <row r="851" spans="6:10" ht="18.75" customHeight="1">
      <c r="F851" s="1">
        <v>47239</v>
      </c>
      <c r="G851">
        <f t="shared" si="14"/>
        <v>5</v>
      </c>
      <c r="J851" s="7"/>
    </row>
    <row r="852" spans="6:10" ht="18.75" customHeight="1">
      <c r="F852" s="1">
        <v>47270</v>
      </c>
      <c r="G852">
        <f t="shared" si="14"/>
        <v>6</v>
      </c>
      <c r="J852" s="7"/>
    </row>
    <row r="853" spans="6:10" ht="18.75" customHeight="1">
      <c r="F853" s="1">
        <v>47300</v>
      </c>
      <c r="G853">
        <f t="shared" si="14"/>
        <v>7</v>
      </c>
      <c r="J853" s="7"/>
    </row>
    <row r="854" spans="6:10" ht="18.75" customHeight="1">
      <c r="F854" s="1">
        <v>47331</v>
      </c>
      <c r="G854">
        <f t="shared" si="14"/>
        <v>8</v>
      </c>
      <c r="J854" s="7"/>
    </row>
    <row r="855" spans="6:10" ht="18.75" customHeight="1">
      <c r="F855" s="1">
        <v>47362</v>
      </c>
      <c r="G855">
        <f t="shared" si="14"/>
        <v>9</v>
      </c>
      <c r="J855" s="7"/>
    </row>
    <row r="856" spans="6:10" ht="18.75" customHeight="1">
      <c r="F856" s="1">
        <v>47392</v>
      </c>
      <c r="G856">
        <f t="shared" si="14"/>
        <v>10</v>
      </c>
      <c r="J856" s="7"/>
    </row>
    <row r="857" spans="6:10" ht="18.75" customHeight="1">
      <c r="F857" s="1">
        <v>47423</v>
      </c>
      <c r="G857">
        <f t="shared" si="14"/>
        <v>11</v>
      </c>
      <c r="J857" s="7"/>
    </row>
    <row r="858" spans="6:10" ht="18.75" customHeight="1">
      <c r="F858" s="1">
        <v>47453</v>
      </c>
      <c r="G858">
        <f t="shared" si="14"/>
        <v>12</v>
      </c>
      <c r="J858" s="7"/>
    </row>
    <row r="859" spans="6:10" ht="18.75" customHeight="1">
      <c r="F859" s="1">
        <v>47484</v>
      </c>
      <c r="G859">
        <f t="shared" si="14"/>
        <v>1</v>
      </c>
      <c r="J859" s="7"/>
    </row>
    <row r="860" spans="6:10" ht="18.75" customHeight="1">
      <c r="F860" s="1">
        <v>47515</v>
      </c>
      <c r="G860">
        <f t="shared" si="14"/>
        <v>2</v>
      </c>
      <c r="J860" s="7"/>
    </row>
    <row r="861" spans="6:10" ht="18.75" customHeight="1">
      <c r="F861" s="1">
        <v>47543</v>
      </c>
      <c r="G861">
        <f t="shared" si="14"/>
        <v>3</v>
      </c>
      <c r="J861" s="7"/>
    </row>
    <row r="862" spans="6:10" ht="18.75" customHeight="1">
      <c r="F862" s="1">
        <v>47574</v>
      </c>
      <c r="G862">
        <f t="shared" si="14"/>
        <v>4</v>
      </c>
      <c r="J862" s="7"/>
    </row>
    <row r="863" spans="6:10" ht="18.75" customHeight="1">
      <c r="F863" s="1">
        <v>47604</v>
      </c>
      <c r="G863">
        <f t="shared" si="14"/>
        <v>5</v>
      </c>
      <c r="J863" s="7"/>
    </row>
    <row r="864" spans="6:10" ht="18.75" customHeight="1">
      <c r="F864" s="1">
        <v>47635</v>
      </c>
      <c r="G864">
        <f t="shared" si="14"/>
        <v>6</v>
      </c>
      <c r="J864" s="7"/>
    </row>
    <row r="865" spans="6:10" ht="18.75" customHeight="1">
      <c r="F865" s="1">
        <v>47665</v>
      </c>
      <c r="G865">
        <f t="shared" si="14"/>
        <v>7</v>
      </c>
      <c r="J865" s="7"/>
    </row>
    <row r="866" spans="6:10" ht="18.75" customHeight="1">
      <c r="F866" s="1">
        <v>47696</v>
      </c>
      <c r="G866">
        <f t="shared" si="14"/>
        <v>8</v>
      </c>
      <c r="J866" s="7"/>
    </row>
    <row r="867" spans="6:10" ht="18.75" customHeight="1">
      <c r="F867" s="1">
        <v>47727</v>
      </c>
      <c r="G867">
        <f t="shared" si="14"/>
        <v>9</v>
      </c>
      <c r="J867" s="7"/>
    </row>
    <row r="868" spans="6:10" ht="18.75" customHeight="1">
      <c r="F868" s="1">
        <v>47757</v>
      </c>
      <c r="G868">
        <f t="shared" si="14"/>
        <v>10</v>
      </c>
      <c r="J868" s="7"/>
    </row>
    <row r="869" spans="6:10" ht="18.75" customHeight="1">
      <c r="F869" s="1">
        <v>47788</v>
      </c>
      <c r="G869">
        <f t="shared" si="14"/>
        <v>11</v>
      </c>
      <c r="J869" s="7"/>
    </row>
    <row r="870" spans="6:10" ht="18.75" customHeight="1">
      <c r="F870" s="1">
        <v>47818</v>
      </c>
      <c r="G870">
        <f t="shared" si="14"/>
        <v>12</v>
      </c>
      <c r="J870" s="7"/>
    </row>
    <row r="871" spans="6:10" ht="18.75" customHeight="1">
      <c r="F871" s="1">
        <v>47849</v>
      </c>
      <c r="G871">
        <f t="shared" si="14"/>
        <v>1</v>
      </c>
      <c r="J871" s="7"/>
    </row>
    <row r="872" spans="6:10" ht="18.75" customHeight="1">
      <c r="F872" s="1">
        <v>47880</v>
      </c>
      <c r="G872">
        <f t="shared" si="14"/>
        <v>2</v>
      </c>
      <c r="J872" s="7"/>
    </row>
    <row r="873" spans="6:10" ht="18.75" customHeight="1">
      <c r="F873" s="1">
        <v>47908</v>
      </c>
      <c r="G873">
        <f t="shared" si="14"/>
        <v>3</v>
      </c>
      <c r="J873" s="7"/>
    </row>
    <row r="874" spans="6:10" ht="18.75" customHeight="1">
      <c r="F874" s="1">
        <v>47939</v>
      </c>
      <c r="G874">
        <f t="shared" si="14"/>
        <v>4</v>
      </c>
      <c r="J874" s="7"/>
    </row>
    <row r="875" spans="6:10" ht="18.75" customHeight="1">
      <c r="F875" s="1">
        <v>47969</v>
      </c>
      <c r="G875">
        <f t="shared" si="14"/>
        <v>5</v>
      </c>
      <c r="J875" s="7"/>
    </row>
    <row r="876" spans="6:10" ht="18.75" customHeight="1">
      <c r="F876" s="1">
        <v>48000</v>
      </c>
      <c r="G876">
        <f t="shared" si="14"/>
        <v>6</v>
      </c>
      <c r="J876" s="7"/>
    </row>
    <row r="877" spans="6:10" ht="18.75" customHeight="1">
      <c r="F877" s="1">
        <v>48030</v>
      </c>
      <c r="G877">
        <f t="shared" si="14"/>
        <v>7</v>
      </c>
      <c r="J877" s="7"/>
    </row>
    <row r="878" spans="6:10" ht="18.75" customHeight="1">
      <c r="F878" s="1">
        <v>48061</v>
      </c>
      <c r="G878">
        <f t="shared" si="14"/>
        <v>8</v>
      </c>
      <c r="J878" s="7"/>
    </row>
    <row r="879" spans="6:10" ht="18.75" customHeight="1">
      <c r="F879" s="1">
        <v>48092</v>
      </c>
      <c r="G879">
        <f t="shared" si="14"/>
        <v>9</v>
      </c>
      <c r="J879" s="7"/>
    </row>
    <row r="880" spans="6:10" ht="18.75" customHeight="1">
      <c r="F880" s="1">
        <v>48122</v>
      </c>
      <c r="G880">
        <f t="shared" si="14"/>
        <v>10</v>
      </c>
      <c r="J880" s="7"/>
    </row>
    <row r="881" spans="6:10" ht="18.75" customHeight="1">
      <c r="F881" s="1">
        <v>48153</v>
      </c>
      <c r="G881">
        <f t="shared" si="14"/>
        <v>11</v>
      </c>
      <c r="J881" s="7"/>
    </row>
    <row r="882" spans="6:10" ht="18.75" customHeight="1">
      <c r="F882" s="1">
        <v>48183</v>
      </c>
      <c r="G882">
        <f t="shared" si="14"/>
        <v>12</v>
      </c>
      <c r="J882" s="7"/>
    </row>
    <row r="883" spans="6:10" ht="18.75" customHeight="1">
      <c r="F883" s="1">
        <v>48214</v>
      </c>
      <c r="G883">
        <f t="shared" si="14"/>
        <v>1</v>
      </c>
      <c r="J883" s="7"/>
    </row>
    <row r="884" spans="6:10" ht="18.75" customHeight="1">
      <c r="F884" s="1">
        <v>48245</v>
      </c>
      <c r="G884">
        <f t="shared" si="14"/>
        <v>2</v>
      </c>
      <c r="J884" s="7"/>
    </row>
    <row r="885" spans="6:10" ht="18.75" customHeight="1">
      <c r="F885" s="1">
        <v>48274</v>
      </c>
      <c r="G885">
        <f t="shared" si="14"/>
        <v>3</v>
      </c>
      <c r="J885" s="7"/>
    </row>
    <row r="886" spans="6:10" ht="18.75" customHeight="1">
      <c r="F886" s="1">
        <v>48305</v>
      </c>
      <c r="G886">
        <f t="shared" si="14"/>
        <v>4</v>
      </c>
      <c r="J886" s="7"/>
    </row>
    <row r="887" spans="6:10" ht="18.75" customHeight="1">
      <c r="F887" s="1">
        <v>48335</v>
      </c>
      <c r="G887">
        <f t="shared" si="14"/>
        <v>5</v>
      </c>
      <c r="J887" s="7"/>
    </row>
    <row r="888" spans="6:10" ht="18.75" customHeight="1">
      <c r="F888" s="1">
        <v>48366</v>
      </c>
      <c r="G888">
        <f t="shared" si="14"/>
        <v>6</v>
      </c>
      <c r="J888" s="7"/>
    </row>
    <row r="889" spans="6:10" ht="18.75" customHeight="1">
      <c r="F889" s="1">
        <v>48396</v>
      </c>
      <c r="G889">
        <f t="shared" si="14"/>
        <v>7</v>
      </c>
      <c r="J889" s="7"/>
    </row>
    <row r="890" spans="6:10" ht="18.75" customHeight="1">
      <c r="F890" s="1">
        <v>48427</v>
      </c>
      <c r="G890">
        <f t="shared" si="14"/>
        <v>8</v>
      </c>
      <c r="J890" s="7"/>
    </row>
    <row r="891" spans="6:10" ht="18.75" customHeight="1">
      <c r="F891" s="1">
        <v>48458</v>
      </c>
      <c r="G891">
        <f t="shared" si="14"/>
        <v>9</v>
      </c>
      <c r="J891" s="7"/>
    </row>
    <row r="892" spans="6:10" ht="18.75" customHeight="1">
      <c r="F892" s="1">
        <v>48488</v>
      </c>
      <c r="G892">
        <f t="shared" si="14"/>
        <v>10</v>
      </c>
      <c r="J892" s="7"/>
    </row>
    <row r="893" spans="6:10" ht="18.75" customHeight="1">
      <c r="F893" s="1">
        <v>48519</v>
      </c>
      <c r="G893">
        <f t="shared" si="14"/>
        <v>11</v>
      </c>
      <c r="J893" s="7"/>
    </row>
    <row r="894" spans="6:10" ht="18.75" customHeight="1">
      <c r="F894" s="1">
        <v>48549</v>
      </c>
      <c r="G894">
        <f t="shared" si="14"/>
        <v>12</v>
      </c>
      <c r="J894" s="7"/>
    </row>
    <row r="895" spans="6:10" ht="18.75" customHeight="1">
      <c r="F895" s="1">
        <v>48580</v>
      </c>
      <c r="G895">
        <f t="shared" si="14"/>
        <v>1</v>
      </c>
      <c r="J895" s="7"/>
    </row>
    <row r="896" spans="6:10" ht="18.75" customHeight="1">
      <c r="F896" s="1">
        <v>48611</v>
      </c>
      <c r="G896">
        <f t="shared" si="14"/>
        <v>2</v>
      </c>
      <c r="J896" s="7"/>
    </row>
    <row r="897" spans="6:10" ht="18.75" customHeight="1">
      <c r="F897" s="1">
        <v>48639</v>
      </c>
      <c r="G897">
        <f t="shared" si="14"/>
        <v>3</v>
      </c>
      <c r="J897" s="7"/>
    </row>
    <row r="898" spans="6:10" ht="18.75" customHeight="1">
      <c r="F898" s="1">
        <v>48670</v>
      </c>
      <c r="G898">
        <f t="shared" si="14"/>
        <v>4</v>
      </c>
      <c r="J898" s="7"/>
    </row>
    <row r="899" spans="6:10" ht="18.75" customHeight="1">
      <c r="F899" s="1">
        <v>48700</v>
      </c>
      <c r="G899">
        <f t="shared" ref="G899:G962" si="15">MONTH(F899)</f>
        <v>5</v>
      </c>
      <c r="J899" s="7"/>
    </row>
    <row r="900" spans="6:10" ht="18.75" customHeight="1">
      <c r="F900" s="1">
        <v>48731</v>
      </c>
      <c r="G900">
        <f t="shared" si="15"/>
        <v>6</v>
      </c>
      <c r="J900" s="7"/>
    </row>
    <row r="901" spans="6:10" ht="18.75" customHeight="1">
      <c r="F901" s="1">
        <v>48761</v>
      </c>
      <c r="G901">
        <f t="shared" si="15"/>
        <v>7</v>
      </c>
      <c r="J901" s="7"/>
    </row>
    <row r="902" spans="6:10" ht="18.75" customHeight="1">
      <c r="F902" s="1">
        <v>48792</v>
      </c>
      <c r="G902">
        <f t="shared" si="15"/>
        <v>8</v>
      </c>
      <c r="J902" s="7"/>
    </row>
    <row r="903" spans="6:10" ht="18.75" customHeight="1">
      <c r="F903" s="1">
        <v>48823</v>
      </c>
      <c r="G903">
        <f t="shared" si="15"/>
        <v>9</v>
      </c>
      <c r="J903" s="7"/>
    </row>
    <row r="904" spans="6:10" ht="18.75" customHeight="1">
      <c r="F904" s="1">
        <v>48853</v>
      </c>
      <c r="G904">
        <f t="shared" si="15"/>
        <v>10</v>
      </c>
      <c r="J904" s="7"/>
    </row>
    <row r="905" spans="6:10" ht="18.75" customHeight="1">
      <c r="F905" s="1">
        <v>48884</v>
      </c>
      <c r="G905">
        <f t="shared" si="15"/>
        <v>11</v>
      </c>
      <c r="J905" s="7"/>
    </row>
    <row r="906" spans="6:10" ht="18.75" customHeight="1">
      <c r="F906" s="1">
        <v>48914</v>
      </c>
      <c r="G906">
        <f t="shared" si="15"/>
        <v>12</v>
      </c>
      <c r="J906" s="7"/>
    </row>
    <row r="907" spans="6:10" ht="18.75" customHeight="1">
      <c r="F907" s="1">
        <v>48945</v>
      </c>
      <c r="G907">
        <f t="shared" si="15"/>
        <v>1</v>
      </c>
      <c r="J907" s="7"/>
    </row>
    <row r="908" spans="6:10" ht="18.75" customHeight="1">
      <c r="F908" s="1">
        <v>48976</v>
      </c>
      <c r="G908">
        <f t="shared" si="15"/>
        <v>2</v>
      </c>
      <c r="J908" s="7"/>
    </row>
    <row r="909" spans="6:10" ht="18.75" customHeight="1">
      <c r="F909" s="1">
        <v>49004</v>
      </c>
      <c r="G909">
        <f t="shared" si="15"/>
        <v>3</v>
      </c>
      <c r="J909" s="7"/>
    </row>
    <row r="910" spans="6:10" ht="18.75" customHeight="1">
      <c r="F910" s="1">
        <v>49035</v>
      </c>
      <c r="G910">
        <f t="shared" si="15"/>
        <v>4</v>
      </c>
      <c r="J910" s="7"/>
    </row>
    <row r="911" spans="6:10" ht="18.75" customHeight="1">
      <c r="F911" s="1">
        <v>49065</v>
      </c>
      <c r="G911">
        <f t="shared" si="15"/>
        <v>5</v>
      </c>
      <c r="J911" s="7"/>
    </row>
    <row r="912" spans="6:10" ht="18.75" customHeight="1">
      <c r="F912" s="1">
        <v>49096</v>
      </c>
      <c r="G912">
        <f t="shared" si="15"/>
        <v>6</v>
      </c>
      <c r="J912" s="7"/>
    </row>
    <row r="913" spans="6:10" ht="18.75" customHeight="1">
      <c r="F913" s="1">
        <v>49126</v>
      </c>
      <c r="G913">
        <f t="shared" si="15"/>
        <v>7</v>
      </c>
      <c r="J913" s="7"/>
    </row>
    <row r="914" spans="6:10" ht="18.75" customHeight="1">
      <c r="F914" s="1">
        <v>49157</v>
      </c>
      <c r="G914">
        <f t="shared" si="15"/>
        <v>8</v>
      </c>
      <c r="J914" s="7"/>
    </row>
    <row r="915" spans="6:10" ht="18.75" customHeight="1">
      <c r="F915" s="1">
        <v>49188</v>
      </c>
      <c r="G915">
        <f t="shared" si="15"/>
        <v>9</v>
      </c>
      <c r="J915" s="7"/>
    </row>
    <row r="916" spans="6:10" ht="18.75" customHeight="1">
      <c r="F916" s="1">
        <v>49218</v>
      </c>
      <c r="G916">
        <f t="shared" si="15"/>
        <v>10</v>
      </c>
      <c r="J916" s="7"/>
    </row>
    <row r="917" spans="6:10" ht="18.75" customHeight="1">
      <c r="F917" s="1">
        <v>49249</v>
      </c>
      <c r="G917">
        <f t="shared" si="15"/>
        <v>11</v>
      </c>
      <c r="J917" s="7"/>
    </row>
    <row r="918" spans="6:10" ht="18.75" customHeight="1">
      <c r="F918" s="1">
        <v>49279</v>
      </c>
      <c r="G918">
        <f t="shared" si="15"/>
        <v>12</v>
      </c>
      <c r="J918" s="7"/>
    </row>
    <row r="919" spans="6:10" ht="18.75" customHeight="1">
      <c r="F919" s="1">
        <v>49310</v>
      </c>
      <c r="G919">
        <f t="shared" si="15"/>
        <v>1</v>
      </c>
      <c r="J919" s="7"/>
    </row>
    <row r="920" spans="6:10" ht="18.75" customHeight="1">
      <c r="F920" s="1">
        <v>49341</v>
      </c>
      <c r="G920">
        <f t="shared" si="15"/>
        <v>2</v>
      </c>
      <c r="J920" s="7"/>
    </row>
    <row r="921" spans="6:10" ht="18.75" customHeight="1">
      <c r="F921" s="1">
        <v>49369</v>
      </c>
      <c r="G921">
        <f t="shared" si="15"/>
        <v>3</v>
      </c>
      <c r="J921" s="7"/>
    </row>
    <row r="922" spans="6:10" ht="18.75" customHeight="1">
      <c r="F922" s="1">
        <v>49400</v>
      </c>
      <c r="G922">
        <f t="shared" si="15"/>
        <v>4</v>
      </c>
      <c r="J922" s="7"/>
    </row>
    <row r="923" spans="6:10" ht="18.75" customHeight="1">
      <c r="F923" s="1">
        <v>49430</v>
      </c>
      <c r="G923">
        <f t="shared" si="15"/>
        <v>5</v>
      </c>
      <c r="J923" s="7"/>
    </row>
    <row r="924" spans="6:10" ht="18.75" customHeight="1">
      <c r="F924" s="1">
        <v>49461</v>
      </c>
      <c r="G924">
        <f t="shared" si="15"/>
        <v>6</v>
      </c>
      <c r="J924" s="7"/>
    </row>
    <row r="925" spans="6:10" ht="18.75" customHeight="1">
      <c r="F925" s="1">
        <v>49491</v>
      </c>
      <c r="G925">
        <f t="shared" si="15"/>
        <v>7</v>
      </c>
      <c r="J925" s="7"/>
    </row>
    <row r="926" spans="6:10" ht="18.75" customHeight="1">
      <c r="F926" s="1">
        <v>49522</v>
      </c>
      <c r="G926">
        <f t="shared" si="15"/>
        <v>8</v>
      </c>
      <c r="J926" s="7"/>
    </row>
    <row r="927" spans="6:10" ht="18.75" customHeight="1">
      <c r="F927" s="1">
        <v>49553</v>
      </c>
      <c r="G927">
        <f t="shared" si="15"/>
        <v>9</v>
      </c>
      <c r="J927" s="7"/>
    </row>
    <row r="928" spans="6:10" ht="18.75" customHeight="1">
      <c r="F928" s="1">
        <v>49583</v>
      </c>
      <c r="G928">
        <f t="shared" si="15"/>
        <v>10</v>
      </c>
      <c r="J928" s="7"/>
    </row>
    <row r="929" spans="6:10" ht="18.75" customHeight="1">
      <c r="F929" s="1">
        <v>49614</v>
      </c>
      <c r="G929">
        <f t="shared" si="15"/>
        <v>11</v>
      </c>
      <c r="J929" s="7"/>
    </row>
    <row r="930" spans="6:10" ht="18.75" customHeight="1">
      <c r="F930" s="1">
        <v>49644</v>
      </c>
      <c r="G930">
        <f t="shared" si="15"/>
        <v>12</v>
      </c>
      <c r="J930" s="7"/>
    </row>
    <row r="931" spans="6:10" ht="18.75" customHeight="1">
      <c r="F931" s="1">
        <v>49675</v>
      </c>
      <c r="G931">
        <f t="shared" si="15"/>
        <v>1</v>
      </c>
      <c r="J931" s="7"/>
    </row>
    <row r="932" spans="6:10" ht="18.75" customHeight="1">
      <c r="F932" s="1">
        <v>49706</v>
      </c>
      <c r="G932">
        <f t="shared" si="15"/>
        <v>2</v>
      </c>
      <c r="J932" s="7"/>
    </row>
    <row r="933" spans="6:10" ht="18.75" customHeight="1">
      <c r="F933" s="1">
        <v>49735</v>
      </c>
      <c r="G933">
        <f t="shared" si="15"/>
        <v>3</v>
      </c>
      <c r="J933" s="7"/>
    </row>
    <row r="934" spans="6:10" ht="18.75" customHeight="1">
      <c r="F934" s="1">
        <v>49766</v>
      </c>
      <c r="G934">
        <f t="shared" si="15"/>
        <v>4</v>
      </c>
      <c r="J934" s="7"/>
    </row>
    <row r="935" spans="6:10" ht="18.75" customHeight="1">
      <c r="F935" s="1">
        <v>49796</v>
      </c>
      <c r="G935">
        <f t="shared" si="15"/>
        <v>5</v>
      </c>
      <c r="J935" s="7"/>
    </row>
    <row r="936" spans="6:10" ht="18.75" customHeight="1">
      <c r="F936" s="1">
        <v>49827</v>
      </c>
      <c r="G936">
        <f t="shared" si="15"/>
        <v>6</v>
      </c>
      <c r="J936" s="7"/>
    </row>
    <row r="937" spans="6:10" ht="18.75" customHeight="1">
      <c r="F937" s="1">
        <v>49857</v>
      </c>
      <c r="G937">
        <f t="shared" si="15"/>
        <v>7</v>
      </c>
      <c r="J937" s="7"/>
    </row>
    <row r="938" spans="6:10" ht="18.75" customHeight="1">
      <c r="F938" s="1">
        <v>49888</v>
      </c>
      <c r="G938">
        <f t="shared" si="15"/>
        <v>8</v>
      </c>
      <c r="J938" s="7"/>
    </row>
    <row r="939" spans="6:10" ht="18.75" customHeight="1">
      <c r="F939" s="1">
        <v>49919</v>
      </c>
      <c r="G939">
        <f t="shared" si="15"/>
        <v>9</v>
      </c>
      <c r="J939" s="7"/>
    </row>
    <row r="940" spans="6:10" ht="18.75" customHeight="1">
      <c r="F940" s="1">
        <v>49949</v>
      </c>
      <c r="G940">
        <f t="shared" si="15"/>
        <v>10</v>
      </c>
      <c r="J940" s="7"/>
    </row>
    <row r="941" spans="6:10" ht="18.75" customHeight="1">
      <c r="F941" s="1">
        <v>49980</v>
      </c>
      <c r="G941">
        <f t="shared" si="15"/>
        <v>11</v>
      </c>
      <c r="J941" s="7"/>
    </row>
    <row r="942" spans="6:10" ht="18.75" customHeight="1">
      <c r="F942" s="1">
        <v>50010</v>
      </c>
      <c r="G942">
        <f t="shared" si="15"/>
        <v>12</v>
      </c>
      <c r="J942" s="7"/>
    </row>
    <row r="943" spans="6:10" ht="18.75" customHeight="1">
      <c r="F943" s="1">
        <v>50041</v>
      </c>
      <c r="G943">
        <f t="shared" si="15"/>
        <v>1</v>
      </c>
    </row>
    <row r="944" spans="6:10" ht="18.75" customHeight="1">
      <c r="F944" s="1">
        <v>50072</v>
      </c>
      <c r="G944">
        <f t="shared" si="15"/>
        <v>2</v>
      </c>
    </row>
    <row r="945" spans="6:7" ht="18.75" customHeight="1">
      <c r="F945" s="1">
        <v>50100</v>
      </c>
      <c r="G945">
        <f t="shared" si="15"/>
        <v>3</v>
      </c>
    </row>
    <row r="946" spans="6:7" ht="18.75" customHeight="1">
      <c r="F946" s="1">
        <v>50131</v>
      </c>
      <c r="G946">
        <f t="shared" si="15"/>
        <v>4</v>
      </c>
    </row>
    <row r="947" spans="6:7" ht="18.75" customHeight="1">
      <c r="F947" s="1">
        <v>50161</v>
      </c>
      <c r="G947">
        <f t="shared" si="15"/>
        <v>5</v>
      </c>
    </row>
    <row r="948" spans="6:7" ht="18.75" customHeight="1">
      <c r="F948" s="1">
        <v>50192</v>
      </c>
      <c r="G948">
        <f t="shared" si="15"/>
        <v>6</v>
      </c>
    </row>
    <row r="949" spans="6:7" ht="18.75" customHeight="1">
      <c r="F949" s="1">
        <v>50222</v>
      </c>
      <c r="G949">
        <f t="shared" si="15"/>
        <v>7</v>
      </c>
    </row>
    <row r="950" spans="6:7" ht="18.75" customHeight="1">
      <c r="F950" s="1">
        <v>50253</v>
      </c>
      <c r="G950">
        <f t="shared" si="15"/>
        <v>8</v>
      </c>
    </row>
    <row r="951" spans="6:7" ht="18.75" customHeight="1">
      <c r="F951" s="1">
        <v>50284</v>
      </c>
      <c r="G951">
        <f t="shared" si="15"/>
        <v>9</v>
      </c>
    </row>
    <row r="952" spans="6:7" ht="18.75" customHeight="1">
      <c r="F952" s="1">
        <v>50314</v>
      </c>
      <c r="G952">
        <f t="shared" si="15"/>
        <v>10</v>
      </c>
    </row>
    <row r="953" spans="6:7" ht="18.75" customHeight="1">
      <c r="F953" s="1">
        <v>50345</v>
      </c>
      <c r="G953">
        <f t="shared" si="15"/>
        <v>11</v>
      </c>
    </row>
    <row r="954" spans="6:7" ht="18.75" customHeight="1">
      <c r="F954" s="1">
        <v>50375</v>
      </c>
      <c r="G954">
        <f t="shared" si="15"/>
        <v>12</v>
      </c>
    </row>
    <row r="955" spans="6:7" ht="18.75" customHeight="1">
      <c r="F955" s="1">
        <v>50406</v>
      </c>
      <c r="G955">
        <f t="shared" si="15"/>
        <v>1</v>
      </c>
    </row>
    <row r="956" spans="6:7" ht="18.75" customHeight="1">
      <c r="F956" s="1">
        <v>50437</v>
      </c>
      <c r="G956">
        <f t="shared" si="15"/>
        <v>2</v>
      </c>
    </row>
    <row r="957" spans="6:7" ht="18.75" customHeight="1">
      <c r="F957" s="1">
        <v>50465</v>
      </c>
      <c r="G957">
        <f t="shared" si="15"/>
        <v>3</v>
      </c>
    </row>
    <row r="958" spans="6:7" ht="18.75" customHeight="1">
      <c r="F958" s="1">
        <v>50496</v>
      </c>
      <c r="G958">
        <f t="shared" si="15"/>
        <v>4</v>
      </c>
    </row>
    <row r="959" spans="6:7" ht="18.75" customHeight="1">
      <c r="F959" s="1">
        <v>50526</v>
      </c>
      <c r="G959">
        <f t="shared" si="15"/>
        <v>5</v>
      </c>
    </row>
    <row r="960" spans="6:7" ht="18.75" customHeight="1">
      <c r="F960" s="1">
        <v>50557</v>
      </c>
      <c r="G960">
        <f t="shared" si="15"/>
        <v>6</v>
      </c>
    </row>
    <row r="961" spans="6:7" ht="18.75" customHeight="1">
      <c r="F961" s="1">
        <v>50587</v>
      </c>
      <c r="G961">
        <f t="shared" si="15"/>
        <v>7</v>
      </c>
    </row>
    <row r="962" spans="6:7" ht="18.75" customHeight="1">
      <c r="F962" s="1">
        <v>50618</v>
      </c>
      <c r="G962">
        <f t="shared" si="15"/>
        <v>8</v>
      </c>
    </row>
    <row r="963" spans="6:7" ht="18.75" customHeight="1">
      <c r="F963" s="1">
        <v>50649</v>
      </c>
      <c r="G963">
        <f t="shared" ref="G963:G982" si="16">MONTH(F963)</f>
        <v>9</v>
      </c>
    </row>
    <row r="964" spans="6:7" ht="18.75" customHeight="1">
      <c r="F964" s="1">
        <v>50679</v>
      </c>
      <c r="G964">
        <f t="shared" si="16"/>
        <v>10</v>
      </c>
    </row>
    <row r="965" spans="6:7" ht="18.75" customHeight="1">
      <c r="F965" s="1">
        <v>50710</v>
      </c>
      <c r="G965">
        <f t="shared" si="16"/>
        <v>11</v>
      </c>
    </row>
    <row r="966" spans="6:7" ht="18.75" customHeight="1">
      <c r="F966" s="1">
        <v>50740</v>
      </c>
      <c r="G966">
        <f t="shared" si="16"/>
        <v>12</v>
      </c>
    </row>
    <row r="967" spans="6:7" ht="18.75" customHeight="1">
      <c r="F967" s="1">
        <v>50771</v>
      </c>
      <c r="G967">
        <f t="shared" si="16"/>
        <v>1</v>
      </c>
    </row>
    <row r="968" spans="6:7" ht="18.75" customHeight="1">
      <c r="F968" s="1">
        <v>50802</v>
      </c>
      <c r="G968">
        <f t="shared" si="16"/>
        <v>2</v>
      </c>
    </row>
    <row r="969" spans="6:7" ht="18.75" customHeight="1">
      <c r="F969" s="1">
        <v>50830</v>
      </c>
      <c r="G969">
        <f t="shared" si="16"/>
        <v>3</v>
      </c>
    </row>
    <row r="970" spans="6:7" ht="18.75" customHeight="1">
      <c r="F970" s="1">
        <v>50861</v>
      </c>
      <c r="G970">
        <f t="shared" si="16"/>
        <v>4</v>
      </c>
    </row>
    <row r="971" spans="6:7" ht="18.75" customHeight="1">
      <c r="F971" s="1">
        <v>50891</v>
      </c>
      <c r="G971">
        <f t="shared" si="16"/>
        <v>5</v>
      </c>
    </row>
    <row r="972" spans="6:7" ht="18.75" customHeight="1">
      <c r="F972" s="1">
        <v>50922</v>
      </c>
      <c r="G972">
        <f t="shared" si="16"/>
        <v>6</v>
      </c>
    </row>
    <row r="973" spans="6:7" ht="18.75" customHeight="1">
      <c r="F973" s="1">
        <v>50952</v>
      </c>
      <c r="G973">
        <f t="shared" si="16"/>
        <v>7</v>
      </c>
    </row>
    <row r="974" spans="6:7" ht="18.75" customHeight="1">
      <c r="F974" s="1">
        <v>50983</v>
      </c>
      <c r="G974">
        <f t="shared" si="16"/>
        <v>8</v>
      </c>
    </row>
    <row r="975" spans="6:7" ht="18.75" customHeight="1">
      <c r="F975" s="1">
        <v>51014</v>
      </c>
      <c r="G975">
        <f t="shared" si="16"/>
        <v>9</v>
      </c>
    </row>
    <row r="976" spans="6:7" ht="18.75" customHeight="1">
      <c r="F976" s="1">
        <v>51044</v>
      </c>
      <c r="G976">
        <f t="shared" si="16"/>
        <v>10</v>
      </c>
    </row>
    <row r="977" spans="6:8" ht="18.75" customHeight="1">
      <c r="F977" s="1">
        <v>51075</v>
      </c>
      <c r="G977">
        <f t="shared" si="16"/>
        <v>11</v>
      </c>
    </row>
    <row r="978" spans="6:8" ht="18.75" customHeight="1">
      <c r="F978" s="1">
        <v>51105</v>
      </c>
      <c r="G978">
        <f t="shared" si="16"/>
        <v>12</v>
      </c>
    </row>
    <row r="979" spans="6:8" ht="18.75" customHeight="1">
      <c r="F979" s="1">
        <v>51136</v>
      </c>
      <c r="G979">
        <f t="shared" si="16"/>
        <v>1</v>
      </c>
    </row>
    <row r="980" spans="6:8" ht="18.75" customHeight="1">
      <c r="F980" s="1">
        <v>51167</v>
      </c>
      <c r="G980">
        <f t="shared" si="16"/>
        <v>2</v>
      </c>
    </row>
    <row r="981" spans="6:8" ht="18.75" customHeight="1">
      <c r="F981" s="1">
        <v>51196</v>
      </c>
      <c r="G981">
        <f t="shared" si="16"/>
        <v>3</v>
      </c>
    </row>
    <row r="982" spans="6:8" ht="18.75" customHeight="1">
      <c r="F982" s="16">
        <v>51227</v>
      </c>
      <c r="G982" s="17">
        <f t="shared" si="16"/>
        <v>4</v>
      </c>
      <c r="H982" s="18"/>
    </row>
  </sheetData>
  <phoneticPr fontId="1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���0�0�0�0�0�0n0��fL0S0S0k0h�:yU0�0~0Y0�0�0�0�0
</file>

<file path=customXml/item2.xml>���0�0�0�0�0�0n0��fL0S0S0k0h�:yU0�0~0Y0
</file>

<file path=customXml/itemProps1.xml><?xml version="1.0" encoding="utf-8"?>
<ds:datastoreItem xmlns:ds="http://schemas.openxmlformats.org/officeDocument/2006/customXml" ds:itemID="{15B93396-9F0E-4307-A38D-7E53C9B99C35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00CF85DC-14E6-4905-A6FB-C9E225A976FC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7</vt:i4>
      </vt:variant>
    </vt:vector>
  </HeadingPairs>
  <TitlesOfParts>
    <vt:vector size="10" baseType="lpstr">
      <vt:lpstr>co2</vt:lpstr>
      <vt:lpstr>線形モデル</vt:lpstr>
      <vt:lpstr>2次多項式モデル</vt:lpstr>
      <vt:lpstr>'2次多項式モデル'!_A</vt:lpstr>
      <vt:lpstr>'2次多項式モデル'!_B</vt:lpstr>
      <vt:lpstr>線形モデル!_B</vt:lpstr>
      <vt:lpstr>'2次多項式モデル'!_C</vt:lpstr>
      <vt:lpstr>線形モデル!_C</vt:lpstr>
      <vt:lpstr>'2次多項式モデル'!Sm</vt:lpstr>
      <vt:lpstr>線形モデル!Sm</vt:lpstr>
    </vt:vector>
  </TitlesOfParts>
  <Company>Kobe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miura</dc:creator>
  <cp:lastModifiedBy>miura</cp:lastModifiedBy>
  <dcterms:created xsi:type="dcterms:W3CDTF">2021-09-17T04:25:10Z</dcterms:created>
  <dcterms:modified xsi:type="dcterms:W3CDTF">2024-11-18T03:47:38Z</dcterms:modified>
</cp:coreProperties>
</file>