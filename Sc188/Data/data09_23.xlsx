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E6A33928-2EC5-48D5-A062-FA0EB6B4BF45}" xr6:coauthVersionLast="47" xr6:coauthVersionMax="47" xr10:uidLastSave="{00000000-0000-0000-0000-000000000000}"/>
  <bookViews>
    <workbookView xWindow="-120" yWindow="525" windowWidth="29040" windowHeight="15195" tabRatio="710" xr2:uid="{F09E30F0-484D-4ADE-8C37-A4C3D44EF12A}"/>
  </bookViews>
  <sheets>
    <sheet name="co2" sheetId="1" r:id="rId1"/>
    <sheet name="線形モデル" sheetId="27" r:id="rId2"/>
    <sheet name="2次多項式モデル" sheetId="26" r:id="rId3"/>
    <sheet name="2次多項式モデル (2)" sheetId="28" r:id="rId4"/>
  </sheets>
  <definedNames>
    <definedName name="_A" localSheetId="2">'2次多項式モデル'!$B$7</definedName>
    <definedName name="_A" localSheetId="3">'2次多項式モデル (2)'!$B$7</definedName>
    <definedName name="_B" localSheetId="2">'2次多項式モデル'!$C$7</definedName>
    <definedName name="_B" localSheetId="3">'2次多項式モデル (2)'!$C$7</definedName>
    <definedName name="_B" localSheetId="1">線形モデル!$B$7</definedName>
    <definedName name="_C" localSheetId="2">'2次多項式モデル'!$D$7</definedName>
    <definedName name="_C" localSheetId="3">'2次多項式モデル (2)'!$D$7</definedName>
    <definedName name="_C" localSheetId="1">線形モデル!$C$7</definedName>
    <definedName name="_xlcn.WorksheetConnection_co2A1B7421" hidden="1">'co2'!$A$1:$B$742</definedName>
    <definedName name="Sm" localSheetId="2">'2次多項式モデル'!$B$12:$B$23</definedName>
    <definedName name="Sm" localSheetId="3">'2次多項式モデル (2)'!$B$12:$B$23</definedName>
    <definedName name="Sm" localSheetId="1">線形モデル!$B$12:$B$23</definedName>
    <definedName name="solver_adj" localSheetId="2" hidden="1">'2次多項式モデル'!$B$12:$B$23</definedName>
    <definedName name="solver_adj" localSheetId="3" hidden="1">'2次多項式モデル (2)'!$B$12:$B$23</definedName>
    <definedName name="solver_adj" localSheetId="1" hidden="1">線形モデル!$B$12:$B$23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lhs1" localSheetId="2" hidden="1">'2次多項式モデル'!$B$25</definedName>
    <definedName name="solver_lhs1" localSheetId="3" hidden="1">'2次多項式モデル (2)'!$B$25</definedName>
    <definedName name="solver_lhs1" localSheetId="1" hidden="1">線形モデル!$B$25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neg" localSheetId="2" hidden="1">2</definedName>
    <definedName name="solver_neg" localSheetId="3" hidden="1">2</definedName>
    <definedName name="solver_neg" localSheetId="1" hidden="1">2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um" localSheetId="2" hidden="1">1</definedName>
    <definedName name="solver_num" localSheetId="3" hidden="1">1</definedName>
    <definedName name="solver_num" localSheetId="1" hidden="1">1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opt" localSheetId="2" hidden="1">'2次多項式モデル'!$B$27</definedName>
    <definedName name="solver_opt" localSheetId="3" hidden="1">'2次多項式モデル (2)'!$B$27</definedName>
    <definedName name="solver_opt" localSheetId="1" hidden="1">線形モデル!$B$27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1" hidden="1">1</definedName>
    <definedName name="solver_rel1" localSheetId="2" hidden="1">2</definedName>
    <definedName name="solver_rel1" localSheetId="3" hidden="1">2</definedName>
    <definedName name="solver_rel1" localSheetId="1" hidden="1">2</definedName>
    <definedName name="solver_rhs1" localSheetId="2" hidden="1">0</definedName>
    <definedName name="solver_rhs1" localSheetId="3" hidden="1">0</definedName>
    <definedName name="solver_rhs1" localSheetId="1" hidden="1">0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yp" localSheetId="2" hidden="1">2</definedName>
    <definedName name="solver_typ" localSheetId="3" hidden="1">2</definedName>
    <definedName name="solver_typ" localSheetId="1" hidden="1">2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囲" name="範囲" connection="WorksheetConnection_co2!$A$1:$B$7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8" l="1" a="1"/>
  <c r="C7" i="28" s="1"/>
  <c r="G982" i="28"/>
  <c r="G981" i="28"/>
  <c r="G980" i="28"/>
  <c r="G979" i="28"/>
  <c r="G978" i="28"/>
  <c r="G977" i="28"/>
  <c r="G976" i="28"/>
  <c r="G975" i="28"/>
  <c r="G974" i="28"/>
  <c r="G973" i="28"/>
  <c r="G972" i="28"/>
  <c r="G971" i="28"/>
  <c r="G970" i="28"/>
  <c r="G969" i="28"/>
  <c r="G968" i="28"/>
  <c r="G967" i="28"/>
  <c r="G966" i="28"/>
  <c r="G965" i="28"/>
  <c r="G964" i="28"/>
  <c r="G963" i="28"/>
  <c r="G962" i="28"/>
  <c r="G961" i="28"/>
  <c r="G960" i="28"/>
  <c r="G959" i="28"/>
  <c r="G958" i="28"/>
  <c r="G957" i="28"/>
  <c r="G956" i="28"/>
  <c r="G955" i="28"/>
  <c r="G954" i="28"/>
  <c r="G953" i="28"/>
  <c r="G952" i="28"/>
  <c r="G951" i="28"/>
  <c r="G950" i="28"/>
  <c r="G949" i="28"/>
  <c r="G948" i="28"/>
  <c r="G947" i="28"/>
  <c r="G946" i="28"/>
  <c r="G945" i="28"/>
  <c r="G944" i="28"/>
  <c r="G943" i="28"/>
  <c r="G942" i="28"/>
  <c r="G941" i="28"/>
  <c r="G940" i="28"/>
  <c r="G939" i="28"/>
  <c r="G938" i="28"/>
  <c r="G937" i="28"/>
  <c r="G936" i="28"/>
  <c r="G935" i="28"/>
  <c r="G934" i="28"/>
  <c r="G933" i="28"/>
  <c r="G932" i="28"/>
  <c r="G931" i="28"/>
  <c r="G930" i="28"/>
  <c r="G929" i="28"/>
  <c r="G928" i="28"/>
  <c r="G927" i="28"/>
  <c r="G926" i="28"/>
  <c r="G925" i="28"/>
  <c r="G924" i="28"/>
  <c r="G923" i="28"/>
  <c r="G922" i="28"/>
  <c r="G921" i="28"/>
  <c r="G920" i="28"/>
  <c r="G919" i="28"/>
  <c r="G918" i="28"/>
  <c r="G917" i="28"/>
  <c r="G916" i="28"/>
  <c r="G915" i="28"/>
  <c r="G914" i="28"/>
  <c r="G913" i="28"/>
  <c r="G912" i="28"/>
  <c r="G911" i="28"/>
  <c r="G910" i="28"/>
  <c r="G909" i="28"/>
  <c r="G908" i="28"/>
  <c r="G907" i="28"/>
  <c r="G906" i="28"/>
  <c r="G905" i="28"/>
  <c r="G904" i="28"/>
  <c r="G903" i="28"/>
  <c r="G902" i="28"/>
  <c r="G901" i="28"/>
  <c r="G900" i="28"/>
  <c r="G899" i="28"/>
  <c r="G898" i="28"/>
  <c r="G897" i="28"/>
  <c r="G896" i="28"/>
  <c r="G895" i="28"/>
  <c r="G894" i="28"/>
  <c r="G893" i="28"/>
  <c r="G892" i="28"/>
  <c r="G891" i="28"/>
  <c r="G890" i="28"/>
  <c r="G889" i="28"/>
  <c r="G888" i="28"/>
  <c r="G887" i="28"/>
  <c r="G886" i="28"/>
  <c r="G885" i="28"/>
  <c r="G884" i="28"/>
  <c r="G883" i="28"/>
  <c r="G882" i="28"/>
  <c r="G881" i="28"/>
  <c r="G880" i="28"/>
  <c r="G879" i="28"/>
  <c r="G878" i="28"/>
  <c r="G877" i="28"/>
  <c r="G876" i="28"/>
  <c r="G875" i="28"/>
  <c r="G874" i="28"/>
  <c r="G873" i="28"/>
  <c r="G872" i="28"/>
  <c r="G871" i="28"/>
  <c r="G870" i="28"/>
  <c r="G869" i="28"/>
  <c r="G868" i="28"/>
  <c r="G867" i="28"/>
  <c r="G866" i="28"/>
  <c r="G865" i="28"/>
  <c r="G864" i="28"/>
  <c r="G863" i="28"/>
  <c r="G862" i="28"/>
  <c r="G861" i="28"/>
  <c r="G860" i="28"/>
  <c r="G859" i="28"/>
  <c r="G858" i="28"/>
  <c r="G857" i="28"/>
  <c r="G856" i="28"/>
  <c r="G855" i="28"/>
  <c r="G854" i="28"/>
  <c r="G853" i="28"/>
  <c r="G852" i="28"/>
  <c r="G851" i="28"/>
  <c r="G850" i="28"/>
  <c r="G849" i="28"/>
  <c r="G848" i="28"/>
  <c r="G847" i="28"/>
  <c r="G846" i="28"/>
  <c r="G845" i="28"/>
  <c r="G844" i="28"/>
  <c r="G843" i="28"/>
  <c r="G842" i="28"/>
  <c r="G841" i="28"/>
  <c r="G840" i="28"/>
  <c r="G839" i="28"/>
  <c r="G838" i="28"/>
  <c r="G837" i="28"/>
  <c r="G836" i="28"/>
  <c r="G835" i="28"/>
  <c r="G834" i="28"/>
  <c r="G833" i="28"/>
  <c r="G832" i="28"/>
  <c r="G831" i="28"/>
  <c r="G830" i="28"/>
  <c r="G829" i="28"/>
  <c r="G828" i="28"/>
  <c r="G827" i="28"/>
  <c r="G826" i="28"/>
  <c r="G825" i="28"/>
  <c r="G824" i="28"/>
  <c r="G823" i="28"/>
  <c r="G822" i="28"/>
  <c r="G821" i="28"/>
  <c r="G820" i="28"/>
  <c r="G819" i="28"/>
  <c r="G818" i="28"/>
  <c r="G817" i="28"/>
  <c r="G816" i="28"/>
  <c r="G815" i="28"/>
  <c r="G814" i="28"/>
  <c r="G813" i="28"/>
  <c r="G812" i="28"/>
  <c r="G811" i="28"/>
  <c r="G810" i="28"/>
  <c r="G809" i="28"/>
  <c r="G808" i="28"/>
  <c r="G807" i="28"/>
  <c r="G806" i="28"/>
  <c r="G805" i="28"/>
  <c r="G804" i="28"/>
  <c r="G803" i="28"/>
  <c r="G802" i="28"/>
  <c r="G801" i="28"/>
  <c r="G800" i="28"/>
  <c r="G799" i="28"/>
  <c r="G798" i="28"/>
  <c r="G797" i="28"/>
  <c r="G796" i="28"/>
  <c r="G795" i="28"/>
  <c r="G794" i="28"/>
  <c r="G793" i="28"/>
  <c r="G792" i="28"/>
  <c r="G791" i="28"/>
  <c r="G790" i="28"/>
  <c r="G789" i="28"/>
  <c r="G788" i="28"/>
  <c r="G787" i="28"/>
  <c r="G786" i="28"/>
  <c r="G785" i="28"/>
  <c r="G784" i="28"/>
  <c r="G783" i="28"/>
  <c r="G782" i="28"/>
  <c r="G781" i="28"/>
  <c r="G780" i="28"/>
  <c r="G779" i="28"/>
  <c r="G778" i="28"/>
  <c r="G777" i="28"/>
  <c r="G776" i="28"/>
  <c r="G775" i="28"/>
  <c r="G774" i="28"/>
  <c r="G773" i="28"/>
  <c r="G772" i="28"/>
  <c r="G771" i="28"/>
  <c r="G770" i="28"/>
  <c r="G769" i="28"/>
  <c r="G768" i="28"/>
  <c r="G767" i="28"/>
  <c r="G766" i="28"/>
  <c r="G765" i="28"/>
  <c r="G764" i="28"/>
  <c r="G763" i="28"/>
  <c r="G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34" i="28"/>
  <c r="G733" i="28"/>
  <c r="G732" i="28"/>
  <c r="G731" i="28"/>
  <c r="G730" i="28"/>
  <c r="G729" i="28"/>
  <c r="G728" i="28"/>
  <c r="G727" i="28"/>
  <c r="G726" i="28"/>
  <c r="G725" i="28"/>
  <c r="G724" i="28"/>
  <c r="G723" i="28"/>
  <c r="G722" i="28"/>
  <c r="G721" i="28"/>
  <c r="G720" i="28"/>
  <c r="G719" i="28"/>
  <c r="G718" i="28"/>
  <c r="G717" i="28"/>
  <c r="G716" i="28"/>
  <c r="G715" i="28"/>
  <c r="G714" i="28"/>
  <c r="G713" i="28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694" i="28"/>
  <c r="G693" i="28"/>
  <c r="G692" i="28"/>
  <c r="G691" i="28"/>
  <c r="G690" i="28"/>
  <c r="G689" i="28"/>
  <c r="G688" i="28"/>
  <c r="G687" i="28"/>
  <c r="G686" i="28"/>
  <c r="G685" i="28"/>
  <c r="G684" i="28"/>
  <c r="G683" i="28"/>
  <c r="G682" i="28"/>
  <c r="G681" i="28"/>
  <c r="G680" i="28"/>
  <c r="G679" i="28"/>
  <c r="G678" i="28"/>
  <c r="G677" i="28"/>
  <c r="G676" i="28"/>
  <c r="G675" i="28"/>
  <c r="G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7" i="28"/>
  <c r="G646" i="28"/>
  <c r="G645" i="28"/>
  <c r="G644" i="28"/>
  <c r="G643" i="28"/>
  <c r="G642" i="28"/>
  <c r="G641" i="28"/>
  <c r="G640" i="28"/>
  <c r="G639" i="28"/>
  <c r="G638" i="28"/>
  <c r="G637" i="28"/>
  <c r="G636" i="28"/>
  <c r="G635" i="28"/>
  <c r="G634" i="28"/>
  <c r="G633" i="28"/>
  <c r="G632" i="28"/>
  <c r="G631" i="28"/>
  <c r="G630" i="28"/>
  <c r="G629" i="28"/>
  <c r="G628" i="28"/>
  <c r="G627" i="28"/>
  <c r="G626" i="28"/>
  <c r="G625" i="28"/>
  <c r="G624" i="28"/>
  <c r="G623" i="28"/>
  <c r="G622" i="28"/>
  <c r="G621" i="28"/>
  <c r="G620" i="28"/>
  <c r="G619" i="28"/>
  <c r="G618" i="28"/>
  <c r="G617" i="28"/>
  <c r="G616" i="28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599" i="28"/>
  <c r="G598" i="28"/>
  <c r="G597" i="28"/>
  <c r="G596" i="28"/>
  <c r="G595" i="28"/>
  <c r="G594" i="28"/>
  <c r="G593" i="28"/>
  <c r="G592" i="28"/>
  <c r="G591" i="28"/>
  <c r="G590" i="28"/>
  <c r="G589" i="28"/>
  <c r="G588" i="28"/>
  <c r="G587" i="28"/>
  <c r="G586" i="28"/>
  <c r="G585" i="28"/>
  <c r="G584" i="28"/>
  <c r="G583" i="28"/>
  <c r="G582" i="28"/>
  <c r="G581" i="28"/>
  <c r="G580" i="28"/>
  <c r="G579" i="28"/>
  <c r="G578" i="28"/>
  <c r="G577" i="28"/>
  <c r="G576" i="28"/>
  <c r="G575" i="28"/>
  <c r="G574" i="28"/>
  <c r="G573" i="28"/>
  <c r="G572" i="28"/>
  <c r="G571" i="28"/>
  <c r="G570" i="28"/>
  <c r="G569" i="28"/>
  <c r="G568" i="28"/>
  <c r="G567" i="28"/>
  <c r="G566" i="28"/>
  <c r="G565" i="28"/>
  <c r="G564" i="28"/>
  <c r="G563" i="28"/>
  <c r="G562" i="28"/>
  <c r="G561" i="28"/>
  <c r="G560" i="28"/>
  <c r="G559" i="28"/>
  <c r="G558" i="28"/>
  <c r="G557" i="28"/>
  <c r="G556" i="28"/>
  <c r="G555" i="28"/>
  <c r="G554" i="28"/>
  <c r="G553" i="28"/>
  <c r="G552" i="28"/>
  <c r="G551" i="28"/>
  <c r="G550" i="28"/>
  <c r="G549" i="28"/>
  <c r="G548" i="28"/>
  <c r="G547" i="28"/>
  <c r="G546" i="28"/>
  <c r="G545" i="28"/>
  <c r="G544" i="28"/>
  <c r="G543" i="28"/>
  <c r="G542" i="28"/>
  <c r="G541" i="28"/>
  <c r="G540" i="28"/>
  <c r="G539" i="28"/>
  <c r="G538" i="28"/>
  <c r="G537" i="28"/>
  <c r="G536" i="28"/>
  <c r="G535" i="28"/>
  <c r="G534" i="28"/>
  <c r="G533" i="28"/>
  <c r="G532" i="28"/>
  <c r="G531" i="28"/>
  <c r="G530" i="28"/>
  <c r="G529" i="28"/>
  <c r="G528" i="28"/>
  <c r="G527" i="28"/>
  <c r="G526" i="28"/>
  <c r="G525" i="28"/>
  <c r="G524" i="28"/>
  <c r="G523" i="28"/>
  <c r="G522" i="28"/>
  <c r="G521" i="28"/>
  <c r="G520" i="28"/>
  <c r="G519" i="28"/>
  <c r="G518" i="28"/>
  <c r="G517" i="28"/>
  <c r="G516" i="28"/>
  <c r="G515" i="28"/>
  <c r="G514" i="28"/>
  <c r="G513" i="28"/>
  <c r="G512" i="28"/>
  <c r="G511" i="28"/>
  <c r="G510" i="28"/>
  <c r="G509" i="28"/>
  <c r="G508" i="28"/>
  <c r="G507" i="28"/>
  <c r="G506" i="28"/>
  <c r="G505" i="28"/>
  <c r="G504" i="28"/>
  <c r="G503" i="28"/>
  <c r="G502" i="28"/>
  <c r="G501" i="28"/>
  <c r="G500" i="28"/>
  <c r="G499" i="28"/>
  <c r="G498" i="28"/>
  <c r="G497" i="28"/>
  <c r="G496" i="28"/>
  <c r="G495" i="28"/>
  <c r="G494" i="28"/>
  <c r="G493" i="28"/>
  <c r="G492" i="28"/>
  <c r="G491" i="28"/>
  <c r="G490" i="28"/>
  <c r="G489" i="28"/>
  <c r="G488" i="28"/>
  <c r="G487" i="28"/>
  <c r="G486" i="28"/>
  <c r="G485" i="28"/>
  <c r="G484" i="28"/>
  <c r="G483" i="28"/>
  <c r="G482" i="28"/>
  <c r="G481" i="28"/>
  <c r="G480" i="28"/>
  <c r="G479" i="28"/>
  <c r="G478" i="28"/>
  <c r="G477" i="28"/>
  <c r="G476" i="28"/>
  <c r="G475" i="28"/>
  <c r="G474" i="28"/>
  <c r="G473" i="28"/>
  <c r="G472" i="28"/>
  <c r="G471" i="28"/>
  <c r="G470" i="28"/>
  <c r="G469" i="28"/>
  <c r="G468" i="28"/>
  <c r="G467" i="28"/>
  <c r="G466" i="28"/>
  <c r="G465" i="28"/>
  <c r="G464" i="28"/>
  <c r="G463" i="28"/>
  <c r="G462" i="28"/>
  <c r="G461" i="28"/>
  <c r="G460" i="28"/>
  <c r="G459" i="28"/>
  <c r="G458" i="28"/>
  <c r="G457" i="28"/>
  <c r="G456" i="28"/>
  <c r="G455" i="28"/>
  <c r="G454" i="28"/>
  <c r="G453" i="28"/>
  <c r="G452" i="28"/>
  <c r="G451" i="28"/>
  <c r="G450" i="28"/>
  <c r="G449" i="28"/>
  <c r="G448" i="28"/>
  <c r="G447" i="28"/>
  <c r="G446" i="28"/>
  <c r="G445" i="28"/>
  <c r="G444" i="28"/>
  <c r="G443" i="28"/>
  <c r="G442" i="28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4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" i="28"/>
  <c r="B7" i="26" a="1"/>
  <c r="B7" i="26" s="1"/>
  <c r="B7" i="27" a="1"/>
  <c r="C7" i="27" s="1"/>
  <c r="D7" i="28" l="1"/>
  <c r="B7" i="28"/>
  <c r="D7" i="26"/>
  <c r="C7" i="26"/>
  <c r="B7" i="27"/>
  <c r="I980" i="28" l="1"/>
  <c r="I976" i="28"/>
  <c r="I972" i="28"/>
  <c r="I968" i="28"/>
  <c r="I964" i="28"/>
  <c r="I960" i="28"/>
  <c r="I956" i="28"/>
  <c r="I981" i="28"/>
  <c r="I977" i="28"/>
  <c r="I973" i="28"/>
  <c r="I969" i="28"/>
  <c r="I965" i="28"/>
  <c r="I961" i="28"/>
  <c r="I957" i="28"/>
  <c r="I953" i="28"/>
  <c r="I949" i="28"/>
  <c r="I945" i="28"/>
  <c r="I940" i="28"/>
  <c r="I937" i="28"/>
  <c r="I932" i="28"/>
  <c r="I929" i="28"/>
  <c r="I924" i="28"/>
  <c r="I921" i="28"/>
  <c r="I916" i="28"/>
  <c r="I913" i="28"/>
  <c r="I908" i="28"/>
  <c r="I905" i="28"/>
  <c r="I900" i="28"/>
  <c r="I897" i="28"/>
  <c r="I895" i="28"/>
  <c r="I892" i="28"/>
  <c r="I889" i="28"/>
  <c r="I887" i="28"/>
  <c r="I884" i="28"/>
  <c r="I881" i="28"/>
  <c r="I879" i="28"/>
  <c r="I876" i="28"/>
  <c r="I873" i="28"/>
  <c r="I871" i="28"/>
  <c r="I868" i="28"/>
  <c r="I865" i="28"/>
  <c r="I863" i="28"/>
  <c r="I860" i="28"/>
  <c r="I857" i="28"/>
  <c r="I855" i="28"/>
  <c r="I982" i="28"/>
  <c r="I974" i="28"/>
  <c r="I966" i="28"/>
  <c r="I958" i="28"/>
  <c r="I951" i="28"/>
  <c r="I935" i="28"/>
  <c r="I933" i="28"/>
  <c r="I931" i="28"/>
  <c r="I922" i="28"/>
  <c r="I920" i="28"/>
  <c r="I918" i="28"/>
  <c r="I903" i="28"/>
  <c r="I901" i="28"/>
  <c r="I899" i="28"/>
  <c r="I890" i="28"/>
  <c r="I888" i="28"/>
  <c r="I886" i="28"/>
  <c r="I875" i="28"/>
  <c r="I869" i="28"/>
  <c r="I858" i="28"/>
  <c r="I856" i="28"/>
  <c r="I854" i="28"/>
  <c r="I846" i="28"/>
  <c r="I838" i="28"/>
  <c r="I830" i="28"/>
  <c r="I822" i="28"/>
  <c r="I812" i="28"/>
  <c r="I979" i="28"/>
  <c r="I971" i="28"/>
  <c r="I963" i="28"/>
  <c r="I955" i="28"/>
  <c r="I947" i="28"/>
  <c r="I943" i="28"/>
  <c r="I941" i="28"/>
  <c r="I939" i="28"/>
  <c r="I930" i="28"/>
  <c r="I928" i="28"/>
  <c r="I926" i="28"/>
  <c r="I911" i="28"/>
  <c r="I909" i="28"/>
  <c r="I907" i="28"/>
  <c r="I898" i="28"/>
  <c r="I896" i="28"/>
  <c r="I894" i="28"/>
  <c r="I883" i="28"/>
  <c r="I877" i="28"/>
  <c r="I866" i="28"/>
  <c r="I864" i="28"/>
  <c r="I862" i="28"/>
  <c r="I852" i="28"/>
  <c r="I849" i="28"/>
  <c r="I847" i="28"/>
  <c r="I844" i="28"/>
  <c r="I841" i="28"/>
  <c r="I839" i="28"/>
  <c r="I836" i="28"/>
  <c r="I833" i="28"/>
  <c r="I831" i="28"/>
  <c r="I828" i="28"/>
  <c r="I825" i="28"/>
  <c r="I823" i="28"/>
  <c r="I820" i="28"/>
  <c r="I817" i="28"/>
  <c r="I815" i="28"/>
  <c r="I808" i="28"/>
  <c r="I806" i="28"/>
  <c r="I801" i="28"/>
  <c r="I799" i="28"/>
  <c r="I792" i="28"/>
  <c r="I790" i="28"/>
  <c r="I785" i="28"/>
  <c r="I783" i="28"/>
  <c r="I776" i="28"/>
  <c r="I774" i="28"/>
  <c r="I769" i="28"/>
  <c r="I767" i="28"/>
  <c r="I760" i="28"/>
  <c r="I758" i="28"/>
  <c r="I753" i="28"/>
  <c r="I970" i="28"/>
  <c r="I954" i="28"/>
  <c r="I950" i="28"/>
  <c r="I938" i="28"/>
  <c r="I934" i="28"/>
  <c r="I975" i="28"/>
  <c r="I959" i="28"/>
  <c r="I946" i="28"/>
  <c r="I942" i="28"/>
  <c r="I925" i="28"/>
  <c r="I912" i="28"/>
  <c r="I882" i="28"/>
  <c r="I878" i="28"/>
  <c r="I861" i="28"/>
  <c r="I853" i="28"/>
  <c r="I843" i="28"/>
  <c r="I840" i="28"/>
  <c r="I837" i="28"/>
  <c r="I827" i="28"/>
  <c r="I824" i="28"/>
  <c r="I821" i="28"/>
  <c r="I814" i="28"/>
  <c r="I794" i="28"/>
  <c r="I787" i="28"/>
  <c r="I782" i="28"/>
  <c r="I780" i="28"/>
  <c r="I775" i="28"/>
  <c r="I773" i="28"/>
  <c r="I770" i="28"/>
  <c r="I768" i="28"/>
  <c r="I763" i="28"/>
  <c r="I761" i="28"/>
  <c r="I756" i="28"/>
  <c r="I740" i="28"/>
  <c r="J740" i="28" s="1"/>
  <c r="I736" i="28"/>
  <c r="J736" i="28" s="1"/>
  <c r="I732" i="28"/>
  <c r="J732" i="28" s="1"/>
  <c r="I728" i="28"/>
  <c r="J728" i="28" s="1"/>
  <c r="I724" i="28"/>
  <c r="J724" i="28" s="1"/>
  <c r="I720" i="28"/>
  <c r="J720" i="28" s="1"/>
  <c r="I716" i="28"/>
  <c r="J716" i="28" s="1"/>
  <c r="I712" i="28"/>
  <c r="J712" i="28" s="1"/>
  <c r="I708" i="28"/>
  <c r="J708" i="28" s="1"/>
  <c r="I704" i="28"/>
  <c r="J704" i="28" s="1"/>
  <c r="I698" i="28"/>
  <c r="J698" i="28" s="1"/>
  <c r="I695" i="28"/>
  <c r="J695" i="28" s="1"/>
  <c r="I692" i="28"/>
  <c r="J692" i="28" s="1"/>
  <c r="I688" i="28"/>
  <c r="J688" i="28" s="1"/>
  <c r="I686" i="28"/>
  <c r="J686" i="28" s="1"/>
  <c r="I683" i="28"/>
  <c r="J683" i="28" s="1"/>
  <c r="I678" i="28"/>
  <c r="J678" i="28" s="1"/>
  <c r="I675" i="28"/>
  <c r="J675" i="28" s="1"/>
  <c r="I670" i="28"/>
  <c r="J670" i="28" s="1"/>
  <c r="I667" i="28"/>
  <c r="J667" i="28" s="1"/>
  <c r="I661" i="28"/>
  <c r="J661" i="28" s="1"/>
  <c r="I658" i="28"/>
  <c r="J658" i="28" s="1"/>
  <c r="I655" i="28"/>
  <c r="J655" i="28" s="1"/>
  <c r="I651" i="28"/>
  <c r="J651" i="28" s="1"/>
  <c r="I647" i="28"/>
  <c r="J647" i="28" s="1"/>
  <c r="I643" i="28"/>
  <c r="J643" i="28" s="1"/>
  <c r="I639" i="28"/>
  <c r="J639" i="28" s="1"/>
  <c r="I635" i="28"/>
  <c r="J635" i="28" s="1"/>
  <c r="I631" i="28"/>
  <c r="J631" i="28" s="1"/>
  <c r="I627" i="28"/>
  <c r="J627" i="28" s="1"/>
  <c r="I623" i="28"/>
  <c r="J623" i="28" s="1"/>
  <c r="I619" i="28"/>
  <c r="J619" i="28" s="1"/>
  <c r="I615" i="28"/>
  <c r="J615" i="28" s="1"/>
  <c r="I611" i="28"/>
  <c r="J611" i="28" s="1"/>
  <c r="I607" i="28"/>
  <c r="J607" i="28" s="1"/>
  <c r="I603" i="28"/>
  <c r="J603" i="28" s="1"/>
  <c r="I599" i="28"/>
  <c r="J599" i="28" s="1"/>
  <c r="I595" i="28"/>
  <c r="J595" i="28" s="1"/>
  <c r="I591" i="28"/>
  <c r="J591" i="28" s="1"/>
  <c r="I588" i="28"/>
  <c r="J588" i="28" s="1"/>
  <c r="I584" i="28"/>
  <c r="J584" i="28" s="1"/>
  <c r="I581" i="28"/>
  <c r="J581" i="28" s="1"/>
  <c r="I578" i="28"/>
  <c r="J578" i="28" s="1"/>
  <c r="I575" i="28"/>
  <c r="J575" i="28" s="1"/>
  <c r="I572" i="28"/>
  <c r="J572" i="28" s="1"/>
  <c r="I568" i="28"/>
  <c r="J568" i="28" s="1"/>
  <c r="I565" i="28"/>
  <c r="J565" i="28" s="1"/>
  <c r="I563" i="28"/>
  <c r="J563" i="28" s="1"/>
  <c r="I561" i="28"/>
  <c r="J561" i="28" s="1"/>
  <c r="I559" i="28"/>
  <c r="J559" i="28" s="1"/>
  <c r="I557" i="28"/>
  <c r="J557" i="28" s="1"/>
  <c r="I555" i="28"/>
  <c r="J555" i="28" s="1"/>
  <c r="I553" i="28"/>
  <c r="J553" i="28" s="1"/>
  <c r="I551" i="28"/>
  <c r="J551" i="28" s="1"/>
  <c r="I549" i="28"/>
  <c r="J549" i="28" s="1"/>
  <c r="I547" i="28"/>
  <c r="J547" i="28" s="1"/>
  <c r="I545" i="28"/>
  <c r="J545" i="28" s="1"/>
  <c r="I543" i="28"/>
  <c r="J543" i="28" s="1"/>
  <c r="I541" i="28"/>
  <c r="J541" i="28" s="1"/>
  <c r="I539" i="28"/>
  <c r="J539" i="28" s="1"/>
  <c r="I537" i="28"/>
  <c r="J537" i="28" s="1"/>
  <c r="I535" i="28"/>
  <c r="J535" i="28" s="1"/>
  <c r="I533" i="28"/>
  <c r="J533" i="28" s="1"/>
  <c r="I531" i="28"/>
  <c r="J531" i="28" s="1"/>
  <c r="I529" i="28"/>
  <c r="J529" i="28" s="1"/>
  <c r="I527" i="28"/>
  <c r="J527" i="28" s="1"/>
  <c r="I525" i="28"/>
  <c r="J525" i="28" s="1"/>
  <c r="I523" i="28"/>
  <c r="J523" i="28" s="1"/>
  <c r="I521" i="28"/>
  <c r="J521" i="28" s="1"/>
  <c r="I519" i="28"/>
  <c r="J519" i="28" s="1"/>
  <c r="I517" i="28"/>
  <c r="J517" i="28" s="1"/>
  <c r="I515" i="28"/>
  <c r="J515" i="28" s="1"/>
  <c r="I513" i="28"/>
  <c r="J513" i="28" s="1"/>
  <c r="I511" i="28"/>
  <c r="J511" i="28" s="1"/>
  <c r="I509" i="28"/>
  <c r="J509" i="28" s="1"/>
  <c r="I507" i="28"/>
  <c r="J507" i="28" s="1"/>
  <c r="I505" i="28"/>
  <c r="J505" i="28" s="1"/>
  <c r="I500" i="28"/>
  <c r="J500" i="28" s="1"/>
  <c r="I497" i="28"/>
  <c r="J497" i="28" s="1"/>
  <c r="I492" i="28"/>
  <c r="J492" i="28" s="1"/>
  <c r="I489" i="28"/>
  <c r="J489" i="28" s="1"/>
  <c r="I484" i="28"/>
  <c r="J484" i="28" s="1"/>
  <c r="I481" i="28"/>
  <c r="J481" i="28" s="1"/>
  <c r="I476" i="28"/>
  <c r="J476" i="28" s="1"/>
  <c r="I473" i="28"/>
  <c r="J473" i="28" s="1"/>
  <c r="I468" i="28"/>
  <c r="J468" i="28" s="1"/>
  <c r="I465" i="28"/>
  <c r="J465" i="28" s="1"/>
  <c r="I460" i="28"/>
  <c r="J460" i="28" s="1"/>
  <c r="I978" i="28"/>
  <c r="I919" i="28"/>
  <c r="I914" i="28"/>
  <c r="I902" i="28"/>
  <c r="I891" i="28"/>
  <c r="I885" i="28"/>
  <c r="I880" i="28"/>
  <c r="I874" i="28"/>
  <c r="I848" i="28"/>
  <c r="I835" i="28"/>
  <c r="I826" i="28"/>
  <c r="I818" i="28"/>
  <c r="I813" i="28"/>
  <c r="I803" i="28"/>
  <c r="I800" i="28"/>
  <c r="I797" i="28"/>
  <c r="I784" i="28"/>
  <c r="I781" i="28"/>
  <c r="I778" i="28"/>
  <c r="I765" i="28"/>
  <c r="I762" i="28"/>
  <c r="I759" i="28"/>
  <c r="I750" i="28"/>
  <c r="I747" i="28"/>
  <c r="I741" i="28"/>
  <c r="J741" i="28" s="1"/>
  <c r="I735" i="28"/>
  <c r="J735" i="28" s="1"/>
  <c r="I730" i="28"/>
  <c r="J730" i="28" s="1"/>
  <c r="I725" i="28"/>
  <c r="J725" i="28" s="1"/>
  <c r="I719" i="28"/>
  <c r="J719" i="28" s="1"/>
  <c r="I714" i="28"/>
  <c r="J714" i="28" s="1"/>
  <c r="I709" i="28"/>
  <c r="J709" i="28" s="1"/>
  <c r="I700" i="28"/>
  <c r="J700" i="28" s="1"/>
  <c r="I691" i="28"/>
  <c r="J691" i="28" s="1"/>
  <c r="I687" i="28"/>
  <c r="J687" i="28" s="1"/>
  <c r="I684" i="28"/>
  <c r="J684" i="28" s="1"/>
  <c r="I680" i="28"/>
  <c r="J680" i="28" s="1"/>
  <c r="I673" i="28"/>
  <c r="J673" i="28" s="1"/>
  <c r="I669" i="28"/>
  <c r="J669" i="28" s="1"/>
  <c r="I666" i="28"/>
  <c r="J666" i="28" s="1"/>
  <c r="I662" i="28"/>
  <c r="J662" i="28" s="1"/>
  <c r="I657" i="28"/>
  <c r="J657" i="28" s="1"/>
  <c r="I653" i="28"/>
  <c r="J653" i="28" s="1"/>
  <c r="I648" i="28"/>
  <c r="J648" i="28" s="1"/>
  <c r="I642" i="28"/>
  <c r="J642" i="28" s="1"/>
  <c r="I637" i="28"/>
  <c r="J637" i="28" s="1"/>
  <c r="I632" i="28"/>
  <c r="J632" i="28" s="1"/>
  <c r="I626" i="28"/>
  <c r="J626" i="28" s="1"/>
  <c r="I621" i="28"/>
  <c r="J621" i="28" s="1"/>
  <c r="I616" i="28"/>
  <c r="J616" i="28" s="1"/>
  <c r="I610" i="28"/>
  <c r="J610" i="28" s="1"/>
  <c r="I605" i="28"/>
  <c r="J605" i="28" s="1"/>
  <c r="I600" i="28"/>
  <c r="J600" i="28" s="1"/>
  <c r="I594" i="28"/>
  <c r="J594" i="28" s="1"/>
  <c r="I590" i="28"/>
  <c r="J590" i="28" s="1"/>
  <c r="I585" i="28"/>
  <c r="J585" i="28" s="1"/>
  <c r="I567" i="28"/>
  <c r="J567" i="28" s="1"/>
  <c r="I564" i="28"/>
  <c r="J564" i="28" s="1"/>
  <c r="I556" i="28"/>
  <c r="J556" i="28" s="1"/>
  <c r="I548" i="28"/>
  <c r="J548" i="28" s="1"/>
  <c r="I540" i="28"/>
  <c r="J540" i="28" s="1"/>
  <c r="I532" i="28"/>
  <c r="J532" i="28" s="1"/>
  <c r="I524" i="28"/>
  <c r="J524" i="28" s="1"/>
  <c r="I516" i="28"/>
  <c r="J516" i="28" s="1"/>
  <c r="I508" i="28"/>
  <c r="J508" i="28" s="1"/>
  <c r="I502" i="28"/>
  <c r="J502" i="28" s="1"/>
  <c r="I495" i="28"/>
  <c r="J495" i="28" s="1"/>
  <c r="I491" i="28"/>
  <c r="J491" i="28" s="1"/>
  <c r="I488" i="28"/>
  <c r="J488" i="28" s="1"/>
  <c r="I477" i="28"/>
  <c r="J477" i="28" s="1"/>
  <c r="I474" i="28"/>
  <c r="J474" i="28" s="1"/>
  <c r="I470" i="28"/>
  <c r="J470" i="28" s="1"/>
  <c r="I463" i="28"/>
  <c r="J463" i="28" s="1"/>
  <c r="I459" i="28"/>
  <c r="J459" i="28" s="1"/>
  <c r="I454" i="28"/>
  <c r="J454" i="28" s="1"/>
  <c r="I451" i="28"/>
  <c r="J451" i="28" s="1"/>
  <c r="I446" i="28"/>
  <c r="J446" i="28" s="1"/>
  <c r="I443" i="28"/>
  <c r="J443" i="28" s="1"/>
  <c r="I440" i="28"/>
  <c r="J440" i="28" s="1"/>
  <c r="I438" i="28"/>
  <c r="J438" i="28" s="1"/>
  <c r="I436" i="28"/>
  <c r="J436" i="28" s="1"/>
  <c r="I434" i="28"/>
  <c r="J434" i="28" s="1"/>
  <c r="I432" i="28"/>
  <c r="J432" i="28" s="1"/>
  <c r="I430" i="28"/>
  <c r="J430" i="28" s="1"/>
  <c r="I428" i="28"/>
  <c r="J428" i="28" s="1"/>
  <c r="I426" i="28"/>
  <c r="J426" i="28" s="1"/>
  <c r="I424" i="28"/>
  <c r="J424" i="28" s="1"/>
  <c r="I422" i="28"/>
  <c r="J422" i="28" s="1"/>
  <c r="I417" i="28"/>
  <c r="J417" i="28" s="1"/>
  <c r="I414" i="28"/>
  <c r="J414" i="28" s="1"/>
  <c r="I409" i="28"/>
  <c r="J409" i="28" s="1"/>
  <c r="I406" i="28"/>
  <c r="J406" i="28" s="1"/>
  <c r="I401" i="28"/>
  <c r="J401" i="28" s="1"/>
  <c r="I398" i="28"/>
  <c r="J398" i="28" s="1"/>
  <c r="I393" i="28"/>
  <c r="J393" i="28" s="1"/>
  <c r="I390" i="28"/>
  <c r="J390" i="28" s="1"/>
  <c r="I385" i="28"/>
  <c r="J385" i="28" s="1"/>
  <c r="I382" i="28"/>
  <c r="J382" i="28" s="1"/>
  <c r="I379" i="28"/>
  <c r="J379" i="28" s="1"/>
  <c r="I372" i="28"/>
  <c r="J372" i="28" s="1"/>
  <c r="I369" i="28"/>
  <c r="J369" i="28" s="1"/>
  <c r="I366" i="28"/>
  <c r="J366" i="28" s="1"/>
  <c r="I363" i="28"/>
  <c r="J363" i="28" s="1"/>
  <c r="I356" i="28"/>
  <c r="J356" i="28" s="1"/>
  <c r="I353" i="28"/>
  <c r="J353" i="28" s="1"/>
  <c r="I350" i="28"/>
  <c r="J350" i="28" s="1"/>
  <c r="I347" i="28"/>
  <c r="J347" i="28" s="1"/>
  <c r="I343" i="28"/>
  <c r="J343" i="28" s="1"/>
  <c r="I340" i="28"/>
  <c r="J340" i="28" s="1"/>
  <c r="I337" i="28"/>
  <c r="J337" i="28" s="1"/>
  <c r="I967" i="28"/>
  <c r="I948" i="28"/>
  <c r="I906" i="28"/>
  <c r="I872" i="28"/>
  <c r="I867" i="28"/>
  <c r="I851" i="28"/>
  <c r="I842" i="28"/>
  <c r="I834" i="28"/>
  <c r="I809" i="28"/>
  <c r="I802" i="28"/>
  <c r="I796" i="28"/>
  <c r="I793" i="28"/>
  <c r="I786" i="28"/>
  <c r="I777" i="28"/>
  <c r="I771" i="28"/>
  <c r="I755" i="28"/>
  <c r="I752" i="28"/>
  <c r="I749" i="28"/>
  <c r="I744" i="28"/>
  <c r="I739" i="28"/>
  <c r="J739" i="28" s="1"/>
  <c r="I734" i="28"/>
  <c r="J734" i="28" s="1"/>
  <c r="I729" i="28"/>
  <c r="J729" i="28" s="1"/>
  <c r="I723" i="28"/>
  <c r="J723" i="28" s="1"/>
  <c r="I718" i="28"/>
  <c r="J718" i="28" s="1"/>
  <c r="I713" i="28"/>
  <c r="J713" i="28" s="1"/>
  <c r="I707" i="28"/>
  <c r="J707" i="28" s="1"/>
  <c r="I703" i="28"/>
  <c r="J703" i="28" s="1"/>
  <c r="I699" i="28"/>
  <c r="J699" i="28" s="1"/>
  <c r="I694" i="28"/>
  <c r="J694" i="28" s="1"/>
  <c r="I690" i="28"/>
  <c r="J690" i="28" s="1"/>
  <c r="I679" i="28"/>
  <c r="J679" i="28" s="1"/>
  <c r="I676" i="28"/>
  <c r="J676" i="28" s="1"/>
  <c r="I672" i="28"/>
  <c r="J672" i="28" s="1"/>
  <c r="I665" i="28"/>
  <c r="J665" i="28" s="1"/>
  <c r="I652" i="28"/>
  <c r="J652" i="28" s="1"/>
  <c r="I646" i="28"/>
  <c r="J646" i="28" s="1"/>
  <c r="I641" i="28"/>
  <c r="J641" i="28" s="1"/>
  <c r="I636" i="28"/>
  <c r="J636" i="28" s="1"/>
  <c r="I630" i="28"/>
  <c r="J630" i="28" s="1"/>
  <c r="I625" i="28"/>
  <c r="J625" i="28" s="1"/>
  <c r="I620" i="28"/>
  <c r="J620" i="28" s="1"/>
  <c r="I614" i="28"/>
  <c r="J614" i="28" s="1"/>
  <c r="I609" i="28"/>
  <c r="J609" i="28" s="1"/>
  <c r="I604" i="28"/>
  <c r="J604" i="28" s="1"/>
  <c r="I598" i="28"/>
  <c r="J598" i="28" s="1"/>
  <c r="I593" i="28"/>
  <c r="J593" i="28" s="1"/>
  <c r="I589" i="28"/>
  <c r="J589" i="28" s="1"/>
  <c r="I583" i="28"/>
  <c r="J583" i="28" s="1"/>
  <c r="I580" i="28"/>
  <c r="J580" i="28" s="1"/>
  <c r="I576" i="28"/>
  <c r="J576" i="28" s="1"/>
  <c r="I571" i="28"/>
  <c r="J571" i="28" s="1"/>
  <c r="I558" i="28"/>
  <c r="J558" i="28" s="1"/>
  <c r="I550" i="28"/>
  <c r="J550" i="28" s="1"/>
  <c r="I542" i="28"/>
  <c r="J542" i="28" s="1"/>
  <c r="I534" i="28"/>
  <c r="J534" i="28" s="1"/>
  <c r="I526" i="28"/>
  <c r="J526" i="28" s="1"/>
  <c r="I518" i="28"/>
  <c r="J518" i="28" s="1"/>
  <c r="I510" i="28"/>
  <c r="J510" i="28" s="1"/>
  <c r="I501" i="28"/>
  <c r="J501" i="28" s="1"/>
  <c r="I498" i="28"/>
  <c r="J498" i="28" s="1"/>
  <c r="I494" i="28"/>
  <c r="J494" i="28" s="1"/>
  <c r="I487" i="28"/>
  <c r="J487" i="28" s="1"/>
  <c r="I483" i="28"/>
  <c r="J483" i="28" s="1"/>
  <c r="I480" i="28"/>
  <c r="J480" i="28" s="1"/>
  <c r="I469" i="28"/>
  <c r="J469" i="28" s="1"/>
  <c r="I466" i="28"/>
  <c r="J466" i="28" s="1"/>
  <c r="I462" i="28"/>
  <c r="J462" i="28" s="1"/>
  <c r="I456" i="28"/>
  <c r="J456" i="28" s="1"/>
  <c r="I453" i="28"/>
  <c r="J453" i="28" s="1"/>
  <c r="I448" i="28"/>
  <c r="J448" i="28" s="1"/>
  <c r="I445" i="28"/>
  <c r="J445" i="28" s="1"/>
  <c r="I442" i="28"/>
  <c r="J442" i="28" s="1"/>
  <c r="I419" i="28"/>
  <c r="J419" i="28" s="1"/>
  <c r="I416" i="28"/>
  <c r="J416" i="28" s="1"/>
  <c r="I411" i="28"/>
  <c r="J411" i="28" s="1"/>
  <c r="I408" i="28"/>
  <c r="J408" i="28" s="1"/>
  <c r="I403" i="28"/>
  <c r="J403" i="28" s="1"/>
  <c r="I400" i="28"/>
  <c r="J400" i="28" s="1"/>
  <c r="I395" i="28"/>
  <c r="J395" i="28" s="1"/>
  <c r="I392" i="28"/>
  <c r="J392" i="28" s="1"/>
  <c r="I387" i="28"/>
  <c r="J387" i="28" s="1"/>
  <c r="I384" i="28"/>
  <c r="J384" i="28" s="1"/>
  <c r="I381" i="28"/>
  <c r="J381" i="28" s="1"/>
  <c r="I378" i="28"/>
  <c r="J378" i="28" s="1"/>
  <c r="I375" i="28"/>
  <c r="J375" i="28" s="1"/>
  <c r="I368" i="28"/>
  <c r="J368" i="28" s="1"/>
  <c r="I365" i="28"/>
  <c r="J365" i="28" s="1"/>
  <c r="I362" i="28"/>
  <c r="J362" i="28" s="1"/>
  <c r="I359" i="28"/>
  <c r="J359" i="28" s="1"/>
  <c r="I352" i="28"/>
  <c r="J352" i="28" s="1"/>
  <c r="I349" i="28"/>
  <c r="J349" i="28" s="1"/>
  <c r="I346" i="28"/>
  <c r="J346" i="28" s="1"/>
  <c r="I342" i="28"/>
  <c r="J342" i="28" s="1"/>
  <c r="I339" i="28"/>
  <c r="J339" i="28" s="1"/>
  <c r="I336" i="28"/>
  <c r="J336" i="28" s="1"/>
  <c r="I333" i="28"/>
  <c r="J333" i="28" s="1"/>
  <c r="I326" i="28"/>
  <c r="J326" i="28" s="1"/>
  <c r="I323" i="28"/>
  <c r="J323" i="28" s="1"/>
  <c r="I320" i="28"/>
  <c r="J320" i="28" s="1"/>
  <c r="I317" i="28"/>
  <c r="J317" i="28" s="1"/>
  <c r="I310" i="28"/>
  <c r="J310" i="28" s="1"/>
  <c r="I307" i="28"/>
  <c r="J307" i="28" s="1"/>
  <c r="I304" i="28"/>
  <c r="J304" i="28" s="1"/>
  <c r="I301" i="28"/>
  <c r="J301" i="28" s="1"/>
  <c r="I294" i="28"/>
  <c r="J294" i="28" s="1"/>
  <c r="I291" i="28"/>
  <c r="J291" i="28" s="1"/>
  <c r="I288" i="28"/>
  <c r="J288" i="28" s="1"/>
  <c r="I285" i="28"/>
  <c r="J285" i="28" s="1"/>
  <c r="I278" i="28"/>
  <c r="J278" i="28" s="1"/>
  <c r="I275" i="28"/>
  <c r="J275" i="28" s="1"/>
  <c r="I271" i="28"/>
  <c r="J271" i="28" s="1"/>
  <c r="I264" i="28"/>
  <c r="J264" i="28" s="1"/>
  <c r="I261" i="28"/>
  <c r="J261" i="28" s="1"/>
  <c r="I258" i="28"/>
  <c r="J258" i="28" s="1"/>
  <c r="I255" i="28"/>
  <c r="J255" i="28" s="1"/>
  <c r="I248" i="28"/>
  <c r="J248" i="28" s="1"/>
  <c r="I245" i="28"/>
  <c r="J245" i="28" s="1"/>
  <c r="I241" i="28"/>
  <c r="J241" i="28" s="1"/>
  <c r="I237" i="28"/>
  <c r="J237" i="28" s="1"/>
  <c r="I233" i="28"/>
  <c r="J233" i="28" s="1"/>
  <c r="I229" i="28"/>
  <c r="J229" i="28" s="1"/>
  <c r="I225" i="28"/>
  <c r="J225" i="28" s="1"/>
  <c r="I221" i="28"/>
  <c r="J221" i="28" s="1"/>
  <c r="I217" i="28"/>
  <c r="J217" i="28" s="1"/>
  <c r="I952" i="28"/>
  <c r="I936" i="28"/>
  <c r="I923" i="28"/>
  <c r="I829" i="28"/>
  <c r="I811" i="28"/>
  <c r="I805" i="28"/>
  <c r="I798" i="28"/>
  <c r="I779" i="28"/>
  <c r="I754" i="28"/>
  <c r="I743" i="28"/>
  <c r="I733" i="28"/>
  <c r="J733" i="28" s="1"/>
  <c r="I722" i="28"/>
  <c r="J722" i="28" s="1"/>
  <c r="I711" i="28"/>
  <c r="J711" i="28" s="1"/>
  <c r="I702" i="28"/>
  <c r="J702" i="28" s="1"/>
  <c r="I685" i="28"/>
  <c r="J685" i="28" s="1"/>
  <c r="I671" i="28"/>
  <c r="J671" i="28" s="1"/>
  <c r="I664" i="28"/>
  <c r="J664" i="28" s="1"/>
  <c r="I656" i="28"/>
  <c r="J656" i="28" s="1"/>
  <c r="I645" i="28"/>
  <c r="J645" i="28" s="1"/>
  <c r="I634" i="28"/>
  <c r="J634" i="28" s="1"/>
  <c r="I624" i="28"/>
  <c r="J624" i="28" s="1"/>
  <c r="I613" i="28"/>
  <c r="J613" i="28" s="1"/>
  <c r="I602" i="28"/>
  <c r="J602" i="28" s="1"/>
  <c r="I592" i="28"/>
  <c r="J592" i="28" s="1"/>
  <c r="I574" i="28"/>
  <c r="J574" i="28" s="1"/>
  <c r="I566" i="28"/>
  <c r="J566" i="28" s="1"/>
  <c r="I560" i="28"/>
  <c r="J560" i="28" s="1"/>
  <c r="I544" i="28"/>
  <c r="J544" i="28" s="1"/>
  <c r="I528" i="28"/>
  <c r="J528" i="28" s="1"/>
  <c r="I512" i="28"/>
  <c r="J512" i="28" s="1"/>
  <c r="I493" i="28"/>
  <c r="J493" i="28" s="1"/>
  <c r="I486" i="28"/>
  <c r="J486" i="28" s="1"/>
  <c r="I479" i="28"/>
  <c r="J479" i="28" s="1"/>
  <c r="I472" i="28"/>
  <c r="J472" i="28" s="1"/>
  <c r="I458" i="28"/>
  <c r="J458" i="28" s="1"/>
  <c r="I447" i="28"/>
  <c r="J447" i="28" s="1"/>
  <c r="I437" i="28"/>
  <c r="J437" i="28" s="1"/>
  <c r="I433" i="28"/>
  <c r="J433" i="28" s="1"/>
  <c r="I429" i="28"/>
  <c r="J429" i="28" s="1"/>
  <c r="I425" i="28"/>
  <c r="J425" i="28" s="1"/>
  <c r="I421" i="28"/>
  <c r="J421" i="28" s="1"/>
  <c r="I410" i="28"/>
  <c r="J410" i="28" s="1"/>
  <c r="I405" i="28"/>
  <c r="J405" i="28" s="1"/>
  <c r="I394" i="28"/>
  <c r="J394" i="28" s="1"/>
  <c r="I389" i="28"/>
  <c r="J389" i="28" s="1"/>
  <c r="I377" i="28"/>
  <c r="J377" i="28" s="1"/>
  <c r="I371" i="28"/>
  <c r="J371" i="28" s="1"/>
  <c r="I364" i="28"/>
  <c r="J364" i="28" s="1"/>
  <c r="I358" i="28"/>
  <c r="J358" i="28" s="1"/>
  <c r="I345" i="28"/>
  <c r="J345" i="28" s="1"/>
  <c r="I338" i="28"/>
  <c r="J338" i="28" s="1"/>
  <c r="I329" i="28"/>
  <c r="J329" i="28" s="1"/>
  <c r="I325" i="28"/>
  <c r="J325" i="28" s="1"/>
  <c r="I321" i="28"/>
  <c r="J321" i="28" s="1"/>
  <c r="I316" i="28"/>
  <c r="J316" i="28" s="1"/>
  <c r="I312" i="28"/>
  <c r="J312" i="28" s="1"/>
  <c r="I308" i="28"/>
  <c r="J308" i="28" s="1"/>
  <c r="I303" i="28"/>
  <c r="J303" i="28" s="1"/>
  <c r="I299" i="28"/>
  <c r="J299" i="28" s="1"/>
  <c r="I295" i="28"/>
  <c r="J295" i="28" s="1"/>
  <c r="I290" i="28"/>
  <c r="J290" i="28" s="1"/>
  <c r="I286" i="28"/>
  <c r="J286" i="28" s="1"/>
  <c r="I282" i="28"/>
  <c r="J282" i="28" s="1"/>
  <c r="I273" i="28"/>
  <c r="J273" i="28" s="1"/>
  <c r="I268" i="28"/>
  <c r="J268" i="28" s="1"/>
  <c r="I251" i="28"/>
  <c r="J251" i="28" s="1"/>
  <c r="I247" i="28"/>
  <c r="J247" i="28" s="1"/>
  <c r="I242" i="28"/>
  <c r="J242" i="28" s="1"/>
  <c r="I236" i="28"/>
  <c r="J236" i="28" s="1"/>
  <c r="I231" i="28"/>
  <c r="J231" i="28" s="1"/>
  <c r="I226" i="28"/>
  <c r="J226" i="28" s="1"/>
  <c r="I220" i="28"/>
  <c r="J220" i="28" s="1"/>
  <c r="I215" i="28"/>
  <c r="J215" i="28" s="1"/>
  <c r="I211" i="28"/>
  <c r="J211" i="28" s="1"/>
  <c r="I207" i="28"/>
  <c r="J207" i="28" s="1"/>
  <c r="I203" i="28"/>
  <c r="J203" i="28" s="1"/>
  <c r="I199" i="28"/>
  <c r="J199" i="28" s="1"/>
  <c r="I195" i="28"/>
  <c r="J195" i="28" s="1"/>
  <c r="I191" i="28"/>
  <c r="J191" i="28" s="1"/>
  <c r="I187" i="28"/>
  <c r="J187" i="28" s="1"/>
  <c r="I183" i="28"/>
  <c r="J183" i="28" s="1"/>
  <c r="I179" i="28"/>
  <c r="J179" i="28" s="1"/>
  <c r="I175" i="28"/>
  <c r="J175" i="28" s="1"/>
  <c r="I171" i="28"/>
  <c r="J171" i="28" s="1"/>
  <c r="I167" i="28"/>
  <c r="J167" i="28" s="1"/>
  <c r="I163" i="28"/>
  <c r="J163" i="28" s="1"/>
  <c r="I159" i="28"/>
  <c r="J159" i="28" s="1"/>
  <c r="I155" i="28"/>
  <c r="J155" i="28" s="1"/>
  <c r="I151" i="28"/>
  <c r="J151" i="28" s="1"/>
  <c r="I147" i="28"/>
  <c r="J147" i="28" s="1"/>
  <c r="I143" i="28"/>
  <c r="J143" i="28" s="1"/>
  <c r="I139" i="28"/>
  <c r="J139" i="28" s="1"/>
  <c r="I135" i="28"/>
  <c r="J135" i="28" s="1"/>
  <c r="I131" i="28"/>
  <c r="J131" i="28" s="1"/>
  <c r="I127" i="28"/>
  <c r="J127" i="28" s="1"/>
  <c r="I123" i="28"/>
  <c r="J123" i="28" s="1"/>
  <c r="I119" i="28"/>
  <c r="J119" i="28" s="1"/>
  <c r="I115" i="28"/>
  <c r="J115" i="28" s="1"/>
  <c r="I111" i="28"/>
  <c r="J111" i="28" s="1"/>
  <c r="I107" i="28"/>
  <c r="J107" i="28" s="1"/>
  <c r="I103" i="28"/>
  <c r="J103" i="28" s="1"/>
  <c r="I99" i="28"/>
  <c r="J99" i="28" s="1"/>
  <c r="I95" i="28"/>
  <c r="J95" i="28" s="1"/>
  <c r="I91" i="28"/>
  <c r="J91" i="28" s="1"/>
  <c r="I87" i="28"/>
  <c r="J87" i="28" s="1"/>
  <c r="I83" i="28"/>
  <c r="J83" i="28" s="1"/>
  <c r="I80" i="28"/>
  <c r="J80" i="28" s="1"/>
  <c r="I76" i="28"/>
  <c r="J76" i="28" s="1"/>
  <c r="I73" i="28"/>
  <c r="J73" i="28" s="1"/>
  <c r="I69" i="28"/>
  <c r="J69" i="28" s="1"/>
  <c r="I63" i="28"/>
  <c r="J63" i="28" s="1"/>
  <c r="I60" i="28"/>
  <c r="J60" i="28" s="1"/>
  <c r="I55" i="28"/>
  <c r="J55" i="28" s="1"/>
  <c r="I52" i="28"/>
  <c r="J52" i="28" s="1"/>
  <c r="I47" i="28"/>
  <c r="J47" i="28" s="1"/>
  <c r="I44" i="28"/>
  <c r="J44" i="28" s="1"/>
  <c r="I39" i="28"/>
  <c r="J39" i="28" s="1"/>
  <c r="I36" i="28"/>
  <c r="J36" i="28" s="1"/>
  <c r="I31" i="28"/>
  <c r="J31" i="28" s="1"/>
  <c r="I28" i="28"/>
  <c r="J28" i="28" s="1"/>
  <c r="I23" i="28"/>
  <c r="J23" i="28" s="1"/>
  <c r="I20" i="28"/>
  <c r="J20" i="28" s="1"/>
  <c r="I15" i="28"/>
  <c r="J15" i="28" s="1"/>
  <c r="I12" i="28"/>
  <c r="J12" i="28" s="1"/>
  <c r="I7" i="28"/>
  <c r="J7" i="28" s="1"/>
  <c r="I4" i="28"/>
  <c r="J4" i="28" s="1"/>
  <c r="I962" i="28"/>
  <c r="I764" i="28"/>
  <c r="I751" i="28"/>
  <c r="I746" i="28"/>
  <c r="I727" i="28"/>
  <c r="J727" i="28" s="1"/>
  <c r="I717" i="28"/>
  <c r="J717" i="28" s="1"/>
  <c r="I697" i="28"/>
  <c r="J697" i="28" s="1"/>
  <c r="I682" i="28"/>
  <c r="J682" i="28" s="1"/>
  <c r="I650" i="28"/>
  <c r="J650" i="28" s="1"/>
  <c r="I629" i="28"/>
  <c r="J629" i="28" s="1"/>
  <c r="I608" i="28"/>
  <c r="J608" i="28" s="1"/>
  <c r="I587" i="28"/>
  <c r="J587" i="28" s="1"/>
  <c r="I570" i="28"/>
  <c r="J570" i="28" s="1"/>
  <c r="I536" i="28"/>
  <c r="J536" i="28" s="1"/>
  <c r="I461" i="28"/>
  <c r="J461" i="28" s="1"/>
  <c r="I450" i="28"/>
  <c r="J450" i="28" s="1"/>
  <c r="I439" i="28"/>
  <c r="J439" i="28" s="1"/>
  <c r="I431" i="28"/>
  <c r="J431" i="28" s="1"/>
  <c r="I423" i="28"/>
  <c r="J423" i="28" s="1"/>
  <c r="I413" i="28"/>
  <c r="J413" i="28" s="1"/>
  <c r="I402" i="28"/>
  <c r="J402" i="28" s="1"/>
  <c r="I397" i="28"/>
  <c r="J397" i="28" s="1"/>
  <c r="I386" i="28"/>
  <c r="J386" i="28" s="1"/>
  <c r="I380" i="28"/>
  <c r="J380" i="28" s="1"/>
  <c r="I355" i="28"/>
  <c r="J355" i="28" s="1"/>
  <c r="I331" i="28"/>
  <c r="J331" i="28" s="1"/>
  <c r="I322" i="28"/>
  <c r="J322" i="28" s="1"/>
  <c r="I314" i="28"/>
  <c r="J314" i="28" s="1"/>
  <c r="I297" i="28"/>
  <c r="J297" i="28" s="1"/>
  <c r="I289" i="28"/>
  <c r="J289" i="28" s="1"/>
  <c r="I280" i="28"/>
  <c r="J280" i="28" s="1"/>
  <c r="I270" i="28"/>
  <c r="J270" i="28" s="1"/>
  <c r="I262" i="28"/>
  <c r="J262" i="28" s="1"/>
  <c r="I253" i="28"/>
  <c r="J253" i="28" s="1"/>
  <c r="I244" i="28"/>
  <c r="J244" i="28" s="1"/>
  <c r="I234" i="28"/>
  <c r="J234" i="28" s="1"/>
  <c r="I223" i="28"/>
  <c r="J223" i="28" s="1"/>
  <c r="I213" i="28"/>
  <c r="J213" i="28" s="1"/>
  <c r="I205" i="28"/>
  <c r="J205" i="28" s="1"/>
  <c r="I197" i="28"/>
  <c r="J197" i="28" s="1"/>
  <c r="I189" i="28"/>
  <c r="J189" i="28" s="1"/>
  <c r="I181" i="28"/>
  <c r="J181" i="28" s="1"/>
  <c r="I173" i="28"/>
  <c r="J173" i="28" s="1"/>
  <c r="I169" i="28"/>
  <c r="J169" i="28" s="1"/>
  <c r="I161" i="28"/>
  <c r="J161" i="28" s="1"/>
  <c r="I153" i="28"/>
  <c r="J153" i="28" s="1"/>
  <c r="I145" i="28"/>
  <c r="J145" i="28" s="1"/>
  <c r="I137" i="28"/>
  <c r="J137" i="28" s="1"/>
  <c r="I129" i="28"/>
  <c r="J129" i="28" s="1"/>
  <c r="I121" i="28"/>
  <c r="J121" i="28" s="1"/>
  <c r="I113" i="28"/>
  <c r="J113" i="28" s="1"/>
  <c r="I105" i="28"/>
  <c r="J105" i="28" s="1"/>
  <c r="I97" i="28"/>
  <c r="J97" i="28" s="1"/>
  <c r="I89" i="28"/>
  <c r="J89" i="28" s="1"/>
  <c r="I67" i="28"/>
  <c r="J67" i="28" s="1"/>
  <c r="I59" i="28"/>
  <c r="J59" i="28" s="1"/>
  <c r="B13" i="28" s="1"/>
  <c r="I51" i="28"/>
  <c r="J51" i="28" s="1"/>
  <c r="I40" i="28"/>
  <c r="J40" i="28" s="1"/>
  <c r="I35" i="28"/>
  <c r="J35" i="28" s="1"/>
  <c r="I910" i="28"/>
  <c r="I845" i="28"/>
  <c r="I819" i="28"/>
  <c r="I810" i="28"/>
  <c r="I804" i="28"/>
  <c r="I791" i="28"/>
  <c r="I772" i="28"/>
  <c r="I766" i="28"/>
  <c r="I748" i="28"/>
  <c r="I742" i="28"/>
  <c r="J742" i="28" s="1"/>
  <c r="I731" i="28"/>
  <c r="J731" i="28" s="1"/>
  <c r="I721" i="28"/>
  <c r="J721" i="28" s="1"/>
  <c r="I710" i="28"/>
  <c r="J710" i="28" s="1"/>
  <c r="I701" i="28"/>
  <c r="J701" i="28" s="1"/>
  <c r="I693" i="28"/>
  <c r="J693" i="28" s="1"/>
  <c r="I677" i="28"/>
  <c r="J677" i="28" s="1"/>
  <c r="I663" i="28"/>
  <c r="J663" i="28" s="1"/>
  <c r="I654" i="28"/>
  <c r="J654" i="28" s="1"/>
  <c r="I644" i="28"/>
  <c r="J644" i="28" s="1"/>
  <c r="I633" i="28"/>
  <c r="J633" i="28" s="1"/>
  <c r="I622" i="28"/>
  <c r="J622" i="28" s="1"/>
  <c r="I612" i="28"/>
  <c r="J612" i="28" s="1"/>
  <c r="I601" i="28"/>
  <c r="J601" i="28" s="1"/>
  <c r="I582" i="28"/>
  <c r="J582" i="28" s="1"/>
  <c r="I573" i="28"/>
  <c r="J573" i="28" s="1"/>
  <c r="I554" i="28"/>
  <c r="J554" i="28" s="1"/>
  <c r="I538" i="28"/>
  <c r="J538" i="28" s="1"/>
  <c r="I522" i="28"/>
  <c r="J522" i="28" s="1"/>
  <c r="I506" i="28"/>
  <c r="J506" i="28" s="1"/>
  <c r="I499" i="28"/>
  <c r="J499" i="28" s="1"/>
  <c r="I485" i="28"/>
  <c r="J485" i="28" s="1"/>
  <c r="I478" i="28"/>
  <c r="J478" i="28" s="1"/>
  <c r="I471" i="28"/>
  <c r="J471" i="28" s="1"/>
  <c r="I464" i="28"/>
  <c r="J464" i="28" s="1"/>
  <c r="I457" i="28"/>
  <c r="J457" i="28" s="1"/>
  <c r="I452" i="28"/>
  <c r="J452" i="28" s="1"/>
  <c r="I441" i="28"/>
  <c r="J441" i="28" s="1"/>
  <c r="I420" i="28"/>
  <c r="J420" i="28" s="1"/>
  <c r="I415" i="28"/>
  <c r="J415" i="28" s="1"/>
  <c r="I404" i="28"/>
  <c r="J404" i="28" s="1"/>
  <c r="I399" i="28"/>
  <c r="J399" i="28" s="1"/>
  <c r="I388" i="28"/>
  <c r="J388" i="28" s="1"/>
  <c r="I383" i="28"/>
  <c r="J383" i="28" s="1"/>
  <c r="I376" i="28"/>
  <c r="J376" i="28" s="1"/>
  <c r="I370" i="28"/>
  <c r="J370" i="28" s="1"/>
  <c r="I357" i="28"/>
  <c r="J357" i="28" s="1"/>
  <c r="I351" i="28"/>
  <c r="J351" i="28" s="1"/>
  <c r="I344" i="28"/>
  <c r="J344" i="28" s="1"/>
  <c r="I332" i="28"/>
  <c r="J332" i="28" s="1"/>
  <c r="I328" i="28"/>
  <c r="J328" i="28" s="1"/>
  <c r="I324" i="28"/>
  <c r="J324" i="28" s="1"/>
  <c r="I319" i="28"/>
  <c r="J319" i="28" s="1"/>
  <c r="I315" i="28"/>
  <c r="J315" i="28" s="1"/>
  <c r="I311" i="28"/>
  <c r="J311" i="28" s="1"/>
  <c r="I306" i="28"/>
  <c r="J306" i="28" s="1"/>
  <c r="I302" i="28"/>
  <c r="J302" i="28" s="1"/>
  <c r="I298" i="28"/>
  <c r="J298" i="28" s="1"/>
  <c r="I281" i="28"/>
  <c r="J281" i="28" s="1"/>
  <c r="I277" i="28"/>
  <c r="J277" i="28" s="1"/>
  <c r="I272" i="28"/>
  <c r="J272" i="28" s="1"/>
  <c r="I267" i="28"/>
  <c r="J267" i="28" s="1"/>
  <c r="I263" i="28"/>
  <c r="J263" i="28" s="1"/>
  <c r="I259" i="28"/>
  <c r="J259" i="28" s="1"/>
  <c r="I254" i="28"/>
  <c r="J254" i="28" s="1"/>
  <c r="I250" i="28"/>
  <c r="J250" i="28" s="1"/>
  <c r="I246" i="28"/>
  <c r="J246" i="28" s="1"/>
  <c r="I240" i="28"/>
  <c r="J240" i="28" s="1"/>
  <c r="I235" i="28"/>
  <c r="J235" i="28" s="1"/>
  <c r="I230" i="28"/>
  <c r="J230" i="28" s="1"/>
  <c r="I224" i="28"/>
  <c r="J224" i="28" s="1"/>
  <c r="I219" i="28"/>
  <c r="J219" i="28" s="1"/>
  <c r="I214" i="28"/>
  <c r="J214" i="28" s="1"/>
  <c r="I210" i="28"/>
  <c r="J210" i="28" s="1"/>
  <c r="I206" i="28"/>
  <c r="J206" i="28" s="1"/>
  <c r="I202" i="28"/>
  <c r="J202" i="28" s="1"/>
  <c r="I198" i="28"/>
  <c r="J198" i="28" s="1"/>
  <c r="I194" i="28"/>
  <c r="J194" i="28" s="1"/>
  <c r="I190" i="28"/>
  <c r="J190" i="28" s="1"/>
  <c r="I186" i="28"/>
  <c r="J186" i="28" s="1"/>
  <c r="I182" i="28"/>
  <c r="J182" i="28" s="1"/>
  <c r="I178" i="28"/>
  <c r="J178" i="28" s="1"/>
  <c r="I174" i="28"/>
  <c r="J174" i="28" s="1"/>
  <c r="I170" i="28"/>
  <c r="J170" i="28" s="1"/>
  <c r="I166" i="28"/>
  <c r="J166" i="28" s="1"/>
  <c r="I162" i="28"/>
  <c r="J162" i="28" s="1"/>
  <c r="I158" i="28"/>
  <c r="J158" i="28" s="1"/>
  <c r="I154" i="28"/>
  <c r="J154" i="28" s="1"/>
  <c r="I150" i="28"/>
  <c r="J150" i="28" s="1"/>
  <c r="I146" i="28"/>
  <c r="J146" i="28" s="1"/>
  <c r="I142" i="28"/>
  <c r="J142" i="28" s="1"/>
  <c r="I138" i="28"/>
  <c r="J138" i="28" s="1"/>
  <c r="I134" i="28"/>
  <c r="J134" i="28" s="1"/>
  <c r="I130" i="28"/>
  <c r="J130" i="28" s="1"/>
  <c r="I126" i="28"/>
  <c r="J126" i="28" s="1"/>
  <c r="I122" i="28"/>
  <c r="J122" i="28" s="1"/>
  <c r="I118" i="28"/>
  <c r="J118" i="28" s="1"/>
  <c r="I114" i="28"/>
  <c r="J114" i="28" s="1"/>
  <c r="I110" i="28"/>
  <c r="J110" i="28" s="1"/>
  <c r="I106" i="28"/>
  <c r="J106" i="28" s="1"/>
  <c r="I102" i="28"/>
  <c r="J102" i="28" s="1"/>
  <c r="I98" i="28"/>
  <c r="J98" i="28" s="1"/>
  <c r="I94" i="28"/>
  <c r="J94" i="28" s="1"/>
  <c r="I90" i="28"/>
  <c r="J90" i="28" s="1"/>
  <c r="I86" i="28"/>
  <c r="J86" i="28" s="1"/>
  <c r="I82" i="28"/>
  <c r="J82" i="28" s="1"/>
  <c r="I79" i="28"/>
  <c r="J79" i="28" s="1"/>
  <c r="I75" i="28"/>
  <c r="J75" i="28" s="1"/>
  <c r="I72" i="28"/>
  <c r="J72" i="28" s="1"/>
  <c r="I68" i="28"/>
  <c r="J68" i="28" s="1"/>
  <c r="I65" i="28"/>
  <c r="J65" i="28" s="1"/>
  <c r="I62" i="28"/>
  <c r="J62" i="28" s="1"/>
  <c r="I57" i="28"/>
  <c r="J57" i="28" s="1"/>
  <c r="I54" i="28"/>
  <c r="J54" i="28" s="1"/>
  <c r="I49" i="28"/>
  <c r="J49" i="28" s="1"/>
  <c r="I46" i="28"/>
  <c r="J46" i="28" s="1"/>
  <c r="I41" i="28"/>
  <c r="J41" i="28" s="1"/>
  <c r="I38" i="28"/>
  <c r="J38" i="28" s="1"/>
  <c r="I33" i="28"/>
  <c r="J33" i="28" s="1"/>
  <c r="I30" i="28"/>
  <c r="J30" i="28" s="1"/>
  <c r="I25" i="28"/>
  <c r="J25" i="28" s="1"/>
  <c r="I22" i="28"/>
  <c r="J22" i="28" s="1"/>
  <c r="I17" i="28"/>
  <c r="J17" i="28" s="1"/>
  <c r="I14" i="28"/>
  <c r="J14" i="28" s="1"/>
  <c r="I9" i="28"/>
  <c r="J9" i="28" s="1"/>
  <c r="I6" i="28"/>
  <c r="J6" i="28" s="1"/>
  <c r="I917" i="28"/>
  <c r="I859" i="28"/>
  <c r="I850" i="28"/>
  <c r="I816" i="28"/>
  <c r="I795" i="28"/>
  <c r="I789" i="28"/>
  <c r="I738" i="28"/>
  <c r="J738" i="28" s="1"/>
  <c r="I706" i="28"/>
  <c r="J706" i="28" s="1"/>
  <c r="I689" i="28"/>
  <c r="J689" i="28" s="1"/>
  <c r="I668" i="28"/>
  <c r="J668" i="28" s="1"/>
  <c r="I660" i="28"/>
  <c r="J660" i="28" s="1"/>
  <c r="I640" i="28"/>
  <c r="J640" i="28" s="1"/>
  <c r="I618" i="28"/>
  <c r="J618" i="28" s="1"/>
  <c r="I597" i="28"/>
  <c r="J597" i="28" s="1"/>
  <c r="I579" i="28"/>
  <c r="J579" i="28" s="1"/>
  <c r="I552" i="28"/>
  <c r="J552" i="28" s="1"/>
  <c r="I520" i="28"/>
  <c r="J520" i="28" s="1"/>
  <c r="I504" i="28"/>
  <c r="J504" i="28" s="1"/>
  <c r="I490" i="28"/>
  <c r="J490" i="28" s="1"/>
  <c r="I475" i="28"/>
  <c r="J475" i="28" s="1"/>
  <c r="I455" i="28"/>
  <c r="J455" i="28" s="1"/>
  <c r="I444" i="28"/>
  <c r="J444" i="28" s="1"/>
  <c r="I435" i="28"/>
  <c r="J435" i="28" s="1"/>
  <c r="I427" i="28"/>
  <c r="J427" i="28" s="1"/>
  <c r="I418" i="28"/>
  <c r="J418" i="28" s="1"/>
  <c r="I374" i="28"/>
  <c r="J374" i="28" s="1"/>
  <c r="I361" i="28"/>
  <c r="J361" i="28" s="1"/>
  <c r="I348" i="28"/>
  <c r="J348" i="28" s="1"/>
  <c r="I335" i="28"/>
  <c r="J335" i="28" s="1"/>
  <c r="I327" i="28"/>
  <c r="J327" i="28" s="1"/>
  <c r="I318" i="28"/>
  <c r="J318" i="28" s="1"/>
  <c r="I293" i="28"/>
  <c r="J293" i="28" s="1"/>
  <c r="I284" i="28"/>
  <c r="J284" i="28" s="1"/>
  <c r="I276" i="28"/>
  <c r="J276" i="28" s="1"/>
  <c r="I266" i="28"/>
  <c r="J266" i="28" s="1"/>
  <c r="I257" i="28"/>
  <c r="J257" i="28" s="1"/>
  <c r="B22" i="28" s="1"/>
  <c r="I249" i="28"/>
  <c r="J249" i="28" s="1"/>
  <c r="I239" i="28"/>
  <c r="J239" i="28" s="1"/>
  <c r="I228" i="28"/>
  <c r="J228" i="28" s="1"/>
  <c r="I218" i="28"/>
  <c r="J218" i="28" s="1"/>
  <c r="I209" i="28"/>
  <c r="J209" i="28" s="1"/>
  <c r="I201" i="28"/>
  <c r="J201" i="28" s="1"/>
  <c r="I193" i="28"/>
  <c r="J193" i="28" s="1"/>
  <c r="I185" i="28"/>
  <c r="J185" i="28" s="1"/>
  <c r="I177" i="28"/>
  <c r="J177" i="28" s="1"/>
  <c r="I165" i="28"/>
  <c r="J165" i="28" s="1"/>
  <c r="I157" i="28"/>
  <c r="J157" i="28" s="1"/>
  <c r="I149" i="28"/>
  <c r="J149" i="28" s="1"/>
  <c r="I141" i="28"/>
  <c r="J141" i="28" s="1"/>
  <c r="I133" i="28"/>
  <c r="J133" i="28" s="1"/>
  <c r="I125" i="28"/>
  <c r="J125" i="28" s="1"/>
  <c r="I117" i="28"/>
  <c r="J117" i="28" s="1"/>
  <c r="I109" i="28"/>
  <c r="J109" i="28" s="1"/>
  <c r="I101" i="28"/>
  <c r="J101" i="28" s="1"/>
  <c r="I93" i="28"/>
  <c r="J93" i="28" s="1"/>
  <c r="I85" i="28"/>
  <c r="J85" i="28" s="1"/>
  <c r="I78" i="28"/>
  <c r="J78" i="28" s="1"/>
  <c r="I74" i="28"/>
  <c r="J74" i="28" s="1"/>
  <c r="I71" i="28"/>
  <c r="J71" i="28" s="1"/>
  <c r="I64" i="28"/>
  <c r="J64" i="28" s="1"/>
  <c r="I56" i="28"/>
  <c r="J56" i="28" s="1"/>
  <c r="I48" i="28"/>
  <c r="J48" i="28" s="1"/>
  <c r="I43" i="28"/>
  <c r="J43" i="28" s="1"/>
  <c r="I32" i="28"/>
  <c r="J32" i="28" s="1"/>
  <c r="I27" i="28"/>
  <c r="J27" i="28" s="1"/>
  <c r="I24" i="28"/>
  <c r="J24" i="28" s="1"/>
  <c r="I19" i="28"/>
  <c r="J19" i="28" s="1"/>
  <c r="I16" i="28"/>
  <c r="J16" i="28" s="1"/>
  <c r="I11" i="28"/>
  <c r="J11" i="28" s="1"/>
  <c r="I8" i="28"/>
  <c r="J8" i="28" s="1"/>
  <c r="I3" i="28"/>
  <c r="J3" i="28" s="1"/>
  <c r="I904" i="28"/>
  <c r="I745" i="28"/>
  <c r="I705" i="28"/>
  <c r="J705" i="28" s="1"/>
  <c r="I674" i="28"/>
  <c r="J674" i="28" s="1"/>
  <c r="I638" i="28"/>
  <c r="J638" i="28" s="1"/>
  <c r="I596" i="28"/>
  <c r="J596" i="28" s="1"/>
  <c r="I562" i="28"/>
  <c r="J562" i="28" s="1"/>
  <c r="I496" i="28"/>
  <c r="J496" i="28" s="1"/>
  <c r="I467" i="28"/>
  <c r="J467" i="28" s="1"/>
  <c r="I407" i="28"/>
  <c r="J407" i="28" s="1"/>
  <c r="I360" i="28"/>
  <c r="J360" i="28" s="1"/>
  <c r="I334" i="28"/>
  <c r="J334" i="28" s="1"/>
  <c r="I300" i="28"/>
  <c r="J300" i="28" s="1"/>
  <c r="I283" i="28"/>
  <c r="J283" i="28" s="1"/>
  <c r="I265" i="28"/>
  <c r="J265" i="28" s="1"/>
  <c r="I227" i="28"/>
  <c r="J227" i="28" s="1"/>
  <c r="I208" i="28"/>
  <c r="J208" i="28" s="1"/>
  <c r="I192" i="28"/>
  <c r="J192" i="28" s="1"/>
  <c r="I176" i="28"/>
  <c r="J176" i="28" s="1"/>
  <c r="I160" i="28"/>
  <c r="J160" i="28" s="1"/>
  <c r="I144" i="28"/>
  <c r="J144" i="28" s="1"/>
  <c r="I128" i="28"/>
  <c r="J128" i="28" s="1"/>
  <c r="I112" i="28"/>
  <c r="J112" i="28" s="1"/>
  <c r="I96" i="28"/>
  <c r="J96" i="28" s="1"/>
  <c r="I81" i="28"/>
  <c r="J81" i="28" s="1"/>
  <c r="I66" i="28"/>
  <c r="J66" i="28" s="1"/>
  <c r="I45" i="28"/>
  <c r="J45" i="28" s="1"/>
  <c r="I34" i="28"/>
  <c r="J34" i="28" s="1"/>
  <c r="I13" i="28"/>
  <c r="J13" i="28" s="1"/>
  <c r="I944" i="28"/>
  <c r="I893" i="28"/>
  <c r="I788" i="28"/>
  <c r="I737" i="28"/>
  <c r="J737" i="28" s="1"/>
  <c r="I696" i="28"/>
  <c r="J696" i="28" s="1"/>
  <c r="I628" i="28"/>
  <c r="J628" i="28" s="1"/>
  <c r="I586" i="28"/>
  <c r="J586" i="28" s="1"/>
  <c r="I514" i="28"/>
  <c r="J514" i="28" s="1"/>
  <c r="I354" i="28"/>
  <c r="J354" i="28" s="1"/>
  <c r="I330" i="28"/>
  <c r="J330" i="28" s="1"/>
  <c r="I313" i="28"/>
  <c r="J313" i="28" s="1"/>
  <c r="I296" i="28"/>
  <c r="J296" i="28" s="1"/>
  <c r="I279" i="28"/>
  <c r="J279" i="28" s="1"/>
  <c r="I260" i="28"/>
  <c r="J260" i="28" s="1"/>
  <c r="I243" i="28"/>
  <c r="J243" i="28" s="1"/>
  <c r="I222" i="28"/>
  <c r="J222" i="28" s="1"/>
  <c r="I204" i="28"/>
  <c r="J204" i="28" s="1"/>
  <c r="I188" i="28"/>
  <c r="J188" i="28" s="1"/>
  <c r="I172" i="28"/>
  <c r="J172" i="28" s="1"/>
  <c r="I156" i="28"/>
  <c r="J156" i="28" s="1"/>
  <c r="I140" i="28"/>
  <c r="J140" i="28" s="1"/>
  <c r="I124" i="28"/>
  <c r="J124" i="28" s="1"/>
  <c r="I108" i="28"/>
  <c r="J108" i="28" s="1"/>
  <c r="I92" i="28"/>
  <c r="J92" i="28" s="1"/>
  <c r="I77" i="28"/>
  <c r="J77" i="28" s="1"/>
  <c r="I53" i="28"/>
  <c r="J53" i="28" s="1"/>
  <c r="I42" i="28"/>
  <c r="J42" i="28" s="1"/>
  <c r="I21" i="28"/>
  <c r="J21" i="28" s="1"/>
  <c r="I10" i="28"/>
  <c r="J10" i="28" s="1"/>
  <c r="I927" i="28"/>
  <c r="I807" i="28"/>
  <c r="I757" i="28"/>
  <c r="I726" i="28"/>
  <c r="J726" i="28" s="1"/>
  <c r="I659" i="28"/>
  <c r="J659" i="28" s="1"/>
  <c r="I617" i="28"/>
  <c r="J617" i="28" s="1"/>
  <c r="I577" i="28"/>
  <c r="J577" i="28" s="1"/>
  <c r="I530" i="28"/>
  <c r="J530" i="28" s="1"/>
  <c r="I482" i="28"/>
  <c r="J482" i="28" s="1"/>
  <c r="I396" i="28"/>
  <c r="J396" i="28" s="1"/>
  <c r="I373" i="28"/>
  <c r="J373" i="28" s="1"/>
  <c r="I309" i="28"/>
  <c r="J309" i="28" s="1"/>
  <c r="I292" i="28"/>
  <c r="J292" i="28" s="1"/>
  <c r="I274" i="28"/>
  <c r="J274" i="28" s="1"/>
  <c r="I256" i="28"/>
  <c r="J256" i="28" s="1"/>
  <c r="I238" i="28"/>
  <c r="J238" i="28" s="1"/>
  <c r="I216" i="28"/>
  <c r="J216" i="28" s="1"/>
  <c r="I200" i="28"/>
  <c r="J200" i="28" s="1"/>
  <c r="I184" i="28"/>
  <c r="J184" i="28" s="1"/>
  <c r="I168" i="28"/>
  <c r="J168" i="28" s="1"/>
  <c r="I152" i="28"/>
  <c r="J152" i="28" s="1"/>
  <c r="I136" i="28"/>
  <c r="J136" i="28" s="1"/>
  <c r="I120" i="28"/>
  <c r="J120" i="28" s="1"/>
  <c r="I104" i="28"/>
  <c r="J104" i="28" s="1"/>
  <c r="I88" i="28"/>
  <c r="J88" i="28" s="1"/>
  <c r="I61" i="28"/>
  <c r="J61" i="28" s="1"/>
  <c r="I50" i="28"/>
  <c r="J50" i="28" s="1"/>
  <c r="I29" i="28"/>
  <c r="J29" i="28" s="1"/>
  <c r="I18" i="28"/>
  <c r="J18" i="28" s="1"/>
  <c r="I915" i="28"/>
  <c r="I870" i="28"/>
  <c r="I832" i="28"/>
  <c r="I715" i="28"/>
  <c r="J715" i="28" s="1"/>
  <c r="I681" i="28"/>
  <c r="J681" i="28" s="1"/>
  <c r="I649" i="28"/>
  <c r="J649" i="28" s="1"/>
  <c r="I606" i="28"/>
  <c r="J606" i="28" s="1"/>
  <c r="I569" i="28"/>
  <c r="J569" i="28" s="1"/>
  <c r="I546" i="28"/>
  <c r="J546" i="28" s="1"/>
  <c r="I503" i="28"/>
  <c r="J503" i="28" s="1"/>
  <c r="I449" i="28"/>
  <c r="J449" i="28" s="1"/>
  <c r="I412" i="28"/>
  <c r="J412" i="28" s="1"/>
  <c r="I391" i="28"/>
  <c r="J391" i="28" s="1"/>
  <c r="I367" i="28"/>
  <c r="J367" i="28" s="1"/>
  <c r="I341" i="28"/>
  <c r="J341" i="28" s="1"/>
  <c r="I305" i="28"/>
  <c r="J305" i="28" s="1"/>
  <c r="I287" i="28"/>
  <c r="J287" i="28" s="1"/>
  <c r="I269" i="28"/>
  <c r="J269" i="28" s="1"/>
  <c r="I252" i="28"/>
  <c r="J252" i="28" s="1"/>
  <c r="I232" i="28"/>
  <c r="J232" i="28" s="1"/>
  <c r="I212" i="28"/>
  <c r="J212" i="28" s="1"/>
  <c r="I196" i="28"/>
  <c r="J196" i="28" s="1"/>
  <c r="I180" i="28"/>
  <c r="J180" i="28" s="1"/>
  <c r="I164" i="28"/>
  <c r="J164" i="28" s="1"/>
  <c r="I148" i="28"/>
  <c r="J148" i="28" s="1"/>
  <c r="I132" i="28"/>
  <c r="J132" i="28" s="1"/>
  <c r="I116" i="28"/>
  <c r="J116" i="28" s="1"/>
  <c r="I100" i="28"/>
  <c r="J100" i="28" s="1"/>
  <c r="I84" i="28"/>
  <c r="J84" i="28" s="1"/>
  <c r="I70" i="28"/>
  <c r="J70" i="28" s="1"/>
  <c r="I58" i="28"/>
  <c r="J58" i="28" s="1"/>
  <c r="I37" i="28"/>
  <c r="J37" i="28" s="1"/>
  <c r="I26" i="28"/>
  <c r="J26" i="28" s="1"/>
  <c r="I5" i="28"/>
  <c r="J5" i="28" s="1"/>
  <c r="I2" i="28"/>
  <c r="J2" i="28"/>
  <c r="I2" i="27"/>
  <c r="G982" i="27"/>
  <c r="G981" i="27"/>
  <c r="G980" i="27"/>
  <c r="G979" i="27"/>
  <c r="G978" i="27"/>
  <c r="G977" i="27"/>
  <c r="G976" i="27"/>
  <c r="G975" i="27"/>
  <c r="G974" i="27"/>
  <c r="G973" i="27"/>
  <c r="G972" i="27"/>
  <c r="G971" i="27"/>
  <c r="G970" i="27"/>
  <c r="G969" i="27"/>
  <c r="G968" i="27"/>
  <c r="G967" i="27"/>
  <c r="G966" i="27"/>
  <c r="G965" i="27"/>
  <c r="G964" i="27"/>
  <c r="G963" i="27"/>
  <c r="G962" i="27"/>
  <c r="G961" i="27"/>
  <c r="G960" i="27"/>
  <c r="G959" i="27"/>
  <c r="G958" i="27"/>
  <c r="G957" i="27"/>
  <c r="G956" i="27"/>
  <c r="G955" i="27"/>
  <c r="G954" i="27"/>
  <c r="G953" i="27"/>
  <c r="G952" i="27"/>
  <c r="G951" i="27"/>
  <c r="G950" i="27"/>
  <c r="G949" i="27"/>
  <c r="G948" i="27"/>
  <c r="G947" i="27"/>
  <c r="G946" i="27"/>
  <c r="G945" i="27"/>
  <c r="G944" i="27"/>
  <c r="G943" i="27"/>
  <c r="G942" i="27"/>
  <c r="G941" i="27"/>
  <c r="G940" i="27"/>
  <c r="G939" i="27"/>
  <c r="G938" i="27"/>
  <c r="G937" i="27"/>
  <c r="G936" i="27"/>
  <c r="G935" i="27"/>
  <c r="G934" i="27"/>
  <c r="G933" i="27"/>
  <c r="G932" i="27"/>
  <c r="G931" i="27"/>
  <c r="G930" i="27"/>
  <c r="G929" i="27"/>
  <c r="G928" i="27"/>
  <c r="G927" i="27"/>
  <c r="G926" i="27"/>
  <c r="G925" i="27"/>
  <c r="G924" i="27"/>
  <c r="G923" i="27"/>
  <c r="G922" i="27"/>
  <c r="G921" i="27"/>
  <c r="G920" i="27"/>
  <c r="G919" i="27"/>
  <c r="G918" i="27"/>
  <c r="G917" i="27"/>
  <c r="G916" i="27"/>
  <c r="G915" i="27"/>
  <c r="G914" i="27"/>
  <c r="G913" i="27"/>
  <c r="G912" i="27"/>
  <c r="G911" i="27"/>
  <c r="G910" i="27"/>
  <c r="G909" i="27"/>
  <c r="G908" i="27"/>
  <c r="G907" i="27"/>
  <c r="G906" i="27"/>
  <c r="G905" i="27"/>
  <c r="G904" i="27"/>
  <c r="G903" i="27"/>
  <c r="G902" i="27"/>
  <c r="G901" i="27"/>
  <c r="G900" i="27"/>
  <c r="G899" i="27"/>
  <c r="G898" i="27"/>
  <c r="G897" i="27"/>
  <c r="G896" i="27"/>
  <c r="G895" i="27"/>
  <c r="G894" i="27"/>
  <c r="G893" i="27"/>
  <c r="G892" i="27"/>
  <c r="G891" i="27"/>
  <c r="G890" i="27"/>
  <c r="G889" i="27"/>
  <c r="G888" i="27"/>
  <c r="G887" i="27"/>
  <c r="G886" i="27"/>
  <c r="G885" i="27"/>
  <c r="G884" i="27"/>
  <c r="G883" i="27"/>
  <c r="G882" i="27"/>
  <c r="G881" i="27"/>
  <c r="G880" i="27"/>
  <c r="G879" i="27"/>
  <c r="G878" i="27"/>
  <c r="G877" i="27"/>
  <c r="G876" i="27"/>
  <c r="G875" i="27"/>
  <c r="G874" i="27"/>
  <c r="G873" i="27"/>
  <c r="G872" i="27"/>
  <c r="G871" i="27"/>
  <c r="G870" i="27"/>
  <c r="G869" i="27"/>
  <c r="G868" i="27"/>
  <c r="G867" i="27"/>
  <c r="G866" i="27"/>
  <c r="G865" i="27"/>
  <c r="G864" i="27"/>
  <c r="G863" i="27"/>
  <c r="G862" i="27"/>
  <c r="G861" i="27"/>
  <c r="G860" i="27"/>
  <c r="G859" i="27"/>
  <c r="G858" i="27"/>
  <c r="G857" i="27"/>
  <c r="G856" i="27"/>
  <c r="G855" i="27"/>
  <c r="G854" i="27"/>
  <c r="G853" i="27"/>
  <c r="G852" i="27"/>
  <c r="G851" i="27"/>
  <c r="G850" i="27"/>
  <c r="G849" i="27"/>
  <c r="G848" i="27"/>
  <c r="G847" i="27"/>
  <c r="G846" i="27"/>
  <c r="G845" i="27"/>
  <c r="G844" i="27"/>
  <c r="G843" i="27"/>
  <c r="G842" i="27"/>
  <c r="G841" i="27"/>
  <c r="G840" i="27"/>
  <c r="G839" i="27"/>
  <c r="G838" i="27"/>
  <c r="G837" i="27"/>
  <c r="G836" i="27"/>
  <c r="G835" i="27"/>
  <c r="G834" i="27"/>
  <c r="G833" i="27"/>
  <c r="G832" i="27"/>
  <c r="G831" i="27"/>
  <c r="G830" i="27"/>
  <c r="G829" i="27"/>
  <c r="G828" i="27"/>
  <c r="G827" i="27"/>
  <c r="G826" i="27"/>
  <c r="G825" i="27"/>
  <c r="G824" i="27"/>
  <c r="G823" i="27"/>
  <c r="G822" i="27"/>
  <c r="G821" i="27"/>
  <c r="G820" i="27"/>
  <c r="G819" i="27"/>
  <c r="G818" i="27"/>
  <c r="G817" i="27"/>
  <c r="G816" i="27"/>
  <c r="G815" i="27"/>
  <c r="G814" i="27"/>
  <c r="G813" i="27"/>
  <c r="G812" i="27"/>
  <c r="G811" i="27"/>
  <c r="G810" i="27"/>
  <c r="G809" i="27"/>
  <c r="G808" i="27"/>
  <c r="G807" i="27"/>
  <c r="G806" i="27"/>
  <c r="G805" i="27"/>
  <c r="G804" i="27"/>
  <c r="G803" i="27"/>
  <c r="G802" i="27"/>
  <c r="G801" i="27"/>
  <c r="G800" i="27"/>
  <c r="G799" i="27"/>
  <c r="G798" i="27"/>
  <c r="G797" i="27"/>
  <c r="G796" i="27"/>
  <c r="G795" i="27"/>
  <c r="G794" i="27"/>
  <c r="G793" i="27"/>
  <c r="G792" i="27"/>
  <c r="G791" i="27"/>
  <c r="G790" i="27"/>
  <c r="G789" i="27"/>
  <c r="G788" i="27"/>
  <c r="G787" i="27"/>
  <c r="G786" i="27"/>
  <c r="G785" i="27"/>
  <c r="G784" i="27"/>
  <c r="G783" i="27"/>
  <c r="G782" i="27"/>
  <c r="G781" i="27"/>
  <c r="G780" i="27"/>
  <c r="G779" i="27"/>
  <c r="G778" i="27"/>
  <c r="G777" i="27"/>
  <c r="G776" i="27"/>
  <c r="G775" i="27"/>
  <c r="G774" i="27"/>
  <c r="G773" i="27"/>
  <c r="G772" i="27"/>
  <c r="G771" i="27"/>
  <c r="G770" i="27"/>
  <c r="G769" i="27"/>
  <c r="G768" i="27"/>
  <c r="G767" i="27"/>
  <c r="G766" i="27"/>
  <c r="G765" i="27"/>
  <c r="G764" i="27"/>
  <c r="G763" i="27"/>
  <c r="G762" i="27"/>
  <c r="G761" i="27"/>
  <c r="G760" i="27"/>
  <c r="G759" i="27"/>
  <c r="G758" i="27"/>
  <c r="G757" i="27"/>
  <c r="G756" i="27"/>
  <c r="G755" i="27"/>
  <c r="G754" i="27"/>
  <c r="G753" i="27"/>
  <c r="G752" i="27"/>
  <c r="G751" i="27"/>
  <c r="G750" i="27"/>
  <c r="G749" i="27"/>
  <c r="G748" i="27"/>
  <c r="G747" i="27"/>
  <c r="G746" i="27"/>
  <c r="G745" i="27"/>
  <c r="G744" i="27"/>
  <c r="G743" i="27"/>
  <c r="G742" i="27"/>
  <c r="G741" i="27"/>
  <c r="G740" i="27"/>
  <c r="G739" i="27"/>
  <c r="G738" i="27"/>
  <c r="G737" i="27"/>
  <c r="G736" i="27"/>
  <c r="G735" i="27"/>
  <c r="G734" i="27"/>
  <c r="G733" i="27"/>
  <c r="G732" i="27"/>
  <c r="G731" i="27"/>
  <c r="G730" i="27"/>
  <c r="G729" i="27"/>
  <c r="G728" i="27"/>
  <c r="G727" i="27"/>
  <c r="G726" i="27"/>
  <c r="G725" i="27"/>
  <c r="G724" i="27"/>
  <c r="G723" i="27"/>
  <c r="G722" i="27"/>
  <c r="G721" i="27"/>
  <c r="G720" i="27"/>
  <c r="G719" i="27"/>
  <c r="G718" i="27"/>
  <c r="G717" i="27"/>
  <c r="G716" i="27"/>
  <c r="G715" i="27"/>
  <c r="G714" i="27"/>
  <c r="G713" i="27"/>
  <c r="G712" i="27"/>
  <c r="G711" i="27"/>
  <c r="G710" i="27"/>
  <c r="G709" i="27"/>
  <c r="G708" i="27"/>
  <c r="G707" i="27"/>
  <c r="G706" i="27"/>
  <c r="G705" i="27"/>
  <c r="G704" i="27"/>
  <c r="G703" i="27"/>
  <c r="G702" i="27"/>
  <c r="G701" i="27"/>
  <c r="G700" i="27"/>
  <c r="G699" i="27"/>
  <c r="G698" i="27"/>
  <c r="G697" i="27"/>
  <c r="G696" i="27"/>
  <c r="G695" i="27"/>
  <c r="G694" i="27"/>
  <c r="G693" i="27"/>
  <c r="G692" i="27"/>
  <c r="G691" i="27"/>
  <c r="G690" i="27"/>
  <c r="G689" i="27"/>
  <c r="G688" i="27"/>
  <c r="G687" i="27"/>
  <c r="G686" i="27"/>
  <c r="G685" i="27"/>
  <c r="G684" i="27"/>
  <c r="G683" i="27"/>
  <c r="G682" i="27"/>
  <c r="G681" i="27"/>
  <c r="G680" i="27"/>
  <c r="G679" i="27"/>
  <c r="G678" i="27"/>
  <c r="G677" i="27"/>
  <c r="G676" i="27"/>
  <c r="G675" i="27"/>
  <c r="G674" i="27"/>
  <c r="G673" i="27"/>
  <c r="G672" i="27"/>
  <c r="G671" i="27"/>
  <c r="G670" i="27"/>
  <c r="G669" i="27"/>
  <c r="G668" i="27"/>
  <c r="G667" i="27"/>
  <c r="G666" i="27"/>
  <c r="G665" i="27"/>
  <c r="G664" i="27"/>
  <c r="G663" i="27"/>
  <c r="G662" i="27"/>
  <c r="G661" i="27"/>
  <c r="G660" i="27"/>
  <c r="G659" i="27"/>
  <c r="G658" i="27"/>
  <c r="G657" i="27"/>
  <c r="G656" i="27"/>
  <c r="G655" i="27"/>
  <c r="G654" i="27"/>
  <c r="G653" i="27"/>
  <c r="G652" i="27"/>
  <c r="G651" i="27"/>
  <c r="G650" i="27"/>
  <c r="G649" i="27"/>
  <c r="G648" i="27"/>
  <c r="G647" i="27"/>
  <c r="G646" i="27"/>
  <c r="G645" i="27"/>
  <c r="G644" i="27"/>
  <c r="G643" i="27"/>
  <c r="G642" i="27"/>
  <c r="G641" i="27"/>
  <c r="G640" i="27"/>
  <c r="G639" i="27"/>
  <c r="G638" i="27"/>
  <c r="G637" i="27"/>
  <c r="G636" i="27"/>
  <c r="G635" i="27"/>
  <c r="G634" i="27"/>
  <c r="G633" i="27"/>
  <c r="G632" i="27"/>
  <c r="G631" i="27"/>
  <c r="G630" i="27"/>
  <c r="G629" i="27"/>
  <c r="G628" i="27"/>
  <c r="G627" i="27"/>
  <c r="G626" i="27"/>
  <c r="G625" i="27"/>
  <c r="G624" i="27"/>
  <c r="G623" i="27"/>
  <c r="G622" i="27"/>
  <c r="G621" i="27"/>
  <c r="G620" i="27"/>
  <c r="G619" i="27"/>
  <c r="G618" i="27"/>
  <c r="G617" i="27"/>
  <c r="G616" i="27"/>
  <c r="G615" i="27"/>
  <c r="G614" i="27"/>
  <c r="G613" i="27"/>
  <c r="G612" i="27"/>
  <c r="G611" i="27"/>
  <c r="G610" i="27"/>
  <c r="G609" i="27"/>
  <c r="G608" i="27"/>
  <c r="G607" i="27"/>
  <c r="G606" i="27"/>
  <c r="G605" i="27"/>
  <c r="G604" i="27"/>
  <c r="G603" i="27"/>
  <c r="G602" i="27"/>
  <c r="G601" i="27"/>
  <c r="G600" i="27"/>
  <c r="G599" i="27"/>
  <c r="G598" i="27"/>
  <c r="G597" i="27"/>
  <c r="G596" i="27"/>
  <c r="G595" i="27"/>
  <c r="G594" i="27"/>
  <c r="G593" i="27"/>
  <c r="G592" i="27"/>
  <c r="G591" i="27"/>
  <c r="G590" i="27"/>
  <c r="G589" i="27"/>
  <c r="G588" i="27"/>
  <c r="G587" i="27"/>
  <c r="G586" i="27"/>
  <c r="G585" i="27"/>
  <c r="G584" i="27"/>
  <c r="G583" i="27"/>
  <c r="G582" i="27"/>
  <c r="G581" i="27"/>
  <c r="G580" i="27"/>
  <c r="G579" i="27"/>
  <c r="G578" i="27"/>
  <c r="G577" i="27"/>
  <c r="G576" i="27"/>
  <c r="G575" i="27"/>
  <c r="G574" i="27"/>
  <c r="G573" i="27"/>
  <c r="G572" i="27"/>
  <c r="G571" i="27"/>
  <c r="G570" i="27"/>
  <c r="G569" i="27"/>
  <c r="G568" i="27"/>
  <c r="G567" i="27"/>
  <c r="G566" i="27"/>
  <c r="G565" i="27"/>
  <c r="G564" i="27"/>
  <c r="G563" i="27"/>
  <c r="G562" i="27"/>
  <c r="G561" i="27"/>
  <c r="G560" i="27"/>
  <c r="G559" i="27"/>
  <c r="G558" i="27"/>
  <c r="G557" i="27"/>
  <c r="G556" i="27"/>
  <c r="G555" i="27"/>
  <c r="G554" i="27"/>
  <c r="G553" i="27"/>
  <c r="G552" i="27"/>
  <c r="G551" i="27"/>
  <c r="G550" i="27"/>
  <c r="G549" i="27"/>
  <c r="G548" i="27"/>
  <c r="G547" i="27"/>
  <c r="G546" i="27"/>
  <c r="G545" i="27"/>
  <c r="G544" i="27"/>
  <c r="G543" i="27"/>
  <c r="G542" i="27"/>
  <c r="G541" i="27"/>
  <c r="G540" i="27"/>
  <c r="G539" i="27"/>
  <c r="G538" i="27"/>
  <c r="G537" i="27"/>
  <c r="G536" i="27"/>
  <c r="G535" i="27"/>
  <c r="G534" i="27"/>
  <c r="G533" i="27"/>
  <c r="G532" i="27"/>
  <c r="G531" i="27"/>
  <c r="G530" i="27"/>
  <c r="G529" i="27"/>
  <c r="G528" i="27"/>
  <c r="G527" i="27"/>
  <c r="G526" i="27"/>
  <c r="G525" i="27"/>
  <c r="G524" i="27"/>
  <c r="G523" i="27"/>
  <c r="G522" i="27"/>
  <c r="G521" i="27"/>
  <c r="G520" i="27"/>
  <c r="G519" i="27"/>
  <c r="G518" i="27"/>
  <c r="G517" i="27"/>
  <c r="G516" i="27"/>
  <c r="G515" i="27"/>
  <c r="G514" i="27"/>
  <c r="G513" i="27"/>
  <c r="G512" i="27"/>
  <c r="G511" i="27"/>
  <c r="G510" i="27"/>
  <c r="G509" i="27"/>
  <c r="G508" i="27"/>
  <c r="G507" i="27"/>
  <c r="G506" i="27"/>
  <c r="G505" i="27"/>
  <c r="G504" i="27"/>
  <c r="G503" i="27"/>
  <c r="G502" i="27"/>
  <c r="G501" i="27"/>
  <c r="G500" i="27"/>
  <c r="G499" i="27"/>
  <c r="G498" i="27"/>
  <c r="G497" i="27"/>
  <c r="G496" i="27"/>
  <c r="G495" i="27"/>
  <c r="G494" i="27"/>
  <c r="G493" i="27"/>
  <c r="G492" i="27"/>
  <c r="G491" i="27"/>
  <c r="G490" i="27"/>
  <c r="G489" i="27"/>
  <c r="G488" i="27"/>
  <c r="G487" i="27"/>
  <c r="G486" i="27"/>
  <c r="G485" i="27"/>
  <c r="G484" i="27"/>
  <c r="G483" i="27"/>
  <c r="G482" i="27"/>
  <c r="G481" i="27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33" i="27"/>
  <c r="G432" i="27"/>
  <c r="G431" i="27"/>
  <c r="G430" i="27"/>
  <c r="G429" i="27"/>
  <c r="G428" i="27"/>
  <c r="G427" i="27"/>
  <c r="G426" i="27"/>
  <c r="G425" i="27"/>
  <c r="G424" i="27"/>
  <c r="G423" i="27"/>
  <c r="G422" i="27"/>
  <c r="G421" i="27"/>
  <c r="G420" i="27"/>
  <c r="G419" i="27"/>
  <c r="G418" i="27"/>
  <c r="G417" i="27"/>
  <c r="G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G401" i="27"/>
  <c r="G400" i="27"/>
  <c r="G399" i="27"/>
  <c r="G398" i="27"/>
  <c r="G397" i="27"/>
  <c r="G396" i="27"/>
  <c r="G395" i="27"/>
  <c r="G394" i="27"/>
  <c r="G393" i="27"/>
  <c r="G392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G377" i="27"/>
  <c r="G376" i="27"/>
  <c r="G375" i="27"/>
  <c r="G374" i="27"/>
  <c r="G373" i="27"/>
  <c r="G372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980" i="26"/>
  <c r="G981" i="26"/>
  <c r="G982" i="26"/>
  <c r="G973" i="26"/>
  <c r="G974" i="26"/>
  <c r="G975" i="26"/>
  <c r="G976" i="26"/>
  <c r="G977" i="26"/>
  <c r="G978" i="26"/>
  <c r="G979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B21" i="28" l="1"/>
  <c r="K880" i="28" s="1" a="1"/>
  <c r="K880" i="28" s="1"/>
  <c r="L880" i="28" s="1"/>
  <c r="K784" i="28" a="1"/>
  <c r="K784" i="28" s="1"/>
  <c r="L784" i="28" s="1"/>
  <c r="K844" i="28" a="1"/>
  <c r="K844" i="28" s="1"/>
  <c r="L844" i="28" s="1"/>
  <c r="K832" i="28" a="1"/>
  <c r="K832" i="28" s="1"/>
  <c r="L832" i="28" s="1"/>
  <c r="K796" i="28" a="1"/>
  <c r="K796" i="28" s="1"/>
  <c r="L796" i="28" s="1"/>
  <c r="K976" i="28" a="1"/>
  <c r="K976" i="28" s="1"/>
  <c r="L976" i="28" s="1"/>
  <c r="K772" i="28" a="1"/>
  <c r="K772" i="28" s="1"/>
  <c r="L772" i="28" s="1"/>
  <c r="K856" i="28" a="1"/>
  <c r="K856" i="28" s="1"/>
  <c r="L856" i="28" s="1"/>
  <c r="K928" i="28" a="1"/>
  <c r="K928" i="28" s="1"/>
  <c r="L928" i="28" s="1"/>
  <c r="K916" i="28" a="1"/>
  <c r="K916" i="28" s="1"/>
  <c r="L916" i="28" s="1"/>
  <c r="K868" i="28" a="1"/>
  <c r="K868" i="28" s="1"/>
  <c r="L868" i="28" s="1"/>
  <c r="K848" i="28" a="1"/>
  <c r="K848" i="28" s="1"/>
  <c r="L848" i="28" s="1"/>
  <c r="K800" i="28" a="1"/>
  <c r="K800" i="28" s="1"/>
  <c r="L800" i="28" s="1"/>
  <c r="K824" i="28" a="1"/>
  <c r="K824" i="28" s="1"/>
  <c r="L824" i="28" s="1"/>
  <c r="K944" i="28" a="1"/>
  <c r="K944" i="28" s="1"/>
  <c r="L944" i="28" s="1"/>
  <c r="K836" i="28" a="1"/>
  <c r="K836" i="28" s="1"/>
  <c r="L836" i="28" s="1"/>
  <c r="K884" i="28" a="1"/>
  <c r="K884" i="28" s="1"/>
  <c r="L884" i="28" s="1"/>
  <c r="K956" i="28" a="1"/>
  <c r="K956" i="28" s="1"/>
  <c r="L956" i="28" s="1"/>
  <c r="K920" i="28" a="1"/>
  <c r="K920" i="28" s="1"/>
  <c r="L920" i="28" s="1"/>
  <c r="K752" i="28" a="1"/>
  <c r="K752" i="28" s="1"/>
  <c r="L752" i="28" s="1"/>
  <c r="K776" i="28" a="1"/>
  <c r="K776" i="28" s="1"/>
  <c r="L776" i="28" s="1"/>
  <c r="K764" i="28" a="1"/>
  <c r="K764" i="28" s="1"/>
  <c r="L764" i="28" s="1"/>
  <c r="K812" i="28" a="1"/>
  <c r="K812" i="28" s="1"/>
  <c r="L812" i="28" s="1"/>
  <c r="K860" i="28" a="1"/>
  <c r="K860" i="28" s="1"/>
  <c r="L860" i="28" s="1"/>
  <c r="K980" i="28" a="1"/>
  <c r="K980" i="28" s="1"/>
  <c r="K908" i="28" a="1"/>
  <c r="K908" i="28" s="1"/>
  <c r="L908" i="28" s="1"/>
  <c r="K896" i="28" a="1"/>
  <c r="K896" i="28" s="1"/>
  <c r="L896" i="28" s="1"/>
  <c r="K968" i="28" a="1"/>
  <c r="K968" i="28" s="1"/>
  <c r="K932" i="28" a="1"/>
  <c r="K932" i="28" s="1"/>
  <c r="K788" i="28" a="1"/>
  <c r="K788" i="28" s="1"/>
  <c r="L788" i="28" s="1"/>
  <c r="K872" i="28" a="1"/>
  <c r="K872" i="28" s="1"/>
  <c r="L872" i="28" s="1"/>
  <c r="K893" i="28" a="1"/>
  <c r="K893" i="28" s="1"/>
  <c r="K785" i="28" a="1"/>
  <c r="K785" i="28" s="1"/>
  <c r="K749" i="28" a="1"/>
  <c r="K749" i="28" s="1"/>
  <c r="L749" i="28" s="1"/>
  <c r="K821" i="28" a="1"/>
  <c r="K821" i="28" s="1"/>
  <c r="L821" i="28" s="1"/>
  <c r="K881" i="28" a="1"/>
  <c r="K881" i="28" s="1"/>
  <c r="K917" i="28" a="1"/>
  <c r="K917" i="28" s="1"/>
  <c r="K953" i="28" a="1"/>
  <c r="K953" i="28" s="1"/>
  <c r="K845" i="28" a="1"/>
  <c r="K845" i="28" s="1"/>
  <c r="L845" i="28" s="1"/>
  <c r="K857" i="28" a="1"/>
  <c r="K857" i="28" s="1"/>
  <c r="K929" i="28" a="1"/>
  <c r="K929" i="28" s="1"/>
  <c r="K977" i="28" a="1"/>
  <c r="K977" i="28" s="1"/>
  <c r="L977" i="28" s="1"/>
  <c r="K869" i="28" a="1"/>
  <c r="K869" i="28" s="1"/>
  <c r="K905" i="28" a="1"/>
  <c r="K905" i="28" s="1"/>
  <c r="L905" i="28" s="1"/>
  <c r="K941" i="28" a="1"/>
  <c r="K941" i="28" s="1"/>
  <c r="L941" i="28" s="1"/>
  <c r="K761" i="28" a="1"/>
  <c r="K761" i="28" s="1"/>
  <c r="L761" i="28" s="1"/>
  <c r="K773" i="28" a="1"/>
  <c r="K773" i="28" s="1"/>
  <c r="K797" i="28" a="1"/>
  <c r="K797" i="28" s="1"/>
  <c r="K833" i="28" a="1"/>
  <c r="K833" i="28" s="1"/>
  <c r="K809" i="28" a="1"/>
  <c r="K809" i="28" s="1"/>
  <c r="L809" i="28" s="1"/>
  <c r="K965" i="28" a="1"/>
  <c r="K965" i="28" s="1"/>
  <c r="L965" i="28" s="1"/>
  <c r="K68" i="28" a="1"/>
  <c r="K68" i="28" s="1"/>
  <c r="L68" i="28" s="1"/>
  <c r="M68" i="28" s="1"/>
  <c r="K20" i="28" a="1"/>
  <c r="K20" i="28" s="1"/>
  <c r="L20" i="28" s="1"/>
  <c r="M20" i="28" s="1"/>
  <c r="K329" i="28" a="1"/>
  <c r="K329" i="28" s="1"/>
  <c r="L329" i="28" s="1"/>
  <c r="M329" i="28" s="1"/>
  <c r="K533" i="28" a="1"/>
  <c r="K533" i="28" s="1"/>
  <c r="L533" i="28" s="1"/>
  <c r="M533" i="28" s="1"/>
  <c r="K725" i="28" a="1"/>
  <c r="K725" i="28" s="1"/>
  <c r="L725" i="28" s="1"/>
  <c r="M725" i="28" s="1"/>
  <c r="B19" i="28"/>
  <c r="L881" i="28"/>
  <c r="L953" i="28"/>
  <c r="K113" i="28" a="1"/>
  <c r="K113" i="28" s="1"/>
  <c r="L113" i="28" s="1"/>
  <c r="M113" i="28" s="1"/>
  <c r="K209" i="28" a="1"/>
  <c r="K209" i="28" s="1"/>
  <c r="L209" i="28" s="1"/>
  <c r="M209" i="28" s="1"/>
  <c r="K56" i="28" a="1"/>
  <c r="K56" i="28" s="1"/>
  <c r="L56" i="28" s="1"/>
  <c r="M56" i="28" s="1"/>
  <c r="K305" i="28" a="1"/>
  <c r="K305" i="28" s="1"/>
  <c r="L305" i="28" s="1"/>
  <c r="M305" i="28" s="1"/>
  <c r="K425" i="28" a="1"/>
  <c r="K425" i="28" s="1"/>
  <c r="L425" i="28" s="1"/>
  <c r="M425" i="28" s="1"/>
  <c r="K521" i="28" a="1"/>
  <c r="K521" i="28" s="1"/>
  <c r="L521" i="28" s="1"/>
  <c r="M521" i="28" s="1"/>
  <c r="K653" i="28" a="1"/>
  <c r="K653" i="28" s="1"/>
  <c r="L653" i="28" s="1"/>
  <c r="M653" i="28" s="1"/>
  <c r="K713" i="28" a="1"/>
  <c r="K713" i="28" s="1"/>
  <c r="L713" i="28" s="1"/>
  <c r="M713" i="28" s="1"/>
  <c r="B20" i="28"/>
  <c r="L869" i="28"/>
  <c r="L932" i="28"/>
  <c r="L968" i="28"/>
  <c r="K173" i="28" a="1"/>
  <c r="K173" i="28" s="1"/>
  <c r="L173" i="28" s="1"/>
  <c r="M173" i="28" s="1"/>
  <c r="K317" i="28" a="1"/>
  <c r="K317" i="28" s="1"/>
  <c r="L317" i="28" s="1"/>
  <c r="M317" i="28" s="1"/>
  <c r="K437" i="28" a="1"/>
  <c r="K437" i="28" s="1"/>
  <c r="L437" i="28" s="1"/>
  <c r="M437" i="28" s="1"/>
  <c r="K617" i="28" a="1"/>
  <c r="K617" i="28" s="1"/>
  <c r="L617" i="28" s="1"/>
  <c r="M617" i="28" s="1"/>
  <c r="K701" i="28" a="1"/>
  <c r="K701" i="28" s="1"/>
  <c r="L701" i="28" s="1"/>
  <c r="M701" i="28" s="1"/>
  <c r="B23" i="28"/>
  <c r="K89" i="28" a="1"/>
  <c r="K89" i="28" s="1"/>
  <c r="L89" i="28" s="1"/>
  <c r="M89" i="28" s="1"/>
  <c r="K137" i="28" a="1"/>
  <c r="K137" i="28" s="1"/>
  <c r="L137" i="28" s="1"/>
  <c r="M137" i="28" s="1"/>
  <c r="K185" i="28" a="1"/>
  <c r="K185" i="28" s="1"/>
  <c r="L185" i="28" s="1"/>
  <c r="M185" i="28" s="1"/>
  <c r="K233" i="28" a="1"/>
  <c r="K233" i="28" s="1"/>
  <c r="L233" i="28" s="1"/>
  <c r="M233" i="28" s="1"/>
  <c r="K32" i="28" a="1"/>
  <c r="K32" i="28" s="1"/>
  <c r="L32" i="28" s="1"/>
  <c r="M32" i="28" s="1"/>
  <c r="K257" i="28" a="1"/>
  <c r="K257" i="28" s="1"/>
  <c r="L257" i="28" s="1"/>
  <c r="M257" i="28" s="1"/>
  <c r="K341" i="28" a="1"/>
  <c r="K341" i="28" s="1"/>
  <c r="L341" i="28" s="1"/>
  <c r="M341" i="28" s="1"/>
  <c r="K353" i="28" a="1"/>
  <c r="K353" i="28" s="1"/>
  <c r="L353" i="28" s="1"/>
  <c r="M353" i="28" s="1"/>
  <c r="K401" i="28" a="1"/>
  <c r="K401" i="28" s="1"/>
  <c r="L401" i="28" s="1"/>
  <c r="M401" i="28" s="1"/>
  <c r="K449" i="28" a="1"/>
  <c r="K449" i="28" s="1"/>
  <c r="L449" i="28" s="1"/>
  <c r="M449" i="28" s="1"/>
  <c r="K497" i="28" a="1"/>
  <c r="K497" i="28" s="1"/>
  <c r="L497" i="28" s="1"/>
  <c r="M497" i="28" s="1"/>
  <c r="K545" i="28" a="1"/>
  <c r="K545" i="28" s="1"/>
  <c r="L545" i="28" s="1"/>
  <c r="M545" i="28" s="1"/>
  <c r="K629" i="28" a="1"/>
  <c r="K629" i="28" s="1"/>
  <c r="L629" i="28" s="1"/>
  <c r="M629" i="28" s="1"/>
  <c r="K569" i="28" a="1"/>
  <c r="K569" i="28" s="1"/>
  <c r="L569" i="28" s="1"/>
  <c r="M569" i="28" s="1"/>
  <c r="K677" i="28" a="1"/>
  <c r="K677" i="28" s="1"/>
  <c r="L677" i="28" s="1"/>
  <c r="M677" i="28" s="1"/>
  <c r="K737" i="28" a="1"/>
  <c r="K737" i="28" s="1"/>
  <c r="L737" i="28" s="1"/>
  <c r="M737" i="28" s="1"/>
  <c r="L893" i="28"/>
  <c r="B18" i="28"/>
  <c r="L833" i="28"/>
  <c r="K161" i="28" a="1"/>
  <c r="K161" i="28" s="1"/>
  <c r="L161" i="28" s="1"/>
  <c r="M161" i="28" s="1"/>
  <c r="K8" i="28" a="1"/>
  <c r="K8" i="28" s="1"/>
  <c r="L8" i="28" s="1"/>
  <c r="M8" i="28" s="1"/>
  <c r="K293" i="28" a="1"/>
  <c r="K293" i="28" s="1"/>
  <c r="L293" i="28" s="1"/>
  <c r="M293" i="28" s="1"/>
  <c r="K377" i="28" a="1"/>
  <c r="K377" i="28" s="1"/>
  <c r="L377" i="28" s="1"/>
  <c r="M377" i="28" s="1"/>
  <c r="K473" i="28" a="1"/>
  <c r="K473" i="28" s="1"/>
  <c r="L473" i="28" s="1"/>
  <c r="M473" i="28" s="1"/>
  <c r="K605" i="28" a="1"/>
  <c r="K605" i="28" s="1"/>
  <c r="L605" i="28" s="1"/>
  <c r="M605" i="28" s="1"/>
  <c r="K665" i="28" a="1"/>
  <c r="K665" i="28" s="1"/>
  <c r="L665" i="28" s="1"/>
  <c r="M665" i="28" s="1"/>
  <c r="B16" i="28"/>
  <c r="B15" i="28"/>
  <c r="B12" i="28"/>
  <c r="L773" i="28"/>
  <c r="L785" i="28"/>
  <c r="L857" i="28"/>
  <c r="K125" i="28" a="1"/>
  <c r="K125" i="28" s="1"/>
  <c r="L125" i="28" s="1"/>
  <c r="M125" i="28" s="1"/>
  <c r="K221" i="28" a="1"/>
  <c r="K221" i="28" s="1"/>
  <c r="L221" i="28" s="1"/>
  <c r="M221" i="28" s="1"/>
  <c r="K77" i="28" a="1"/>
  <c r="K77" i="28" s="1"/>
  <c r="L77" i="28" s="1"/>
  <c r="M77" i="28" s="1"/>
  <c r="K389" i="28" a="1"/>
  <c r="K389" i="28" s="1"/>
  <c r="L389" i="28" s="1"/>
  <c r="M389" i="28" s="1"/>
  <c r="K485" i="28" a="1"/>
  <c r="K485" i="28" s="1"/>
  <c r="L485" i="28" s="1"/>
  <c r="M485" i="28" s="1"/>
  <c r="K557" i="28" a="1"/>
  <c r="K557" i="28" s="1"/>
  <c r="L557" i="28" s="1"/>
  <c r="M557" i="28" s="1"/>
  <c r="K101" i="28" a="1"/>
  <c r="K101" i="28" s="1"/>
  <c r="L101" i="28" s="1"/>
  <c r="M101" i="28" s="1"/>
  <c r="K149" i="28" a="1"/>
  <c r="K149" i="28" s="1"/>
  <c r="L149" i="28" s="1"/>
  <c r="M149" i="28" s="1"/>
  <c r="K197" i="28" a="1"/>
  <c r="K197" i="28" s="1"/>
  <c r="L197" i="28" s="1"/>
  <c r="M197" i="28" s="1"/>
  <c r="K245" i="28" a="1"/>
  <c r="K245" i="28" s="1"/>
  <c r="L245" i="28" s="1"/>
  <c r="M245" i="28" s="1"/>
  <c r="K44" i="28" a="1"/>
  <c r="K44" i="28" s="1"/>
  <c r="L44" i="28" s="1"/>
  <c r="M44" i="28" s="1"/>
  <c r="K269" i="28" a="1"/>
  <c r="K269" i="28" s="1"/>
  <c r="L269" i="28" s="1"/>
  <c r="M269" i="28" s="1"/>
  <c r="K281" i="28" a="1"/>
  <c r="K281" i="28" s="1"/>
  <c r="L281" i="28" s="1"/>
  <c r="M281" i="28" s="1"/>
  <c r="K365" i="28" a="1"/>
  <c r="K365" i="28" s="1"/>
  <c r="L365" i="28" s="1"/>
  <c r="M365" i="28" s="1"/>
  <c r="K413" i="28" a="1"/>
  <c r="K413" i="28" s="1"/>
  <c r="L413" i="28" s="1"/>
  <c r="M413" i="28" s="1"/>
  <c r="K461" i="28" a="1"/>
  <c r="K461" i="28" s="1"/>
  <c r="L461" i="28" s="1"/>
  <c r="M461" i="28" s="1"/>
  <c r="K509" i="28" a="1"/>
  <c r="K509" i="28" s="1"/>
  <c r="L509" i="28" s="1"/>
  <c r="M509" i="28" s="1"/>
  <c r="K581" i="28" a="1"/>
  <c r="K581" i="28" s="1"/>
  <c r="L581" i="28" s="1"/>
  <c r="M581" i="28" s="1"/>
  <c r="K641" i="28" a="1"/>
  <c r="K641" i="28" s="1"/>
  <c r="L641" i="28" s="1"/>
  <c r="M641" i="28" s="1"/>
  <c r="K593" i="28" a="1"/>
  <c r="K593" i="28" s="1"/>
  <c r="L593" i="28" s="1"/>
  <c r="M593" i="28" s="1"/>
  <c r="K689" i="28" a="1"/>
  <c r="K689" i="28" s="1"/>
  <c r="L689" i="28" s="1"/>
  <c r="M689" i="28" s="1"/>
  <c r="B17" i="28"/>
  <c r="B14" i="28"/>
  <c r="L917" i="28"/>
  <c r="L797" i="28"/>
  <c r="L929" i="28"/>
  <c r="L980" i="28"/>
  <c r="K740" i="28" a="1"/>
  <c r="K740" i="28" s="1"/>
  <c r="L740" i="28" s="1"/>
  <c r="M740" i="28" s="1"/>
  <c r="K728" i="28" a="1"/>
  <c r="K728" i="28" s="1"/>
  <c r="L728" i="28" s="1"/>
  <c r="M728" i="28" s="1"/>
  <c r="K716" i="28" a="1"/>
  <c r="K716" i="28" s="1"/>
  <c r="L716" i="28" s="1"/>
  <c r="M716" i="28" s="1"/>
  <c r="K704" i="28" a="1"/>
  <c r="K704" i="28" s="1"/>
  <c r="L704" i="28" s="1"/>
  <c r="M704" i="28" s="1"/>
  <c r="K680" i="28" a="1"/>
  <c r="K680" i="28" s="1"/>
  <c r="L680" i="28" s="1"/>
  <c r="M680" i="28" s="1"/>
  <c r="K668" i="28" a="1"/>
  <c r="K668" i="28" s="1"/>
  <c r="L668" i="28" s="1"/>
  <c r="M668" i="28" s="1"/>
  <c r="K656" i="28" a="1"/>
  <c r="K656" i="28" s="1"/>
  <c r="L656" i="28" s="1"/>
  <c r="M656" i="28" s="1"/>
  <c r="K692" i="28" a="1"/>
  <c r="K692" i="28" s="1"/>
  <c r="L692" i="28" s="1"/>
  <c r="M692" i="28" s="1"/>
  <c r="K584" i="28" a="1"/>
  <c r="K584" i="28" s="1"/>
  <c r="L584" i="28" s="1"/>
  <c r="M584" i="28" s="1"/>
  <c r="K644" i="28" a="1"/>
  <c r="K644" i="28" s="1"/>
  <c r="L644" i="28" s="1"/>
  <c r="M644" i="28" s="1"/>
  <c r="K632" i="28" a="1"/>
  <c r="K632" i="28" s="1"/>
  <c r="L632" i="28" s="1"/>
  <c r="M632" i="28" s="1"/>
  <c r="K620" i="28" a="1"/>
  <c r="K620" i="28" s="1"/>
  <c r="L620" i="28" s="1"/>
  <c r="M620" i="28" s="1"/>
  <c r="K608" i="28" a="1"/>
  <c r="K608" i="28" s="1"/>
  <c r="L608" i="28" s="1"/>
  <c r="M608" i="28" s="1"/>
  <c r="K596" i="28" a="1"/>
  <c r="K596" i="28" s="1"/>
  <c r="L596" i="28" s="1"/>
  <c r="M596" i="28" s="1"/>
  <c r="K548" i="28" a="1"/>
  <c r="K548" i="28" s="1"/>
  <c r="L548" i="28" s="1"/>
  <c r="M548" i="28" s="1"/>
  <c r="K536" i="28" a="1"/>
  <c r="K536" i="28" s="1"/>
  <c r="L536" i="28" s="1"/>
  <c r="M536" i="28" s="1"/>
  <c r="K524" i="28" a="1"/>
  <c r="K524" i="28" s="1"/>
  <c r="L524" i="28" s="1"/>
  <c r="M524" i="28" s="1"/>
  <c r="K512" i="28" a="1"/>
  <c r="K512" i="28" s="1"/>
  <c r="L512" i="28" s="1"/>
  <c r="M512" i="28" s="1"/>
  <c r="K572" i="28" a="1"/>
  <c r="K572" i="28" s="1"/>
  <c r="L572" i="28" s="1"/>
  <c r="M572" i="28" s="1"/>
  <c r="K428" i="28" a="1"/>
  <c r="K428" i="28" s="1"/>
  <c r="L428" i="28" s="1"/>
  <c r="M428" i="28" s="1"/>
  <c r="K416" i="28" a="1"/>
  <c r="K416" i="28" s="1"/>
  <c r="L416" i="28" s="1"/>
  <c r="M416" i="28" s="1"/>
  <c r="K404" i="28" a="1"/>
  <c r="K404" i="28" s="1"/>
  <c r="L404" i="28" s="1"/>
  <c r="M404" i="28" s="1"/>
  <c r="K392" i="28" a="1"/>
  <c r="K392" i="28" s="1"/>
  <c r="L392" i="28" s="1"/>
  <c r="M392" i="28" s="1"/>
  <c r="K500" i="28" a="1"/>
  <c r="K500" i="28" s="1"/>
  <c r="L500" i="28" s="1"/>
  <c r="M500" i="28" s="1"/>
  <c r="K488" i="28" a="1"/>
  <c r="K488" i="28" s="1"/>
  <c r="L488" i="28" s="1"/>
  <c r="M488" i="28" s="1"/>
  <c r="K476" i="28" a="1"/>
  <c r="K476" i="28" s="1"/>
  <c r="L476" i="28" s="1"/>
  <c r="M476" i="28" s="1"/>
  <c r="K464" i="28" a="1"/>
  <c r="K464" i="28" s="1"/>
  <c r="L464" i="28" s="1"/>
  <c r="M464" i="28" s="1"/>
  <c r="K452" i="28" a="1"/>
  <c r="K452" i="28" s="1"/>
  <c r="L452" i="28" s="1"/>
  <c r="M452" i="28" s="1"/>
  <c r="K440" i="28" a="1"/>
  <c r="K440" i="28" s="1"/>
  <c r="L440" i="28" s="1"/>
  <c r="M440" i="28" s="1"/>
  <c r="K560" i="28" a="1"/>
  <c r="K560" i="28" s="1"/>
  <c r="L560" i="28" s="1"/>
  <c r="M560" i="28" s="1"/>
  <c r="K368" i="28" a="1"/>
  <c r="K368" i="28" s="1"/>
  <c r="L368" i="28" s="1"/>
  <c r="M368" i="28" s="1"/>
  <c r="K344" i="28" a="1"/>
  <c r="K344" i="28" s="1"/>
  <c r="L344" i="28" s="1"/>
  <c r="M344" i="28" s="1"/>
  <c r="K320" i="28" a="1"/>
  <c r="K320" i="28" s="1"/>
  <c r="L320" i="28" s="1"/>
  <c r="M320" i="28" s="1"/>
  <c r="K284" i="28" a="1"/>
  <c r="K284" i="28" s="1"/>
  <c r="L284" i="28" s="1"/>
  <c r="M284" i="28" s="1"/>
  <c r="K248" i="28" a="1"/>
  <c r="K248" i="28" s="1"/>
  <c r="L248" i="28" s="1"/>
  <c r="M248" i="28" s="1"/>
  <c r="K380" i="28" a="1"/>
  <c r="K380" i="28" s="1"/>
  <c r="L380" i="28" s="1"/>
  <c r="M380" i="28" s="1"/>
  <c r="K332" i="28" a="1"/>
  <c r="K332" i="28" s="1"/>
  <c r="L332" i="28" s="1"/>
  <c r="M332" i="28" s="1"/>
  <c r="K308" i="28" a="1"/>
  <c r="K308" i="28" s="1"/>
  <c r="L308" i="28" s="1"/>
  <c r="M308" i="28" s="1"/>
  <c r="K260" i="28" a="1"/>
  <c r="K260" i="28" s="1"/>
  <c r="L260" i="28" s="1"/>
  <c r="M260" i="28" s="1"/>
  <c r="K236" i="28" a="1"/>
  <c r="K236" i="28" s="1"/>
  <c r="L236" i="28" s="1"/>
  <c r="M236" i="28" s="1"/>
  <c r="K224" i="28" a="1"/>
  <c r="K224" i="28" s="1"/>
  <c r="L224" i="28" s="1"/>
  <c r="M224" i="28" s="1"/>
  <c r="K212" i="28" a="1"/>
  <c r="K212" i="28" s="1"/>
  <c r="L212" i="28" s="1"/>
  <c r="M212" i="28" s="1"/>
  <c r="K200" i="28" a="1"/>
  <c r="K200" i="28" s="1"/>
  <c r="L200" i="28" s="1"/>
  <c r="M200" i="28" s="1"/>
  <c r="K188" i="28" a="1"/>
  <c r="K188" i="28" s="1"/>
  <c r="L188" i="28" s="1"/>
  <c r="M188" i="28" s="1"/>
  <c r="K176" i="28" a="1"/>
  <c r="K176" i="28" s="1"/>
  <c r="L176" i="28" s="1"/>
  <c r="M176" i="28" s="1"/>
  <c r="K164" i="28" a="1"/>
  <c r="K164" i="28" s="1"/>
  <c r="L164" i="28" s="1"/>
  <c r="M164" i="28" s="1"/>
  <c r="K152" i="28" a="1"/>
  <c r="K152" i="28" s="1"/>
  <c r="L152" i="28" s="1"/>
  <c r="M152" i="28" s="1"/>
  <c r="K140" i="28" a="1"/>
  <c r="K140" i="28" s="1"/>
  <c r="L140" i="28" s="1"/>
  <c r="M140" i="28" s="1"/>
  <c r="K128" i="28" a="1"/>
  <c r="K128" i="28" s="1"/>
  <c r="L128" i="28" s="1"/>
  <c r="M128" i="28" s="1"/>
  <c r="K116" i="28" a="1"/>
  <c r="K116" i="28" s="1"/>
  <c r="L116" i="28" s="1"/>
  <c r="M116" i="28" s="1"/>
  <c r="K104" i="28" a="1"/>
  <c r="K104" i="28" s="1"/>
  <c r="L104" i="28" s="1"/>
  <c r="M104" i="28" s="1"/>
  <c r="K92" i="28" a="1"/>
  <c r="K92" i="28" s="1"/>
  <c r="L92" i="28" s="1"/>
  <c r="M92" i="28" s="1"/>
  <c r="K356" i="28" a="1"/>
  <c r="K356" i="28" s="1"/>
  <c r="L356" i="28" s="1"/>
  <c r="M356" i="28" s="1"/>
  <c r="K272" i="28" a="1"/>
  <c r="K272" i="28" s="1"/>
  <c r="L272" i="28" s="1"/>
  <c r="M272" i="28" s="1"/>
  <c r="K296" i="28" a="1"/>
  <c r="K296" i="28" s="1"/>
  <c r="L296" i="28" s="1"/>
  <c r="M296" i="28" s="1"/>
  <c r="K80" i="28" a="1"/>
  <c r="K80" i="28" s="1"/>
  <c r="L80" i="28" s="1"/>
  <c r="M80" i="28" s="1"/>
  <c r="K59" i="28" a="1"/>
  <c r="K59" i="28" s="1"/>
  <c r="L59" i="28" s="1"/>
  <c r="M59" i="28" s="1"/>
  <c r="K47" i="28" a="1"/>
  <c r="K47" i="28" s="1"/>
  <c r="L47" i="28" s="1"/>
  <c r="M47" i="28" s="1"/>
  <c r="K35" i="28" a="1"/>
  <c r="K35" i="28" s="1"/>
  <c r="L35" i="28" s="1"/>
  <c r="M35" i="28" s="1"/>
  <c r="K23" i="28" a="1"/>
  <c r="K23" i="28" s="1"/>
  <c r="L23" i="28" s="1"/>
  <c r="M23" i="28" s="1"/>
  <c r="K11" i="28" a="1"/>
  <c r="K11" i="28" s="1"/>
  <c r="L11" i="28" s="1"/>
  <c r="M11" i="28" s="1"/>
  <c r="K736" i="28" a="1"/>
  <c r="K736" i="28" s="1"/>
  <c r="L736" i="28" s="1"/>
  <c r="M736" i="28" s="1"/>
  <c r="K724" i="28" a="1"/>
  <c r="K724" i="28" s="1"/>
  <c r="L724" i="28" s="1"/>
  <c r="M724" i="28" s="1"/>
  <c r="K712" i="28" a="1"/>
  <c r="K712" i="28" s="1"/>
  <c r="L712" i="28" s="1"/>
  <c r="M712" i="28" s="1"/>
  <c r="K688" i="28" a="1"/>
  <c r="K688" i="28" s="1"/>
  <c r="L688" i="28" s="1"/>
  <c r="M688" i="28" s="1"/>
  <c r="K700" i="28" a="1"/>
  <c r="K700" i="28" s="1"/>
  <c r="L700" i="28" s="1"/>
  <c r="M700" i="28" s="1"/>
  <c r="K676" i="28" a="1"/>
  <c r="K676" i="28" s="1"/>
  <c r="L676" i="28" s="1"/>
  <c r="M676" i="28" s="1"/>
  <c r="K664" i="28" a="1"/>
  <c r="K664" i="28" s="1"/>
  <c r="L664" i="28" s="1"/>
  <c r="M664" i="28" s="1"/>
  <c r="K592" i="28" a="1"/>
  <c r="K592" i="28" s="1"/>
  <c r="L592" i="28" s="1"/>
  <c r="M592" i="28" s="1"/>
  <c r="K568" i="28" a="1"/>
  <c r="K568" i="28" s="1"/>
  <c r="L568" i="28" s="1"/>
  <c r="M568" i="28" s="1"/>
  <c r="K652" i="28" a="1"/>
  <c r="K652" i="28" s="1"/>
  <c r="L652" i="28" s="1"/>
  <c r="M652" i="28" s="1"/>
  <c r="K640" i="28" a="1"/>
  <c r="K640" i="28" s="1"/>
  <c r="L640" i="28" s="1"/>
  <c r="M640" i="28" s="1"/>
  <c r="K628" i="28" a="1"/>
  <c r="K628" i="28" s="1"/>
  <c r="L628" i="28" s="1"/>
  <c r="M628" i="28" s="1"/>
  <c r="K616" i="28" a="1"/>
  <c r="K616" i="28" s="1"/>
  <c r="L616" i="28" s="1"/>
  <c r="M616" i="28" s="1"/>
  <c r="K604" i="28" a="1"/>
  <c r="K604" i="28" s="1"/>
  <c r="L604" i="28" s="1"/>
  <c r="M604" i="28" s="1"/>
  <c r="K556" i="28" a="1"/>
  <c r="K556" i="28" s="1"/>
  <c r="L556" i="28" s="1"/>
  <c r="M556" i="28" s="1"/>
  <c r="K544" i="28" a="1"/>
  <c r="K544" i="28" s="1"/>
  <c r="L544" i="28" s="1"/>
  <c r="M544" i="28" s="1"/>
  <c r="K532" i="28" a="1"/>
  <c r="K532" i="28" s="1"/>
  <c r="L532" i="28" s="1"/>
  <c r="M532" i="28" s="1"/>
  <c r="K520" i="28" a="1"/>
  <c r="K520" i="28" s="1"/>
  <c r="L520" i="28" s="1"/>
  <c r="M520" i="28" s="1"/>
  <c r="K508" i="28" a="1"/>
  <c r="K508" i="28" s="1"/>
  <c r="L508" i="28" s="1"/>
  <c r="M508" i="28" s="1"/>
  <c r="K580" i="28" a="1"/>
  <c r="K580" i="28" s="1"/>
  <c r="L580" i="28" s="1"/>
  <c r="M580" i="28" s="1"/>
  <c r="K436" i="28" a="1"/>
  <c r="K436" i="28" s="1"/>
  <c r="L436" i="28" s="1"/>
  <c r="M436" i="28" s="1"/>
  <c r="K424" i="28" a="1"/>
  <c r="K424" i="28" s="1"/>
  <c r="L424" i="28" s="1"/>
  <c r="M424" i="28" s="1"/>
  <c r="K412" i="28" a="1"/>
  <c r="K412" i="28" s="1"/>
  <c r="L412" i="28" s="1"/>
  <c r="M412" i="28" s="1"/>
  <c r="K400" i="28" a="1"/>
  <c r="K400" i="28" s="1"/>
  <c r="L400" i="28" s="1"/>
  <c r="M400" i="28" s="1"/>
  <c r="K388" i="28" a="1"/>
  <c r="K388" i="28" s="1"/>
  <c r="L388" i="28" s="1"/>
  <c r="M388" i="28" s="1"/>
  <c r="K496" i="28" a="1"/>
  <c r="K496" i="28" s="1"/>
  <c r="L496" i="28" s="1"/>
  <c r="M496" i="28" s="1"/>
  <c r="K484" i="28" a="1"/>
  <c r="K484" i="28" s="1"/>
  <c r="L484" i="28" s="1"/>
  <c r="M484" i="28" s="1"/>
  <c r="K472" i="28" a="1"/>
  <c r="K472" i="28" s="1"/>
  <c r="L472" i="28" s="1"/>
  <c r="M472" i="28" s="1"/>
  <c r="K460" i="28" a="1"/>
  <c r="K460" i="28" s="1"/>
  <c r="L460" i="28" s="1"/>
  <c r="M460" i="28" s="1"/>
  <c r="K448" i="28" a="1"/>
  <c r="K448" i="28" s="1"/>
  <c r="L448" i="28" s="1"/>
  <c r="M448" i="28" s="1"/>
  <c r="K376" i="28" a="1"/>
  <c r="K376" i="28" s="1"/>
  <c r="L376" i="28" s="1"/>
  <c r="M376" i="28" s="1"/>
  <c r="K352" i="28" a="1"/>
  <c r="K352" i="28" s="1"/>
  <c r="L352" i="28" s="1"/>
  <c r="M352" i="28" s="1"/>
  <c r="K328" i="28" a="1"/>
  <c r="K328" i="28" s="1"/>
  <c r="L328" i="28" s="1"/>
  <c r="M328" i="28" s="1"/>
  <c r="K256" i="28" a="1"/>
  <c r="K256" i="28" s="1"/>
  <c r="L256" i="28" s="1"/>
  <c r="M256" i="28" s="1"/>
  <c r="K364" i="28" a="1"/>
  <c r="K364" i="28" s="1"/>
  <c r="L364" i="28" s="1"/>
  <c r="M364" i="28" s="1"/>
  <c r="K340" i="28" a="1"/>
  <c r="K340" i="28" s="1"/>
  <c r="L340" i="28" s="1"/>
  <c r="M340" i="28" s="1"/>
  <c r="K316" i="28" a="1"/>
  <c r="K316" i="28" s="1"/>
  <c r="L316" i="28" s="1"/>
  <c r="M316" i="28" s="1"/>
  <c r="K304" i="28" a="1"/>
  <c r="K304" i="28" s="1"/>
  <c r="L304" i="28" s="1"/>
  <c r="M304" i="28" s="1"/>
  <c r="K292" i="28" a="1"/>
  <c r="K292" i="28" s="1"/>
  <c r="L292" i="28" s="1"/>
  <c r="M292" i="28" s="1"/>
  <c r="K268" i="28" a="1"/>
  <c r="K268" i="28" s="1"/>
  <c r="L268" i="28" s="1"/>
  <c r="M268" i="28" s="1"/>
  <c r="K244" i="28" a="1"/>
  <c r="K244" i="28" s="1"/>
  <c r="L244" i="28" s="1"/>
  <c r="M244" i="28" s="1"/>
  <c r="K232" i="28" a="1"/>
  <c r="K232" i="28" s="1"/>
  <c r="L232" i="28" s="1"/>
  <c r="M232" i="28" s="1"/>
  <c r="K220" i="28" a="1"/>
  <c r="K220" i="28" s="1"/>
  <c r="L220" i="28" s="1"/>
  <c r="M220" i="28" s="1"/>
  <c r="K208" i="28" a="1"/>
  <c r="K208" i="28" s="1"/>
  <c r="L208" i="28" s="1"/>
  <c r="M208" i="28" s="1"/>
  <c r="K196" i="28" a="1"/>
  <c r="K196" i="28" s="1"/>
  <c r="L196" i="28" s="1"/>
  <c r="M196" i="28" s="1"/>
  <c r="K184" i="28" a="1"/>
  <c r="K184" i="28" s="1"/>
  <c r="L184" i="28" s="1"/>
  <c r="M184" i="28" s="1"/>
  <c r="K172" i="28" a="1"/>
  <c r="K172" i="28" s="1"/>
  <c r="L172" i="28" s="1"/>
  <c r="M172" i="28" s="1"/>
  <c r="K160" i="28" a="1"/>
  <c r="K160" i="28" s="1"/>
  <c r="L160" i="28" s="1"/>
  <c r="M160" i="28" s="1"/>
  <c r="K148" i="28" a="1"/>
  <c r="K148" i="28" s="1"/>
  <c r="L148" i="28" s="1"/>
  <c r="M148" i="28" s="1"/>
  <c r="K136" i="28" a="1"/>
  <c r="K136" i="28" s="1"/>
  <c r="L136" i="28" s="1"/>
  <c r="M136" i="28" s="1"/>
  <c r="K124" i="28" a="1"/>
  <c r="K124" i="28" s="1"/>
  <c r="L124" i="28" s="1"/>
  <c r="M124" i="28" s="1"/>
  <c r="K112" i="28" a="1"/>
  <c r="K112" i="28" s="1"/>
  <c r="L112" i="28" s="1"/>
  <c r="M112" i="28" s="1"/>
  <c r="K100" i="28" a="1"/>
  <c r="K100" i="28" s="1"/>
  <c r="L100" i="28" s="1"/>
  <c r="M100" i="28" s="1"/>
  <c r="K88" i="28" a="1"/>
  <c r="K88" i="28" s="1"/>
  <c r="L88" i="28" s="1"/>
  <c r="M88" i="28" s="1"/>
  <c r="K76" i="28" a="1"/>
  <c r="K76" i="28" s="1"/>
  <c r="L76" i="28" s="1"/>
  <c r="M76" i="28" s="1"/>
  <c r="K67" i="28" a="1"/>
  <c r="K67" i="28" s="1"/>
  <c r="L67" i="28" s="1"/>
  <c r="M67" i="28" s="1"/>
  <c r="K280" i="28" a="1"/>
  <c r="K280" i="28" s="1"/>
  <c r="L280" i="28" s="1"/>
  <c r="M280" i="28" s="1"/>
  <c r="K55" i="28" a="1"/>
  <c r="K55" i="28" s="1"/>
  <c r="L55" i="28" s="1"/>
  <c r="M55" i="28" s="1"/>
  <c r="K43" i="28" a="1"/>
  <c r="K43" i="28" s="1"/>
  <c r="L43" i="28" s="1"/>
  <c r="M43" i="28" s="1"/>
  <c r="K31" i="28" a="1"/>
  <c r="K31" i="28" s="1"/>
  <c r="L31" i="28" s="1"/>
  <c r="M31" i="28" s="1"/>
  <c r="K19" i="28" a="1"/>
  <c r="K19" i="28" s="1"/>
  <c r="L19" i="28" s="1"/>
  <c r="M19" i="28" s="1"/>
  <c r="I2" i="26"/>
  <c r="J2" i="26" s="1"/>
  <c r="J2" i="27"/>
  <c r="B14" i="27" s="1"/>
  <c r="K2" i="27" s="1" a="1"/>
  <c r="K2" i="27" s="1"/>
  <c r="L2" i="27" s="1"/>
  <c r="M2" i="27" s="1"/>
  <c r="B27" i="27" s="1"/>
  <c r="B15" i="27"/>
  <c r="B17" i="27"/>
  <c r="B19" i="27"/>
  <c r="B23" i="27"/>
  <c r="B16" i="27"/>
  <c r="B22" i="27"/>
  <c r="B13" i="27"/>
  <c r="B21" i="27"/>
  <c r="B12" i="27"/>
  <c r="B25" i="27" s="1"/>
  <c r="B18" i="27"/>
  <c r="B20" i="27"/>
  <c r="G2" i="26"/>
  <c r="B16" i="26" s="1"/>
  <c r="K820" i="28" l="1" a="1"/>
  <c r="K820" i="28" s="1"/>
  <c r="L820" i="28" s="1"/>
  <c r="K808" i="28" a="1"/>
  <c r="K808" i="28" s="1"/>
  <c r="L808" i="28" s="1"/>
  <c r="K940" i="28" a="1"/>
  <c r="K940" i="28" s="1"/>
  <c r="L940" i="28" s="1"/>
  <c r="K760" i="28" a="1"/>
  <c r="K760" i="28" s="1"/>
  <c r="L760" i="28" s="1"/>
  <c r="K748" i="28" a="1"/>
  <c r="K748" i="28" s="1"/>
  <c r="L748" i="28" s="1"/>
  <c r="K952" i="28" a="1"/>
  <c r="K952" i="28" s="1"/>
  <c r="L952" i="28" s="1"/>
  <c r="K964" i="28" a="1"/>
  <c r="K964" i="28" s="1"/>
  <c r="L964" i="28" s="1"/>
  <c r="K904" i="28" a="1"/>
  <c r="K904" i="28" s="1"/>
  <c r="L904" i="28" s="1"/>
  <c r="K892" i="28" a="1"/>
  <c r="K892" i="28" s="1"/>
  <c r="L892" i="28" s="1"/>
  <c r="B25" i="28"/>
  <c r="K840" i="28" a="1"/>
  <c r="K840" i="28" s="1"/>
  <c r="L840" i="28" s="1"/>
  <c r="K744" i="28" a="1"/>
  <c r="K744" i="28" s="1"/>
  <c r="L744" i="28" s="1"/>
  <c r="K924" i="28" a="1"/>
  <c r="K924" i="28" s="1"/>
  <c r="L924" i="28" s="1"/>
  <c r="K756" i="28" a="1"/>
  <c r="K756" i="28" s="1"/>
  <c r="L756" i="28" s="1"/>
  <c r="K804" i="28" a="1"/>
  <c r="K804" i="28" s="1"/>
  <c r="L804" i="28" s="1"/>
  <c r="K960" i="28" a="1"/>
  <c r="K960" i="28" s="1"/>
  <c r="L960" i="28" s="1"/>
  <c r="K972" i="28" a="1"/>
  <c r="K972" i="28" s="1"/>
  <c r="L972" i="28" s="1"/>
  <c r="K876" i="28" a="1"/>
  <c r="K876" i="28" s="1"/>
  <c r="L876" i="28" s="1"/>
  <c r="K780" i="28" a="1"/>
  <c r="K780" i="28" s="1"/>
  <c r="L780" i="28" s="1"/>
  <c r="K816" i="28" a="1"/>
  <c r="K816" i="28" s="1"/>
  <c r="L816" i="28" s="1"/>
  <c r="K864" i="28" a="1"/>
  <c r="K864" i="28" s="1"/>
  <c r="L864" i="28" s="1"/>
  <c r="K936" i="28" a="1"/>
  <c r="K936" i="28" s="1"/>
  <c r="L936" i="28" s="1"/>
  <c r="K888" i="28" a="1"/>
  <c r="K888" i="28" s="1"/>
  <c r="L888" i="28" s="1"/>
  <c r="K900" i="28" a="1"/>
  <c r="K900" i="28" s="1"/>
  <c r="L900" i="28" s="1"/>
  <c r="K852" i="28" a="1"/>
  <c r="K852" i="28" s="1"/>
  <c r="L852" i="28" s="1"/>
  <c r="K948" i="28" a="1"/>
  <c r="K948" i="28" s="1"/>
  <c r="L948" i="28" s="1"/>
  <c r="K828" i="28" a="1"/>
  <c r="K828" i="28" s="1"/>
  <c r="L828" i="28" s="1"/>
  <c r="K912" i="28" a="1"/>
  <c r="K912" i="28" s="1"/>
  <c r="L912" i="28" s="1"/>
  <c r="K768" i="28" a="1"/>
  <c r="K768" i="28" s="1"/>
  <c r="L768" i="28" s="1"/>
  <c r="K792" i="28" a="1"/>
  <c r="K792" i="28" s="1"/>
  <c r="L792" i="28" s="1"/>
  <c r="K696" i="28" a="1"/>
  <c r="K696" i="28" s="1"/>
  <c r="L696" i="28" s="1"/>
  <c r="M696" i="28" s="1"/>
  <c r="K576" i="28" a="1"/>
  <c r="K576" i="28" s="1"/>
  <c r="L576" i="28" s="1"/>
  <c r="M576" i="28" s="1"/>
  <c r="K612" i="28" a="1"/>
  <c r="K612" i="28" s="1"/>
  <c r="L612" i="28" s="1"/>
  <c r="M612" i="28" s="1"/>
  <c r="K528" i="28" a="1"/>
  <c r="K528" i="28" s="1"/>
  <c r="L528" i="28" s="1"/>
  <c r="M528" i="28" s="1"/>
  <c r="K588" i="28" a="1"/>
  <c r="K588" i="28" s="1"/>
  <c r="L588" i="28" s="1"/>
  <c r="M588" i="28" s="1"/>
  <c r="K396" i="28" a="1"/>
  <c r="K396" i="28" s="1"/>
  <c r="L396" i="28" s="1"/>
  <c r="M396" i="28" s="1"/>
  <c r="K468" i="28" a="1"/>
  <c r="K468" i="28" s="1"/>
  <c r="L468" i="28" s="1"/>
  <c r="M468" i="28" s="1"/>
  <c r="K360" i="28" a="1"/>
  <c r="K360" i="28" s="1"/>
  <c r="L360" i="28" s="1"/>
  <c r="M360" i="28" s="1"/>
  <c r="K264" i="28" a="1"/>
  <c r="K264" i="28" s="1"/>
  <c r="L264" i="28" s="1"/>
  <c r="M264" i="28" s="1"/>
  <c r="K276" i="28" a="1"/>
  <c r="K276" i="28" s="1"/>
  <c r="L276" i="28" s="1"/>
  <c r="M276" i="28" s="1"/>
  <c r="K216" i="28" a="1"/>
  <c r="K216" i="28" s="1"/>
  <c r="L216" i="28" s="1"/>
  <c r="M216" i="28" s="1"/>
  <c r="K168" i="28" a="1"/>
  <c r="K168" i="28" s="1"/>
  <c r="L168" i="28" s="1"/>
  <c r="M168" i="28" s="1"/>
  <c r="K120" i="28" a="1"/>
  <c r="K120" i="28" s="1"/>
  <c r="L120" i="28" s="1"/>
  <c r="M120" i="28" s="1"/>
  <c r="K372" i="28" a="1"/>
  <c r="K372" i="28" s="1"/>
  <c r="L372" i="28" s="1"/>
  <c r="M372" i="28" s="1"/>
  <c r="K27" i="28" a="1"/>
  <c r="K27" i="28" s="1"/>
  <c r="L27" i="28" s="1"/>
  <c r="M27" i="28" s="1"/>
  <c r="K15" i="28" a="1"/>
  <c r="K15" i="28" s="1"/>
  <c r="L15" i="28" s="1"/>
  <c r="M15" i="28" s="1"/>
  <c r="K636" i="28" a="1"/>
  <c r="K636" i="28" s="1"/>
  <c r="L636" i="28" s="1"/>
  <c r="M636" i="28" s="1"/>
  <c r="K420" i="28" a="1"/>
  <c r="K420" i="28" s="1"/>
  <c r="L420" i="28" s="1"/>
  <c r="M420" i="28" s="1"/>
  <c r="K312" i="28" a="1"/>
  <c r="K312" i="28" s="1"/>
  <c r="L312" i="28" s="1"/>
  <c r="M312" i="28" s="1"/>
  <c r="K192" i="28" a="1"/>
  <c r="K192" i="28" s="1"/>
  <c r="L192" i="28" s="1"/>
  <c r="M192" i="28" s="1"/>
  <c r="K51" i="28" a="1"/>
  <c r="K51" i="28" s="1"/>
  <c r="L51" i="28" s="1"/>
  <c r="M51" i="28" s="1"/>
  <c r="K672" i="28" a="1"/>
  <c r="K672" i="28" s="1"/>
  <c r="L672" i="28" s="1"/>
  <c r="M672" i="28" s="1"/>
  <c r="K648" i="28" a="1"/>
  <c r="K648" i="28" s="1"/>
  <c r="L648" i="28" s="1"/>
  <c r="M648" i="28" s="1"/>
  <c r="K600" i="28" a="1"/>
  <c r="K600" i="28" s="1"/>
  <c r="L600" i="28" s="1"/>
  <c r="M600" i="28" s="1"/>
  <c r="K516" i="28" a="1"/>
  <c r="K516" i="28" s="1"/>
  <c r="L516" i="28" s="1"/>
  <c r="M516" i="28" s="1"/>
  <c r="K432" i="28" a="1"/>
  <c r="K432" i="28" s="1"/>
  <c r="L432" i="28" s="1"/>
  <c r="M432" i="28" s="1"/>
  <c r="K384" i="28" a="1"/>
  <c r="K384" i="28" s="1"/>
  <c r="L384" i="28" s="1"/>
  <c r="M384" i="28" s="1"/>
  <c r="K456" i="28" a="1"/>
  <c r="K456" i="28" s="1"/>
  <c r="L456" i="28" s="1"/>
  <c r="M456" i="28" s="1"/>
  <c r="K336" i="28" a="1"/>
  <c r="K336" i="28" s="1"/>
  <c r="L336" i="28" s="1"/>
  <c r="M336" i="28" s="1"/>
  <c r="K348" i="28" a="1"/>
  <c r="K348" i="28" s="1"/>
  <c r="L348" i="28" s="1"/>
  <c r="M348" i="28" s="1"/>
  <c r="K252" i="28" a="1"/>
  <c r="K252" i="28" s="1"/>
  <c r="L252" i="28" s="1"/>
  <c r="M252" i="28" s="1"/>
  <c r="K204" i="28" a="1"/>
  <c r="K204" i="28" s="1"/>
  <c r="L204" i="28" s="1"/>
  <c r="M204" i="28" s="1"/>
  <c r="K156" i="28" a="1"/>
  <c r="K156" i="28" s="1"/>
  <c r="L156" i="28" s="1"/>
  <c r="M156" i="28" s="1"/>
  <c r="K108" i="28" a="1"/>
  <c r="K108" i="28" s="1"/>
  <c r="L108" i="28" s="1"/>
  <c r="M108" i="28" s="1"/>
  <c r="K63" i="28" a="1"/>
  <c r="K63" i="28" s="1"/>
  <c r="L63" i="28" s="1"/>
  <c r="M63" i="28" s="1"/>
  <c r="K660" i="28" a="1"/>
  <c r="K660" i="28" s="1"/>
  <c r="L660" i="28" s="1"/>
  <c r="M660" i="28" s="1"/>
  <c r="K504" i="28" a="1"/>
  <c r="K504" i="28" s="1"/>
  <c r="L504" i="28" s="1"/>
  <c r="M504" i="28" s="1"/>
  <c r="K444" i="28" a="1"/>
  <c r="K444" i="28" s="1"/>
  <c r="L444" i="28" s="1"/>
  <c r="M444" i="28" s="1"/>
  <c r="K240" i="28" a="1"/>
  <c r="K240" i="28" s="1"/>
  <c r="L240" i="28" s="1"/>
  <c r="M240" i="28" s="1"/>
  <c r="K144" i="28" a="1"/>
  <c r="K144" i="28" s="1"/>
  <c r="L144" i="28" s="1"/>
  <c r="M144" i="28" s="1"/>
  <c r="K72" i="28" a="1"/>
  <c r="K72" i="28" s="1"/>
  <c r="L72" i="28" s="1"/>
  <c r="M72" i="28" s="1"/>
  <c r="K732" i="28" a="1"/>
  <c r="K732" i="28" s="1"/>
  <c r="L732" i="28" s="1"/>
  <c r="M732" i="28" s="1"/>
  <c r="K552" i="28" a="1"/>
  <c r="K552" i="28" s="1"/>
  <c r="L552" i="28" s="1"/>
  <c r="M552" i="28" s="1"/>
  <c r="K492" i="28" a="1"/>
  <c r="K492" i="28" s="1"/>
  <c r="L492" i="28" s="1"/>
  <c r="M492" i="28" s="1"/>
  <c r="K324" i="28" a="1"/>
  <c r="K324" i="28" s="1"/>
  <c r="L324" i="28" s="1"/>
  <c r="M324" i="28" s="1"/>
  <c r="K96" i="28" a="1"/>
  <c r="K96" i="28" s="1"/>
  <c r="L96" i="28" s="1"/>
  <c r="M96" i="28" s="1"/>
  <c r="K540" i="28" a="1"/>
  <c r="K540" i="28" s="1"/>
  <c r="L540" i="28" s="1"/>
  <c r="M540" i="28" s="1"/>
  <c r="K564" i="28" a="1"/>
  <c r="K564" i="28" s="1"/>
  <c r="L564" i="28" s="1"/>
  <c r="M564" i="28" s="1"/>
  <c r="K180" i="28" a="1"/>
  <c r="K180" i="28" s="1"/>
  <c r="L180" i="28" s="1"/>
  <c r="M180" i="28" s="1"/>
  <c r="K288" i="28" a="1"/>
  <c r="K288" i="28" s="1"/>
  <c r="L288" i="28" s="1"/>
  <c r="M288" i="28" s="1"/>
  <c r="K480" i="28" a="1"/>
  <c r="K480" i="28" s="1"/>
  <c r="L480" i="28" s="1"/>
  <c r="M480" i="28" s="1"/>
  <c r="K720" i="28" a="1"/>
  <c r="K720" i="28" s="1"/>
  <c r="L720" i="28" s="1"/>
  <c r="M720" i="28" s="1"/>
  <c r="K708" i="28" a="1"/>
  <c r="K708" i="28" s="1"/>
  <c r="L708" i="28" s="1"/>
  <c r="M708" i="28" s="1"/>
  <c r="K300" i="28" a="1"/>
  <c r="K300" i="28" s="1"/>
  <c r="L300" i="28" s="1"/>
  <c r="M300" i="28" s="1"/>
  <c r="K132" i="28" a="1"/>
  <c r="K132" i="28" s="1"/>
  <c r="L132" i="28" s="1"/>
  <c r="M132" i="28" s="1"/>
  <c r="K408" i="28" a="1"/>
  <c r="K408" i="28" s="1"/>
  <c r="L408" i="28" s="1"/>
  <c r="M408" i="28" s="1"/>
  <c r="K84" i="28" a="1"/>
  <c r="K84" i="28" s="1"/>
  <c r="L84" i="28" s="1"/>
  <c r="M84" i="28" s="1"/>
  <c r="K624" i="28" a="1"/>
  <c r="K624" i="28" s="1"/>
  <c r="L624" i="28" s="1"/>
  <c r="M624" i="28" s="1"/>
  <c r="K39" i="28" a="1"/>
  <c r="K39" i="28" s="1"/>
  <c r="L39" i="28" s="1"/>
  <c r="M39" i="28" s="1"/>
  <c r="K684" i="28" a="1"/>
  <c r="K684" i="28" s="1"/>
  <c r="L684" i="28" s="1"/>
  <c r="M684" i="28" s="1"/>
  <c r="K228" i="28" a="1"/>
  <c r="K228" i="28" s="1"/>
  <c r="L228" i="28" s="1"/>
  <c r="M228" i="28" s="1"/>
  <c r="K778" i="28" a="1"/>
  <c r="K778" i="28" s="1"/>
  <c r="L778" i="28" s="1"/>
  <c r="K814" i="28" a="1"/>
  <c r="K814" i="28" s="1"/>
  <c r="L814" i="28" s="1"/>
  <c r="K802" i="28" a="1"/>
  <c r="K802" i="28" s="1"/>
  <c r="L802" i="28" s="1"/>
  <c r="K838" i="28" a="1"/>
  <c r="K838" i="28" s="1"/>
  <c r="L838" i="28" s="1"/>
  <c r="K874" i="28" a="1"/>
  <c r="K874" i="28" s="1"/>
  <c r="L874" i="28" s="1"/>
  <c r="K958" i="28" a="1"/>
  <c r="K958" i="28" s="1"/>
  <c r="L958" i="28" s="1"/>
  <c r="K766" i="28" a="1"/>
  <c r="K766" i="28" s="1"/>
  <c r="L766" i="28" s="1"/>
  <c r="K790" i="28" a="1"/>
  <c r="K790" i="28" s="1"/>
  <c r="L790" i="28" s="1"/>
  <c r="K898" i="28" a="1"/>
  <c r="K898" i="28" s="1"/>
  <c r="L898" i="28" s="1"/>
  <c r="K934" i="28" a="1"/>
  <c r="K934" i="28" s="1"/>
  <c r="L934" i="28" s="1"/>
  <c r="K982" i="28" a="1"/>
  <c r="K982" i="28" s="1"/>
  <c r="L982" i="28" s="1"/>
  <c r="K826" i="28" a="1"/>
  <c r="K826" i="28" s="1"/>
  <c r="L826" i="28" s="1"/>
  <c r="K862" i="28" a="1"/>
  <c r="K862" i="28" s="1"/>
  <c r="L862" i="28" s="1"/>
  <c r="K910" i="28" a="1"/>
  <c r="K910" i="28" s="1"/>
  <c r="L910" i="28" s="1"/>
  <c r="K922" i="28" a="1"/>
  <c r="K922" i="28" s="1"/>
  <c r="L922" i="28" s="1"/>
  <c r="K970" i="28" a="1"/>
  <c r="K970" i="28" s="1"/>
  <c r="L970" i="28" s="1"/>
  <c r="K754" i="28" a="1"/>
  <c r="K754" i="28" s="1"/>
  <c r="L754" i="28" s="1"/>
  <c r="K946" i="28" a="1"/>
  <c r="K946" i="28" s="1"/>
  <c r="L946" i="28" s="1"/>
  <c r="K850" i="28" a="1"/>
  <c r="K850" i="28" s="1"/>
  <c r="L850" i="28" s="1"/>
  <c r="K886" i="28" a="1"/>
  <c r="K886" i="28" s="1"/>
  <c r="L886" i="28" s="1"/>
  <c r="K706" i="28" a="1"/>
  <c r="K706" i="28" s="1"/>
  <c r="L706" i="28" s="1"/>
  <c r="M706" i="28" s="1"/>
  <c r="K634" i="28" a="1"/>
  <c r="K634" i="28" s="1"/>
  <c r="L634" i="28" s="1"/>
  <c r="M634" i="28" s="1"/>
  <c r="K586" i="28" a="1"/>
  <c r="K586" i="28" s="1"/>
  <c r="L586" i="28" s="1"/>
  <c r="M586" i="28" s="1"/>
  <c r="K526" i="28" a="1"/>
  <c r="K526" i="28" s="1"/>
  <c r="L526" i="28" s="1"/>
  <c r="M526" i="28" s="1"/>
  <c r="K430" i="28" a="1"/>
  <c r="K430" i="28" s="1"/>
  <c r="L430" i="28" s="1"/>
  <c r="M430" i="28" s="1"/>
  <c r="K382" i="28" a="1"/>
  <c r="K382" i="28" s="1"/>
  <c r="L382" i="28" s="1"/>
  <c r="M382" i="28" s="1"/>
  <c r="K478" i="28" a="1"/>
  <c r="K478" i="28" s="1"/>
  <c r="L478" i="28" s="1"/>
  <c r="M478" i="28" s="1"/>
  <c r="K322" i="28" a="1"/>
  <c r="K322" i="28" s="1"/>
  <c r="L322" i="28" s="1"/>
  <c r="M322" i="28" s="1"/>
  <c r="K370" i="28" a="1"/>
  <c r="K370" i="28" s="1"/>
  <c r="L370" i="28" s="1"/>
  <c r="M370" i="28" s="1"/>
  <c r="K286" i="28" a="1"/>
  <c r="K286" i="28" s="1"/>
  <c r="L286" i="28" s="1"/>
  <c r="M286" i="28" s="1"/>
  <c r="K226" i="28" a="1"/>
  <c r="K226" i="28" s="1"/>
  <c r="L226" i="28" s="1"/>
  <c r="M226" i="28" s="1"/>
  <c r="K178" i="28" a="1"/>
  <c r="K178" i="28" s="1"/>
  <c r="L178" i="28" s="1"/>
  <c r="M178" i="28" s="1"/>
  <c r="K130" i="28" a="1"/>
  <c r="K130" i="28" s="1"/>
  <c r="L130" i="28" s="1"/>
  <c r="M130" i="28" s="1"/>
  <c r="K82" i="28" a="1"/>
  <c r="K82" i="28" s="1"/>
  <c r="L82" i="28" s="1"/>
  <c r="M82" i="28" s="1"/>
  <c r="K25" i="28" a="1"/>
  <c r="K25" i="28" s="1"/>
  <c r="L25" i="28" s="1"/>
  <c r="M25" i="28" s="1"/>
  <c r="K610" i="28" a="1"/>
  <c r="K610" i="28" s="1"/>
  <c r="L610" i="28" s="1"/>
  <c r="M610" i="28" s="1"/>
  <c r="K406" i="28" a="1"/>
  <c r="K406" i="28" s="1"/>
  <c r="L406" i="28" s="1"/>
  <c r="M406" i="28" s="1"/>
  <c r="K274" i="28" a="1"/>
  <c r="K274" i="28" s="1"/>
  <c r="L274" i="28" s="1"/>
  <c r="M274" i="28" s="1"/>
  <c r="K262" i="28" a="1"/>
  <c r="K262" i="28" s="1"/>
  <c r="L262" i="28" s="1"/>
  <c r="M262" i="28" s="1"/>
  <c r="K106" i="28" a="1"/>
  <c r="K106" i="28" s="1"/>
  <c r="L106" i="28" s="1"/>
  <c r="M106" i="28" s="1"/>
  <c r="K718" i="28" a="1"/>
  <c r="K718" i="28" s="1"/>
  <c r="L718" i="28" s="1"/>
  <c r="M718" i="28" s="1"/>
  <c r="K598" i="28" a="1"/>
  <c r="K598" i="28" s="1"/>
  <c r="L598" i="28" s="1"/>
  <c r="M598" i="28" s="1"/>
  <c r="K442" i="28" a="1"/>
  <c r="K442" i="28" s="1"/>
  <c r="L442" i="28" s="1"/>
  <c r="M442" i="28" s="1"/>
  <c r="K490" i="28" a="1"/>
  <c r="K490" i="28" s="1"/>
  <c r="L490" i="28" s="1"/>
  <c r="M490" i="28" s="1"/>
  <c r="K682" i="28" a="1"/>
  <c r="K682" i="28" s="1"/>
  <c r="L682" i="28" s="1"/>
  <c r="M682" i="28" s="1"/>
  <c r="K238" i="28" a="1"/>
  <c r="K238" i="28" s="1"/>
  <c r="L238" i="28" s="1"/>
  <c r="M238" i="28" s="1"/>
  <c r="K142" i="28" a="1"/>
  <c r="K142" i="28" s="1"/>
  <c r="L142" i="28" s="1"/>
  <c r="M142" i="28" s="1"/>
  <c r="K742" i="28" a="1"/>
  <c r="K742" i="28" s="1"/>
  <c r="L742" i="28" s="1"/>
  <c r="M742" i="28" s="1"/>
  <c r="K694" i="28" a="1"/>
  <c r="K694" i="28" s="1"/>
  <c r="L694" i="28" s="1"/>
  <c r="M694" i="28" s="1"/>
  <c r="K622" i="28" a="1"/>
  <c r="K622" i="28" s="1"/>
  <c r="L622" i="28" s="1"/>
  <c r="M622" i="28" s="1"/>
  <c r="K658" i="28" a="1"/>
  <c r="K658" i="28" s="1"/>
  <c r="L658" i="28" s="1"/>
  <c r="M658" i="28" s="1"/>
  <c r="K514" i="28" a="1"/>
  <c r="K514" i="28" s="1"/>
  <c r="L514" i="28" s="1"/>
  <c r="M514" i="28" s="1"/>
  <c r="K418" i="28" a="1"/>
  <c r="K418" i="28" s="1"/>
  <c r="L418" i="28" s="1"/>
  <c r="M418" i="28" s="1"/>
  <c r="K574" i="28" a="1"/>
  <c r="K574" i="28" s="1"/>
  <c r="L574" i="28" s="1"/>
  <c r="M574" i="28" s="1"/>
  <c r="K466" i="28" a="1"/>
  <c r="K466" i="28" s="1"/>
  <c r="L466" i="28" s="1"/>
  <c r="M466" i="28" s="1"/>
  <c r="K298" i="28" a="1"/>
  <c r="K298" i="28" s="1"/>
  <c r="L298" i="28" s="1"/>
  <c r="M298" i="28" s="1"/>
  <c r="K346" i="28" a="1"/>
  <c r="K346" i="28" s="1"/>
  <c r="L346" i="28" s="1"/>
  <c r="M346" i="28" s="1"/>
  <c r="K250" i="28" a="1"/>
  <c r="K250" i="28" s="1"/>
  <c r="L250" i="28" s="1"/>
  <c r="M250" i="28" s="1"/>
  <c r="K214" i="28" a="1"/>
  <c r="K214" i="28" s="1"/>
  <c r="L214" i="28" s="1"/>
  <c r="M214" i="28" s="1"/>
  <c r="K166" i="28" a="1"/>
  <c r="K166" i="28" s="1"/>
  <c r="L166" i="28" s="1"/>
  <c r="M166" i="28" s="1"/>
  <c r="K118" i="28" a="1"/>
  <c r="K118" i="28" s="1"/>
  <c r="L118" i="28" s="1"/>
  <c r="M118" i="28" s="1"/>
  <c r="K61" i="28" a="1"/>
  <c r="K61" i="28" s="1"/>
  <c r="L61" i="28" s="1"/>
  <c r="M61" i="28" s="1"/>
  <c r="K13" i="28" a="1"/>
  <c r="K13" i="28" s="1"/>
  <c r="L13" i="28" s="1"/>
  <c r="M13" i="28" s="1"/>
  <c r="K670" i="28" a="1"/>
  <c r="K670" i="28" s="1"/>
  <c r="L670" i="28" s="1"/>
  <c r="M670" i="28" s="1"/>
  <c r="K562" i="28" a="1"/>
  <c r="K562" i="28" s="1"/>
  <c r="L562" i="28" s="1"/>
  <c r="M562" i="28" s="1"/>
  <c r="K502" i="28" a="1"/>
  <c r="K502" i="28" s="1"/>
  <c r="L502" i="28" s="1"/>
  <c r="M502" i="28" s="1"/>
  <c r="K334" i="28" a="1"/>
  <c r="K334" i="28" s="1"/>
  <c r="L334" i="28" s="1"/>
  <c r="M334" i="28" s="1"/>
  <c r="K154" i="28" a="1"/>
  <c r="K154" i="28" s="1"/>
  <c r="L154" i="28" s="1"/>
  <c r="M154" i="28" s="1"/>
  <c r="K3" i="28" a="1"/>
  <c r="K3" i="28" s="1"/>
  <c r="L3" i="28" s="1"/>
  <c r="M3" i="28" s="1"/>
  <c r="K646" i="28" a="1"/>
  <c r="K646" i="28" s="1"/>
  <c r="L646" i="28" s="1"/>
  <c r="M646" i="28" s="1"/>
  <c r="K538" i="28" a="1"/>
  <c r="K538" i="28" s="1"/>
  <c r="L538" i="28" s="1"/>
  <c r="M538" i="28" s="1"/>
  <c r="K394" i="28" a="1"/>
  <c r="K394" i="28" s="1"/>
  <c r="L394" i="28" s="1"/>
  <c r="M394" i="28" s="1"/>
  <c r="K358" i="28" a="1"/>
  <c r="K358" i="28" s="1"/>
  <c r="L358" i="28" s="1"/>
  <c r="M358" i="28" s="1"/>
  <c r="K310" i="28" a="1"/>
  <c r="K310" i="28" s="1"/>
  <c r="L310" i="28" s="1"/>
  <c r="M310" i="28" s="1"/>
  <c r="K190" i="28" a="1"/>
  <c r="K190" i="28" s="1"/>
  <c r="L190" i="28" s="1"/>
  <c r="M190" i="28" s="1"/>
  <c r="K94" i="28" a="1"/>
  <c r="K94" i="28" s="1"/>
  <c r="L94" i="28" s="1"/>
  <c r="M94" i="28" s="1"/>
  <c r="K730" i="28" a="1"/>
  <c r="K730" i="28" s="1"/>
  <c r="L730" i="28" s="1"/>
  <c r="M730" i="28" s="1"/>
  <c r="K550" i="28" a="1"/>
  <c r="K550" i="28" s="1"/>
  <c r="L550" i="28" s="1"/>
  <c r="M550" i="28" s="1"/>
  <c r="K454" i="28" a="1"/>
  <c r="K454" i="28" s="1"/>
  <c r="L454" i="28" s="1"/>
  <c r="M454" i="28" s="1"/>
  <c r="K202" i="28" a="1"/>
  <c r="K202" i="28" s="1"/>
  <c r="L202" i="28" s="1"/>
  <c r="M202" i="28" s="1"/>
  <c r="K49" i="28" a="1"/>
  <c r="K49" i="28" s="1"/>
  <c r="L49" i="28" s="1"/>
  <c r="M49" i="28" s="1"/>
  <c r="K37" i="28" a="1"/>
  <c r="K37" i="28" s="1"/>
  <c r="L37" i="28" s="1"/>
  <c r="M37" i="28" s="1"/>
  <c r="K831" i="28" a="1"/>
  <c r="K831" i="28" s="1"/>
  <c r="L831" i="28" s="1"/>
  <c r="K927" i="28" a="1"/>
  <c r="K927" i="28" s="1"/>
  <c r="L927" i="28" s="1"/>
  <c r="K963" i="28" a="1"/>
  <c r="K963" i="28" s="1"/>
  <c r="L963" i="28" s="1"/>
  <c r="K795" i="28" a="1"/>
  <c r="K795" i="28" s="1"/>
  <c r="L795" i="28" s="1"/>
  <c r="K891" i="28" a="1"/>
  <c r="K891" i="28" s="1"/>
  <c r="L891" i="28" s="1"/>
  <c r="K951" i="28" a="1"/>
  <c r="K951" i="28" s="1"/>
  <c r="L951" i="28" s="1"/>
  <c r="K807" i="28" a="1"/>
  <c r="K807" i="28" s="1"/>
  <c r="L807" i="28" s="1"/>
  <c r="K903" i="28" a="1"/>
  <c r="K903" i="28" s="1"/>
  <c r="L903" i="28" s="1"/>
  <c r="K867" i="28" a="1"/>
  <c r="K867" i="28" s="1"/>
  <c r="L867" i="28" s="1"/>
  <c r="K879" i="28" a="1"/>
  <c r="K879" i="28" s="1"/>
  <c r="L879" i="28" s="1"/>
  <c r="K771" i="28" a="1"/>
  <c r="K771" i="28" s="1"/>
  <c r="L771" i="28" s="1"/>
  <c r="K843" i="28" a="1"/>
  <c r="K843" i="28" s="1"/>
  <c r="L843" i="28" s="1"/>
  <c r="K939" i="28" a="1"/>
  <c r="K939" i="28" s="1"/>
  <c r="L939" i="28" s="1"/>
  <c r="K759" i="28" a="1"/>
  <c r="K759" i="28" s="1"/>
  <c r="L759" i="28" s="1"/>
  <c r="K783" i="28" a="1"/>
  <c r="K783" i="28" s="1"/>
  <c r="L783" i="28" s="1"/>
  <c r="K915" i="28" a="1"/>
  <c r="K915" i="28" s="1"/>
  <c r="L915" i="28" s="1"/>
  <c r="K975" i="28" a="1"/>
  <c r="K975" i="28" s="1"/>
  <c r="L975" i="28" s="1"/>
  <c r="K747" i="28" a="1"/>
  <c r="K747" i="28" s="1"/>
  <c r="L747" i="28" s="1"/>
  <c r="K819" i="28" a="1"/>
  <c r="K819" i="28" s="1"/>
  <c r="L819" i="28" s="1"/>
  <c r="K855" i="28" a="1"/>
  <c r="K855" i="28" s="1"/>
  <c r="L855" i="28" s="1"/>
  <c r="K687" i="28" a="1"/>
  <c r="K687" i="28" s="1"/>
  <c r="L687" i="28" s="1"/>
  <c r="M687" i="28" s="1"/>
  <c r="K651" i="28" a="1"/>
  <c r="K651" i="28" s="1"/>
  <c r="L651" i="28" s="1"/>
  <c r="M651" i="28" s="1"/>
  <c r="K603" i="28" a="1"/>
  <c r="K603" i="28" s="1"/>
  <c r="L603" i="28" s="1"/>
  <c r="M603" i="28" s="1"/>
  <c r="K579" i="28" a="1"/>
  <c r="K579" i="28" s="1"/>
  <c r="L579" i="28" s="1"/>
  <c r="M579" i="28" s="1"/>
  <c r="K519" i="28" a="1"/>
  <c r="K519" i="28" s="1"/>
  <c r="L519" i="28" s="1"/>
  <c r="M519" i="28" s="1"/>
  <c r="K471" i="28" a="1"/>
  <c r="K471" i="28" s="1"/>
  <c r="L471" i="28" s="1"/>
  <c r="M471" i="28" s="1"/>
  <c r="K435" i="28" a="1"/>
  <c r="K435" i="28" s="1"/>
  <c r="L435" i="28" s="1"/>
  <c r="M435" i="28" s="1"/>
  <c r="K387" i="28" a="1"/>
  <c r="K387" i="28" s="1"/>
  <c r="L387" i="28" s="1"/>
  <c r="M387" i="28" s="1"/>
  <c r="K327" i="28" a="1"/>
  <c r="K327" i="28" s="1"/>
  <c r="L327" i="28" s="1"/>
  <c r="M327" i="28" s="1"/>
  <c r="K279" i="28" a="1"/>
  <c r="K279" i="28" s="1"/>
  <c r="L279" i="28" s="1"/>
  <c r="M279" i="28" s="1"/>
  <c r="K54" i="28" a="1"/>
  <c r="K54" i="28" s="1"/>
  <c r="L54" i="28" s="1"/>
  <c r="M54" i="28" s="1"/>
  <c r="K231" i="28" a="1"/>
  <c r="K231" i="28" s="1"/>
  <c r="L231" i="28" s="1"/>
  <c r="M231" i="28" s="1"/>
  <c r="K75" i="28" a="1"/>
  <c r="K75" i="28" s="1"/>
  <c r="L75" i="28" s="1"/>
  <c r="M75" i="28" s="1"/>
  <c r="K7" i="28" a="1"/>
  <c r="K7" i="28" s="1"/>
  <c r="L7" i="28" s="1"/>
  <c r="M7" i="28" s="1"/>
  <c r="K195" i="28" a="1"/>
  <c r="K195" i="28" s="1"/>
  <c r="L195" i="28" s="1"/>
  <c r="M195" i="28" s="1"/>
  <c r="K87" i="28" a="1"/>
  <c r="K87" i="28" s="1"/>
  <c r="L87" i="28" s="1"/>
  <c r="M87" i="28" s="1"/>
  <c r="K627" i="28" a="1"/>
  <c r="K627" i="28" s="1"/>
  <c r="L627" i="28" s="1"/>
  <c r="M627" i="28" s="1"/>
  <c r="K495" i="28" a="1"/>
  <c r="K495" i="28" s="1"/>
  <c r="L495" i="28" s="1"/>
  <c r="M495" i="28" s="1"/>
  <c r="K363" i="28" a="1"/>
  <c r="K363" i="28" s="1"/>
  <c r="L363" i="28" s="1"/>
  <c r="M363" i="28" s="1"/>
  <c r="K30" i="28" a="1"/>
  <c r="K30" i="28" s="1"/>
  <c r="L30" i="28" s="1"/>
  <c r="M30" i="28" s="1"/>
  <c r="K135" i="28" a="1"/>
  <c r="K135" i="28" s="1"/>
  <c r="L135" i="28" s="1"/>
  <c r="M135" i="28" s="1"/>
  <c r="K675" i="28" a="1"/>
  <c r="K675" i="28" s="1"/>
  <c r="L675" i="28" s="1"/>
  <c r="M675" i="28" s="1"/>
  <c r="K615" i="28" a="1"/>
  <c r="K615" i="28" s="1"/>
  <c r="L615" i="28" s="1"/>
  <c r="M615" i="28" s="1"/>
  <c r="K531" i="28" a="1"/>
  <c r="K531" i="28" s="1"/>
  <c r="L531" i="28" s="1"/>
  <c r="M531" i="28" s="1"/>
  <c r="K663" i="28" a="1"/>
  <c r="K663" i="28" s="1"/>
  <c r="L663" i="28" s="1"/>
  <c r="M663" i="28" s="1"/>
  <c r="K351" i="28" a="1"/>
  <c r="K351" i="28" s="1"/>
  <c r="L351" i="28" s="1"/>
  <c r="M351" i="28" s="1"/>
  <c r="K315" i="28" a="1"/>
  <c r="K315" i="28" s="1"/>
  <c r="L315" i="28" s="1"/>
  <c r="M315" i="28" s="1"/>
  <c r="K111" i="28" a="1"/>
  <c r="K111" i="28" s="1"/>
  <c r="L111" i="28" s="1"/>
  <c r="M111" i="28" s="1"/>
  <c r="K207" i="28" a="1"/>
  <c r="K207" i="28" s="1"/>
  <c r="L207" i="28" s="1"/>
  <c r="M207" i="28" s="1"/>
  <c r="K699" i="28" a="1"/>
  <c r="K699" i="28" s="1"/>
  <c r="L699" i="28" s="1"/>
  <c r="M699" i="28" s="1"/>
  <c r="K639" i="28" a="1"/>
  <c r="K639" i="28" s="1"/>
  <c r="L639" i="28" s="1"/>
  <c r="M639" i="28" s="1"/>
  <c r="K723" i="28" a="1"/>
  <c r="K723" i="28" s="1"/>
  <c r="L723" i="28" s="1"/>
  <c r="M723" i="28" s="1"/>
  <c r="K555" i="28" a="1"/>
  <c r="K555" i="28" s="1"/>
  <c r="L555" i="28" s="1"/>
  <c r="M555" i="28" s="1"/>
  <c r="K507" i="28" a="1"/>
  <c r="K507" i="28" s="1"/>
  <c r="L507" i="28" s="1"/>
  <c r="M507" i="28" s="1"/>
  <c r="K459" i="28" a="1"/>
  <c r="K459" i="28" s="1"/>
  <c r="L459" i="28" s="1"/>
  <c r="M459" i="28" s="1"/>
  <c r="K423" i="28" a="1"/>
  <c r="K423" i="28" s="1"/>
  <c r="L423" i="28" s="1"/>
  <c r="M423" i="28" s="1"/>
  <c r="K375" i="28" a="1"/>
  <c r="K375" i="28" s="1"/>
  <c r="L375" i="28" s="1"/>
  <c r="M375" i="28" s="1"/>
  <c r="K303" i="28" a="1"/>
  <c r="K303" i="28" s="1"/>
  <c r="L303" i="28" s="1"/>
  <c r="M303" i="28" s="1"/>
  <c r="K267" i="28" a="1"/>
  <c r="K267" i="28" s="1"/>
  <c r="L267" i="28" s="1"/>
  <c r="M267" i="28" s="1"/>
  <c r="K42" i="28" a="1"/>
  <c r="K42" i="28" s="1"/>
  <c r="L42" i="28" s="1"/>
  <c r="M42" i="28" s="1"/>
  <c r="K183" i="28" a="1"/>
  <c r="K183" i="28" s="1"/>
  <c r="L183" i="28" s="1"/>
  <c r="M183" i="28" s="1"/>
  <c r="K147" i="28" a="1"/>
  <c r="K147" i="28" s="1"/>
  <c r="L147" i="28" s="1"/>
  <c r="M147" i="28" s="1"/>
  <c r="K243" i="28" a="1"/>
  <c r="K243" i="28" s="1"/>
  <c r="L243" i="28" s="1"/>
  <c r="M243" i="28" s="1"/>
  <c r="K171" i="28" a="1"/>
  <c r="K171" i="28" s="1"/>
  <c r="L171" i="28" s="1"/>
  <c r="M171" i="28" s="1"/>
  <c r="K735" i="28" a="1"/>
  <c r="K735" i="28" s="1"/>
  <c r="L735" i="28" s="1"/>
  <c r="M735" i="28" s="1"/>
  <c r="K543" i="28" a="1"/>
  <c r="K543" i="28" s="1"/>
  <c r="L543" i="28" s="1"/>
  <c r="M543" i="28" s="1"/>
  <c r="K411" i="28" a="1"/>
  <c r="K411" i="28" s="1"/>
  <c r="L411" i="28" s="1"/>
  <c r="M411" i="28" s="1"/>
  <c r="K255" i="28" a="1"/>
  <c r="K255" i="28" s="1"/>
  <c r="L255" i="28" s="1"/>
  <c r="M255" i="28" s="1"/>
  <c r="K123" i="28" a="1"/>
  <c r="K123" i="28" s="1"/>
  <c r="L123" i="28" s="1"/>
  <c r="M123" i="28" s="1"/>
  <c r="K159" i="28" a="1"/>
  <c r="K159" i="28" s="1"/>
  <c r="L159" i="28" s="1"/>
  <c r="M159" i="28" s="1"/>
  <c r="K711" i="28" a="1"/>
  <c r="K711" i="28" s="1"/>
  <c r="L711" i="28" s="1"/>
  <c r="M711" i="28" s="1"/>
  <c r="K591" i="28" a="1"/>
  <c r="K591" i="28" s="1"/>
  <c r="L591" i="28" s="1"/>
  <c r="M591" i="28" s="1"/>
  <c r="K483" i="28" a="1"/>
  <c r="K483" i="28" s="1"/>
  <c r="L483" i="28" s="1"/>
  <c r="M483" i="28" s="1"/>
  <c r="K399" i="28" a="1"/>
  <c r="K399" i="28" s="1"/>
  <c r="L399" i="28" s="1"/>
  <c r="M399" i="28" s="1"/>
  <c r="K291" i="28" a="1"/>
  <c r="K291" i="28" s="1"/>
  <c r="L291" i="28" s="1"/>
  <c r="M291" i="28" s="1"/>
  <c r="K18" i="28" a="1"/>
  <c r="K18" i="28" s="1"/>
  <c r="L18" i="28" s="1"/>
  <c r="M18" i="28" s="1"/>
  <c r="K66" i="28" a="1"/>
  <c r="K66" i="28" s="1"/>
  <c r="L66" i="28" s="1"/>
  <c r="M66" i="28" s="1"/>
  <c r="K99" i="28" a="1"/>
  <c r="K99" i="28" s="1"/>
  <c r="L99" i="28" s="1"/>
  <c r="M99" i="28" s="1"/>
  <c r="K567" i="28" a="1"/>
  <c r="K567" i="28" s="1"/>
  <c r="L567" i="28" s="1"/>
  <c r="M567" i="28" s="1"/>
  <c r="K447" i="28" a="1"/>
  <c r="K447" i="28" s="1"/>
  <c r="L447" i="28" s="1"/>
  <c r="M447" i="28" s="1"/>
  <c r="K339" i="28" a="1"/>
  <c r="K339" i="28" s="1"/>
  <c r="L339" i="28" s="1"/>
  <c r="M339" i="28" s="1"/>
  <c r="K219" i="28" a="1"/>
  <c r="K219" i="28" s="1"/>
  <c r="L219" i="28" s="1"/>
  <c r="M219" i="28" s="1"/>
  <c r="K921" i="28" a="1"/>
  <c r="K921" i="28" s="1"/>
  <c r="L921" i="28" s="1"/>
  <c r="K801" i="28" a="1"/>
  <c r="K801" i="28" s="1"/>
  <c r="L801" i="28" s="1"/>
  <c r="K969" i="28" a="1"/>
  <c r="K969" i="28" s="1"/>
  <c r="L969" i="28" s="1"/>
  <c r="K837" i="28" a="1"/>
  <c r="K837" i="28" s="1"/>
  <c r="L837" i="28" s="1"/>
  <c r="K753" i="28" a="1"/>
  <c r="K753" i="28" s="1"/>
  <c r="L753" i="28" s="1"/>
  <c r="K765" i="28" a="1"/>
  <c r="K765" i="28" s="1"/>
  <c r="L765" i="28" s="1"/>
  <c r="K813" i="28" a="1"/>
  <c r="K813" i="28" s="1"/>
  <c r="L813" i="28" s="1"/>
  <c r="K873" i="28" a="1"/>
  <c r="K873" i="28" s="1"/>
  <c r="L873" i="28" s="1"/>
  <c r="K909" i="28" a="1"/>
  <c r="K909" i="28" s="1"/>
  <c r="L909" i="28" s="1"/>
  <c r="K945" i="28" a="1"/>
  <c r="K945" i="28" s="1"/>
  <c r="L945" i="28" s="1"/>
  <c r="K789" i="28" a="1"/>
  <c r="K789" i="28" s="1"/>
  <c r="L789" i="28" s="1"/>
  <c r="K825" i="28" a="1"/>
  <c r="K825" i="28" s="1"/>
  <c r="L825" i="28" s="1"/>
  <c r="K849" i="28" a="1"/>
  <c r="K849" i="28" s="1"/>
  <c r="L849" i="28" s="1"/>
  <c r="K885" i="28" a="1"/>
  <c r="K885" i="28" s="1"/>
  <c r="L885" i="28" s="1"/>
  <c r="K957" i="28" a="1"/>
  <c r="K957" i="28" s="1"/>
  <c r="L957" i="28" s="1"/>
  <c r="K777" i="28" a="1"/>
  <c r="K777" i="28" s="1"/>
  <c r="L777" i="28" s="1"/>
  <c r="K861" i="28" a="1"/>
  <c r="K861" i="28" s="1"/>
  <c r="L861" i="28" s="1"/>
  <c r="K933" i="28" a="1"/>
  <c r="K933" i="28" s="1"/>
  <c r="L933" i="28" s="1"/>
  <c r="K981" i="28" a="1"/>
  <c r="K981" i="28" s="1"/>
  <c r="L981" i="28" s="1"/>
  <c r="K897" i="28" a="1"/>
  <c r="K897" i="28" s="1"/>
  <c r="L897" i="28" s="1"/>
  <c r="K705" i="28" a="1"/>
  <c r="K705" i="28" s="1"/>
  <c r="L705" i="28" s="1"/>
  <c r="M705" i="28" s="1"/>
  <c r="K585" i="28" a="1"/>
  <c r="K585" i="28" s="1"/>
  <c r="L585" i="28" s="1"/>
  <c r="M585" i="28" s="1"/>
  <c r="K633" i="28" a="1"/>
  <c r="K633" i="28" s="1"/>
  <c r="L633" i="28" s="1"/>
  <c r="M633" i="28" s="1"/>
  <c r="K549" i="28" a="1"/>
  <c r="K549" i="28" s="1"/>
  <c r="L549" i="28" s="1"/>
  <c r="M549" i="28" s="1"/>
  <c r="K501" i="28" a="1"/>
  <c r="K501" i="28" s="1"/>
  <c r="L501" i="28" s="1"/>
  <c r="M501" i="28" s="1"/>
  <c r="K453" i="28" a="1"/>
  <c r="K453" i="28" s="1"/>
  <c r="L453" i="28" s="1"/>
  <c r="M453" i="28" s="1"/>
  <c r="K405" i="28" a="1"/>
  <c r="K405" i="28" s="1"/>
  <c r="L405" i="28" s="1"/>
  <c r="M405" i="28" s="1"/>
  <c r="K357" i="28" a="1"/>
  <c r="K357" i="28" s="1"/>
  <c r="L357" i="28" s="1"/>
  <c r="M357" i="28" s="1"/>
  <c r="K297" i="28" a="1"/>
  <c r="K297" i="28" s="1"/>
  <c r="L297" i="28" s="1"/>
  <c r="M297" i="28" s="1"/>
  <c r="K273" i="28" a="1"/>
  <c r="K273" i="28" s="1"/>
  <c r="L273" i="28" s="1"/>
  <c r="M273" i="28" s="1"/>
  <c r="K24" i="28" a="1"/>
  <c r="K24" i="28" s="1"/>
  <c r="L24" i="28" s="1"/>
  <c r="M24" i="28" s="1"/>
  <c r="K225" i="28" a="1"/>
  <c r="K225" i="28" s="1"/>
  <c r="L225" i="28" s="1"/>
  <c r="M225" i="28" s="1"/>
  <c r="K177" i="28" a="1"/>
  <c r="K177" i="28" s="1"/>
  <c r="L177" i="28" s="1"/>
  <c r="M177" i="28" s="1"/>
  <c r="K129" i="28" a="1"/>
  <c r="K129" i="28" s="1"/>
  <c r="L129" i="28" s="1"/>
  <c r="M129" i="28" s="1"/>
  <c r="K249" i="28" a="1"/>
  <c r="K249" i="28" s="1"/>
  <c r="L249" i="28" s="1"/>
  <c r="M249" i="28" s="1"/>
  <c r="K345" i="28" a="1"/>
  <c r="K345" i="28" s="1"/>
  <c r="L345" i="28" s="1"/>
  <c r="M345" i="28" s="1"/>
  <c r="K729" i="28" a="1"/>
  <c r="K729" i="28" s="1"/>
  <c r="L729" i="28" s="1"/>
  <c r="M729" i="28" s="1"/>
  <c r="K609" i="28" a="1"/>
  <c r="K609" i="28" s="1"/>
  <c r="L609" i="28" s="1"/>
  <c r="M609" i="28" s="1"/>
  <c r="K477" i="28" a="1"/>
  <c r="K477" i="28" s="1"/>
  <c r="L477" i="28" s="1"/>
  <c r="M477" i="28" s="1"/>
  <c r="K573" i="28" a="1"/>
  <c r="K573" i="28" s="1"/>
  <c r="L573" i="28" s="1"/>
  <c r="M573" i="28" s="1"/>
  <c r="K261" i="28" a="1"/>
  <c r="K261" i="28" s="1"/>
  <c r="L261" i="28" s="1"/>
  <c r="M261" i="28" s="1"/>
  <c r="K105" i="28" a="1"/>
  <c r="K105" i="28" s="1"/>
  <c r="L105" i="28" s="1"/>
  <c r="M105" i="28" s="1"/>
  <c r="K741" i="28" a="1"/>
  <c r="K741" i="28" s="1"/>
  <c r="L741" i="28" s="1"/>
  <c r="M741" i="28" s="1"/>
  <c r="K681" i="28" a="1"/>
  <c r="K681" i="28" s="1"/>
  <c r="L681" i="28" s="1"/>
  <c r="M681" i="28" s="1"/>
  <c r="K561" i="28" a="1"/>
  <c r="K561" i="28" s="1"/>
  <c r="L561" i="28" s="1"/>
  <c r="M561" i="28" s="1"/>
  <c r="K621" i="28" a="1"/>
  <c r="K621" i="28" s="1"/>
  <c r="L621" i="28" s="1"/>
  <c r="M621" i="28" s="1"/>
  <c r="K537" i="28" a="1"/>
  <c r="K537" i="28" s="1"/>
  <c r="L537" i="28" s="1"/>
  <c r="M537" i="28" s="1"/>
  <c r="K489" i="28" a="1"/>
  <c r="K489" i="28" s="1"/>
  <c r="L489" i="28" s="1"/>
  <c r="M489" i="28" s="1"/>
  <c r="K441" i="28" a="1"/>
  <c r="K441" i="28" s="1"/>
  <c r="L441" i="28" s="1"/>
  <c r="M441" i="28" s="1"/>
  <c r="K393" i="28" a="1"/>
  <c r="K393" i="28" s="1"/>
  <c r="L393" i="28" s="1"/>
  <c r="M393" i="28" s="1"/>
  <c r="K333" i="28" a="1"/>
  <c r="K333" i="28" s="1"/>
  <c r="L333" i="28" s="1"/>
  <c r="M333" i="28" s="1"/>
  <c r="K60" i="28" a="1"/>
  <c r="K60" i="28" s="1"/>
  <c r="L60" i="28" s="1"/>
  <c r="M60" i="28" s="1"/>
  <c r="K12" i="28" a="1"/>
  <c r="K12" i="28" s="1"/>
  <c r="L12" i="28" s="1"/>
  <c r="M12" i="28" s="1"/>
  <c r="K213" i="28" a="1"/>
  <c r="K213" i="28" s="1"/>
  <c r="L213" i="28" s="1"/>
  <c r="M213" i="28" s="1"/>
  <c r="K165" i="28" a="1"/>
  <c r="K165" i="28" s="1"/>
  <c r="L165" i="28" s="1"/>
  <c r="M165" i="28" s="1"/>
  <c r="K117" i="28" a="1"/>
  <c r="K117" i="28" s="1"/>
  <c r="L117" i="28" s="1"/>
  <c r="M117" i="28" s="1"/>
  <c r="K81" i="28" a="1"/>
  <c r="K81" i="28" s="1"/>
  <c r="L81" i="28" s="1"/>
  <c r="M81" i="28" s="1"/>
  <c r="K669" i="28" a="1"/>
  <c r="K669" i="28" s="1"/>
  <c r="L669" i="28" s="1"/>
  <c r="M669" i="28" s="1"/>
  <c r="K525" i="28" a="1"/>
  <c r="K525" i="28" s="1"/>
  <c r="L525" i="28" s="1"/>
  <c r="M525" i="28" s="1"/>
  <c r="K381" i="28" a="1"/>
  <c r="K381" i="28" s="1"/>
  <c r="L381" i="28" s="1"/>
  <c r="M381" i="28" s="1"/>
  <c r="K48" i="28" a="1"/>
  <c r="K48" i="28" s="1"/>
  <c r="L48" i="28" s="1"/>
  <c r="M48" i="28" s="1"/>
  <c r="K153" i="28" a="1"/>
  <c r="K153" i="28" s="1"/>
  <c r="L153" i="28" s="1"/>
  <c r="M153" i="28" s="1"/>
  <c r="K693" i="28" a="1"/>
  <c r="K693" i="28" s="1"/>
  <c r="L693" i="28" s="1"/>
  <c r="M693" i="28" s="1"/>
  <c r="K429" i="28" a="1"/>
  <c r="K429" i="28" s="1"/>
  <c r="L429" i="28" s="1"/>
  <c r="M429" i="28" s="1"/>
  <c r="K309" i="28" a="1"/>
  <c r="K309" i="28" s="1"/>
  <c r="L309" i="28" s="1"/>
  <c r="M309" i="28" s="1"/>
  <c r="K201" i="28" a="1"/>
  <c r="K201" i="28" s="1"/>
  <c r="L201" i="28" s="1"/>
  <c r="M201" i="28" s="1"/>
  <c r="K645" i="28" a="1"/>
  <c r="K645" i="28" s="1"/>
  <c r="L645" i="28" s="1"/>
  <c r="M645" i="28" s="1"/>
  <c r="K417" i="28" a="1"/>
  <c r="K417" i="28" s="1"/>
  <c r="L417" i="28" s="1"/>
  <c r="M417" i="28" s="1"/>
  <c r="K36" i="28" a="1"/>
  <c r="K36" i="28" s="1"/>
  <c r="L36" i="28" s="1"/>
  <c r="M36" i="28" s="1"/>
  <c r="K93" i="28" a="1"/>
  <c r="K93" i="28" s="1"/>
  <c r="L93" i="28" s="1"/>
  <c r="M93" i="28" s="1"/>
  <c r="K189" i="28" a="1"/>
  <c r="K189" i="28" s="1"/>
  <c r="L189" i="28" s="1"/>
  <c r="M189" i="28" s="1"/>
  <c r="K657" i="28" a="1"/>
  <c r="K657" i="28" s="1"/>
  <c r="L657" i="28" s="1"/>
  <c r="M657" i="28" s="1"/>
  <c r="K285" i="28" a="1"/>
  <c r="K285" i="28" s="1"/>
  <c r="L285" i="28" s="1"/>
  <c r="M285" i="28" s="1"/>
  <c r="K597" i="28" a="1"/>
  <c r="K597" i="28" s="1"/>
  <c r="L597" i="28" s="1"/>
  <c r="M597" i="28" s="1"/>
  <c r="K369" i="28" a="1"/>
  <c r="K369" i="28" s="1"/>
  <c r="L369" i="28" s="1"/>
  <c r="M369" i="28" s="1"/>
  <c r="K237" i="28" a="1"/>
  <c r="K237" i="28" s="1"/>
  <c r="L237" i="28" s="1"/>
  <c r="M237" i="28" s="1"/>
  <c r="K513" i="28" a="1"/>
  <c r="K513" i="28" s="1"/>
  <c r="L513" i="28" s="1"/>
  <c r="M513" i="28" s="1"/>
  <c r="K321" i="28" a="1"/>
  <c r="K321" i="28" s="1"/>
  <c r="L321" i="28" s="1"/>
  <c r="M321" i="28" s="1"/>
  <c r="K465" i="28" a="1"/>
  <c r="K465" i="28" s="1"/>
  <c r="L465" i="28" s="1"/>
  <c r="M465" i="28" s="1"/>
  <c r="K717" i="28" a="1"/>
  <c r="K717" i="28" s="1"/>
  <c r="L717" i="28" s="1"/>
  <c r="M717" i="28" s="1"/>
  <c r="K141" i="28" a="1"/>
  <c r="K141" i="28" s="1"/>
  <c r="L141" i="28" s="1"/>
  <c r="M141" i="28" s="1"/>
  <c r="K767" i="28" a="1"/>
  <c r="K767" i="28" s="1"/>
  <c r="L767" i="28" s="1"/>
  <c r="K863" i="28" a="1"/>
  <c r="K863" i="28" s="1"/>
  <c r="L863" i="28" s="1"/>
  <c r="K755" i="28" a="1"/>
  <c r="K755" i="28" s="1"/>
  <c r="L755" i="28" s="1"/>
  <c r="K827" i="28" a="1"/>
  <c r="K827" i="28" s="1"/>
  <c r="L827" i="28" s="1"/>
  <c r="K923" i="28" a="1"/>
  <c r="K923" i="28" s="1"/>
  <c r="L923" i="28" s="1"/>
  <c r="K743" i="28" a="1"/>
  <c r="K743" i="28" s="1"/>
  <c r="L743" i="28" s="1"/>
  <c r="K779" i="28" a="1"/>
  <c r="K779" i="28" s="1"/>
  <c r="L779" i="28" s="1"/>
  <c r="K935" i="28" a="1"/>
  <c r="K935" i="28" s="1"/>
  <c r="L935" i="28" s="1"/>
  <c r="K971" i="28" a="1"/>
  <c r="K971" i="28" s="1"/>
  <c r="L971" i="28" s="1"/>
  <c r="K803" i="28" a="1"/>
  <c r="K803" i="28" s="1"/>
  <c r="L803" i="28" s="1"/>
  <c r="K839" i="28" a="1"/>
  <c r="K839" i="28" s="1"/>
  <c r="L839" i="28" s="1"/>
  <c r="K899" i="28" a="1"/>
  <c r="K899" i="28" s="1"/>
  <c r="L899" i="28" s="1"/>
  <c r="K959" i="28" a="1"/>
  <c r="K959" i="28" s="1"/>
  <c r="L959" i="28" s="1"/>
  <c r="K815" i="28" a="1"/>
  <c r="K815" i="28" s="1"/>
  <c r="L815" i="28" s="1"/>
  <c r="K911" i="28" a="1"/>
  <c r="K911" i="28" s="1"/>
  <c r="L911" i="28" s="1"/>
  <c r="K875" i="28" a="1"/>
  <c r="K875" i="28" s="1"/>
  <c r="L875" i="28" s="1"/>
  <c r="K887" i="28" a="1"/>
  <c r="K887" i="28" s="1"/>
  <c r="L887" i="28" s="1"/>
  <c r="K851" i="28" a="1"/>
  <c r="K851" i="28" s="1"/>
  <c r="L851" i="28" s="1"/>
  <c r="K791" i="28" a="1"/>
  <c r="K791" i="28" s="1"/>
  <c r="L791" i="28" s="1"/>
  <c r="K947" i="28" a="1"/>
  <c r="K947" i="28" s="1"/>
  <c r="L947" i="28" s="1"/>
  <c r="K671" i="28" a="1"/>
  <c r="K671" i="28" s="1"/>
  <c r="L671" i="28" s="1"/>
  <c r="M671" i="28" s="1"/>
  <c r="K587" i="28" a="1"/>
  <c r="K587" i="28" s="1"/>
  <c r="L587" i="28" s="1"/>
  <c r="M587" i="28" s="1"/>
  <c r="K623" i="28" a="1"/>
  <c r="K623" i="28" s="1"/>
  <c r="L623" i="28" s="1"/>
  <c r="M623" i="28" s="1"/>
  <c r="K575" i="28" a="1"/>
  <c r="K575" i="28" s="1"/>
  <c r="L575" i="28" s="1"/>
  <c r="M575" i="28" s="1"/>
  <c r="K515" i="28" a="1"/>
  <c r="K515" i="28" s="1"/>
  <c r="L515" i="28" s="1"/>
  <c r="M515" i="28" s="1"/>
  <c r="K467" i="28" a="1"/>
  <c r="K467" i="28" s="1"/>
  <c r="L467" i="28" s="1"/>
  <c r="M467" i="28" s="1"/>
  <c r="K431" i="28" a="1"/>
  <c r="K431" i="28" s="1"/>
  <c r="L431" i="28" s="1"/>
  <c r="M431" i="28" s="1"/>
  <c r="K383" i="28" a="1"/>
  <c r="K383" i="28" s="1"/>
  <c r="L383" i="28" s="1"/>
  <c r="M383" i="28" s="1"/>
  <c r="K335" i="28" a="1"/>
  <c r="K335" i="28" s="1"/>
  <c r="L335" i="28" s="1"/>
  <c r="M335" i="28" s="1"/>
  <c r="K251" i="28" a="1"/>
  <c r="K251" i="28" s="1"/>
  <c r="L251" i="28" s="1"/>
  <c r="M251" i="28" s="1"/>
  <c r="K38" i="28" a="1"/>
  <c r="K38" i="28" s="1"/>
  <c r="L38" i="28" s="1"/>
  <c r="M38" i="28" s="1"/>
  <c r="K239" i="28" a="1"/>
  <c r="K239" i="28" s="1"/>
  <c r="L239" i="28" s="1"/>
  <c r="M239" i="28" s="1"/>
  <c r="K107" i="28" a="1"/>
  <c r="K107" i="28" s="1"/>
  <c r="L107" i="28" s="1"/>
  <c r="M107" i="28" s="1"/>
  <c r="K275" i="28" a="1"/>
  <c r="K275" i="28" s="1"/>
  <c r="L275" i="28" s="1"/>
  <c r="M275" i="28" s="1"/>
  <c r="K191" i="28" a="1"/>
  <c r="K191" i="28" s="1"/>
  <c r="L191" i="28" s="1"/>
  <c r="M191" i="28" s="1"/>
  <c r="K95" i="28" a="1"/>
  <c r="K95" i="28" s="1"/>
  <c r="L95" i="28" s="1"/>
  <c r="M95" i="28" s="1"/>
  <c r="K647" i="28" a="1"/>
  <c r="K647" i="28" s="1"/>
  <c r="L647" i="28" s="1"/>
  <c r="M647" i="28" s="1"/>
  <c r="K539" i="28" a="1"/>
  <c r="K539" i="28" s="1"/>
  <c r="L539" i="28" s="1"/>
  <c r="M539" i="28" s="1"/>
  <c r="K407" i="28" a="1"/>
  <c r="K407" i="28" s="1"/>
  <c r="L407" i="28" s="1"/>
  <c r="M407" i="28" s="1"/>
  <c r="K62" i="28" a="1"/>
  <c r="K62" i="28" s="1"/>
  <c r="L62" i="28" s="1"/>
  <c r="M62" i="28" s="1"/>
  <c r="K299" i="28" a="1"/>
  <c r="K299" i="28" s="1"/>
  <c r="L299" i="28" s="1"/>
  <c r="M299" i="28" s="1"/>
  <c r="K167" i="28" a="1"/>
  <c r="K167" i="28" s="1"/>
  <c r="L167" i="28" s="1"/>
  <c r="M167" i="28" s="1"/>
  <c r="K707" i="28" a="1"/>
  <c r="K707" i="28" s="1"/>
  <c r="L707" i="28" s="1"/>
  <c r="M707" i="28" s="1"/>
  <c r="K563" i="28" a="1"/>
  <c r="K563" i="28" s="1"/>
  <c r="L563" i="28" s="1"/>
  <c r="M563" i="28" s="1"/>
  <c r="K479" i="28" a="1"/>
  <c r="K479" i="28" s="1"/>
  <c r="L479" i="28" s="1"/>
  <c r="M479" i="28" s="1"/>
  <c r="K395" i="28" a="1"/>
  <c r="K395" i="28" s="1"/>
  <c r="L395" i="28" s="1"/>
  <c r="M395" i="28" s="1"/>
  <c r="K263" i="28" a="1"/>
  <c r="K263" i="28" s="1"/>
  <c r="L263" i="28" s="1"/>
  <c r="M263" i="28" s="1"/>
  <c r="K4" i="28" a="1"/>
  <c r="K4" i="28" s="1"/>
  <c r="L4" i="28" s="1"/>
  <c r="M4" i="28" s="1"/>
  <c r="K83" i="28" a="1"/>
  <c r="K83" i="28" s="1"/>
  <c r="L83" i="28" s="1"/>
  <c r="M83" i="28" s="1"/>
  <c r="K155" i="28" a="1"/>
  <c r="K155" i="28" s="1"/>
  <c r="L155" i="28" s="1"/>
  <c r="M155" i="28" s="1"/>
  <c r="K695" i="28" a="1"/>
  <c r="K695" i="28" s="1"/>
  <c r="L695" i="28" s="1"/>
  <c r="M695" i="28" s="1"/>
  <c r="K731" i="28" a="1"/>
  <c r="K731" i="28" s="1"/>
  <c r="L731" i="28" s="1"/>
  <c r="M731" i="28" s="1"/>
  <c r="K611" i="28" a="1"/>
  <c r="K611" i="28" s="1"/>
  <c r="L611" i="28" s="1"/>
  <c r="M611" i="28" s="1"/>
  <c r="K551" i="28" a="1"/>
  <c r="K551" i="28" s="1"/>
  <c r="L551" i="28" s="1"/>
  <c r="M551" i="28" s="1"/>
  <c r="K503" i="28" a="1"/>
  <c r="K503" i="28" s="1"/>
  <c r="L503" i="28" s="1"/>
  <c r="M503" i="28" s="1"/>
  <c r="K455" i="28" a="1"/>
  <c r="K455" i="28" s="1"/>
  <c r="L455" i="28" s="1"/>
  <c r="M455" i="28" s="1"/>
  <c r="K419" i="28" a="1"/>
  <c r="K419" i="28" s="1"/>
  <c r="L419" i="28" s="1"/>
  <c r="M419" i="28" s="1"/>
  <c r="K371" i="28" a="1"/>
  <c r="K371" i="28" s="1"/>
  <c r="L371" i="28" s="1"/>
  <c r="M371" i="28" s="1"/>
  <c r="K311" i="28" a="1"/>
  <c r="K311" i="28" s="1"/>
  <c r="L311" i="28" s="1"/>
  <c r="M311" i="28" s="1"/>
  <c r="K323" i="28" a="1"/>
  <c r="K323" i="28" s="1"/>
  <c r="L323" i="28" s="1"/>
  <c r="M323" i="28" s="1"/>
  <c r="K26" i="28" a="1"/>
  <c r="K26" i="28" s="1"/>
  <c r="L26" i="28" s="1"/>
  <c r="M26" i="28" s="1"/>
  <c r="K227" i="28" a="1"/>
  <c r="K227" i="28" s="1"/>
  <c r="L227" i="28" s="1"/>
  <c r="M227" i="28" s="1"/>
  <c r="K71" i="28" a="1"/>
  <c r="K71" i="28" s="1"/>
  <c r="L71" i="28" s="1"/>
  <c r="M71" i="28" s="1"/>
  <c r="K143" i="28" a="1"/>
  <c r="K143" i="28" s="1"/>
  <c r="L143" i="28" s="1"/>
  <c r="M143" i="28" s="1"/>
  <c r="K179" i="28" a="1"/>
  <c r="K179" i="28" s="1"/>
  <c r="L179" i="28" s="1"/>
  <c r="M179" i="28" s="1"/>
  <c r="K719" i="28" a="1"/>
  <c r="K719" i="28" s="1"/>
  <c r="L719" i="28" s="1"/>
  <c r="M719" i="28" s="1"/>
  <c r="K491" i="28" a="1"/>
  <c r="K491" i="28" s="1"/>
  <c r="L491" i="28" s="1"/>
  <c r="M491" i="28" s="1"/>
  <c r="K359" i="28" a="1"/>
  <c r="K359" i="28" s="1"/>
  <c r="L359" i="28" s="1"/>
  <c r="M359" i="28" s="1"/>
  <c r="K14" i="28" a="1"/>
  <c r="K14" i="28" s="1"/>
  <c r="L14" i="28" s="1"/>
  <c r="M14" i="28" s="1"/>
  <c r="K119" i="28" a="1"/>
  <c r="K119" i="28" s="1"/>
  <c r="L119" i="28" s="1"/>
  <c r="M119" i="28" s="1"/>
  <c r="K683" i="28" a="1"/>
  <c r="K683" i="28" s="1"/>
  <c r="L683" i="28" s="1"/>
  <c r="M683" i="28" s="1"/>
  <c r="K635" i="28" a="1"/>
  <c r="K635" i="28" s="1"/>
  <c r="L635" i="28" s="1"/>
  <c r="M635" i="28" s="1"/>
  <c r="K527" i="28" a="1"/>
  <c r="K527" i="28" s="1"/>
  <c r="L527" i="28" s="1"/>
  <c r="M527" i="28" s="1"/>
  <c r="K659" i="28" a="1"/>
  <c r="K659" i="28" s="1"/>
  <c r="L659" i="28" s="1"/>
  <c r="M659" i="28" s="1"/>
  <c r="K347" i="28" a="1"/>
  <c r="K347" i="28" s="1"/>
  <c r="L347" i="28" s="1"/>
  <c r="M347" i="28" s="1"/>
  <c r="K50" i="28" a="1"/>
  <c r="K50" i="28" s="1"/>
  <c r="L50" i="28" s="1"/>
  <c r="M50" i="28" s="1"/>
  <c r="K131" i="28" a="1"/>
  <c r="K131" i="28" s="1"/>
  <c r="L131" i="28" s="1"/>
  <c r="M131" i="28" s="1"/>
  <c r="K203" i="28" a="1"/>
  <c r="K203" i="28" s="1"/>
  <c r="L203" i="28" s="1"/>
  <c r="M203" i="28" s="1"/>
  <c r="K599" i="28" a="1"/>
  <c r="K599" i="28" s="1"/>
  <c r="L599" i="28" s="1"/>
  <c r="M599" i="28" s="1"/>
  <c r="K443" i="28" a="1"/>
  <c r="K443" i="28" s="1"/>
  <c r="L443" i="28" s="1"/>
  <c r="M443" i="28" s="1"/>
  <c r="K287" i="28" a="1"/>
  <c r="K287" i="28" s="1"/>
  <c r="L287" i="28" s="1"/>
  <c r="M287" i="28" s="1"/>
  <c r="K215" i="28" a="1"/>
  <c r="K215" i="28" s="1"/>
  <c r="L215" i="28" s="1"/>
  <c r="M215" i="28" s="1"/>
  <c r="K2" i="28" a="1"/>
  <c r="K2" i="28" s="1"/>
  <c r="L2" i="28" s="1"/>
  <c r="M2" i="28" s="1"/>
  <c r="K775" i="28" a="1"/>
  <c r="K775" i="28" s="1"/>
  <c r="L775" i="28" s="1"/>
  <c r="K799" i="28" a="1"/>
  <c r="K799" i="28" s="1"/>
  <c r="L799" i="28" s="1"/>
  <c r="K895" i="28" a="1"/>
  <c r="K895" i="28" s="1"/>
  <c r="L895" i="28" s="1"/>
  <c r="K859" i="28" a="1"/>
  <c r="K859" i="28" s="1"/>
  <c r="L859" i="28" s="1"/>
  <c r="K835" i="28" a="1"/>
  <c r="K835" i="28" s="1"/>
  <c r="L835" i="28" s="1"/>
  <c r="K871" i="28" a="1"/>
  <c r="K871" i="28" s="1"/>
  <c r="L871" i="28" s="1"/>
  <c r="K763" i="28" a="1"/>
  <c r="K763" i="28" s="1"/>
  <c r="L763" i="28" s="1"/>
  <c r="K931" i="28" a="1"/>
  <c r="K931" i="28" s="1"/>
  <c r="L931" i="28" s="1"/>
  <c r="K751" i="28" a="1"/>
  <c r="K751" i="28" s="1"/>
  <c r="L751" i="28" s="1"/>
  <c r="K787" i="28" a="1"/>
  <c r="K787" i="28" s="1"/>
  <c r="L787" i="28" s="1"/>
  <c r="K847" i="28" a="1"/>
  <c r="K847" i="28" s="1"/>
  <c r="L847" i="28" s="1"/>
  <c r="K943" i="28" a="1"/>
  <c r="K943" i="28" s="1"/>
  <c r="L943" i="28" s="1"/>
  <c r="K979" i="28" a="1"/>
  <c r="K979" i="28" s="1"/>
  <c r="L979" i="28" s="1"/>
  <c r="K811" i="28" a="1"/>
  <c r="K811" i="28" s="1"/>
  <c r="L811" i="28" s="1"/>
  <c r="K907" i="28" a="1"/>
  <c r="K907" i="28" s="1"/>
  <c r="L907" i="28" s="1"/>
  <c r="K967" i="28" a="1"/>
  <c r="K967" i="28" s="1"/>
  <c r="L967" i="28" s="1"/>
  <c r="K823" i="28" a="1"/>
  <c r="K823" i="28" s="1"/>
  <c r="L823" i="28" s="1"/>
  <c r="K883" i="28" a="1"/>
  <c r="K883" i="28" s="1"/>
  <c r="L883" i="28" s="1"/>
  <c r="K919" i="28" a="1"/>
  <c r="K919" i="28" s="1"/>
  <c r="L919" i="28" s="1"/>
  <c r="K955" i="28" a="1"/>
  <c r="K955" i="28" s="1"/>
  <c r="L955" i="28" s="1"/>
  <c r="K667" i="28" a="1"/>
  <c r="K667" i="28" s="1"/>
  <c r="L667" i="28" s="1"/>
  <c r="M667" i="28" s="1"/>
  <c r="K715" i="28" a="1"/>
  <c r="K715" i="28" s="1"/>
  <c r="L715" i="28" s="1"/>
  <c r="M715" i="28" s="1"/>
  <c r="K619" i="28" a="1"/>
  <c r="K619" i="28" s="1"/>
  <c r="L619" i="28" s="1"/>
  <c r="M619" i="28" s="1"/>
  <c r="K583" i="28" a="1"/>
  <c r="K583" i="28" s="1"/>
  <c r="L583" i="28" s="1"/>
  <c r="M583" i="28" s="1"/>
  <c r="K511" i="28" a="1"/>
  <c r="K511" i="28" s="1"/>
  <c r="L511" i="28" s="1"/>
  <c r="M511" i="28" s="1"/>
  <c r="K463" i="28" a="1"/>
  <c r="K463" i="28" s="1"/>
  <c r="L463" i="28" s="1"/>
  <c r="M463" i="28" s="1"/>
  <c r="K415" i="28" a="1"/>
  <c r="K415" i="28" s="1"/>
  <c r="L415" i="28" s="1"/>
  <c r="M415" i="28" s="1"/>
  <c r="K367" i="28" a="1"/>
  <c r="K367" i="28" s="1"/>
  <c r="L367" i="28" s="1"/>
  <c r="M367" i="28" s="1"/>
  <c r="K319" i="28" a="1"/>
  <c r="K319" i="28" s="1"/>
  <c r="L319" i="28" s="1"/>
  <c r="M319" i="28" s="1"/>
  <c r="K295" i="28" a="1"/>
  <c r="K295" i="28" s="1"/>
  <c r="L295" i="28" s="1"/>
  <c r="M295" i="28" s="1"/>
  <c r="K58" i="28" a="1"/>
  <c r="K58" i="28" s="1"/>
  <c r="L58" i="28" s="1"/>
  <c r="M58" i="28" s="1"/>
  <c r="K10" i="28" a="1"/>
  <c r="K10" i="28" s="1"/>
  <c r="L10" i="28" s="1"/>
  <c r="M10" i="28" s="1"/>
  <c r="K127" i="28" a="1"/>
  <c r="K127" i="28" s="1"/>
  <c r="L127" i="28" s="1"/>
  <c r="M127" i="28" s="1"/>
  <c r="K283" i="28" a="1"/>
  <c r="K283" i="28" s="1"/>
  <c r="L283" i="28" s="1"/>
  <c r="M283" i="28" s="1"/>
  <c r="K163" i="28" a="1"/>
  <c r="K163" i="28" s="1"/>
  <c r="L163" i="28" s="1"/>
  <c r="M163" i="28" s="1"/>
  <c r="K91" i="28" a="1"/>
  <c r="K91" i="28" s="1"/>
  <c r="L91" i="28" s="1"/>
  <c r="M91" i="28" s="1"/>
  <c r="K727" i="28" a="1"/>
  <c r="K727" i="28" s="1"/>
  <c r="L727" i="28" s="1"/>
  <c r="M727" i="28" s="1"/>
  <c r="K535" i="28" a="1"/>
  <c r="K535" i="28" s="1"/>
  <c r="L535" i="28" s="1"/>
  <c r="M535" i="28" s="1"/>
  <c r="K391" i="28" a="1"/>
  <c r="K391" i="28" s="1"/>
  <c r="L391" i="28" s="1"/>
  <c r="M391" i="28" s="1"/>
  <c r="K331" i="28" a="1"/>
  <c r="K331" i="28" s="1"/>
  <c r="L331" i="28" s="1"/>
  <c r="M331" i="28" s="1"/>
  <c r="K187" i="28" a="1"/>
  <c r="K187" i="28" s="1"/>
  <c r="L187" i="28" s="1"/>
  <c r="M187" i="28" s="1"/>
  <c r="K703" i="28" a="1"/>
  <c r="K703" i="28" s="1"/>
  <c r="L703" i="28" s="1"/>
  <c r="M703" i="28" s="1"/>
  <c r="K655" i="28" a="1"/>
  <c r="K655" i="28" s="1"/>
  <c r="L655" i="28" s="1"/>
  <c r="M655" i="28" s="1"/>
  <c r="K607" i="28" a="1"/>
  <c r="K607" i="28" s="1"/>
  <c r="L607" i="28" s="1"/>
  <c r="M607" i="28" s="1"/>
  <c r="K547" i="28" a="1"/>
  <c r="K547" i="28" s="1"/>
  <c r="L547" i="28" s="1"/>
  <c r="M547" i="28" s="1"/>
  <c r="K499" i="28" a="1"/>
  <c r="K499" i="28" s="1"/>
  <c r="L499" i="28" s="1"/>
  <c r="M499" i="28" s="1"/>
  <c r="K451" i="28" a="1"/>
  <c r="K451" i="28" s="1"/>
  <c r="L451" i="28" s="1"/>
  <c r="M451" i="28" s="1"/>
  <c r="K403" i="28" a="1"/>
  <c r="K403" i="28" s="1"/>
  <c r="L403" i="28" s="1"/>
  <c r="M403" i="28" s="1"/>
  <c r="K355" i="28" a="1"/>
  <c r="K355" i="28" s="1"/>
  <c r="L355" i="28" s="1"/>
  <c r="M355" i="28" s="1"/>
  <c r="K271" i="28" a="1"/>
  <c r="K271" i="28" s="1"/>
  <c r="L271" i="28" s="1"/>
  <c r="M271" i="28" s="1"/>
  <c r="K259" i="28" a="1"/>
  <c r="K259" i="28" s="1"/>
  <c r="L259" i="28" s="1"/>
  <c r="M259" i="28" s="1"/>
  <c r="K46" i="28" a="1"/>
  <c r="K46" i="28" s="1"/>
  <c r="L46" i="28" s="1"/>
  <c r="M46" i="28" s="1"/>
  <c r="K739" i="28" a="1"/>
  <c r="K739" i="28" s="1"/>
  <c r="L739" i="28" s="1"/>
  <c r="M739" i="28" s="1"/>
  <c r="K79" i="28" a="1"/>
  <c r="K79" i="28" s="1"/>
  <c r="L79" i="28" s="1"/>
  <c r="M79" i="28" s="1"/>
  <c r="K223" i="28" a="1"/>
  <c r="K223" i="28" s="1"/>
  <c r="L223" i="28" s="1"/>
  <c r="M223" i="28" s="1"/>
  <c r="K151" i="28" a="1"/>
  <c r="K151" i="28" s="1"/>
  <c r="L151" i="28" s="1"/>
  <c r="M151" i="28" s="1"/>
  <c r="B24" i="28"/>
  <c r="K595" i="28" a="1"/>
  <c r="K595" i="28" s="1"/>
  <c r="L595" i="28" s="1"/>
  <c r="M595" i="28" s="1"/>
  <c r="K439" i="28" a="1"/>
  <c r="K439" i="28" s="1"/>
  <c r="L439" i="28" s="1"/>
  <c r="M439" i="28" s="1"/>
  <c r="K247" i="28" a="1"/>
  <c r="K247" i="28" s="1"/>
  <c r="L247" i="28" s="1"/>
  <c r="M247" i="28" s="1"/>
  <c r="K34" i="28" a="1"/>
  <c r="K34" i="28" s="1"/>
  <c r="L34" i="28" s="1"/>
  <c r="M34" i="28" s="1"/>
  <c r="K199" i="28" a="1"/>
  <c r="K199" i="28" s="1"/>
  <c r="L199" i="28" s="1"/>
  <c r="M199" i="28" s="1"/>
  <c r="K643" i="28" a="1"/>
  <c r="K643" i="28" s="1"/>
  <c r="L643" i="28" s="1"/>
  <c r="M643" i="28" s="1"/>
  <c r="K487" i="28" a="1"/>
  <c r="K487" i="28" s="1"/>
  <c r="L487" i="28" s="1"/>
  <c r="M487" i="28" s="1"/>
  <c r="K571" i="28" a="1"/>
  <c r="K571" i="28" s="1"/>
  <c r="L571" i="28" s="1"/>
  <c r="M571" i="28" s="1"/>
  <c r="K235" i="28" a="1"/>
  <c r="K235" i="28" s="1"/>
  <c r="L235" i="28" s="1"/>
  <c r="M235" i="28" s="1"/>
  <c r="K115" i="28" a="1"/>
  <c r="K115" i="28" s="1"/>
  <c r="L115" i="28" s="1"/>
  <c r="M115" i="28" s="1"/>
  <c r="K631" i="28" a="1"/>
  <c r="K631" i="28" s="1"/>
  <c r="L631" i="28" s="1"/>
  <c r="M631" i="28" s="1"/>
  <c r="K427" i="28" a="1"/>
  <c r="K427" i="28" s="1"/>
  <c r="L427" i="28" s="1"/>
  <c r="M427" i="28" s="1"/>
  <c r="K70" i="28" a="1"/>
  <c r="K70" i="28" s="1"/>
  <c r="L70" i="28" s="1"/>
  <c r="M70" i="28" s="1"/>
  <c r="K175" i="28" a="1"/>
  <c r="K175" i="28" s="1"/>
  <c r="L175" i="28" s="1"/>
  <c r="M175" i="28" s="1"/>
  <c r="K343" i="28" a="1"/>
  <c r="K343" i="28" s="1"/>
  <c r="L343" i="28" s="1"/>
  <c r="M343" i="28" s="1"/>
  <c r="K307" i="28" a="1"/>
  <c r="K307" i="28" s="1"/>
  <c r="L307" i="28" s="1"/>
  <c r="M307" i="28" s="1"/>
  <c r="K559" i="28" a="1"/>
  <c r="K559" i="28" s="1"/>
  <c r="L559" i="28" s="1"/>
  <c r="M559" i="28" s="1"/>
  <c r="K379" i="28" a="1"/>
  <c r="K379" i="28" s="1"/>
  <c r="L379" i="28" s="1"/>
  <c r="M379" i="28" s="1"/>
  <c r="K22" i="28" a="1"/>
  <c r="K22" i="28" s="1"/>
  <c r="L22" i="28" s="1"/>
  <c r="M22" i="28" s="1"/>
  <c r="K103" i="28" a="1"/>
  <c r="K103" i="28" s="1"/>
  <c r="L103" i="28" s="1"/>
  <c r="M103" i="28" s="1"/>
  <c r="K523" i="28" a="1"/>
  <c r="K523" i="28" s="1"/>
  <c r="L523" i="28" s="1"/>
  <c r="M523" i="28" s="1"/>
  <c r="K211" i="28" a="1"/>
  <c r="K211" i="28" s="1"/>
  <c r="L211" i="28" s="1"/>
  <c r="M211" i="28" s="1"/>
  <c r="K691" i="28" a="1"/>
  <c r="K691" i="28" s="1"/>
  <c r="L691" i="28" s="1"/>
  <c r="M691" i="28" s="1"/>
  <c r="K679" i="28" a="1"/>
  <c r="K679" i="28" s="1"/>
  <c r="L679" i="28" s="1"/>
  <c r="M679" i="28" s="1"/>
  <c r="K475" i="28" a="1"/>
  <c r="K475" i="28" s="1"/>
  <c r="L475" i="28" s="1"/>
  <c r="M475" i="28" s="1"/>
  <c r="K139" i="28" a="1"/>
  <c r="K139" i="28" s="1"/>
  <c r="L139" i="28" s="1"/>
  <c r="M139" i="28" s="1"/>
  <c r="K757" i="28" a="1"/>
  <c r="K757" i="28" s="1"/>
  <c r="L757" i="28" s="1"/>
  <c r="K769" i="28" a="1"/>
  <c r="K769" i="28" s="1"/>
  <c r="L769" i="28" s="1"/>
  <c r="K781" i="28" a="1"/>
  <c r="K781" i="28" s="1"/>
  <c r="L781" i="28" s="1"/>
  <c r="K841" i="28" a="1"/>
  <c r="K841" i="28" s="1"/>
  <c r="L841" i="28" s="1"/>
  <c r="K865" i="28" a="1"/>
  <c r="K865" i="28" s="1"/>
  <c r="L865" i="28" s="1"/>
  <c r="K901" i="28" a="1"/>
  <c r="K901" i="28" s="1"/>
  <c r="L901" i="28" s="1"/>
  <c r="K937" i="28" a="1"/>
  <c r="K937" i="28" s="1"/>
  <c r="L937" i="28" s="1"/>
  <c r="K793" i="28" a="1"/>
  <c r="K793" i="28" s="1"/>
  <c r="L793" i="28" s="1"/>
  <c r="K829" i="28" a="1"/>
  <c r="K829" i="28" s="1"/>
  <c r="L829" i="28" s="1"/>
  <c r="K889" i="28" a="1"/>
  <c r="K889" i="28" s="1"/>
  <c r="L889" i="28" s="1"/>
  <c r="K961" i="28" a="1"/>
  <c r="K961" i="28" s="1"/>
  <c r="L961" i="28" s="1"/>
  <c r="K973" i="28" a="1"/>
  <c r="K973" i="28" s="1"/>
  <c r="L973" i="28" s="1"/>
  <c r="K853" i="28" a="1"/>
  <c r="K853" i="28" s="1"/>
  <c r="L853" i="28" s="1"/>
  <c r="K805" i="28" a="1"/>
  <c r="K805" i="28" s="1"/>
  <c r="L805" i="28" s="1"/>
  <c r="K925" i="28" a="1"/>
  <c r="K925" i="28" s="1"/>
  <c r="L925" i="28" s="1"/>
  <c r="K745" i="28" a="1"/>
  <c r="K745" i="28" s="1"/>
  <c r="L745" i="28" s="1"/>
  <c r="K877" i="28" a="1"/>
  <c r="K877" i="28" s="1"/>
  <c r="L877" i="28" s="1"/>
  <c r="K913" i="28" a="1"/>
  <c r="K913" i="28" s="1"/>
  <c r="L913" i="28" s="1"/>
  <c r="K949" i="28" a="1"/>
  <c r="K949" i="28" s="1"/>
  <c r="L949" i="28" s="1"/>
  <c r="K817" i="28" a="1"/>
  <c r="K817" i="28" s="1"/>
  <c r="L817" i="28" s="1"/>
  <c r="K721" i="28" a="1"/>
  <c r="K721" i="28" s="1"/>
  <c r="L721" i="28" s="1"/>
  <c r="M721" i="28" s="1"/>
  <c r="K673" i="28" a="1"/>
  <c r="K673" i="28" s="1"/>
  <c r="L673" i="28" s="1"/>
  <c r="M673" i="28" s="1"/>
  <c r="K565" i="28" a="1"/>
  <c r="K565" i="28" s="1"/>
  <c r="L565" i="28" s="1"/>
  <c r="M565" i="28" s="1"/>
  <c r="K613" i="28" a="1"/>
  <c r="K613" i="28" s="1"/>
  <c r="L613" i="28" s="1"/>
  <c r="M613" i="28" s="1"/>
  <c r="K529" i="28" a="1"/>
  <c r="K529" i="28" s="1"/>
  <c r="L529" i="28" s="1"/>
  <c r="M529" i="28" s="1"/>
  <c r="K481" i="28" a="1"/>
  <c r="K481" i="28" s="1"/>
  <c r="L481" i="28" s="1"/>
  <c r="M481" i="28" s="1"/>
  <c r="K433" i="28" a="1"/>
  <c r="K433" i="28" s="1"/>
  <c r="L433" i="28" s="1"/>
  <c r="M433" i="28" s="1"/>
  <c r="K385" i="28" a="1"/>
  <c r="K385" i="28" s="1"/>
  <c r="L385" i="28" s="1"/>
  <c r="M385" i="28" s="1"/>
  <c r="K337" i="28" a="1"/>
  <c r="K337" i="28" s="1"/>
  <c r="L337" i="28" s="1"/>
  <c r="M337" i="28" s="1"/>
  <c r="K301" i="28" a="1"/>
  <c r="K301" i="28" s="1"/>
  <c r="L301" i="28" s="1"/>
  <c r="M301" i="28" s="1"/>
  <c r="K52" i="28" a="1"/>
  <c r="K52" i="28" s="1"/>
  <c r="L52" i="28" s="1"/>
  <c r="M52" i="28" s="1"/>
  <c r="K241" i="28" a="1"/>
  <c r="K241" i="28" s="1"/>
  <c r="L241" i="28" s="1"/>
  <c r="M241" i="28" s="1"/>
  <c r="K193" i="28" a="1"/>
  <c r="K193" i="28" s="1"/>
  <c r="L193" i="28" s="1"/>
  <c r="M193" i="28" s="1"/>
  <c r="K145" i="28" a="1"/>
  <c r="K145" i="28" s="1"/>
  <c r="L145" i="28" s="1"/>
  <c r="M145" i="28" s="1"/>
  <c r="K97" i="28" a="1"/>
  <c r="K97" i="28" s="1"/>
  <c r="L97" i="28" s="1"/>
  <c r="M97" i="28" s="1"/>
  <c r="K5" i="28" a="1"/>
  <c r="K5" i="28" s="1"/>
  <c r="L5" i="28" s="1"/>
  <c r="M5" i="28" s="1"/>
  <c r="K697" i="28" a="1"/>
  <c r="K697" i="28" s="1"/>
  <c r="L697" i="28" s="1"/>
  <c r="M697" i="28" s="1"/>
  <c r="K637" i="28" a="1"/>
  <c r="K637" i="28" s="1"/>
  <c r="L637" i="28" s="1"/>
  <c r="M637" i="28" s="1"/>
  <c r="K457" i="28" a="1"/>
  <c r="K457" i="28" s="1"/>
  <c r="L457" i="28" s="1"/>
  <c r="M457" i="28" s="1"/>
  <c r="K289" i="28" a="1"/>
  <c r="K289" i="28" s="1"/>
  <c r="L289" i="28" s="1"/>
  <c r="M289" i="28" s="1"/>
  <c r="K217" i="28" a="1"/>
  <c r="K217" i="28" s="1"/>
  <c r="L217" i="28" s="1"/>
  <c r="M217" i="28" s="1"/>
  <c r="K265" i="28" a="1"/>
  <c r="K265" i="28" s="1"/>
  <c r="L265" i="28" s="1"/>
  <c r="M265" i="28" s="1"/>
  <c r="K733" i="28" a="1"/>
  <c r="K733" i="28" s="1"/>
  <c r="L733" i="28" s="1"/>
  <c r="M733" i="28" s="1"/>
  <c r="K589" i="28" a="1"/>
  <c r="K589" i="28" s="1"/>
  <c r="L589" i="28" s="1"/>
  <c r="M589" i="28" s="1"/>
  <c r="K541" i="28" a="1"/>
  <c r="K541" i="28" s="1"/>
  <c r="L541" i="28" s="1"/>
  <c r="M541" i="28" s="1"/>
  <c r="K445" i="28" a="1"/>
  <c r="K445" i="28" s="1"/>
  <c r="L445" i="28" s="1"/>
  <c r="M445" i="28" s="1"/>
  <c r="K349" i="28" a="1"/>
  <c r="K349" i="28" s="1"/>
  <c r="L349" i="28" s="1"/>
  <c r="M349" i="28" s="1"/>
  <c r="K64" i="28" a="1"/>
  <c r="K64" i="28" s="1"/>
  <c r="L64" i="28" s="1"/>
  <c r="M64" i="28" s="1"/>
  <c r="K205" i="28" a="1"/>
  <c r="K205" i="28" s="1"/>
  <c r="L205" i="28" s="1"/>
  <c r="M205" i="28" s="1"/>
  <c r="K109" i="28" a="1"/>
  <c r="K109" i="28" s="1"/>
  <c r="L109" i="28" s="1"/>
  <c r="M109" i="28" s="1"/>
  <c r="K709" i="28" a="1"/>
  <c r="K709" i="28" s="1"/>
  <c r="L709" i="28" s="1"/>
  <c r="M709" i="28" s="1"/>
  <c r="K661" i="28" a="1"/>
  <c r="K661" i="28" s="1"/>
  <c r="L661" i="28" s="1"/>
  <c r="M661" i="28" s="1"/>
  <c r="K649" i="28" a="1"/>
  <c r="K649" i="28" s="1"/>
  <c r="L649" i="28" s="1"/>
  <c r="M649" i="28" s="1"/>
  <c r="K601" i="28" a="1"/>
  <c r="K601" i="28" s="1"/>
  <c r="L601" i="28" s="1"/>
  <c r="M601" i="28" s="1"/>
  <c r="K517" i="28" a="1"/>
  <c r="K517" i="28" s="1"/>
  <c r="L517" i="28" s="1"/>
  <c r="M517" i="28" s="1"/>
  <c r="K469" i="28" a="1"/>
  <c r="K469" i="28" s="1"/>
  <c r="L469" i="28" s="1"/>
  <c r="M469" i="28" s="1"/>
  <c r="K421" i="28" a="1"/>
  <c r="K421" i="28" s="1"/>
  <c r="L421" i="28" s="1"/>
  <c r="M421" i="28" s="1"/>
  <c r="K373" i="28" a="1"/>
  <c r="K373" i="28" s="1"/>
  <c r="L373" i="28" s="1"/>
  <c r="M373" i="28" s="1"/>
  <c r="K313" i="28" a="1"/>
  <c r="K313" i="28" s="1"/>
  <c r="L313" i="28" s="1"/>
  <c r="M313" i="28" s="1"/>
  <c r="K277" i="28" a="1"/>
  <c r="K277" i="28" s="1"/>
  <c r="L277" i="28" s="1"/>
  <c r="M277" i="28" s="1"/>
  <c r="K40" i="28" a="1"/>
  <c r="K40" i="28" s="1"/>
  <c r="L40" i="28" s="1"/>
  <c r="M40" i="28" s="1"/>
  <c r="K229" i="28" a="1"/>
  <c r="K229" i="28" s="1"/>
  <c r="L229" i="28" s="1"/>
  <c r="M229" i="28" s="1"/>
  <c r="K181" i="28" a="1"/>
  <c r="K181" i="28" s="1"/>
  <c r="L181" i="28" s="1"/>
  <c r="M181" i="28" s="1"/>
  <c r="K133" i="28" a="1"/>
  <c r="K133" i="28" s="1"/>
  <c r="L133" i="28" s="1"/>
  <c r="M133" i="28" s="1"/>
  <c r="K253" i="28" a="1"/>
  <c r="K253" i="28" s="1"/>
  <c r="L253" i="28" s="1"/>
  <c r="M253" i="28" s="1"/>
  <c r="K577" i="28" a="1"/>
  <c r="K577" i="28" s="1"/>
  <c r="L577" i="28" s="1"/>
  <c r="M577" i="28" s="1"/>
  <c r="K505" i="28" a="1"/>
  <c r="K505" i="28" s="1"/>
  <c r="L505" i="28" s="1"/>
  <c r="M505" i="28" s="1"/>
  <c r="K361" i="28" a="1"/>
  <c r="K361" i="28" s="1"/>
  <c r="L361" i="28" s="1"/>
  <c r="M361" i="28" s="1"/>
  <c r="K28" i="28" a="1"/>
  <c r="K28" i="28" s="1"/>
  <c r="L28" i="28" s="1"/>
  <c r="M28" i="28" s="1"/>
  <c r="K121" i="28" a="1"/>
  <c r="K121" i="28" s="1"/>
  <c r="L121" i="28" s="1"/>
  <c r="M121" i="28" s="1"/>
  <c r="K685" i="28" a="1"/>
  <c r="K685" i="28" s="1"/>
  <c r="L685" i="28" s="1"/>
  <c r="M685" i="28" s="1"/>
  <c r="K625" i="28" a="1"/>
  <c r="K625" i="28" s="1"/>
  <c r="L625" i="28" s="1"/>
  <c r="M625" i="28" s="1"/>
  <c r="K493" i="28" a="1"/>
  <c r="K493" i="28" s="1"/>
  <c r="L493" i="28" s="1"/>
  <c r="M493" i="28" s="1"/>
  <c r="K397" i="28" a="1"/>
  <c r="K397" i="28" s="1"/>
  <c r="L397" i="28" s="1"/>
  <c r="M397" i="28" s="1"/>
  <c r="K325" i="28" a="1"/>
  <c r="K325" i="28" s="1"/>
  <c r="L325" i="28" s="1"/>
  <c r="M325" i="28" s="1"/>
  <c r="K16" i="28" a="1"/>
  <c r="K16" i="28" s="1"/>
  <c r="L16" i="28" s="1"/>
  <c r="M16" i="28" s="1"/>
  <c r="K157" i="28" a="1"/>
  <c r="K157" i="28" s="1"/>
  <c r="L157" i="28" s="1"/>
  <c r="M157" i="28" s="1"/>
  <c r="K73" i="28" a="1"/>
  <c r="K73" i="28" s="1"/>
  <c r="L73" i="28" s="1"/>
  <c r="M73" i="28" s="1"/>
  <c r="K553" i="28" a="1"/>
  <c r="K553" i="28" s="1"/>
  <c r="L553" i="28" s="1"/>
  <c r="M553" i="28" s="1"/>
  <c r="K409" i="28" a="1"/>
  <c r="K409" i="28" s="1"/>
  <c r="L409" i="28" s="1"/>
  <c r="M409" i="28" s="1"/>
  <c r="K85" i="28" a="1"/>
  <c r="K85" i="28" s="1"/>
  <c r="L85" i="28" s="1"/>
  <c r="M85" i="28" s="1"/>
  <c r="K169" i="28" a="1"/>
  <c r="K169" i="28" s="1"/>
  <c r="L169" i="28" s="1"/>
  <c r="M169" i="28" s="1"/>
  <c r="K762" i="28" a="1"/>
  <c r="K762" i="28" s="1"/>
  <c r="L762" i="28" s="1"/>
  <c r="K750" i="28" a="1"/>
  <c r="K750" i="28" s="1"/>
  <c r="L750" i="28" s="1"/>
  <c r="K774" i="28" a="1"/>
  <c r="K774" i="28" s="1"/>
  <c r="L774" i="28" s="1"/>
  <c r="K822" i="28" a="1"/>
  <c r="K822" i="28" s="1"/>
  <c r="L822" i="28" s="1"/>
  <c r="K858" i="28" a="1"/>
  <c r="K858" i="28" s="1"/>
  <c r="L858" i="28" s="1"/>
  <c r="K906" i="28" a="1"/>
  <c r="K906" i="28" s="1"/>
  <c r="L906" i="28" s="1"/>
  <c r="K942" i="28" a="1"/>
  <c r="K942" i="28" s="1"/>
  <c r="L942" i="28" s="1"/>
  <c r="K810" i="28" a="1"/>
  <c r="K810" i="28" s="1"/>
  <c r="L810" i="28" s="1"/>
  <c r="K846" i="28" a="1"/>
  <c r="K846" i="28" s="1"/>
  <c r="L846" i="28" s="1"/>
  <c r="K882" i="28" a="1"/>
  <c r="K882" i="28" s="1"/>
  <c r="L882" i="28" s="1"/>
  <c r="K918" i="28" a="1"/>
  <c r="K918" i="28" s="1"/>
  <c r="L918" i="28" s="1"/>
  <c r="K966" i="28" a="1"/>
  <c r="K966" i="28" s="1"/>
  <c r="L966" i="28" s="1"/>
  <c r="K786" i="28" a="1"/>
  <c r="K786" i="28" s="1"/>
  <c r="L786" i="28" s="1"/>
  <c r="K894" i="28" a="1"/>
  <c r="K894" i="28" s="1"/>
  <c r="L894" i="28" s="1"/>
  <c r="K930" i="28" a="1"/>
  <c r="K930" i="28" s="1"/>
  <c r="L930" i="28" s="1"/>
  <c r="K978" i="28" a="1"/>
  <c r="K978" i="28" s="1"/>
  <c r="L978" i="28" s="1"/>
  <c r="K798" i="28" a="1"/>
  <c r="K798" i="28" s="1"/>
  <c r="L798" i="28" s="1"/>
  <c r="K834" i="28" a="1"/>
  <c r="K834" i="28" s="1"/>
  <c r="L834" i="28" s="1"/>
  <c r="K870" i="28" a="1"/>
  <c r="K870" i="28" s="1"/>
  <c r="L870" i="28" s="1"/>
  <c r="K954" i="28" a="1"/>
  <c r="K954" i="28" s="1"/>
  <c r="L954" i="28" s="1"/>
  <c r="K714" i="28" a="1"/>
  <c r="K714" i="28" s="1"/>
  <c r="L714" i="28" s="1"/>
  <c r="M714" i="28" s="1"/>
  <c r="K630" i="28" a="1"/>
  <c r="K630" i="28" s="1"/>
  <c r="L630" i="28" s="1"/>
  <c r="M630" i="28" s="1"/>
  <c r="K546" i="28" a="1"/>
  <c r="K546" i="28" s="1"/>
  <c r="L546" i="28" s="1"/>
  <c r="M546" i="28" s="1"/>
  <c r="K558" i="28" a="1"/>
  <c r="K558" i="28" s="1"/>
  <c r="L558" i="28" s="1"/>
  <c r="M558" i="28" s="1"/>
  <c r="K426" i="28" a="1"/>
  <c r="K426" i="28" s="1"/>
  <c r="L426" i="28" s="1"/>
  <c r="M426" i="28" s="1"/>
  <c r="K570" i="28" a="1"/>
  <c r="K570" i="28" s="1"/>
  <c r="L570" i="28" s="1"/>
  <c r="M570" i="28" s="1"/>
  <c r="K462" i="28" a="1"/>
  <c r="K462" i="28" s="1"/>
  <c r="L462" i="28" s="1"/>
  <c r="M462" i="28" s="1"/>
  <c r="K330" i="28" a="1"/>
  <c r="K330" i="28" s="1"/>
  <c r="L330" i="28" s="1"/>
  <c r="M330" i="28" s="1"/>
  <c r="K354" i="28" a="1"/>
  <c r="K354" i="28" s="1"/>
  <c r="L354" i="28" s="1"/>
  <c r="M354" i="28" s="1"/>
  <c r="K78" i="28" a="1"/>
  <c r="K78" i="28" s="1"/>
  <c r="L78" i="28" s="1"/>
  <c r="M78" i="28" s="1"/>
  <c r="K246" i="28" a="1"/>
  <c r="K246" i="28" s="1"/>
  <c r="L246" i="28" s="1"/>
  <c r="M246" i="28" s="1"/>
  <c r="K198" i="28" a="1"/>
  <c r="K198" i="28" s="1"/>
  <c r="L198" i="28" s="1"/>
  <c r="M198" i="28" s="1"/>
  <c r="K150" i="28" a="1"/>
  <c r="K150" i="28" s="1"/>
  <c r="L150" i="28" s="1"/>
  <c r="M150" i="28" s="1"/>
  <c r="K102" i="28" a="1"/>
  <c r="K102" i="28" s="1"/>
  <c r="L102" i="28" s="1"/>
  <c r="M102" i="28" s="1"/>
  <c r="K33" i="28" a="1"/>
  <c r="K33" i="28" s="1"/>
  <c r="L33" i="28" s="1"/>
  <c r="M33" i="28" s="1"/>
  <c r="K654" i="28" a="1"/>
  <c r="K654" i="28" s="1"/>
  <c r="L654" i="28" s="1"/>
  <c r="M654" i="28" s="1"/>
  <c r="K522" i="28" a="1"/>
  <c r="K522" i="28" s="1"/>
  <c r="L522" i="28" s="1"/>
  <c r="M522" i="28" s="1"/>
  <c r="K666" i="28" a="1"/>
  <c r="K666" i="28" s="1"/>
  <c r="L666" i="28" s="1"/>
  <c r="M666" i="28" s="1"/>
  <c r="K318" i="28" a="1"/>
  <c r="K318" i="28" s="1"/>
  <c r="L318" i="28" s="1"/>
  <c r="M318" i="28" s="1"/>
  <c r="K174" i="28" a="1"/>
  <c r="K174" i="28" s="1"/>
  <c r="L174" i="28" s="1"/>
  <c r="M174" i="28" s="1"/>
  <c r="K9" i="28" a="1"/>
  <c r="K9" i="28" s="1"/>
  <c r="L9" i="28" s="1"/>
  <c r="M9" i="28" s="1"/>
  <c r="K726" i="28" a="1"/>
  <c r="K726" i="28" s="1"/>
  <c r="L726" i="28" s="1"/>
  <c r="M726" i="28" s="1"/>
  <c r="K594" i="28" a="1"/>
  <c r="K594" i="28" s="1"/>
  <c r="L594" i="28" s="1"/>
  <c r="M594" i="28" s="1"/>
  <c r="K438" i="28" a="1"/>
  <c r="K438" i="28" s="1"/>
  <c r="L438" i="28" s="1"/>
  <c r="M438" i="28" s="1"/>
  <c r="K474" i="28" a="1"/>
  <c r="K474" i="28" s="1"/>
  <c r="L474" i="28" s="1"/>
  <c r="M474" i="28" s="1"/>
  <c r="K378" i="28" a="1"/>
  <c r="K378" i="28" s="1"/>
  <c r="L378" i="28" s="1"/>
  <c r="M378" i="28" s="1"/>
  <c r="K258" i="28" a="1"/>
  <c r="K258" i="28" s="1"/>
  <c r="L258" i="28" s="1"/>
  <c r="M258" i="28" s="1"/>
  <c r="K162" i="28" a="1"/>
  <c r="K162" i="28" s="1"/>
  <c r="L162" i="28" s="1"/>
  <c r="M162" i="28" s="1"/>
  <c r="K45" i="28" a="1"/>
  <c r="K45" i="28" s="1"/>
  <c r="L45" i="28" s="1"/>
  <c r="M45" i="28" s="1"/>
  <c r="K690" i="28" a="1"/>
  <c r="K690" i="28" s="1"/>
  <c r="L690" i="28" s="1"/>
  <c r="M690" i="28" s="1"/>
  <c r="K678" i="28" a="1"/>
  <c r="K678" i="28" s="1"/>
  <c r="L678" i="28" s="1"/>
  <c r="M678" i="28" s="1"/>
  <c r="K618" i="28" a="1"/>
  <c r="K618" i="28" s="1"/>
  <c r="L618" i="28" s="1"/>
  <c r="M618" i="28" s="1"/>
  <c r="K534" i="28" a="1"/>
  <c r="K534" i="28" s="1"/>
  <c r="L534" i="28" s="1"/>
  <c r="M534" i="28" s="1"/>
  <c r="K702" i="28" a="1"/>
  <c r="K702" i="28" s="1"/>
  <c r="L702" i="28" s="1"/>
  <c r="M702" i="28" s="1"/>
  <c r="K414" i="28" a="1"/>
  <c r="K414" i="28" s="1"/>
  <c r="L414" i="28" s="1"/>
  <c r="M414" i="28" s="1"/>
  <c r="K498" i="28" a="1"/>
  <c r="K498" i="28" s="1"/>
  <c r="L498" i="28" s="1"/>
  <c r="M498" i="28" s="1"/>
  <c r="K450" i="28" a="1"/>
  <c r="K450" i="28" s="1"/>
  <c r="L450" i="28" s="1"/>
  <c r="M450" i="28" s="1"/>
  <c r="K306" i="28" a="1"/>
  <c r="K306" i="28" s="1"/>
  <c r="L306" i="28" s="1"/>
  <c r="M306" i="28" s="1"/>
  <c r="K342" i="28" a="1"/>
  <c r="K342" i="28" s="1"/>
  <c r="L342" i="28" s="1"/>
  <c r="M342" i="28" s="1"/>
  <c r="K69" i="28" a="1"/>
  <c r="K69" i="28" s="1"/>
  <c r="L69" i="28" s="1"/>
  <c r="M69" i="28" s="1"/>
  <c r="K234" i="28" a="1"/>
  <c r="K234" i="28" s="1"/>
  <c r="L234" i="28" s="1"/>
  <c r="M234" i="28" s="1"/>
  <c r="K186" i="28" a="1"/>
  <c r="K186" i="28" s="1"/>
  <c r="L186" i="28" s="1"/>
  <c r="M186" i="28" s="1"/>
  <c r="K138" i="28" a="1"/>
  <c r="K138" i="28" s="1"/>
  <c r="L138" i="28" s="1"/>
  <c r="M138" i="28" s="1"/>
  <c r="K90" i="28" a="1"/>
  <c r="K90" i="28" s="1"/>
  <c r="L90" i="28" s="1"/>
  <c r="M90" i="28" s="1"/>
  <c r="K21" i="28" a="1"/>
  <c r="K21" i="28" s="1"/>
  <c r="L21" i="28" s="1"/>
  <c r="M21" i="28" s="1"/>
  <c r="K606" i="28" a="1"/>
  <c r="K606" i="28" s="1"/>
  <c r="L606" i="28" s="1"/>
  <c r="M606" i="28" s="1"/>
  <c r="K582" i="28" a="1"/>
  <c r="K582" i="28" s="1"/>
  <c r="L582" i="28" s="1"/>
  <c r="M582" i="28" s="1"/>
  <c r="K486" i="28" a="1"/>
  <c r="K486" i="28" s="1"/>
  <c r="L486" i="28" s="1"/>
  <c r="M486" i="28" s="1"/>
  <c r="K282" i="28" a="1"/>
  <c r="K282" i="28" s="1"/>
  <c r="L282" i="28" s="1"/>
  <c r="M282" i="28" s="1"/>
  <c r="K222" i="28" a="1"/>
  <c r="K222" i="28" s="1"/>
  <c r="L222" i="28" s="1"/>
  <c r="M222" i="28" s="1"/>
  <c r="K57" i="28" a="1"/>
  <c r="K57" i="28" s="1"/>
  <c r="L57" i="28" s="1"/>
  <c r="M57" i="28" s="1"/>
  <c r="K642" i="28" a="1"/>
  <c r="K642" i="28" s="1"/>
  <c r="L642" i="28" s="1"/>
  <c r="M642" i="28" s="1"/>
  <c r="K510" i="28" a="1"/>
  <c r="K510" i="28" s="1"/>
  <c r="L510" i="28" s="1"/>
  <c r="M510" i="28" s="1"/>
  <c r="K390" i="28" a="1"/>
  <c r="K390" i="28" s="1"/>
  <c r="L390" i="28" s="1"/>
  <c r="M390" i="28" s="1"/>
  <c r="K366" i="28" a="1"/>
  <c r="K366" i="28" s="1"/>
  <c r="L366" i="28" s="1"/>
  <c r="M366" i="28" s="1"/>
  <c r="K294" i="28" a="1"/>
  <c r="K294" i="28" s="1"/>
  <c r="L294" i="28" s="1"/>
  <c r="M294" i="28" s="1"/>
  <c r="K210" i="28" a="1"/>
  <c r="K210" i="28" s="1"/>
  <c r="L210" i="28" s="1"/>
  <c r="M210" i="28" s="1"/>
  <c r="K114" i="28" a="1"/>
  <c r="K114" i="28" s="1"/>
  <c r="L114" i="28" s="1"/>
  <c r="M114" i="28" s="1"/>
  <c r="K738" i="28" a="1"/>
  <c r="K738" i="28" s="1"/>
  <c r="L738" i="28" s="1"/>
  <c r="M738" i="28" s="1"/>
  <c r="K402" i="28" a="1"/>
  <c r="K402" i="28" s="1"/>
  <c r="L402" i="28" s="1"/>
  <c r="M402" i="28" s="1"/>
  <c r="K270" i="28" a="1"/>
  <c r="K270" i="28" s="1"/>
  <c r="L270" i="28" s="1"/>
  <c r="M270" i="28" s="1"/>
  <c r="K126" i="28" a="1"/>
  <c r="K126" i="28" s="1"/>
  <c r="L126" i="28" s="1"/>
  <c r="M126" i="28" s="1"/>
  <c r="K782" i="28" a="1"/>
  <c r="K782" i="28" s="1"/>
  <c r="L782" i="28" s="1"/>
  <c r="K794" i="28" a="1"/>
  <c r="K794" i="28" s="1"/>
  <c r="L794" i="28" s="1"/>
  <c r="K746" i="28" a="1"/>
  <c r="K746" i="28" s="1"/>
  <c r="L746" i="28" s="1"/>
  <c r="K890" i="28" a="1"/>
  <c r="K890" i="28" s="1"/>
  <c r="L890" i="28" s="1"/>
  <c r="K926" i="28" a="1"/>
  <c r="K926" i="28" s="1"/>
  <c r="L926" i="28" s="1"/>
  <c r="K974" i="28" a="1"/>
  <c r="K974" i="28" s="1"/>
  <c r="L974" i="28" s="1"/>
  <c r="K854" i="28" a="1"/>
  <c r="K854" i="28" s="1"/>
  <c r="L854" i="28" s="1"/>
  <c r="K758" i="28" a="1"/>
  <c r="K758" i="28" s="1"/>
  <c r="L758" i="28" s="1"/>
  <c r="K830" i="28" a="1"/>
  <c r="K830" i="28" s="1"/>
  <c r="L830" i="28" s="1"/>
  <c r="K866" i="28" a="1"/>
  <c r="K866" i="28" s="1"/>
  <c r="L866" i="28" s="1"/>
  <c r="K950" i="28" a="1"/>
  <c r="K950" i="28" s="1"/>
  <c r="L950" i="28" s="1"/>
  <c r="K962" i="28" a="1"/>
  <c r="K962" i="28" s="1"/>
  <c r="L962" i="28" s="1"/>
  <c r="K806" i="28" a="1"/>
  <c r="K806" i="28" s="1"/>
  <c r="L806" i="28" s="1"/>
  <c r="K842" i="28" a="1"/>
  <c r="K842" i="28" s="1"/>
  <c r="L842" i="28" s="1"/>
  <c r="K914" i="28" a="1"/>
  <c r="K914" i="28" s="1"/>
  <c r="L914" i="28" s="1"/>
  <c r="K770" i="28" a="1"/>
  <c r="K770" i="28" s="1"/>
  <c r="L770" i="28" s="1"/>
  <c r="K902" i="28" a="1"/>
  <c r="K902" i="28" s="1"/>
  <c r="L902" i="28" s="1"/>
  <c r="K938" i="28" a="1"/>
  <c r="K938" i="28" s="1"/>
  <c r="L938" i="28" s="1"/>
  <c r="K878" i="28" a="1"/>
  <c r="K878" i="28" s="1"/>
  <c r="L878" i="28" s="1"/>
  <c r="K818" i="28" a="1"/>
  <c r="K818" i="28" s="1"/>
  <c r="L818" i="28" s="1"/>
  <c r="K710" i="28" a="1"/>
  <c r="K710" i="28" s="1"/>
  <c r="L710" i="28" s="1"/>
  <c r="M710" i="28" s="1"/>
  <c r="K626" i="28" a="1"/>
  <c r="K626" i="28" s="1"/>
  <c r="L626" i="28" s="1"/>
  <c r="M626" i="28" s="1"/>
  <c r="K566" i="28" a="1"/>
  <c r="K566" i="28" s="1"/>
  <c r="L566" i="28" s="1"/>
  <c r="M566" i="28" s="1"/>
  <c r="K518" i="28" a="1"/>
  <c r="K518" i="28" s="1"/>
  <c r="L518" i="28" s="1"/>
  <c r="M518" i="28" s="1"/>
  <c r="K434" i="28" a="1"/>
  <c r="K434" i="28" s="1"/>
  <c r="L434" i="28" s="1"/>
  <c r="M434" i="28" s="1"/>
  <c r="K386" i="28" a="1"/>
  <c r="K386" i="28" s="1"/>
  <c r="L386" i="28" s="1"/>
  <c r="M386" i="28" s="1"/>
  <c r="K470" i="28" a="1"/>
  <c r="K470" i="28" s="1"/>
  <c r="L470" i="28" s="1"/>
  <c r="M470" i="28" s="1"/>
  <c r="K350" i="28" a="1"/>
  <c r="K350" i="28" s="1"/>
  <c r="L350" i="28" s="1"/>
  <c r="M350" i="28" s="1"/>
  <c r="K362" i="28" a="1"/>
  <c r="K362" i="28" s="1"/>
  <c r="L362" i="28" s="1"/>
  <c r="M362" i="28" s="1"/>
  <c r="K254" i="28" a="1"/>
  <c r="K254" i="28" s="1"/>
  <c r="L254" i="28" s="1"/>
  <c r="M254" i="28" s="1"/>
  <c r="K242" i="28" a="1"/>
  <c r="K242" i="28" s="1"/>
  <c r="L242" i="28" s="1"/>
  <c r="M242" i="28" s="1"/>
  <c r="K194" i="28" a="1"/>
  <c r="K194" i="28" s="1"/>
  <c r="L194" i="28" s="1"/>
  <c r="M194" i="28" s="1"/>
  <c r="K146" i="28" a="1"/>
  <c r="K146" i="28" s="1"/>
  <c r="L146" i="28" s="1"/>
  <c r="M146" i="28" s="1"/>
  <c r="K98" i="28" a="1"/>
  <c r="K98" i="28" s="1"/>
  <c r="L98" i="28" s="1"/>
  <c r="M98" i="28" s="1"/>
  <c r="K41" i="28" a="1"/>
  <c r="K41" i="28" s="1"/>
  <c r="L41" i="28" s="1"/>
  <c r="M41" i="28" s="1"/>
  <c r="K734" i="28" a="1"/>
  <c r="K734" i="28" s="1"/>
  <c r="L734" i="28" s="1"/>
  <c r="M734" i="28" s="1"/>
  <c r="K542" i="28" a="1"/>
  <c r="K542" i="28" s="1"/>
  <c r="L542" i="28" s="1"/>
  <c r="M542" i="28" s="1"/>
  <c r="K410" i="28" a="1"/>
  <c r="K410" i="28" s="1"/>
  <c r="L410" i="28" s="1"/>
  <c r="M410" i="28" s="1"/>
  <c r="K446" i="28" a="1"/>
  <c r="K446" i="28" s="1"/>
  <c r="L446" i="28" s="1"/>
  <c r="M446" i="28" s="1"/>
  <c r="K6" i="28" a="1"/>
  <c r="K6" i="28" s="1"/>
  <c r="L6" i="28" s="1"/>
  <c r="M6" i="28" s="1"/>
  <c r="K122" i="28" a="1"/>
  <c r="K122" i="28" s="1"/>
  <c r="L122" i="28" s="1"/>
  <c r="M122" i="28" s="1"/>
  <c r="K722" i="28" a="1"/>
  <c r="K722" i="28" s="1"/>
  <c r="L722" i="28" s="1"/>
  <c r="M722" i="28" s="1"/>
  <c r="K590" i="28" a="1"/>
  <c r="K590" i="28" s="1"/>
  <c r="L590" i="28" s="1"/>
  <c r="M590" i="28" s="1"/>
  <c r="K578" i="28" a="1"/>
  <c r="K578" i="28" s="1"/>
  <c r="L578" i="28" s="1"/>
  <c r="M578" i="28" s="1"/>
  <c r="K374" i="28" a="1"/>
  <c r="K374" i="28" s="1"/>
  <c r="L374" i="28" s="1"/>
  <c r="M374" i="28" s="1"/>
  <c r="K278" i="28" a="1"/>
  <c r="K278" i="28" s="1"/>
  <c r="L278" i="28" s="1"/>
  <c r="M278" i="28" s="1"/>
  <c r="K206" i="28" a="1"/>
  <c r="K206" i="28" s="1"/>
  <c r="L206" i="28" s="1"/>
  <c r="M206" i="28" s="1"/>
  <c r="K110" i="28" a="1"/>
  <c r="K110" i="28" s="1"/>
  <c r="L110" i="28" s="1"/>
  <c r="M110" i="28" s="1"/>
  <c r="K698" i="28" a="1"/>
  <c r="K698" i="28" s="1"/>
  <c r="L698" i="28" s="1"/>
  <c r="M698" i="28" s="1"/>
  <c r="K686" i="28" a="1"/>
  <c r="K686" i="28" s="1"/>
  <c r="L686" i="28" s="1"/>
  <c r="M686" i="28" s="1"/>
  <c r="K614" i="28" a="1"/>
  <c r="K614" i="28" s="1"/>
  <c r="L614" i="28" s="1"/>
  <c r="M614" i="28" s="1"/>
  <c r="K554" i="28" a="1"/>
  <c r="K554" i="28" s="1"/>
  <c r="L554" i="28" s="1"/>
  <c r="M554" i="28" s="1"/>
  <c r="K506" i="28" a="1"/>
  <c r="K506" i="28" s="1"/>
  <c r="L506" i="28" s="1"/>
  <c r="M506" i="28" s="1"/>
  <c r="K422" i="28" a="1"/>
  <c r="K422" i="28" s="1"/>
  <c r="L422" i="28" s="1"/>
  <c r="M422" i="28" s="1"/>
  <c r="K674" i="28" a="1"/>
  <c r="K674" i="28" s="1"/>
  <c r="L674" i="28" s="1"/>
  <c r="M674" i="28" s="1"/>
  <c r="K458" i="28" a="1"/>
  <c r="K458" i="28" s="1"/>
  <c r="L458" i="28" s="1"/>
  <c r="M458" i="28" s="1"/>
  <c r="K338" i="28" a="1"/>
  <c r="K338" i="28" s="1"/>
  <c r="L338" i="28" s="1"/>
  <c r="M338" i="28" s="1"/>
  <c r="K326" i="28" a="1"/>
  <c r="K326" i="28" s="1"/>
  <c r="L326" i="28" s="1"/>
  <c r="M326" i="28" s="1"/>
  <c r="K86" i="28" a="1"/>
  <c r="K86" i="28" s="1"/>
  <c r="L86" i="28" s="1"/>
  <c r="M86" i="28" s="1"/>
  <c r="K230" i="28" a="1"/>
  <c r="K230" i="28" s="1"/>
  <c r="L230" i="28" s="1"/>
  <c r="M230" i="28" s="1"/>
  <c r="K182" i="28" a="1"/>
  <c r="K182" i="28" s="1"/>
  <c r="L182" i="28" s="1"/>
  <c r="M182" i="28" s="1"/>
  <c r="K134" i="28" a="1"/>
  <c r="K134" i="28" s="1"/>
  <c r="L134" i="28" s="1"/>
  <c r="M134" i="28" s="1"/>
  <c r="K74" i="28" a="1"/>
  <c r="K74" i="28" s="1"/>
  <c r="L74" i="28" s="1"/>
  <c r="M74" i="28" s="1"/>
  <c r="K29" i="28" a="1"/>
  <c r="K29" i="28" s="1"/>
  <c r="L29" i="28" s="1"/>
  <c r="M29" i="28" s="1"/>
  <c r="K602" i="28" a="1"/>
  <c r="K602" i="28" s="1"/>
  <c r="L602" i="28" s="1"/>
  <c r="M602" i="28" s="1"/>
  <c r="K494" i="28" a="1"/>
  <c r="K494" i="28" s="1"/>
  <c r="L494" i="28" s="1"/>
  <c r="M494" i="28" s="1"/>
  <c r="K302" i="28" a="1"/>
  <c r="K302" i="28" s="1"/>
  <c r="L302" i="28" s="1"/>
  <c r="M302" i="28" s="1"/>
  <c r="K218" i="28" a="1"/>
  <c r="K218" i="28" s="1"/>
  <c r="L218" i="28" s="1"/>
  <c r="M218" i="28" s="1"/>
  <c r="K65" i="28" a="1"/>
  <c r="K65" i="28" s="1"/>
  <c r="L65" i="28" s="1"/>
  <c r="M65" i="28" s="1"/>
  <c r="K638" i="28" a="1"/>
  <c r="K638" i="28" s="1"/>
  <c r="L638" i="28" s="1"/>
  <c r="M638" i="28" s="1"/>
  <c r="K530" i="28" a="1"/>
  <c r="K530" i="28" s="1"/>
  <c r="L530" i="28" s="1"/>
  <c r="M530" i="28" s="1"/>
  <c r="K398" i="28" a="1"/>
  <c r="K398" i="28" s="1"/>
  <c r="L398" i="28" s="1"/>
  <c r="M398" i="28" s="1"/>
  <c r="K482" i="28" a="1"/>
  <c r="K482" i="28" s="1"/>
  <c r="L482" i="28" s="1"/>
  <c r="M482" i="28" s="1"/>
  <c r="K290" i="28" a="1"/>
  <c r="K290" i="28" s="1"/>
  <c r="L290" i="28" s="1"/>
  <c r="M290" i="28" s="1"/>
  <c r="K266" i="28" a="1"/>
  <c r="K266" i="28" s="1"/>
  <c r="L266" i="28" s="1"/>
  <c r="M266" i="28" s="1"/>
  <c r="K158" i="28" a="1"/>
  <c r="K158" i="28" s="1"/>
  <c r="L158" i="28" s="1"/>
  <c r="M158" i="28" s="1"/>
  <c r="K53" i="28" a="1"/>
  <c r="K53" i="28" s="1"/>
  <c r="L53" i="28" s="1"/>
  <c r="M53" i="28" s="1"/>
  <c r="K650" i="28" a="1"/>
  <c r="K650" i="28" s="1"/>
  <c r="L650" i="28" s="1"/>
  <c r="M650" i="28" s="1"/>
  <c r="K662" i="28" a="1"/>
  <c r="K662" i="28" s="1"/>
  <c r="L662" i="28" s="1"/>
  <c r="M662" i="28" s="1"/>
  <c r="K314" i="28" a="1"/>
  <c r="K314" i="28" s="1"/>
  <c r="L314" i="28" s="1"/>
  <c r="M314" i="28" s="1"/>
  <c r="K170" i="28" a="1"/>
  <c r="K170" i="28" s="1"/>
  <c r="L170" i="28" s="1"/>
  <c r="M170" i="28" s="1"/>
  <c r="K17" i="28" a="1"/>
  <c r="K17" i="28" s="1"/>
  <c r="L17" i="28" s="1"/>
  <c r="M17" i="28" s="1"/>
  <c r="B14" i="26"/>
  <c r="K2" i="26" s="1" a="1"/>
  <c r="K2" i="26" s="1"/>
  <c r="B15" i="26"/>
  <c r="B12" i="26"/>
  <c r="B18" i="26"/>
  <c r="B21" i="26"/>
  <c r="B20" i="26"/>
  <c r="B13" i="26"/>
  <c r="B22" i="26"/>
  <c r="B17" i="26"/>
  <c r="B23" i="26"/>
  <c r="B19" i="26"/>
  <c r="B24" i="27"/>
  <c r="B27" i="28" l="1"/>
  <c r="B24" i="26"/>
  <c r="B25" i="26"/>
  <c r="L2" i="26"/>
  <c r="M2" i="26" l="1"/>
  <c r="B2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F18CA9F2-12F2-474C-AF1B-184429A6031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F9F40CC7-AA99-411C-9018-906E2042591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5516E3A6-59D9-4A02-A9A4-BA1BBEEC8BB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7C3775FC-0543-4AF9-99A6-17BAD23AA65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 At2+Bt+C)</t>
        </r>
      </text>
    </comment>
    <comment ref="J1" authorId="1" shapeId="0" xr:uid="{AEFF7EA3-7AC9-4299-A777-40AFFC61107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4BCB066C-8553-4989-8E0F-6C661993434C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D2DAB9F8-9B7D-4D97-8934-617E8CF4D59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1A0A98E2-9F25-415E-A174-A8E2B821009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5E6E2588-1BEC-4CD5-840B-70DDD4A5C7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A973998F-97ED-4DE8-8598-515181BE9A4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C7" authorId="0" shapeId="0" xr:uid="{F7DEF5B9-EFBB-478B-9742-AA25C5844A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481AEC4B-C63F-45C1-A9C0-7D042C521AB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98D8D63-F0E8-472A-A018-97DB21CCC95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EA917F59-0B60-4CD3-AC94-B049B6EF5B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3648C207-D6B7-4103-ABAD-1CC53F65EC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D89DAA66-A13D-4C41-A836-5710D9B2F4F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1BA1756B-68E4-4633-B749-AB6A48088A3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33EB718D-3FD7-4C4E-A972-7BE31586F83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98D186BD-5FA7-4166-A9BF-6085BAD2056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B877EF9F-7A18-4685-9B1E-E78959FD6D1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A5988AB9-14F2-4993-A5F9-826C5B0550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A5A79A80-2703-4AAD-935F-35306A6D036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FE737F71-123C-4882-8DFF-191A0D14C8F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707EA7E9-8061-4928-8966-70B1BA41F09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B463F563-B5DF-4216-A858-6D5CD040500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47E9367D-6BB4-4876-ADC4-3492756C6D0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8D2FF37C-C0FD-4D4B-803B-862D7C183E8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25AD143-DB83-4E04-9D6F-2338C55B65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DDF4A550-A64E-458F-BB96-85A258E94F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A162B157-D436-4B81-872B-B4B9A818EB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1C9D475D-CACA-4B29-A1E7-883C01F5FFA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96F00D8B-BACE-4925-9EED-5CF7BAA8DC8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CD946F50-6B51-4D5E-BCE5-9D5950A2952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A1819E1F-0FB4-44D3-AE0F-4B110975D6C7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AA6FBCAA-355D-48D1-91EE-9A60A1668EC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23035728-4147-4B04-83CC-B0B7DB6EAAA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B0F9D652-89A3-4A5A-9EDF-DF6CDE6AFE1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3007015E-02CB-414B-9E50-14D7A0C039C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C1F862F6-6E3E-4090-B021-A77527E5EB0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72B3FDA7-1EE1-4500-93D0-4AC8E09ECF1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901218E2-E45F-4DC7-B939-43AB1311A27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E2D7D4FD-DCFD-4B05-8DB6-2852C34A2FB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675A6B30-8BE5-4FEE-9EE5-70C4F54D03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567654D2-00A1-4EB3-8FE3-5516CB9FACE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0968B-CA49-4E0F-8449-9164A1AC4134}" keepAlive="1" name="ThisWorkbookDataModel" description="データ モデル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20390F-EECE-4EE5-9B45-6DBD795435AA}" name="WorksheetConnection_co2!$A$1:$B$742" type="102" refreshedVersion="7" minRefreshableVersion="5">
    <extLst>
      <ext xmlns:x15="http://schemas.microsoft.com/office/spreadsheetml/2010/11/main" uri="{DE250136-89BD-433C-8126-D09CA5730AF9}">
        <x15:connection id="範囲">
          <x15:rangePr sourceName="_xlcn.WorksheetConnection_co2A1B74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<sst xmlns="http://schemas.openxmlformats.org/spreadsheetml/2006/main" count="131" uniqueCount="57">
  <si>
    <t>Date</t>
  </si>
  <si>
    <t>CO2</t>
  </si>
  <si>
    <t>季節変動</t>
    <rPh sb="0" eb="2">
      <t>キセツ</t>
    </rPh>
    <rPh sb="2" eb="4">
      <t>ヘンドウ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</si>
  <si>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</si>
  <si>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</si>
  <si>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</si>
  <si>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</si>
  <si>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</si>
  <si>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S(m)</t>
    <phoneticPr fontId="1"/>
  </si>
  <si>
    <t>傾向変動</t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</si>
  <si>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</si>
  <si>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残差平方の平均</t>
    <rPh sb="0" eb="4">
      <t>ザンサヘイホウ</t>
    </rPh>
    <rPh sb="5" eb="7">
      <t>ヘイキン</t>
    </rPh>
    <phoneticPr fontId="1"/>
  </si>
  <si>
    <t>手順</t>
    <rPh sb="0" eb="2">
      <t>テジュン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</si>
  <si>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</si>
  <si>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</si>
  <si>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r>
      <t>T(t) = At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+Bt+C</t>
    </r>
    <phoneticPr fontId="1"/>
  </si>
  <si>
    <t>：2次多項式（t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</si>
  <si>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S(m(t))</t>
    <phoneticPr fontId="1"/>
  </si>
  <si>
    <t>：傾向変動からの変位（m(t) は t の月部分 ）</t>
    <rPh sb="8" eb="10">
      <t>ヘンイ</t>
    </rPh>
    <rPh sb="21" eb="22">
      <t>ツキ</t>
    </rPh>
    <rPh sb="22" eb="24">
      <t>ブブン</t>
    </rPh>
    <phoneticPr fontId="1"/>
  </si>
  <si>
    <t>TS(t)=T(t)+S(m(t))</t>
    <phoneticPr fontId="1"/>
  </si>
  <si>
    <t>T(t)</t>
    <phoneticPr fontId="1"/>
  </si>
  <si>
    <t>Y(t)-T(t)</t>
    <phoneticPr fontId="1"/>
  </si>
  <si>
    <t>m(t)</t>
    <phoneticPr fontId="1"/>
  </si>
  <si>
    <t>TS(t)</t>
    <phoneticPr fontId="1"/>
  </si>
  <si>
    <t>2000/4/1 の行までコピーする</t>
    <rPh sb="10" eb="11">
      <t>ギョウ</t>
    </rPh>
    <phoneticPr fontId="1"/>
  </si>
  <si>
    <t>T(t), Y(t)-T(t)　(I2, J2) の数式を</t>
    <rPh sb="26" eb="28">
      <t>スウシキ</t>
    </rPh>
    <phoneticPr fontId="1"/>
  </si>
  <si>
    <t>S(m(t)), TS(t), 残差(I)　(K2～M2) の数式を</t>
    <phoneticPr fontId="1"/>
  </si>
  <si>
    <t>A11:B24を選択して，散布図(平滑線とマーカー)を描く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</si>
  <si>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(観測値と傾向変動(T)のグラフ)</t>
    <rPh sb="1" eb="4">
      <t>カンソクチ</t>
    </rPh>
    <rPh sb="5" eb="9">
      <t>ケイコウヘンドウ</t>
    </rPh>
    <phoneticPr fontId="1"/>
  </si>
  <si>
    <t>(観測値と近似値(TS)のグラフ)</t>
    <rPh sb="1" eb="4">
      <t>カンソクチ</t>
    </rPh>
    <rPh sb="5" eb="8">
      <t>キンジチ</t>
    </rPh>
    <phoneticPr fontId="1"/>
  </si>
  <si>
    <t>(季節変動(S)の (1年分の) グラフ)</t>
    <rPh sb="1" eb="5">
      <t>キセツヘンドウ</t>
    </rPh>
    <rPh sb="12" eb="14">
      <t>ネンブン</t>
    </rPh>
    <phoneticPr fontId="1"/>
  </si>
  <si>
    <t>(残差 (不規則変動 I) のグラフ)</t>
    <rPh sb="1" eb="3">
      <t>ザンサ</t>
    </rPh>
    <rPh sb="5" eb="10">
      <t>フキソクヘンドウ</t>
    </rPh>
    <phoneticPr fontId="1"/>
  </si>
  <si>
    <t>I～M列の数式を 2020/4/1 の行までコピーする</t>
    <rPh sb="3" eb="4">
      <t>レツ</t>
    </rPh>
    <rPh sb="5" eb="7">
      <t>スウシキ</t>
    </rPh>
    <rPh sb="19" eb="20">
      <t>ギョウ</t>
    </rPh>
    <phoneticPr fontId="1"/>
  </si>
  <si>
    <t>(2000/5/1 ～ 2020/4/1 の誤差の確認)</t>
    <rPh sb="22" eb="24">
      <t>ゴサ</t>
    </rPh>
    <rPh sb="25" eb="27">
      <t>カクニン</t>
    </rPh>
    <phoneticPr fontId="1"/>
  </si>
  <si>
    <t>(将来の推定)</t>
    <rPh sb="1" eb="3">
      <t>ショウライ</t>
    </rPh>
    <rPh sb="4" eb="6">
      <t>スイテイ</t>
    </rPh>
    <phoneticPr fontId="1"/>
  </si>
  <si>
    <t>※ 2次多項式モデルは，増加率が一定の割合で増加するモデルである</t>
    <rPh sb="3" eb="4">
      <t>ジ</t>
    </rPh>
    <rPh sb="4" eb="7">
      <t>タコウシキ</t>
    </rPh>
    <rPh sb="12" eb="15">
      <t>ゾウカリツ</t>
    </rPh>
    <rPh sb="16" eb="18">
      <t>イッテイ</t>
    </rPh>
    <rPh sb="19" eb="21">
      <t>ワリアイ</t>
    </rPh>
    <rPh sb="22" eb="24">
      <t>ゾウカ</t>
    </rPh>
    <phoneticPr fontId="1"/>
  </si>
  <si>
    <t>=S(1)</t>
    <phoneticPr fontId="1"/>
  </si>
  <si>
    <t>I, K, L列の数式を 2040/4/1 の行までコピーする</t>
    <rPh sb="7" eb="8">
      <t>レツ</t>
    </rPh>
    <rPh sb="9" eb="11">
      <t>スウシキ</t>
    </rPh>
    <rPh sb="23" eb="24">
      <t>ギョウ</t>
    </rPh>
    <phoneticPr fontId="1"/>
  </si>
  <si>
    <t>T(t) = Bt+C</t>
    <phoneticPr fontId="1"/>
  </si>
  <si>
    <t>：1次多項式（t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</si>
  <si>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t, Y(t), T(t)　(F, H, I 列) で折れ線グラフを描く</t>
    <rPh sb="23" eb="24">
      <t>レツ</t>
    </rPh>
    <rPh sb="27" eb="28">
      <t>オ</t>
    </rPh>
    <rPh sb="29" eb="30">
      <t>セン</t>
    </rPh>
    <rPh sb="34" eb="35">
      <t>エガ</t>
    </rPh>
    <phoneticPr fontId="1"/>
  </si>
  <si>
    <t>t, Y(t), TS(t)（F, H, L列）で折れ線グラフを描く</t>
    <rPh sb="22" eb="23">
      <t>レツ</t>
    </rPh>
    <rPh sb="25" eb="26">
      <t>オ</t>
    </rPh>
    <rPh sb="27" eb="28">
      <t>セン</t>
    </rPh>
    <rPh sb="32" eb="33">
      <t>エガ</t>
    </rPh>
    <phoneticPr fontId="1"/>
  </si>
  <si>
    <t>※ 線形モデルは，増加率が一定の（直線的な）モデルである</t>
    <rPh sb="2" eb="4">
      <t>センケイ</t>
    </rPh>
    <rPh sb="9" eb="12">
      <t>ゾウカリツ</t>
    </rPh>
    <rPh sb="13" eb="15">
      <t>イッテイ</t>
    </rPh>
    <rPh sb="17" eb="20">
      <t>チョクセンテキ</t>
    </rPh>
    <phoneticPr fontId="1"/>
  </si>
  <si>
    <t>t, 残差(I)（F, M列）で折れ線グラフを描く</t>
    <rPh sb="3" eb="5">
      <t>ザンサ</t>
    </rPh>
    <rPh sb="13" eb="14">
      <t>レツ</t>
    </rPh>
    <rPh sb="16" eb="17">
      <t>オ</t>
    </rPh>
    <rPh sb="18" eb="19">
      <t>セン</t>
    </rPh>
    <rPh sb="23" eb="24">
      <t>エガ</t>
    </rPh>
    <phoneticPr fontId="1"/>
  </si>
  <si>
    <t xml:space="preserve"> ※ 2000/4/1までのデータを使った近似</t>
    <rPh sb="18" eb="19">
      <t>ツカ</t>
    </rPh>
    <rPh sb="21" eb="23">
      <t>キンジ</t>
    </rPh>
    <phoneticPr fontId="1"/>
  </si>
  <si>
    <t xml:space="preserve"> ※ 2000/4/1までのデータを使った平均</t>
    <rPh sb="18" eb="19">
      <t>ツカ</t>
    </rPh>
    <rPh sb="21" eb="23">
      <t>ヘイキン</t>
    </rPh>
    <phoneticPr fontId="1"/>
  </si>
  <si>
    <t>t (=Date)</t>
    <phoneticPr fontId="1"/>
  </si>
  <si>
    <t>Y(t) (=CO2)</t>
    <phoneticPr fontId="1"/>
  </si>
  <si>
    <t>I(t) (=残差)</t>
    <rPh sb="7" eb="9">
      <t>ザンサ</t>
    </rPh>
    <phoneticPr fontId="1"/>
  </si>
  <si>
    <t>傾向変動のパラメータ（最小二乗法による線形(1次多項式)近似）</t>
    <rPh sb="11" eb="16">
      <t>サイショウニジョウホウ</t>
    </rPh>
    <rPh sb="19" eb="21">
      <t>センケイ</t>
    </rPh>
    <rPh sb="23" eb="24">
      <t>ジ</t>
    </rPh>
    <rPh sb="24" eb="27">
      <t>タコウシキ</t>
    </rPh>
    <rPh sb="28" eb="30">
      <t>キンジ</t>
    </rPh>
    <phoneticPr fontId="1"/>
  </si>
  <si>
    <t>傾向変動のパラメータ（最小二乗法による2次多項式近似）</t>
    <rPh sb="11" eb="16">
      <t>サイショウニジョウホウ</t>
    </rPh>
    <rPh sb="20" eb="26">
      <t>ジタコウシキキンジ</t>
    </rPh>
    <phoneticPr fontId="1"/>
  </si>
  <si>
    <t>← LINEST関数を使用した配列数式</t>
    <rPh sb="8" eb="10">
      <t>カンスウ</t>
    </rPh>
    <rPh sb="11" eb="13">
      <t>シヨウ</t>
    </rPh>
    <rPh sb="15" eb="17">
      <t>ハイレツ</t>
    </rPh>
    <rPh sb="17" eb="19">
      <t>スウシキ</t>
    </rPh>
    <phoneticPr fontId="1"/>
  </si>
  <si>
    <t xml:space="preserve"> ※ 2020/4/1までの全データを使った近似</t>
    <rPh sb="14" eb="15">
      <t>ゼン</t>
    </rPh>
    <rPh sb="19" eb="20">
      <t>ツカ</t>
    </rPh>
    <rPh sb="22" eb="24">
      <t>キンジ</t>
    </rPh>
    <phoneticPr fontId="1"/>
  </si>
  <si>
    <t xml:space="preserve"> ※ 2020/4/1までの全データを使った平均</t>
    <rPh sb="14" eb="15">
      <t>ゼン</t>
    </rPh>
    <rPh sb="19" eb="20">
      <t>ツカ</t>
    </rPh>
    <rPh sb="22" eb="24">
      <t>ヘイキン</t>
    </rPh>
    <phoneticPr fontId="1"/>
  </si>
  <si>
    <t>季節変動（Y(t)-T(t) の月別平均値）</t>
  </si>
  <si>
    <t>季節変動（Y(t)-T(t) の月別平均値）</t>
    <rPh sb="0" eb="4">
      <t>キセツヘンドウ</t>
    </rPh>
    <rPh sb="16" eb="18">
      <t>ツキベツ</t>
    </rPh>
    <rPh sb="18" eb="21">
      <t>ヘイキンチ</t>
    </rPh>
    <phoneticPr fontId="1"/>
  </si>
  <si>
    <t>季節変動（Y(t)-T(t) の月別平均値）</t>
    <rPh sb="0" eb="2">
      <t>キセツ</t>
    </rPh>
    <rPh sb="2" eb="4">
      <t>ヘンドウ</t>
    </rPh>
    <rPh sb="16" eb="18">
      <t>ツキベツ</t>
    </rPh>
    <rPh sb="18" eb="20">
      <t>ヘイキン</t>
    </rPh>
    <rPh sb="20" eb="21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</si>
</sst>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;[Red]\-0.00\ "/>
    <numFmt numFmtId="177" formatCode="0.000000000_ ;[Red]\-0.000000000\ "/>
    <numFmt numFmtId="178" formatCode="0.000000000_ ;\-0.000000000\ 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6" xfId="0" applyBorder="1">
      <alignment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3" fillId="0" borderId="0" xfId="0" quotePrefix="1" applyFont="1">
      <alignment vertical="center"/>
    </xf>
    <xf numFmtId="178" fontId="3" fillId="0" borderId="5" xfId="0" applyNumberFormat="1" applyFont="1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'co2'!$B$1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'co2'!$A$2:$A$742</c:f>
              <c:numCache>
                <c:formatCode>m/d/yyyy</c:formatCode>
                <c:ptCount val="7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</c:numCache>
            </c:numRef>
          </c:xVal>
          <c:yVal>
            <c:numRef>
              <c:f>'co2'!$B$2:$B$742</c:f>
              <c:numCache>
                <c:formatCode>General</c:formatCode>
                <c:ptCount val="7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4-451F-846E-9B3824F5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05640"/>
        <c:axId val="562406000"/>
      </c:scatterChart>
      <c:valAx>
        <c:axId val="562405640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Date (t)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6000"/>
        <c:crosses val="autoZero"/>
        <c:crossBetween val="midCat"/>
        <c:majorUnit val="3652.5"/>
      </c:valAx>
      <c:valAx>
        <c:axId val="56240600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CO</a:t>
                </a:r>
                <a:r>
                  <a:rPr lang="en-US" altLang="ja-JP" baseline="-25000"/>
                  <a:t>2</a:t>
                </a:r>
                <a:r>
                  <a:rPr lang="en-US" altLang="ja-JP"/>
                  <a:t> (y)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5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228600</xdr:colOff>
      <xdr:row>24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91BE8-F014-407D-82A7-1E6BDD16C3E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sheetPr codeName="Sheet1"/>
  <dimension ref="A1:B742"/>
  <sheetViews>
    <sheetView tabSelected="1" zoomScaleNormal="100" workbookViewId="0"/>
  </sheetViews>
  <sheetFormatPr defaultRowHeight="18.75"/>
  <cols>
    <col min="1" max="1" width="10.25" bestFit="1" customWidth="1"/>
  </cols>
  <sheetData>
    <row r="1" spans="1:2">
      <c r="A1" t="s">
        <v>0</v>
      </c>
      <c r="B1" t="s">
        <v>1</v>
      </c>
    </row>
    <row r="2" spans="1:2">
      <c r="A2" s="1">
        <v>21245</v>
      </c>
      <c r="B2">
        <v>315.7</v>
      </c>
    </row>
    <row r="3" spans="1:2">
      <c r="A3" s="1">
        <v>21276</v>
      </c>
      <c r="B3">
        <v>317.45999999999998</v>
      </c>
    </row>
    <row r="4" spans="1:2">
      <c r="A4" s="1">
        <v>21306</v>
      </c>
      <c r="B4">
        <v>317.51</v>
      </c>
    </row>
    <row r="5" spans="1:2">
      <c r="A5" s="1">
        <v>21367</v>
      </c>
      <c r="B5">
        <v>315.86</v>
      </c>
    </row>
    <row r="6" spans="1:2">
      <c r="A6" s="1">
        <v>21398</v>
      </c>
      <c r="B6">
        <v>314.93</v>
      </c>
    </row>
    <row r="7" spans="1:2">
      <c r="A7" s="1">
        <v>21429</v>
      </c>
      <c r="B7">
        <v>313.20999999999998</v>
      </c>
    </row>
    <row r="8" spans="1:2">
      <c r="A8" s="1">
        <v>21490</v>
      </c>
      <c r="B8">
        <v>313.33</v>
      </c>
    </row>
    <row r="9" spans="1:2">
      <c r="A9" s="1">
        <v>21520</v>
      </c>
      <c r="B9">
        <v>314.67</v>
      </c>
    </row>
    <row r="10" spans="1:2">
      <c r="A10" s="1">
        <v>21551</v>
      </c>
      <c r="B10">
        <v>315.58</v>
      </c>
    </row>
    <row r="11" spans="1:2">
      <c r="A11" s="1">
        <v>21582</v>
      </c>
      <c r="B11">
        <v>316.49</v>
      </c>
    </row>
    <row r="12" spans="1:2">
      <c r="A12" s="1">
        <v>21610</v>
      </c>
      <c r="B12">
        <v>316.64999999999998</v>
      </c>
    </row>
    <row r="13" spans="1:2">
      <c r="A13" s="1">
        <v>21641</v>
      </c>
      <c r="B13">
        <v>317.72000000000003</v>
      </c>
    </row>
    <row r="14" spans="1:2">
      <c r="A14" s="1">
        <v>21671</v>
      </c>
      <c r="B14">
        <v>318.29000000000002</v>
      </c>
    </row>
    <row r="15" spans="1:2">
      <c r="A15" s="1">
        <v>21702</v>
      </c>
      <c r="B15">
        <v>318.14999999999998</v>
      </c>
    </row>
    <row r="16" spans="1:2">
      <c r="A16" s="1">
        <v>21732</v>
      </c>
      <c r="B16">
        <v>316.54000000000002</v>
      </c>
    </row>
    <row r="17" spans="1:2">
      <c r="A17" s="1">
        <v>21763</v>
      </c>
      <c r="B17">
        <v>314.8</v>
      </c>
    </row>
    <row r="18" spans="1:2">
      <c r="A18" s="1">
        <v>21794</v>
      </c>
      <c r="B18">
        <v>313.83999999999997</v>
      </c>
    </row>
    <row r="19" spans="1:2">
      <c r="A19" s="1">
        <v>21824</v>
      </c>
      <c r="B19">
        <v>313.33</v>
      </c>
    </row>
    <row r="20" spans="1:2">
      <c r="A20" s="1">
        <v>21855</v>
      </c>
      <c r="B20">
        <v>314.81</v>
      </c>
    </row>
    <row r="21" spans="1:2">
      <c r="A21" s="1">
        <v>21885</v>
      </c>
      <c r="B21">
        <v>315.58</v>
      </c>
    </row>
    <row r="22" spans="1:2">
      <c r="A22" s="1">
        <v>21916</v>
      </c>
      <c r="B22">
        <v>316.43</v>
      </c>
    </row>
    <row r="23" spans="1:2">
      <c r="A23" s="1">
        <v>21947</v>
      </c>
      <c r="B23">
        <v>316.98</v>
      </c>
    </row>
    <row r="24" spans="1:2">
      <c r="A24" s="1">
        <v>21976</v>
      </c>
      <c r="B24">
        <v>317.58</v>
      </c>
    </row>
    <row r="25" spans="1:2">
      <c r="A25" s="1">
        <v>22007</v>
      </c>
      <c r="B25">
        <v>319.02999999999997</v>
      </c>
    </row>
    <row r="26" spans="1:2">
      <c r="A26" s="1">
        <v>22037</v>
      </c>
      <c r="B26">
        <v>320.04000000000002</v>
      </c>
    </row>
    <row r="27" spans="1:2">
      <c r="A27" s="1">
        <v>22068</v>
      </c>
      <c r="B27">
        <v>319.58</v>
      </c>
    </row>
    <row r="28" spans="1:2">
      <c r="A28" s="1">
        <v>22098</v>
      </c>
      <c r="B28">
        <v>318.18</v>
      </c>
    </row>
    <row r="29" spans="1:2">
      <c r="A29" s="1">
        <v>22129</v>
      </c>
      <c r="B29">
        <v>315.89999999999998</v>
      </c>
    </row>
    <row r="30" spans="1:2">
      <c r="A30" s="1">
        <v>22160</v>
      </c>
      <c r="B30">
        <v>314.17</v>
      </c>
    </row>
    <row r="31" spans="1:2">
      <c r="A31" s="1">
        <v>22190</v>
      </c>
      <c r="B31">
        <v>313.83</v>
      </c>
    </row>
    <row r="32" spans="1:2">
      <c r="A32" s="1">
        <v>22221</v>
      </c>
      <c r="B32">
        <v>315</v>
      </c>
    </row>
    <row r="33" spans="1:2">
      <c r="A33" s="1">
        <v>22251</v>
      </c>
      <c r="B33">
        <v>316.19</v>
      </c>
    </row>
    <row r="34" spans="1:2">
      <c r="A34" s="1">
        <v>22282</v>
      </c>
      <c r="B34">
        <v>316.89999999999998</v>
      </c>
    </row>
    <row r="35" spans="1:2">
      <c r="A35" s="1">
        <v>22313</v>
      </c>
      <c r="B35">
        <v>317.7</v>
      </c>
    </row>
    <row r="36" spans="1:2">
      <c r="A36" s="1">
        <v>22341</v>
      </c>
      <c r="B36">
        <v>318.54000000000002</v>
      </c>
    </row>
    <row r="37" spans="1:2">
      <c r="A37" s="1">
        <v>22372</v>
      </c>
      <c r="B37">
        <v>319.48</v>
      </c>
    </row>
    <row r="38" spans="1:2">
      <c r="A38" s="1">
        <v>22402</v>
      </c>
      <c r="B38">
        <v>320.58</v>
      </c>
    </row>
    <row r="39" spans="1:2">
      <c r="A39" s="1">
        <v>22433</v>
      </c>
      <c r="B39">
        <v>319.77</v>
      </c>
    </row>
    <row r="40" spans="1:2">
      <c r="A40" s="1">
        <v>22463</v>
      </c>
      <c r="B40">
        <v>318.57</v>
      </c>
    </row>
    <row r="41" spans="1:2">
      <c r="A41" s="1">
        <v>22494</v>
      </c>
      <c r="B41">
        <v>316.79000000000002</v>
      </c>
    </row>
    <row r="42" spans="1:2">
      <c r="A42" s="1">
        <v>22525</v>
      </c>
      <c r="B42">
        <v>314.99</v>
      </c>
    </row>
    <row r="43" spans="1:2">
      <c r="A43" s="1">
        <v>22555</v>
      </c>
      <c r="B43">
        <v>315.31</v>
      </c>
    </row>
    <row r="44" spans="1:2">
      <c r="A44" s="1">
        <v>22586</v>
      </c>
      <c r="B44">
        <v>316.10000000000002</v>
      </c>
    </row>
    <row r="45" spans="1:2">
      <c r="A45" s="1">
        <v>22616</v>
      </c>
      <c r="B45">
        <v>317.01</v>
      </c>
    </row>
    <row r="46" spans="1:2">
      <c r="A46" s="1">
        <v>22647</v>
      </c>
      <c r="B46">
        <v>317.94</v>
      </c>
    </row>
    <row r="47" spans="1:2">
      <c r="A47" s="1">
        <v>22678</v>
      </c>
      <c r="B47">
        <v>318.55</v>
      </c>
    </row>
    <row r="48" spans="1:2">
      <c r="A48" s="1">
        <v>22706</v>
      </c>
      <c r="B48">
        <v>319.68</v>
      </c>
    </row>
    <row r="49" spans="1:2">
      <c r="A49" s="1">
        <v>22737</v>
      </c>
      <c r="B49">
        <v>320.57</v>
      </c>
    </row>
    <row r="50" spans="1:2">
      <c r="A50" s="1">
        <v>22767</v>
      </c>
      <c r="B50">
        <v>321.02</v>
      </c>
    </row>
    <row r="51" spans="1:2">
      <c r="A51" s="1">
        <v>22798</v>
      </c>
      <c r="B51">
        <v>320.62</v>
      </c>
    </row>
    <row r="52" spans="1:2">
      <c r="A52" s="1">
        <v>22828</v>
      </c>
      <c r="B52">
        <v>319.61</v>
      </c>
    </row>
    <row r="53" spans="1:2">
      <c r="A53" s="1">
        <v>22859</v>
      </c>
      <c r="B53">
        <v>317.39999999999998</v>
      </c>
    </row>
    <row r="54" spans="1:2">
      <c r="A54" s="1">
        <v>22890</v>
      </c>
      <c r="B54">
        <v>316.25</v>
      </c>
    </row>
    <row r="55" spans="1:2">
      <c r="A55" s="1">
        <v>22920</v>
      </c>
      <c r="B55">
        <v>315.42</v>
      </c>
    </row>
    <row r="56" spans="1:2">
      <c r="A56" s="1">
        <v>22951</v>
      </c>
      <c r="B56">
        <v>316.69</v>
      </c>
    </row>
    <row r="57" spans="1:2">
      <c r="A57" s="1">
        <v>22981</v>
      </c>
      <c r="B57">
        <v>317.7</v>
      </c>
    </row>
    <row r="58" spans="1:2">
      <c r="A58" s="1">
        <v>23012</v>
      </c>
      <c r="B58">
        <v>318.74</v>
      </c>
    </row>
    <row r="59" spans="1:2">
      <c r="A59" s="1">
        <v>23043</v>
      </c>
      <c r="B59">
        <v>319.07</v>
      </c>
    </row>
    <row r="60" spans="1:2">
      <c r="A60" s="1">
        <v>23071</v>
      </c>
      <c r="B60">
        <v>319.86</v>
      </c>
    </row>
    <row r="61" spans="1:2">
      <c r="A61" s="1">
        <v>23102</v>
      </c>
      <c r="B61">
        <v>321.38</v>
      </c>
    </row>
    <row r="62" spans="1:2">
      <c r="A62" s="1">
        <v>23132</v>
      </c>
      <c r="B62">
        <v>322.25</v>
      </c>
    </row>
    <row r="63" spans="1:2">
      <c r="A63" s="1">
        <v>23163</v>
      </c>
      <c r="B63">
        <v>321.48</v>
      </c>
    </row>
    <row r="64" spans="1:2">
      <c r="A64" s="1">
        <v>23193</v>
      </c>
      <c r="B64">
        <v>319.74</v>
      </c>
    </row>
    <row r="65" spans="1:2">
      <c r="A65" s="1">
        <v>23224</v>
      </c>
      <c r="B65">
        <v>317.77</v>
      </c>
    </row>
    <row r="66" spans="1:2">
      <c r="A66" s="1">
        <v>23255</v>
      </c>
      <c r="B66">
        <v>316.20999999999998</v>
      </c>
    </row>
    <row r="67" spans="1:2">
      <c r="A67" s="1">
        <v>23285</v>
      </c>
      <c r="B67">
        <v>315.99</v>
      </c>
    </row>
    <row r="68" spans="1:2">
      <c r="A68" s="1">
        <v>23316</v>
      </c>
      <c r="B68">
        <v>317.07</v>
      </c>
    </row>
    <row r="69" spans="1:2">
      <c r="A69" s="1">
        <v>23346</v>
      </c>
      <c r="B69">
        <v>318.35000000000002</v>
      </c>
    </row>
    <row r="70" spans="1:2">
      <c r="A70" s="1">
        <v>23377</v>
      </c>
      <c r="B70">
        <v>319.57</v>
      </c>
    </row>
    <row r="71" spans="1:2">
      <c r="A71" s="1">
        <v>23498</v>
      </c>
      <c r="B71">
        <v>322.26</v>
      </c>
    </row>
    <row r="72" spans="1:2">
      <c r="A72" s="1">
        <v>23529</v>
      </c>
      <c r="B72">
        <v>321.89</v>
      </c>
    </row>
    <row r="73" spans="1:2">
      <c r="A73" s="1">
        <v>23559</v>
      </c>
      <c r="B73">
        <v>320.44</v>
      </c>
    </row>
    <row r="74" spans="1:2">
      <c r="A74" s="1">
        <v>23590</v>
      </c>
      <c r="B74">
        <v>318.69</v>
      </c>
    </row>
    <row r="75" spans="1:2">
      <c r="A75" s="1">
        <v>23621</v>
      </c>
      <c r="B75">
        <v>316.7</v>
      </c>
    </row>
    <row r="76" spans="1:2">
      <c r="A76" s="1">
        <v>23651</v>
      </c>
      <c r="B76">
        <v>316.87</v>
      </c>
    </row>
    <row r="77" spans="1:2">
      <c r="A77" s="1">
        <v>23682</v>
      </c>
      <c r="B77">
        <v>317.68</v>
      </c>
    </row>
    <row r="78" spans="1:2">
      <c r="A78" s="1">
        <v>23712</v>
      </c>
      <c r="B78">
        <v>318.70999999999998</v>
      </c>
    </row>
    <row r="79" spans="1:2">
      <c r="A79" s="1">
        <v>23743</v>
      </c>
      <c r="B79">
        <v>319.44</v>
      </c>
    </row>
    <row r="80" spans="1:2">
      <c r="A80" s="1">
        <v>23774</v>
      </c>
      <c r="B80">
        <v>320.44</v>
      </c>
    </row>
    <row r="81" spans="1:2">
      <c r="A81" s="1">
        <v>23802</v>
      </c>
      <c r="B81">
        <v>320.89</v>
      </c>
    </row>
    <row r="82" spans="1:2">
      <c r="A82" s="1">
        <v>23833</v>
      </c>
      <c r="B82">
        <v>322.14</v>
      </c>
    </row>
    <row r="83" spans="1:2">
      <c r="A83" s="1">
        <v>23863</v>
      </c>
      <c r="B83">
        <v>322.17</v>
      </c>
    </row>
    <row r="84" spans="1:2">
      <c r="A84" s="1">
        <v>23894</v>
      </c>
      <c r="B84">
        <v>321.87</v>
      </c>
    </row>
    <row r="85" spans="1:2">
      <c r="A85" s="1">
        <v>23924</v>
      </c>
      <c r="B85">
        <v>321.20999999999998</v>
      </c>
    </row>
    <row r="86" spans="1:2">
      <c r="A86" s="1">
        <v>23955</v>
      </c>
      <c r="B86">
        <v>318.87</v>
      </c>
    </row>
    <row r="87" spans="1:2">
      <c r="A87" s="1">
        <v>23986</v>
      </c>
      <c r="B87">
        <v>317.81</v>
      </c>
    </row>
    <row r="88" spans="1:2">
      <c r="A88" s="1">
        <v>24016</v>
      </c>
      <c r="B88">
        <v>317.3</v>
      </c>
    </row>
    <row r="89" spans="1:2">
      <c r="A89" s="1">
        <v>24047</v>
      </c>
      <c r="B89">
        <v>318.87</v>
      </c>
    </row>
    <row r="90" spans="1:2">
      <c r="A90" s="1">
        <v>24077</v>
      </c>
      <c r="B90">
        <v>319.42</v>
      </c>
    </row>
    <row r="91" spans="1:2">
      <c r="A91" s="1">
        <v>24108</v>
      </c>
      <c r="B91">
        <v>320.62</v>
      </c>
    </row>
    <row r="92" spans="1:2">
      <c r="A92" s="1">
        <v>24139</v>
      </c>
      <c r="B92">
        <v>321.60000000000002</v>
      </c>
    </row>
    <row r="93" spans="1:2">
      <c r="A93" s="1">
        <v>24167</v>
      </c>
      <c r="B93">
        <v>322.39</v>
      </c>
    </row>
    <row r="94" spans="1:2">
      <c r="A94" s="1">
        <v>24198</v>
      </c>
      <c r="B94">
        <v>323.7</v>
      </c>
    </row>
    <row r="95" spans="1:2">
      <c r="A95" s="1">
        <v>24228</v>
      </c>
      <c r="B95">
        <v>324.08</v>
      </c>
    </row>
    <row r="96" spans="1:2">
      <c r="A96" s="1">
        <v>24259</v>
      </c>
      <c r="B96">
        <v>323.75</v>
      </c>
    </row>
    <row r="97" spans="1:2">
      <c r="A97" s="1">
        <v>24289</v>
      </c>
      <c r="B97">
        <v>322.38</v>
      </c>
    </row>
    <row r="98" spans="1:2">
      <c r="A98" s="1">
        <v>24320</v>
      </c>
      <c r="B98">
        <v>320.36</v>
      </c>
    </row>
    <row r="99" spans="1:2">
      <c r="A99" s="1">
        <v>24351</v>
      </c>
      <c r="B99">
        <v>318.64</v>
      </c>
    </row>
    <row r="100" spans="1:2">
      <c r="A100" s="1">
        <v>24381</v>
      </c>
      <c r="B100">
        <v>318.10000000000002</v>
      </c>
    </row>
    <row r="101" spans="1:2">
      <c r="A101" s="1">
        <v>24412</v>
      </c>
      <c r="B101">
        <v>319.77999999999997</v>
      </c>
    </row>
    <row r="102" spans="1:2">
      <c r="A102" s="1">
        <v>24442</v>
      </c>
      <c r="B102">
        <v>321.02999999999997</v>
      </c>
    </row>
    <row r="103" spans="1:2">
      <c r="A103" s="1">
        <v>24473</v>
      </c>
      <c r="B103">
        <v>322.33</v>
      </c>
    </row>
    <row r="104" spans="1:2">
      <c r="A104" s="1">
        <v>24504</v>
      </c>
      <c r="B104">
        <v>322.5</v>
      </c>
    </row>
    <row r="105" spans="1:2">
      <c r="A105" s="1">
        <v>24532</v>
      </c>
      <c r="B105">
        <v>323.04000000000002</v>
      </c>
    </row>
    <row r="106" spans="1:2">
      <c r="A106" s="1">
        <v>24563</v>
      </c>
      <c r="B106">
        <v>324.42</v>
      </c>
    </row>
    <row r="107" spans="1:2">
      <c r="A107" s="1">
        <v>24593</v>
      </c>
      <c r="B107">
        <v>325</v>
      </c>
    </row>
    <row r="108" spans="1:2">
      <c r="A108" s="1">
        <v>24624</v>
      </c>
      <c r="B108">
        <v>324.08999999999997</v>
      </c>
    </row>
    <row r="109" spans="1:2">
      <c r="A109" s="1">
        <v>24654</v>
      </c>
      <c r="B109">
        <v>322.54000000000002</v>
      </c>
    </row>
    <row r="110" spans="1:2">
      <c r="A110" s="1">
        <v>24685</v>
      </c>
      <c r="B110">
        <v>320.92</v>
      </c>
    </row>
    <row r="111" spans="1:2">
      <c r="A111" s="1">
        <v>24716</v>
      </c>
      <c r="B111">
        <v>319.25</v>
      </c>
    </row>
    <row r="112" spans="1:2">
      <c r="A112" s="1">
        <v>24746</v>
      </c>
      <c r="B112">
        <v>319.39</v>
      </c>
    </row>
    <row r="113" spans="1:2">
      <c r="A113" s="1">
        <v>24777</v>
      </c>
      <c r="B113">
        <v>320.73</v>
      </c>
    </row>
    <row r="114" spans="1:2">
      <c r="A114" s="1">
        <v>24807</v>
      </c>
      <c r="B114">
        <v>321.95999999999998</v>
      </c>
    </row>
    <row r="115" spans="1:2">
      <c r="A115" s="1">
        <v>24838</v>
      </c>
      <c r="B115">
        <v>322.57</v>
      </c>
    </row>
    <row r="116" spans="1:2">
      <c r="A116" s="1">
        <v>24869</v>
      </c>
      <c r="B116">
        <v>323.14999999999998</v>
      </c>
    </row>
    <row r="117" spans="1:2">
      <c r="A117" s="1">
        <v>24898</v>
      </c>
      <c r="B117">
        <v>323.89</v>
      </c>
    </row>
    <row r="118" spans="1:2">
      <c r="A118" s="1">
        <v>24929</v>
      </c>
      <c r="B118">
        <v>325.02</v>
      </c>
    </row>
    <row r="119" spans="1:2">
      <c r="A119" s="1">
        <v>24959</v>
      </c>
      <c r="B119">
        <v>325.57</v>
      </c>
    </row>
    <row r="120" spans="1:2">
      <c r="A120" s="1">
        <v>24990</v>
      </c>
      <c r="B120">
        <v>325.36</v>
      </c>
    </row>
    <row r="121" spans="1:2">
      <c r="A121" s="1">
        <v>25020</v>
      </c>
      <c r="B121">
        <v>324.14</v>
      </c>
    </row>
    <row r="122" spans="1:2">
      <c r="A122" s="1">
        <v>25051</v>
      </c>
      <c r="B122">
        <v>322.11</v>
      </c>
    </row>
    <row r="123" spans="1:2">
      <c r="A123" s="1">
        <v>25082</v>
      </c>
      <c r="B123">
        <v>320.33</v>
      </c>
    </row>
    <row r="124" spans="1:2">
      <c r="A124" s="1">
        <v>25112</v>
      </c>
      <c r="B124">
        <v>320.25</v>
      </c>
    </row>
    <row r="125" spans="1:2">
      <c r="A125" s="1">
        <v>25143</v>
      </c>
      <c r="B125">
        <v>321.32</v>
      </c>
    </row>
    <row r="126" spans="1:2">
      <c r="A126" s="1">
        <v>25173</v>
      </c>
      <c r="B126">
        <v>322.89</v>
      </c>
    </row>
    <row r="127" spans="1:2">
      <c r="A127" s="1">
        <v>25204</v>
      </c>
      <c r="B127">
        <v>324</v>
      </c>
    </row>
    <row r="128" spans="1:2">
      <c r="A128" s="1">
        <v>25235</v>
      </c>
      <c r="B128">
        <v>324.41000000000003</v>
      </c>
    </row>
    <row r="129" spans="1:2">
      <c r="A129" s="1">
        <v>25263</v>
      </c>
      <c r="B129">
        <v>325.63</v>
      </c>
    </row>
    <row r="130" spans="1:2">
      <c r="A130" s="1">
        <v>25294</v>
      </c>
      <c r="B130">
        <v>326.66000000000003</v>
      </c>
    </row>
    <row r="131" spans="1:2">
      <c r="A131" s="1">
        <v>25324</v>
      </c>
      <c r="B131">
        <v>327.38</v>
      </c>
    </row>
    <row r="132" spans="1:2">
      <c r="A132" s="1">
        <v>25355</v>
      </c>
      <c r="B132">
        <v>326.70999999999998</v>
      </c>
    </row>
    <row r="133" spans="1:2">
      <c r="A133" s="1">
        <v>25385</v>
      </c>
      <c r="B133">
        <v>325.88</v>
      </c>
    </row>
    <row r="134" spans="1:2">
      <c r="A134" s="1">
        <v>25416</v>
      </c>
      <c r="B134">
        <v>323.66000000000003</v>
      </c>
    </row>
    <row r="135" spans="1:2">
      <c r="A135" s="1">
        <v>25447</v>
      </c>
      <c r="B135">
        <v>322.38</v>
      </c>
    </row>
    <row r="136" spans="1:2">
      <c r="A136" s="1">
        <v>25477</v>
      </c>
      <c r="B136">
        <v>321.77999999999997</v>
      </c>
    </row>
    <row r="137" spans="1:2">
      <c r="A137" s="1">
        <v>25508</v>
      </c>
      <c r="B137">
        <v>322.85000000000002</v>
      </c>
    </row>
    <row r="138" spans="1:2">
      <c r="A138" s="1">
        <v>25538</v>
      </c>
      <c r="B138">
        <v>324.12</v>
      </c>
    </row>
    <row r="139" spans="1:2">
      <c r="A139" s="1">
        <v>25569</v>
      </c>
      <c r="B139">
        <v>325.06</v>
      </c>
    </row>
    <row r="140" spans="1:2">
      <c r="A140" s="1">
        <v>25600</v>
      </c>
      <c r="B140">
        <v>325.98</v>
      </c>
    </row>
    <row r="141" spans="1:2">
      <c r="A141" s="1">
        <v>25628</v>
      </c>
      <c r="B141">
        <v>326.93</v>
      </c>
    </row>
    <row r="142" spans="1:2">
      <c r="A142" s="1">
        <v>25659</v>
      </c>
      <c r="B142">
        <v>328.13</v>
      </c>
    </row>
    <row r="143" spans="1:2">
      <c r="A143" s="1">
        <v>25689</v>
      </c>
      <c r="B143">
        <v>328.08</v>
      </c>
    </row>
    <row r="144" spans="1:2">
      <c r="A144" s="1">
        <v>25720</v>
      </c>
      <c r="B144">
        <v>327.67</v>
      </c>
    </row>
    <row r="145" spans="1:2">
      <c r="A145" s="1">
        <v>25750</v>
      </c>
      <c r="B145">
        <v>326.33999999999997</v>
      </c>
    </row>
    <row r="146" spans="1:2">
      <c r="A146" s="1">
        <v>25781</v>
      </c>
      <c r="B146">
        <v>324.69</v>
      </c>
    </row>
    <row r="147" spans="1:2">
      <c r="A147" s="1">
        <v>25812</v>
      </c>
      <c r="B147">
        <v>323.10000000000002</v>
      </c>
    </row>
    <row r="148" spans="1:2">
      <c r="A148" s="1">
        <v>25842</v>
      </c>
      <c r="B148">
        <v>323.06</v>
      </c>
    </row>
    <row r="149" spans="1:2">
      <c r="A149" s="1">
        <v>25873</v>
      </c>
      <c r="B149">
        <v>324.01</v>
      </c>
    </row>
    <row r="150" spans="1:2">
      <c r="A150" s="1">
        <v>25903</v>
      </c>
      <c r="B150">
        <v>325.13</v>
      </c>
    </row>
    <row r="151" spans="1:2">
      <c r="A151" s="1">
        <v>25934</v>
      </c>
      <c r="B151">
        <v>326.17</v>
      </c>
    </row>
    <row r="152" spans="1:2">
      <c r="A152" s="1">
        <v>25965</v>
      </c>
      <c r="B152">
        <v>326.68</v>
      </c>
    </row>
    <row r="153" spans="1:2">
      <c r="A153" s="1">
        <v>25993</v>
      </c>
      <c r="B153">
        <v>327.17</v>
      </c>
    </row>
    <row r="154" spans="1:2">
      <c r="A154" s="1">
        <v>26024</v>
      </c>
      <c r="B154">
        <v>327.79</v>
      </c>
    </row>
    <row r="155" spans="1:2">
      <c r="A155" s="1">
        <v>26054</v>
      </c>
      <c r="B155">
        <v>328.93</v>
      </c>
    </row>
    <row r="156" spans="1:2">
      <c r="A156" s="1">
        <v>26085</v>
      </c>
      <c r="B156">
        <v>328.57</v>
      </c>
    </row>
    <row r="157" spans="1:2">
      <c r="A157" s="1">
        <v>26115</v>
      </c>
      <c r="B157">
        <v>327.36</v>
      </c>
    </row>
    <row r="158" spans="1:2">
      <c r="A158" s="1">
        <v>26146</v>
      </c>
      <c r="B158">
        <v>325.43</v>
      </c>
    </row>
    <row r="159" spans="1:2">
      <c r="A159" s="1">
        <v>26177</v>
      </c>
      <c r="B159">
        <v>323.36</v>
      </c>
    </row>
    <row r="160" spans="1:2">
      <c r="A160" s="1">
        <v>26207</v>
      </c>
      <c r="B160">
        <v>323.56</v>
      </c>
    </row>
    <row r="161" spans="1:2">
      <c r="A161" s="1">
        <v>26238</v>
      </c>
      <c r="B161">
        <v>324.8</v>
      </c>
    </row>
    <row r="162" spans="1:2">
      <c r="A162" s="1">
        <v>26268</v>
      </c>
      <c r="B162">
        <v>326.01</v>
      </c>
    </row>
    <row r="163" spans="1:2">
      <c r="A163" s="1">
        <v>26299</v>
      </c>
      <c r="B163">
        <v>326.77</v>
      </c>
    </row>
    <row r="164" spans="1:2">
      <c r="A164" s="1">
        <v>26330</v>
      </c>
      <c r="B164">
        <v>327.63</v>
      </c>
    </row>
    <row r="165" spans="1:2">
      <c r="A165" s="1">
        <v>26359</v>
      </c>
      <c r="B165">
        <v>327.75</v>
      </c>
    </row>
    <row r="166" spans="1:2">
      <c r="A166" s="1">
        <v>26390</v>
      </c>
      <c r="B166">
        <v>329.72</v>
      </c>
    </row>
    <row r="167" spans="1:2">
      <c r="A167" s="1">
        <v>26420</v>
      </c>
      <c r="B167">
        <v>330.07</v>
      </c>
    </row>
    <row r="168" spans="1:2">
      <c r="A168" s="1">
        <v>26451</v>
      </c>
      <c r="B168">
        <v>329.09</v>
      </c>
    </row>
    <row r="169" spans="1:2">
      <c r="A169" s="1">
        <v>26481</v>
      </c>
      <c r="B169">
        <v>328.04</v>
      </c>
    </row>
    <row r="170" spans="1:2">
      <c r="A170" s="1">
        <v>26512</v>
      </c>
      <c r="B170">
        <v>326.32</v>
      </c>
    </row>
    <row r="171" spans="1:2">
      <c r="A171" s="1">
        <v>26543</v>
      </c>
      <c r="B171">
        <v>324.83999999999997</v>
      </c>
    </row>
    <row r="172" spans="1:2">
      <c r="A172" s="1">
        <v>26573</v>
      </c>
      <c r="B172">
        <v>325.2</v>
      </c>
    </row>
    <row r="173" spans="1:2">
      <c r="A173" s="1">
        <v>26604</v>
      </c>
      <c r="B173">
        <v>326.5</v>
      </c>
    </row>
    <row r="174" spans="1:2">
      <c r="A174" s="1">
        <v>26634</v>
      </c>
      <c r="B174">
        <v>327.55</v>
      </c>
    </row>
    <row r="175" spans="1:2">
      <c r="A175" s="1">
        <v>26665</v>
      </c>
      <c r="B175">
        <v>328.55</v>
      </c>
    </row>
    <row r="176" spans="1:2">
      <c r="A176" s="1">
        <v>26696</v>
      </c>
      <c r="B176">
        <v>329.56</v>
      </c>
    </row>
    <row r="177" spans="1:2">
      <c r="A177" s="1">
        <v>26724</v>
      </c>
      <c r="B177">
        <v>330.3</v>
      </c>
    </row>
    <row r="178" spans="1:2">
      <c r="A178" s="1">
        <v>26755</v>
      </c>
      <c r="B178">
        <v>331.5</v>
      </c>
    </row>
    <row r="179" spans="1:2">
      <c r="A179" s="1">
        <v>26785</v>
      </c>
      <c r="B179">
        <v>332.48</v>
      </c>
    </row>
    <row r="180" spans="1:2">
      <c r="A180" s="1">
        <v>26816</v>
      </c>
      <c r="B180">
        <v>332.07</v>
      </c>
    </row>
    <row r="181" spans="1:2">
      <c r="A181" s="1">
        <v>26846</v>
      </c>
      <c r="B181">
        <v>330.87</v>
      </c>
    </row>
    <row r="182" spans="1:2">
      <c r="A182" s="1">
        <v>26877</v>
      </c>
      <c r="B182">
        <v>329.31</v>
      </c>
    </row>
    <row r="183" spans="1:2">
      <c r="A183" s="1">
        <v>26908</v>
      </c>
      <c r="B183">
        <v>327.51</v>
      </c>
    </row>
    <row r="184" spans="1:2">
      <c r="A184" s="1">
        <v>26938</v>
      </c>
      <c r="B184">
        <v>327.18</v>
      </c>
    </row>
    <row r="185" spans="1:2">
      <c r="A185" s="1">
        <v>26969</v>
      </c>
      <c r="B185">
        <v>328.16</v>
      </c>
    </row>
    <row r="186" spans="1:2">
      <c r="A186" s="1">
        <v>26999</v>
      </c>
      <c r="B186">
        <v>328.64</v>
      </c>
    </row>
    <row r="187" spans="1:2">
      <c r="A187" s="1">
        <v>27030</v>
      </c>
      <c r="B187">
        <v>329.35</v>
      </c>
    </row>
    <row r="188" spans="1:2">
      <c r="A188" s="1">
        <v>27061</v>
      </c>
      <c r="B188">
        <v>330.71</v>
      </c>
    </row>
    <row r="189" spans="1:2">
      <c r="A189" s="1">
        <v>27089</v>
      </c>
      <c r="B189">
        <v>331.48</v>
      </c>
    </row>
    <row r="190" spans="1:2">
      <c r="A190" s="1">
        <v>27120</v>
      </c>
      <c r="B190">
        <v>332.65</v>
      </c>
    </row>
    <row r="191" spans="1:2">
      <c r="A191" s="1">
        <v>27150</v>
      </c>
      <c r="B191">
        <v>333.09</v>
      </c>
    </row>
    <row r="192" spans="1:2">
      <c r="A192" s="1">
        <v>27181</v>
      </c>
      <c r="B192">
        <v>332.25</v>
      </c>
    </row>
    <row r="193" spans="1:2">
      <c r="A193" s="1">
        <v>27211</v>
      </c>
      <c r="B193">
        <v>331.18</v>
      </c>
    </row>
    <row r="194" spans="1:2">
      <c r="A194" s="1">
        <v>27242</v>
      </c>
      <c r="B194">
        <v>329.39</v>
      </c>
    </row>
    <row r="195" spans="1:2">
      <c r="A195" s="1">
        <v>27273</v>
      </c>
      <c r="B195">
        <v>327.43</v>
      </c>
    </row>
    <row r="196" spans="1:2">
      <c r="A196" s="1">
        <v>27303</v>
      </c>
      <c r="B196">
        <v>327.37</v>
      </c>
    </row>
    <row r="197" spans="1:2">
      <c r="A197" s="1">
        <v>27334</v>
      </c>
      <c r="B197">
        <v>328.46</v>
      </c>
    </row>
    <row r="198" spans="1:2">
      <c r="A198" s="1">
        <v>27364</v>
      </c>
      <c r="B198">
        <v>329.57</v>
      </c>
    </row>
    <row r="199" spans="1:2">
      <c r="A199" s="1">
        <v>27395</v>
      </c>
      <c r="B199">
        <v>330.4</v>
      </c>
    </row>
    <row r="200" spans="1:2">
      <c r="A200" s="1">
        <v>27426</v>
      </c>
      <c r="B200">
        <v>331.4</v>
      </c>
    </row>
    <row r="201" spans="1:2">
      <c r="A201" s="1">
        <v>27454</v>
      </c>
      <c r="B201">
        <v>332.04</v>
      </c>
    </row>
    <row r="202" spans="1:2">
      <c r="A202" s="1">
        <v>27485</v>
      </c>
      <c r="B202">
        <v>333.31</v>
      </c>
    </row>
    <row r="203" spans="1:2">
      <c r="A203" s="1">
        <v>27515</v>
      </c>
      <c r="B203">
        <v>333.97</v>
      </c>
    </row>
    <row r="204" spans="1:2">
      <c r="A204" s="1">
        <v>27546</v>
      </c>
      <c r="B204">
        <v>333.6</v>
      </c>
    </row>
    <row r="205" spans="1:2">
      <c r="A205" s="1">
        <v>27576</v>
      </c>
      <c r="B205">
        <v>331.9</v>
      </c>
    </row>
    <row r="206" spans="1:2">
      <c r="A206" s="1">
        <v>27607</v>
      </c>
      <c r="B206">
        <v>330.06</v>
      </c>
    </row>
    <row r="207" spans="1:2">
      <c r="A207" s="1">
        <v>27638</v>
      </c>
      <c r="B207">
        <v>328.56</v>
      </c>
    </row>
    <row r="208" spans="1:2">
      <c r="A208" s="1">
        <v>27668</v>
      </c>
      <c r="B208">
        <v>328.34</v>
      </c>
    </row>
    <row r="209" spans="1:2">
      <c r="A209" s="1">
        <v>27699</v>
      </c>
      <c r="B209">
        <v>329.49</v>
      </c>
    </row>
    <row r="210" spans="1:2">
      <c r="A210" s="1">
        <v>27729</v>
      </c>
      <c r="B210">
        <v>330.76</v>
      </c>
    </row>
    <row r="211" spans="1:2">
      <c r="A211" s="1">
        <v>27760</v>
      </c>
      <c r="B211">
        <v>331.75</v>
      </c>
    </row>
    <row r="212" spans="1:2">
      <c r="A212" s="1">
        <v>27791</v>
      </c>
      <c r="B212">
        <v>332.57</v>
      </c>
    </row>
    <row r="213" spans="1:2">
      <c r="A213" s="1">
        <v>27820</v>
      </c>
      <c r="B213">
        <v>333.5</v>
      </c>
    </row>
    <row r="214" spans="1:2">
      <c r="A214" s="1">
        <v>27851</v>
      </c>
      <c r="B214">
        <v>334.58</v>
      </c>
    </row>
    <row r="215" spans="1:2">
      <c r="A215" s="1">
        <v>27881</v>
      </c>
      <c r="B215">
        <v>334.88</v>
      </c>
    </row>
    <row r="216" spans="1:2">
      <c r="A216" s="1">
        <v>27912</v>
      </c>
      <c r="B216">
        <v>334.33</v>
      </c>
    </row>
    <row r="217" spans="1:2">
      <c r="A217" s="1">
        <v>27942</v>
      </c>
      <c r="B217">
        <v>333.05</v>
      </c>
    </row>
    <row r="218" spans="1:2">
      <c r="A218" s="1">
        <v>27973</v>
      </c>
      <c r="B218">
        <v>330.94</v>
      </c>
    </row>
    <row r="219" spans="1:2">
      <c r="A219" s="1">
        <v>28004</v>
      </c>
      <c r="B219">
        <v>329.3</v>
      </c>
    </row>
    <row r="220" spans="1:2">
      <c r="A220" s="1">
        <v>28034</v>
      </c>
      <c r="B220">
        <v>328.94</v>
      </c>
    </row>
    <row r="221" spans="1:2">
      <c r="A221" s="1">
        <v>28065</v>
      </c>
      <c r="B221">
        <v>330.31</v>
      </c>
    </row>
    <row r="222" spans="1:2">
      <c r="A222" s="1">
        <v>28095</v>
      </c>
      <c r="B222">
        <v>331.68</v>
      </c>
    </row>
    <row r="223" spans="1:2">
      <c r="A223" s="1">
        <v>28126</v>
      </c>
      <c r="B223">
        <v>332.93</v>
      </c>
    </row>
    <row r="224" spans="1:2">
      <c r="A224" s="1">
        <v>28157</v>
      </c>
      <c r="B224">
        <v>333.42</v>
      </c>
    </row>
    <row r="225" spans="1:2">
      <c r="A225" s="1">
        <v>28185</v>
      </c>
      <c r="B225">
        <v>334.7</v>
      </c>
    </row>
    <row r="226" spans="1:2">
      <c r="A226" s="1">
        <v>28216</v>
      </c>
      <c r="B226">
        <v>336.07</v>
      </c>
    </row>
    <row r="227" spans="1:2">
      <c r="A227" s="1">
        <v>28246</v>
      </c>
      <c r="B227">
        <v>336.75</v>
      </c>
    </row>
    <row r="228" spans="1:2">
      <c r="A228" s="1">
        <v>28277</v>
      </c>
      <c r="B228">
        <v>336.27</v>
      </c>
    </row>
    <row r="229" spans="1:2">
      <c r="A229" s="1">
        <v>28307</v>
      </c>
      <c r="B229">
        <v>334.92</v>
      </c>
    </row>
    <row r="230" spans="1:2">
      <c r="A230" s="1">
        <v>28338</v>
      </c>
      <c r="B230">
        <v>332.75</v>
      </c>
    </row>
    <row r="231" spans="1:2">
      <c r="A231" s="1">
        <v>28369</v>
      </c>
      <c r="B231">
        <v>331.59</v>
      </c>
    </row>
    <row r="232" spans="1:2">
      <c r="A232" s="1">
        <v>28399</v>
      </c>
      <c r="B232">
        <v>331.16</v>
      </c>
    </row>
    <row r="233" spans="1:2">
      <c r="A233" s="1">
        <v>28430</v>
      </c>
      <c r="B233">
        <v>332.4</v>
      </c>
    </row>
    <row r="234" spans="1:2">
      <c r="A234" s="1">
        <v>28460</v>
      </c>
      <c r="B234">
        <v>333.85</v>
      </c>
    </row>
    <row r="235" spans="1:2">
      <c r="A235" s="1">
        <v>28491</v>
      </c>
      <c r="B235">
        <v>334.97</v>
      </c>
    </row>
    <row r="236" spans="1:2">
      <c r="A236" s="1">
        <v>28522</v>
      </c>
      <c r="B236">
        <v>335.39</v>
      </c>
    </row>
    <row r="237" spans="1:2">
      <c r="A237" s="1">
        <v>28550</v>
      </c>
      <c r="B237">
        <v>336.64</v>
      </c>
    </row>
    <row r="238" spans="1:2">
      <c r="A238" s="1">
        <v>28581</v>
      </c>
      <c r="B238">
        <v>337.76</v>
      </c>
    </row>
    <row r="239" spans="1:2">
      <c r="A239" s="1">
        <v>28611</v>
      </c>
      <c r="B239">
        <v>338.01</v>
      </c>
    </row>
    <row r="240" spans="1:2">
      <c r="A240" s="1">
        <v>28642</v>
      </c>
      <c r="B240">
        <v>337.9</v>
      </c>
    </row>
    <row r="241" spans="1:2">
      <c r="A241" s="1">
        <v>28672</v>
      </c>
      <c r="B241">
        <v>336.54</v>
      </c>
    </row>
    <row r="242" spans="1:2">
      <c r="A242" s="1">
        <v>28703</v>
      </c>
      <c r="B242">
        <v>334.68</v>
      </c>
    </row>
    <row r="243" spans="1:2">
      <c r="A243" s="1">
        <v>28734</v>
      </c>
      <c r="B243">
        <v>332.76</v>
      </c>
    </row>
    <row r="244" spans="1:2">
      <c r="A244" s="1">
        <v>28764</v>
      </c>
      <c r="B244">
        <v>332.55</v>
      </c>
    </row>
    <row r="245" spans="1:2">
      <c r="A245" s="1">
        <v>28795</v>
      </c>
      <c r="B245">
        <v>333.92</v>
      </c>
    </row>
    <row r="246" spans="1:2">
      <c r="A246" s="1">
        <v>28825</v>
      </c>
      <c r="B246">
        <v>334.95</v>
      </c>
    </row>
    <row r="247" spans="1:2">
      <c r="A247" s="1">
        <v>28856</v>
      </c>
      <c r="B247">
        <v>336.23</v>
      </c>
    </row>
    <row r="248" spans="1:2">
      <c r="A248" s="1">
        <v>28887</v>
      </c>
      <c r="B248">
        <v>336.76</v>
      </c>
    </row>
    <row r="249" spans="1:2">
      <c r="A249" s="1">
        <v>28915</v>
      </c>
      <c r="B249">
        <v>337.96</v>
      </c>
    </row>
    <row r="250" spans="1:2">
      <c r="A250" s="1">
        <v>28946</v>
      </c>
      <c r="B250">
        <v>338.88</v>
      </c>
    </row>
    <row r="251" spans="1:2">
      <c r="A251" s="1">
        <v>28976</v>
      </c>
      <c r="B251">
        <v>339.47</v>
      </c>
    </row>
    <row r="252" spans="1:2">
      <c r="A252" s="1">
        <v>29007</v>
      </c>
      <c r="B252">
        <v>339.29</v>
      </c>
    </row>
    <row r="253" spans="1:2">
      <c r="A253" s="1">
        <v>29037</v>
      </c>
      <c r="B253">
        <v>337.73</v>
      </c>
    </row>
    <row r="254" spans="1:2">
      <c r="A254" s="1">
        <v>29068</v>
      </c>
      <c r="B254">
        <v>336.09</v>
      </c>
    </row>
    <row r="255" spans="1:2">
      <c r="A255" s="1">
        <v>29099</v>
      </c>
      <c r="B255">
        <v>333.92</v>
      </c>
    </row>
    <row r="256" spans="1:2">
      <c r="A256" s="1">
        <v>29129</v>
      </c>
      <c r="B256">
        <v>333.86</v>
      </c>
    </row>
    <row r="257" spans="1:2">
      <c r="A257" s="1">
        <v>29160</v>
      </c>
      <c r="B257">
        <v>335.29</v>
      </c>
    </row>
    <row r="258" spans="1:2">
      <c r="A258" s="1">
        <v>29190</v>
      </c>
      <c r="B258">
        <v>336.73</v>
      </c>
    </row>
    <row r="259" spans="1:2">
      <c r="A259" s="1">
        <v>29221</v>
      </c>
      <c r="B259">
        <v>338.01</v>
      </c>
    </row>
    <row r="260" spans="1:2">
      <c r="A260" s="1">
        <v>29252</v>
      </c>
      <c r="B260">
        <v>338.36</v>
      </c>
    </row>
    <row r="261" spans="1:2">
      <c r="A261" s="1">
        <v>29281</v>
      </c>
      <c r="B261">
        <v>340.07</v>
      </c>
    </row>
    <row r="262" spans="1:2">
      <c r="A262" s="1">
        <v>29312</v>
      </c>
      <c r="B262">
        <v>340.76</v>
      </c>
    </row>
    <row r="263" spans="1:2">
      <c r="A263" s="1">
        <v>29342</v>
      </c>
      <c r="B263">
        <v>341.47</v>
      </c>
    </row>
    <row r="264" spans="1:2">
      <c r="A264" s="1">
        <v>29373</v>
      </c>
      <c r="B264">
        <v>341.17</v>
      </c>
    </row>
    <row r="265" spans="1:2">
      <c r="A265" s="1">
        <v>29403</v>
      </c>
      <c r="B265">
        <v>339.56</v>
      </c>
    </row>
    <row r="266" spans="1:2">
      <c r="A266" s="1">
        <v>29434</v>
      </c>
      <c r="B266">
        <v>337.6</v>
      </c>
    </row>
    <row r="267" spans="1:2">
      <c r="A267" s="1">
        <v>29465</v>
      </c>
      <c r="B267">
        <v>335.88</v>
      </c>
    </row>
    <row r="268" spans="1:2">
      <c r="A268" s="1">
        <v>29495</v>
      </c>
      <c r="B268">
        <v>336.02</v>
      </c>
    </row>
    <row r="269" spans="1:2">
      <c r="A269" s="1">
        <v>29526</v>
      </c>
      <c r="B269">
        <v>337.1</v>
      </c>
    </row>
    <row r="270" spans="1:2">
      <c r="A270" s="1">
        <v>29556</v>
      </c>
      <c r="B270">
        <v>338.21</v>
      </c>
    </row>
    <row r="271" spans="1:2">
      <c r="A271" s="1">
        <v>29587</v>
      </c>
      <c r="B271">
        <v>339.24</v>
      </c>
    </row>
    <row r="272" spans="1:2">
      <c r="A272" s="1">
        <v>29618</v>
      </c>
      <c r="B272">
        <v>340.48</v>
      </c>
    </row>
    <row r="273" spans="1:2">
      <c r="A273" s="1">
        <v>29646</v>
      </c>
      <c r="B273">
        <v>341.38</v>
      </c>
    </row>
    <row r="274" spans="1:2">
      <c r="A274" s="1">
        <v>29677</v>
      </c>
      <c r="B274">
        <v>342.5</v>
      </c>
    </row>
    <row r="275" spans="1:2">
      <c r="A275" s="1">
        <v>29707</v>
      </c>
      <c r="B275">
        <v>342.91</v>
      </c>
    </row>
    <row r="276" spans="1:2">
      <c r="A276" s="1">
        <v>29738</v>
      </c>
      <c r="B276">
        <v>342.25</v>
      </c>
    </row>
    <row r="277" spans="1:2">
      <c r="A277" s="1">
        <v>29768</v>
      </c>
      <c r="B277">
        <v>340.49</v>
      </c>
    </row>
    <row r="278" spans="1:2">
      <c r="A278" s="1">
        <v>29799</v>
      </c>
      <c r="B278">
        <v>338.43</v>
      </c>
    </row>
    <row r="279" spans="1:2">
      <c r="A279" s="1">
        <v>29830</v>
      </c>
      <c r="B279">
        <v>336.69</v>
      </c>
    </row>
    <row r="280" spans="1:2">
      <c r="A280" s="1">
        <v>29860</v>
      </c>
      <c r="B280">
        <v>336.86</v>
      </c>
    </row>
    <row r="281" spans="1:2">
      <c r="A281" s="1">
        <v>29891</v>
      </c>
      <c r="B281">
        <v>338.36</v>
      </c>
    </row>
    <row r="282" spans="1:2">
      <c r="A282" s="1">
        <v>29921</v>
      </c>
      <c r="B282">
        <v>339.61</v>
      </c>
    </row>
    <row r="283" spans="1:2">
      <c r="A283" s="1">
        <v>29952</v>
      </c>
      <c r="B283">
        <v>340.75</v>
      </c>
    </row>
    <row r="284" spans="1:2">
      <c r="A284" s="1">
        <v>29983</v>
      </c>
      <c r="B284">
        <v>341.61</v>
      </c>
    </row>
    <row r="285" spans="1:2">
      <c r="A285" s="1">
        <v>30011</v>
      </c>
      <c r="B285">
        <v>342.7</v>
      </c>
    </row>
    <row r="286" spans="1:2">
      <c r="A286" s="1">
        <v>30042</v>
      </c>
      <c r="B286">
        <v>343.57</v>
      </c>
    </row>
    <row r="287" spans="1:2">
      <c r="A287" s="1">
        <v>30072</v>
      </c>
      <c r="B287">
        <v>344.14</v>
      </c>
    </row>
    <row r="288" spans="1:2">
      <c r="A288" s="1">
        <v>30103</v>
      </c>
      <c r="B288">
        <v>343.35</v>
      </c>
    </row>
    <row r="289" spans="1:2">
      <c r="A289" s="1">
        <v>30133</v>
      </c>
      <c r="B289">
        <v>342.06</v>
      </c>
    </row>
    <row r="290" spans="1:2">
      <c r="A290" s="1">
        <v>30164</v>
      </c>
      <c r="B290">
        <v>339.81</v>
      </c>
    </row>
    <row r="291" spans="1:2">
      <c r="A291" s="1">
        <v>30195</v>
      </c>
      <c r="B291">
        <v>337.98</v>
      </c>
    </row>
    <row r="292" spans="1:2">
      <c r="A292" s="1">
        <v>30225</v>
      </c>
      <c r="B292">
        <v>337.86</v>
      </c>
    </row>
    <row r="293" spans="1:2">
      <c r="A293" s="1">
        <v>30256</v>
      </c>
      <c r="B293">
        <v>339.26</v>
      </c>
    </row>
    <row r="294" spans="1:2">
      <c r="A294" s="1">
        <v>30286</v>
      </c>
      <c r="B294">
        <v>340.49</v>
      </c>
    </row>
    <row r="295" spans="1:2">
      <c r="A295" s="1">
        <v>30317</v>
      </c>
      <c r="B295">
        <v>341.38</v>
      </c>
    </row>
    <row r="296" spans="1:2">
      <c r="A296" s="1">
        <v>30348</v>
      </c>
      <c r="B296">
        <v>342.52</v>
      </c>
    </row>
    <row r="297" spans="1:2">
      <c r="A297" s="1">
        <v>30376</v>
      </c>
      <c r="B297">
        <v>343.1</v>
      </c>
    </row>
    <row r="298" spans="1:2">
      <c r="A298" s="1">
        <v>30407</v>
      </c>
      <c r="B298">
        <v>344.94</v>
      </c>
    </row>
    <row r="299" spans="1:2">
      <c r="A299" s="1">
        <v>30437</v>
      </c>
      <c r="B299">
        <v>345.76</v>
      </c>
    </row>
    <row r="300" spans="1:2">
      <c r="A300" s="1">
        <v>30468</v>
      </c>
      <c r="B300">
        <v>345.32</v>
      </c>
    </row>
    <row r="301" spans="1:2">
      <c r="A301" s="1">
        <v>30498</v>
      </c>
      <c r="B301">
        <v>343.98</v>
      </c>
    </row>
    <row r="302" spans="1:2">
      <c r="A302" s="1">
        <v>30529</v>
      </c>
      <c r="B302">
        <v>342.38</v>
      </c>
    </row>
    <row r="303" spans="1:2">
      <c r="A303" s="1">
        <v>30560</v>
      </c>
      <c r="B303">
        <v>339.87</v>
      </c>
    </row>
    <row r="304" spans="1:2">
      <c r="A304" s="1">
        <v>30590</v>
      </c>
      <c r="B304">
        <v>339.99</v>
      </c>
    </row>
    <row r="305" spans="1:2">
      <c r="A305" s="1">
        <v>30621</v>
      </c>
      <c r="B305">
        <v>341.15</v>
      </c>
    </row>
    <row r="306" spans="1:2">
      <c r="A306" s="1">
        <v>30651</v>
      </c>
      <c r="B306">
        <v>342.99</v>
      </c>
    </row>
    <row r="307" spans="1:2">
      <c r="A307" s="1">
        <v>30682</v>
      </c>
      <c r="B307">
        <v>343.7</v>
      </c>
    </row>
    <row r="308" spans="1:2">
      <c r="A308" s="1">
        <v>30713</v>
      </c>
      <c r="B308">
        <v>344.5</v>
      </c>
    </row>
    <row r="309" spans="1:2">
      <c r="A309" s="1">
        <v>30742</v>
      </c>
      <c r="B309">
        <v>345.28</v>
      </c>
    </row>
    <row r="310" spans="1:2">
      <c r="A310" s="1">
        <v>30773</v>
      </c>
      <c r="B310">
        <v>347.05</v>
      </c>
    </row>
    <row r="311" spans="1:2">
      <c r="A311" s="1">
        <v>30803</v>
      </c>
      <c r="B311">
        <v>347.43</v>
      </c>
    </row>
    <row r="312" spans="1:2">
      <c r="A312" s="1">
        <v>30834</v>
      </c>
      <c r="B312">
        <v>346.8</v>
      </c>
    </row>
    <row r="313" spans="1:2">
      <c r="A313" s="1">
        <v>30864</v>
      </c>
      <c r="B313">
        <v>345.39</v>
      </c>
    </row>
    <row r="314" spans="1:2">
      <c r="A314" s="1">
        <v>30895</v>
      </c>
      <c r="B314">
        <v>343.28</v>
      </c>
    </row>
    <row r="315" spans="1:2">
      <c r="A315" s="1">
        <v>30926</v>
      </c>
      <c r="B315">
        <v>341.07</v>
      </c>
    </row>
    <row r="316" spans="1:2">
      <c r="A316" s="1">
        <v>30956</v>
      </c>
      <c r="B316">
        <v>341.35</v>
      </c>
    </row>
    <row r="317" spans="1:2">
      <c r="A317" s="1">
        <v>30987</v>
      </c>
      <c r="B317">
        <v>342.98</v>
      </c>
    </row>
    <row r="318" spans="1:2">
      <c r="A318" s="1">
        <v>31017</v>
      </c>
      <c r="B318">
        <v>344.22</v>
      </c>
    </row>
    <row r="319" spans="1:2">
      <c r="A319" s="1">
        <v>31048</v>
      </c>
      <c r="B319">
        <v>344.97</v>
      </c>
    </row>
    <row r="320" spans="1:2">
      <c r="A320" s="1">
        <v>31079</v>
      </c>
      <c r="B320">
        <v>345.99</v>
      </c>
    </row>
    <row r="321" spans="1:2">
      <c r="A321" s="1">
        <v>31107</v>
      </c>
      <c r="B321">
        <v>347.42</v>
      </c>
    </row>
    <row r="322" spans="1:2">
      <c r="A322" s="1">
        <v>31138</v>
      </c>
      <c r="B322">
        <v>348.35</v>
      </c>
    </row>
    <row r="323" spans="1:2">
      <c r="A323" s="1">
        <v>31168</v>
      </c>
      <c r="B323">
        <v>348.93</v>
      </c>
    </row>
    <row r="324" spans="1:2">
      <c r="A324" s="1">
        <v>31199</v>
      </c>
      <c r="B324">
        <v>348.25</v>
      </c>
    </row>
    <row r="325" spans="1:2">
      <c r="A325" s="1">
        <v>31229</v>
      </c>
      <c r="B325">
        <v>346.56</v>
      </c>
    </row>
    <row r="326" spans="1:2">
      <c r="A326" s="1">
        <v>31260</v>
      </c>
      <c r="B326">
        <v>344.67</v>
      </c>
    </row>
    <row r="327" spans="1:2">
      <c r="A327" s="1">
        <v>31291</v>
      </c>
      <c r="B327">
        <v>343.09</v>
      </c>
    </row>
    <row r="328" spans="1:2">
      <c r="A328" s="1">
        <v>31321</v>
      </c>
      <c r="B328">
        <v>342.8</v>
      </c>
    </row>
    <row r="329" spans="1:2">
      <c r="A329" s="1">
        <v>31352</v>
      </c>
      <c r="B329">
        <v>344.24</v>
      </c>
    </row>
    <row r="330" spans="1:2">
      <c r="A330" s="1">
        <v>31382</v>
      </c>
      <c r="B330">
        <v>345.56</v>
      </c>
    </row>
    <row r="331" spans="1:2">
      <c r="A331" s="1">
        <v>31413</v>
      </c>
      <c r="B331">
        <v>346.3</v>
      </c>
    </row>
    <row r="332" spans="1:2">
      <c r="A332" s="1">
        <v>31444</v>
      </c>
      <c r="B332">
        <v>346.95</v>
      </c>
    </row>
    <row r="333" spans="1:2">
      <c r="A333" s="1">
        <v>31472</v>
      </c>
      <c r="B333">
        <v>347.85</v>
      </c>
    </row>
    <row r="334" spans="1:2">
      <c r="A334" s="1">
        <v>31503</v>
      </c>
      <c r="B334">
        <v>349.55</v>
      </c>
    </row>
    <row r="335" spans="1:2">
      <c r="A335" s="1">
        <v>31533</v>
      </c>
      <c r="B335">
        <v>350.22</v>
      </c>
    </row>
    <row r="336" spans="1:2">
      <c r="A336" s="1">
        <v>31564</v>
      </c>
      <c r="B336">
        <v>349.55</v>
      </c>
    </row>
    <row r="337" spans="1:2">
      <c r="A337" s="1">
        <v>31594</v>
      </c>
      <c r="B337">
        <v>347.94</v>
      </c>
    </row>
    <row r="338" spans="1:2">
      <c r="A338" s="1">
        <v>31625</v>
      </c>
      <c r="B338">
        <v>345.9</v>
      </c>
    </row>
    <row r="339" spans="1:2">
      <c r="A339" s="1">
        <v>31656</v>
      </c>
      <c r="B339">
        <v>344.85</v>
      </c>
    </row>
    <row r="340" spans="1:2">
      <c r="A340" s="1">
        <v>31686</v>
      </c>
      <c r="B340">
        <v>344.17</v>
      </c>
    </row>
    <row r="341" spans="1:2">
      <c r="A341" s="1">
        <v>31717</v>
      </c>
      <c r="B341">
        <v>345.66</v>
      </c>
    </row>
    <row r="342" spans="1:2">
      <c r="A342" s="1">
        <v>31747</v>
      </c>
      <c r="B342">
        <v>346.9</v>
      </c>
    </row>
    <row r="343" spans="1:2">
      <c r="A343" s="1">
        <v>31778</v>
      </c>
      <c r="B343">
        <v>348.02</v>
      </c>
    </row>
    <row r="344" spans="1:2">
      <c r="A344" s="1">
        <v>31809</v>
      </c>
      <c r="B344">
        <v>348.48</v>
      </c>
    </row>
    <row r="345" spans="1:2">
      <c r="A345" s="1">
        <v>31837</v>
      </c>
      <c r="B345">
        <v>349.42</v>
      </c>
    </row>
    <row r="346" spans="1:2">
      <c r="A346" s="1">
        <v>31868</v>
      </c>
      <c r="B346">
        <v>350.98</v>
      </c>
    </row>
    <row r="347" spans="1:2">
      <c r="A347" s="1">
        <v>31898</v>
      </c>
      <c r="B347">
        <v>351.85</v>
      </c>
    </row>
    <row r="348" spans="1:2">
      <c r="A348" s="1">
        <v>31929</v>
      </c>
      <c r="B348">
        <v>351.26</v>
      </c>
    </row>
    <row r="349" spans="1:2">
      <c r="A349" s="1">
        <v>31959</v>
      </c>
      <c r="B349">
        <v>349.51</v>
      </c>
    </row>
    <row r="350" spans="1:2">
      <c r="A350" s="1">
        <v>31990</v>
      </c>
      <c r="B350">
        <v>348.1</v>
      </c>
    </row>
    <row r="351" spans="1:2">
      <c r="A351" s="1">
        <v>32021</v>
      </c>
      <c r="B351">
        <v>346.45</v>
      </c>
    </row>
    <row r="352" spans="1:2">
      <c r="A352" s="1">
        <v>32051</v>
      </c>
      <c r="B352">
        <v>346.36</v>
      </c>
    </row>
    <row r="353" spans="1:2">
      <c r="A353" s="1">
        <v>32082</v>
      </c>
      <c r="B353">
        <v>347.81</v>
      </c>
    </row>
    <row r="354" spans="1:2">
      <c r="A354" s="1">
        <v>32112</v>
      </c>
      <c r="B354">
        <v>348.96</v>
      </c>
    </row>
    <row r="355" spans="1:2">
      <c r="A355" s="1">
        <v>32143</v>
      </c>
      <c r="B355">
        <v>350.43</v>
      </c>
    </row>
    <row r="356" spans="1:2">
      <c r="A356" s="1">
        <v>32174</v>
      </c>
      <c r="B356">
        <v>351.73</v>
      </c>
    </row>
    <row r="357" spans="1:2">
      <c r="A357" s="1">
        <v>32203</v>
      </c>
      <c r="B357">
        <v>352.22</v>
      </c>
    </row>
    <row r="358" spans="1:2">
      <c r="A358" s="1">
        <v>32234</v>
      </c>
      <c r="B358">
        <v>353.59</v>
      </c>
    </row>
    <row r="359" spans="1:2">
      <c r="A359" s="1">
        <v>32264</v>
      </c>
      <c r="B359">
        <v>354.22</v>
      </c>
    </row>
    <row r="360" spans="1:2">
      <c r="A360" s="1">
        <v>32295</v>
      </c>
      <c r="B360">
        <v>353.8</v>
      </c>
    </row>
    <row r="361" spans="1:2">
      <c r="A361" s="1">
        <v>32325</v>
      </c>
      <c r="B361">
        <v>352.38</v>
      </c>
    </row>
    <row r="362" spans="1:2">
      <c r="A362" s="1">
        <v>32356</v>
      </c>
      <c r="B362">
        <v>350.43</v>
      </c>
    </row>
    <row r="363" spans="1:2">
      <c r="A363" s="1">
        <v>32387</v>
      </c>
      <c r="B363">
        <v>348.73</v>
      </c>
    </row>
    <row r="364" spans="1:2">
      <c r="A364" s="1">
        <v>32417</v>
      </c>
      <c r="B364">
        <v>348.88</v>
      </c>
    </row>
    <row r="365" spans="1:2">
      <c r="A365" s="1">
        <v>32448</v>
      </c>
      <c r="B365">
        <v>350.07</v>
      </c>
    </row>
    <row r="366" spans="1:2">
      <c r="A366" s="1">
        <v>32478</v>
      </c>
      <c r="B366">
        <v>351.34</v>
      </c>
    </row>
    <row r="367" spans="1:2">
      <c r="A367" s="1">
        <v>32509</v>
      </c>
      <c r="B367">
        <v>352.76</v>
      </c>
    </row>
    <row r="368" spans="1:2">
      <c r="A368" s="1">
        <v>32540</v>
      </c>
      <c r="B368">
        <v>353.07</v>
      </c>
    </row>
    <row r="369" spans="1:2">
      <c r="A369" s="1">
        <v>32568</v>
      </c>
      <c r="B369">
        <v>353.68</v>
      </c>
    </row>
    <row r="370" spans="1:2">
      <c r="A370" s="1">
        <v>32599</v>
      </c>
      <c r="B370">
        <v>355.42</v>
      </c>
    </row>
    <row r="371" spans="1:2">
      <c r="A371" s="1">
        <v>32629</v>
      </c>
      <c r="B371">
        <v>355.67</v>
      </c>
    </row>
    <row r="372" spans="1:2">
      <c r="A372" s="1">
        <v>32660</v>
      </c>
      <c r="B372">
        <v>355.12</v>
      </c>
    </row>
    <row r="373" spans="1:2">
      <c r="A373" s="1">
        <v>32690</v>
      </c>
      <c r="B373">
        <v>353.9</v>
      </c>
    </row>
    <row r="374" spans="1:2">
      <c r="A374" s="1">
        <v>32721</v>
      </c>
      <c r="B374">
        <v>351.67</v>
      </c>
    </row>
    <row r="375" spans="1:2">
      <c r="A375" s="1">
        <v>32752</v>
      </c>
      <c r="B375">
        <v>349.81</v>
      </c>
    </row>
    <row r="376" spans="1:2">
      <c r="A376" s="1">
        <v>32782</v>
      </c>
      <c r="B376">
        <v>349.99</v>
      </c>
    </row>
    <row r="377" spans="1:2">
      <c r="A377" s="1">
        <v>32813</v>
      </c>
      <c r="B377">
        <v>351.3</v>
      </c>
    </row>
    <row r="378" spans="1:2">
      <c r="A378" s="1">
        <v>32843</v>
      </c>
      <c r="B378">
        <v>352.52</v>
      </c>
    </row>
    <row r="379" spans="1:2">
      <c r="A379" s="1">
        <v>32874</v>
      </c>
      <c r="B379">
        <v>353.66</v>
      </c>
    </row>
    <row r="380" spans="1:2">
      <c r="A380" s="1">
        <v>32905</v>
      </c>
      <c r="B380">
        <v>354.7</v>
      </c>
    </row>
    <row r="381" spans="1:2">
      <c r="A381" s="1">
        <v>32933</v>
      </c>
      <c r="B381">
        <v>355.38</v>
      </c>
    </row>
    <row r="382" spans="1:2">
      <c r="A382" s="1">
        <v>32964</v>
      </c>
      <c r="B382">
        <v>356.2</v>
      </c>
    </row>
    <row r="383" spans="1:2">
      <c r="A383" s="1">
        <v>32994</v>
      </c>
      <c r="B383">
        <v>357.16</v>
      </c>
    </row>
    <row r="384" spans="1:2">
      <c r="A384" s="1">
        <v>33025</v>
      </c>
      <c r="B384">
        <v>356.23</v>
      </c>
    </row>
    <row r="385" spans="1:2">
      <c r="A385" s="1">
        <v>33055</v>
      </c>
      <c r="B385">
        <v>354.81</v>
      </c>
    </row>
    <row r="386" spans="1:2">
      <c r="A386" s="1">
        <v>33086</v>
      </c>
      <c r="B386">
        <v>352.91</v>
      </c>
    </row>
    <row r="387" spans="1:2">
      <c r="A387" s="1">
        <v>33117</v>
      </c>
      <c r="B387">
        <v>350.96</v>
      </c>
    </row>
    <row r="388" spans="1:2">
      <c r="A388" s="1">
        <v>33147</v>
      </c>
      <c r="B388">
        <v>351.18</v>
      </c>
    </row>
    <row r="389" spans="1:2">
      <c r="A389" s="1">
        <v>33178</v>
      </c>
      <c r="B389">
        <v>352.83</v>
      </c>
    </row>
    <row r="390" spans="1:2">
      <c r="A390" s="1">
        <v>33208</v>
      </c>
      <c r="B390">
        <v>354.21</v>
      </c>
    </row>
    <row r="391" spans="1:2">
      <c r="A391" s="1">
        <v>33239</v>
      </c>
      <c r="B391">
        <v>354.72</v>
      </c>
    </row>
    <row r="392" spans="1:2">
      <c r="A392" s="1">
        <v>33270</v>
      </c>
      <c r="B392">
        <v>355.75</v>
      </c>
    </row>
    <row r="393" spans="1:2">
      <c r="A393" s="1">
        <v>33298</v>
      </c>
      <c r="B393">
        <v>357.16</v>
      </c>
    </row>
    <row r="394" spans="1:2">
      <c r="A394" s="1">
        <v>33329</v>
      </c>
      <c r="B394">
        <v>358.6</v>
      </c>
    </row>
    <row r="395" spans="1:2">
      <c r="A395" s="1">
        <v>33359</v>
      </c>
      <c r="B395">
        <v>359.34</v>
      </c>
    </row>
    <row r="396" spans="1:2">
      <c r="A396" s="1">
        <v>33390</v>
      </c>
      <c r="B396">
        <v>358.24</v>
      </c>
    </row>
    <row r="397" spans="1:2">
      <c r="A397" s="1">
        <v>33420</v>
      </c>
      <c r="B397">
        <v>356.17</v>
      </c>
    </row>
    <row r="398" spans="1:2">
      <c r="A398" s="1">
        <v>33451</v>
      </c>
      <c r="B398">
        <v>354.01</v>
      </c>
    </row>
    <row r="399" spans="1:2">
      <c r="A399" s="1">
        <v>33482</v>
      </c>
      <c r="B399">
        <v>352.15</v>
      </c>
    </row>
    <row r="400" spans="1:2">
      <c r="A400" s="1">
        <v>33512</v>
      </c>
      <c r="B400">
        <v>352.21</v>
      </c>
    </row>
    <row r="401" spans="1:2">
      <c r="A401" s="1">
        <v>33543</v>
      </c>
      <c r="B401">
        <v>353.75</v>
      </c>
    </row>
    <row r="402" spans="1:2">
      <c r="A402" s="1">
        <v>33573</v>
      </c>
      <c r="B402">
        <v>354.99</v>
      </c>
    </row>
    <row r="403" spans="1:2">
      <c r="A403" s="1">
        <v>33604</v>
      </c>
      <c r="B403">
        <v>355.99</v>
      </c>
    </row>
    <row r="404" spans="1:2">
      <c r="A404" s="1">
        <v>33635</v>
      </c>
      <c r="B404">
        <v>356.72</v>
      </c>
    </row>
    <row r="405" spans="1:2">
      <c r="A405" s="1">
        <v>33664</v>
      </c>
      <c r="B405">
        <v>357.81</v>
      </c>
    </row>
    <row r="406" spans="1:2">
      <c r="A406" s="1">
        <v>33695</v>
      </c>
      <c r="B406">
        <v>359.15</v>
      </c>
    </row>
    <row r="407" spans="1:2">
      <c r="A407" s="1">
        <v>33725</v>
      </c>
      <c r="B407">
        <v>359.66</v>
      </c>
    </row>
    <row r="408" spans="1:2">
      <c r="A408" s="1">
        <v>33756</v>
      </c>
      <c r="B408">
        <v>359.25</v>
      </c>
    </row>
    <row r="409" spans="1:2">
      <c r="A409" s="1">
        <v>33786</v>
      </c>
      <c r="B409">
        <v>357.02</v>
      </c>
    </row>
    <row r="410" spans="1:2">
      <c r="A410" s="1">
        <v>33817</v>
      </c>
      <c r="B410">
        <v>355</v>
      </c>
    </row>
    <row r="411" spans="1:2">
      <c r="A411" s="1">
        <v>33848</v>
      </c>
      <c r="B411">
        <v>353.01</v>
      </c>
    </row>
    <row r="412" spans="1:2">
      <c r="A412" s="1">
        <v>33878</v>
      </c>
      <c r="B412">
        <v>353.31</v>
      </c>
    </row>
    <row r="413" spans="1:2">
      <c r="A413" s="1">
        <v>33909</v>
      </c>
      <c r="B413">
        <v>354.16</v>
      </c>
    </row>
    <row r="414" spans="1:2">
      <c r="A414" s="1">
        <v>33939</v>
      </c>
      <c r="B414">
        <v>355.4</v>
      </c>
    </row>
    <row r="415" spans="1:2">
      <c r="A415" s="1">
        <v>33970</v>
      </c>
      <c r="B415">
        <v>356.7</v>
      </c>
    </row>
    <row r="416" spans="1:2">
      <c r="A416" s="1">
        <v>34001</v>
      </c>
      <c r="B416">
        <v>357.17</v>
      </c>
    </row>
    <row r="417" spans="1:2">
      <c r="A417" s="1">
        <v>34029</v>
      </c>
      <c r="B417">
        <v>358.38</v>
      </c>
    </row>
    <row r="418" spans="1:2">
      <c r="A418" s="1">
        <v>34060</v>
      </c>
      <c r="B418">
        <v>359.46</v>
      </c>
    </row>
    <row r="419" spans="1:2">
      <c r="A419" s="1">
        <v>34090</v>
      </c>
      <c r="B419">
        <v>360.28</v>
      </c>
    </row>
    <row r="420" spans="1:2">
      <c r="A420" s="1">
        <v>34121</v>
      </c>
      <c r="B420">
        <v>359.6</v>
      </c>
    </row>
    <row r="421" spans="1:2">
      <c r="A421" s="1">
        <v>34151</v>
      </c>
      <c r="B421">
        <v>357.57</v>
      </c>
    </row>
    <row r="422" spans="1:2">
      <c r="A422" s="1">
        <v>34182</v>
      </c>
      <c r="B422">
        <v>355.52</v>
      </c>
    </row>
    <row r="423" spans="1:2">
      <c r="A423" s="1">
        <v>34213</v>
      </c>
      <c r="B423">
        <v>353.69</v>
      </c>
    </row>
    <row r="424" spans="1:2">
      <c r="A424" s="1">
        <v>34243</v>
      </c>
      <c r="B424">
        <v>353.99</v>
      </c>
    </row>
    <row r="425" spans="1:2">
      <c r="A425" s="1">
        <v>34274</v>
      </c>
      <c r="B425">
        <v>355.34</v>
      </c>
    </row>
    <row r="426" spans="1:2">
      <c r="A426" s="1">
        <v>34304</v>
      </c>
      <c r="B426">
        <v>356.8</v>
      </c>
    </row>
    <row r="427" spans="1:2">
      <c r="A427" s="1">
        <v>34335</v>
      </c>
      <c r="B427">
        <v>358.37</v>
      </c>
    </row>
    <row r="428" spans="1:2">
      <c r="A428" s="1">
        <v>34366</v>
      </c>
      <c r="B428">
        <v>358.91</v>
      </c>
    </row>
    <row r="429" spans="1:2">
      <c r="A429" s="1">
        <v>34394</v>
      </c>
      <c r="B429">
        <v>359.97</v>
      </c>
    </row>
    <row r="430" spans="1:2">
      <c r="A430" s="1">
        <v>34425</v>
      </c>
      <c r="B430">
        <v>361.26</v>
      </c>
    </row>
    <row r="431" spans="1:2">
      <c r="A431" s="1">
        <v>34455</v>
      </c>
      <c r="B431">
        <v>361.69</v>
      </c>
    </row>
    <row r="432" spans="1:2">
      <c r="A432" s="1">
        <v>34486</v>
      </c>
      <c r="B432">
        <v>360.94</v>
      </c>
    </row>
    <row r="433" spans="1:2">
      <c r="A433" s="1">
        <v>34516</v>
      </c>
      <c r="B433">
        <v>359.55</v>
      </c>
    </row>
    <row r="434" spans="1:2">
      <c r="A434" s="1">
        <v>34547</v>
      </c>
      <c r="B434">
        <v>357.48</v>
      </c>
    </row>
    <row r="435" spans="1:2">
      <c r="A435" s="1">
        <v>34578</v>
      </c>
      <c r="B435">
        <v>355.84</v>
      </c>
    </row>
    <row r="436" spans="1:2">
      <c r="A436" s="1">
        <v>34608</v>
      </c>
      <c r="B436">
        <v>356</v>
      </c>
    </row>
    <row r="437" spans="1:2">
      <c r="A437" s="1">
        <v>34639</v>
      </c>
      <c r="B437">
        <v>357.58</v>
      </c>
    </row>
    <row r="438" spans="1:2">
      <c r="A438" s="1">
        <v>34669</v>
      </c>
      <c r="B438">
        <v>359.04</v>
      </c>
    </row>
    <row r="439" spans="1:2">
      <c r="A439" s="1">
        <v>34700</v>
      </c>
      <c r="B439">
        <v>359.97</v>
      </c>
    </row>
    <row r="440" spans="1:2">
      <c r="A440" s="1">
        <v>34731</v>
      </c>
      <c r="B440">
        <v>361</v>
      </c>
    </row>
    <row r="441" spans="1:2">
      <c r="A441" s="1">
        <v>34759</v>
      </c>
      <c r="B441">
        <v>361.63</v>
      </c>
    </row>
    <row r="442" spans="1:2">
      <c r="A442" s="1">
        <v>34790</v>
      </c>
      <c r="B442">
        <v>363.45</v>
      </c>
    </row>
    <row r="443" spans="1:2">
      <c r="A443" s="1">
        <v>34820</v>
      </c>
      <c r="B443">
        <v>363.8</v>
      </c>
    </row>
    <row r="444" spans="1:2">
      <c r="A444" s="1">
        <v>34851</v>
      </c>
      <c r="B444">
        <v>363.26</v>
      </c>
    </row>
    <row r="445" spans="1:2">
      <c r="A445" s="1">
        <v>34881</v>
      </c>
      <c r="B445">
        <v>361.89</v>
      </c>
    </row>
    <row r="446" spans="1:2">
      <c r="A446" s="1">
        <v>34912</v>
      </c>
      <c r="B446">
        <v>359.45</v>
      </c>
    </row>
    <row r="447" spans="1:2">
      <c r="A447" s="1">
        <v>34943</v>
      </c>
      <c r="B447">
        <v>358.05</v>
      </c>
    </row>
    <row r="448" spans="1:2">
      <c r="A448" s="1">
        <v>34973</v>
      </c>
      <c r="B448">
        <v>357.75</v>
      </c>
    </row>
    <row r="449" spans="1:2">
      <c r="A449" s="1">
        <v>35004</v>
      </c>
      <c r="B449">
        <v>359.56</v>
      </c>
    </row>
    <row r="450" spans="1:2">
      <c r="A450" s="1">
        <v>35034</v>
      </c>
      <c r="B450">
        <v>360.7</v>
      </c>
    </row>
    <row r="451" spans="1:2">
      <c r="A451" s="1">
        <v>35065</v>
      </c>
      <c r="B451">
        <v>362.05</v>
      </c>
    </row>
    <row r="452" spans="1:2">
      <c r="A452" s="1">
        <v>35096</v>
      </c>
      <c r="B452">
        <v>363.24</v>
      </c>
    </row>
    <row r="453" spans="1:2">
      <c r="A453" s="1">
        <v>35125</v>
      </c>
      <c r="B453">
        <v>364.02</v>
      </c>
    </row>
    <row r="454" spans="1:2">
      <c r="A454" s="1">
        <v>35156</v>
      </c>
      <c r="B454">
        <v>364.71</v>
      </c>
    </row>
    <row r="455" spans="1:2">
      <c r="A455" s="1">
        <v>35186</v>
      </c>
      <c r="B455">
        <v>365.42</v>
      </c>
    </row>
    <row r="456" spans="1:2">
      <c r="A456" s="1">
        <v>35217</v>
      </c>
      <c r="B456">
        <v>364.97</v>
      </c>
    </row>
    <row r="457" spans="1:2">
      <c r="A457" s="1">
        <v>35247</v>
      </c>
      <c r="B457">
        <v>363.65</v>
      </c>
    </row>
    <row r="458" spans="1:2">
      <c r="A458" s="1">
        <v>35278</v>
      </c>
      <c r="B458">
        <v>361.48</v>
      </c>
    </row>
    <row r="459" spans="1:2">
      <c r="A459" s="1">
        <v>35309</v>
      </c>
      <c r="B459">
        <v>359.45</v>
      </c>
    </row>
    <row r="460" spans="1:2">
      <c r="A460" s="1">
        <v>35339</v>
      </c>
      <c r="B460">
        <v>359.61</v>
      </c>
    </row>
    <row r="461" spans="1:2">
      <c r="A461" s="1">
        <v>35370</v>
      </c>
      <c r="B461">
        <v>360.76</v>
      </c>
    </row>
    <row r="462" spans="1:2">
      <c r="A462" s="1">
        <v>35400</v>
      </c>
      <c r="B462">
        <v>362.33</v>
      </c>
    </row>
    <row r="463" spans="1:2">
      <c r="A463" s="1">
        <v>35431</v>
      </c>
      <c r="B463">
        <v>363.19</v>
      </c>
    </row>
    <row r="464" spans="1:2">
      <c r="A464" s="1">
        <v>35462</v>
      </c>
      <c r="B464">
        <v>363.99</v>
      </c>
    </row>
    <row r="465" spans="1:2">
      <c r="A465" s="1">
        <v>35490</v>
      </c>
      <c r="B465">
        <v>364.56</v>
      </c>
    </row>
    <row r="466" spans="1:2">
      <c r="A466" s="1">
        <v>35521</v>
      </c>
      <c r="B466">
        <v>366.36</v>
      </c>
    </row>
    <row r="467" spans="1:2">
      <c r="A467" s="1">
        <v>35551</v>
      </c>
      <c r="B467">
        <v>366.8</v>
      </c>
    </row>
    <row r="468" spans="1:2">
      <c r="A468" s="1">
        <v>35582</v>
      </c>
      <c r="B468">
        <v>365.63</v>
      </c>
    </row>
    <row r="469" spans="1:2">
      <c r="A469" s="1">
        <v>35612</v>
      </c>
      <c r="B469">
        <v>364.47</v>
      </c>
    </row>
    <row r="470" spans="1:2">
      <c r="A470" s="1">
        <v>35643</v>
      </c>
      <c r="B470">
        <v>362.5</v>
      </c>
    </row>
    <row r="471" spans="1:2">
      <c r="A471" s="1">
        <v>35674</v>
      </c>
      <c r="B471">
        <v>360.19</v>
      </c>
    </row>
    <row r="472" spans="1:2">
      <c r="A472" s="1">
        <v>35704</v>
      </c>
      <c r="B472">
        <v>360.78</v>
      </c>
    </row>
    <row r="473" spans="1:2">
      <c r="A473" s="1">
        <v>35735</v>
      </c>
      <c r="B473">
        <v>362.43</v>
      </c>
    </row>
    <row r="474" spans="1:2">
      <c r="A474" s="1">
        <v>35765</v>
      </c>
      <c r="B474">
        <v>364.28</v>
      </c>
    </row>
    <row r="475" spans="1:2">
      <c r="A475" s="1">
        <v>35796</v>
      </c>
      <c r="B475">
        <v>365.33</v>
      </c>
    </row>
    <row r="476" spans="1:2">
      <c r="A476" s="1">
        <v>35827</v>
      </c>
      <c r="B476">
        <v>366.15</v>
      </c>
    </row>
    <row r="477" spans="1:2">
      <c r="A477" s="1">
        <v>35855</v>
      </c>
      <c r="B477">
        <v>367.31</v>
      </c>
    </row>
    <row r="478" spans="1:2">
      <c r="A478" s="1">
        <v>35886</v>
      </c>
      <c r="B478">
        <v>368.61</v>
      </c>
    </row>
    <row r="479" spans="1:2">
      <c r="A479" s="1">
        <v>35916</v>
      </c>
      <c r="B479">
        <v>369.3</v>
      </c>
    </row>
    <row r="480" spans="1:2">
      <c r="A480" s="1">
        <v>35947</v>
      </c>
      <c r="B480">
        <v>368.88</v>
      </c>
    </row>
    <row r="481" spans="1:2">
      <c r="A481" s="1">
        <v>35977</v>
      </c>
      <c r="B481">
        <v>367.64</v>
      </c>
    </row>
    <row r="482" spans="1:2">
      <c r="A482" s="1">
        <v>36008</v>
      </c>
      <c r="B482">
        <v>365.78</v>
      </c>
    </row>
    <row r="483" spans="1:2">
      <c r="A483" s="1">
        <v>36039</v>
      </c>
      <c r="B483">
        <v>363.9</v>
      </c>
    </row>
    <row r="484" spans="1:2">
      <c r="A484" s="1">
        <v>36069</v>
      </c>
      <c r="B484">
        <v>364.23</v>
      </c>
    </row>
    <row r="485" spans="1:2">
      <c r="A485" s="1">
        <v>36100</v>
      </c>
      <c r="B485">
        <v>365.46</v>
      </c>
    </row>
    <row r="486" spans="1:2">
      <c r="A486" s="1">
        <v>36130</v>
      </c>
      <c r="B486">
        <v>366.97</v>
      </c>
    </row>
    <row r="487" spans="1:2">
      <c r="A487" s="1">
        <v>36161</v>
      </c>
      <c r="B487">
        <v>368.15</v>
      </c>
    </row>
    <row r="488" spans="1:2">
      <c r="A488" s="1">
        <v>36192</v>
      </c>
      <c r="B488">
        <v>368.87</v>
      </c>
    </row>
    <row r="489" spans="1:2">
      <c r="A489" s="1">
        <v>36220</v>
      </c>
      <c r="B489">
        <v>369.59</v>
      </c>
    </row>
    <row r="490" spans="1:2">
      <c r="A490" s="1">
        <v>36251</v>
      </c>
      <c r="B490">
        <v>371.14</v>
      </c>
    </row>
    <row r="491" spans="1:2">
      <c r="A491" s="1">
        <v>36281</v>
      </c>
      <c r="B491">
        <v>371</v>
      </c>
    </row>
    <row r="492" spans="1:2">
      <c r="A492" s="1">
        <v>36312</v>
      </c>
      <c r="B492">
        <v>370.35</v>
      </c>
    </row>
    <row r="493" spans="1:2">
      <c r="A493" s="1">
        <v>36342</v>
      </c>
      <c r="B493">
        <v>369.27</v>
      </c>
    </row>
    <row r="494" spans="1:2">
      <c r="A494" s="1">
        <v>36373</v>
      </c>
      <c r="B494">
        <v>366.93</v>
      </c>
    </row>
    <row r="495" spans="1:2">
      <c r="A495" s="1">
        <v>36404</v>
      </c>
      <c r="B495">
        <v>364.64</v>
      </c>
    </row>
    <row r="496" spans="1:2">
      <c r="A496" s="1">
        <v>36434</v>
      </c>
      <c r="B496">
        <v>365.13</v>
      </c>
    </row>
    <row r="497" spans="1:2">
      <c r="A497" s="1">
        <v>36465</v>
      </c>
      <c r="B497">
        <v>366.68</v>
      </c>
    </row>
    <row r="498" spans="1:2">
      <c r="A498" s="1">
        <v>36495</v>
      </c>
      <c r="B498">
        <v>368</v>
      </c>
    </row>
    <row r="499" spans="1:2">
      <c r="A499" s="1">
        <v>36526</v>
      </c>
      <c r="B499">
        <v>369.14</v>
      </c>
    </row>
    <row r="500" spans="1:2">
      <c r="A500" s="1">
        <v>36557</v>
      </c>
      <c r="B500">
        <v>369.46</v>
      </c>
    </row>
    <row r="501" spans="1:2">
      <c r="A501" s="1">
        <v>36586</v>
      </c>
      <c r="B501">
        <v>370.51</v>
      </c>
    </row>
    <row r="502" spans="1:2">
      <c r="A502" s="1">
        <v>36617</v>
      </c>
      <c r="B502">
        <v>371.66</v>
      </c>
    </row>
    <row r="503" spans="1:2">
      <c r="A503" s="1">
        <v>36647</v>
      </c>
      <c r="B503">
        <v>371.83</v>
      </c>
    </row>
    <row r="504" spans="1:2">
      <c r="A504" s="1">
        <v>36678</v>
      </c>
      <c r="B504">
        <v>371.69</v>
      </c>
    </row>
    <row r="505" spans="1:2">
      <c r="A505" s="1">
        <v>36708</v>
      </c>
      <c r="B505">
        <v>370.12</v>
      </c>
    </row>
    <row r="506" spans="1:2">
      <c r="A506" s="1">
        <v>36739</v>
      </c>
      <c r="B506">
        <v>368.12</v>
      </c>
    </row>
    <row r="507" spans="1:2">
      <c r="A507" s="1">
        <v>36770</v>
      </c>
      <c r="B507">
        <v>366.62</v>
      </c>
    </row>
    <row r="508" spans="1:2">
      <c r="A508" s="1">
        <v>36800</v>
      </c>
      <c r="B508">
        <v>366.73</v>
      </c>
    </row>
    <row r="509" spans="1:2">
      <c r="A509" s="1">
        <v>36831</v>
      </c>
      <c r="B509">
        <v>368.29</v>
      </c>
    </row>
    <row r="510" spans="1:2">
      <c r="A510" s="1">
        <v>36861</v>
      </c>
      <c r="B510">
        <v>369.52</v>
      </c>
    </row>
    <row r="511" spans="1:2">
      <c r="A511" s="1">
        <v>36892</v>
      </c>
      <c r="B511">
        <v>370.28</v>
      </c>
    </row>
    <row r="512" spans="1:2">
      <c r="A512" s="1">
        <v>36923</v>
      </c>
      <c r="B512">
        <v>371.5</v>
      </c>
    </row>
    <row r="513" spans="1:2">
      <c r="A513" s="1">
        <v>36951</v>
      </c>
      <c r="B513">
        <v>372.12</v>
      </c>
    </row>
    <row r="514" spans="1:2">
      <c r="A514" s="1">
        <v>36982</v>
      </c>
      <c r="B514">
        <v>372.86</v>
      </c>
    </row>
    <row r="515" spans="1:2">
      <c r="A515" s="1">
        <v>37012</v>
      </c>
      <c r="B515">
        <v>374.02</v>
      </c>
    </row>
    <row r="516" spans="1:2">
      <c r="A516" s="1">
        <v>37043</v>
      </c>
      <c r="B516">
        <v>373.31</v>
      </c>
    </row>
    <row r="517" spans="1:2">
      <c r="A517" s="1">
        <v>37073</v>
      </c>
      <c r="B517">
        <v>371.62</v>
      </c>
    </row>
    <row r="518" spans="1:2">
      <c r="A518" s="1">
        <v>37104</v>
      </c>
      <c r="B518">
        <v>369.55</v>
      </c>
    </row>
    <row r="519" spans="1:2">
      <c r="A519" s="1">
        <v>37135</v>
      </c>
      <c r="B519">
        <v>367.96</v>
      </c>
    </row>
    <row r="520" spans="1:2">
      <c r="A520" s="1">
        <v>37165</v>
      </c>
      <c r="B520">
        <v>368.09</v>
      </c>
    </row>
    <row r="521" spans="1:2">
      <c r="A521" s="1">
        <v>37196</v>
      </c>
      <c r="B521">
        <v>369.68</v>
      </c>
    </row>
    <row r="522" spans="1:2">
      <c r="A522" s="1">
        <v>37226</v>
      </c>
      <c r="B522">
        <v>371.24</v>
      </c>
    </row>
    <row r="523" spans="1:2">
      <c r="A523" s="1">
        <v>37257</v>
      </c>
      <c r="B523">
        <v>372.44</v>
      </c>
    </row>
    <row r="524" spans="1:2">
      <c r="A524" s="1">
        <v>37288</v>
      </c>
      <c r="B524">
        <v>373.08</v>
      </c>
    </row>
    <row r="525" spans="1:2">
      <c r="A525" s="1">
        <v>37316</v>
      </c>
      <c r="B525">
        <v>373.52</v>
      </c>
    </row>
    <row r="526" spans="1:2">
      <c r="A526" s="1">
        <v>37347</v>
      </c>
      <c r="B526">
        <v>374.85</v>
      </c>
    </row>
    <row r="527" spans="1:2">
      <c r="A527" s="1">
        <v>37377</v>
      </c>
      <c r="B527">
        <v>375.55</v>
      </c>
    </row>
    <row r="528" spans="1:2">
      <c r="A528" s="1">
        <v>37408</v>
      </c>
      <c r="B528">
        <v>375.4</v>
      </c>
    </row>
    <row r="529" spans="1:2">
      <c r="A529" s="1">
        <v>37438</v>
      </c>
      <c r="B529">
        <v>374.02</v>
      </c>
    </row>
    <row r="530" spans="1:2">
      <c r="A530" s="1">
        <v>37469</v>
      </c>
      <c r="B530">
        <v>371.48</v>
      </c>
    </row>
    <row r="531" spans="1:2">
      <c r="A531" s="1">
        <v>37500</v>
      </c>
      <c r="B531">
        <v>370.7</v>
      </c>
    </row>
    <row r="532" spans="1:2">
      <c r="A532" s="1">
        <v>37530</v>
      </c>
      <c r="B532">
        <v>370.25</v>
      </c>
    </row>
    <row r="533" spans="1:2">
      <c r="A533" s="1">
        <v>37561</v>
      </c>
      <c r="B533">
        <v>372.08</v>
      </c>
    </row>
    <row r="534" spans="1:2">
      <c r="A534" s="1">
        <v>37591</v>
      </c>
      <c r="B534">
        <v>373.78</v>
      </c>
    </row>
    <row r="535" spans="1:2">
      <c r="A535" s="1">
        <v>37622</v>
      </c>
      <c r="B535">
        <v>374.68</v>
      </c>
    </row>
    <row r="536" spans="1:2">
      <c r="A536" s="1">
        <v>37653</v>
      </c>
      <c r="B536">
        <v>375.62</v>
      </c>
    </row>
    <row r="537" spans="1:2">
      <c r="A537" s="1">
        <v>37681</v>
      </c>
      <c r="B537">
        <v>376.11</v>
      </c>
    </row>
    <row r="538" spans="1:2">
      <c r="A538" s="1">
        <v>37712</v>
      </c>
      <c r="B538">
        <v>377.65</v>
      </c>
    </row>
    <row r="539" spans="1:2">
      <c r="A539" s="1">
        <v>37742</v>
      </c>
      <c r="B539">
        <v>378.35</v>
      </c>
    </row>
    <row r="540" spans="1:2">
      <c r="A540" s="1">
        <v>37773</v>
      </c>
      <c r="B540">
        <v>378.13</v>
      </c>
    </row>
    <row r="541" spans="1:2">
      <c r="A541" s="1">
        <v>37803</v>
      </c>
      <c r="B541">
        <v>376.6</v>
      </c>
    </row>
    <row r="542" spans="1:2">
      <c r="A542" s="1">
        <v>37834</v>
      </c>
      <c r="B542">
        <v>374.48</v>
      </c>
    </row>
    <row r="543" spans="1:2">
      <c r="A543" s="1">
        <v>37865</v>
      </c>
      <c r="B543">
        <v>372.98</v>
      </c>
    </row>
    <row r="544" spans="1:2">
      <c r="A544" s="1">
        <v>37895</v>
      </c>
      <c r="B544">
        <v>373</v>
      </c>
    </row>
    <row r="545" spans="1:2">
      <c r="A545" s="1">
        <v>37926</v>
      </c>
      <c r="B545">
        <v>374.35</v>
      </c>
    </row>
    <row r="546" spans="1:2">
      <c r="A546" s="1">
        <v>37956</v>
      </c>
      <c r="B546">
        <v>375.69</v>
      </c>
    </row>
    <row r="547" spans="1:2">
      <c r="A547" s="1">
        <v>37987</v>
      </c>
      <c r="B547">
        <v>376.79</v>
      </c>
    </row>
    <row r="548" spans="1:2">
      <c r="A548" s="1">
        <v>38018</v>
      </c>
      <c r="B548">
        <v>377.37</v>
      </c>
    </row>
    <row r="549" spans="1:2">
      <c r="A549" s="1">
        <v>38047</v>
      </c>
      <c r="B549">
        <v>378.39</v>
      </c>
    </row>
    <row r="550" spans="1:2">
      <c r="A550" s="1">
        <v>38078</v>
      </c>
      <c r="B550">
        <v>380.5</v>
      </c>
    </row>
    <row r="551" spans="1:2">
      <c r="A551" s="1">
        <v>38108</v>
      </c>
      <c r="B551">
        <v>380.62</v>
      </c>
    </row>
    <row r="552" spans="1:2">
      <c r="A552" s="1">
        <v>38139</v>
      </c>
      <c r="B552">
        <v>379.55</v>
      </c>
    </row>
    <row r="553" spans="1:2">
      <c r="A553" s="1">
        <v>38169</v>
      </c>
      <c r="B553">
        <v>377.76</v>
      </c>
    </row>
    <row r="554" spans="1:2">
      <c r="A554" s="1">
        <v>38200</v>
      </c>
      <c r="B554">
        <v>375.83</v>
      </c>
    </row>
    <row r="555" spans="1:2">
      <c r="A555" s="1">
        <v>38231</v>
      </c>
      <c r="B555">
        <v>374.05</v>
      </c>
    </row>
    <row r="556" spans="1:2">
      <c r="A556" s="1">
        <v>38261</v>
      </c>
      <c r="B556">
        <v>374.22</v>
      </c>
    </row>
    <row r="557" spans="1:2">
      <c r="A557" s="1">
        <v>38292</v>
      </c>
      <c r="B557">
        <v>375.84</v>
      </c>
    </row>
    <row r="558" spans="1:2">
      <c r="A558" s="1">
        <v>38322</v>
      </c>
      <c r="B558">
        <v>377.44</v>
      </c>
    </row>
    <row r="559" spans="1:2">
      <c r="A559" s="1">
        <v>38353</v>
      </c>
      <c r="B559">
        <v>378.34</v>
      </c>
    </row>
    <row r="560" spans="1:2">
      <c r="A560" s="1">
        <v>38384</v>
      </c>
      <c r="B560">
        <v>379.61</v>
      </c>
    </row>
    <row r="561" spans="1:2">
      <c r="A561" s="1">
        <v>38412</v>
      </c>
      <c r="B561">
        <v>380.08</v>
      </c>
    </row>
    <row r="562" spans="1:2">
      <c r="A562" s="1">
        <v>38443</v>
      </c>
      <c r="B562">
        <v>382.05</v>
      </c>
    </row>
    <row r="563" spans="1:2">
      <c r="A563" s="1">
        <v>38473</v>
      </c>
      <c r="B563">
        <v>382.24</v>
      </c>
    </row>
    <row r="564" spans="1:2">
      <c r="A564" s="1">
        <v>38504</v>
      </c>
      <c r="B564">
        <v>382.08</v>
      </c>
    </row>
    <row r="565" spans="1:2">
      <c r="A565" s="1">
        <v>38534</v>
      </c>
      <c r="B565">
        <v>380.66</v>
      </c>
    </row>
    <row r="566" spans="1:2">
      <c r="A566" s="1">
        <v>38565</v>
      </c>
      <c r="B566">
        <v>378.67</v>
      </c>
    </row>
    <row r="567" spans="1:2">
      <c r="A567" s="1">
        <v>38596</v>
      </c>
      <c r="B567">
        <v>376.42</v>
      </c>
    </row>
    <row r="568" spans="1:2">
      <c r="A568" s="1">
        <v>38626</v>
      </c>
      <c r="B568">
        <v>376.8</v>
      </c>
    </row>
    <row r="569" spans="1:2">
      <c r="A569" s="1">
        <v>38657</v>
      </c>
      <c r="B569">
        <v>378.31</v>
      </c>
    </row>
    <row r="570" spans="1:2">
      <c r="A570" s="1">
        <v>38687</v>
      </c>
      <c r="B570">
        <v>379.96</v>
      </c>
    </row>
    <row r="571" spans="1:2">
      <c r="A571" s="1">
        <v>38718</v>
      </c>
      <c r="B571">
        <v>381.37</v>
      </c>
    </row>
    <row r="572" spans="1:2">
      <c r="A572" s="1">
        <v>38749</v>
      </c>
      <c r="B572">
        <v>382.02</v>
      </c>
    </row>
    <row r="573" spans="1:2">
      <c r="A573" s="1">
        <v>38777</v>
      </c>
      <c r="B573">
        <v>382.56</v>
      </c>
    </row>
    <row r="574" spans="1:2">
      <c r="A574" s="1">
        <v>38808</v>
      </c>
      <c r="B574">
        <v>384.36</v>
      </c>
    </row>
    <row r="575" spans="1:2">
      <c r="A575" s="1">
        <v>38838</v>
      </c>
      <c r="B575">
        <v>384.92</v>
      </c>
    </row>
    <row r="576" spans="1:2">
      <c r="A576" s="1">
        <v>38869</v>
      </c>
      <c r="B576">
        <v>384.03</v>
      </c>
    </row>
    <row r="577" spans="1:2">
      <c r="A577" s="1">
        <v>38899</v>
      </c>
      <c r="B577">
        <v>382.28</v>
      </c>
    </row>
    <row r="578" spans="1:2">
      <c r="A578" s="1">
        <v>38930</v>
      </c>
      <c r="B578">
        <v>380.48</v>
      </c>
    </row>
    <row r="579" spans="1:2">
      <c r="A579" s="1">
        <v>38961</v>
      </c>
      <c r="B579">
        <v>378.81</v>
      </c>
    </row>
    <row r="580" spans="1:2">
      <c r="A580" s="1">
        <v>38991</v>
      </c>
      <c r="B580">
        <v>379.06</v>
      </c>
    </row>
    <row r="581" spans="1:2">
      <c r="A581" s="1">
        <v>39022</v>
      </c>
      <c r="B581">
        <v>380.14</v>
      </c>
    </row>
    <row r="582" spans="1:2">
      <c r="A582" s="1">
        <v>39052</v>
      </c>
      <c r="B582">
        <v>381.66</v>
      </c>
    </row>
    <row r="583" spans="1:2">
      <c r="A583" s="1">
        <v>39083</v>
      </c>
      <c r="B583">
        <v>382.58</v>
      </c>
    </row>
    <row r="584" spans="1:2">
      <c r="A584" s="1">
        <v>39114</v>
      </c>
      <c r="B584">
        <v>383.71</v>
      </c>
    </row>
    <row r="585" spans="1:2">
      <c r="A585" s="1">
        <v>39142</v>
      </c>
      <c r="B585">
        <v>384.34</v>
      </c>
    </row>
    <row r="586" spans="1:2">
      <c r="A586" s="1">
        <v>39173</v>
      </c>
      <c r="B586">
        <v>386.23</v>
      </c>
    </row>
    <row r="587" spans="1:2">
      <c r="A587" s="1">
        <v>39203</v>
      </c>
      <c r="B587">
        <v>386.41</v>
      </c>
    </row>
    <row r="588" spans="1:2">
      <c r="A588" s="1">
        <v>39234</v>
      </c>
      <c r="B588">
        <v>385.87</v>
      </c>
    </row>
    <row r="589" spans="1:2">
      <c r="A589" s="1">
        <v>39264</v>
      </c>
      <c r="B589">
        <v>384.44</v>
      </c>
    </row>
    <row r="590" spans="1:2">
      <c r="A590" s="1">
        <v>39295</v>
      </c>
      <c r="B590">
        <v>381.84</v>
      </c>
    </row>
    <row r="591" spans="1:2">
      <c r="A591" s="1">
        <v>39326</v>
      </c>
      <c r="B591">
        <v>380.86</v>
      </c>
    </row>
    <row r="592" spans="1:2">
      <c r="A592" s="1">
        <v>39356</v>
      </c>
      <c r="B592">
        <v>380.86</v>
      </c>
    </row>
    <row r="593" spans="1:2">
      <c r="A593" s="1">
        <v>39387</v>
      </c>
      <c r="B593">
        <v>382.36</v>
      </c>
    </row>
    <row r="594" spans="1:2">
      <c r="A594" s="1">
        <v>39417</v>
      </c>
      <c r="B594">
        <v>383.61</v>
      </c>
    </row>
    <row r="595" spans="1:2">
      <c r="A595" s="1">
        <v>39448</v>
      </c>
      <c r="B595">
        <v>385.07</v>
      </c>
    </row>
    <row r="596" spans="1:2">
      <c r="A596" s="1">
        <v>39479</v>
      </c>
      <c r="B596">
        <v>385.84</v>
      </c>
    </row>
    <row r="597" spans="1:2">
      <c r="A597" s="1">
        <v>39508</v>
      </c>
      <c r="B597">
        <v>385.83</v>
      </c>
    </row>
    <row r="598" spans="1:2">
      <c r="A598" s="1">
        <v>39539</v>
      </c>
      <c r="B598">
        <v>386.77</v>
      </c>
    </row>
    <row r="599" spans="1:2">
      <c r="A599" s="1">
        <v>39569</v>
      </c>
      <c r="B599">
        <v>388.51</v>
      </c>
    </row>
    <row r="600" spans="1:2">
      <c r="A600" s="1">
        <v>39600</v>
      </c>
      <c r="B600">
        <v>388.05</v>
      </c>
    </row>
    <row r="601" spans="1:2">
      <c r="A601" s="1">
        <v>39630</v>
      </c>
      <c r="B601">
        <v>386.25</v>
      </c>
    </row>
    <row r="602" spans="1:2">
      <c r="A602" s="1">
        <v>39661</v>
      </c>
      <c r="B602">
        <v>384.08</v>
      </c>
    </row>
    <row r="603" spans="1:2">
      <c r="A603" s="1">
        <v>39692</v>
      </c>
      <c r="B603">
        <v>383.09</v>
      </c>
    </row>
    <row r="604" spans="1:2">
      <c r="A604" s="1">
        <v>39722</v>
      </c>
      <c r="B604">
        <v>382.78</v>
      </c>
    </row>
    <row r="605" spans="1:2">
      <c r="A605" s="1">
        <v>39753</v>
      </c>
      <c r="B605">
        <v>384.01</v>
      </c>
    </row>
    <row r="606" spans="1:2">
      <c r="A606" s="1">
        <v>39783</v>
      </c>
      <c r="B606">
        <v>385.11</v>
      </c>
    </row>
    <row r="607" spans="1:2">
      <c r="A607" s="1">
        <v>39814</v>
      </c>
      <c r="B607">
        <v>386.65</v>
      </c>
    </row>
    <row r="608" spans="1:2">
      <c r="A608" s="1">
        <v>39845</v>
      </c>
      <c r="B608">
        <v>387.12</v>
      </c>
    </row>
    <row r="609" spans="1:2">
      <c r="A609" s="1">
        <v>39873</v>
      </c>
      <c r="B609">
        <v>388.52</v>
      </c>
    </row>
    <row r="610" spans="1:2">
      <c r="A610" s="1">
        <v>39904</v>
      </c>
      <c r="B610">
        <v>389.57</v>
      </c>
    </row>
    <row r="611" spans="1:2">
      <c r="A611" s="1">
        <v>39934</v>
      </c>
      <c r="B611">
        <v>390.17</v>
      </c>
    </row>
    <row r="612" spans="1:2">
      <c r="A612" s="1">
        <v>39965</v>
      </c>
      <c r="B612">
        <v>389.62</v>
      </c>
    </row>
    <row r="613" spans="1:2">
      <c r="A613" s="1">
        <v>39995</v>
      </c>
      <c r="B613">
        <v>388.07</v>
      </c>
    </row>
    <row r="614" spans="1:2">
      <c r="A614" s="1">
        <v>40026</v>
      </c>
      <c r="B614">
        <v>386.08</v>
      </c>
    </row>
    <row r="615" spans="1:2">
      <c r="A615" s="1">
        <v>40057</v>
      </c>
      <c r="B615">
        <v>384.65</v>
      </c>
    </row>
    <row r="616" spans="1:2">
      <c r="A616" s="1">
        <v>40087</v>
      </c>
      <c r="B616">
        <v>384.33</v>
      </c>
    </row>
    <row r="617" spans="1:2">
      <c r="A617" s="1">
        <v>40118</v>
      </c>
      <c r="B617">
        <v>386.05</v>
      </c>
    </row>
    <row r="618" spans="1:2">
      <c r="A618" s="1">
        <v>40148</v>
      </c>
      <c r="B618">
        <v>387.49</v>
      </c>
    </row>
    <row r="619" spans="1:2">
      <c r="A619" s="1">
        <v>40179</v>
      </c>
      <c r="B619">
        <v>388.55</v>
      </c>
    </row>
    <row r="620" spans="1:2">
      <c r="A620" s="1">
        <v>40210</v>
      </c>
      <c r="B620">
        <v>390.08</v>
      </c>
    </row>
    <row r="621" spans="1:2">
      <c r="A621" s="1">
        <v>40238</v>
      </c>
      <c r="B621">
        <v>391.01</v>
      </c>
    </row>
    <row r="622" spans="1:2">
      <c r="A622" s="1">
        <v>40269</v>
      </c>
      <c r="B622">
        <v>392.38</v>
      </c>
    </row>
    <row r="623" spans="1:2">
      <c r="A623" s="1">
        <v>40299</v>
      </c>
      <c r="B623">
        <v>393.22</v>
      </c>
    </row>
    <row r="624" spans="1:2">
      <c r="A624" s="1">
        <v>40330</v>
      </c>
      <c r="B624">
        <v>392.24</v>
      </c>
    </row>
    <row r="625" spans="1:2">
      <c r="A625" s="1">
        <v>40360</v>
      </c>
      <c r="B625">
        <v>390.33</v>
      </c>
    </row>
    <row r="626" spans="1:2">
      <c r="A626" s="1">
        <v>40391</v>
      </c>
      <c r="B626">
        <v>388.52</v>
      </c>
    </row>
    <row r="627" spans="1:2">
      <c r="A627" s="1">
        <v>40422</v>
      </c>
      <c r="B627">
        <v>386.84</v>
      </c>
    </row>
    <row r="628" spans="1:2">
      <c r="A628" s="1">
        <v>40452</v>
      </c>
      <c r="B628">
        <v>387.16</v>
      </c>
    </row>
    <row r="629" spans="1:2">
      <c r="A629" s="1">
        <v>40483</v>
      </c>
      <c r="B629">
        <v>388.67</v>
      </c>
    </row>
    <row r="630" spans="1:2">
      <c r="A630" s="1">
        <v>40513</v>
      </c>
      <c r="B630">
        <v>389.81</v>
      </c>
    </row>
    <row r="631" spans="1:2">
      <c r="A631" s="1">
        <v>40544</v>
      </c>
      <c r="B631">
        <v>391.3</v>
      </c>
    </row>
    <row r="632" spans="1:2">
      <c r="A632" s="1">
        <v>40575</v>
      </c>
      <c r="B632">
        <v>391.92</v>
      </c>
    </row>
    <row r="633" spans="1:2">
      <c r="A633" s="1">
        <v>40603</v>
      </c>
      <c r="B633">
        <v>392.45</v>
      </c>
    </row>
    <row r="634" spans="1:2">
      <c r="A634" s="1">
        <v>40634</v>
      </c>
      <c r="B634">
        <v>393.37</v>
      </c>
    </row>
    <row r="635" spans="1:2">
      <c r="A635" s="1">
        <v>40664</v>
      </c>
      <c r="B635">
        <v>394.28</v>
      </c>
    </row>
    <row r="636" spans="1:2">
      <c r="A636" s="1">
        <v>40695</v>
      </c>
      <c r="B636">
        <v>393.69</v>
      </c>
    </row>
    <row r="637" spans="1:2">
      <c r="A637" s="1">
        <v>40725</v>
      </c>
      <c r="B637">
        <v>392.59</v>
      </c>
    </row>
    <row r="638" spans="1:2">
      <c r="A638" s="1">
        <v>40756</v>
      </c>
      <c r="B638">
        <v>390.21</v>
      </c>
    </row>
    <row r="639" spans="1:2">
      <c r="A639" s="1">
        <v>40787</v>
      </c>
      <c r="B639">
        <v>389</v>
      </c>
    </row>
    <row r="640" spans="1:2">
      <c r="A640" s="1">
        <v>40817</v>
      </c>
      <c r="B640">
        <v>388.93</v>
      </c>
    </row>
    <row r="641" spans="1:2">
      <c r="A641" s="1">
        <v>40848</v>
      </c>
      <c r="B641">
        <v>390.24</v>
      </c>
    </row>
    <row r="642" spans="1:2">
      <c r="A642" s="1">
        <v>40878</v>
      </c>
      <c r="B642">
        <v>391.8</v>
      </c>
    </row>
    <row r="643" spans="1:2">
      <c r="A643" s="1">
        <v>40909</v>
      </c>
      <c r="B643">
        <v>393.07</v>
      </c>
    </row>
    <row r="644" spans="1:2">
      <c r="A644" s="1">
        <v>40940</v>
      </c>
      <c r="B644">
        <v>393.35</v>
      </c>
    </row>
    <row r="645" spans="1:2">
      <c r="A645" s="1">
        <v>40969</v>
      </c>
      <c r="B645">
        <v>394.36</v>
      </c>
    </row>
    <row r="646" spans="1:2">
      <c r="A646" s="1">
        <v>41000</v>
      </c>
      <c r="B646">
        <v>396.43</v>
      </c>
    </row>
    <row r="647" spans="1:2">
      <c r="A647" s="1">
        <v>41030</v>
      </c>
      <c r="B647">
        <v>396.87</v>
      </c>
    </row>
    <row r="648" spans="1:2">
      <c r="A648" s="1">
        <v>41061</v>
      </c>
      <c r="B648">
        <v>395.88</v>
      </c>
    </row>
    <row r="649" spans="1:2">
      <c r="A649" s="1">
        <v>41091</v>
      </c>
      <c r="B649">
        <v>394.52</v>
      </c>
    </row>
    <row r="650" spans="1:2">
      <c r="A650" s="1">
        <v>41122</v>
      </c>
      <c r="B650">
        <v>392.54</v>
      </c>
    </row>
    <row r="651" spans="1:2">
      <c r="A651" s="1">
        <v>41153</v>
      </c>
      <c r="B651">
        <v>391.13</v>
      </c>
    </row>
    <row r="652" spans="1:2">
      <c r="A652" s="1">
        <v>41183</v>
      </c>
      <c r="B652">
        <v>391.01</v>
      </c>
    </row>
    <row r="653" spans="1:2">
      <c r="A653" s="1">
        <v>41214</v>
      </c>
      <c r="B653">
        <v>392.95</v>
      </c>
    </row>
    <row r="654" spans="1:2">
      <c r="A654" s="1">
        <v>41244</v>
      </c>
      <c r="B654">
        <v>394.33</v>
      </c>
    </row>
    <row r="655" spans="1:2">
      <c r="A655" s="1">
        <v>41275</v>
      </c>
      <c r="B655">
        <v>395.61</v>
      </c>
    </row>
    <row r="656" spans="1:2">
      <c r="A656" s="1">
        <v>41306</v>
      </c>
      <c r="B656">
        <v>396.85</v>
      </c>
    </row>
    <row r="657" spans="1:2">
      <c r="A657" s="1">
        <v>41334</v>
      </c>
      <c r="B657">
        <v>397.26</v>
      </c>
    </row>
    <row r="658" spans="1:2">
      <c r="A658" s="1">
        <v>41365</v>
      </c>
      <c r="B658">
        <v>398.35</v>
      </c>
    </row>
    <row r="659" spans="1:2">
      <c r="A659" s="1">
        <v>41395</v>
      </c>
      <c r="B659">
        <v>399.98</v>
      </c>
    </row>
    <row r="660" spans="1:2">
      <c r="A660" s="1">
        <v>41426</v>
      </c>
      <c r="B660">
        <v>398.87</v>
      </c>
    </row>
    <row r="661" spans="1:2">
      <c r="A661" s="1">
        <v>41456</v>
      </c>
      <c r="B661">
        <v>397.37</v>
      </c>
    </row>
    <row r="662" spans="1:2">
      <c r="A662" s="1">
        <v>41487</v>
      </c>
      <c r="B662">
        <v>395.41</v>
      </c>
    </row>
    <row r="663" spans="1:2">
      <c r="A663" s="1">
        <v>41518</v>
      </c>
      <c r="B663">
        <v>393.39</v>
      </c>
    </row>
    <row r="664" spans="1:2">
      <c r="A664" s="1">
        <v>41548</v>
      </c>
      <c r="B664">
        <v>393.7</v>
      </c>
    </row>
    <row r="665" spans="1:2">
      <c r="A665" s="1">
        <v>41579</v>
      </c>
      <c r="B665">
        <v>395.19</v>
      </c>
    </row>
    <row r="666" spans="1:2">
      <c r="A666" s="1">
        <v>41609</v>
      </c>
      <c r="B666">
        <v>396.82</v>
      </c>
    </row>
    <row r="667" spans="1:2">
      <c r="A667" s="1">
        <v>41640</v>
      </c>
      <c r="B667">
        <v>397.93</v>
      </c>
    </row>
    <row r="668" spans="1:2">
      <c r="A668" s="1">
        <v>41671</v>
      </c>
      <c r="B668">
        <v>398.1</v>
      </c>
    </row>
    <row r="669" spans="1:2">
      <c r="A669" s="1">
        <v>41699</v>
      </c>
      <c r="B669">
        <v>399.47</v>
      </c>
    </row>
    <row r="670" spans="1:2">
      <c r="A670" s="1">
        <v>41730</v>
      </c>
      <c r="B670">
        <v>401.33</v>
      </c>
    </row>
    <row r="671" spans="1:2">
      <c r="A671" s="1">
        <v>41760</v>
      </c>
      <c r="B671">
        <v>401.88</v>
      </c>
    </row>
    <row r="672" spans="1:2">
      <c r="A672" s="1">
        <v>41791</v>
      </c>
      <c r="B672">
        <v>401.31</v>
      </c>
    </row>
    <row r="673" spans="1:2">
      <c r="A673" s="1">
        <v>41821</v>
      </c>
      <c r="B673">
        <v>399.07</v>
      </c>
    </row>
    <row r="674" spans="1:2">
      <c r="A674" s="1">
        <v>41852</v>
      </c>
      <c r="B674">
        <v>397.21</v>
      </c>
    </row>
    <row r="675" spans="1:2">
      <c r="A675" s="1">
        <v>41883</v>
      </c>
      <c r="B675">
        <v>395.4</v>
      </c>
    </row>
    <row r="676" spans="1:2">
      <c r="A676" s="1">
        <v>41913</v>
      </c>
      <c r="B676">
        <v>395.65</v>
      </c>
    </row>
    <row r="677" spans="1:2">
      <c r="A677" s="1">
        <v>41944</v>
      </c>
      <c r="B677">
        <v>397.23</v>
      </c>
    </row>
    <row r="678" spans="1:2">
      <c r="A678" s="1">
        <v>41974</v>
      </c>
      <c r="B678">
        <v>398.79</v>
      </c>
    </row>
    <row r="679" spans="1:2">
      <c r="A679" s="1">
        <v>42005</v>
      </c>
      <c r="B679">
        <v>399.85</v>
      </c>
    </row>
    <row r="680" spans="1:2">
      <c r="A680" s="1">
        <v>42036</v>
      </c>
      <c r="B680">
        <v>400.31</v>
      </c>
    </row>
    <row r="681" spans="1:2">
      <c r="A681" s="1">
        <v>42064</v>
      </c>
      <c r="B681">
        <v>401.51</v>
      </c>
    </row>
    <row r="682" spans="1:2">
      <c r="A682" s="1">
        <v>42095</v>
      </c>
      <c r="B682">
        <v>403.45</v>
      </c>
    </row>
    <row r="683" spans="1:2">
      <c r="A683" s="1">
        <v>42125</v>
      </c>
      <c r="B683">
        <v>404.1</v>
      </c>
    </row>
    <row r="684" spans="1:2">
      <c r="A684" s="1">
        <v>42156</v>
      </c>
      <c r="B684">
        <v>402.88</v>
      </c>
    </row>
    <row r="685" spans="1:2">
      <c r="A685" s="1">
        <v>42186</v>
      </c>
      <c r="B685">
        <v>401.61</v>
      </c>
    </row>
    <row r="686" spans="1:2">
      <c r="A686" s="1">
        <v>42217</v>
      </c>
      <c r="B686">
        <v>399</v>
      </c>
    </row>
    <row r="687" spans="1:2">
      <c r="A687" s="1">
        <v>42248</v>
      </c>
      <c r="B687">
        <v>397.5</v>
      </c>
    </row>
    <row r="688" spans="1:2">
      <c r="A688" s="1">
        <v>42278</v>
      </c>
      <c r="B688">
        <v>398.28</v>
      </c>
    </row>
    <row r="689" spans="1:2">
      <c r="A689" s="1">
        <v>42309</v>
      </c>
      <c r="B689">
        <v>400.24</v>
      </c>
    </row>
    <row r="690" spans="1:2">
      <c r="A690" s="1">
        <v>42339</v>
      </c>
      <c r="B690">
        <v>401.89</v>
      </c>
    </row>
    <row r="691" spans="1:2">
      <c r="A691" s="1">
        <v>42370</v>
      </c>
      <c r="B691">
        <v>402.65</v>
      </c>
    </row>
    <row r="692" spans="1:2">
      <c r="A692" s="1">
        <v>42401</v>
      </c>
      <c r="B692">
        <v>404.16</v>
      </c>
    </row>
    <row r="693" spans="1:2">
      <c r="A693" s="1">
        <v>42430</v>
      </c>
      <c r="B693">
        <v>404.85</v>
      </c>
    </row>
    <row r="694" spans="1:2">
      <c r="A694" s="1">
        <v>42461</v>
      </c>
      <c r="B694">
        <v>407.57</v>
      </c>
    </row>
    <row r="695" spans="1:2">
      <c r="A695" s="1">
        <v>42491</v>
      </c>
      <c r="B695">
        <v>407.66</v>
      </c>
    </row>
    <row r="696" spans="1:2">
      <c r="A696" s="1">
        <v>42522</v>
      </c>
      <c r="B696">
        <v>407</v>
      </c>
    </row>
    <row r="697" spans="1:2">
      <c r="A697" s="1">
        <v>42552</v>
      </c>
      <c r="B697">
        <v>404.5</v>
      </c>
    </row>
    <row r="698" spans="1:2">
      <c r="A698" s="1">
        <v>42583</v>
      </c>
      <c r="B698">
        <v>402.24</v>
      </c>
    </row>
    <row r="699" spans="1:2">
      <c r="A699" s="1">
        <v>42614</v>
      </c>
      <c r="B699">
        <v>401.01</v>
      </c>
    </row>
    <row r="700" spans="1:2">
      <c r="A700" s="1">
        <v>42644</v>
      </c>
      <c r="B700">
        <v>401.5</v>
      </c>
    </row>
    <row r="701" spans="1:2">
      <c r="A701" s="1">
        <v>42675</v>
      </c>
      <c r="B701">
        <v>403.64</v>
      </c>
    </row>
    <row r="702" spans="1:2">
      <c r="A702" s="1">
        <v>42705</v>
      </c>
      <c r="B702">
        <v>404.55</v>
      </c>
    </row>
    <row r="703" spans="1:2">
      <c r="A703" s="1">
        <v>42736</v>
      </c>
      <c r="B703">
        <v>406.07</v>
      </c>
    </row>
    <row r="704" spans="1:2">
      <c r="A704" s="1">
        <v>42767</v>
      </c>
      <c r="B704">
        <v>406.64</v>
      </c>
    </row>
    <row r="705" spans="1:2">
      <c r="A705" s="1">
        <v>42795</v>
      </c>
      <c r="B705">
        <v>407.05</v>
      </c>
    </row>
    <row r="706" spans="1:2">
      <c r="A706" s="1">
        <v>42826</v>
      </c>
      <c r="B706">
        <v>408.95</v>
      </c>
    </row>
    <row r="707" spans="1:2">
      <c r="A707" s="1">
        <v>42856</v>
      </c>
      <c r="B707">
        <v>409.91</v>
      </c>
    </row>
    <row r="708" spans="1:2">
      <c r="A708" s="1">
        <v>42887</v>
      </c>
      <c r="B708">
        <v>409.12</v>
      </c>
    </row>
    <row r="709" spans="1:2">
      <c r="A709" s="1">
        <v>42917</v>
      </c>
      <c r="B709">
        <v>407.2</v>
      </c>
    </row>
    <row r="710" spans="1:2">
      <c r="A710" s="1">
        <v>42948</v>
      </c>
      <c r="B710">
        <v>405.24</v>
      </c>
    </row>
    <row r="711" spans="1:2">
      <c r="A711" s="1">
        <v>42979</v>
      </c>
      <c r="B711">
        <v>403.27</v>
      </c>
    </row>
    <row r="712" spans="1:2">
      <c r="A712" s="1">
        <v>43009</v>
      </c>
      <c r="B712">
        <v>403.64</v>
      </c>
    </row>
    <row r="713" spans="1:2">
      <c r="A713" s="1">
        <v>43040</v>
      </c>
      <c r="B713">
        <v>405.17</v>
      </c>
    </row>
    <row r="714" spans="1:2">
      <c r="A714" s="1">
        <v>43070</v>
      </c>
      <c r="B714">
        <v>406.75</v>
      </c>
    </row>
    <row r="715" spans="1:2">
      <c r="A715" s="1">
        <v>43101</v>
      </c>
      <c r="B715">
        <v>408.05</v>
      </c>
    </row>
    <row r="716" spans="1:2">
      <c r="A716" s="1">
        <v>43132</v>
      </c>
      <c r="B716">
        <v>408.34</v>
      </c>
    </row>
    <row r="717" spans="1:2">
      <c r="A717" s="1">
        <v>43160</v>
      </c>
      <c r="B717">
        <v>409.25</v>
      </c>
    </row>
    <row r="718" spans="1:2">
      <c r="A718" s="1">
        <v>43191</v>
      </c>
      <c r="B718">
        <v>410.3</v>
      </c>
    </row>
    <row r="719" spans="1:2">
      <c r="A719" s="1">
        <v>43221</v>
      </c>
      <c r="B719">
        <v>411.3</v>
      </c>
    </row>
    <row r="720" spans="1:2">
      <c r="A720" s="1">
        <v>43252</v>
      </c>
      <c r="B720">
        <v>410.88</v>
      </c>
    </row>
    <row r="721" spans="1:2">
      <c r="A721" s="1">
        <v>43282</v>
      </c>
      <c r="B721">
        <v>408.9</v>
      </c>
    </row>
    <row r="722" spans="1:2">
      <c r="A722" s="1">
        <v>43313</v>
      </c>
      <c r="B722">
        <v>407.1</v>
      </c>
    </row>
    <row r="723" spans="1:2">
      <c r="A723" s="1">
        <v>43344</v>
      </c>
      <c r="B723">
        <v>405.59</v>
      </c>
    </row>
    <row r="724" spans="1:2">
      <c r="A724" s="1">
        <v>43374</v>
      </c>
      <c r="B724">
        <v>405.99</v>
      </c>
    </row>
    <row r="725" spans="1:2">
      <c r="A725" s="1">
        <v>43405</v>
      </c>
      <c r="B725">
        <v>408.12</v>
      </c>
    </row>
    <row r="726" spans="1:2">
      <c r="A726" s="1">
        <v>43435</v>
      </c>
      <c r="B726">
        <v>409.23</v>
      </c>
    </row>
    <row r="727" spans="1:2">
      <c r="A727" s="1">
        <v>43466</v>
      </c>
      <c r="B727">
        <v>410.92</v>
      </c>
    </row>
    <row r="728" spans="1:2">
      <c r="A728" s="1">
        <v>43497</v>
      </c>
      <c r="B728">
        <v>411.66</v>
      </c>
    </row>
    <row r="729" spans="1:2">
      <c r="A729" s="1">
        <v>43525</v>
      </c>
      <c r="B729">
        <v>412</v>
      </c>
    </row>
    <row r="730" spans="1:2">
      <c r="A730" s="1">
        <v>43556</v>
      </c>
      <c r="B730">
        <v>413.52</v>
      </c>
    </row>
    <row r="731" spans="1:2">
      <c r="A731" s="1">
        <v>43586</v>
      </c>
      <c r="B731">
        <v>414.83</v>
      </c>
    </row>
    <row r="732" spans="1:2">
      <c r="A732" s="1">
        <v>43617</v>
      </c>
      <c r="B732">
        <v>413.96</v>
      </c>
    </row>
    <row r="733" spans="1:2">
      <c r="A733" s="1">
        <v>43647</v>
      </c>
      <c r="B733">
        <v>411.85</v>
      </c>
    </row>
    <row r="734" spans="1:2">
      <c r="A734" s="1">
        <v>43678</v>
      </c>
      <c r="B734">
        <v>410.08</v>
      </c>
    </row>
    <row r="735" spans="1:2">
      <c r="A735" s="1">
        <v>43709</v>
      </c>
      <c r="B735">
        <v>408.55</v>
      </c>
    </row>
    <row r="736" spans="1:2">
      <c r="A736" s="1">
        <v>43739</v>
      </c>
      <c r="B736">
        <v>408.43</v>
      </c>
    </row>
    <row r="737" spans="1:2">
      <c r="A737" s="1">
        <v>43770</v>
      </c>
      <c r="B737">
        <v>410.29</v>
      </c>
    </row>
    <row r="738" spans="1:2">
      <c r="A738" s="1">
        <v>43800</v>
      </c>
      <c r="B738">
        <v>411.85</v>
      </c>
    </row>
    <row r="739" spans="1:2">
      <c r="A739" s="1">
        <v>43831</v>
      </c>
      <c r="B739">
        <v>413.37</v>
      </c>
    </row>
    <row r="740" spans="1:2">
      <c r="A740" s="1">
        <v>43862</v>
      </c>
      <c r="B740">
        <v>414.09</v>
      </c>
    </row>
    <row r="741" spans="1:2">
      <c r="A741" s="1">
        <v>43891</v>
      </c>
      <c r="B741">
        <v>414.51</v>
      </c>
    </row>
    <row r="742" spans="1:2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7CB-A724-4FA3-B546-A33AFE5701D5}">
  <dimension ref="A1:P982"/>
  <sheetViews>
    <sheetView zoomScaleNormal="100" workbookViewId="0">
      <selection activeCell="A10" sqref="A10"/>
    </sheetView>
  </sheetViews>
  <sheetFormatPr defaultRowHeight="18.75" customHeight="1"/>
  <cols>
    <col min="1" max="1" width="15.125" style="2" bestFit="1" customWidth="1"/>
    <col min="2" max="4" width="12.75" customWidth="1"/>
    <col min="5" max="5" width="33.125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38</v>
      </c>
      <c r="D1" t="s">
        <v>39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  <c r="O1" s="9" t="s">
        <v>12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_B*F2+_C</f>
        <v>310.56099854233639</v>
      </c>
      <c r="J2" s="7">
        <f>H2-I2</f>
        <v>5.1390014576635963</v>
      </c>
      <c r="K2" s="7" cm="1">
        <f t="array" ref="K2">INDEX(Sm,G2)</f>
        <v>5.1390014576635963</v>
      </c>
      <c r="L2" s="7">
        <f>I2+K2</f>
        <v>315.7</v>
      </c>
      <c r="M2" s="7">
        <f>H2-L2</f>
        <v>0</v>
      </c>
      <c r="O2" s="10">
        <v>1</v>
      </c>
      <c r="P2" t="s">
        <v>25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J3" s="7"/>
      <c r="P3" t="s">
        <v>24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J4" s="7"/>
      <c r="O4" s="10">
        <v>2</v>
      </c>
      <c r="P4" t="s">
        <v>40</v>
      </c>
    </row>
    <row r="5" spans="1:16" ht="18.75" customHeight="1">
      <c r="A5" t="s">
        <v>49</v>
      </c>
      <c r="F5" s="1">
        <v>21367</v>
      </c>
      <c r="G5">
        <f t="shared" si="0"/>
        <v>7</v>
      </c>
      <c r="H5" s="7">
        <v>315.86</v>
      </c>
      <c r="J5" s="7"/>
      <c r="P5" t="s">
        <v>28</v>
      </c>
    </row>
    <row r="6" spans="1:16" ht="18.75" customHeight="1">
      <c r="B6" s="3" t="s">
        <v>4</v>
      </c>
      <c r="C6" s="3" t="s">
        <v>5</v>
      </c>
      <c r="F6" s="1">
        <v>21398</v>
      </c>
      <c r="G6">
        <f t="shared" si="0"/>
        <v>8</v>
      </c>
      <c r="H6" s="7">
        <v>314.93</v>
      </c>
      <c r="J6" s="7"/>
      <c r="O6" s="10">
        <v>3</v>
      </c>
      <c r="P6" t="s">
        <v>27</v>
      </c>
    </row>
    <row r="7" spans="1:16" ht="18.75" customHeight="1">
      <c r="B7" s="21">
        <f t="array" ref="B7:C7">LINEST($H$2:$H$502,$F$2:$F$502)</f>
        <v>3.6252542454825818E-3</v>
      </c>
      <c r="C7" s="21">
        <v>233.54247209705895</v>
      </c>
      <c r="D7" t="s">
        <v>51</v>
      </c>
      <c r="F7" s="1">
        <v>21429</v>
      </c>
      <c r="G7">
        <f t="shared" si="0"/>
        <v>9</v>
      </c>
      <c r="H7" s="7">
        <v>313.20999999999998</v>
      </c>
      <c r="J7" s="7"/>
      <c r="O7" s="10"/>
      <c r="P7" t="s">
        <v>30</v>
      </c>
    </row>
    <row r="8" spans="1:16" ht="18.75" customHeight="1">
      <c r="B8" t="s">
        <v>44</v>
      </c>
      <c r="F8" s="1">
        <v>21490</v>
      </c>
      <c r="G8">
        <f t="shared" si="0"/>
        <v>11</v>
      </c>
      <c r="H8" s="7">
        <v>313.33</v>
      </c>
      <c r="J8" s="7"/>
      <c r="O8" s="10">
        <v>4</v>
      </c>
      <c r="P8" t="s">
        <v>26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J9" s="7"/>
      <c r="P9" t="s">
        <v>24</v>
      </c>
    </row>
    <row r="10" spans="1:16" ht="18.75" customHeight="1">
      <c r="A10" t="s">
        <v>55</v>
      </c>
      <c r="F10" s="1">
        <v>21551</v>
      </c>
      <c r="G10">
        <f t="shared" si="0"/>
        <v>1</v>
      </c>
      <c r="H10" s="7">
        <v>315.58</v>
      </c>
      <c r="J10" s="7"/>
      <c r="O10" s="10">
        <v>5</v>
      </c>
      <c r="P10" t="s">
        <v>41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J11" s="7"/>
      <c r="P11" t="s">
        <v>29</v>
      </c>
    </row>
    <row r="12" spans="1:16" ht="18.75" customHeight="1">
      <c r="A12" s="2">
        <v>1</v>
      </c>
      <c r="B12" s="13" t="e">
        <f>AVERAGEIF($G$2:$G$502,A12,$J$2:$J$502)</f>
        <v>#DIV/0!</v>
      </c>
      <c r="C12" t="s">
        <v>45</v>
      </c>
      <c r="F12" s="1">
        <v>21610</v>
      </c>
      <c r="G12">
        <f t="shared" si="0"/>
        <v>3</v>
      </c>
      <c r="H12" s="7">
        <v>316.64999999999998</v>
      </c>
      <c r="J12" s="7"/>
      <c r="O12" s="10">
        <v>6</v>
      </c>
      <c r="P12" t="s">
        <v>43</v>
      </c>
    </row>
    <row r="13" spans="1:16" ht="18.75" customHeight="1">
      <c r="A13" s="2">
        <v>2</v>
      </c>
      <c r="B13" s="14" t="e">
        <f t="shared" ref="B13:B23" si="1">AVERAGEIF($G$2:$G$502,A13,$J$2:$J$502)</f>
        <v>#DIV/0!</v>
      </c>
      <c r="F13" s="1">
        <v>21641</v>
      </c>
      <c r="G13">
        <f t="shared" si="0"/>
        <v>4</v>
      </c>
      <c r="H13" s="7">
        <v>317.72000000000003</v>
      </c>
      <c r="J13" s="7"/>
      <c r="P13" t="s">
        <v>31</v>
      </c>
    </row>
    <row r="14" spans="1:16" ht="18.75" customHeight="1">
      <c r="A14" s="2">
        <v>3</v>
      </c>
      <c r="B14" s="14">
        <f t="shared" si="1"/>
        <v>5.1390014576635963</v>
      </c>
      <c r="F14" s="1">
        <v>21671</v>
      </c>
      <c r="G14">
        <f t="shared" si="0"/>
        <v>5</v>
      </c>
      <c r="H14" s="7">
        <v>318.29000000000002</v>
      </c>
      <c r="J14" s="7"/>
      <c r="O14" s="10">
        <v>7</v>
      </c>
      <c r="P14" t="s">
        <v>32</v>
      </c>
    </row>
    <row r="15" spans="1:16" ht="18.75" customHeight="1">
      <c r="A15" s="2">
        <v>4</v>
      </c>
      <c r="B15" s="14" t="e">
        <f t="shared" si="1"/>
        <v>#DIV/0!</v>
      </c>
      <c r="F15" s="1">
        <v>21702</v>
      </c>
      <c r="G15">
        <f t="shared" si="0"/>
        <v>6</v>
      </c>
      <c r="H15" s="7">
        <v>318.14999999999998</v>
      </c>
      <c r="J15" s="7"/>
      <c r="O15" s="10"/>
      <c r="P15" t="s">
        <v>33</v>
      </c>
    </row>
    <row r="16" spans="1:16" ht="18.75" customHeight="1">
      <c r="A16" s="2">
        <v>5</v>
      </c>
      <c r="B16" s="14" t="e">
        <f t="shared" si="1"/>
        <v>#DIV/0!</v>
      </c>
      <c r="F16" s="1">
        <v>21732</v>
      </c>
      <c r="G16">
        <f t="shared" si="0"/>
        <v>7</v>
      </c>
      <c r="H16" s="7">
        <v>316.54000000000002</v>
      </c>
      <c r="J16" s="7"/>
      <c r="O16" s="10">
        <v>8</v>
      </c>
      <c r="P16" t="s">
        <v>13</v>
      </c>
    </row>
    <row r="17" spans="1:16" ht="18.75" customHeight="1">
      <c r="A17" s="2">
        <v>6</v>
      </c>
      <c r="B17" s="14" t="e">
        <f t="shared" si="1"/>
        <v>#DIV/0!</v>
      </c>
      <c r="F17" s="1">
        <v>21763</v>
      </c>
      <c r="G17">
        <f t="shared" si="0"/>
        <v>8</v>
      </c>
      <c r="H17" s="7">
        <v>314.8</v>
      </c>
      <c r="J17" s="7"/>
      <c r="O17" s="10">
        <v>9</v>
      </c>
      <c r="P17" t="s">
        <v>37</v>
      </c>
    </row>
    <row r="18" spans="1:16" ht="18.75" customHeight="1">
      <c r="A18" s="2">
        <v>7</v>
      </c>
      <c r="B18" s="14" t="e">
        <f t="shared" si="1"/>
        <v>#DIV/0!</v>
      </c>
      <c r="F18" s="1">
        <v>21794</v>
      </c>
      <c r="G18">
        <f t="shared" si="0"/>
        <v>9</v>
      </c>
      <c r="H18" s="7">
        <v>313.83999999999997</v>
      </c>
      <c r="J18" s="7"/>
      <c r="O18" s="10"/>
      <c r="P18" t="s">
        <v>34</v>
      </c>
    </row>
    <row r="19" spans="1:16" ht="18.75" customHeight="1">
      <c r="A19" s="2">
        <v>8</v>
      </c>
      <c r="B19" s="14" t="e">
        <f t="shared" si="1"/>
        <v>#DIV/0!</v>
      </c>
      <c r="F19" s="1">
        <v>21824</v>
      </c>
      <c r="G19">
        <f t="shared" si="0"/>
        <v>10</v>
      </c>
      <c r="H19" s="7">
        <v>313.33</v>
      </c>
      <c r="J19" s="7"/>
      <c r="O19" s="10">
        <v>10</v>
      </c>
      <c r="P19" t="s">
        <v>13</v>
      </c>
    </row>
    <row r="20" spans="1:16" ht="18.75" customHeight="1">
      <c r="A20" s="2">
        <v>9</v>
      </c>
      <c r="B20" s="14" t="e">
        <f t="shared" si="1"/>
        <v>#DIV/0!</v>
      </c>
      <c r="F20" s="1">
        <v>21855</v>
      </c>
      <c r="G20">
        <f t="shared" si="0"/>
        <v>11</v>
      </c>
      <c r="H20" s="7">
        <v>314.81</v>
      </c>
      <c r="J20" s="7"/>
    </row>
    <row r="21" spans="1:16" ht="18.75" customHeight="1">
      <c r="A21" s="2">
        <v>10</v>
      </c>
      <c r="B21" s="14" t="e">
        <f t="shared" si="1"/>
        <v>#DIV/0!</v>
      </c>
      <c r="F21" s="1">
        <v>21885</v>
      </c>
      <c r="G21">
        <f t="shared" si="0"/>
        <v>12</v>
      </c>
      <c r="H21" s="7">
        <v>315.58</v>
      </c>
      <c r="J21" s="7"/>
      <c r="O21" t="s">
        <v>42</v>
      </c>
    </row>
    <row r="22" spans="1:16" ht="18.75" customHeight="1">
      <c r="A22" s="2">
        <v>11</v>
      </c>
      <c r="B22" s="14" t="e">
        <f t="shared" si="1"/>
        <v>#DIV/0!</v>
      </c>
      <c r="F22" s="1">
        <v>21916</v>
      </c>
      <c r="G22">
        <f t="shared" si="0"/>
        <v>1</v>
      </c>
      <c r="H22" s="7">
        <v>316.43</v>
      </c>
      <c r="J22" s="7"/>
    </row>
    <row r="23" spans="1:16" ht="18.75" customHeight="1">
      <c r="A23" s="2">
        <v>12</v>
      </c>
      <c r="B23" s="15" t="e">
        <f t="shared" si="1"/>
        <v>#DIV/0!</v>
      </c>
      <c r="F23" s="1">
        <v>21947</v>
      </c>
      <c r="G23">
        <f t="shared" si="0"/>
        <v>2</v>
      </c>
      <c r="H23" s="7">
        <v>316.98</v>
      </c>
      <c r="J23" s="7"/>
    </row>
    <row r="24" spans="1:16" ht="18.75" customHeight="1">
      <c r="A24" s="4">
        <v>13</v>
      </c>
      <c r="B24" s="20" t="e">
        <f>B12</f>
        <v>#DIV/0!</v>
      </c>
      <c r="C24" s="19" t="s">
        <v>36</v>
      </c>
      <c r="D24" s="5"/>
      <c r="F24" s="1">
        <v>21976</v>
      </c>
      <c r="G24">
        <f t="shared" si="0"/>
        <v>3</v>
      </c>
      <c r="H24" s="7">
        <v>317.58</v>
      </c>
      <c r="J24" s="7"/>
    </row>
    <row r="25" spans="1:16" ht="18.75" customHeight="1">
      <c r="A25" s="2" t="s">
        <v>7</v>
      </c>
      <c r="B25" s="12" t="e">
        <f>SUM(B12:B23)</f>
        <v>#DIV/0!</v>
      </c>
      <c r="C25" s="11"/>
      <c r="F25" s="1">
        <v>22007</v>
      </c>
      <c r="G25">
        <f t="shared" si="0"/>
        <v>4</v>
      </c>
      <c r="H25" s="7">
        <v>319.02999999999997</v>
      </c>
      <c r="J25" s="7"/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J26" s="7"/>
    </row>
    <row r="27" spans="1:16" ht="18.75" customHeight="1">
      <c r="A27" s="2" t="s">
        <v>11</v>
      </c>
      <c r="B27" s="12">
        <f>SUMSQ(M2:M742)/COUNT(M2:M742)</f>
        <v>0</v>
      </c>
      <c r="F27" s="1">
        <v>22068</v>
      </c>
      <c r="G27">
        <f t="shared" si="0"/>
        <v>6</v>
      </c>
      <c r="H27" s="7">
        <v>319.58</v>
      </c>
      <c r="J27" s="7"/>
    </row>
    <row r="28" spans="1:16" ht="18.75" customHeight="1">
      <c r="F28" s="1">
        <v>22098</v>
      </c>
      <c r="G28">
        <f t="shared" si="0"/>
        <v>7</v>
      </c>
      <c r="H28" s="7">
        <v>318.18</v>
      </c>
      <c r="J28" s="7"/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J29" s="7"/>
    </row>
    <row r="30" spans="1:16" ht="18.75" customHeight="1">
      <c r="F30" s="1">
        <v>22160</v>
      </c>
      <c r="G30">
        <f t="shared" si="0"/>
        <v>9</v>
      </c>
      <c r="H30" s="7">
        <v>314.17</v>
      </c>
      <c r="J30" s="7"/>
    </row>
    <row r="31" spans="1:16" ht="18.75" customHeight="1">
      <c r="F31" s="1">
        <v>22190</v>
      </c>
      <c r="G31">
        <f t="shared" si="0"/>
        <v>10</v>
      </c>
      <c r="H31" s="7">
        <v>313.83</v>
      </c>
      <c r="J31" s="7"/>
    </row>
    <row r="32" spans="1:16" ht="18.75" customHeight="1">
      <c r="F32" s="1">
        <v>22221</v>
      </c>
      <c r="G32">
        <f t="shared" si="0"/>
        <v>11</v>
      </c>
      <c r="H32" s="7">
        <v>315</v>
      </c>
      <c r="J32" s="7"/>
    </row>
    <row r="33" spans="6:10" ht="18.75" customHeight="1">
      <c r="F33" s="1">
        <v>22251</v>
      </c>
      <c r="G33">
        <f t="shared" si="0"/>
        <v>12</v>
      </c>
      <c r="H33" s="7">
        <v>316.19</v>
      </c>
      <c r="J33" s="7"/>
    </row>
    <row r="34" spans="6:10" ht="18.75" customHeight="1">
      <c r="F34" s="1">
        <v>22282</v>
      </c>
      <c r="G34">
        <f t="shared" si="0"/>
        <v>1</v>
      </c>
      <c r="H34" s="7">
        <v>316.89999999999998</v>
      </c>
      <c r="J34" s="7"/>
    </row>
    <row r="35" spans="6:10" ht="18.75" customHeight="1">
      <c r="F35" s="1">
        <v>22313</v>
      </c>
      <c r="G35">
        <f t="shared" si="0"/>
        <v>2</v>
      </c>
      <c r="H35" s="7">
        <v>317.7</v>
      </c>
      <c r="J35" s="7"/>
    </row>
    <row r="36" spans="6:10" ht="18.75" customHeight="1">
      <c r="F36" s="1">
        <v>22341</v>
      </c>
      <c r="G36">
        <f t="shared" si="0"/>
        <v>3</v>
      </c>
      <c r="H36" s="7">
        <v>318.54000000000002</v>
      </c>
      <c r="J36" s="7"/>
    </row>
    <row r="37" spans="6:10" ht="18.75" customHeight="1">
      <c r="F37" s="1">
        <v>22372</v>
      </c>
      <c r="G37">
        <f t="shared" si="0"/>
        <v>4</v>
      </c>
      <c r="H37" s="7">
        <v>319.48</v>
      </c>
      <c r="J37" s="7"/>
    </row>
    <row r="38" spans="6:10" ht="18.75" customHeight="1">
      <c r="F38" s="1">
        <v>22402</v>
      </c>
      <c r="G38">
        <f t="shared" si="0"/>
        <v>5</v>
      </c>
      <c r="H38" s="7">
        <v>320.58</v>
      </c>
      <c r="J38" s="7"/>
    </row>
    <row r="39" spans="6:10" ht="18.75" customHeight="1">
      <c r="F39" s="1">
        <v>22433</v>
      </c>
      <c r="G39">
        <f t="shared" si="0"/>
        <v>6</v>
      </c>
      <c r="H39" s="7">
        <v>319.77</v>
      </c>
      <c r="J39" s="7"/>
    </row>
    <row r="40" spans="6:10" ht="18.75" customHeight="1">
      <c r="F40" s="1">
        <v>22463</v>
      </c>
      <c r="G40">
        <f t="shared" si="0"/>
        <v>7</v>
      </c>
      <c r="H40" s="7">
        <v>318.57</v>
      </c>
      <c r="J40" s="7"/>
    </row>
    <row r="41" spans="6:10" ht="18.75" customHeight="1">
      <c r="F41" s="1">
        <v>22494</v>
      </c>
      <c r="G41">
        <f t="shared" si="0"/>
        <v>8</v>
      </c>
      <c r="H41" s="7">
        <v>316.79000000000002</v>
      </c>
      <c r="J41" s="7"/>
    </row>
    <row r="42" spans="6:10" ht="18.75" customHeight="1">
      <c r="F42" s="1">
        <v>22525</v>
      </c>
      <c r="G42">
        <f t="shared" si="0"/>
        <v>9</v>
      </c>
      <c r="H42" s="7">
        <v>314.99</v>
      </c>
      <c r="J42" s="7"/>
    </row>
    <row r="43" spans="6:10" ht="18.75" customHeight="1">
      <c r="F43" s="1">
        <v>22555</v>
      </c>
      <c r="G43">
        <f t="shared" si="0"/>
        <v>10</v>
      </c>
      <c r="H43" s="7">
        <v>315.31</v>
      </c>
      <c r="J43" s="7"/>
    </row>
    <row r="44" spans="6:10" ht="18.75" customHeight="1">
      <c r="F44" s="1">
        <v>22586</v>
      </c>
      <c r="G44">
        <f t="shared" si="0"/>
        <v>11</v>
      </c>
      <c r="H44" s="7">
        <v>316.10000000000002</v>
      </c>
      <c r="J44" s="7"/>
    </row>
    <row r="45" spans="6:10" ht="18.75" customHeight="1">
      <c r="F45" s="1">
        <v>22616</v>
      </c>
      <c r="G45">
        <f t="shared" si="0"/>
        <v>12</v>
      </c>
      <c r="H45" s="7">
        <v>317.01</v>
      </c>
      <c r="J45" s="7"/>
    </row>
    <row r="46" spans="6:10" ht="18.75" customHeight="1">
      <c r="F46" s="1">
        <v>22647</v>
      </c>
      <c r="G46">
        <f t="shared" si="0"/>
        <v>1</v>
      </c>
      <c r="H46" s="7">
        <v>317.94</v>
      </c>
      <c r="J46" s="7"/>
    </row>
    <row r="47" spans="6:10" ht="18.75" customHeight="1">
      <c r="F47" s="1">
        <v>22678</v>
      </c>
      <c r="G47">
        <f t="shared" si="0"/>
        <v>2</v>
      </c>
      <c r="H47" s="7">
        <v>318.55</v>
      </c>
      <c r="J47" s="7"/>
    </row>
    <row r="48" spans="6:10" ht="18.75" customHeight="1">
      <c r="F48" s="1">
        <v>22706</v>
      </c>
      <c r="G48">
        <f t="shared" si="0"/>
        <v>3</v>
      </c>
      <c r="H48" s="7">
        <v>319.68</v>
      </c>
      <c r="J48" s="7"/>
    </row>
    <row r="49" spans="6:10" ht="18.75" customHeight="1">
      <c r="F49" s="1">
        <v>22737</v>
      </c>
      <c r="G49">
        <f t="shared" si="0"/>
        <v>4</v>
      </c>
      <c r="H49" s="7">
        <v>320.57</v>
      </c>
      <c r="J49" s="7"/>
    </row>
    <row r="50" spans="6:10" ht="18.75" customHeight="1">
      <c r="F50" s="1">
        <v>22767</v>
      </c>
      <c r="G50">
        <f t="shared" si="0"/>
        <v>5</v>
      </c>
      <c r="H50" s="7">
        <v>321.02</v>
      </c>
      <c r="J50" s="7"/>
    </row>
    <row r="51" spans="6:10" ht="18.75" customHeight="1">
      <c r="F51" s="1">
        <v>22798</v>
      </c>
      <c r="G51">
        <f t="shared" si="0"/>
        <v>6</v>
      </c>
      <c r="H51" s="7">
        <v>320.62</v>
      </c>
      <c r="J51" s="7"/>
    </row>
    <row r="52" spans="6:10" ht="18.75" customHeight="1">
      <c r="F52" s="1">
        <v>22828</v>
      </c>
      <c r="G52">
        <f t="shared" si="0"/>
        <v>7</v>
      </c>
      <c r="H52" s="7">
        <v>319.61</v>
      </c>
      <c r="J52" s="7"/>
    </row>
    <row r="53" spans="6:10" ht="18.75" customHeight="1">
      <c r="F53" s="1">
        <v>22859</v>
      </c>
      <c r="G53">
        <f t="shared" si="0"/>
        <v>8</v>
      </c>
      <c r="H53" s="7">
        <v>317.39999999999998</v>
      </c>
      <c r="J53" s="7"/>
    </row>
    <row r="54" spans="6:10" ht="18.75" customHeight="1">
      <c r="F54" s="1">
        <v>22890</v>
      </c>
      <c r="G54">
        <f t="shared" si="0"/>
        <v>9</v>
      </c>
      <c r="H54" s="7">
        <v>316.25</v>
      </c>
      <c r="J54" s="7"/>
    </row>
    <row r="55" spans="6:10" ht="18.75" customHeight="1">
      <c r="F55" s="1">
        <v>22920</v>
      </c>
      <c r="G55">
        <f t="shared" si="0"/>
        <v>10</v>
      </c>
      <c r="H55" s="7">
        <v>315.42</v>
      </c>
      <c r="J55" s="7"/>
    </row>
    <row r="56" spans="6:10" ht="18.75" customHeight="1">
      <c r="F56" s="1">
        <v>22951</v>
      </c>
      <c r="G56">
        <f t="shared" si="0"/>
        <v>11</v>
      </c>
      <c r="H56" s="7">
        <v>316.69</v>
      </c>
      <c r="J56" s="7"/>
    </row>
    <row r="57" spans="6:10" ht="18.75" customHeight="1">
      <c r="F57" s="1">
        <v>22981</v>
      </c>
      <c r="G57">
        <f t="shared" si="0"/>
        <v>12</v>
      </c>
      <c r="H57" s="7">
        <v>317.7</v>
      </c>
      <c r="J57" s="7"/>
    </row>
    <row r="58" spans="6:10" ht="18.75" customHeight="1">
      <c r="F58" s="1">
        <v>23012</v>
      </c>
      <c r="G58">
        <f t="shared" si="0"/>
        <v>1</v>
      </c>
      <c r="H58" s="7">
        <v>318.74</v>
      </c>
      <c r="J58" s="7"/>
    </row>
    <row r="59" spans="6:10" ht="18.75" customHeight="1">
      <c r="F59" s="1">
        <v>23043</v>
      </c>
      <c r="G59">
        <f t="shared" si="0"/>
        <v>2</v>
      </c>
      <c r="H59" s="7">
        <v>319.07</v>
      </c>
      <c r="J59" s="7"/>
    </row>
    <row r="60" spans="6:10" ht="18.75" customHeight="1">
      <c r="F60" s="1">
        <v>23071</v>
      </c>
      <c r="G60">
        <f t="shared" si="0"/>
        <v>3</v>
      </c>
      <c r="H60" s="7">
        <v>319.86</v>
      </c>
      <c r="J60" s="7"/>
    </row>
    <row r="61" spans="6:10" ht="18.75" customHeight="1">
      <c r="F61" s="1">
        <v>23102</v>
      </c>
      <c r="G61">
        <f t="shared" si="0"/>
        <v>4</v>
      </c>
      <c r="H61" s="7">
        <v>321.38</v>
      </c>
      <c r="J61" s="7"/>
    </row>
    <row r="62" spans="6:10" ht="18.75" customHeight="1">
      <c r="F62" s="1">
        <v>23132</v>
      </c>
      <c r="G62">
        <f t="shared" si="0"/>
        <v>5</v>
      </c>
      <c r="H62" s="7">
        <v>322.25</v>
      </c>
      <c r="J62" s="7"/>
    </row>
    <row r="63" spans="6:10" ht="18.75" customHeight="1">
      <c r="F63" s="1">
        <v>23163</v>
      </c>
      <c r="G63">
        <f t="shared" si="0"/>
        <v>6</v>
      </c>
      <c r="H63" s="7">
        <v>321.48</v>
      </c>
      <c r="J63" s="7"/>
    </row>
    <row r="64" spans="6:10" ht="18.75" customHeight="1">
      <c r="F64" s="1">
        <v>23193</v>
      </c>
      <c r="G64">
        <f t="shared" si="0"/>
        <v>7</v>
      </c>
      <c r="H64" s="7">
        <v>319.74</v>
      </c>
      <c r="J64" s="7"/>
    </row>
    <row r="65" spans="6:10" ht="18.75" customHeight="1">
      <c r="F65" s="1">
        <v>23224</v>
      </c>
      <c r="G65">
        <f t="shared" si="0"/>
        <v>8</v>
      </c>
      <c r="H65" s="7">
        <v>317.77</v>
      </c>
      <c r="J65" s="7"/>
    </row>
    <row r="66" spans="6:10" ht="18.75" customHeight="1">
      <c r="F66" s="1">
        <v>23255</v>
      </c>
      <c r="G66">
        <f t="shared" si="0"/>
        <v>9</v>
      </c>
      <c r="H66" s="7">
        <v>316.20999999999998</v>
      </c>
      <c r="J66" s="7"/>
    </row>
    <row r="67" spans="6:10" ht="18.75" customHeight="1">
      <c r="F67" s="1">
        <v>23285</v>
      </c>
      <c r="G67">
        <f t="shared" ref="G67:G130" si="2">MONTH(F67)</f>
        <v>10</v>
      </c>
      <c r="H67" s="7">
        <v>315.99</v>
      </c>
      <c r="J67" s="7"/>
    </row>
    <row r="68" spans="6:10" ht="18.75" customHeight="1">
      <c r="F68" s="1">
        <v>23316</v>
      </c>
      <c r="G68">
        <f t="shared" si="2"/>
        <v>11</v>
      </c>
      <c r="H68" s="7">
        <v>317.07</v>
      </c>
      <c r="J68" s="7"/>
    </row>
    <row r="69" spans="6:10" ht="18.75" customHeight="1">
      <c r="F69" s="1">
        <v>23346</v>
      </c>
      <c r="G69">
        <f t="shared" si="2"/>
        <v>12</v>
      </c>
      <c r="H69" s="7">
        <v>318.35000000000002</v>
      </c>
      <c r="J69" s="7"/>
    </row>
    <row r="70" spans="6:10" ht="18.75" customHeight="1">
      <c r="F70" s="1">
        <v>23377</v>
      </c>
      <c r="G70">
        <f t="shared" si="2"/>
        <v>1</v>
      </c>
      <c r="H70" s="7">
        <v>319.57</v>
      </c>
      <c r="J70" s="7"/>
    </row>
    <row r="71" spans="6:10" ht="18.75" customHeight="1">
      <c r="F71" s="1">
        <v>23498</v>
      </c>
      <c r="G71">
        <f t="shared" si="2"/>
        <v>5</v>
      </c>
      <c r="H71" s="7">
        <v>322.26</v>
      </c>
      <c r="J71" s="7"/>
    </row>
    <row r="72" spans="6:10" ht="18.75" customHeight="1">
      <c r="F72" s="1">
        <v>23529</v>
      </c>
      <c r="G72">
        <f t="shared" si="2"/>
        <v>6</v>
      </c>
      <c r="H72" s="7">
        <v>321.89</v>
      </c>
      <c r="J72" s="7"/>
    </row>
    <row r="73" spans="6:10" ht="18.75" customHeight="1">
      <c r="F73" s="1">
        <v>23559</v>
      </c>
      <c r="G73">
        <f t="shared" si="2"/>
        <v>7</v>
      </c>
      <c r="H73" s="7">
        <v>320.44</v>
      </c>
      <c r="J73" s="7"/>
    </row>
    <row r="74" spans="6:10" ht="18.75" customHeight="1">
      <c r="F74" s="1">
        <v>23590</v>
      </c>
      <c r="G74">
        <f t="shared" si="2"/>
        <v>8</v>
      </c>
      <c r="H74" s="7">
        <v>318.69</v>
      </c>
      <c r="J74" s="7"/>
    </row>
    <row r="75" spans="6:10" ht="18.75" customHeight="1">
      <c r="F75" s="1">
        <v>23621</v>
      </c>
      <c r="G75">
        <f t="shared" si="2"/>
        <v>9</v>
      </c>
      <c r="H75" s="7">
        <v>316.7</v>
      </c>
      <c r="J75" s="7"/>
    </row>
    <row r="76" spans="6:10" ht="18.75" customHeight="1">
      <c r="F76" s="1">
        <v>23651</v>
      </c>
      <c r="G76">
        <f t="shared" si="2"/>
        <v>10</v>
      </c>
      <c r="H76" s="7">
        <v>316.87</v>
      </c>
      <c r="J76" s="7"/>
    </row>
    <row r="77" spans="6:10" ht="18.75" customHeight="1">
      <c r="F77" s="1">
        <v>23682</v>
      </c>
      <c r="G77">
        <f t="shared" si="2"/>
        <v>11</v>
      </c>
      <c r="H77" s="7">
        <v>317.68</v>
      </c>
      <c r="J77" s="7"/>
    </row>
    <row r="78" spans="6:10" ht="18.75" customHeight="1">
      <c r="F78" s="1">
        <v>23712</v>
      </c>
      <c r="G78">
        <f t="shared" si="2"/>
        <v>12</v>
      </c>
      <c r="H78" s="7">
        <v>318.70999999999998</v>
      </c>
      <c r="J78" s="7"/>
    </row>
    <row r="79" spans="6:10" ht="18.75" customHeight="1">
      <c r="F79" s="1">
        <v>23743</v>
      </c>
      <c r="G79">
        <f t="shared" si="2"/>
        <v>1</v>
      </c>
      <c r="H79" s="7">
        <v>319.44</v>
      </c>
      <c r="J79" s="7"/>
    </row>
    <row r="80" spans="6:10" ht="18.75" customHeight="1">
      <c r="F80" s="1">
        <v>23774</v>
      </c>
      <c r="G80">
        <f t="shared" si="2"/>
        <v>2</v>
      </c>
      <c r="H80" s="7">
        <v>320.44</v>
      </c>
      <c r="J80" s="7"/>
    </row>
    <row r="81" spans="6:10" ht="18.75" customHeight="1">
      <c r="F81" s="1">
        <v>23802</v>
      </c>
      <c r="G81">
        <f t="shared" si="2"/>
        <v>3</v>
      </c>
      <c r="H81" s="7">
        <v>320.89</v>
      </c>
      <c r="J81" s="7"/>
    </row>
    <row r="82" spans="6:10" ht="18.75" customHeight="1">
      <c r="F82" s="1">
        <v>23833</v>
      </c>
      <c r="G82">
        <f t="shared" si="2"/>
        <v>4</v>
      </c>
      <c r="H82" s="7">
        <v>322.14</v>
      </c>
      <c r="J82" s="7"/>
    </row>
    <row r="83" spans="6:10" ht="18.75" customHeight="1">
      <c r="F83" s="1">
        <v>23863</v>
      </c>
      <c r="G83">
        <f t="shared" si="2"/>
        <v>5</v>
      </c>
      <c r="H83" s="7">
        <v>322.17</v>
      </c>
      <c r="J83" s="7"/>
    </row>
    <row r="84" spans="6:10" ht="18.75" customHeight="1">
      <c r="F84" s="1">
        <v>23894</v>
      </c>
      <c r="G84">
        <f t="shared" si="2"/>
        <v>6</v>
      </c>
      <c r="H84" s="7">
        <v>321.87</v>
      </c>
      <c r="J84" s="7"/>
    </row>
    <row r="85" spans="6:10" ht="18.75" customHeight="1">
      <c r="F85" s="1">
        <v>23924</v>
      </c>
      <c r="G85">
        <f t="shared" si="2"/>
        <v>7</v>
      </c>
      <c r="H85" s="7">
        <v>321.20999999999998</v>
      </c>
      <c r="J85" s="7"/>
    </row>
    <row r="86" spans="6:10" ht="18.75" customHeight="1">
      <c r="F86" s="1">
        <v>23955</v>
      </c>
      <c r="G86">
        <f t="shared" si="2"/>
        <v>8</v>
      </c>
      <c r="H86" s="7">
        <v>318.87</v>
      </c>
      <c r="J86" s="7"/>
    </row>
    <row r="87" spans="6:10" ht="18.75" customHeight="1">
      <c r="F87" s="1">
        <v>23986</v>
      </c>
      <c r="G87">
        <f t="shared" si="2"/>
        <v>9</v>
      </c>
      <c r="H87" s="7">
        <v>317.81</v>
      </c>
      <c r="J87" s="7"/>
    </row>
    <row r="88" spans="6:10" ht="18.75" customHeight="1">
      <c r="F88" s="1">
        <v>24016</v>
      </c>
      <c r="G88">
        <f t="shared" si="2"/>
        <v>10</v>
      </c>
      <c r="H88" s="7">
        <v>317.3</v>
      </c>
      <c r="J88" s="7"/>
    </row>
    <row r="89" spans="6:10" ht="18.75" customHeight="1">
      <c r="F89" s="1">
        <v>24047</v>
      </c>
      <c r="G89">
        <f t="shared" si="2"/>
        <v>11</v>
      </c>
      <c r="H89" s="7">
        <v>318.87</v>
      </c>
      <c r="J89" s="7"/>
    </row>
    <row r="90" spans="6:10" ht="18.75" customHeight="1">
      <c r="F90" s="1">
        <v>24077</v>
      </c>
      <c r="G90">
        <f t="shared" si="2"/>
        <v>12</v>
      </c>
      <c r="H90" s="7">
        <v>319.42</v>
      </c>
      <c r="J90" s="7"/>
    </row>
    <row r="91" spans="6:10" ht="18.75" customHeight="1">
      <c r="F91" s="1">
        <v>24108</v>
      </c>
      <c r="G91">
        <f t="shared" si="2"/>
        <v>1</v>
      </c>
      <c r="H91" s="7">
        <v>320.62</v>
      </c>
      <c r="J91" s="7"/>
    </row>
    <row r="92" spans="6:10" ht="18.75" customHeight="1">
      <c r="F92" s="1">
        <v>24139</v>
      </c>
      <c r="G92">
        <f t="shared" si="2"/>
        <v>2</v>
      </c>
      <c r="H92" s="7">
        <v>321.60000000000002</v>
      </c>
      <c r="J92" s="7"/>
    </row>
    <row r="93" spans="6:10" ht="18.75" customHeight="1">
      <c r="F93" s="1">
        <v>24167</v>
      </c>
      <c r="G93">
        <f t="shared" si="2"/>
        <v>3</v>
      </c>
      <c r="H93" s="7">
        <v>322.39</v>
      </c>
      <c r="J93" s="7"/>
    </row>
    <row r="94" spans="6:10" ht="18.75" customHeight="1">
      <c r="F94" s="1">
        <v>24198</v>
      </c>
      <c r="G94">
        <f t="shared" si="2"/>
        <v>4</v>
      </c>
      <c r="H94" s="7">
        <v>323.7</v>
      </c>
      <c r="J94" s="7"/>
    </row>
    <row r="95" spans="6:10" ht="18.75" customHeight="1">
      <c r="F95" s="1">
        <v>24228</v>
      </c>
      <c r="G95">
        <f t="shared" si="2"/>
        <v>5</v>
      </c>
      <c r="H95" s="7">
        <v>324.08</v>
      </c>
      <c r="J95" s="7"/>
    </row>
    <row r="96" spans="6:10" ht="18.75" customHeight="1">
      <c r="F96" s="1">
        <v>24259</v>
      </c>
      <c r="G96">
        <f t="shared" si="2"/>
        <v>6</v>
      </c>
      <c r="H96" s="7">
        <v>323.75</v>
      </c>
      <c r="J96" s="7"/>
    </row>
    <row r="97" spans="6:10" ht="18.75" customHeight="1">
      <c r="F97" s="1">
        <v>24289</v>
      </c>
      <c r="G97">
        <f t="shared" si="2"/>
        <v>7</v>
      </c>
      <c r="H97" s="7">
        <v>322.38</v>
      </c>
      <c r="J97" s="7"/>
    </row>
    <row r="98" spans="6:10" ht="18.75" customHeight="1">
      <c r="F98" s="1">
        <v>24320</v>
      </c>
      <c r="G98">
        <f t="shared" si="2"/>
        <v>8</v>
      </c>
      <c r="H98" s="7">
        <v>320.36</v>
      </c>
      <c r="J98" s="7"/>
    </row>
    <row r="99" spans="6:10" ht="18.75" customHeight="1">
      <c r="F99" s="1">
        <v>24351</v>
      </c>
      <c r="G99">
        <f t="shared" si="2"/>
        <v>9</v>
      </c>
      <c r="H99" s="7">
        <v>318.64</v>
      </c>
      <c r="J99" s="7"/>
    </row>
    <row r="100" spans="6:10" ht="18.75" customHeight="1">
      <c r="F100" s="1">
        <v>24381</v>
      </c>
      <c r="G100">
        <f t="shared" si="2"/>
        <v>10</v>
      </c>
      <c r="H100" s="7">
        <v>318.10000000000002</v>
      </c>
      <c r="J100" s="7"/>
    </row>
    <row r="101" spans="6:10" ht="18.75" customHeight="1">
      <c r="F101" s="1">
        <v>24412</v>
      </c>
      <c r="G101">
        <f t="shared" si="2"/>
        <v>11</v>
      </c>
      <c r="H101" s="7">
        <v>319.77999999999997</v>
      </c>
      <c r="J101" s="7"/>
    </row>
    <row r="102" spans="6:10" ht="18.75" customHeight="1">
      <c r="F102" s="1">
        <v>24442</v>
      </c>
      <c r="G102">
        <f t="shared" si="2"/>
        <v>12</v>
      </c>
      <c r="H102" s="7">
        <v>321.02999999999997</v>
      </c>
      <c r="J102" s="7"/>
    </row>
    <row r="103" spans="6:10" ht="18.75" customHeight="1">
      <c r="F103" s="1">
        <v>24473</v>
      </c>
      <c r="G103">
        <f t="shared" si="2"/>
        <v>1</v>
      </c>
      <c r="H103" s="7">
        <v>322.33</v>
      </c>
      <c r="J103" s="7"/>
    </row>
    <row r="104" spans="6:10" ht="18.75" customHeight="1">
      <c r="F104" s="1">
        <v>24504</v>
      </c>
      <c r="G104">
        <f t="shared" si="2"/>
        <v>2</v>
      </c>
      <c r="H104" s="7">
        <v>322.5</v>
      </c>
      <c r="J104" s="7"/>
    </row>
    <row r="105" spans="6:10" ht="18.75" customHeight="1">
      <c r="F105" s="1">
        <v>24532</v>
      </c>
      <c r="G105">
        <f t="shared" si="2"/>
        <v>3</v>
      </c>
      <c r="H105" s="7">
        <v>323.04000000000002</v>
      </c>
      <c r="J105" s="7"/>
    </row>
    <row r="106" spans="6:10" ht="18.75" customHeight="1">
      <c r="F106" s="1">
        <v>24563</v>
      </c>
      <c r="G106">
        <f t="shared" si="2"/>
        <v>4</v>
      </c>
      <c r="H106" s="7">
        <v>324.42</v>
      </c>
      <c r="J106" s="7"/>
    </row>
    <row r="107" spans="6:10" ht="18.75" customHeight="1">
      <c r="F107" s="1">
        <v>24593</v>
      </c>
      <c r="G107">
        <f t="shared" si="2"/>
        <v>5</v>
      </c>
      <c r="H107" s="7">
        <v>325</v>
      </c>
      <c r="J107" s="7"/>
    </row>
    <row r="108" spans="6:10" ht="18.75" customHeight="1">
      <c r="F108" s="1">
        <v>24624</v>
      </c>
      <c r="G108">
        <f t="shared" si="2"/>
        <v>6</v>
      </c>
      <c r="H108" s="7">
        <v>324.08999999999997</v>
      </c>
      <c r="J108" s="7"/>
    </row>
    <row r="109" spans="6:10" ht="18.75" customHeight="1">
      <c r="F109" s="1">
        <v>24654</v>
      </c>
      <c r="G109">
        <f t="shared" si="2"/>
        <v>7</v>
      </c>
      <c r="H109" s="7">
        <v>322.54000000000002</v>
      </c>
      <c r="J109" s="7"/>
    </row>
    <row r="110" spans="6:10" ht="18.75" customHeight="1">
      <c r="F110" s="1">
        <v>24685</v>
      </c>
      <c r="G110">
        <f t="shared" si="2"/>
        <v>8</v>
      </c>
      <c r="H110" s="7">
        <v>320.92</v>
      </c>
      <c r="J110" s="7"/>
    </row>
    <row r="111" spans="6:10" ht="18.75" customHeight="1">
      <c r="F111" s="1">
        <v>24716</v>
      </c>
      <c r="G111">
        <f t="shared" si="2"/>
        <v>9</v>
      </c>
      <c r="H111" s="7">
        <v>319.25</v>
      </c>
      <c r="J111" s="7"/>
    </row>
    <row r="112" spans="6:10" ht="18.75" customHeight="1">
      <c r="F112" s="1">
        <v>24746</v>
      </c>
      <c r="G112">
        <f t="shared" si="2"/>
        <v>10</v>
      </c>
      <c r="H112" s="7">
        <v>319.39</v>
      </c>
      <c r="J112" s="7"/>
    </row>
    <row r="113" spans="6:10" ht="18.75" customHeight="1">
      <c r="F113" s="1">
        <v>24777</v>
      </c>
      <c r="G113">
        <f t="shared" si="2"/>
        <v>11</v>
      </c>
      <c r="H113" s="7">
        <v>320.73</v>
      </c>
      <c r="J113" s="7"/>
    </row>
    <row r="114" spans="6:10" ht="18.75" customHeight="1">
      <c r="F114" s="1">
        <v>24807</v>
      </c>
      <c r="G114">
        <f t="shared" si="2"/>
        <v>12</v>
      </c>
      <c r="H114" s="7">
        <v>321.95999999999998</v>
      </c>
      <c r="J114" s="7"/>
    </row>
    <row r="115" spans="6:10" ht="18.75" customHeight="1">
      <c r="F115" s="1">
        <v>24838</v>
      </c>
      <c r="G115">
        <f t="shared" si="2"/>
        <v>1</v>
      </c>
      <c r="H115" s="7">
        <v>322.57</v>
      </c>
      <c r="J115" s="7"/>
    </row>
    <row r="116" spans="6:10" ht="18.75" customHeight="1">
      <c r="F116" s="1">
        <v>24869</v>
      </c>
      <c r="G116">
        <f t="shared" si="2"/>
        <v>2</v>
      </c>
      <c r="H116" s="7">
        <v>323.14999999999998</v>
      </c>
      <c r="J116" s="7"/>
    </row>
    <row r="117" spans="6:10" ht="18.75" customHeight="1">
      <c r="F117" s="1">
        <v>24898</v>
      </c>
      <c r="G117">
        <f t="shared" si="2"/>
        <v>3</v>
      </c>
      <c r="H117" s="7">
        <v>323.89</v>
      </c>
      <c r="J117" s="7"/>
    </row>
    <row r="118" spans="6:10" ht="18.75" customHeight="1">
      <c r="F118" s="1">
        <v>24929</v>
      </c>
      <c r="G118">
        <f t="shared" si="2"/>
        <v>4</v>
      </c>
      <c r="H118" s="7">
        <v>325.02</v>
      </c>
      <c r="J118" s="7"/>
    </row>
    <row r="119" spans="6:10" ht="18.75" customHeight="1">
      <c r="F119" s="1">
        <v>24959</v>
      </c>
      <c r="G119">
        <f t="shared" si="2"/>
        <v>5</v>
      </c>
      <c r="H119" s="7">
        <v>325.57</v>
      </c>
      <c r="J119" s="7"/>
    </row>
    <row r="120" spans="6:10" ht="18.75" customHeight="1">
      <c r="F120" s="1">
        <v>24990</v>
      </c>
      <c r="G120">
        <f t="shared" si="2"/>
        <v>6</v>
      </c>
      <c r="H120" s="7">
        <v>325.36</v>
      </c>
      <c r="J120" s="7"/>
    </row>
    <row r="121" spans="6:10" ht="18.75" customHeight="1">
      <c r="F121" s="1">
        <v>25020</v>
      </c>
      <c r="G121">
        <f t="shared" si="2"/>
        <v>7</v>
      </c>
      <c r="H121" s="7">
        <v>324.14</v>
      </c>
      <c r="J121" s="7"/>
    </row>
    <row r="122" spans="6:10" ht="18.75" customHeight="1">
      <c r="F122" s="1">
        <v>25051</v>
      </c>
      <c r="G122">
        <f t="shared" si="2"/>
        <v>8</v>
      </c>
      <c r="H122" s="7">
        <v>322.11</v>
      </c>
      <c r="J122" s="7"/>
    </row>
    <row r="123" spans="6:10" ht="18.75" customHeight="1">
      <c r="F123" s="1">
        <v>25082</v>
      </c>
      <c r="G123">
        <f t="shared" si="2"/>
        <v>9</v>
      </c>
      <c r="H123" s="7">
        <v>320.33</v>
      </c>
      <c r="J123" s="7"/>
    </row>
    <row r="124" spans="6:10" ht="18.75" customHeight="1">
      <c r="F124" s="1">
        <v>25112</v>
      </c>
      <c r="G124">
        <f t="shared" si="2"/>
        <v>10</v>
      </c>
      <c r="H124" s="7">
        <v>320.25</v>
      </c>
      <c r="J124" s="7"/>
    </row>
    <row r="125" spans="6:10" ht="18.75" customHeight="1">
      <c r="F125" s="1">
        <v>25143</v>
      </c>
      <c r="G125">
        <f t="shared" si="2"/>
        <v>11</v>
      </c>
      <c r="H125" s="7">
        <v>321.32</v>
      </c>
      <c r="J125" s="7"/>
    </row>
    <row r="126" spans="6:10" ht="18.75" customHeight="1">
      <c r="F126" s="1">
        <v>25173</v>
      </c>
      <c r="G126">
        <f t="shared" si="2"/>
        <v>12</v>
      </c>
      <c r="H126" s="7">
        <v>322.89</v>
      </c>
      <c r="J126" s="7"/>
    </row>
    <row r="127" spans="6:10" ht="18.75" customHeight="1">
      <c r="F127" s="1">
        <v>25204</v>
      </c>
      <c r="G127">
        <f t="shared" si="2"/>
        <v>1</v>
      </c>
      <c r="H127" s="7">
        <v>324</v>
      </c>
      <c r="J127" s="7"/>
    </row>
    <row r="128" spans="6:10" ht="18.75" customHeight="1">
      <c r="F128" s="1">
        <v>25235</v>
      </c>
      <c r="G128">
        <f t="shared" si="2"/>
        <v>2</v>
      </c>
      <c r="H128" s="7">
        <v>324.41000000000003</v>
      </c>
      <c r="J128" s="7"/>
    </row>
    <row r="129" spans="6:10" ht="18.75" customHeight="1">
      <c r="F129" s="1">
        <v>25263</v>
      </c>
      <c r="G129">
        <f t="shared" si="2"/>
        <v>3</v>
      </c>
      <c r="H129" s="7">
        <v>325.63</v>
      </c>
      <c r="J129" s="7"/>
    </row>
    <row r="130" spans="6:10" ht="18.75" customHeight="1">
      <c r="F130" s="1">
        <v>25294</v>
      </c>
      <c r="G130">
        <f t="shared" si="2"/>
        <v>4</v>
      </c>
      <c r="H130" s="7">
        <v>326.66000000000003</v>
      </c>
      <c r="J130" s="7"/>
    </row>
    <row r="131" spans="6:10" ht="18.75" customHeight="1">
      <c r="F131" s="1">
        <v>25324</v>
      </c>
      <c r="G131">
        <f t="shared" ref="G131:G194" si="3">MONTH(F131)</f>
        <v>5</v>
      </c>
      <c r="H131" s="7">
        <v>327.38</v>
      </c>
      <c r="J131" s="7"/>
    </row>
    <row r="132" spans="6:10" ht="18.75" customHeight="1">
      <c r="F132" s="1">
        <v>25355</v>
      </c>
      <c r="G132">
        <f t="shared" si="3"/>
        <v>6</v>
      </c>
      <c r="H132" s="7">
        <v>326.70999999999998</v>
      </c>
      <c r="J132" s="7"/>
    </row>
    <row r="133" spans="6:10" ht="18.75" customHeight="1">
      <c r="F133" s="1">
        <v>25385</v>
      </c>
      <c r="G133">
        <f t="shared" si="3"/>
        <v>7</v>
      </c>
      <c r="H133" s="7">
        <v>325.88</v>
      </c>
      <c r="J133" s="7"/>
    </row>
    <row r="134" spans="6:10" ht="18.75" customHeight="1">
      <c r="F134" s="1">
        <v>25416</v>
      </c>
      <c r="G134">
        <f t="shared" si="3"/>
        <v>8</v>
      </c>
      <c r="H134" s="7">
        <v>323.66000000000003</v>
      </c>
      <c r="J134" s="7"/>
    </row>
    <row r="135" spans="6:10" ht="18.75" customHeight="1">
      <c r="F135" s="1">
        <v>25447</v>
      </c>
      <c r="G135">
        <f t="shared" si="3"/>
        <v>9</v>
      </c>
      <c r="H135" s="7">
        <v>322.38</v>
      </c>
      <c r="J135" s="7"/>
    </row>
    <row r="136" spans="6:10" ht="18.75" customHeight="1">
      <c r="F136" s="1">
        <v>25477</v>
      </c>
      <c r="G136">
        <f t="shared" si="3"/>
        <v>10</v>
      </c>
      <c r="H136" s="7">
        <v>321.77999999999997</v>
      </c>
      <c r="J136" s="7"/>
    </row>
    <row r="137" spans="6:10" ht="18.75" customHeight="1">
      <c r="F137" s="1">
        <v>25508</v>
      </c>
      <c r="G137">
        <f t="shared" si="3"/>
        <v>11</v>
      </c>
      <c r="H137" s="7">
        <v>322.85000000000002</v>
      </c>
      <c r="J137" s="7"/>
    </row>
    <row r="138" spans="6:10" ht="18.75" customHeight="1">
      <c r="F138" s="1">
        <v>25538</v>
      </c>
      <c r="G138">
        <f t="shared" si="3"/>
        <v>12</v>
      </c>
      <c r="H138" s="7">
        <v>324.12</v>
      </c>
      <c r="J138" s="7"/>
    </row>
    <row r="139" spans="6:10" ht="18.75" customHeight="1">
      <c r="F139" s="1">
        <v>25569</v>
      </c>
      <c r="G139">
        <f t="shared" si="3"/>
        <v>1</v>
      </c>
      <c r="H139" s="7">
        <v>325.06</v>
      </c>
      <c r="J139" s="7"/>
    </row>
    <row r="140" spans="6:10" ht="18.75" customHeight="1">
      <c r="F140" s="1">
        <v>25600</v>
      </c>
      <c r="G140">
        <f t="shared" si="3"/>
        <v>2</v>
      </c>
      <c r="H140" s="7">
        <v>325.98</v>
      </c>
      <c r="J140" s="7"/>
    </row>
    <row r="141" spans="6:10" ht="18.75" customHeight="1">
      <c r="F141" s="1">
        <v>25628</v>
      </c>
      <c r="G141">
        <f t="shared" si="3"/>
        <v>3</v>
      </c>
      <c r="H141" s="7">
        <v>326.93</v>
      </c>
      <c r="J141" s="7"/>
    </row>
    <row r="142" spans="6:10" ht="18.75" customHeight="1">
      <c r="F142" s="1">
        <v>25659</v>
      </c>
      <c r="G142">
        <f t="shared" si="3"/>
        <v>4</v>
      </c>
      <c r="H142" s="7">
        <v>328.13</v>
      </c>
      <c r="J142" s="7"/>
    </row>
    <row r="143" spans="6:10" ht="18.75" customHeight="1">
      <c r="F143" s="1">
        <v>25689</v>
      </c>
      <c r="G143">
        <f t="shared" si="3"/>
        <v>5</v>
      </c>
      <c r="H143" s="7">
        <v>328.08</v>
      </c>
      <c r="J143" s="7"/>
    </row>
    <row r="144" spans="6:10" ht="18.75" customHeight="1">
      <c r="F144" s="1">
        <v>25720</v>
      </c>
      <c r="G144">
        <f t="shared" si="3"/>
        <v>6</v>
      </c>
      <c r="H144" s="7">
        <v>327.67</v>
      </c>
      <c r="J144" s="7"/>
    </row>
    <row r="145" spans="6:10" ht="18.75" customHeight="1">
      <c r="F145" s="1">
        <v>25750</v>
      </c>
      <c r="G145">
        <f t="shared" si="3"/>
        <v>7</v>
      </c>
      <c r="H145" s="7">
        <v>326.33999999999997</v>
      </c>
      <c r="J145" s="7"/>
    </row>
    <row r="146" spans="6:10" ht="18.75" customHeight="1">
      <c r="F146" s="1">
        <v>25781</v>
      </c>
      <c r="G146">
        <f t="shared" si="3"/>
        <v>8</v>
      </c>
      <c r="H146" s="7">
        <v>324.69</v>
      </c>
      <c r="J146" s="7"/>
    </row>
    <row r="147" spans="6:10" ht="18.75" customHeight="1">
      <c r="F147" s="1">
        <v>25812</v>
      </c>
      <c r="G147">
        <f t="shared" si="3"/>
        <v>9</v>
      </c>
      <c r="H147" s="7">
        <v>323.10000000000002</v>
      </c>
      <c r="J147" s="7"/>
    </row>
    <row r="148" spans="6:10" ht="18.75" customHeight="1">
      <c r="F148" s="1">
        <v>25842</v>
      </c>
      <c r="G148">
        <f t="shared" si="3"/>
        <v>10</v>
      </c>
      <c r="H148" s="7">
        <v>323.06</v>
      </c>
      <c r="J148" s="7"/>
    </row>
    <row r="149" spans="6:10" ht="18.75" customHeight="1">
      <c r="F149" s="1">
        <v>25873</v>
      </c>
      <c r="G149">
        <f t="shared" si="3"/>
        <v>11</v>
      </c>
      <c r="H149" s="7">
        <v>324.01</v>
      </c>
      <c r="J149" s="7"/>
    </row>
    <row r="150" spans="6:10" ht="18.75" customHeight="1">
      <c r="F150" s="1">
        <v>25903</v>
      </c>
      <c r="G150">
        <f t="shared" si="3"/>
        <v>12</v>
      </c>
      <c r="H150" s="7">
        <v>325.13</v>
      </c>
      <c r="J150" s="7"/>
    </row>
    <row r="151" spans="6:10" ht="18.75" customHeight="1">
      <c r="F151" s="1">
        <v>25934</v>
      </c>
      <c r="G151">
        <f t="shared" si="3"/>
        <v>1</v>
      </c>
      <c r="H151" s="7">
        <v>326.17</v>
      </c>
      <c r="J151" s="7"/>
    </row>
    <row r="152" spans="6:10" ht="18.75" customHeight="1">
      <c r="F152" s="1">
        <v>25965</v>
      </c>
      <c r="G152">
        <f t="shared" si="3"/>
        <v>2</v>
      </c>
      <c r="H152" s="7">
        <v>326.68</v>
      </c>
      <c r="J152" s="7"/>
    </row>
    <row r="153" spans="6:10" ht="18.75" customHeight="1">
      <c r="F153" s="1">
        <v>25993</v>
      </c>
      <c r="G153">
        <f t="shared" si="3"/>
        <v>3</v>
      </c>
      <c r="H153" s="7">
        <v>327.17</v>
      </c>
      <c r="J153" s="7"/>
    </row>
    <row r="154" spans="6:10" ht="18.75" customHeight="1">
      <c r="F154" s="1">
        <v>26024</v>
      </c>
      <c r="G154">
        <f t="shared" si="3"/>
        <v>4</v>
      </c>
      <c r="H154" s="7">
        <v>327.79</v>
      </c>
      <c r="J154" s="7"/>
    </row>
    <row r="155" spans="6:10" ht="18.75" customHeight="1">
      <c r="F155" s="1">
        <v>26054</v>
      </c>
      <c r="G155">
        <f t="shared" si="3"/>
        <v>5</v>
      </c>
      <c r="H155" s="7">
        <v>328.93</v>
      </c>
      <c r="J155" s="7"/>
    </row>
    <row r="156" spans="6:10" ht="18.75" customHeight="1">
      <c r="F156" s="1">
        <v>26085</v>
      </c>
      <c r="G156">
        <f t="shared" si="3"/>
        <v>6</v>
      </c>
      <c r="H156" s="7">
        <v>328.57</v>
      </c>
      <c r="J156" s="7"/>
    </row>
    <row r="157" spans="6:10" ht="18.75" customHeight="1">
      <c r="F157" s="1">
        <v>26115</v>
      </c>
      <c r="G157">
        <f t="shared" si="3"/>
        <v>7</v>
      </c>
      <c r="H157" s="7">
        <v>327.36</v>
      </c>
      <c r="J157" s="7"/>
    </row>
    <row r="158" spans="6:10" ht="18.75" customHeight="1">
      <c r="F158" s="1">
        <v>26146</v>
      </c>
      <c r="G158">
        <f t="shared" si="3"/>
        <v>8</v>
      </c>
      <c r="H158" s="7">
        <v>325.43</v>
      </c>
      <c r="J158" s="7"/>
    </row>
    <row r="159" spans="6:10" ht="18.75" customHeight="1">
      <c r="F159" s="1">
        <v>26177</v>
      </c>
      <c r="G159">
        <f t="shared" si="3"/>
        <v>9</v>
      </c>
      <c r="H159" s="7">
        <v>323.36</v>
      </c>
      <c r="J159" s="7"/>
    </row>
    <row r="160" spans="6:10" ht="18.75" customHeight="1">
      <c r="F160" s="1">
        <v>26207</v>
      </c>
      <c r="G160">
        <f t="shared" si="3"/>
        <v>10</v>
      </c>
      <c r="H160" s="7">
        <v>323.56</v>
      </c>
      <c r="J160" s="7"/>
    </row>
    <row r="161" spans="6:10" ht="18.75" customHeight="1">
      <c r="F161" s="1">
        <v>26238</v>
      </c>
      <c r="G161">
        <f t="shared" si="3"/>
        <v>11</v>
      </c>
      <c r="H161" s="7">
        <v>324.8</v>
      </c>
      <c r="J161" s="7"/>
    </row>
    <row r="162" spans="6:10" ht="18.75" customHeight="1">
      <c r="F162" s="1">
        <v>26268</v>
      </c>
      <c r="G162">
        <f t="shared" si="3"/>
        <v>12</v>
      </c>
      <c r="H162" s="7">
        <v>326.01</v>
      </c>
      <c r="J162" s="7"/>
    </row>
    <row r="163" spans="6:10" ht="18.75" customHeight="1">
      <c r="F163" s="1">
        <v>26299</v>
      </c>
      <c r="G163">
        <f t="shared" si="3"/>
        <v>1</v>
      </c>
      <c r="H163" s="7">
        <v>326.77</v>
      </c>
      <c r="J163" s="7"/>
    </row>
    <row r="164" spans="6:10" ht="18.75" customHeight="1">
      <c r="F164" s="1">
        <v>26330</v>
      </c>
      <c r="G164">
        <f t="shared" si="3"/>
        <v>2</v>
      </c>
      <c r="H164" s="7">
        <v>327.63</v>
      </c>
      <c r="J164" s="7"/>
    </row>
    <row r="165" spans="6:10" ht="18.75" customHeight="1">
      <c r="F165" s="1">
        <v>26359</v>
      </c>
      <c r="G165">
        <f t="shared" si="3"/>
        <v>3</v>
      </c>
      <c r="H165" s="7">
        <v>327.75</v>
      </c>
      <c r="J165" s="7"/>
    </row>
    <row r="166" spans="6:10" ht="18.75" customHeight="1">
      <c r="F166" s="1">
        <v>26390</v>
      </c>
      <c r="G166">
        <f t="shared" si="3"/>
        <v>4</v>
      </c>
      <c r="H166" s="7">
        <v>329.72</v>
      </c>
      <c r="J166" s="7"/>
    </row>
    <row r="167" spans="6:10" ht="18.75" customHeight="1">
      <c r="F167" s="1">
        <v>26420</v>
      </c>
      <c r="G167">
        <f t="shared" si="3"/>
        <v>5</v>
      </c>
      <c r="H167" s="7">
        <v>330.07</v>
      </c>
      <c r="J167" s="7"/>
    </row>
    <row r="168" spans="6:10" ht="18.75" customHeight="1">
      <c r="F168" s="1">
        <v>26451</v>
      </c>
      <c r="G168">
        <f t="shared" si="3"/>
        <v>6</v>
      </c>
      <c r="H168" s="7">
        <v>329.09</v>
      </c>
      <c r="J168" s="7"/>
    </row>
    <row r="169" spans="6:10" ht="18.75" customHeight="1">
      <c r="F169" s="1">
        <v>26481</v>
      </c>
      <c r="G169">
        <f t="shared" si="3"/>
        <v>7</v>
      </c>
      <c r="H169" s="7">
        <v>328.04</v>
      </c>
      <c r="J169" s="7"/>
    </row>
    <row r="170" spans="6:10" ht="18.75" customHeight="1">
      <c r="F170" s="1">
        <v>26512</v>
      </c>
      <c r="G170">
        <f t="shared" si="3"/>
        <v>8</v>
      </c>
      <c r="H170" s="7">
        <v>326.32</v>
      </c>
      <c r="J170" s="7"/>
    </row>
    <row r="171" spans="6:10" ht="18.75" customHeight="1">
      <c r="F171" s="1">
        <v>26543</v>
      </c>
      <c r="G171">
        <f t="shared" si="3"/>
        <v>9</v>
      </c>
      <c r="H171" s="7">
        <v>324.83999999999997</v>
      </c>
      <c r="J171" s="7"/>
    </row>
    <row r="172" spans="6:10" ht="18.75" customHeight="1">
      <c r="F172" s="1">
        <v>26573</v>
      </c>
      <c r="G172">
        <f t="shared" si="3"/>
        <v>10</v>
      </c>
      <c r="H172" s="7">
        <v>325.2</v>
      </c>
      <c r="J172" s="7"/>
    </row>
    <row r="173" spans="6:10" ht="18.75" customHeight="1">
      <c r="F173" s="1">
        <v>26604</v>
      </c>
      <c r="G173">
        <f t="shared" si="3"/>
        <v>11</v>
      </c>
      <c r="H173" s="7">
        <v>326.5</v>
      </c>
      <c r="J173" s="7"/>
    </row>
    <row r="174" spans="6:10" ht="18.75" customHeight="1">
      <c r="F174" s="1">
        <v>26634</v>
      </c>
      <c r="G174">
        <f t="shared" si="3"/>
        <v>12</v>
      </c>
      <c r="H174" s="7">
        <v>327.55</v>
      </c>
      <c r="J174" s="7"/>
    </row>
    <row r="175" spans="6:10" ht="18.75" customHeight="1">
      <c r="F175" s="1">
        <v>26665</v>
      </c>
      <c r="G175">
        <f t="shared" si="3"/>
        <v>1</v>
      </c>
      <c r="H175" s="7">
        <v>328.55</v>
      </c>
      <c r="J175" s="7"/>
    </row>
    <row r="176" spans="6:10" ht="18.75" customHeight="1">
      <c r="F176" s="1">
        <v>26696</v>
      </c>
      <c r="G176">
        <f t="shared" si="3"/>
        <v>2</v>
      </c>
      <c r="H176" s="7">
        <v>329.56</v>
      </c>
      <c r="J176" s="7"/>
    </row>
    <row r="177" spans="6:10" ht="18.75" customHeight="1">
      <c r="F177" s="1">
        <v>26724</v>
      </c>
      <c r="G177">
        <f t="shared" si="3"/>
        <v>3</v>
      </c>
      <c r="H177" s="7">
        <v>330.3</v>
      </c>
      <c r="J177" s="7"/>
    </row>
    <row r="178" spans="6:10" ht="18.75" customHeight="1">
      <c r="F178" s="1">
        <v>26755</v>
      </c>
      <c r="G178">
        <f t="shared" si="3"/>
        <v>4</v>
      </c>
      <c r="H178" s="7">
        <v>331.5</v>
      </c>
      <c r="J178" s="7"/>
    </row>
    <row r="179" spans="6:10" ht="18.75" customHeight="1">
      <c r="F179" s="1">
        <v>26785</v>
      </c>
      <c r="G179">
        <f t="shared" si="3"/>
        <v>5</v>
      </c>
      <c r="H179" s="7">
        <v>332.48</v>
      </c>
      <c r="J179" s="7"/>
    </row>
    <row r="180" spans="6:10" ht="18.75" customHeight="1">
      <c r="F180" s="1">
        <v>26816</v>
      </c>
      <c r="G180">
        <f t="shared" si="3"/>
        <v>6</v>
      </c>
      <c r="H180" s="7">
        <v>332.07</v>
      </c>
      <c r="J180" s="7"/>
    </row>
    <row r="181" spans="6:10" ht="18.75" customHeight="1">
      <c r="F181" s="1">
        <v>26846</v>
      </c>
      <c r="G181">
        <f t="shared" si="3"/>
        <v>7</v>
      </c>
      <c r="H181" s="7">
        <v>330.87</v>
      </c>
      <c r="J181" s="7"/>
    </row>
    <row r="182" spans="6:10" ht="18.75" customHeight="1">
      <c r="F182" s="1">
        <v>26877</v>
      </c>
      <c r="G182">
        <f t="shared" si="3"/>
        <v>8</v>
      </c>
      <c r="H182" s="7">
        <v>329.31</v>
      </c>
      <c r="J182" s="7"/>
    </row>
    <row r="183" spans="6:10" ht="18.75" customHeight="1">
      <c r="F183" s="1">
        <v>26908</v>
      </c>
      <c r="G183">
        <f t="shared" si="3"/>
        <v>9</v>
      </c>
      <c r="H183" s="7">
        <v>327.51</v>
      </c>
      <c r="J183" s="7"/>
    </row>
    <row r="184" spans="6:10" ht="18.75" customHeight="1">
      <c r="F184" s="1">
        <v>26938</v>
      </c>
      <c r="G184">
        <f t="shared" si="3"/>
        <v>10</v>
      </c>
      <c r="H184" s="7">
        <v>327.18</v>
      </c>
      <c r="J184" s="7"/>
    </row>
    <row r="185" spans="6:10" ht="18.75" customHeight="1">
      <c r="F185" s="1">
        <v>26969</v>
      </c>
      <c r="G185">
        <f t="shared" si="3"/>
        <v>11</v>
      </c>
      <c r="H185" s="7">
        <v>328.16</v>
      </c>
      <c r="J185" s="7"/>
    </row>
    <row r="186" spans="6:10" ht="18.75" customHeight="1">
      <c r="F186" s="1">
        <v>26999</v>
      </c>
      <c r="G186">
        <f t="shared" si="3"/>
        <v>12</v>
      </c>
      <c r="H186" s="7">
        <v>328.64</v>
      </c>
      <c r="J186" s="7"/>
    </row>
    <row r="187" spans="6:10" ht="18.75" customHeight="1">
      <c r="F187" s="1">
        <v>27030</v>
      </c>
      <c r="G187">
        <f t="shared" si="3"/>
        <v>1</v>
      </c>
      <c r="H187" s="7">
        <v>329.35</v>
      </c>
      <c r="J187" s="7"/>
    </row>
    <row r="188" spans="6:10" ht="18.75" customHeight="1">
      <c r="F188" s="1">
        <v>27061</v>
      </c>
      <c r="G188">
        <f t="shared" si="3"/>
        <v>2</v>
      </c>
      <c r="H188" s="7">
        <v>330.71</v>
      </c>
      <c r="J188" s="7"/>
    </row>
    <row r="189" spans="6:10" ht="18.75" customHeight="1">
      <c r="F189" s="1">
        <v>27089</v>
      </c>
      <c r="G189">
        <f t="shared" si="3"/>
        <v>3</v>
      </c>
      <c r="H189" s="7">
        <v>331.48</v>
      </c>
      <c r="J189" s="7"/>
    </row>
    <row r="190" spans="6:10" ht="18.75" customHeight="1">
      <c r="F190" s="1">
        <v>27120</v>
      </c>
      <c r="G190">
        <f t="shared" si="3"/>
        <v>4</v>
      </c>
      <c r="H190" s="7">
        <v>332.65</v>
      </c>
      <c r="J190" s="7"/>
    </row>
    <row r="191" spans="6:10" ht="18.75" customHeight="1">
      <c r="F191" s="1">
        <v>27150</v>
      </c>
      <c r="G191">
        <f t="shared" si="3"/>
        <v>5</v>
      </c>
      <c r="H191" s="7">
        <v>333.09</v>
      </c>
      <c r="J191" s="7"/>
    </row>
    <row r="192" spans="6:10" ht="18.75" customHeight="1">
      <c r="F192" s="1">
        <v>27181</v>
      </c>
      <c r="G192">
        <f t="shared" si="3"/>
        <v>6</v>
      </c>
      <c r="H192" s="7">
        <v>332.25</v>
      </c>
      <c r="J192" s="7"/>
    </row>
    <row r="193" spans="6:10" ht="18.75" customHeight="1">
      <c r="F193" s="1">
        <v>27211</v>
      </c>
      <c r="G193">
        <f t="shared" si="3"/>
        <v>7</v>
      </c>
      <c r="H193" s="7">
        <v>331.18</v>
      </c>
      <c r="J193" s="7"/>
    </row>
    <row r="194" spans="6:10" ht="18.75" customHeight="1">
      <c r="F194" s="1">
        <v>27242</v>
      </c>
      <c r="G194">
        <f t="shared" si="3"/>
        <v>8</v>
      </c>
      <c r="H194" s="7">
        <v>329.39</v>
      </c>
      <c r="J194" s="7"/>
    </row>
    <row r="195" spans="6:10" ht="18.75" customHeight="1">
      <c r="F195" s="1">
        <v>27273</v>
      </c>
      <c r="G195">
        <f t="shared" ref="G195:G258" si="4">MONTH(F195)</f>
        <v>9</v>
      </c>
      <c r="H195" s="7">
        <v>327.43</v>
      </c>
      <c r="J195" s="7"/>
    </row>
    <row r="196" spans="6:10" ht="18.75" customHeight="1">
      <c r="F196" s="1">
        <v>27303</v>
      </c>
      <c r="G196">
        <f t="shared" si="4"/>
        <v>10</v>
      </c>
      <c r="H196" s="7">
        <v>327.37</v>
      </c>
      <c r="J196" s="7"/>
    </row>
    <row r="197" spans="6:10" ht="18.75" customHeight="1">
      <c r="F197" s="1">
        <v>27334</v>
      </c>
      <c r="G197">
        <f t="shared" si="4"/>
        <v>11</v>
      </c>
      <c r="H197" s="7">
        <v>328.46</v>
      </c>
      <c r="J197" s="7"/>
    </row>
    <row r="198" spans="6:10" ht="18.75" customHeight="1">
      <c r="F198" s="1">
        <v>27364</v>
      </c>
      <c r="G198">
        <f t="shared" si="4"/>
        <v>12</v>
      </c>
      <c r="H198" s="7">
        <v>329.57</v>
      </c>
      <c r="J198" s="7"/>
    </row>
    <row r="199" spans="6:10" ht="18.75" customHeight="1">
      <c r="F199" s="1">
        <v>27395</v>
      </c>
      <c r="G199">
        <f t="shared" si="4"/>
        <v>1</v>
      </c>
      <c r="H199" s="7">
        <v>330.4</v>
      </c>
      <c r="J199" s="7"/>
    </row>
    <row r="200" spans="6:10" ht="18.75" customHeight="1">
      <c r="F200" s="1">
        <v>27426</v>
      </c>
      <c r="G200">
        <f t="shared" si="4"/>
        <v>2</v>
      </c>
      <c r="H200" s="7">
        <v>331.4</v>
      </c>
      <c r="J200" s="7"/>
    </row>
    <row r="201" spans="6:10" ht="18.75" customHeight="1">
      <c r="F201" s="1">
        <v>27454</v>
      </c>
      <c r="G201">
        <f t="shared" si="4"/>
        <v>3</v>
      </c>
      <c r="H201" s="7">
        <v>332.04</v>
      </c>
      <c r="J201" s="7"/>
    </row>
    <row r="202" spans="6:10" ht="18.75" customHeight="1">
      <c r="F202" s="1">
        <v>27485</v>
      </c>
      <c r="G202">
        <f t="shared" si="4"/>
        <v>4</v>
      </c>
      <c r="H202" s="7">
        <v>333.31</v>
      </c>
      <c r="J202" s="7"/>
    </row>
    <row r="203" spans="6:10" ht="18.75" customHeight="1">
      <c r="F203" s="1">
        <v>27515</v>
      </c>
      <c r="G203">
        <f t="shared" si="4"/>
        <v>5</v>
      </c>
      <c r="H203" s="7">
        <v>333.97</v>
      </c>
      <c r="J203" s="7"/>
    </row>
    <row r="204" spans="6:10" ht="18.75" customHeight="1">
      <c r="F204" s="1">
        <v>27546</v>
      </c>
      <c r="G204">
        <f t="shared" si="4"/>
        <v>6</v>
      </c>
      <c r="H204" s="7">
        <v>333.6</v>
      </c>
      <c r="J204" s="7"/>
    </row>
    <row r="205" spans="6:10" ht="18.75" customHeight="1">
      <c r="F205" s="1">
        <v>27576</v>
      </c>
      <c r="G205">
        <f t="shared" si="4"/>
        <v>7</v>
      </c>
      <c r="H205" s="7">
        <v>331.9</v>
      </c>
      <c r="J205" s="7"/>
    </row>
    <row r="206" spans="6:10" ht="18.75" customHeight="1">
      <c r="F206" s="1">
        <v>27607</v>
      </c>
      <c r="G206">
        <f t="shared" si="4"/>
        <v>8</v>
      </c>
      <c r="H206" s="7">
        <v>330.06</v>
      </c>
      <c r="J206" s="7"/>
    </row>
    <row r="207" spans="6:10" ht="18.75" customHeight="1">
      <c r="F207" s="1">
        <v>27638</v>
      </c>
      <c r="G207">
        <f t="shared" si="4"/>
        <v>9</v>
      </c>
      <c r="H207" s="7">
        <v>328.56</v>
      </c>
      <c r="J207" s="7"/>
    </row>
    <row r="208" spans="6:10" ht="18.75" customHeight="1">
      <c r="F208" s="1">
        <v>27668</v>
      </c>
      <c r="G208">
        <f t="shared" si="4"/>
        <v>10</v>
      </c>
      <c r="H208" s="7">
        <v>328.34</v>
      </c>
      <c r="J208" s="7"/>
    </row>
    <row r="209" spans="6:10" ht="18.75" customHeight="1">
      <c r="F209" s="1">
        <v>27699</v>
      </c>
      <c r="G209">
        <f t="shared" si="4"/>
        <v>11</v>
      </c>
      <c r="H209" s="7">
        <v>329.49</v>
      </c>
      <c r="J209" s="7"/>
    </row>
    <row r="210" spans="6:10" ht="18.75" customHeight="1">
      <c r="F210" s="1">
        <v>27729</v>
      </c>
      <c r="G210">
        <f t="shared" si="4"/>
        <v>12</v>
      </c>
      <c r="H210" s="7">
        <v>330.76</v>
      </c>
      <c r="J210" s="7"/>
    </row>
    <row r="211" spans="6:10" ht="18.75" customHeight="1">
      <c r="F211" s="1">
        <v>27760</v>
      </c>
      <c r="G211">
        <f t="shared" si="4"/>
        <v>1</v>
      </c>
      <c r="H211" s="7">
        <v>331.75</v>
      </c>
      <c r="J211" s="7"/>
    </row>
    <row r="212" spans="6:10" ht="18.75" customHeight="1">
      <c r="F212" s="1">
        <v>27791</v>
      </c>
      <c r="G212">
        <f t="shared" si="4"/>
        <v>2</v>
      </c>
      <c r="H212" s="7">
        <v>332.57</v>
      </c>
      <c r="J212" s="7"/>
    </row>
    <row r="213" spans="6:10" ht="18.75" customHeight="1">
      <c r="F213" s="1">
        <v>27820</v>
      </c>
      <c r="G213">
        <f t="shared" si="4"/>
        <v>3</v>
      </c>
      <c r="H213" s="7">
        <v>333.5</v>
      </c>
      <c r="J213" s="7"/>
    </row>
    <row r="214" spans="6:10" ht="18.75" customHeight="1">
      <c r="F214" s="1">
        <v>27851</v>
      </c>
      <c r="G214">
        <f t="shared" si="4"/>
        <v>4</v>
      </c>
      <c r="H214" s="7">
        <v>334.58</v>
      </c>
      <c r="J214" s="7"/>
    </row>
    <row r="215" spans="6:10" ht="18.75" customHeight="1">
      <c r="F215" s="1">
        <v>27881</v>
      </c>
      <c r="G215">
        <f t="shared" si="4"/>
        <v>5</v>
      </c>
      <c r="H215" s="7">
        <v>334.88</v>
      </c>
      <c r="J215" s="7"/>
    </row>
    <row r="216" spans="6:10" ht="18.75" customHeight="1">
      <c r="F216" s="1">
        <v>27912</v>
      </c>
      <c r="G216">
        <f t="shared" si="4"/>
        <v>6</v>
      </c>
      <c r="H216" s="7">
        <v>334.33</v>
      </c>
      <c r="J216" s="7"/>
    </row>
    <row r="217" spans="6:10" ht="18.75" customHeight="1">
      <c r="F217" s="1">
        <v>27942</v>
      </c>
      <c r="G217">
        <f t="shared" si="4"/>
        <v>7</v>
      </c>
      <c r="H217" s="7">
        <v>333.05</v>
      </c>
      <c r="J217" s="7"/>
    </row>
    <row r="218" spans="6:10" ht="18.75" customHeight="1">
      <c r="F218" s="1">
        <v>27973</v>
      </c>
      <c r="G218">
        <f t="shared" si="4"/>
        <v>8</v>
      </c>
      <c r="H218" s="7">
        <v>330.94</v>
      </c>
      <c r="J218" s="7"/>
    </row>
    <row r="219" spans="6:10" ht="18.75" customHeight="1">
      <c r="F219" s="1">
        <v>28004</v>
      </c>
      <c r="G219">
        <f t="shared" si="4"/>
        <v>9</v>
      </c>
      <c r="H219" s="7">
        <v>329.3</v>
      </c>
      <c r="J219" s="7"/>
    </row>
    <row r="220" spans="6:10" ht="18.75" customHeight="1">
      <c r="F220" s="1">
        <v>28034</v>
      </c>
      <c r="G220">
        <f t="shared" si="4"/>
        <v>10</v>
      </c>
      <c r="H220" s="7">
        <v>328.94</v>
      </c>
      <c r="J220" s="7"/>
    </row>
    <row r="221" spans="6:10" ht="18.75" customHeight="1">
      <c r="F221" s="1">
        <v>28065</v>
      </c>
      <c r="G221">
        <f t="shared" si="4"/>
        <v>11</v>
      </c>
      <c r="H221" s="7">
        <v>330.31</v>
      </c>
      <c r="J221" s="7"/>
    </row>
    <row r="222" spans="6:10" ht="18.75" customHeight="1">
      <c r="F222" s="1">
        <v>28095</v>
      </c>
      <c r="G222">
        <f t="shared" si="4"/>
        <v>12</v>
      </c>
      <c r="H222" s="7">
        <v>331.68</v>
      </c>
      <c r="J222" s="7"/>
    </row>
    <row r="223" spans="6:10" ht="18.75" customHeight="1">
      <c r="F223" s="1">
        <v>28126</v>
      </c>
      <c r="G223">
        <f t="shared" si="4"/>
        <v>1</v>
      </c>
      <c r="H223" s="7">
        <v>332.93</v>
      </c>
      <c r="J223" s="7"/>
    </row>
    <row r="224" spans="6:10" ht="18.75" customHeight="1">
      <c r="F224" s="1">
        <v>28157</v>
      </c>
      <c r="G224">
        <f t="shared" si="4"/>
        <v>2</v>
      </c>
      <c r="H224" s="7">
        <v>333.42</v>
      </c>
      <c r="J224" s="7"/>
    </row>
    <row r="225" spans="6:10" ht="18.75" customHeight="1">
      <c r="F225" s="1">
        <v>28185</v>
      </c>
      <c r="G225">
        <f t="shared" si="4"/>
        <v>3</v>
      </c>
      <c r="H225" s="7">
        <v>334.7</v>
      </c>
      <c r="J225" s="7"/>
    </row>
    <row r="226" spans="6:10" ht="18.75" customHeight="1">
      <c r="F226" s="1">
        <v>28216</v>
      </c>
      <c r="G226">
        <f t="shared" si="4"/>
        <v>4</v>
      </c>
      <c r="H226" s="7">
        <v>336.07</v>
      </c>
      <c r="J226" s="7"/>
    </row>
    <row r="227" spans="6:10" ht="18.75" customHeight="1">
      <c r="F227" s="1">
        <v>28246</v>
      </c>
      <c r="G227">
        <f t="shared" si="4"/>
        <v>5</v>
      </c>
      <c r="H227" s="7">
        <v>336.75</v>
      </c>
      <c r="J227" s="7"/>
    </row>
    <row r="228" spans="6:10" ht="18.75" customHeight="1">
      <c r="F228" s="1">
        <v>28277</v>
      </c>
      <c r="G228">
        <f t="shared" si="4"/>
        <v>6</v>
      </c>
      <c r="H228" s="7">
        <v>336.27</v>
      </c>
      <c r="J228" s="7"/>
    </row>
    <row r="229" spans="6:10" ht="18.75" customHeight="1">
      <c r="F229" s="1">
        <v>28307</v>
      </c>
      <c r="G229">
        <f t="shared" si="4"/>
        <v>7</v>
      </c>
      <c r="H229" s="7">
        <v>334.92</v>
      </c>
      <c r="J229" s="7"/>
    </row>
    <row r="230" spans="6:10" ht="18.75" customHeight="1">
      <c r="F230" s="1">
        <v>28338</v>
      </c>
      <c r="G230">
        <f t="shared" si="4"/>
        <v>8</v>
      </c>
      <c r="H230" s="7">
        <v>332.75</v>
      </c>
      <c r="J230" s="7"/>
    </row>
    <row r="231" spans="6:10" ht="18.75" customHeight="1">
      <c r="F231" s="1">
        <v>28369</v>
      </c>
      <c r="G231">
        <f t="shared" si="4"/>
        <v>9</v>
      </c>
      <c r="H231" s="7">
        <v>331.59</v>
      </c>
      <c r="J231" s="7"/>
    </row>
    <row r="232" spans="6:10" ht="18.75" customHeight="1">
      <c r="F232" s="1">
        <v>28399</v>
      </c>
      <c r="G232">
        <f t="shared" si="4"/>
        <v>10</v>
      </c>
      <c r="H232" s="7">
        <v>331.16</v>
      </c>
      <c r="J232" s="7"/>
    </row>
    <row r="233" spans="6:10" ht="18.75" customHeight="1">
      <c r="F233" s="1">
        <v>28430</v>
      </c>
      <c r="G233">
        <f t="shared" si="4"/>
        <v>11</v>
      </c>
      <c r="H233" s="7">
        <v>332.4</v>
      </c>
      <c r="J233" s="7"/>
    </row>
    <row r="234" spans="6:10" ht="18.75" customHeight="1">
      <c r="F234" s="1">
        <v>28460</v>
      </c>
      <c r="G234">
        <f t="shared" si="4"/>
        <v>12</v>
      </c>
      <c r="H234" s="7">
        <v>333.85</v>
      </c>
      <c r="J234" s="7"/>
    </row>
    <row r="235" spans="6:10" ht="18.75" customHeight="1">
      <c r="F235" s="1">
        <v>28491</v>
      </c>
      <c r="G235">
        <f t="shared" si="4"/>
        <v>1</v>
      </c>
      <c r="H235" s="7">
        <v>334.97</v>
      </c>
      <c r="J235" s="7"/>
    </row>
    <row r="236" spans="6:10" ht="18.75" customHeight="1">
      <c r="F236" s="1">
        <v>28522</v>
      </c>
      <c r="G236">
        <f t="shared" si="4"/>
        <v>2</v>
      </c>
      <c r="H236" s="7">
        <v>335.39</v>
      </c>
      <c r="J236" s="7"/>
    </row>
    <row r="237" spans="6:10" ht="18.75" customHeight="1">
      <c r="F237" s="1">
        <v>28550</v>
      </c>
      <c r="G237">
        <f t="shared" si="4"/>
        <v>3</v>
      </c>
      <c r="H237" s="7">
        <v>336.64</v>
      </c>
      <c r="J237" s="7"/>
    </row>
    <row r="238" spans="6:10" ht="18.75" customHeight="1">
      <c r="F238" s="1">
        <v>28581</v>
      </c>
      <c r="G238">
        <f t="shared" si="4"/>
        <v>4</v>
      </c>
      <c r="H238" s="7">
        <v>337.76</v>
      </c>
      <c r="J238" s="7"/>
    </row>
    <row r="239" spans="6:10" ht="18.75" customHeight="1">
      <c r="F239" s="1">
        <v>28611</v>
      </c>
      <c r="G239">
        <f t="shared" si="4"/>
        <v>5</v>
      </c>
      <c r="H239" s="7">
        <v>338.01</v>
      </c>
      <c r="J239" s="7"/>
    </row>
    <row r="240" spans="6:10" ht="18.75" customHeight="1">
      <c r="F240" s="1">
        <v>28642</v>
      </c>
      <c r="G240">
        <f t="shared" si="4"/>
        <v>6</v>
      </c>
      <c r="H240" s="7">
        <v>337.9</v>
      </c>
      <c r="J240" s="7"/>
    </row>
    <row r="241" spans="6:10" ht="18.75" customHeight="1">
      <c r="F241" s="1">
        <v>28672</v>
      </c>
      <c r="G241">
        <f t="shared" si="4"/>
        <v>7</v>
      </c>
      <c r="H241" s="7">
        <v>336.54</v>
      </c>
      <c r="J241" s="7"/>
    </row>
    <row r="242" spans="6:10" ht="18.75" customHeight="1">
      <c r="F242" s="1">
        <v>28703</v>
      </c>
      <c r="G242">
        <f t="shared" si="4"/>
        <v>8</v>
      </c>
      <c r="H242" s="7">
        <v>334.68</v>
      </c>
      <c r="J242" s="7"/>
    </row>
    <row r="243" spans="6:10" ht="18.75" customHeight="1">
      <c r="F243" s="1">
        <v>28734</v>
      </c>
      <c r="G243">
        <f t="shared" si="4"/>
        <v>9</v>
      </c>
      <c r="H243" s="7">
        <v>332.76</v>
      </c>
      <c r="J243" s="7"/>
    </row>
    <row r="244" spans="6:10" ht="18.75" customHeight="1">
      <c r="F244" s="1">
        <v>28764</v>
      </c>
      <c r="G244">
        <f t="shared" si="4"/>
        <v>10</v>
      </c>
      <c r="H244" s="7">
        <v>332.55</v>
      </c>
      <c r="J244" s="7"/>
    </row>
    <row r="245" spans="6:10" ht="18.75" customHeight="1">
      <c r="F245" s="1">
        <v>28795</v>
      </c>
      <c r="G245">
        <f t="shared" si="4"/>
        <v>11</v>
      </c>
      <c r="H245" s="7">
        <v>333.92</v>
      </c>
      <c r="J245" s="7"/>
    </row>
    <row r="246" spans="6:10" ht="18.75" customHeight="1">
      <c r="F246" s="1">
        <v>28825</v>
      </c>
      <c r="G246">
        <f t="shared" si="4"/>
        <v>12</v>
      </c>
      <c r="H246" s="7">
        <v>334.95</v>
      </c>
      <c r="J246" s="7"/>
    </row>
    <row r="247" spans="6:10" ht="18.75" customHeight="1">
      <c r="F247" s="1">
        <v>28856</v>
      </c>
      <c r="G247">
        <f t="shared" si="4"/>
        <v>1</v>
      </c>
      <c r="H247" s="7">
        <v>336.23</v>
      </c>
      <c r="J247" s="7"/>
    </row>
    <row r="248" spans="6:10" ht="18.75" customHeight="1">
      <c r="F248" s="1">
        <v>28887</v>
      </c>
      <c r="G248">
        <f t="shared" si="4"/>
        <v>2</v>
      </c>
      <c r="H248" s="7">
        <v>336.76</v>
      </c>
      <c r="J248" s="7"/>
    </row>
    <row r="249" spans="6:10" ht="18.75" customHeight="1">
      <c r="F249" s="1">
        <v>28915</v>
      </c>
      <c r="G249">
        <f t="shared" si="4"/>
        <v>3</v>
      </c>
      <c r="H249" s="7">
        <v>337.96</v>
      </c>
      <c r="J249" s="7"/>
    </row>
    <row r="250" spans="6:10" ht="18.75" customHeight="1">
      <c r="F250" s="1">
        <v>28946</v>
      </c>
      <c r="G250">
        <f t="shared" si="4"/>
        <v>4</v>
      </c>
      <c r="H250" s="7">
        <v>338.88</v>
      </c>
      <c r="J250" s="7"/>
    </row>
    <row r="251" spans="6:10" ht="18.75" customHeight="1">
      <c r="F251" s="1">
        <v>28976</v>
      </c>
      <c r="G251">
        <f t="shared" si="4"/>
        <v>5</v>
      </c>
      <c r="H251" s="7">
        <v>339.47</v>
      </c>
      <c r="J251" s="7"/>
    </row>
    <row r="252" spans="6:10" ht="18.75" customHeight="1">
      <c r="F252" s="1">
        <v>29007</v>
      </c>
      <c r="G252">
        <f t="shared" si="4"/>
        <v>6</v>
      </c>
      <c r="H252" s="7">
        <v>339.29</v>
      </c>
      <c r="J252" s="7"/>
    </row>
    <row r="253" spans="6:10" ht="18.75" customHeight="1">
      <c r="F253" s="1">
        <v>29037</v>
      </c>
      <c r="G253">
        <f t="shared" si="4"/>
        <v>7</v>
      </c>
      <c r="H253" s="7">
        <v>337.73</v>
      </c>
      <c r="J253" s="7"/>
    </row>
    <row r="254" spans="6:10" ht="18.75" customHeight="1">
      <c r="F254" s="1">
        <v>29068</v>
      </c>
      <c r="G254">
        <f t="shared" si="4"/>
        <v>8</v>
      </c>
      <c r="H254" s="7">
        <v>336.09</v>
      </c>
      <c r="J254" s="7"/>
    </row>
    <row r="255" spans="6:10" ht="18.75" customHeight="1">
      <c r="F255" s="1">
        <v>29099</v>
      </c>
      <c r="G255">
        <f t="shared" si="4"/>
        <v>9</v>
      </c>
      <c r="H255" s="7">
        <v>333.92</v>
      </c>
      <c r="J255" s="7"/>
    </row>
    <row r="256" spans="6:10" ht="18.75" customHeight="1">
      <c r="F256" s="1">
        <v>29129</v>
      </c>
      <c r="G256">
        <f t="shared" si="4"/>
        <v>10</v>
      </c>
      <c r="H256" s="7">
        <v>333.86</v>
      </c>
      <c r="J256" s="7"/>
    </row>
    <row r="257" spans="6:10" ht="18.75" customHeight="1">
      <c r="F257" s="1">
        <v>29160</v>
      </c>
      <c r="G257">
        <f t="shared" si="4"/>
        <v>11</v>
      </c>
      <c r="H257" s="7">
        <v>335.29</v>
      </c>
      <c r="J257" s="7"/>
    </row>
    <row r="258" spans="6:10" ht="18.75" customHeight="1">
      <c r="F258" s="1">
        <v>29190</v>
      </c>
      <c r="G258">
        <f t="shared" si="4"/>
        <v>12</v>
      </c>
      <c r="H258" s="7">
        <v>336.73</v>
      </c>
      <c r="J258" s="7"/>
    </row>
    <row r="259" spans="6:10" ht="18.75" customHeight="1">
      <c r="F259" s="1">
        <v>29221</v>
      </c>
      <c r="G259">
        <f t="shared" ref="G259:G322" si="5">MONTH(F259)</f>
        <v>1</v>
      </c>
      <c r="H259" s="7">
        <v>338.01</v>
      </c>
      <c r="J259" s="7"/>
    </row>
    <row r="260" spans="6:10" ht="18.75" customHeight="1">
      <c r="F260" s="1">
        <v>29252</v>
      </c>
      <c r="G260">
        <f t="shared" si="5"/>
        <v>2</v>
      </c>
      <c r="H260" s="7">
        <v>338.36</v>
      </c>
      <c r="J260" s="7"/>
    </row>
    <row r="261" spans="6:10" ht="18.75" customHeight="1">
      <c r="F261" s="1">
        <v>29281</v>
      </c>
      <c r="G261">
        <f t="shared" si="5"/>
        <v>3</v>
      </c>
      <c r="H261" s="7">
        <v>340.07</v>
      </c>
      <c r="J261" s="7"/>
    </row>
    <row r="262" spans="6:10" ht="18.75" customHeight="1">
      <c r="F262" s="1">
        <v>29312</v>
      </c>
      <c r="G262">
        <f t="shared" si="5"/>
        <v>4</v>
      </c>
      <c r="H262" s="7">
        <v>340.76</v>
      </c>
      <c r="J262" s="7"/>
    </row>
    <row r="263" spans="6:10" ht="18.75" customHeight="1">
      <c r="F263" s="1">
        <v>29342</v>
      </c>
      <c r="G263">
        <f t="shared" si="5"/>
        <v>5</v>
      </c>
      <c r="H263" s="7">
        <v>341.47</v>
      </c>
      <c r="J263" s="7"/>
    </row>
    <row r="264" spans="6:10" ht="18.75" customHeight="1">
      <c r="F264" s="1">
        <v>29373</v>
      </c>
      <c r="G264">
        <f t="shared" si="5"/>
        <v>6</v>
      </c>
      <c r="H264" s="7">
        <v>341.17</v>
      </c>
      <c r="J264" s="7"/>
    </row>
    <row r="265" spans="6:10" ht="18.75" customHeight="1">
      <c r="F265" s="1">
        <v>29403</v>
      </c>
      <c r="G265">
        <f t="shared" si="5"/>
        <v>7</v>
      </c>
      <c r="H265" s="7">
        <v>339.56</v>
      </c>
      <c r="J265" s="7"/>
    </row>
    <row r="266" spans="6:10" ht="18.75" customHeight="1">
      <c r="F266" s="1">
        <v>29434</v>
      </c>
      <c r="G266">
        <f t="shared" si="5"/>
        <v>8</v>
      </c>
      <c r="H266" s="7">
        <v>337.6</v>
      </c>
      <c r="J266" s="7"/>
    </row>
    <row r="267" spans="6:10" ht="18.75" customHeight="1">
      <c r="F267" s="1">
        <v>29465</v>
      </c>
      <c r="G267">
        <f t="shared" si="5"/>
        <v>9</v>
      </c>
      <c r="H267" s="7">
        <v>335.88</v>
      </c>
      <c r="J267" s="7"/>
    </row>
    <row r="268" spans="6:10" ht="18.75" customHeight="1">
      <c r="F268" s="1">
        <v>29495</v>
      </c>
      <c r="G268">
        <f t="shared" si="5"/>
        <v>10</v>
      </c>
      <c r="H268" s="7">
        <v>336.02</v>
      </c>
      <c r="J268" s="7"/>
    </row>
    <row r="269" spans="6:10" ht="18.75" customHeight="1">
      <c r="F269" s="1">
        <v>29526</v>
      </c>
      <c r="G269">
        <f t="shared" si="5"/>
        <v>11</v>
      </c>
      <c r="H269" s="7">
        <v>337.1</v>
      </c>
      <c r="J269" s="7"/>
    </row>
    <row r="270" spans="6:10" ht="18.75" customHeight="1">
      <c r="F270" s="1">
        <v>29556</v>
      </c>
      <c r="G270">
        <f t="shared" si="5"/>
        <v>12</v>
      </c>
      <c r="H270" s="7">
        <v>338.21</v>
      </c>
      <c r="J270" s="7"/>
    </row>
    <row r="271" spans="6:10" ht="18.75" customHeight="1">
      <c r="F271" s="1">
        <v>29587</v>
      </c>
      <c r="G271">
        <f t="shared" si="5"/>
        <v>1</v>
      </c>
      <c r="H271" s="7">
        <v>339.24</v>
      </c>
      <c r="J271" s="7"/>
    </row>
    <row r="272" spans="6:10" ht="18.75" customHeight="1">
      <c r="F272" s="1">
        <v>29618</v>
      </c>
      <c r="G272">
        <f t="shared" si="5"/>
        <v>2</v>
      </c>
      <c r="H272" s="7">
        <v>340.48</v>
      </c>
      <c r="J272" s="7"/>
    </row>
    <row r="273" spans="6:10" ht="18.75" customHeight="1">
      <c r="F273" s="1">
        <v>29646</v>
      </c>
      <c r="G273">
        <f t="shared" si="5"/>
        <v>3</v>
      </c>
      <c r="H273" s="7">
        <v>341.38</v>
      </c>
      <c r="J273" s="7"/>
    </row>
    <row r="274" spans="6:10" ht="18.75" customHeight="1">
      <c r="F274" s="1">
        <v>29677</v>
      </c>
      <c r="G274">
        <f t="shared" si="5"/>
        <v>4</v>
      </c>
      <c r="H274" s="7">
        <v>342.5</v>
      </c>
      <c r="J274" s="7"/>
    </row>
    <row r="275" spans="6:10" ht="18.75" customHeight="1">
      <c r="F275" s="1">
        <v>29707</v>
      </c>
      <c r="G275">
        <f t="shared" si="5"/>
        <v>5</v>
      </c>
      <c r="H275" s="7">
        <v>342.91</v>
      </c>
      <c r="J275" s="7"/>
    </row>
    <row r="276" spans="6:10" ht="18.75" customHeight="1">
      <c r="F276" s="1">
        <v>29738</v>
      </c>
      <c r="G276">
        <f t="shared" si="5"/>
        <v>6</v>
      </c>
      <c r="H276" s="7">
        <v>342.25</v>
      </c>
      <c r="J276" s="7"/>
    </row>
    <row r="277" spans="6:10" ht="18.75" customHeight="1">
      <c r="F277" s="1">
        <v>29768</v>
      </c>
      <c r="G277">
        <f t="shared" si="5"/>
        <v>7</v>
      </c>
      <c r="H277" s="7">
        <v>340.49</v>
      </c>
      <c r="J277" s="7"/>
    </row>
    <row r="278" spans="6:10" ht="18.75" customHeight="1">
      <c r="F278" s="1">
        <v>29799</v>
      </c>
      <c r="G278">
        <f t="shared" si="5"/>
        <v>8</v>
      </c>
      <c r="H278" s="7">
        <v>338.43</v>
      </c>
      <c r="J278" s="7"/>
    </row>
    <row r="279" spans="6:10" ht="18.75" customHeight="1">
      <c r="F279" s="1">
        <v>29830</v>
      </c>
      <c r="G279">
        <f t="shared" si="5"/>
        <v>9</v>
      </c>
      <c r="H279" s="7">
        <v>336.69</v>
      </c>
      <c r="J279" s="7"/>
    </row>
    <row r="280" spans="6:10" ht="18.75" customHeight="1">
      <c r="F280" s="1">
        <v>29860</v>
      </c>
      <c r="G280">
        <f t="shared" si="5"/>
        <v>10</v>
      </c>
      <c r="H280" s="7">
        <v>336.86</v>
      </c>
      <c r="J280" s="7"/>
    </row>
    <row r="281" spans="6:10" ht="18.75" customHeight="1">
      <c r="F281" s="1">
        <v>29891</v>
      </c>
      <c r="G281">
        <f t="shared" si="5"/>
        <v>11</v>
      </c>
      <c r="H281" s="7">
        <v>338.36</v>
      </c>
      <c r="J281" s="7"/>
    </row>
    <row r="282" spans="6:10" ht="18.75" customHeight="1">
      <c r="F282" s="1">
        <v>29921</v>
      </c>
      <c r="G282">
        <f t="shared" si="5"/>
        <v>12</v>
      </c>
      <c r="H282" s="7">
        <v>339.61</v>
      </c>
      <c r="J282" s="7"/>
    </row>
    <row r="283" spans="6:10" ht="18.75" customHeight="1">
      <c r="F283" s="1">
        <v>29952</v>
      </c>
      <c r="G283">
        <f t="shared" si="5"/>
        <v>1</v>
      </c>
      <c r="H283" s="7">
        <v>340.75</v>
      </c>
      <c r="J283" s="7"/>
    </row>
    <row r="284" spans="6:10" ht="18.75" customHeight="1">
      <c r="F284" s="1">
        <v>29983</v>
      </c>
      <c r="G284">
        <f t="shared" si="5"/>
        <v>2</v>
      </c>
      <c r="H284" s="7">
        <v>341.61</v>
      </c>
      <c r="J284" s="7"/>
    </row>
    <row r="285" spans="6:10" ht="18.75" customHeight="1">
      <c r="F285" s="1">
        <v>30011</v>
      </c>
      <c r="G285">
        <f t="shared" si="5"/>
        <v>3</v>
      </c>
      <c r="H285" s="7">
        <v>342.7</v>
      </c>
      <c r="J285" s="7"/>
    </row>
    <row r="286" spans="6:10" ht="18.75" customHeight="1">
      <c r="F286" s="1">
        <v>30042</v>
      </c>
      <c r="G286">
        <f t="shared" si="5"/>
        <v>4</v>
      </c>
      <c r="H286" s="7">
        <v>343.57</v>
      </c>
      <c r="J286" s="7"/>
    </row>
    <row r="287" spans="6:10" ht="18.75" customHeight="1">
      <c r="F287" s="1">
        <v>30072</v>
      </c>
      <c r="G287">
        <f t="shared" si="5"/>
        <v>5</v>
      </c>
      <c r="H287" s="7">
        <v>344.14</v>
      </c>
      <c r="J287" s="7"/>
    </row>
    <row r="288" spans="6:10" ht="18.75" customHeight="1">
      <c r="F288" s="1">
        <v>30103</v>
      </c>
      <c r="G288">
        <f t="shared" si="5"/>
        <v>6</v>
      </c>
      <c r="H288" s="7">
        <v>343.35</v>
      </c>
      <c r="J288" s="7"/>
    </row>
    <row r="289" spans="6:10" ht="18.75" customHeight="1">
      <c r="F289" s="1">
        <v>30133</v>
      </c>
      <c r="G289">
        <f t="shared" si="5"/>
        <v>7</v>
      </c>
      <c r="H289" s="7">
        <v>342.06</v>
      </c>
      <c r="J289" s="7"/>
    </row>
    <row r="290" spans="6:10" ht="18.75" customHeight="1">
      <c r="F290" s="1">
        <v>30164</v>
      </c>
      <c r="G290">
        <f t="shared" si="5"/>
        <v>8</v>
      </c>
      <c r="H290" s="7">
        <v>339.81</v>
      </c>
      <c r="J290" s="7"/>
    </row>
    <row r="291" spans="6:10" ht="18.75" customHeight="1">
      <c r="F291" s="1">
        <v>30195</v>
      </c>
      <c r="G291">
        <f t="shared" si="5"/>
        <v>9</v>
      </c>
      <c r="H291" s="7">
        <v>337.98</v>
      </c>
      <c r="J291" s="7"/>
    </row>
    <row r="292" spans="6:10" ht="18.75" customHeight="1">
      <c r="F292" s="1">
        <v>30225</v>
      </c>
      <c r="G292">
        <f t="shared" si="5"/>
        <v>10</v>
      </c>
      <c r="H292" s="7">
        <v>337.86</v>
      </c>
      <c r="J292" s="7"/>
    </row>
    <row r="293" spans="6:10" ht="18.75" customHeight="1">
      <c r="F293" s="1">
        <v>30256</v>
      </c>
      <c r="G293">
        <f t="shared" si="5"/>
        <v>11</v>
      </c>
      <c r="H293" s="7">
        <v>339.26</v>
      </c>
      <c r="J293" s="7"/>
    </row>
    <row r="294" spans="6:10" ht="18.75" customHeight="1">
      <c r="F294" s="1">
        <v>30286</v>
      </c>
      <c r="G294">
        <f t="shared" si="5"/>
        <v>12</v>
      </c>
      <c r="H294" s="7">
        <v>340.49</v>
      </c>
      <c r="J294" s="7"/>
    </row>
    <row r="295" spans="6:10" ht="18.75" customHeight="1">
      <c r="F295" s="1">
        <v>30317</v>
      </c>
      <c r="G295">
        <f t="shared" si="5"/>
        <v>1</v>
      </c>
      <c r="H295" s="7">
        <v>341.38</v>
      </c>
      <c r="J295" s="7"/>
    </row>
    <row r="296" spans="6:10" ht="18.75" customHeight="1">
      <c r="F296" s="1">
        <v>30348</v>
      </c>
      <c r="G296">
        <f t="shared" si="5"/>
        <v>2</v>
      </c>
      <c r="H296" s="7">
        <v>342.52</v>
      </c>
      <c r="J296" s="7"/>
    </row>
    <row r="297" spans="6:10" ht="18.75" customHeight="1">
      <c r="F297" s="1">
        <v>30376</v>
      </c>
      <c r="G297">
        <f t="shared" si="5"/>
        <v>3</v>
      </c>
      <c r="H297" s="7">
        <v>343.1</v>
      </c>
      <c r="J297" s="7"/>
    </row>
    <row r="298" spans="6:10" ht="18.75" customHeight="1">
      <c r="F298" s="1">
        <v>30407</v>
      </c>
      <c r="G298">
        <f t="shared" si="5"/>
        <v>4</v>
      </c>
      <c r="H298" s="7">
        <v>344.94</v>
      </c>
      <c r="J298" s="7"/>
    </row>
    <row r="299" spans="6:10" ht="18.75" customHeight="1">
      <c r="F299" s="1">
        <v>30437</v>
      </c>
      <c r="G299">
        <f t="shared" si="5"/>
        <v>5</v>
      </c>
      <c r="H299" s="7">
        <v>345.76</v>
      </c>
      <c r="J299" s="7"/>
    </row>
    <row r="300" spans="6:10" ht="18.75" customHeight="1">
      <c r="F300" s="1">
        <v>30468</v>
      </c>
      <c r="G300">
        <f t="shared" si="5"/>
        <v>6</v>
      </c>
      <c r="H300" s="7">
        <v>345.32</v>
      </c>
      <c r="J300" s="7"/>
    </row>
    <row r="301" spans="6:10" ht="18.75" customHeight="1">
      <c r="F301" s="1">
        <v>30498</v>
      </c>
      <c r="G301">
        <f t="shared" si="5"/>
        <v>7</v>
      </c>
      <c r="H301" s="7">
        <v>343.98</v>
      </c>
      <c r="J301" s="7"/>
    </row>
    <row r="302" spans="6:10" ht="18.75" customHeight="1">
      <c r="F302" s="1">
        <v>30529</v>
      </c>
      <c r="G302">
        <f t="shared" si="5"/>
        <v>8</v>
      </c>
      <c r="H302" s="7">
        <v>342.38</v>
      </c>
      <c r="J302" s="7"/>
    </row>
    <row r="303" spans="6:10" ht="18.75" customHeight="1">
      <c r="F303" s="1">
        <v>30560</v>
      </c>
      <c r="G303">
        <f t="shared" si="5"/>
        <v>9</v>
      </c>
      <c r="H303" s="7">
        <v>339.87</v>
      </c>
      <c r="J303" s="7"/>
    </row>
    <row r="304" spans="6:10" ht="18.75" customHeight="1">
      <c r="F304" s="1">
        <v>30590</v>
      </c>
      <c r="G304">
        <f t="shared" si="5"/>
        <v>10</v>
      </c>
      <c r="H304" s="7">
        <v>339.99</v>
      </c>
      <c r="J304" s="7"/>
    </row>
    <row r="305" spans="6:10" ht="18.75" customHeight="1">
      <c r="F305" s="1">
        <v>30621</v>
      </c>
      <c r="G305">
        <f t="shared" si="5"/>
        <v>11</v>
      </c>
      <c r="H305" s="7">
        <v>341.15</v>
      </c>
      <c r="J305" s="7"/>
    </row>
    <row r="306" spans="6:10" ht="18.75" customHeight="1">
      <c r="F306" s="1">
        <v>30651</v>
      </c>
      <c r="G306">
        <f t="shared" si="5"/>
        <v>12</v>
      </c>
      <c r="H306" s="7">
        <v>342.99</v>
      </c>
      <c r="J306" s="7"/>
    </row>
    <row r="307" spans="6:10" ht="18.75" customHeight="1">
      <c r="F307" s="1">
        <v>30682</v>
      </c>
      <c r="G307">
        <f t="shared" si="5"/>
        <v>1</v>
      </c>
      <c r="H307" s="7">
        <v>343.7</v>
      </c>
      <c r="J307" s="7"/>
    </row>
    <row r="308" spans="6:10" ht="18.75" customHeight="1">
      <c r="F308" s="1">
        <v>30713</v>
      </c>
      <c r="G308">
        <f t="shared" si="5"/>
        <v>2</v>
      </c>
      <c r="H308" s="7">
        <v>344.5</v>
      </c>
      <c r="J308" s="7"/>
    </row>
    <row r="309" spans="6:10" ht="18.75" customHeight="1">
      <c r="F309" s="1">
        <v>30742</v>
      </c>
      <c r="G309">
        <f t="shared" si="5"/>
        <v>3</v>
      </c>
      <c r="H309" s="7">
        <v>345.28</v>
      </c>
      <c r="J309" s="7"/>
    </row>
    <row r="310" spans="6:10" ht="18.75" customHeight="1">
      <c r="F310" s="1">
        <v>30773</v>
      </c>
      <c r="G310">
        <f t="shared" si="5"/>
        <v>4</v>
      </c>
      <c r="H310" s="7">
        <v>347.05</v>
      </c>
      <c r="J310" s="7"/>
    </row>
    <row r="311" spans="6:10" ht="18.75" customHeight="1">
      <c r="F311" s="1">
        <v>30803</v>
      </c>
      <c r="G311">
        <f t="shared" si="5"/>
        <v>5</v>
      </c>
      <c r="H311" s="7">
        <v>347.43</v>
      </c>
      <c r="J311" s="7"/>
    </row>
    <row r="312" spans="6:10" ht="18.75" customHeight="1">
      <c r="F312" s="1">
        <v>30834</v>
      </c>
      <c r="G312">
        <f t="shared" si="5"/>
        <v>6</v>
      </c>
      <c r="H312" s="7">
        <v>346.8</v>
      </c>
      <c r="J312" s="7"/>
    </row>
    <row r="313" spans="6:10" ht="18.75" customHeight="1">
      <c r="F313" s="1">
        <v>30864</v>
      </c>
      <c r="G313">
        <f t="shared" si="5"/>
        <v>7</v>
      </c>
      <c r="H313" s="7">
        <v>345.39</v>
      </c>
      <c r="J313" s="7"/>
    </row>
    <row r="314" spans="6:10" ht="18.75" customHeight="1">
      <c r="F314" s="1">
        <v>30895</v>
      </c>
      <c r="G314">
        <f t="shared" si="5"/>
        <v>8</v>
      </c>
      <c r="H314" s="7">
        <v>343.28</v>
      </c>
      <c r="J314" s="7"/>
    </row>
    <row r="315" spans="6:10" ht="18.75" customHeight="1">
      <c r="F315" s="1">
        <v>30926</v>
      </c>
      <c r="G315">
        <f t="shared" si="5"/>
        <v>9</v>
      </c>
      <c r="H315" s="7">
        <v>341.07</v>
      </c>
      <c r="J315" s="7"/>
    </row>
    <row r="316" spans="6:10" ht="18.75" customHeight="1">
      <c r="F316" s="1">
        <v>30956</v>
      </c>
      <c r="G316">
        <f t="shared" si="5"/>
        <v>10</v>
      </c>
      <c r="H316" s="7">
        <v>341.35</v>
      </c>
      <c r="J316" s="7"/>
    </row>
    <row r="317" spans="6:10" ht="18.75" customHeight="1">
      <c r="F317" s="1">
        <v>30987</v>
      </c>
      <c r="G317">
        <f t="shared" si="5"/>
        <v>11</v>
      </c>
      <c r="H317" s="7">
        <v>342.98</v>
      </c>
      <c r="J317" s="7"/>
    </row>
    <row r="318" spans="6:10" ht="18.75" customHeight="1">
      <c r="F318" s="1">
        <v>31017</v>
      </c>
      <c r="G318">
        <f t="shared" si="5"/>
        <v>12</v>
      </c>
      <c r="H318" s="7">
        <v>344.22</v>
      </c>
      <c r="J318" s="7"/>
    </row>
    <row r="319" spans="6:10" ht="18.75" customHeight="1">
      <c r="F319" s="1">
        <v>31048</v>
      </c>
      <c r="G319">
        <f t="shared" si="5"/>
        <v>1</v>
      </c>
      <c r="H319" s="7">
        <v>344.97</v>
      </c>
      <c r="J319" s="7"/>
    </row>
    <row r="320" spans="6:10" ht="18.75" customHeight="1">
      <c r="F320" s="1">
        <v>31079</v>
      </c>
      <c r="G320">
        <f t="shared" si="5"/>
        <v>2</v>
      </c>
      <c r="H320" s="7">
        <v>345.99</v>
      </c>
      <c r="J320" s="7"/>
    </row>
    <row r="321" spans="6:10" ht="18.75" customHeight="1">
      <c r="F321" s="1">
        <v>31107</v>
      </c>
      <c r="G321">
        <f t="shared" si="5"/>
        <v>3</v>
      </c>
      <c r="H321" s="7">
        <v>347.42</v>
      </c>
      <c r="J321" s="7"/>
    </row>
    <row r="322" spans="6:10" ht="18.75" customHeight="1">
      <c r="F322" s="1">
        <v>31138</v>
      </c>
      <c r="G322">
        <f t="shared" si="5"/>
        <v>4</v>
      </c>
      <c r="H322" s="7">
        <v>348.35</v>
      </c>
      <c r="J322" s="7"/>
    </row>
    <row r="323" spans="6:10" ht="18.75" customHeight="1">
      <c r="F323" s="1">
        <v>31168</v>
      </c>
      <c r="G323">
        <f t="shared" ref="G323:G386" si="6">MONTH(F323)</f>
        <v>5</v>
      </c>
      <c r="H323" s="7">
        <v>348.93</v>
      </c>
      <c r="J323" s="7"/>
    </row>
    <row r="324" spans="6:10" ht="18.75" customHeight="1">
      <c r="F324" s="1">
        <v>31199</v>
      </c>
      <c r="G324">
        <f t="shared" si="6"/>
        <v>6</v>
      </c>
      <c r="H324" s="7">
        <v>348.25</v>
      </c>
      <c r="J324" s="7"/>
    </row>
    <row r="325" spans="6:10" ht="18.75" customHeight="1">
      <c r="F325" s="1">
        <v>31229</v>
      </c>
      <c r="G325">
        <f t="shared" si="6"/>
        <v>7</v>
      </c>
      <c r="H325" s="7">
        <v>346.56</v>
      </c>
      <c r="J325" s="7"/>
    </row>
    <row r="326" spans="6:10" ht="18.75" customHeight="1">
      <c r="F326" s="1">
        <v>31260</v>
      </c>
      <c r="G326">
        <f t="shared" si="6"/>
        <v>8</v>
      </c>
      <c r="H326" s="7">
        <v>344.67</v>
      </c>
      <c r="J326" s="7"/>
    </row>
    <row r="327" spans="6:10" ht="18.75" customHeight="1">
      <c r="F327" s="1">
        <v>31291</v>
      </c>
      <c r="G327">
        <f t="shared" si="6"/>
        <v>9</v>
      </c>
      <c r="H327" s="7">
        <v>343.09</v>
      </c>
      <c r="J327" s="7"/>
    </row>
    <row r="328" spans="6:10" ht="18.75" customHeight="1">
      <c r="F328" s="1">
        <v>31321</v>
      </c>
      <c r="G328">
        <f t="shared" si="6"/>
        <v>10</v>
      </c>
      <c r="H328" s="7">
        <v>342.8</v>
      </c>
      <c r="J328" s="7"/>
    </row>
    <row r="329" spans="6:10" ht="18.75" customHeight="1">
      <c r="F329" s="1">
        <v>31352</v>
      </c>
      <c r="G329">
        <f t="shared" si="6"/>
        <v>11</v>
      </c>
      <c r="H329" s="7">
        <v>344.24</v>
      </c>
      <c r="J329" s="7"/>
    </row>
    <row r="330" spans="6:10" ht="18.75" customHeight="1">
      <c r="F330" s="1">
        <v>31382</v>
      </c>
      <c r="G330">
        <f t="shared" si="6"/>
        <v>12</v>
      </c>
      <c r="H330" s="7">
        <v>345.56</v>
      </c>
      <c r="J330" s="7"/>
    </row>
    <row r="331" spans="6:10" ht="18.75" customHeight="1">
      <c r="F331" s="1">
        <v>31413</v>
      </c>
      <c r="G331">
        <f t="shared" si="6"/>
        <v>1</v>
      </c>
      <c r="H331" s="7">
        <v>346.3</v>
      </c>
      <c r="J331" s="7"/>
    </row>
    <row r="332" spans="6:10" ht="18.75" customHeight="1">
      <c r="F332" s="1">
        <v>31444</v>
      </c>
      <c r="G332">
        <f t="shared" si="6"/>
        <v>2</v>
      </c>
      <c r="H332" s="7">
        <v>346.95</v>
      </c>
      <c r="J332" s="7"/>
    </row>
    <row r="333" spans="6:10" ht="18.75" customHeight="1">
      <c r="F333" s="1">
        <v>31472</v>
      </c>
      <c r="G333">
        <f t="shared" si="6"/>
        <v>3</v>
      </c>
      <c r="H333" s="7">
        <v>347.85</v>
      </c>
      <c r="J333" s="7"/>
    </row>
    <row r="334" spans="6:10" ht="18.75" customHeight="1">
      <c r="F334" s="1">
        <v>31503</v>
      </c>
      <c r="G334">
        <f t="shared" si="6"/>
        <v>4</v>
      </c>
      <c r="H334" s="7">
        <v>349.55</v>
      </c>
      <c r="J334" s="7"/>
    </row>
    <row r="335" spans="6:10" ht="18.75" customHeight="1">
      <c r="F335" s="1">
        <v>31533</v>
      </c>
      <c r="G335">
        <f t="shared" si="6"/>
        <v>5</v>
      </c>
      <c r="H335" s="7">
        <v>350.22</v>
      </c>
      <c r="J335" s="7"/>
    </row>
    <row r="336" spans="6:10" ht="18.75" customHeight="1">
      <c r="F336" s="1">
        <v>31564</v>
      </c>
      <c r="G336">
        <f t="shared" si="6"/>
        <v>6</v>
      </c>
      <c r="H336" s="7">
        <v>349.55</v>
      </c>
      <c r="J336" s="7"/>
    </row>
    <row r="337" spans="6:10" ht="18.75" customHeight="1">
      <c r="F337" s="1">
        <v>31594</v>
      </c>
      <c r="G337">
        <f t="shared" si="6"/>
        <v>7</v>
      </c>
      <c r="H337" s="7">
        <v>347.94</v>
      </c>
      <c r="J337" s="7"/>
    </row>
    <row r="338" spans="6:10" ht="18.75" customHeight="1">
      <c r="F338" s="1">
        <v>31625</v>
      </c>
      <c r="G338">
        <f t="shared" si="6"/>
        <v>8</v>
      </c>
      <c r="H338" s="7">
        <v>345.9</v>
      </c>
      <c r="J338" s="7"/>
    </row>
    <row r="339" spans="6:10" ht="18.75" customHeight="1">
      <c r="F339" s="1">
        <v>31656</v>
      </c>
      <c r="G339">
        <f t="shared" si="6"/>
        <v>9</v>
      </c>
      <c r="H339" s="7">
        <v>344.85</v>
      </c>
      <c r="J339" s="7"/>
    </row>
    <row r="340" spans="6:10" ht="18.75" customHeight="1">
      <c r="F340" s="1">
        <v>31686</v>
      </c>
      <c r="G340">
        <f t="shared" si="6"/>
        <v>10</v>
      </c>
      <c r="H340" s="7">
        <v>344.17</v>
      </c>
      <c r="J340" s="7"/>
    </row>
    <row r="341" spans="6:10" ht="18.75" customHeight="1">
      <c r="F341" s="1">
        <v>31717</v>
      </c>
      <c r="G341">
        <f t="shared" si="6"/>
        <v>11</v>
      </c>
      <c r="H341" s="7">
        <v>345.66</v>
      </c>
      <c r="J341" s="7"/>
    </row>
    <row r="342" spans="6:10" ht="18.75" customHeight="1">
      <c r="F342" s="1">
        <v>31747</v>
      </c>
      <c r="G342">
        <f t="shared" si="6"/>
        <v>12</v>
      </c>
      <c r="H342" s="7">
        <v>346.9</v>
      </c>
      <c r="J342" s="7"/>
    </row>
    <row r="343" spans="6:10" ht="18.75" customHeight="1">
      <c r="F343" s="1">
        <v>31778</v>
      </c>
      <c r="G343">
        <f t="shared" si="6"/>
        <v>1</v>
      </c>
      <c r="H343" s="7">
        <v>348.02</v>
      </c>
      <c r="J343" s="7"/>
    </row>
    <row r="344" spans="6:10" ht="18.75" customHeight="1">
      <c r="F344" s="1">
        <v>31809</v>
      </c>
      <c r="G344">
        <f t="shared" si="6"/>
        <v>2</v>
      </c>
      <c r="H344" s="7">
        <v>348.48</v>
      </c>
      <c r="J344" s="7"/>
    </row>
    <row r="345" spans="6:10" ht="18.75" customHeight="1">
      <c r="F345" s="1">
        <v>31837</v>
      </c>
      <c r="G345">
        <f t="shared" si="6"/>
        <v>3</v>
      </c>
      <c r="H345" s="7">
        <v>349.42</v>
      </c>
      <c r="J345" s="7"/>
    </row>
    <row r="346" spans="6:10" ht="18.75" customHeight="1">
      <c r="F346" s="1">
        <v>31868</v>
      </c>
      <c r="G346">
        <f t="shared" si="6"/>
        <v>4</v>
      </c>
      <c r="H346" s="7">
        <v>350.98</v>
      </c>
      <c r="J346" s="7"/>
    </row>
    <row r="347" spans="6:10" ht="18.75" customHeight="1">
      <c r="F347" s="1">
        <v>31898</v>
      </c>
      <c r="G347">
        <f t="shared" si="6"/>
        <v>5</v>
      </c>
      <c r="H347" s="7">
        <v>351.85</v>
      </c>
      <c r="J347" s="7"/>
    </row>
    <row r="348" spans="6:10" ht="18.75" customHeight="1">
      <c r="F348" s="1">
        <v>31929</v>
      </c>
      <c r="G348">
        <f t="shared" si="6"/>
        <v>6</v>
      </c>
      <c r="H348" s="7">
        <v>351.26</v>
      </c>
      <c r="J348" s="7"/>
    </row>
    <row r="349" spans="6:10" ht="18.75" customHeight="1">
      <c r="F349" s="1">
        <v>31959</v>
      </c>
      <c r="G349">
        <f t="shared" si="6"/>
        <v>7</v>
      </c>
      <c r="H349" s="7">
        <v>349.51</v>
      </c>
      <c r="J349" s="7"/>
    </row>
    <row r="350" spans="6:10" ht="18.75" customHeight="1">
      <c r="F350" s="1">
        <v>31990</v>
      </c>
      <c r="G350">
        <f t="shared" si="6"/>
        <v>8</v>
      </c>
      <c r="H350" s="7">
        <v>348.1</v>
      </c>
      <c r="J350" s="7"/>
    </row>
    <row r="351" spans="6:10" ht="18.75" customHeight="1">
      <c r="F351" s="1">
        <v>32021</v>
      </c>
      <c r="G351">
        <f t="shared" si="6"/>
        <v>9</v>
      </c>
      <c r="H351" s="7">
        <v>346.45</v>
      </c>
      <c r="J351" s="7"/>
    </row>
    <row r="352" spans="6:10" ht="18.75" customHeight="1">
      <c r="F352" s="1">
        <v>32051</v>
      </c>
      <c r="G352">
        <f t="shared" si="6"/>
        <v>10</v>
      </c>
      <c r="H352" s="7">
        <v>346.36</v>
      </c>
      <c r="J352" s="7"/>
    </row>
    <row r="353" spans="6:10" ht="18.75" customHeight="1">
      <c r="F353" s="1">
        <v>32082</v>
      </c>
      <c r="G353">
        <f t="shared" si="6"/>
        <v>11</v>
      </c>
      <c r="H353" s="7">
        <v>347.81</v>
      </c>
      <c r="J353" s="7"/>
    </row>
    <row r="354" spans="6:10" ht="18.75" customHeight="1">
      <c r="F354" s="1">
        <v>32112</v>
      </c>
      <c r="G354">
        <f t="shared" si="6"/>
        <v>12</v>
      </c>
      <c r="H354" s="7">
        <v>348.96</v>
      </c>
      <c r="J354" s="7"/>
    </row>
    <row r="355" spans="6:10" ht="18.75" customHeight="1">
      <c r="F355" s="1">
        <v>32143</v>
      </c>
      <c r="G355">
        <f t="shared" si="6"/>
        <v>1</v>
      </c>
      <c r="H355" s="7">
        <v>350.43</v>
      </c>
      <c r="J355" s="7"/>
    </row>
    <row r="356" spans="6:10" ht="18.75" customHeight="1">
      <c r="F356" s="1">
        <v>32174</v>
      </c>
      <c r="G356">
        <f t="shared" si="6"/>
        <v>2</v>
      </c>
      <c r="H356" s="7">
        <v>351.73</v>
      </c>
      <c r="J356" s="7"/>
    </row>
    <row r="357" spans="6:10" ht="18.75" customHeight="1">
      <c r="F357" s="1">
        <v>32203</v>
      </c>
      <c r="G357">
        <f t="shared" si="6"/>
        <v>3</v>
      </c>
      <c r="H357" s="7">
        <v>352.22</v>
      </c>
      <c r="J357" s="7"/>
    </row>
    <row r="358" spans="6:10" ht="18.75" customHeight="1">
      <c r="F358" s="1">
        <v>32234</v>
      </c>
      <c r="G358">
        <f t="shared" si="6"/>
        <v>4</v>
      </c>
      <c r="H358" s="7">
        <v>353.59</v>
      </c>
      <c r="J358" s="7"/>
    </row>
    <row r="359" spans="6:10" ht="18.75" customHeight="1">
      <c r="F359" s="1">
        <v>32264</v>
      </c>
      <c r="G359">
        <f t="shared" si="6"/>
        <v>5</v>
      </c>
      <c r="H359" s="7">
        <v>354.22</v>
      </c>
      <c r="J359" s="7"/>
    </row>
    <row r="360" spans="6:10" ht="18.75" customHeight="1">
      <c r="F360" s="1">
        <v>32295</v>
      </c>
      <c r="G360">
        <f t="shared" si="6"/>
        <v>6</v>
      </c>
      <c r="H360" s="7">
        <v>353.8</v>
      </c>
      <c r="J360" s="7"/>
    </row>
    <row r="361" spans="6:10" ht="18.75" customHeight="1">
      <c r="F361" s="1">
        <v>32325</v>
      </c>
      <c r="G361">
        <f t="shared" si="6"/>
        <v>7</v>
      </c>
      <c r="H361" s="7">
        <v>352.38</v>
      </c>
      <c r="J361" s="7"/>
    </row>
    <row r="362" spans="6:10" ht="18.75" customHeight="1">
      <c r="F362" s="1">
        <v>32356</v>
      </c>
      <c r="G362">
        <f t="shared" si="6"/>
        <v>8</v>
      </c>
      <c r="H362" s="7">
        <v>350.43</v>
      </c>
      <c r="J362" s="7"/>
    </row>
    <row r="363" spans="6:10" ht="18.75" customHeight="1">
      <c r="F363" s="1">
        <v>32387</v>
      </c>
      <c r="G363">
        <f t="shared" si="6"/>
        <v>9</v>
      </c>
      <c r="H363" s="7">
        <v>348.73</v>
      </c>
      <c r="J363" s="7"/>
    </row>
    <row r="364" spans="6:10" ht="18.75" customHeight="1">
      <c r="F364" s="1">
        <v>32417</v>
      </c>
      <c r="G364">
        <f t="shared" si="6"/>
        <v>10</v>
      </c>
      <c r="H364" s="7">
        <v>348.88</v>
      </c>
      <c r="J364" s="7"/>
    </row>
    <row r="365" spans="6:10" ht="18.75" customHeight="1">
      <c r="F365" s="1">
        <v>32448</v>
      </c>
      <c r="G365">
        <f t="shared" si="6"/>
        <v>11</v>
      </c>
      <c r="H365" s="7">
        <v>350.07</v>
      </c>
      <c r="J365" s="7"/>
    </row>
    <row r="366" spans="6:10" ht="18.75" customHeight="1">
      <c r="F366" s="1">
        <v>32478</v>
      </c>
      <c r="G366">
        <f t="shared" si="6"/>
        <v>12</v>
      </c>
      <c r="H366" s="7">
        <v>351.34</v>
      </c>
      <c r="J366" s="7"/>
    </row>
    <row r="367" spans="6:10" ht="18.75" customHeight="1">
      <c r="F367" s="1">
        <v>32509</v>
      </c>
      <c r="G367">
        <f t="shared" si="6"/>
        <v>1</v>
      </c>
      <c r="H367" s="7">
        <v>352.76</v>
      </c>
      <c r="J367" s="7"/>
    </row>
    <row r="368" spans="6:10" ht="18.75" customHeight="1">
      <c r="F368" s="1">
        <v>32540</v>
      </c>
      <c r="G368">
        <f t="shared" si="6"/>
        <v>2</v>
      </c>
      <c r="H368" s="7">
        <v>353.07</v>
      </c>
      <c r="J368" s="7"/>
    </row>
    <row r="369" spans="6:10" ht="18.75" customHeight="1">
      <c r="F369" s="1">
        <v>32568</v>
      </c>
      <c r="G369">
        <f t="shared" si="6"/>
        <v>3</v>
      </c>
      <c r="H369" s="7">
        <v>353.68</v>
      </c>
      <c r="J369" s="7"/>
    </row>
    <row r="370" spans="6:10" ht="18.75" customHeight="1">
      <c r="F370" s="1">
        <v>32599</v>
      </c>
      <c r="G370">
        <f t="shared" si="6"/>
        <v>4</v>
      </c>
      <c r="H370" s="7">
        <v>355.42</v>
      </c>
      <c r="J370" s="7"/>
    </row>
    <row r="371" spans="6:10" ht="18.75" customHeight="1">
      <c r="F371" s="1">
        <v>32629</v>
      </c>
      <c r="G371">
        <f t="shared" si="6"/>
        <v>5</v>
      </c>
      <c r="H371" s="7">
        <v>355.67</v>
      </c>
      <c r="J371" s="7"/>
    </row>
    <row r="372" spans="6:10" ht="18.75" customHeight="1">
      <c r="F372" s="1">
        <v>32660</v>
      </c>
      <c r="G372">
        <f t="shared" si="6"/>
        <v>6</v>
      </c>
      <c r="H372" s="7">
        <v>355.12</v>
      </c>
      <c r="J372" s="7"/>
    </row>
    <row r="373" spans="6:10" ht="18.75" customHeight="1">
      <c r="F373" s="1">
        <v>32690</v>
      </c>
      <c r="G373">
        <f t="shared" si="6"/>
        <v>7</v>
      </c>
      <c r="H373" s="7">
        <v>353.9</v>
      </c>
      <c r="J373" s="7"/>
    </row>
    <row r="374" spans="6:10" ht="18.75" customHeight="1">
      <c r="F374" s="1">
        <v>32721</v>
      </c>
      <c r="G374">
        <f t="shared" si="6"/>
        <v>8</v>
      </c>
      <c r="H374" s="7">
        <v>351.67</v>
      </c>
      <c r="J374" s="7"/>
    </row>
    <row r="375" spans="6:10" ht="18.75" customHeight="1">
      <c r="F375" s="1">
        <v>32752</v>
      </c>
      <c r="G375">
        <f t="shared" si="6"/>
        <v>9</v>
      </c>
      <c r="H375" s="7">
        <v>349.81</v>
      </c>
      <c r="J375" s="7"/>
    </row>
    <row r="376" spans="6:10" ht="18.75" customHeight="1">
      <c r="F376" s="1">
        <v>32782</v>
      </c>
      <c r="G376">
        <f t="shared" si="6"/>
        <v>10</v>
      </c>
      <c r="H376" s="7">
        <v>349.99</v>
      </c>
      <c r="J376" s="7"/>
    </row>
    <row r="377" spans="6:10" ht="18.75" customHeight="1">
      <c r="F377" s="1">
        <v>32813</v>
      </c>
      <c r="G377">
        <f t="shared" si="6"/>
        <v>11</v>
      </c>
      <c r="H377" s="7">
        <v>351.3</v>
      </c>
      <c r="J377" s="7"/>
    </row>
    <row r="378" spans="6:10" ht="18.75" customHeight="1">
      <c r="F378" s="1">
        <v>32843</v>
      </c>
      <c r="G378">
        <f t="shared" si="6"/>
        <v>12</v>
      </c>
      <c r="H378" s="7">
        <v>352.52</v>
      </c>
      <c r="J378" s="7"/>
    </row>
    <row r="379" spans="6:10" ht="18.75" customHeight="1">
      <c r="F379" s="1">
        <v>32874</v>
      </c>
      <c r="G379">
        <f t="shared" si="6"/>
        <v>1</v>
      </c>
      <c r="H379" s="7">
        <v>353.66</v>
      </c>
      <c r="J379" s="7"/>
    </row>
    <row r="380" spans="6:10" ht="18.75" customHeight="1">
      <c r="F380" s="1">
        <v>32905</v>
      </c>
      <c r="G380">
        <f t="shared" si="6"/>
        <v>2</v>
      </c>
      <c r="H380" s="7">
        <v>354.7</v>
      </c>
      <c r="J380" s="7"/>
    </row>
    <row r="381" spans="6:10" ht="18.75" customHeight="1">
      <c r="F381" s="1">
        <v>32933</v>
      </c>
      <c r="G381">
        <f t="shared" si="6"/>
        <v>3</v>
      </c>
      <c r="H381" s="7">
        <v>355.38</v>
      </c>
      <c r="J381" s="7"/>
    </row>
    <row r="382" spans="6:10" ht="18.75" customHeight="1">
      <c r="F382" s="1">
        <v>32964</v>
      </c>
      <c r="G382">
        <f t="shared" si="6"/>
        <v>4</v>
      </c>
      <c r="H382" s="7">
        <v>356.2</v>
      </c>
      <c r="J382" s="7"/>
    </row>
    <row r="383" spans="6:10" ht="18.75" customHeight="1">
      <c r="F383" s="1">
        <v>32994</v>
      </c>
      <c r="G383">
        <f t="shared" si="6"/>
        <v>5</v>
      </c>
      <c r="H383" s="7">
        <v>357.16</v>
      </c>
      <c r="J383" s="7"/>
    </row>
    <row r="384" spans="6:10" ht="18.75" customHeight="1">
      <c r="F384" s="1">
        <v>33025</v>
      </c>
      <c r="G384">
        <f t="shared" si="6"/>
        <v>6</v>
      </c>
      <c r="H384" s="7">
        <v>356.23</v>
      </c>
      <c r="J384" s="7"/>
    </row>
    <row r="385" spans="6:10" ht="18.75" customHeight="1">
      <c r="F385" s="1">
        <v>33055</v>
      </c>
      <c r="G385">
        <f t="shared" si="6"/>
        <v>7</v>
      </c>
      <c r="H385" s="7">
        <v>354.81</v>
      </c>
      <c r="J385" s="7"/>
    </row>
    <row r="386" spans="6:10" ht="18.75" customHeight="1">
      <c r="F386" s="1">
        <v>33086</v>
      </c>
      <c r="G386">
        <f t="shared" si="6"/>
        <v>8</v>
      </c>
      <c r="H386" s="7">
        <v>352.91</v>
      </c>
      <c r="J386" s="7"/>
    </row>
    <row r="387" spans="6:10" ht="18.75" customHeight="1">
      <c r="F387" s="1">
        <v>33117</v>
      </c>
      <c r="G387">
        <f t="shared" ref="G387:G450" si="7">MONTH(F387)</f>
        <v>9</v>
      </c>
      <c r="H387" s="7">
        <v>350.96</v>
      </c>
      <c r="J387" s="7"/>
    </row>
    <row r="388" spans="6:10" ht="18.75" customHeight="1">
      <c r="F388" s="1">
        <v>33147</v>
      </c>
      <c r="G388">
        <f t="shared" si="7"/>
        <v>10</v>
      </c>
      <c r="H388" s="7">
        <v>351.18</v>
      </c>
      <c r="J388" s="7"/>
    </row>
    <row r="389" spans="6:10" ht="18.75" customHeight="1">
      <c r="F389" s="1">
        <v>33178</v>
      </c>
      <c r="G389">
        <f t="shared" si="7"/>
        <v>11</v>
      </c>
      <c r="H389" s="7">
        <v>352.83</v>
      </c>
      <c r="J389" s="7"/>
    </row>
    <row r="390" spans="6:10" ht="18.75" customHeight="1">
      <c r="F390" s="1">
        <v>33208</v>
      </c>
      <c r="G390">
        <f t="shared" si="7"/>
        <v>12</v>
      </c>
      <c r="H390" s="7">
        <v>354.21</v>
      </c>
      <c r="J390" s="7"/>
    </row>
    <row r="391" spans="6:10" ht="18.75" customHeight="1">
      <c r="F391" s="1">
        <v>33239</v>
      </c>
      <c r="G391">
        <f t="shared" si="7"/>
        <v>1</v>
      </c>
      <c r="H391" s="7">
        <v>354.72</v>
      </c>
      <c r="J391" s="7"/>
    </row>
    <row r="392" spans="6:10" ht="18.75" customHeight="1">
      <c r="F392" s="1">
        <v>33270</v>
      </c>
      <c r="G392">
        <f t="shared" si="7"/>
        <v>2</v>
      </c>
      <c r="H392" s="7">
        <v>355.75</v>
      </c>
      <c r="J392" s="7"/>
    </row>
    <row r="393" spans="6:10" ht="18.75" customHeight="1">
      <c r="F393" s="1">
        <v>33298</v>
      </c>
      <c r="G393">
        <f t="shared" si="7"/>
        <v>3</v>
      </c>
      <c r="H393" s="7">
        <v>357.16</v>
      </c>
      <c r="J393" s="7"/>
    </row>
    <row r="394" spans="6:10" ht="18.75" customHeight="1">
      <c r="F394" s="1">
        <v>33329</v>
      </c>
      <c r="G394">
        <f t="shared" si="7"/>
        <v>4</v>
      </c>
      <c r="H394" s="7">
        <v>358.6</v>
      </c>
      <c r="J394" s="7"/>
    </row>
    <row r="395" spans="6:10" ht="18.75" customHeight="1">
      <c r="F395" s="1">
        <v>33359</v>
      </c>
      <c r="G395">
        <f t="shared" si="7"/>
        <v>5</v>
      </c>
      <c r="H395" s="7">
        <v>359.34</v>
      </c>
      <c r="J395" s="7"/>
    </row>
    <row r="396" spans="6:10" ht="18.75" customHeight="1">
      <c r="F396" s="1">
        <v>33390</v>
      </c>
      <c r="G396">
        <f t="shared" si="7"/>
        <v>6</v>
      </c>
      <c r="H396" s="7">
        <v>358.24</v>
      </c>
      <c r="J396" s="7"/>
    </row>
    <row r="397" spans="6:10" ht="18.75" customHeight="1">
      <c r="F397" s="1">
        <v>33420</v>
      </c>
      <c r="G397">
        <f t="shared" si="7"/>
        <v>7</v>
      </c>
      <c r="H397" s="7">
        <v>356.17</v>
      </c>
      <c r="J397" s="7"/>
    </row>
    <row r="398" spans="6:10" ht="18.75" customHeight="1">
      <c r="F398" s="1">
        <v>33451</v>
      </c>
      <c r="G398">
        <f t="shared" si="7"/>
        <v>8</v>
      </c>
      <c r="H398" s="7">
        <v>354.01</v>
      </c>
      <c r="J398" s="7"/>
    </row>
    <row r="399" spans="6:10" ht="18.75" customHeight="1">
      <c r="F399" s="1">
        <v>33482</v>
      </c>
      <c r="G399">
        <f t="shared" si="7"/>
        <v>9</v>
      </c>
      <c r="H399" s="7">
        <v>352.15</v>
      </c>
      <c r="J399" s="7"/>
    </row>
    <row r="400" spans="6:10" ht="18.75" customHeight="1">
      <c r="F400" s="1">
        <v>33512</v>
      </c>
      <c r="G400">
        <f t="shared" si="7"/>
        <v>10</v>
      </c>
      <c r="H400" s="7">
        <v>352.21</v>
      </c>
      <c r="J400" s="7"/>
    </row>
    <row r="401" spans="6:10" ht="18.75" customHeight="1">
      <c r="F401" s="1">
        <v>33543</v>
      </c>
      <c r="G401">
        <f t="shared" si="7"/>
        <v>11</v>
      </c>
      <c r="H401" s="7">
        <v>353.75</v>
      </c>
      <c r="J401" s="7"/>
    </row>
    <row r="402" spans="6:10" ht="18.75" customHeight="1">
      <c r="F402" s="1">
        <v>33573</v>
      </c>
      <c r="G402">
        <f t="shared" si="7"/>
        <v>12</v>
      </c>
      <c r="H402" s="7">
        <v>354.99</v>
      </c>
      <c r="J402" s="7"/>
    </row>
    <row r="403" spans="6:10" ht="18.75" customHeight="1">
      <c r="F403" s="1">
        <v>33604</v>
      </c>
      <c r="G403">
        <f t="shared" si="7"/>
        <v>1</v>
      </c>
      <c r="H403" s="7">
        <v>355.99</v>
      </c>
      <c r="J403" s="7"/>
    </row>
    <row r="404" spans="6:10" ht="18.75" customHeight="1">
      <c r="F404" s="1">
        <v>33635</v>
      </c>
      <c r="G404">
        <f t="shared" si="7"/>
        <v>2</v>
      </c>
      <c r="H404" s="7">
        <v>356.72</v>
      </c>
      <c r="J404" s="7"/>
    </row>
    <row r="405" spans="6:10" ht="18.75" customHeight="1">
      <c r="F405" s="1">
        <v>33664</v>
      </c>
      <c r="G405">
        <f t="shared" si="7"/>
        <v>3</v>
      </c>
      <c r="H405" s="7">
        <v>357.81</v>
      </c>
      <c r="J405" s="7"/>
    </row>
    <row r="406" spans="6:10" ht="18.75" customHeight="1">
      <c r="F406" s="1">
        <v>33695</v>
      </c>
      <c r="G406">
        <f t="shared" si="7"/>
        <v>4</v>
      </c>
      <c r="H406" s="7">
        <v>359.15</v>
      </c>
      <c r="J406" s="7"/>
    </row>
    <row r="407" spans="6:10" ht="18.75" customHeight="1">
      <c r="F407" s="1">
        <v>33725</v>
      </c>
      <c r="G407">
        <f t="shared" si="7"/>
        <v>5</v>
      </c>
      <c r="H407" s="7">
        <v>359.66</v>
      </c>
      <c r="J407" s="7"/>
    </row>
    <row r="408" spans="6:10" ht="18.75" customHeight="1">
      <c r="F408" s="1">
        <v>33756</v>
      </c>
      <c r="G408">
        <f t="shared" si="7"/>
        <v>6</v>
      </c>
      <c r="H408" s="7">
        <v>359.25</v>
      </c>
      <c r="J408" s="7"/>
    </row>
    <row r="409" spans="6:10" ht="18.75" customHeight="1">
      <c r="F409" s="1">
        <v>33786</v>
      </c>
      <c r="G409">
        <f t="shared" si="7"/>
        <v>7</v>
      </c>
      <c r="H409" s="7">
        <v>357.02</v>
      </c>
      <c r="J409" s="7"/>
    </row>
    <row r="410" spans="6:10" ht="18.75" customHeight="1">
      <c r="F410" s="1">
        <v>33817</v>
      </c>
      <c r="G410">
        <f t="shared" si="7"/>
        <v>8</v>
      </c>
      <c r="H410" s="7">
        <v>355</v>
      </c>
      <c r="J410" s="7"/>
    </row>
    <row r="411" spans="6:10" ht="18.75" customHeight="1">
      <c r="F411" s="1">
        <v>33848</v>
      </c>
      <c r="G411">
        <f t="shared" si="7"/>
        <v>9</v>
      </c>
      <c r="H411" s="7">
        <v>353.01</v>
      </c>
      <c r="J411" s="7"/>
    </row>
    <row r="412" spans="6:10" ht="18.75" customHeight="1">
      <c r="F412" s="1">
        <v>33878</v>
      </c>
      <c r="G412">
        <f t="shared" si="7"/>
        <v>10</v>
      </c>
      <c r="H412" s="7">
        <v>353.31</v>
      </c>
      <c r="J412" s="7"/>
    </row>
    <row r="413" spans="6:10" ht="18.75" customHeight="1">
      <c r="F413" s="1">
        <v>33909</v>
      </c>
      <c r="G413">
        <f t="shared" si="7"/>
        <v>11</v>
      </c>
      <c r="H413" s="7">
        <v>354.16</v>
      </c>
      <c r="J413" s="7"/>
    </row>
    <row r="414" spans="6:10" ht="18.75" customHeight="1">
      <c r="F414" s="1">
        <v>33939</v>
      </c>
      <c r="G414">
        <f t="shared" si="7"/>
        <v>12</v>
      </c>
      <c r="H414" s="7">
        <v>355.4</v>
      </c>
      <c r="J414" s="7"/>
    </row>
    <row r="415" spans="6:10" ht="18.75" customHeight="1">
      <c r="F415" s="1">
        <v>33970</v>
      </c>
      <c r="G415">
        <f t="shared" si="7"/>
        <v>1</v>
      </c>
      <c r="H415" s="7">
        <v>356.7</v>
      </c>
      <c r="J415" s="7"/>
    </row>
    <row r="416" spans="6:10" ht="18.75" customHeight="1">
      <c r="F416" s="1">
        <v>34001</v>
      </c>
      <c r="G416">
        <f t="shared" si="7"/>
        <v>2</v>
      </c>
      <c r="H416" s="7">
        <v>357.17</v>
      </c>
      <c r="J416" s="7"/>
    </row>
    <row r="417" spans="6:10" ht="18.75" customHeight="1">
      <c r="F417" s="1">
        <v>34029</v>
      </c>
      <c r="G417">
        <f t="shared" si="7"/>
        <v>3</v>
      </c>
      <c r="H417" s="7">
        <v>358.38</v>
      </c>
      <c r="J417" s="7"/>
    </row>
    <row r="418" spans="6:10" ht="18.75" customHeight="1">
      <c r="F418" s="1">
        <v>34060</v>
      </c>
      <c r="G418">
        <f t="shared" si="7"/>
        <v>4</v>
      </c>
      <c r="H418" s="7">
        <v>359.46</v>
      </c>
      <c r="J418" s="7"/>
    </row>
    <row r="419" spans="6:10" ht="18.75" customHeight="1">
      <c r="F419" s="1">
        <v>34090</v>
      </c>
      <c r="G419">
        <f t="shared" si="7"/>
        <v>5</v>
      </c>
      <c r="H419" s="7">
        <v>360.28</v>
      </c>
      <c r="J419" s="7"/>
    </row>
    <row r="420" spans="6:10" ht="18.75" customHeight="1">
      <c r="F420" s="1">
        <v>34121</v>
      </c>
      <c r="G420">
        <f t="shared" si="7"/>
        <v>6</v>
      </c>
      <c r="H420" s="7">
        <v>359.6</v>
      </c>
      <c r="J420" s="7"/>
    </row>
    <row r="421" spans="6:10" ht="18.75" customHeight="1">
      <c r="F421" s="1">
        <v>34151</v>
      </c>
      <c r="G421">
        <f t="shared" si="7"/>
        <v>7</v>
      </c>
      <c r="H421" s="7">
        <v>357.57</v>
      </c>
      <c r="J421" s="7"/>
    </row>
    <row r="422" spans="6:10" ht="18.75" customHeight="1">
      <c r="F422" s="1">
        <v>34182</v>
      </c>
      <c r="G422">
        <f t="shared" si="7"/>
        <v>8</v>
      </c>
      <c r="H422" s="7">
        <v>355.52</v>
      </c>
      <c r="J422" s="7"/>
    </row>
    <row r="423" spans="6:10" ht="18.75" customHeight="1">
      <c r="F423" s="1">
        <v>34213</v>
      </c>
      <c r="G423">
        <f t="shared" si="7"/>
        <v>9</v>
      </c>
      <c r="H423" s="7">
        <v>353.69</v>
      </c>
      <c r="J423" s="7"/>
    </row>
    <row r="424" spans="6:10" ht="18.75" customHeight="1">
      <c r="F424" s="1">
        <v>34243</v>
      </c>
      <c r="G424">
        <f t="shared" si="7"/>
        <v>10</v>
      </c>
      <c r="H424" s="7">
        <v>353.99</v>
      </c>
      <c r="J424" s="7"/>
    </row>
    <row r="425" spans="6:10" ht="18.75" customHeight="1">
      <c r="F425" s="1">
        <v>34274</v>
      </c>
      <c r="G425">
        <f t="shared" si="7"/>
        <v>11</v>
      </c>
      <c r="H425" s="7">
        <v>355.34</v>
      </c>
      <c r="J425" s="7"/>
    </row>
    <row r="426" spans="6:10" ht="18.75" customHeight="1">
      <c r="F426" s="1">
        <v>34304</v>
      </c>
      <c r="G426">
        <f t="shared" si="7"/>
        <v>12</v>
      </c>
      <c r="H426" s="7">
        <v>356.8</v>
      </c>
      <c r="J426" s="7"/>
    </row>
    <row r="427" spans="6:10" ht="18.75" customHeight="1">
      <c r="F427" s="1">
        <v>34335</v>
      </c>
      <c r="G427">
        <f t="shared" si="7"/>
        <v>1</v>
      </c>
      <c r="H427" s="7">
        <v>358.37</v>
      </c>
      <c r="J427" s="7"/>
    </row>
    <row r="428" spans="6:10" ht="18.75" customHeight="1">
      <c r="F428" s="1">
        <v>34366</v>
      </c>
      <c r="G428">
        <f t="shared" si="7"/>
        <v>2</v>
      </c>
      <c r="H428" s="7">
        <v>358.91</v>
      </c>
      <c r="J428" s="7"/>
    </row>
    <row r="429" spans="6:10" ht="18.75" customHeight="1">
      <c r="F429" s="1">
        <v>34394</v>
      </c>
      <c r="G429">
        <f t="shared" si="7"/>
        <v>3</v>
      </c>
      <c r="H429" s="7">
        <v>359.97</v>
      </c>
      <c r="J429" s="7"/>
    </row>
    <row r="430" spans="6:10" ht="18.75" customHeight="1">
      <c r="F430" s="1">
        <v>34425</v>
      </c>
      <c r="G430">
        <f t="shared" si="7"/>
        <v>4</v>
      </c>
      <c r="H430" s="7">
        <v>361.26</v>
      </c>
      <c r="J430" s="7"/>
    </row>
    <row r="431" spans="6:10" ht="18.75" customHeight="1">
      <c r="F431" s="1">
        <v>34455</v>
      </c>
      <c r="G431">
        <f t="shared" si="7"/>
        <v>5</v>
      </c>
      <c r="H431" s="7">
        <v>361.69</v>
      </c>
      <c r="J431" s="7"/>
    </row>
    <row r="432" spans="6:10" ht="18.75" customHeight="1">
      <c r="F432" s="1">
        <v>34486</v>
      </c>
      <c r="G432">
        <f t="shared" si="7"/>
        <v>6</v>
      </c>
      <c r="H432" s="7">
        <v>360.94</v>
      </c>
      <c r="J432" s="7"/>
    </row>
    <row r="433" spans="6:10" ht="18.75" customHeight="1">
      <c r="F433" s="1">
        <v>34516</v>
      </c>
      <c r="G433">
        <f t="shared" si="7"/>
        <v>7</v>
      </c>
      <c r="H433" s="7">
        <v>359.55</v>
      </c>
      <c r="J433" s="7"/>
    </row>
    <row r="434" spans="6:10" ht="18.75" customHeight="1">
      <c r="F434" s="1">
        <v>34547</v>
      </c>
      <c r="G434">
        <f t="shared" si="7"/>
        <v>8</v>
      </c>
      <c r="H434" s="7">
        <v>357.48</v>
      </c>
      <c r="J434" s="7"/>
    </row>
    <row r="435" spans="6:10" ht="18.75" customHeight="1">
      <c r="F435" s="1">
        <v>34578</v>
      </c>
      <c r="G435">
        <f t="shared" si="7"/>
        <v>9</v>
      </c>
      <c r="H435" s="7">
        <v>355.84</v>
      </c>
      <c r="J435" s="7"/>
    </row>
    <row r="436" spans="6:10" ht="18.75" customHeight="1">
      <c r="F436" s="1">
        <v>34608</v>
      </c>
      <c r="G436">
        <f t="shared" si="7"/>
        <v>10</v>
      </c>
      <c r="H436" s="7">
        <v>356</v>
      </c>
      <c r="J436" s="7"/>
    </row>
    <row r="437" spans="6:10" ht="18.75" customHeight="1">
      <c r="F437" s="1">
        <v>34639</v>
      </c>
      <c r="G437">
        <f t="shared" si="7"/>
        <v>11</v>
      </c>
      <c r="H437" s="7">
        <v>357.58</v>
      </c>
      <c r="J437" s="7"/>
    </row>
    <row r="438" spans="6:10" ht="18.75" customHeight="1">
      <c r="F438" s="1">
        <v>34669</v>
      </c>
      <c r="G438">
        <f t="shared" si="7"/>
        <v>12</v>
      </c>
      <c r="H438" s="7">
        <v>359.04</v>
      </c>
      <c r="J438" s="7"/>
    </row>
    <row r="439" spans="6:10" ht="18.75" customHeight="1">
      <c r="F439" s="1">
        <v>34700</v>
      </c>
      <c r="G439">
        <f t="shared" si="7"/>
        <v>1</v>
      </c>
      <c r="H439" s="7">
        <v>359.97</v>
      </c>
      <c r="J439" s="7"/>
    </row>
    <row r="440" spans="6:10" ht="18.75" customHeight="1">
      <c r="F440" s="1">
        <v>34731</v>
      </c>
      <c r="G440">
        <f t="shared" si="7"/>
        <v>2</v>
      </c>
      <c r="H440" s="7">
        <v>361</v>
      </c>
      <c r="J440" s="7"/>
    </row>
    <row r="441" spans="6:10" ht="18.75" customHeight="1">
      <c r="F441" s="1">
        <v>34759</v>
      </c>
      <c r="G441">
        <f t="shared" si="7"/>
        <v>3</v>
      </c>
      <c r="H441" s="7">
        <v>361.63</v>
      </c>
      <c r="J441" s="7"/>
    </row>
    <row r="442" spans="6:10" ht="18.75" customHeight="1">
      <c r="F442" s="1">
        <v>34790</v>
      </c>
      <c r="G442">
        <f t="shared" si="7"/>
        <v>4</v>
      </c>
      <c r="H442" s="7">
        <v>363.45</v>
      </c>
      <c r="J442" s="7"/>
    </row>
    <row r="443" spans="6:10" ht="18.75" customHeight="1">
      <c r="F443" s="1">
        <v>34820</v>
      </c>
      <c r="G443">
        <f t="shared" si="7"/>
        <v>5</v>
      </c>
      <c r="H443" s="7">
        <v>363.8</v>
      </c>
      <c r="J443" s="7"/>
    </row>
    <row r="444" spans="6:10" ht="18.75" customHeight="1">
      <c r="F444" s="1">
        <v>34851</v>
      </c>
      <c r="G444">
        <f t="shared" si="7"/>
        <v>6</v>
      </c>
      <c r="H444" s="7">
        <v>363.26</v>
      </c>
      <c r="J444" s="7"/>
    </row>
    <row r="445" spans="6:10" ht="18.75" customHeight="1">
      <c r="F445" s="1">
        <v>34881</v>
      </c>
      <c r="G445">
        <f t="shared" si="7"/>
        <v>7</v>
      </c>
      <c r="H445" s="7">
        <v>361.89</v>
      </c>
      <c r="J445" s="7"/>
    </row>
    <row r="446" spans="6:10" ht="18.75" customHeight="1">
      <c r="F446" s="1">
        <v>34912</v>
      </c>
      <c r="G446">
        <f t="shared" si="7"/>
        <v>8</v>
      </c>
      <c r="H446" s="7">
        <v>359.45</v>
      </c>
      <c r="J446" s="7"/>
    </row>
    <row r="447" spans="6:10" ht="18.75" customHeight="1">
      <c r="F447" s="1">
        <v>34943</v>
      </c>
      <c r="G447">
        <f t="shared" si="7"/>
        <v>9</v>
      </c>
      <c r="H447" s="7">
        <v>358.05</v>
      </c>
      <c r="J447" s="7"/>
    </row>
    <row r="448" spans="6:10" ht="18.75" customHeight="1">
      <c r="F448" s="1">
        <v>34973</v>
      </c>
      <c r="G448">
        <f t="shared" si="7"/>
        <v>10</v>
      </c>
      <c r="H448" s="7">
        <v>357.75</v>
      </c>
      <c r="J448" s="7"/>
    </row>
    <row r="449" spans="6:10" ht="18.75" customHeight="1">
      <c r="F449" s="1">
        <v>35004</v>
      </c>
      <c r="G449">
        <f t="shared" si="7"/>
        <v>11</v>
      </c>
      <c r="H449" s="7">
        <v>359.56</v>
      </c>
      <c r="J449" s="7"/>
    </row>
    <row r="450" spans="6:10" ht="18.75" customHeight="1">
      <c r="F450" s="1">
        <v>35034</v>
      </c>
      <c r="G450">
        <f t="shared" si="7"/>
        <v>12</v>
      </c>
      <c r="H450" s="7">
        <v>360.7</v>
      </c>
      <c r="J450" s="7"/>
    </row>
    <row r="451" spans="6:10" ht="18.75" customHeight="1">
      <c r="F451" s="1">
        <v>35065</v>
      </c>
      <c r="G451">
        <f t="shared" ref="G451:G514" si="8">MONTH(F451)</f>
        <v>1</v>
      </c>
      <c r="H451" s="7">
        <v>362.05</v>
      </c>
      <c r="J451" s="7"/>
    </row>
    <row r="452" spans="6:10" ht="18.75" customHeight="1">
      <c r="F452" s="1">
        <v>35096</v>
      </c>
      <c r="G452">
        <f t="shared" si="8"/>
        <v>2</v>
      </c>
      <c r="H452" s="7">
        <v>363.24</v>
      </c>
      <c r="J452" s="7"/>
    </row>
    <row r="453" spans="6:10" ht="18.75" customHeight="1">
      <c r="F453" s="1">
        <v>35125</v>
      </c>
      <c r="G453">
        <f t="shared" si="8"/>
        <v>3</v>
      </c>
      <c r="H453" s="7">
        <v>364.02</v>
      </c>
      <c r="J453" s="7"/>
    </row>
    <row r="454" spans="6:10" ht="18.75" customHeight="1">
      <c r="F454" s="1">
        <v>35156</v>
      </c>
      <c r="G454">
        <f t="shared" si="8"/>
        <v>4</v>
      </c>
      <c r="H454" s="7">
        <v>364.71</v>
      </c>
      <c r="J454" s="7"/>
    </row>
    <row r="455" spans="6:10" ht="18.75" customHeight="1">
      <c r="F455" s="1">
        <v>35186</v>
      </c>
      <c r="G455">
        <f t="shared" si="8"/>
        <v>5</v>
      </c>
      <c r="H455" s="7">
        <v>365.42</v>
      </c>
      <c r="J455" s="7"/>
    </row>
    <row r="456" spans="6:10" ht="18.75" customHeight="1">
      <c r="F456" s="1">
        <v>35217</v>
      </c>
      <c r="G456">
        <f t="shared" si="8"/>
        <v>6</v>
      </c>
      <c r="H456" s="7">
        <v>364.97</v>
      </c>
      <c r="J456" s="7"/>
    </row>
    <row r="457" spans="6:10" ht="18.75" customHeight="1">
      <c r="F457" s="1">
        <v>35247</v>
      </c>
      <c r="G457">
        <f t="shared" si="8"/>
        <v>7</v>
      </c>
      <c r="H457" s="7">
        <v>363.65</v>
      </c>
      <c r="J457" s="7"/>
    </row>
    <row r="458" spans="6:10" ht="18.75" customHeight="1">
      <c r="F458" s="1">
        <v>35278</v>
      </c>
      <c r="G458">
        <f t="shared" si="8"/>
        <v>8</v>
      </c>
      <c r="H458" s="7">
        <v>361.48</v>
      </c>
      <c r="J458" s="7"/>
    </row>
    <row r="459" spans="6:10" ht="18.75" customHeight="1">
      <c r="F459" s="1">
        <v>35309</v>
      </c>
      <c r="G459">
        <f t="shared" si="8"/>
        <v>9</v>
      </c>
      <c r="H459" s="7">
        <v>359.45</v>
      </c>
      <c r="J459" s="7"/>
    </row>
    <row r="460" spans="6:10" ht="18.75" customHeight="1">
      <c r="F460" s="1">
        <v>35339</v>
      </c>
      <c r="G460">
        <f t="shared" si="8"/>
        <v>10</v>
      </c>
      <c r="H460" s="7">
        <v>359.61</v>
      </c>
      <c r="J460" s="7"/>
    </row>
    <row r="461" spans="6:10" ht="18.75" customHeight="1">
      <c r="F461" s="1">
        <v>35370</v>
      </c>
      <c r="G461">
        <f t="shared" si="8"/>
        <v>11</v>
      </c>
      <c r="H461" s="7">
        <v>360.76</v>
      </c>
      <c r="J461" s="7"/>
    </row>
    <row r="462" spans="6:10" ht="18.75" customHeight="1">
      <c r="F462" s="1">
        <v>35400</v>
      </c>
      <c r="G462">
        <f t="shared" si="8"/>
        <v>12</v>
      </c>
      <c r="H462" s="7">
        <v>362.33</v>
      </c>
      <c r="J462" s="7"/>
    </row>
    <row r="463" spans="6:10" ht="18.75" customHeight="1">
      <c r="F463" s="1">
        <v>35431</v>
      </c>
      <c r="G463">
        <f t="shared" si="8"/>
        <v>1</v>
      </c>
      <c r="H463" s="7">
        <v>363.19</v>
      </c>
      <c r="J463" s="7"/>
    </row>
    <row r="464" spans="6:10" ht="18.75" customHeight="1">
      <c r="F464" s="1">
        <v>35462</v>
      </c>
      <c r="G464">
        <f t="shared" si="8"/>
        <v>2</v>
      </c>
      <c r="H464" s="7">
        <v>363.99</v>
      </c>
      <c r="J464" s="7"/>
    </row>
    <row r="465" spans="6:10" ht="18.75" customHeight="1">
      <c r="F465" s="1">
        <v>35490</v>
      </c>
      <c r="G465">
        <f t="shared" si="8"/>
        <v>3</v>
      </c>
      <c r="H465" s="7">
        <v>364.56</v>
      </c>
      <c r="J465" s="7"/>
    </row>
    <row r="466" spans="6:10" ht="18.75" customHeight="1">
      <c r="F466" s="1">
        <v>35521</v>
      </c>
      <c r="G466">
        <f t="shared" si="8"/>
        <v>4</v>
      </c>
      <c r="H466" s="7">
        <v>366.36</v>
      </c>
      <c r="J466" s="7"/>
    </row>
    <row r="467" spans="6:10" ht="18.75" customHeight="1">
      <c r="F467" s="1">
        <v>35551</v>
      </c>
      <c r="G467">
        <f t="shared" si="8"/>
        <v>5</v>
      </c>
      <c r="H467" s="7">
        <v>366.8</v>
      </c>
      <c r="J467" s="7"/>
    </row>
    <row r="468" spans="6:10" ht="18.75" customHeight="1">
      <c r="F468" s="1">
        <v>35582</v>
      </c>
      <c r="G468">
        <f t="shared" si="8"/>
        <v>6</v>
      </c>
      <c r="H468" s="7">
        <v>365.63</v>
      </c>
      <c r="J468" s="7"/>
    </row>
    <row r="469" spans="6:10" ht="18.75" customHeight="1">
      <c r="F469" s="1">
        <v>35612</v>
      </c>
      <c r="G469">
        <f t="shared" si="8"/>
        <v>7</v>
      </c>
      <c r="H469" s="7">
        <v>364.47</v>
      </c>
      <c r="J469" s="7"/>
    </row>
    <row r="470" spans="6:10" ht="18.75" customHeight="1">
      <c r="F470" s="1">
        <v>35643</v>
      </c>
      <c r="G470">
        <f t="shared" si="8"/>
        <v>8</v>
      </c>
      <c r="H470" s="7">
        <v>362.5</v>
      </c>
      <c r="J470" s="7"/>
    </row>
    <row r="471" spans="6:10" ht="18.75" customHeight="1">
      <c r="F471" s="1">
        <v>35674</v>
      </c>
      <c r="G471">
        <f t="shared" si="8"/>
        <v>9</v>
      </c>
      <c r="H471" s="7">
        <v>360.19</v>
      </c>
      <c r="J471" s="7"/>
    </row>
    <row r="472" spans="6:10" ht="18.75" customHeight="1">
      <c r="F472" s="1">
        <v>35704</v>
      </c>
      <c r="G472">
        <f t="shared" si="8"/>
        <v>10</v>
      </c>
      <c r="H472" s="7">
        <v>360.78</v>
      </c>
      <c r="J472" s="7"/>
    </row>
    <row r="473" spans="6:10" ht="18.75" customHeight="1">
      <c r="F473" s="1">
        <v>35735</v>
      </c>
      <c r="G473">
        <f t="shared" si="8"/>
        <v>11</v>
      </c>
      <c r="H473" s="7">
        <v>362.43</v>
      </c>
      <c r="J473" s="7"/>
    </row>
    <row r="474" spans="6:10" ht="18.75" customHeight="1">
      <c r="F474" s="1">
        <v>35765</v>
      </c>
      <c r="G474">
        <f t="shared" si="8"/>
        <v>12</v>
      </c>
      <c r="H474" s="7">
        <v>364.28</v>
      </c>
      <c r="J474" s="7"/>
    </row>
    <row r="475" spans="6:10" ht="18.75" customHeight="1">
      <c r="F475" s="1">
        <v>35796</v>
      </c>
      <c r="G475">
        <f t="shared" si="8"/>
        <v>1</v>
      </c>
      <c r="H475" s="7">
        <v>365.33</v>
      </c>
      <c r="J475" s="7"/>
    </row>
    <row r="476" spans="6:10" ht="18.75" customHeight="1">
      <c r="F476" s="1">
        <v>35827</v>
      </c>
      <c r="G476">
        <f t="shared" si="8"/>
        <v>2</v>
      </c>
      <c r="H476" s="7">
        <v>366.15</v>
      </c>
      <c r="J476" s="7"/>
    </row>
    <row r="477" spans="6:10" ht="18.75" customHeight="1">
      <c r="F477" s="1">
        <v>35855</v>
      </c>
      <c r="G477">
        <f t="shared" si="8"/>
        <v>3</v>
      </c>
      <c r="H477" s="7">
        <v>367.31</v>
      </c>
      <c r="J477" s="7"/>
    </row>
    <row r="478" spans="6:10" ht="18.75" customHeight="1">
      <c r="F478" s="1">
        <v>35886</v>
      </c>
      <c r="G478">
        <f t="shared" si="8"/>
        <v>4</v>
      </c>
      <c r="H478" s="7">
        <v>368.61</v>
      </c>
      <c r="J478" s="7"/>
    </row>
    <row r="479" spans="6:10" ht="18.75" customHeight="1">
      <c r="F479" s="1">
        <v>35916</v>
      </c>
      <c r="G479">
        <f t="shared" si="8"/>
        <v>5</v>
      </c>
      <c r="H479" s="7">
        <v>369.3</v>
      </c>
      <c r="J479" s="7"/>
    </row>
    <row r="480" spans="6:10" ht="18.75" customHeight="1">
      <c r="F480" s="1">
        <v>35947</v>
      </c>
      <c r="G480">
        <f t="shared" si="8"/>
        <v>6</v>
      </c>
      <c r="H480" s="7">
        <v>368.88</v>
      </c>
      <c r="J480" s="7"/>
    </row>
    <row r="481" spans="6:10" ht="18.75" customHeight="1">
      <c r="F481" s="1">
        <v>35977</v>
      </c>
      <c r="G481">
        <f t="shared" si="8"/>
        <v>7</v>
      </c>
      <c r="H481" s="7">
        <v>367.64</v>
      </c>
      <c r="J481" s="7"/>
    </row>
    <row r="482" spans="6:10" ht="18.75" customHeight="1">
      <c r="F482" s="1">
        <v>36008</v>
      </c>
      <c r="G482">
        <f t="shared" si="8"/>
        <v>8</v>
      </c>
      <c r="H482" s="7">
        <v>365.78</v>
      </c>
      <c r="J482" s="7"/>
    </row>
    <row r="483" spans="6:10" ht="18.75" customHeight="1">
      <c r="F483" s="1">
        <v>36039</v>
      </c>
      <c r="G483">
        <f t="shared" si="8"/>
        <v>9</v>
      </c>
      <c r="H483" s="7">
        <v>363.9</v>
      </c>
      <c r="J483" s="7"/>
    </row>
    <row r="484" spans="6:10" ht="18.75" customHeight="1">
      <c r="F484" s="1">
        <v>36069</v>
      </c>
      <c r="G484">
        <f t="shared" si="8"/>
        <v>10</v>
      </c>
      <c r="H484" s="7">
        <v>364.23</v>
      </c>
      <c r="J484" s="7"/>
    </row>
    <row r="485" spans="6:10" ht="18.75" customHeight="1">
      <c r="F485" s="1">
        <v>36100</v>
      </c>
      <c r="G485">
        <f t="shared" si="8"/>
        <v>11</v>
      </c>
      <c r="H485" s="7">
        <v>365.46</v>
      </c>
      <c r="J485" s="7"/>
    </row>
    <row r="486" spans="6:10" ht="18.75" customHeight="1">
      <c r="F486" s="1">
        <v>36130</v>
      </c>
      <c r="G486">
        <f t="shared" si="8"/>
        <v>12</v>
      </c>
      <c r="H486" s="7">
        <v>366.97</v>
      </c>
      <c r="J486" s="7"/>
    </row>
    <row r="487" spans="6:10" ht="18.75" customHeight="1">
      <c r="F487" s="1">
        <v>36161</v>
      </c>
      <c r="G487">
        <f t="shared" si="8"/>
        <v>1</v>
      </c>
      <c r="H487" s="7">
        <v>368.15</v>
      </c>
      <c r="J487" s="7"/>
    </row>
    <row r="488" spans="6:10" ht="18.75" customHeight="1">
      <c r="F488" s="1">
        <v>36192</v>
      </c>
      <c r="G488">
        <f t="shared" si="8"/>
        <v>2</v>
      </c>
      <c r="H488" s="7">
        <v>368.87</v>
      </c>
      <c r="J488" s="7"/>
    </row>
    <row r="489" spans="6:10" ht="18.75" customHeight="1">
      <c r="F489" s="1">
        <v>36220</v>
      </c>
      <c r="G489">
        <f t="shared" si="8"/>
        <v>3</v>
      </c>
      <c r="H489" s="7">
        <v>369.59</v>
      </c>
      <c r="J489" s="7"/>
    </row>
    <row r="490" spans="6:10" ht="18.75" customHeight="1">
      <c r="F490" s="1">
        <v>36251</v>
      </c>
      <c r="G490">
        <f t="shared" si="8"/>
        <v>4</v>
      </c>
      <c r="H490" s="7">
        <v>371.14</v>
      </c>
      <c r="J490" s="7"/>
    </row>
    <row r="491" spans="6:10" ht="18.75" customHeight="1">
      <c r="F491" s="1">
        <v>36281</v>
      </c>
      <c r="G491">
        <f t="shared" si="8"/>
        <v>5</v>
      </c>
      <c r="H491" s="7">
        <v>371</v>
      </c>
      <c r="J491" s="7"/>
    </row>
    <row r="492" spans="6:10" ht="18.75" customHeight="1">
      <c r="F492" s="1">
        <v>36312</v>
      </c>
      <c r="G492">
        <f t="shared" si="8"/>
        <v>6</v>
      </c>
      <c r="H492" s="7">
        <v>370.35</v>
      </c>
      <c r="J492" s="7"/>
    </row>
    <row r="493" spans="6:10" ht="18.75" customHeight="1">
      <c r="F493" s="1">
        <v>36342</v>
      </c>
      <c r="G493">
        <f t="shared" si="8"/>
        <v>7</v>
      </c>
      <c r="H493" s="7">
        <v>369.27</v>
      </c>
      <c r="J493" s="7"/>
    </row>
    <row r="494" spans="6:10" ht="18.75" customHeight="1">
      <c r="F494" s="1">
        <v>36373</v>
      </c>
      <c r="G494">
        <f t="shared" si="8"/>
        <v>8</v>
      </c>
      <c r="H494" s="7">
        <v>366.93</v>
      </c>
      <c r="J494" s="7"/>
    </row>
    <row r="495" spans="6:10" ht="18.75" customHeight="1">
      <c r="F495" s="1">
        <v>36404</v>
      </c>
      <c r="G495">
        <f t="shared" si="8"/>
        <v>9</v>
      </c>
      <c r="H495" s="7">
        <v>364.64</v>
      </c>
      <c r="J495" s="7"/>
    </row>
    <row r="496" spans="6:10" ht="18.75" customHeight="1">
      <c r="F496" s="1">
        <v>36434</v>
      </c>
      <c r="G496">
        <f t="shared" si="8"/>
        <v>10</v>
      </c>
      <c r="H496" s="7">
        <v>365.13</v>
      </c>
      <c r="J496" s="7"/>
    </row>
    <row r="497" spans="6:10" ht="18.75" customHeight="1">
      <c r="F497" s="1">
        <v>36465</v>
      </c>
      <c r="G497">
        <f t="shared" si="8"/>
        <v>11</v>
      </c>
      <c r="H497" s="7">
        <v>366.68</v>
      </c>
      <c r="J497" s="7"/>
    </row>
    <row r="498" spans="6:10" ht="18.75" customHeight="1">
      <c r="F498" s="1">
        <v>36495</v>
      </c>
      <c r="G498">
        <f t="shared" si="8"/>
        <v>12</v>
      </c>
      <c r="H498" s="7">
        <v>368</v>
      </c>
      <c r="J498" s="7"/>
    </row>
    <row r="499" spans="6:10" ht="18.75" customHeight="1">
      <c r="F499" s="1">
        <v>36526</v>
      </c>
      <c r="G499">
        <f t="shared" si="8"/>
        <v>1</v>
      </c>
      <c r="H499" s="7">
        <v>369.14</v>
      </c>
      <c r="J499" s="7"/>
    </row>
    <row r="500" spans="6:10" ht="18.75" customHeight="1">
      <c r="F500" s="1">
        <v>36557</v>
      </c>
      <c r="G500">
        <f t="shared" si="8"/>
        <v>2</v>
      </c>
      <c r="H500" s="7">
        <v>369.46</v>
      </c>
      <c r="J500" s="7"/>
    </row>
    <row r="501" spans="6:10" ht="18.75" customHeight="1">
      <c r="F501" s="1">
        <v>36586</v>
      </c>
      <c r="G501">
        <f t="shared" si="8"/>
        <v>3</v>
      </c>
      <c r="H501" s="7">
        <v>370.51</v>
      </c>
      <c r="J501" s="7"/>
    </row>
    <row r="502" spans="6:10" ht="18.75" customHeight="1">
      <c r="F502" s="16">
        <v>36617</v>
      </c>
      <c r="G502" s="17">
        <f t="shared" si="8"/>
        <v>4</v>
      </c>
      <c r="H502" s="18">
        <v>371.66</v>
      </c>
      <c r="J502" s="7"/>
    </row>
    <row r="503" spans="6:10" ht="18.75" customHeight="1">
      <c r="F503" s="1">
        <v>36647</v>
      </c>
      <c r="G503">
        <f t="shared" si="8"/>
        <v>5</v>
      </c>
      <c r="H503" s="7">
        <v>371.83</v>
      </c>
      <c r="J503" s="7"/>
    </row>
    <row r="504" spans="6:10" ht="18.75" customHeight="1">
      <c r="F504" s="1">
        <v>36678</v>
      </c>
      <c r="G504">
        <f t="shared" si="8"/>
        <v>6</v>
      </c>
      <c r="H504" s="7">
        <v>371.69</v>
      </c>
      <c r="J504" s="7"/>
    </row>
    <row r="505" spans="6:10" ht="18.75" customHeight="1">
      <c r="F505" s="1">
        <v>36708</v>
      </c>
      <c r="G505">
        <f t="shared" si="8"/>
        <v>7</v>
      </c>
      <c r="H505" s="7">
        <v>370.12</v>
      </c>
      <c r="J505" s="7"/>
    </row>
    <row r="506" spans="6:10" ht="18.75" customHeight="1">
      <c r="F506" s="1">
        <v>36739</v>
      </c>
      <c r="G506">
        <f t="shared" si="8"/>
        <v>8</v>
      </c>
      <c r="H506" s="7">
        <v>368.12</v>
      </c>
      <c r="J506" s="7"/>
    </row>
    <row r="507" spans="6:10" ht="18.75" customHeight="1">
      <c r="F507" s="1">
        <v>36770</v>
      </c>
      <c r="G507">
        <f t="shared" si="8"/>
        <v>9</v>
      </c>
      <c r="H507" s="7">
        <v>366.62</v>
      </c>
      <c r="J507" s="7"/>
    </row>
    <row r="508" spans="6:10" ht="18.75" customHeight="1">
      <c r="F508" s="1">
        <v>36800</v>
      </c>
      <c r="G508">
        <f t="shared" si="8"/>
        <v>10</v>
      </c>
      <c r="H508" s="7">
        <v>366.73</v>
      </c>
      <c r="J508" s="7"/>
    </row>
    <row r="509" spans="6:10" ht="18.75" customHeight="1">
      <c r="F509" s="1">
        <v>36831</v>
      </c>
      <c r="G509">
        <f t="shared" si="8"/>
        <v>11</v>
      </c>
      <c r="H509" s="7">
        <v>368.29</v>
      </c>
      <c r="J509" s="7"/>
    </row>
    <row r="510" spans="6:10" ht="18.75" customHeight="1">
      <c r="F510" s="1">
        <v>36861</v>
      </c>
      <c r="G510">
        <f t="shared" si="8"/>
        <v>12</v>
      </c>
      <c r="H510" s="7">
        <v>369.52</v>
      </c>
      <c r="J510" s="7"/>
    </row>
    <row r="511" spans="6:10" ht="18.75" customHeight="1">
      <c r="F511" s="1">
        <v>36892</v>
      </c>
      <c r="G511">
        <f t="shared" si="8"/>
        <v>1</v>
      </c>
      <c r="H511" s="7">
        <v>370.28</v>
      </c>
      <c r="J511" s="7"/>
    </row>
    <row r="512" spans="6:10" ht="18.75" customHeight="1">
      <c r="F512" s="1">
        <v>36923</v>
      </c>
      <c r="G512">
        <f t="shared" si="8"/>
        <v>2</v>
      </c>
      <c r="H512" s="7">
        <v>371.5</v>
      </c>
      <c r="J512" s="7"/>
    </row>
    <row r="513" spans="6:10" ht="18.75" customHeight="1">
      <c r="F513" s="1">
        <v>36951</v>
      </c>
      <c r="G513">
        <f t="shared" si="8"/>
        <v>3</v>
      </c>
      <c r="H513" s="7">
        <v>372.12</v>
      </c>
      <c r="J513" s="7"/>
    </row>
    <row r="514" spans="6:10" ht="18.75" customHeight="1">
      <c r="F514" s="1">
        <v>36982</v>
      </c>
      <c r="G514">
        <f t="shared" si="8"/>
        <v>4</v>
      </c>
      <c r="H514" s="7">
        <v>372.86</v>
      </c>
      <c r="J514" s="7"/>
    </row>
    <row r="515" spans="6:10" ht="18.75" customHeight="1">
      <c r="F515" s="1">
        <v>37012</v>
      </c>
      <c r="G515">
        <f t="shared" ref="G515:G578" si="9">MONTH(F515)</f>
        <v>5</v>
      </c>
      <c r="H515" s="7">
        <v>374.02</v>
      </c>
      <c r="J515" s="7"/>
    </row>
    <row r="516" spans="6:10" ht="18.75" customHeight="1">
      <c r="F516" s="1">
        <v>37043</v>
      </c>
      <c r="G516">
        <f t="shared" si="9"/>
        <v>6</v>
      </c>
      <c r="H516" s="7">
        <v>373.31</v>
      </c>
      <c r="J516" s="7"/>
    </row>
    <row r="517" spans="6:10" ht="18.75" customHeight="1">
      <c r="F517" s="1">
        <v>37073</v>
      </c>
      <c r="G517">
        <f t="shared" si="9"/>
        <v>7</v>
      </c>
      <c r="H517" s="7">
        <v>371.62</v>
      </c>
      <c r="J517" s="7"/>
    </row>
    <row r="518" spans="6:10" ht="18.75" customHeight="1">
      <c r="F518" s="1">
        <v>37104</v>
      </c>
      <c r="G518">
        <f t="shared" si="9"/>
        <v>8</v>
      </c>
      <c r="H518" s="7">
        <v>369.55</v>
      </c>
      <c r="J518" s="7"/>
    </row>
    <row r="519" spans="6:10" ht="18.75" customHeight="1">
      <c r="F519" s="1">
        <v>37135</v>
      </c>
      <c r="G519">
        <f t="shared" si="9"/>
        <v>9</v>
      </c>
      <c r="H519" s="7">
        <v>367.96</v>
      </c>
      <c r="J519" s="7"/>
    </row>
    <row r="520" spans="6:10" ht="18.75" customHeight="1">
      <c r="F520" s="1">
        <v>37165</v>
      </c>
      <c r="G520">
        <f t="shared" si="9"/>
        <v>10</v>
      </c>
      <c r="H520" s="7">
        <v>368.09</v>
      </c>
      <c r="J520" s="7"/>
    </row>
    <row r="521" spans="6:10" ht="18.75" customHeight="1">
      <c r="F521" s="1">
        <v>37196</v>
      </c>
      <c r="G521">
        <f t="shared" si="9"/>
        <v>11</v>
      </c>
      <c r="H521" s="7">
        <v>369.68</v>
      </c>
      <c r="J521" s="7"/>
    </row>
    <row r="522" spans="6:10" ht="18.75" customHeight="1">
      <c r="F522" s="1">
        <v>37226</v>
      </c>
      <c r="G522">
        <f t="shared" si="9"/>
        <v>12</v>
      </c>
      <c r="H522" s="7">
        <v>371.24</v>
      </c>
      <c r="J522" s="7"/>
    </row>
    <row r="523" spans="6:10" ht="18.75" customHeight="1">
      <c r="F523" s="1">
        <v>37257</v>
      </c>
      <c r="G523">
        <f t="shared" si="9"/>
        <v>1</v>
      </c>
      <c r="H523" s="7">
        <v>372.44</v>
      </c>
      <c r="J523" s="7"/>
    </row>
    <row r="524" spans="6:10" ht="18.75" customHeight="1">
      <c r="F524" s="1">
        <v>37288</v>
      </c>
      <c r="G524">
        <f t="shared" si="9"/>
        <v>2</v>
      </c>
      <c r="H524" s="7">
        <v>373.08</v>
      </c>
      <c r="J524" s="7"/>
    </row>
    <row r="525" spans="6:10" ht="18.75" customHeight="1">
      <c r="F525" s="1">
        <v>37316</v>
      </c>
      <c r="G525">
        <f t="shared" si="9"/>
        <v>3</v>
      </c>
      <c r="H525" s="7">
        <v>373.52</v>
      </c>
      <c r="J525" s="7"/>
    </row>
    <row r="526" spans="6:10" ht="18.75" customHeight="1">
      <c r="F526" s="1">
        <v>37347</v>
      </c>
      <c r="G526">
        <f t="shared" si="9"/>
        <v>4</v>
      </c>
      <c r="H526" s="7">
        <v>374.85</v>
      </c>
      <c r="J526" s="7"/>
    </row>
    <row r="527" spans="6:10" ht="18.75" customHeight="1">
      <c r="F527" s="1">
        <v>37377</v>
      </c>
      <c r="G527">
        <f t="shared" si="9"/>
        <v>5</v>
      </c>
      <c r="H527" s="7">
        <v>375.55</v>
      </c>
      <c r="J527" s="7"/>
    </row>
    <row r="528" spans="6:10" ht="18.75" customHeight="1">
      <c r="F528" s="1">
        <v>37408</v>
      </c>
      <c r="G528">
        <f t="shared" si="9"/>
        <v>6</v>
      </c>
      <c r="H528" s="7">
        <v>375.4</v>
      </c>
      <c r="J528" s="7"/>
    </row>
    <row r="529" spans="6:10" ht="18.75" customHeight="1">
      <c r="F529" s="1">
        <v>37438</v>
      </c>
      <c r="G529">
        <f t="shared" si="9"/>
        <v>7</v>
      </c>
      <c r="H529" s="7">
        <v>374.02</v>
      </c>
      <c r="J529" s="7"/>
    </row>
    <row r="530" spans="6:10" ht="18.75" customHeight="1">
      <c r="F530" s="1">
        <v>37469</v>
      </c>
      <c r="G530">
        <f t="shared" si="9"/>
        <v>8</v>
      </c>
      <c r="H530" s="7">
        <v>371.48</v>
      </c>
      <c r="J530" s="7"/>
    </row>
    <row r="531" spans="6:10" ht="18.75" customHeight="1">
      <c r="F531" s="1">
        <v>37500</v>
      </c>
      <c r="G531">
        <f t="shared" si="9"/>
        <v>9</v>
      </c>
      <c r="H531" s="7">
        <v>370.7</v>
      </c>
      <c r="J531" s="7"/>
    </row>
    <row r="532" spans="6:10" ht="18.75" customHeight="1">
      <c r="F532" s="1">
        <v>37530</v>
      </c>
      <c r="G532">
        <f t="shared" si="9"/>
        <v>10</v>
      </c>
      <c r="H532" s="7">
        <v>370.25</v>
      </c>
      <c r="J532" s="7"/>
    </row>
    <row r="533" spans="6:10" ht="18.75" customHeight="1">
      <c r="F533" s="1">
        <v>37561</v>
      </c>
      <c r="G533">
        <f t="shared" si="9"/>
        <v>11</v>
      </c>
      <c r="H533" s="7">
        <v>372.08</v>
      </c>
      <c r="J533" s="7"/>
    </row>
    <row r="534" spans="6:10" ht="18.75" customHeight="1">
      <c r="F534" s="1">
        <v>37591</v>
      </c>
      <c r="G534">
        <f t="shared" si="9"/>
        <v>12</v>
      </c>
      <c r="H534" s="7">
        <v>373.78</v>
      </c>
      <c r="J534" s="7"/>
    </row>
    <row r="535" spans="6:10" ht="18.75" customHeight="1">
      <c r="F535" s="1">
        <v>37622</v>
      </c>
      <c r="G535">
        <f t="shared" si="9"/>
        <v>1</v>
      </c>
      <c r="H535" s="7">
        <v>374.68</v>
      </c>
      <c r="J535" s="7"/>
    </row>
    <row r="536" spans="6:10" ht="18.75" customHeight="1">
      <c r="F536" s="1">
        <v>37653</v>
      </c>
      <c r="G536">
        <f t="shared" si="9"/>
        <v>2</v>
      </c>
      <c r="H536" s="7">
        <v>375.62</v>
      </c>
      <c r="J536" s="7"/>
    </row>
    <row r="537" spans="6:10" ht="18.75" customHeight="1">
      <c r="F537" s="1">
        <v>37681</v>
      </c>
      <c r="G537">
        <f t="shared" si="9"/>
        <v>3</v>
      </c>
      <c r="H537" s="7">
        <v>376.11</v>
      </c>
      <c r="J537" s="7"/>
    </row>
    <row r="538" spans="6:10" ht="18.75" customHeight="1">
      <c r="F538" s="1">
        <v>37712</v>
      </c>
      <c r="G538">
        <f t="shared" si="9"/>
        <v>4</v>
      </c>
      <c r="H538" s="7">
        <v>377.65</v>
      </c>
      <c r="J538" s="7"/>
    </row>
    <row r="539" spans="6:10" ht="18.75" customHeight="1">
      <c r="F539" s="1">
        <v>37742</v>
      </c>
      <c r="G539">
        <f t="shared" si="9"/>
        <v>5</v>
      </c>
      <c r="H539" s="7">
        <v>378.35</v>
      </c>
      <c r="J539" s="7"/>
    </row>
    <row r="540" spans="6:10" ht="18.75" customHeight="1">
      <c r="F540" s="1">
        <v>37773</v>
      </c>
      <c r="G540">
        <f t="shared" si="9"/>
        <v>6</v>
      </c>
      <c r="H540" s="7">
        <v>378.13</v>
      </c>
      <c r="J540" s="7"/>
    </row>
    <row r="541" spans="6:10" ht="18.75" customHeight="1">
      <c r="F541" s="1">
        <v>37803</v>
      </c>
      <c r="G541">
        <f t="shared" si="9"/>
        <v>7</v>
      </c>
      <c r="H541" s="7">
        <v>376.6</v>
      </c>
      <c r="J541" s="7"/>
    </row>
    <row r="542" spans="6:10" ht="18.75" customHeight="1">
      <c r="F542" s="1">
        <v>37834</v>
      </c>
      <c r="G542">
        <f t="shared" si="9"/>
        <v>8</v>
      </c>
      <c r="H542" s="7">
        <v>374.48</v>
      </c>
      <c r="J542" s="7"/>
    </row>
    <row r="543" spans="6:10" ht="18.75" customHeight="1">
      <c r="F543" s="1">
        <v>37865</v>
      </c>
      <c r="G543">
        <f t="shared" si="9"/>
        <v>9</v>
      </c>
      <c r="H543" s="7">
        <v>372.98</v>
      </c>
      <c r="J543" s="7"/>
    </row>
    <row r="544" spans="6:10" ht="18.75" customHeight="1">
      <c r="F544" s="1">
        <v>37895</v>
      </c>
      <c r="G544">
        <f t="shared" si="9"/>
        <v>10</v>
      </c>
      <c r="H544" s="7">
        <v>373</v>
      </c>
      <c r="J544" s="7"/>
    </row>
    <row r="545" spans="6:10" ht="18.75" customHeight="1">
      <c r="F545" s="1">
        <v>37926</v>
      </c>
      <c r="G545">
        <f t="shared" si="9"/>
        <v>11</v>
      </c>
      <c r="H545" s="7">
        <v>374.35</v>
      </c>
      <c r="J545" s="7"/>
    </row>
    <row r="546" spans="6:10" ht="18.75" customHeight="1">
      <c r="F546" s="1">
        <v>37956</v>
      </c>
      <c r="G546">
        <f t="shared" si="9"/>
        <v>12</v>
      </c>
      <c r="H546" s="7">
        <v>375.69</v>
      </c>
      <c r="J546" s="7"/>
    </row>
    <row r="547" spans="6:10" ht="18.75" customHeight="1">
      <c r="F547" s="1">
        <v>37987</v>
      </c>
      <c r="G547">
        <f t="shared" si="9"/>
        <v>1</v>
      </c>
      <c r="H547" s="7">
        <v>376.79</v>
      </c>
      <c r="J547" s="7"/>
    </row>
    <row r="548" spans="6:10" ht="18.75" customHeight="1">
      <c r="F548" s="1">
        <v>38018</v>
      </c>
      <c r="G548">
        <f t="shared" si="9"/>
        <v>2</v>
      </c>
      <c r="H548" s="7">
        <v>377.37</v>
      </c>
      <c r="J548" s="7"/>
    </row>
    <row r="549" spans="6:10" ht="18.75" customHeight="1">
      <c r="F549" s="1">
        <v>38047</v>
      </c>
      <c r="G549">
        <f t="shared" si="9"/>
        <v>3</v>
      </c>
      <c r="H549" s="7">
        <v>378.39</v>
      </c>
      <c r="J549" s="7"/>
    </row>
    <row r="550" spans="6:10" ht="18.75" customHeight="1">
      <c r="F550" s="1">
        <v>38078</v>
      </c>
      <c r="G550">
        <f t="shared" si="9"/>
        <v>4</v>
      </c>
      <c r="H550" s="7">
        <v>380.5</v>
      </c>
      <c r="J550" s="7"/>
    </row>
    <row r="551" spans="6:10" ht="18.75" customHeight="1">
      <c r="F551" s="1">
        <v>38108</v>
      </c>
      <c r="G551">
        <f t="shared" si="9"/>
        <v>5</v>
      </c>
      <c r="H551" s="7">
        <v>380.62</v>
      </c>
      <c r="J551" s="7"/>
    </row>
    <row r="552" spans="6:10" ht="18.75" customHeight="1">
      <c r="F552" s="1">
        <v>38139</v>
      </c>
      <c r="G552">
        <f t="shared" si="9"/>
        <v>6</v>
      </c>
      <c r="H552" s="7">
        <v>379.55</v>
      </c>
      <c r="J552" s="7"/>
    </row>
    <row r="553" spans="6:10" ht="18.75" customHeight="1">
      <c r="F553" s="1">
        <v>38169</v>
      </c>
      <c r="G553">
        <f t="shared" si="9"/>
        <v>7</v>
      </c>
      <c r="H553" s="7">
        <v>377.76</v>
      </c>
      <c r="J553" s="7"/>
    </row>
    <row r="554" spans="6:10" ht="18.75" customHeight="1">
      <c r="F554" s="1">
        <v>38200</v>
      </c>
      <c r="G554">
        <f t="shared" si="9"/>
        <v>8</v>
      </c>
      <c r="H554" s="7">
        <v>375.83</v>
      </c>
      <c r="J554" s="7"/>
    </row>
    <row r="555" spans="6:10" ht="18.75" customHeight="1">
      <c r="F555" s="1">
        <v>38231</v>
      </c>
      <c r="G555">
        <f t="shared" si="9"/>
        <v>9</v>
      </c>
      <c r="H555" s="7">
        <v>374.05</v>
      </c>
      <c r="J555" s="7"/>
    </row>
    <row r="556" spans="6:10" ht="18.75" customHeight="1">
      <c r="F556" s="1">
        <v>38261</v>
      </c>
      <c r="G556">
        <f t="shared" si="9"/>
        <v>10</v>
      </c>
      <c r="H556" s="7">
        <v>374.22</v>
      </c>
      <c r="J556" s="7"/>
    </row>
    <row r="557" spans="6:10" ht="18.75" customHeight="1">
      <c r="F557" s="1">
        <v>38292</v>
      </c>
      <c r="G557">
        <f t="shared" si="9"/>
        <v>11</v>
      </c>
      <c r="H557" s="7">
        <v>375.84</v>
      </c>
      <c r="J557" s="7"/>
    </row>
    <row r="558" spans="6:10" ht="18.75" customHeight="1">
      <c r="F558" s="1">
        <v>38322</v>
      </c>
      <c r="G558">
        <f t="shared" si="9"/>
        <v>12</v>
      </c>
      <c r="H558" s="7">
        <v>377.44</v>
      </c>
      <c r="J558" s="7"/>
    </row>
    <row r="559" spans="6:10" ht="18.75" customHeight="1">
      <c r="F559" s="1">
        <v>38353</v>
      </c>
      <c r="G559">
        <f t="shared" si="9"/>
        <v>1</v>
      </c>
      <c r="H559" s="7">
        <v>378.34</v>
      </c>
      <c r="J559" s="7"/>
    </row>
    <row r="560" spans="6:10" ht="18.75" customHeight="1">
      <c r="F560" s="1">
        <v>38384</v>
      </c>
      <c r="G560">
        <f t="shared" si="9"/>
        <v>2</v>
      </c>
      <c r="H560" s="7">
        <v>379.61</v>
      </c>
      <c r="J560" s="7"/>
    </row>
    <row r="561" spans="6:10" ht="18.75" customHeight="1">
      <c r="F561" s="1">
        <v>38412</v>
      </c>
      <c r="G561">
        <f t="shared" si="9"/>
        <v>3</v>
      </c>
      <c r="H561" s="7">
        <v>380.08</v>
      </c>
      <c r="J561" s="7"/>
    </row>
    <row r="562" spans="6:10" ht="18.75" customHeight="1">
      <c r="F562" s="1">
        <v>38443</v>
      </c>
      <c r="G562">
        <f t="shared" si="9"/>
        <v>4</v>
      </c>
      <c r="H562" s="7">
        <v>382.05</v>
      </c>
      <c r="J562" s="7"/>
    </row>
    <row r="563" spans="6:10" ht="18.75" customHeight="1">
      <c r="F563" s="1">
        <v>38473</v>
      </c>
      <c r="G563">
        <f t="shared" si="9"/>
        <v>5</v>
      </c>
      <c r="H563" s="7">
        <v>382.24</v>
      </c>
      <c r="J563" s="7"/>
    </row>
    <row r="564" spans="6:10" ht="18.75" customHeight="1">
      <c r="F564" s="1">
        <v>38504</v>
      </c>
      <c r="G564">
        <f t="shared" si="9"/>
        <v>6</v>
      </c>
      <c r="H564" s="7">
        <v>382.08</v>
      </c>
      <c r="J564" s="7"/>
    </row>
    <row r="565" spans="6:10" ht="18.75" customHeight="1">
      <c r="F565" s="1">
        <v>38534</v>
      </c>
      <c r="G565">
        <f t="shared" si="9"/>
        <v>7</v>
      </c>
      <c r="H565" s="7">
        <v>380.66</v>
      </c>
      <c r="J565" s="7"/>
    </row>
    <row r="566" spans="6:10" ht="18.75" customHeight="1">
      <c r="F566" s="1">
        <v>38565</v>
      </c>
      <c r="G566">
        <f t="shared" si="9"/>
        <v>8</v>
      </c>
      <c r="H566" s="7">
        <v>378.67</v>
      </c>
      <c r="J566" s="7"/>
    </row>
    <row r="567" spans="6:10" ht="18.75" customHeight="1">
      <c r="F567" s="1">
        <v>38596</v>
      </c>
      <c r="G567">
        <f t="shared" si="9"/>
        <v>9</v>
      </c>
      <c r="H567" s="7">
        <v>376.42</v>
      </c>
      <c r="J567" s="7"/>
    </row>
    <row r="568" spans="6:10" ht="18.75" customHeight="1">
      <c r="F568" s="1">
        <v>38626</v>
      </c>
      <c r="G568">
        <f t="shared" si="9"/>
        <v>10</v>
      </c>
      <c r="H568" s="7">
        <v>376.8</v>
      </c>
      <c r="J568" s="7"/>
    </row>
    <row r="569" spans="6:10" ht="18.75" customHeight="1">
      <c r="F569" s="1">
        <v>38657</v>
      </c>
      <c r="G569">
        <f t="shared" si="9"/>
        <v>11</v>
      </c>
      <c r="H569" s="7">
        <v>378.31</v>
      </c>
      <c r="J569" s="7"/>
    </row>
    <row r="570" spans="6:10" ht="18.75" customHeight="1">
      <c r="F570" s="1">
        <v>38687</v>
      </c>
      <c r="G570">
        <f t="shared" si="9"/>
        <v>12</v>
      </c>
      <c r="H570" s="7">
        <v>379.96</v>
      </c>
      <c r="J570" s="7"/>
    </row>
    <row r="571" spans="6:10" ht="18.75" customHeight="1">
      <c r="F571" s="1">
        <v>38718</v>
      </c>
      <c r="G571">
        <f t="shared" si="9"/>
        <v>1</v>
      </c>
      <c r="H571" s="7">
        <v>381.37</v>
      </c>
      <c r="J571" s="7"/>
    </row>
    <row r="572" spans="6:10" ht="18.75" customHeight="1">
      <c r="F572" s="1">
        <v>38749</v>
      </c>
      <c r="G572">
        <f t="shared" si="9"/>
        <v>2</v>
      </c>
      <c r="H572" s="7">
        <v>382.02</v>
      </c>
      <c r="J572" s="7"/>
    </row>
    <row r="573" spans="6:10" ht="18.75" customHeight="1">
      <c r="F573" s="1">
        <v>38777</v>
      </c>
      <c r="G573">
        <f t="shared" si="9"/>
        <v>3</v>
      </c>
      <c r="H573" s="7">
        <v>382.56</v>
      </c>
      <c r="J573" s="7"/>
    </row>
    <row r="574" spans="6:10" ht="18.75" customHeight="1">
      <c r="F574" s="1">
        <v>38808</v>
      </c>
      <c r="G574">
        <f t="shared" si="9"/>
        <v>4</v>
      </c>
      <c r="H574" s="7">
        <v>384.36</v>
      </c>
      <c r="J574" s="7"/>
    </row>
    <row r="575" spans="6:10" ht="18.75" customHeight="1">
      <c r="F575" s="1">
        <v>38838</v>
      </c>
      <c r="G575">
        <f t="shared" si="9"/>
        <v>5</v>
      </c>
      <c r="H575" s="7">
        <v>384.92</v>
      </c>
      <c r="J575" s="7"/>
    </row>
    <row r="576" spans="6:10" ht="18.75" customHeight="1">
      <c r="F576" s="1">
        <v>38869</v>
      </c>
      <c r="G576">
        <f t="shared" si="9"/>
        <v>6</v>
      </c>
      <c r="H576" s="7">
        <v>384.03</v>
      </c>
      <c r="J576" s="7"/>
    </row>
    <row r="577" spans="6:10" ht="18.75" customHeight="1">
      <c r="F577" s="1">
        <v>38899</v>
      </c>
      <c r="G577">
        <f t="shared" si="9"/>
        <v>7</v>
      </c>
      <c r="H577" s="7">
        <v>382.28</v>
      </c>
      <c r="J577" s="7"/>
    </row>
    <row r="578" spans="6:10" ht="18.75" customHeight="1">
      <c r="F578" s="1">
        <v>38930</v>
      </c>
      <c r="G578">
        <f t="shared" si="9"/>
        <v>8</v>
      </c>
      <c r="H578" s="7">
        <v>380.48</v>
      </c>
      <c r="J578" s="7"/>
    </row>
    <row r="579" spans="6:10" ht="18.75" customHeight="1">
      <c r="F579" s="1">
        <v>38961</v>
      </c>
      <c r="G579">
        <f t="shared" ref="G579:G642" si="10">MONTH(F579)</f>
        <v>9</v>
      </c>
      <c r="H579" s="7">
        <v>378.81</v>
      </c>
      <c r="J579" s="7"/>
    </row>
    <row r="580" spans="6:10" ht="18.75" customHeight="1">
      <c r="F580" s="1">
        <v>38991</v>
      </c>
      <c r="G580">
        <f t="shared" si="10"/>
        <v>10</v>
      </c>
      <c r="H580" s="7">
        <v>379.06</v>
      </c>
      <c r="J580" s="7"/>
    </row>
    <row r="581" spans="6:10" ht="18.75" customHeight="1">
      <c r="F581" s="1">
        <v>39022</v>
      </c>
      <c r="G581">
        <f t="shared" si="10"/>
        <v>11</v>
      </c>
      <c r="H581" s="7">
        <v>380.14</v>
      </c>
      <c r="J581" s="7"/>
    </row>
    <row r="582" spans="6:10" ht="18.75" customHeight="1">
      <c r="F582" s="1">
        <v>39052</v>
      </c>
      <c r="G582">
        <f t="shared" si="10"/>
        <v>12</v>
      </c>
      <c r="H582" s="7">
        <v>381.66</v>
      </c>
      <c r="J582" s="7"/>
    </row>
    <row r="583" spans="6:10" ht="18.75" customHeight="1">
      <c r="F583" s="1">
        <v>39083</v>
      </c>
      <c r="G583">
        <f t="shared" si="10"/>
        <v>1</v>
      </c>
      <c r="H583" s="7">
        <v>382.58</v>
      </c>
      <c r="J583" s="7"/>
    </row>
    <row r="584" spans="6:10" ht="18.75" customHeight="1">
      <c r="F584" s="1">
        <v>39114</v>
      </c>
      <c r="G584">
        <f t="shared" si="10"/>
        <v>2</v>
      </c>
      <c r="H584" s="7">
        <v>383.71</v>
      </c>
      <c r="J584" s="7"/>
    </row>
    <row r="585" spans="6:10" ht="18.75" customHeight="1">
      <c r="F585" s="1">
        <v>39142</v>
      </c>
      <c r="G585">
        <f t="shared" si="10"/>
        <v>3</v>
      </c>
      <c r="H585" s="7">
        <v>384.34</v>
      </c>
      <c r="J585" s="7"/>
    </row>
    <row r="586" spans="6:10" ht="18.75" customHeight="1">
      <c r="F586" s="1">
        <v>39173</v>
      </c>
      <c r="G586">
        <f t="shared" si="10"/>
        <v>4</v>
      </c>
      <c r="H586" s="7">
        <v>386.23</v>
      </c>
      <c r="J586" s="7"/>
    </row>
    <row r="587" spans="6:10" ht="18.75" customHeight="1">
      <c r="F587" s="1">
        <v>39203</v>
      </c>
      <c r="G587">
        <f t="shared" si="10"/>
        <v>5</v>
      </c>
      <c r="H587" s="7">
        <v>386.41</v>
      </c>
      <c r="J587" s="7"/>
    </row>
    <row r="588" spans="6:10" ht="18.75" customHeight="1">
      <c r="F588" s="1">
        <v>39234</v>
      </c>
      <c r="G588">
        <f t="shared" si="10"/>
        <v>6</v>
      </c>
      <c r="H588" s="7">
        <v>385.87</v>
      </c>
      <c r="J588" s="7"/>
    </row>
    <row r="589" spans="6:10" ht="18.75" customHeight="1">
      <c r="F589" s="1">
        <v>39264</v>
      </c>
      <c r="G589">
        <f t="shared" si="10"/>
        <v>7</v>
      </c>
      <c r="H589" s="7">
        <v>384.44</v>
      </c>
      <c r="J589" s="7"/>
    </row>
    <row r="590" spans="6:10" ht="18.75" customHeight="1">
      <c r="F590" s="1">
        <v>39295</v>
      </c>
      <c r="G590">
        <f t="shared" si="10"/>
        <v>8</v>
      </c>
      <c r="H590" s="7">
        <v>381.84</v>
      </c>
      <c r="J590" s="7"/>
    </row>
    <row r="591" spans="6:10" ht="18.75" customHeight="1">
      <c r="F591" s="1">
        <v>39326</v>
      </c>
      <c r="G591">
        <f t="shared" si="10"/>
        <v>9</v>
      </c>
      <c r="H591" s="7">
        <v>380.86</v>
      </c>
      <c r="J591" s="7"/>
    </row>
    <row r="592" spans="6:10" ht="18.75" customHeight="1">
      <c r="F592" s="1">
        <v>39356</v>
      </c>
      <c r="G592">
        <f t="shared" si="10"/>
        <v>10</v>
      </c>
      <c r="H592" s="7">
        <v>380.86</v>
      </c>
      <c r="J592" s="7"/>
    </row>
    <row r="593" spans="6:10" ht="18.75" customHeight="1">
      <c r="F593" s="1">
        <v>39387</v>
      </c>
      <c r="G593">
        <f t="shared" si="10"/>
        <v>11</v>
      </c>
      <c r="H593" s="7">
        <v>382.36</v>
      </c>
      <c r="J593" s="7"/>
    </row>
    <row r="594" spans="6:10" ht="18.75" customHeight="1">
      <c r="F594" s="1">
        <v>39417</v>
      </c>
      <c r="G594">
        <f t="shared" si="10"/>
        <v>12</v>
      </c>
      <c r="H594" s="7">
        <v>383.61</v>
      </c>
      <c r="J594" s="7"/>
    </row>
    <row r="595" spans="6:10" ht="18.75" customHeight="1">
      <c r="F595" s="1">
        <v>39448</v>
      </c>
      <c r="G595">
        <f t="shared" si="10"/>
        <v>1</v>
      </c>
      <c r="H595" s="7">
        <v>385.07</v>
      </c>
      <c r="J595" s="7"/>
    </row>
    <row r="596" spans="6:10" ht="18.75" customHeight="1">
      <c r="F596" s="1">
        <v>39479</v>
      </c>
      <c r="G596">
        <f t="shared" si="10"/>
        <v>2</v>
      </c>
      <c r="H596" s="7">
        <v>385.84</v>
      </c>
      <c r="J596" s="7"/>
    </row>
    <row r="597" spans="6:10" ht="18.75" customHeight="1">
      <c r="F597" s="1">
        <v>39508</v>
      </c>
      <c r="G597">
        <f t="shared" si="10"/>
        <v>3</v>
      </c>
      <c r="H597" s="7">
        <v>385.83</v>
      </c>
      <c r="J597" s="7"/>
    </row>
    <row r="598" spans="6:10" ht="18.75" customHeight="1">
      <c r="F598" s="1">
        <v>39539</v>
      </c>
      <c r="G598">
        <f t="shared" si="10"/>
        <v>4</v>
      </c>
      <c r="H598" s="7">
        <v>386.77</v>
      </c>
      <c r="J598" s="7"/>
    </row>
    <row r="599" spans="6:10" ht="18.75" customHeight="1">
      <c r="F599" s="1">
        <v>39569</v>
      </c>
      <c r="G599">
        <f t="shared" si="10"/>
        <v>5</v>
      </c>
      <c r="H599" s="7">
        <v>388.51</v>
      </c>
      <c r="J599" s="7"/>
    </row>
    <row r="600" spans="6:10" ht="18.75" customHeight="1">
      <c r="F600" s="1">
        <v>39600</v>
      </c>
      <c r="G600">
        <f t="shared" si="10"/>
        <v>6</v>
      </c>
      <c r="H600" s="7">
        <v>388.05</v>
      </c>
      <c r="J600" s="7"/>
    </row>
    <row r="601" spans="6:10" ht="18.75" customHeight="1">
      <c r="F601" s="1">
        <v>39630</v>
      </c>
      <c r="G601">
        <f t="shared" si="10"/>
        <v>7</v>
      </c>
      <c r="H601" s="7">
        <v>386.25</v>
      </c>
      <c r="J601" s="7"/>
    </row>
    <row r="602" spans="6:10" ht="18.75" customHeight="1">
      <c r="F602" s="1">
        <v>39661</v>
      </c>
      <c r="G602">
        <f t="shared" si="10"/>
        <v>8</v>
      </c>
      <c r="H602" s="7">
        <v>384.08</v>
      </c>
      <c r="J602" s="7"/>
    </row>
    <row r="603" spans="6:10" ht="18.75" customHeight="1">
      <c r="F603" s="1">
        <v>39692</v>
      </c>
      <c r="G603">
        <f t="shared" si="10"/>
        <v>9</v>
      </c>
      <c r="H603" s="7">
        <v>383.09</v>
      </c>
      <c r="J603" s="7"/>
    </row>
    <row r="604" spans="6:10" ht="18.75" customHeight="1">
      <c r="F604" s="1">
        <v>39722</v>
      </c>
      <c r="G604">
        <f t="shared" si="10"/>
        <v>10</v>
      </c>
      <c r="H604" s="7">
        <v>382.78</v>
      </c>
      <c r="J604" s="7"/>
    </row>
    <row r="605" spans="6:10" ht="18.75" customHeight="1">
      <c r="F605" s="1">
        <v>39753</v>
      </c>
      <c r="G605">
        <f t="shared" si="10"/>
        <v>11</v>
      </c>
      <c r="H605" s="7">
        <v>384.01</v>
      </c>
      <c r="J605" s="7"/>
    </row>
    <row r="606" spans="6:10" ht="18.75" customHeight="1">
      <c r="F606" s="1">
        <v>39783</v>
      </c>
      <c r="G606">
        <f t="shared" si="10"/>
        <v>12</v>
      </c>
      <c r="H606" s="7">
        <v>385.11</v>
      </c>
      <c r="J606" s="7"/>
    </row>
    <row r="607" spans="6:10" ht="18.75" customHeight="1">
      <c r="F607" s="1">
        <v>39814</v>
      </c>
      <c r="G607">
        <f t="shared" si="10"/>
        <v>1</v>
      </c>
      <c r="H607" s="7">
        <v>386.65</v>
      </c>
      <c r="J607" s="7"/>
    </row>
    <row r="608" spans="6:10" ht="18.75" customHeight="1">
      <c r="F608" s="1">
        <v>39845</v>
      </c>
      <c r="G608">
        <f t="shared" si="10"/>
        <v>2</v>
      </c>
      <c r="H608" s="7">
        <v>387.12</v>
      </c>
      <c r="J608" s="7"/>
    </row>
    <row r="609" spans="6:10" ht="18.75" customHeight="1">
      <c r="F609" s="1">
        <v>39873</v>
      </c>
      <c r="G609">
        <f t="shared" si="10"/>
        <v>3</v>
      </c>
      <c r="H609" s="7">
        <v>388.52</v>
      </c>
      <c r="J609" s="7"/>
    </row>
    <row r="610" spans="6:10" ht="18.75" customHeight="1">
      <c r="F610" s="1">
        <v>39904</v>
      </c>
      <c r="G610">
        <f t="shared" si="10"/>
        <v>4</v>
      </c>
      <c r="H610" s="7">
        <v>389.57</v>
      </c>
      <c r="J610" s="7"/>
    </row>
    <row r="611" spans="6:10" ht="18.75" customHeight="1">
      <c r="F611" s="1">
        <v>39934</v>
      </c>
      <c r="G611">
        <f t="shared" si="10"/>
        <v>5</v>
      </c>
      <c r="H611" s="7">
        <v>390.17</v>
      </c>
      <c r="J611" s="7"/>
    </row>
    <row r="612" spans="6:10" ht="18.75" customHeight="1">
      <c r="F612" s="1">
        <v>39965</v>
      </c>
      <c r="G612">
        <f t="shared" si="10"/>
        <v>6</v>
      </c>
      <c r="H612" s="7">
        <v>389.62</v>
      </c>
      <c r="J612" s="7"/>
    </row>
    <row r="613" spans="6:10" ht="18.75" customHeight="1">
      <c r="F613" s="1">
        <v>39995</v>
      </c>
      <c r="G613">
        <f t="shared" si="10"/>
        <v>7</v>
      </c>
      <c r="H613" s="7">
        <v>388.07</v>
      </c>
      <c r="J613" s="7"/>
    </row>
    <row r="614" spans="6:10" ht="18.75" customHeight="1">
      <c r="F614" s="1">
        <v>40026</v>
      </c>
      <c r="G614">
        <f t="shared" si="10"/>
        <v>8</v>
      </c>
      <c r="H614" s="7">
        <v>386.08</v>
      </c>
      <c r="J614" s="7"/>
    </row>
    <row r="615" spans="6:10" ht="18.75" customHeight="1">
      <c r="F615" s="1">
        <v>40057</v>
      </c>
      <c r="G615">
        <f t="shared" si="10"/>
        <v>9</v>
      </c>
      <c r="H615" s="7">
        <v>384.65</v>
      </c>
      <c r="J615" s="7"/>
    </row>
    <row r="616" spans="6:10" ht="18.75" customHeight="1">
      <c r="F616" s="1">
        <v>40087</v>
      </c>
      <c r="G616">
        <f t="shared" si="10"/>
        <v>10</v>
      </c>
      <c r="H616" s="7">
        <v>384.33</v>
      </c>
      <c r="J616" s="7"/>
    </row>
    <row r="617" spans="6:10" ht="18.75" customHeight="1">
      <c r="F617" s="1">
        <v>40118</v>
      </c>
      <c r="G617">
        <f t="shared" si="10"/>
        <v>11</v>
      </c>
      <c r="H617" s="7">
        <v>386.05</v>
      </c>
      <c r="J617" s="7"/>
    </row>
    <row r="618" spans="6:10" ht="18.75" customHeight="1">
      <c r="F618" s="1">
        <v>40148</v>
      </c>
      <c r="G618">
        <f t="shared" si="10"/>
        <v>12</v>
      </c>
      <c r="H618" s="7">
        <v>387.49</v>
      </c>
      <c r="J618" s="7"/>
    </row>
    <row r="619" spans="6:10" ht="18.75" customHeight="1">
      <c r="F619" s="1">
        <v>40179</v>
      </c>
      <c r="G619">
        <f t="shared" si="10"/>
        <v>1</v>
      </c>
      <c r="H619" s="7">
        <v>388.55</v>
      </c>
      <c r="J619" s="7"/>
    </row>
    <row r="620" spans="6:10" ht="18.75" customHeight="1">
      <c r="F620" s="1">
        <v>40210</v>
      </c>
      <c r="G620">
        <f t="shared" si="10"/>
        <v>2</v>
      </c>
      <c r="H620" s="7">
        <v>390.08</v>
      </c>
      <c r="J620" s="7"/>
    </row>
    <row r="621" spans="6:10" ht="18.75" customHeight="1">
      <c r="F621" s="1">
        <v>40238</v>
      </c>
      <c r="G621">
        <f t="shared" si="10"/>
        <v>3</v>
      </c>
      <c r="H621" s="7">
        <v>391.01</v>
      </c>
      <c r="J621" s="7"/>
    </row>
    <row r="622" spans="6:10" ht="18.75" customHeight="1">
      <c r="F622" s="1">
        <v>40269</v>
      </c>
      <c r="G622">
        <f t="shared" si="10"/>
        <v>4</v>
      </c>
      <c r="H622" s="7">
        <v>392.38</v>
      </c>
      <c r="J622" s="7"/>
    </row>
    <row r="623" spans="6:10" ht="18.75" customHeight="1">
      <c r="F623" s="1">
        <v>40299</v>
      </c>
      <c r="G623">
        <f t="shared" si="10"/>
        <v>5</v>
      </c>
      <c r="H623" s="7">
        <v>393.22</v>
      </c>
      <c r="J623" s="7"/>
    </row>
    <row r="624" spans="6:10" ht="18.75" customHeight="1">
      <c r="F624" s="1">
        <v>40330</v>
      </c>
      <c r="G624">
        <f t="shared" si="10"/>
        <v>6</v>
      </c>
      <c r="H624" s="7">
        <v>392.24</v>
      </c>
      <c r="J624" s="7"/>
    </row>
    <row r="625" spans="6:10" ht="18.75" customHeight="1">
      <c r="F625" s="1">
        <v>40360</v>
      </c>
      <c r="G625">
        <f t="shared" si="10"/>
        <v>7</v>
      </c>
      <c r="H625" s="7">
        <v>390.33</v>
      </c>
      <c r="J625" s="7"/>
    </row>
    <row r="626" spans="6:10" ht="18.75" customHeight="1">
      <c r="F626" s="1">
        <v>40391</v>
      </c>
      <c r="G626">
        <f t="shared" si="10"/>
        <v>8</v>
      </c>
      <c r="H626" s="7">
        <v>388.52</v>
      </c>
      <c r="J626" s="7"/>
    </row>
    <row r="627" spans="6:10" ht="18.75" customHeight="1">
      <c r="F627" s="1">
        <v>40422</v>
      </c>
      <c r="G627">
        <f t="shared" si="10"/>
        <v>9</v>
      </c>
      <c r="H627" s="7">
        <v>386.84</v>
      </c>
      <c r="J627" s="7"/>
    </row>
    <row r="628" spans="6:10" ht="18.75" customHeight="1">
      <c r="F628" s="1">
        <v>40452</v>
      </c>
      <c r="G628">
        <f t="shared" si="10"/>
        <v>10</v>
      </c>
      <c r="H628" s="7">
        <v>387.16</v>
      </c>
      <c r="J628" s="7"/>
    </row>
    <row r="629" spans="6:10" ht="18.75" customHeight="1">
      <c r="F629" s="1">
        <v>40483</v>
      </c>
      <c r="G629">
        <f t="shared" si="10"/>
        <v>11</v>
      </c>
      <c r="H629" s="7">
        <v>388.67</v>
      </c>
      <c r="J629" s="7"/>
    </row>
    <row r="630" spans="6:10" ht="18.75" customHeight="1">
      <c r="F630" s="1">
        <v>40513</v>
      </c>
      <c r="G630">
        <f t="shared" si="10"/>
        <v>12</v>
      </c>
      <c r="H630" s="7">
        <v>389.81</v>
      </c>
      <c r="J630" s="7"/>
    </row>
    <row r="631" spans="6:10" ht="18.75" customHeight="1">
      <c r="F631" s="1">
        <v>40544</v>
      </c>
      <c r="G631">
        <f t="shared" si="10"/>
        <v>1</v>
      </c>
      <c r="H631" s="7">
        <v>391.3</v>
      </c>
      <c r="J631" s="7"/>
    </row>
    <row r="632" spans="6:10" ht="18.75" customHeight="1">
      <c r="F632" s="1">
        <v>40575</v>
      </c>
      <c r="G632">
        <f t="shared" si="10"/>
        <v>2</v>
      </c>
      <c r="H632" s="7">
        <v>391.92</v>
      </c>
      <c r="J632" s="7"/>
    </row>
    <row r="633" spans="6:10" ht="18.75" customHeight="1">
      <c r="F633" s="1">
        <v>40603</v>
      </c>
      <c r="G633">
        <f t="shared" si="10"/>
        <v>3</v>
      </c>
      <c r="H633" s="7">
        <v>392.45</v>
      </c>
      <c r="J633" s="7"/>
    </row>
    <row r="634" spans="6:10" ht="18.75" customHeight="1">
      <c r="F634" s="1">
        <v>40634</v>
      </c>
      <c r="G634">
        <f t="shared" si="10"/>
        <v>4</v>
      </c>
      <c r="H634" s="7">
        <v>393.37</v>
      </c>
      <c r="J634" s="7"/>
    </row>
    <row r="635" spans="6:10" ht="18.75" customHeight="1">
      <c r="F635" s="1">
        <v>40664</v>
      </c>
      <c r="G635">
        <f t="shared" si="10"/>
        <v>5</v>
      </c>
      <c r="H635" s="7">
        <v>394.28</v>
      </c>
      <c r="J635" s="7"/>
    </row>
    <row r="636" spans="6:10" ht="18.75" customHeight="1">
      <c r="F636" s="1">
        <v>40695</v>
      </c>
      <c r="G636">
        <f t="shared" si="10"/>
        <v>6</v>
      </c>
      <c r="H636" s="7">
        <v>393.69</v>
      </c>
      <c r="J636" s="7"/>
    </row>
    <row r="637" spans="6:10" ht="18.75" customHeight="1">
      <c r="F637" s="1">
        <v>40725</v>
      </c>
      <c r="G637">
        <f t="shared" si="10"/>
        <v>7</v>
      </c>
      <c r="H637" s="7">
        <v>392.59</v>
      </c>
      <c r="J637" s="7"/>
    </row>
    <row r="638" spans="6:10" ht="18.75" customHeight="1">
      <c r="F638" s="1">
        <v>40756</v>
      </c>
      <c r="G638">
        <f t="shared" si="10"/>
        <v>8</v>
      </c>
      <c r="H638" s="7">
        <v>390.21</v>
      </c>
      <c r="J638" s="7"/>
    </row>
    <row r="639" spans="6:10" ht="18.75" customHeight="1">
      <c r="F639" s="1">
        <v>40787</v>
      </c>
      <c r="G639">
        <f t="shared" si="10"/>
        <v>9</v>
      </c>
      <c r="H639" s="7">
        <v>389</v>
      </c>
      <c r="J639" s="7"/>
    </row>
    <row r="640" spans="6:10" ht="18.75" customHeight="1">
      <c r="F640" s="1">
        <v>40817</v>
      </c>
      <c r="G640">
        <f t="shared" si="10"/>
        <v>10</v>
      </c>
      <c r="H640" s="7">
        <v>388.93</v>
      </c>
      <c r="J640" s="7"/>
    </row>
    <row r="641" spans="6:10" ht="18.75" customHeight="1">
      <c r="F641" s="1">
        <v>40848</v>
      </c>
      <c r="G641">
        <f t="shared" si="10"/>
        <v>11</v>
      </c>
      <c r="H641" s="7">
        <v>390.24</v>
      </c>
      <c r="J641" s="7"/>
    </row>
    <row r="642" spans="6:10" ht="18.75" customHeight="1">
      <c r="F642" s="1">
        <v>40878</v>
      </c>
      <c r="G642">
        <f t="shared" si="10"/>
        <v>12</v>
      </c>
      <c r="H642" s="7">
        <v>391.8</v>
      </c>
      <c r="J642" s="7"/>
    </row>
    <row r="643" spans="6:10" ht="18.75" customHeight="1">
      <c r="F643" s="1">
        <v>40909</v>
      </c>
      <c r="G643">
        <f t="shared" ref="G643:G706" si="11">MONTH(F643)</f>
        <v>1</v>
      </c>
      <c r="H643" s="7">
        <v>393.07</v>
      </c>
      <c r="J643" s="7"/>
    </row>
    <row r="644" spans="6:10" ht="18.75" customHeight="1">
      <c r="F644" s="1">
        <v>40940</v>
      </c>
      <c r="G644">
        <f t="shared" si="11"/>
        <v>2</v>
      </c>
      <c r="H644" s="7">
        <v>393.35</v>
      </c>
      <c r="J644" s="7"/>
    </row>
    <row r="645" spans="6:10" ht="18.75" customHeight="1">
      <c r="F645" s="1">
        <v>40969</v>
      </c>
      <c r="G645">
        <f t="shared" si="11"/>
        <v>3</v>
      </c>
      <c r="H645" s="7">
        <v>394.36</v>
      </c>
      <c r="J645" s="7"/>
    </row>
    <row r="646" spans="6:10" ht="18.75" customHeight="1">
      <c r="F646" s="1">
        <v>41000</v>
      </c>
      <c r="G646">
        <f t="shared" si="11"/>
        <v>4</v>
      </c>
      <c r="H646" s="7">
        <v>396.43</v>
      </c>
      <c r="J646" s="7"/>
    </row>
    <row r="647" spans="6:10" ht="18.75" customHeight="1">
      <c r="F647" s="1">
        <v>41030</v>
      </c>
      <c r="G647">
        <f t="shared" si="11"/>
        <v>5</v>
      </c>
      <c r="H647" s="7">
        <v>396.87</v>
      </c>
      <c r="J647" s="7"/>
    </row>
    <row r="648" spans="6:10" ht="18.75" customHeight="1">
      <c r="F648" s="1">
        <v>41061</v>
      </c>
      <c r="G648">
        <f t="shared" si="11"/>
        <v>6</v>
      </c>
      <c r="H648" s="7">
        <v>395.88</v>
      </c>
      <c r="J648" s="7"/>
    </row>
    <row r="649" spans="6:10" ht="18.75" customHeight="1">
      <c r="F649" s="1">
        <v>41091</v>
      </c>
      <c r="G649">
        <f t="shared" si="11"/>
        <v>7</v>
      </c>
      <c r="H649" s="7">
        <v>394.52</v>
      </c>
      <c r="J649" s="7"/>
    </row>
    <row r="650" spans="6:10" ht="18.75" customHeight="1">
      <c r="F650" s="1">
        <v>41122</v>
      </c>
      <c r="G650">
        <f t="shared" si="11"/>
        <v>8</v>
      </c>
      <c r="H650" s="7">
        <v>392.54</v>
      </c>
      <c r="J650" s="7"/>
    </row>
    <row r="651" spans="6:10" ht="18.75" customHeight="1">
      <c r="F651" s="1">
        <v>41153</v>
      </c>
      <c r="G651">
        <f t="shared" si="11"/>
        <v>9</v>
      </c>
      <c r="H651" s="7">
        <v>391.13</v>
      </c>
      <c r="J651" s="7"/>
    </row>
    <row r="652" spans="6:10" ht="18.75" customHeight="1">
      <c r="F652" s="1">
        <v>41183</v>
      </c>
      <c r="G652">
        <f t="shared" si="11"/>
        <v>10</v>
      </c>
      <c r="H652" s="7">
        <v>391.01</v>
      </c>
      <c r="J652" s="7"/>
    </row>
    <row r="653" spans="6:10" ht="18.75" customHeight="1">
      <c r="F653" s="1">
        <v>41214</v>
      </c>
      <c r="G653">
        <f t="shared" si="11"/>
        <v>11</v>
      </c>
      <c r="H653" s="7">
        <v>392.95</v>
      </c>
      <c r="J653" s="7"/>
    </row>
    <row r="654" spans="6:10" ht="18.75" customHeight="1">
      <c r="F654" s="1">
        <v>41244</v>
      </c>
      <c r="G654">
        <f t="shared" si="11"/>
        <v>12</v>
      </c>
      <c r="H654" s="7">
        <v>394.33</v>
      </c>
      <c r="J654" s="7"/>
    </row>
    <row r="655" spans="6:10" ht="18.75" customHeight="1">
      <c r="F655" s="1">
        <v>41275</v>
      </c>
      <c r="G655">
        <f t="shared" si="11"/>
        <v>1</v>
      </c>
      <c r="H655" s="7">
        <v>395.61</v>
      </c>
      <c r="J655" s="7"/>
    </row>
    <row r="656" spans="6:10" ht="18.75" customHeight="1">
      <c r="F656" s="1">
        <v>41306</v>
      </c>
      <c r="G656">
        <f t="shared" si="11"/>
        <v>2</v>
      </c>
      <c r="H656" s="7">
        <v>396.85</v>
      </c>
      <c r="J656" s="7"/>
    </row>
    <row r="657" spans="6:10" ht="18.75" customHeight="1">
      <c r="F657" s="1">
        <v>41334</v>
      </c>
      <c r="G657">
        <f t="shared" si="11"/>
        <v>3</v>
      </c>
      <c r="H657" s="7">
        <v>397.26</v>
      </c>
      <c r="J657" s="7"/>
    </row>
    <row r="658" spans="6:10" ht="18.75" customHeight="1">
      <c r="F658" s="1">
        <v>41365</v>
      </c>
      <c r="G658">
        <f t="shared" si="11"/>
        <v>4</v>
      </c>
      <c r="H658" s="7">
        <v>398.35</v>
      </c>
      <c r="J658" s="7"/>
    </row>
    <row r="659" spans="6:10" ht="18.75" customHeight="1">
      <c r="F659" s="1">
        <v>41395</v>
      </c>
      <c r="G659">
        <f t="shared" si="11"/>
        <v>5</v>
      </c>
      <c r="H659" s="7">
        <v>399.98</v>
      </c>
      <c r="J659" s="7"/>
    </row>
    <row r="660" spans="6:10" ht="18.75" customHeight="1">
      <c r="F660" s="1">
        <v>41426</v>
      </c>
      <c r="G660">
        <f t="shared" si="11"/>
        <v>6</v>
      </c>
      <c r="H660" s="7">
        <v>398.87</v>
      </c>
      <c r="J660" s="7"/>
    </row>
    <row r="661" spans="6:10" ht="18.75" customHeight="1">
      <c r="F661" s="1">
        <v>41456</v>
      </c>
      <c r="G661">
        <f t="shared" si="11"/>
        <v>7</v>
      </c>
      <c r="H661" s="7">
        <v>397.37</v>
      </c>
      <c r="J661" s="7"/>
    </row>
    <row r="662" spans="6:10" ht="18.75" customHeight="1">
      <c r="F662" s="1">
        <v>41487</v>
      </c>
      <c r="G662">
        <f t="shared" si="11"/>
        <v>8</v>
      </c>
      <c r="H662" s="7">
        <v>395.41</v>
      </c>
      <c r="J662" s="7"/>
    </row>
    <row r="663" spans="6:10" ht="18.75" customHeight="1">
      <c r="F663" s="1">
        <v>41518</v>
      </c>
      <c r="G663">
        <f t="shared" si="11"/>
        <v>9</v>
      </c>
      <c r="H663" s="7">
        <v>393.39</v>
      </c>
      <c r="J663" s="7"/>
    </row>
    <row r="664" spans="6:10" ht="18.75" customHeight="1">
      <c r="F664" s="1">
        <v>41548</v>
      </c>
      <c r="G664">
        <f t="shared" si="11"/>
        <v>10</v>
      </c>
      <c r="H664" s="7">
        <v>393.7</v>
      </c>
      <c r="J664" s="7"/>
    </row>
    <row r="665" spans="6:10" ht="18.75" customHeight="1">
      <c r="F665" s="1">
        <v>41579</v>
      </c>
      <c r="G665">
        <f t="shared" si="11"/>
        <v>11</v>
      </c>
      <c r="H665" s="7">
        <v>395.19</v>
      </c>
      <c r="J665" s="7"/>
    </row>
    <row r="666" spans="6:10" ht="18.75" customHeight="1">
      <c r="F666" s="1">
        <v>41609</v>
      </c>
      <c r="G666">
        <f t="shared" si="11"/>
        <v>12</v>
      </c>
      <c r="H666" s="7">
        <v>396.82</v>
      </c>
      <c r="J666" s="7"/>
    </row>
    <row r="667" spans="6:10" ht="18.75" customHeight="1">
      <c r="F667" s="1">
        <v>41640</v>
      </c>
      <c r="G667">
        <f t="shared" si="11"/>
        <v>1</v>
      </c>
      <c r="H667" s="7">
        <v>397.93</v>
      </c>
      <c r="J667" s="7"/>
    </row>
    <row r="668" spans="6:10" ht="18.75" customHeight="1">
      <c r="F668" s="1">
        <v>41671</v>
      </c>
      <c r="G668">
        <f t="shared" si="11"/>
        <v>2</v>
      </c>
      <c r="H668" s="7">
        <v>398.1</v>
      </c>
      <c r="J668" s="7"/>
    </row>
    <row r="669" spans="6:10" ht="18.75" customHeight="1">
      <c r="F669" s="1">
        <v>41699</v>
      </c>
      <c r="G669">
        <f t="shared" si="11"/>
        <v>3</v>
      </c>
      <c r="H669" s="7">
        <v>399.47</v>
      </c>
      <c r="J669" s="7"/>
    </row>
    <row r="670" spans="6:10" ht="18.75" customHeight="1">
      <c r="F670" s="1">
        <v>41730</v>
      </c>
      <c r="G670">
        <f t="shared" si="11"/>
        <v>4</v>
      </c>
      <c r="H670" s="7">
        <v>401.33</v>
      </c>
      <c r="J670" s="7"/>
    </row>
    <row r="671" spans="6:10" ht="18.75" customHeight="1">
      <c r="F671" s="1">
        <v>41760</v>
      </c>
      <c r="G671">
        <f t="shared" si="11"/>
        <v>5</v>
      </c>
      <c r="H671" s="7">
        <v>401.88</v>
      </c>
      <c r="J671" s="7"/>
    </row>
    <row r="672" spans="6:10" ht="18.75" customHeight="1">
      <c r="F672" s="1">
        <v>41791</v>
      </c>
      <c r="G672">
        <f t="shared" si="11"/>
        <v>6</v>
      </c>
      <c r="H672" s="7">
        <v>401.31</v>
      </c>
      <c r="J672" s="7"/>
    </row>
    <row r="673" spans="6:10" ht="18.75" customHeight="1">
      <c r="F673" s="1">
        <v>41821</v>
      </c>
      <c r="G673">
        <f t="shared" si="11"/>
        <v>7</v>
      </c>
      <c r="H673" s="7">
        <v>399.07</v>
      </c>
      <c r="J673" s="7"/>
    </row>
    <row r="674" spans="6:10" ht="18.75" customHeight="1">
      <c r="F674" s="1">
        <v>41852</v>
      </c>
      <c r="G674">
        <f t="shared" si="11"/>
        <v>8</v>
      </c>
      <c r="H674" s="7">
        <v>397.21</v>
      </c>
      <c r="J674" s="7"/>
    </row>
    <row r="675" spans="6:10" ht="18.75" customHeight="1">
      <c r="F675" s="1">
        <v>41883</v>
      </c>
      <c r="G675">
        <f t="shared" si="11"/>
        <v>9</v>
      </c>
      <c r="H675" s="7">
        <v>395.4</v>
      </c>
      <c r="J675" s="7"/>
    </row>
    <row r="676" spans="6:10" ht="18.75" customHeight="1">
      <c r="F676" s="1">
        <v>41913</v>
      </c>
      <c r="G676">
        <f t="shared" si="11"/>
        <v>10</v>
      </c>
      <c r="H676" s="7">
        <v>395.65</v>
      </c>
      <c r="J676" s="7"/>
    </row>
    <row r="677" spans="6:10" ht="18.75" customHeight="1">
      <c r="F677" s="1">
        <v>41944</v>
      </c>
      <c r="G677">
        <f t="shared" si="11"/>
        <v>11</v>
      </c>
      <c r="H677" s="7">
        <v>397.23</v>
      </c>
      <c r="J677" s="7"/>
    </row>
    <row r="678" spans="6:10" ht="18.75" customHeight="1">
      <c r="F678" s="1">
        <v>41974</v>
      </c>
      <c r="G678">
        <f t="shared" si="11"/>
        <v>12</v>
      </c>
      <c r="H678" s="7">
        <v>398.79</v>
      </c>
      <c r="J678" s="7"/>
    </row>
    <row r="679" spans="6:10" ht="18.75" customHeight="1">
      <c r="F679" s="1">
        <v>42005</v>
      </c>
      <c r="G679">
        <f t="shared" si="11"/>
        <v>1</v>
      </c>
      <c r="H679" s="7">
        <v>399.85</v>
      </c>
      <c r="J679" s="7"/>
    </row>
    <row r="680" spans="6:10" ht="18.75" customHeight="1">
      <c r="F680" s="1">
        <v>42036</v>
      </c>
      <c r="G680">
        <f t="shared" si="11"/>
        <v>2</v>
      </c>
      <c r="H680" s="7">
        <v>400.31</v>
      </c>
      <c r="J680" s="7"/>
    </row>
    <row r="681" spans="6:10" ht="18.75" customHeight="1">
      <c r="F681" s="1">
        <v>42064</v>
      </c>
      <c r="G681">
        <f t="shared" si="11"/>
        <v>3</v>
      </c>
      <c r="H681" s="7">
        <v>401.51</v>
      </c>
      <c r="J681" s="7"/>
    </row>
    <row r="682" spans="6:10" ht="18.75" customHeight="1">
      <c r="F682" s="1">
        <v>42095</v>
      </c>
      <c r="G682">
        <f t="shared" si="11"/>
        <v>4</v>
      </c>
      <c r="H682" s="7">
        <v>403.45</v>
      </c>
      <c r="J682" s="7"/>
    </row>
    <row r="683" spans="6:10" ht="18.75" customHeight="1">
      <c r="F683" s="1">
        <v>42125</v>
      </c>
      <c r="G683">
        <f t="shared" si="11"/>
        <v>5</v>
      </c>
      <c r="H683" s="7">
        <v>404.1</v>
      </c>
      <c r="J683" s="7"/>
    </row>
    <row r="684" spans="6:10" ht="18.75" customHeight="1">
      <c r="F684" s="1">
        <v>42156</v>
      </c>
      <c r="G684">
        <f t="shared" si="11"/>
        <v>6</v>
      </c>
      <c r="H684" s="7">
        <v>402.88</v>
      </c>
      <c r="J684" s="7"/>
    </row>
    <row r="685" spans="6:10" ht="18.75" customHeight="1">
      <c r="F685" s="1">
        <v>42186</v>
      </c>
      <c r="G685">
        <f t="shared" si="11"/>
        <v>7</v>
      </c>
      <c r="H685" s="7">
        <v>401.61</v>
      </c>
      <c r="J685" s="7"/>
    </row>
    <row r="686" spans="6:10" ht="18.75" customHeight="1">
      <c r="F686" s="1">
        <v>42217</v>
      </c>
      <c r="G686">
        <f t="shared" si="11"/>
        <v>8</v>
      </c>
      <c r="H686" s="7">
        <v>399</v>
      </c>
      <c r="J686" s="7"/>
    </row>
    <row r="687" spans="6:10" ht="18.75" customHeight="1">
      <c r="F687" s="1">
        <v>42248</v>
      </c>
      <c r="G687">
        <f t="shared" si="11"/>
        <v>9</v>
      </c>
      <c r="H687" s="7">
        <v>397.5</v>
      </c>
      <c r="J687" s="7"/>
    </row>
    <row r="688" spans="6:10" ht="18.75" customHeight="1">
      <c r="F688" s="1">
        <v>42278</v>
      </c>
      <c r="G688">
        <f t="shared" si="11"/>
        <v>10</v>
      </c>
      <c r="H688" s="7">
        <v>398.28</v>
      </c>
      <c r="J688" s="7"/>
    </row>
    <row r="689" spans="6:10" ht="18.75" customHeight="1">
      <c r="F689" s="1">
        <v>42309</v>
      </c>
      <c r="G689">
        <f t="shared" si="11"/>
        <v>11</v>
      </c>
      <c r="H689" s="7">
        <v>400.24</v>
      </c>
      <c r="J689" s="7"/>
    </row>
    <row r="690" spans="6:10" ht="18.75" customHeight="1">
      <c r="F690" s="1">
        <v>42339</v>
      </c>
      <c r="G690">
        <f t="shared" si="11"/>
        <v>12</v>
      </c>
      <c r="H690" s="7">
        <v>401.89</v>
      </c>
      <c r="J690" s="7"/>
    </row>
    <row r="691" spans="6:10" ht="18.75" customHeight="1">
      <c r="F691" s="1">
        <v>42370</v>
      </c>
      <c r="G691">
        <f t="shared" si="11"/>
        <v>1</v>
      </c>
      <c r="H691" s="7">
        <v>402.65</v>
      </c>
      <c r="J691" s="7"/>
    </row>
    <row r="692" spans="6:10" ht="18.75" customHeight="1">
      <c r="F692" s="1">
        <v>42401</v>
      </c>
      <c r="G692">
        <f t="shared" si="11"/>
        <v>2</v>
      </c>
      <c r="H692" s="7">
        <v>404.16</v>
      </c>
      <c r="J692" s="7"/>
    </row>
    <row r="693" spans="6:10" ht="18.75" customHeight="1">
      <c r="F693" s="1">
        <v>42430</v>
      </c>
      <c r="G693">
        <f t="shared" si="11"/>
        <v>3</v>
      </c>
      <c r="H693" s="7">
        <v>404.85</v>
      </c>
      <c r="J693" s="7"/>
    </row>
    <row r="694" spans="6:10" ht="18.75" customHeight="1">
      <c r="F694" s="1">
        <v>42461</v>
      </c>
      <c r="G694">
        <f t="shared" si="11"/>
        <v>4</v>
      </c>
      <c r="H694" s="7">
        <v>407.57</v>
      </c>
      <c r="J694" s="7"/>
    </row>
    <row r="695" spans="6:10" ht="18.75" customHeight="1">
      <c r="F695" s="1">
        <v>42491</v>
      </c>
      <c r="G695">
        <f t="shared" si="11"/>
        <v>5</v>
      </c>
      <c r="H695" s="7">
        <v>407.66</v>
      </c>
      <c r="J695" s="7"/>
    </row>
    <row r="696" spans="6:10" ht="18.75" customHeight="1">
      <c r="F696" s="1">
        <v>42522</v>
      </c>
      <c r="G696">
        <f t="shared" si="11"/>
        <v>6</v>
      </c>
      <c r="H696" s="7">
        <v>407</v>
      </c>
      <c r="J696" s="7"/>
    </row>
    <row r="697" spans="6:10" ht="18.75" customHeight="1">
      <c r="F697" s="1">
        <v>42552</v>
      </c>
      <c r="G697">
        <f t="shared" si="11"/>
        <v>7</v>
      </c>
      <c r="H697" s="7">
        <v>404.5</v>
      </c>
      <c r="J697" s="7"/>
    </row>
    <row r="698" spans="6:10" ht="18.75" customHeight="1">
      <c r="F698" s="1">
        <v>42583</v>
      </c>
      <c r="G698">
        <f t="shared" si="11"/>
        <v>8</v>
      </c>
      <c r="H698" s="7">
        <v>402.24</v>
      </c>
      <c r="J698" s="7"/>
    </row>
    <row r="699" spans="6:10" ht="18.75" customHeight="1">
      <c r="F699" s="1">
        <v>42614</v>
      </c>
      <c r="G699">
        <f t="shared" si="11"/>
        <v>9</v>
      </c>
      <c r="H699" s="7">
        <v>401.01</v>
      </c>
      <c r="J699" s="7"/>
    </row>
    <row r="700" spans="6:10" ht="18.75" customHeight="1">
      <c r="F700" s="1">
        <v>42644</v>
      </c>
      <c r="G700">
        <f t="shared" si="11"/>
        <v>10</v>
      </c>
      <c r="H700" s="7">
        <v>401.5</v>
      </c>
      <c r="J700" s="7"/>
    </row>
    <row r="701" spans="6:10" ht="18.75" customHeight="1">
      <c r="F701" s="1">
        <v>42675</v>
      </c>
      <c r="G701">
        <f t="shared" si="11"/>
        <v>11</v>
      </c>
      <c r="H701" s="7">
        <v>403.64</v>
      </c>
      <c r="J701" s="7"/>
    </row>
    <row r="702" spans="6:10" ht="18.75" customHeight="1">
      <c r="F702" s="1">
        <v>42705</v>
      </c>
      <c r="G702">
        <f t="shared" si="11"/>
        <v>12</v>
      </c>
      <c r="H702" s="7">
        <v>404.55</v>
      </c>
      <c r="J702" s="7"/>
    </row>
    <row r="703" spans="6:10" ht="18.75" customHeight="1">
      <c r="F703" s="1">
        <v>42736</v>
      </c>
      <c r="G703">
        <f t="shared" si="11"/>
        <v>1</v>
      </c>
      <c r="H703" s="7">
        <v>406.07</v>
      </c>
      <c r="J703" s="7"/>
    </row>
    <row r="704" spans="6:10" ht="18.75" customHeight="1">
      <c r="F704" s="1">
        <v>42767</v>
      </c>
      <c r="G704">
        <f t="shared" si="11"/>
        <v>2</v>
      </c>
      <c r="H704" s="7">
        <v>406.64</v>
      </c>
      <c r="J704" s="7"/>
    </row>
    <row r="705" spans="6:10" ht="18.75" customHeight="1">
      <c r="F705" s="1">
        <v>42795</v>
      </c>
      <c r="G705">
        <f t="shared" si="11"/>
        <v>3</v>
      </c>
      <c r="H705" s="7">
        <v>407.05</v>
      </c>
      <c r="J705" s="7"/>
    </row>
    <row r="706" spans="6:10" ht="18.75" customHeight="1">
      <c r="F706" s="1">
        <v>42826</v>
      </c>
      <c r="G706">
        <f t="shared" si="11"/>
        <v>4</v>
      </c>
      <c r="H706" s="7">
        <v>408.95</v>
      </c>
      <c r="J706" s="7"/>
    </row>
    <row r="707" spans="6:10" ht="18.75" customHeight="1">
      <c r="F707" s="1">
        <v>42856</v>
      </c>
      <c r="G707">
        <f t="shared" ref="G707:G770" si="12">MONTH(F707)</f>
        <v>5</v>
      </c>
      <c r="H707" s="7">
        <v>409.91</v>
      </c>
      <c r="J707" s="7"/>
    </row>
    <row r="708" spans="6:10" ht="18.75" customHeight="1">
      <c r="F708" s="1">
        <v>42887</v>
      </c>
      <c r="G708">
        <f t="shared" si="12"/>
        <v>6</v>
      </c>
      <c r="H708" s="7">
        <v>409.12</v>
      </c>
      <c r="J708" s="7"/>
    </row>
    <row r="709" spans="6:10" ht="18.75" customHeight="1">
      <c r="F709" s="1">
        <v>42917</v>
      </c>
      <c r="G709">
        <f t="shared" si="12"/>
        <v>7</v>
      </c>
      <c r="H709" s="7">
        <v>407.2</v>
      </c>
      <c r="J709" s="7"/>
    </row>
    <row r="710" spans="6:10" ht="18.75" customHeight="1">
      <c r="F710" s="1">
        <v>42948</v>
      </c>
      <c r="G710">
        <f t="shared" si="12"/>
        <v>8</v>
      </c>
      <c r="H710" s="7">
        <v>405.24</v>
      </c>
      <c r="J710" s="7"/>
    </row>
    <row r="711" spans="6:10" ht="18.75" customHeight="1">
      <c r="F711" s="1">
        <v>42979</v>
      </c>
      <c r="G711">
        <f t="shared" si="12"/>
        <v>9</v>
      </c>
      <c r="H711" s="7">
        <v>403.27</v>
      </c>
      <c r="J711" s="7"/>
    </row>
    <row r="712" spans="6:10" ht="18.75" customHeight="1">
      <c r="F712" s="1">
        <v>43009</v>
      </c>
      <c r="G712">
        <f t="shared" si="12"/>
        <v>10</v>
      </c>
      <c r="H712" s="7">
        <v>403.64</v>
      </c>
      <c r="J712" s="7"/>
    </row>
    <row r="713" spans="6:10" ht="18.75" customHeight="1">
      <c r="F713" s="1">
        <v>43040</v>
      </c>
      <c r="G713">
        <f t="shared" si="12"/>
        <v>11</v>
      </c>
      <c r="H713" s="7">
        <v>405.17</v>
      </c>
      <c r="J713" s="7"/>
    </row>
    <row r="714" spans="6:10" ht="18.75" customHeight="1">
      <c r="F714" s="1">
        <v>43070</v>
      </c>
      <c r="G714">
        <f t="shared" si="12"/>
        <v>12</v>
      </c>
      <c r="H714" s="7">
        <v>406.75</v>
      </c>
      <c r="J714" s="7"/>
    </row>
    <row r="715" spans="6:10" ht="18.75" customHeight="1">
      <c r="F715" s="1">
        <v>43101</v>
      </c>
      <c r="G715">
        <f t="shared" si="12"/>
        <v>1</v>
      </c>
      <c r="H715" s="7">
        <v>408.05</v>
      </c>
      <c r="J715" s="7"/>
    </row>
    <row r="716" spans="6:10" ht="18.75" customHeight="1">
      <c r="F716" s="1">
        <v>43132</v>
      </c>
      <c r="G716">
        <f t="shared" si="12"/>
        <v>2</v>
      </c>
      <c r="H716" s="7">
        <v>408.34</v>
      </c>
      <c r="J716" s="7"/>
    </row>
    <row r="717" spans="6:10" ht="18.75" customHeight="1">
      <c r="F717" s="1">
        <v>43160</v>
      </c>
      <c r="G717">
        <f t="shared" si="12"/>
        <v>3</v>
      </c>
      <c r="H717" s="7">
        <v>409.25</v>
      </c>
      <c r="J717" s="7"/>
    </row>
    <row r="718" spans="6:10" ht="18.75" customHeight="1">
      <c r="F718" s="1">
        <v>43191</v>
      </c>
      <c r="G718">
        <f t="shared" si="12"/>
        <v>4</v>
      </c>
      <c r="H718" s="7">
        <v>410.3</v>
      </c>
      <c r="J718" s="7"/>
    </row>
    <row r="719" spans="6:10" ht="18.75" customHeight="1">
      <c r="F719" s="1">
        <v>43221</v>
      </c>
      <c r="G719">
        <f t="shared" si="12"/>
        <v>5</v>
      </c>
      <c r="H719" s="7">
        <v>411.3</v>
      </c>
      <c r="J719" s="7"/>
    </row>
    <row r="720" spans="6:10" ht="18.75" customHeight="1">
      <c r="F720" s="1">
        <v>43252</v>
      </c>
      <c r="G720">
        <f t="shared" si="12"/>
        <v>6</v>
      </c>
      <c r="H720" s="7">
        <v>410.88</v>
      </c>
      <c r="J720" s="7"/>
    </row>
    <row r="721" spans="6:10" ht="18.75" customHeight="1">
      <c r="F721" s="1">
        <v>43282</v>
      </c>
      <c r="G721">
        <f t="shared" si="12"/>
        <v>7</v>
      </c>
      <c r="H721" s="7">
        <v>408.9</v>
      </c>
      <c r="J721" s="7"/>
    </row>
    <row r="722" spans="6:10" ht="18.75" customHeight="1">
      <c r="F722" s="1">
        <v>43313</v>
      </c>
      <c r="G722">
        <f t="shared" si="12"/>
        <v>8</v>
      </c>
      <c r="H722" s="7">
        <v>407.1</v>
      </c>
      <c r="J722" s="7"/>
    </row>
    <row r="723" spans="6:10" ht="18.75" customHeight="1">
      <c r="F723" s="1">
        <v>43344</v>
      </c>
      <c r="G723">
        <f t="shared" si="12"/>
        <v>9</v>
      </c>
      <c r="H723" s="7">
        <v>405.59</v>
      </c>
      <c r="J723" s="7"/>
    </row>
    <row r="724" spans="6:10" ht="18.75" customHeight="1">
      <c r="F724" s="1">
        <v>43374</v>
      </c>
      <c r="G724">
        <f t="shared" si="12"/>
        <v>10</v>
      </c>
      <c r="H724" s="7">
        <v>405.99</v>
      </c>
      <c r="J724" s="7"/>
    </row>
    <row r="725" spans="6:10" ht="18.75" customHeight="1">
      <c r="F725" s="1">
        <v>43405</v>
      </c>
      <c r="G725">
        <f t="shared" si="12"/>
        <v>11</v>
      </c>
      <c r="H725" s="7">
        <v>408.12</v>
      </c>
      <c r="J725" s="7"/>
    </row>
    <row r="726" spans="6:10" ht="18.75" customHeight="1">
      <c r="F726" s="1">
        <v>43435</v>
      </c>
      <c r="G726">
        <f t="shared" si="12"/>
        <v>12</v>
      </c>
      <c r="H726" s="7">
        <v>409.23</v>
      </c>
      <c r="J726" s="7"/>
    </row>
    <row r="727" spans="6:10" ht="18.75" customHeight="1">
      <c r="F727" s="1">
        <v>43466</v>
      </c>
      <c r="G727">
        <f t="shared" si="12"/>
        <v>1</v>
      </c>
      <c r="H727" s="7">
        <v>410.92</v>
      </c>
      <c r="J727" s="7"/>
    </row>
    <row r="728" spans="6:10" ht="18.75" customHeight="1">
      <c r="F728" s="1">
        <v>43497</v>
      </c>
      <c r="G728">
        <f t="shared" si="12"/>
        <v>2</v>
      </c>
      <c r="H728" s="7">
        <v>411.66</v>
      </c>
      <c r="J728" s="7"/>
    </row>
    <row r="729" spans="6:10" ht="18.75" customHeight="1">
      <c r="F729" s="1">
        <v>43525</v>
      </c>
      <c r="G729">
        <f t="shared" si="12"/>
        <v>3</v>
      </c>
      <c r="H729" s="7">
        <v>412</v>
      </c>
      <c r="J729" s="7"/>
    </row>
    <row r="730" spans="6:10" ht="18.75" customHeight="1">
      <c r="F730" s="1">
        <v>43556</v>
      </c>
      <c r="G730">
        <f t="shared" si="12"/>
        <v>4</v>
      </c>
      <c r="H730" s="7">
        <v>413.52</v>
      </c>
      <c r="J730" s="7"/>
    </row>
    <row r="731" spans="6:10" ht="18.75" customHeight="1">
      <c r="F731" s="1">
        <v>43586</v>
      </c>
      <c r="G731">
        <f t="shared" si="12"/>
        <v>5</v>
      </c>
      <c r="H731" s="7">
        <v>414.83</v>
      </c>
      <c r="J731" s="7"/>
    </row>
    <row r="732" spans="6:10" ht="18.75" customHeight="1">
      <c r="F732" s="1">
        <v>43617</v>
      </c>
      <c r="G732">
        <f t="shared" si="12"/>
        <v>6</v>
      </c>
      <c r="H732" s="7">
        <v>413.96</v>
      </c>
      <c r="J732" s="7"/>
    </row>
    <row r="733" spans="6:10" ht="18.75" customHeight="1">
      <c r="F733" s="1">
        <v>43647</v>
      </c>
      <c r="G733">
        <f t="shared" si="12"/>
        <v>7</v>
      </c>
      <c r="H733" s="7">
        <v>411.85</v>
      </c>
      <c r="J733" s="7"/>
    </row>
    <row r="734" spans="6:10" ht="18.75" customHeight="1">
      <c r="F734" s="1">
        <v>43678</v>
      </c>
      <c r="G734">
        <f t="shared" si="12"/>
        <v>8</v>
      </c>
      <c r="H734" s="7">
        <v>410.08</v>
      </c>
      <c r="J734" s="7"/>
    </row>
    <row r="735" spans="6:10" ht="18.75" customHeight="1">
      <c r="F735" s="1">
        <v>43709</v>
      </c>
      <c r="G735">
        <f t="shared" si="12"/>
        <v>9</v>
      </c>
      <c r="H735" s="7">
        <v>408.55</v>
      </c>
      <c r="J735" s="7"/>
    </row>
    <row r="736" spans="6:10" ht="18.75" customHeight="1">
      <c r="F736" s="1">
        <v>43739</v>
      </c>
      <c r="G736">
        <f t="shared" si="12"/>
        <v>10</v>
      </c>
      <c r="H736" s="7">
        <v>408.43</v>
      </c>
      <c r="J736" s="7"/>
    </row>
    <row r="737" spans="6:10" ht="18.75" customHeight="1">
      <c r="F737" s="1">
        <v>43770</v>
      </c>
      <c r="G737">
        <f t="shared" si="12"/>
        <v>11</v>
      </c>
      <c r="H737" s="7">
        <v>410.29</v>
      </c>
      <c r="J737" s="7"/>
    </row>
    <row r="738" spans="6:10" ht="18.75" customHeight="1">
      <c r="F738" s="1">
        <v>43800</v>
      </c>
      <c r="G738">
        <f t="shared" si="12"/>
        <v>12</v>
      </c>
      <c r="H738" s="7">
        <v>411.85</v>
      </c>
      <c r="J738" s="7"/>
    </row>
    <row r="739" spans="6:10" ht="18.75" customHeight="1">
      <c r="F739" s="1">
        <v>43831</v>
      </c>
      <c r="G739">
        <f t="shared" si="12"/>
        <v>1</v>
      </c>
      <c r="H739" s="7">
        <v>413.37</v>
      </c>
      <c r="J739" s="7"/>
    </row>
    <row r="740" spans="6:10" ht="18.75" customHeight="1">
      <c r="F740" s="1">
        <v>43862</v>
      </c>
      <c r="G740">
        <f t="shared" si="12"/>
        <v>2</v>
      </c>
      <c r="H740" s="7">
        <v>414.09</v>
      </c>
      <c r="J740" s="7"/>
    </row>
    <row r="741" spans="6:10" ht="18.75" customHeight="1">
      <c r="F741" s="1">
        <v>43891</v>
      </c>
      <c r="G741">
        <f t="shared" si="12"/>
        <v>3</v>
      </c>
      <c r="H741" s="7">
        <v>414.51</v>
      </c>
      <c r="J741" s="7"/>
    </row>
    <row r="742" spans="6:10" ht="18.75" customHeight="1">
      <c r="F742" s="16">
        <v>43922</v>
      </c>
      <c r="G742" s="17">
        <f t="shared" si="12"/>
        <v>4</v>
      </c>
      <c r="H742" s="18">
        <v>416.18</v>
      </c>
      <c r="J742" s="7"/>
    </row>
    <row r="743" spans="6:10" ht="18.75" customHeight="1">
      <c r="F743" s="1">
        <v>43952</v>
      </c>
      <c r="G743">
        <f t="shared" si="12"/>
        <v>5</v>
      </c>
      <c r="J743" s="7"/>
    </row>
    <row r="744" spans="6:10" ht="18.75" customHeight="1">
      <c r="F744" s="1">
        <v>43983</v>
      </c>
      <c r="G744">
        <f t="shared" si="12"/>
        <v>6</v>
      </c>
      <c r="J744" s="7"/>
    </row>
    <row r="745" spans="6:10" ht="18.75" customHeight="1">
      <c r="F745" s="1">
        <v>44013</v>
      </c>
      <c r="G745">
        <f t="shared" si="12"/>
        <v>7</v>
      </c>
      <c r="J745" s="7"/>
    </row>
    <row r="746" spans="6:10" ht="18.75" customHeight="1">
      <c r="F746" s="1">
        <v>44044</v>
      </c>
      <c r="G746">
        <f t="shared" si="12"/>
        <v>8</v>
      </c>
      <c r="J746" s="7"/>
    </row>
    <row r="747" spans="6:10" ht="18.75" customHeight="1">
      <c r="F747" s="1">
        <v>44075</v>
      </c>
      <c r="G747">
        <f t="shared" si="12"/>
        <v>9</v>
      </c>
      <c r="J747" s="7"/>
    </row>
    <row r="748" spans="6:10" ht="18.75" customHeight="1">
      <c r="F748" s="1">
        <v>44105</v>
      </c>
      <c r="G748">
        <f t="shared" si="12"/>
        <v>10</v>
      </c>
      <c r="J748" s="7"/>
    </row>
    <row r="749" spans="6:10" ht="18.75" customHeight="1">
      <c r="F749" s="1">
        <v>44136</v>
      </c>
      <c r="G749">
        <f t="shared" si="12"/>
        <v>11</v>
      </c>
      <c r="J749" s="7"/>
    </row>
    <row r="750" spans="6:10" ht="18.75" customHeight="1">
      <c r="F750" s="1">
        <v>44166</v>
      </c>
      <c r="G750">
        <f t="shared" si="12"/>
        <v>12</v>
      </c>
      <c r="J750" s="7"/>
    </row>
    <row r="751" spans="6:10" ht="18.75" customHeight="1">
      <c r="F751" s="1">
        <v>44197</v>
      </c>
      <c r="G751">
        <f t="shared" si="12"/>
        <v>1</v>
      </c>
      <c r="J751" s="7"/>
    </row>
    <row r="752" spans="6:10" ht="18.75" customHeight="1">
      <c r="F752" s="1">
        <v>44228</v>
      </c>
      <c r="G752">
        <f t="shared" si="12"/>
        <v>2</v>
      </c>
      <c r="J752" s="7"/>
    </row>
    <row r="753" spans="6:10" ht="18.75" customHeight="1">
      <c r="F753" s="1">
        <v>44256</v>
      </c>
      <c r="G753">
        <f t="shared" si="12"/>
        <v>3</v>
      </c>
      <c r="J753" s="7"/>
    </row>
    <row r="754" spans="6:10" ht="18.75" customHeight="1">
      <c r="F754" s="1">
        <v>44287</v>
      </c>
      <c r="G754">
        <f t="shared" si="12"/>
        <v>4</v>
      </c>
      <c r="J754" s="7"/>
    </row>
    <row r="755" spans="6:10" ht="18.75" customHeight="1">
      <c r="F755" s="1">
        <v>44317</v>
      </c>
      <c r="G755">
        <f t="shared" si="12"/>
        <v>5</v>
      </c>
      <c r="J755" s="7"/>
    </row>
    <row r="756" spans="6:10" ht="18.75" customHeight="1">
      <c r="F756" s="1">
        <v>44348</v>
      </c>
      <c r="G756">
        <f t="shared" si="12"/>
        <v>6</v>
      </c>
      <c r="J756" s="7"/>
    </row>
    <row r="757" spans="6:10" ht="18.75" customHeight="1">
      <c r="F757" s="1">
        <v>44378</v>
      </c>
      <c r="G757">
        <f t="shared" si="12"/>
        <v>7</v>
      </c>
      <c r="J757" s="7"/>
    </row>
    <row r="758" spans="6:10" ht="18.75" customHeight="1">
      <c r="F758" s="1">
        <v>44409</v>
      </c>
      <c r="G758">
        <f t="shared" si="12"/>
        <v>8</v>
      </c>
      <c r="J758" s="7"/>
    </row>
    <row r="759" spans="6:10" ht="18.75" customHeight="1">
      <c r="F759" s="1">
        <v>44440</v>
      </c>
      <c r="G759">
        <f t="shared" si="12"/>
        <v>9</v>
      </c>
      <c r="J759" s="7"/>
    </row>
    <row r="760" spans="6:10" ht="18.75" customHeight="1">
      <c r="F760" s="1">
        <v>44470</v>
      </c>
      <c r="G760">
        <f t="shared" si="12"/>
        <v>10</v>
      </c>
      <c r="J760" s="7"/>
    </row>
    <row r="761" spans="6:10" ht="18.75" customHeight="1">
      <c r="F761" s="1">
        <v>44501</v>
      </c>
      <c r="G761">
        <f t="shared" si="12"/>
        <v>11</v>
      </c>
      <c r="J761" s="7"/>
    </row>
    <row r="762" spans="6:10" ht="18.75" customHeight="1">
      <c r="F762" s="1">
        <v>44531</v>
      </c>
      <c r="G762">
        <f t="shared" si="12"/>
        <v>12</v>
      </c>
      <c r="J762" s="7"/>
    </row>
    <row r="763" spans="6:10" ht="18.75" customHeight="1">
      <c r="F763" s="1">
        <v>44562</v>
      </c>
      <c r="G763">
        <f t="shared" si="12"/>
        <v>1</v>
      </c>
      <c r="J763" s="7"/>
    </row>
    <row r="764" spans="6:10" ht="18.75" customHeight="1">
      <c r="F764" s="1">
        <v>44593</v>
      </c>
      <c r="G764">
        <f t="shared" si="12"/>
        <v>2</v>
      </c>
      <c r="J764" s="7"/>
    </row>
    <row r="765" spans="6:10" ht="18.75" customHeight="1">
      <c r="F765" s="1">
        <v>44621</v>
      </c>
      <c r="G765">
        <f t="shared" si="12"/>
        <v>3</v>
      </c>
      <c r="J765" s="7"/>
    </row>
    <row r="766" spans="6:10" ht="18.75" customHeight="1">
      <c r="F766" s="1">
        <v>44652</v>
      </c>
      <c r="G766">
        <f t="shared" si="12"/>
        <v>4</v>
      </c>
      <c r="J766" s="7"/>
    </row>
    <row r="767" spans="6:10" ht="18.75" customHeight="1">
      <c r="F767" s="1">
        <v>44682</v>
      </c>
      <c r="G767">
        <f t="shared" si="12"/>
        <v>5</v>
      </c>
      <c r="J767" s="7"/>
    </row>
    <row r="768" spans="6:10" ht="18.75" customHeight="1">
      <c r="F768" s="1">
        <v>44713</v>
      </c>
      <c r="G768">
        <f t="shared" si="12"/>
        <v>6</v>
      </c>
      <c r="J768" s="7"/>
    </row>
    <row r="769" spans="6:10" ht="18.75" customHeight="1">
      <c r="F769" s="1">
        <v>44743</v>
      </c>
      <c r="G769">
        <f t="shared" si="12"/>
        <v>7</v>
      </c>
      <c r="J769" s="7"/>
    </row>
    <row r="770" spans="6:10" ht="18.75" customHeight="1">
      <c r="F770" s="1">
        <v>44774</v>
      </c>
      <c r="G770">
        <f t="shared" si="12"/>
        <v>8</v>
      </c>
      <c r="J770" s="7"/>
    </row>
    <row r="771" spans="6:10" ht="18.75" customHeight="1">
      <c r="F771" s="1">
        <v>44805</v>
      </c>
      <c r="G771">
        <f t="shared" ref="G771:G834" si="13">MONTH(F771)</f>
        <v>9</v>
      </c>
      <c r="J771" s="7"/>
    </row>
    <row r="772" spans="6:10" ht="18.75" customHeight="1">
      <c r="F772" s="1">
        <v>44835</v>
      </c>
      <c r="G772">
        <f t="shared" si="13"/>
        <v>10</v>
      </c>
      <c r="J772" s="7"/>
    </row>
    <row r="773" spans="6:10" ht="18.75" customHeight="1">
      <c r="F773" s="1">
        <v>44866</v>
      </c>
      <c r="G773">
        <f t="shared" si="13"/>
        <v>11</v>
      </c>
      <c r="J773" s="7"/>
    </row>
    <row r="774" spans="6:10" ht="18.75" customHeight="1">
      <c r="F774" s="1">
        <v>44896</v>
      </c>
      <c r="G774">
        <f t="shared" si="13"/>
        <v>12</v>
      </c>
      <c r="J774" s="7"/>
    </row>
    <row r="775" spans="6:10" ht="18.75" customHeight="1">
      <c r="F775" s="1">
        <v>44927</v>
      </c>
      <c r="G775">
        <f t="shared" si="13"/>
        <v>1</v>
      </c>
      <c r="J775" s="7"/>
    </row>
    <row r="776" spans="6:10" ht="18.75" customHeight="1">
      <c r="F776" s="1">
        <v>44958</v>
      </c>
      <c r="G776">
        <f t="shared" si="13"/>
        <v>2</v>
      </c>
      <c r="J776" s="7"/>
    </row>
    <row r="777" spans="6:10" ht="18.75" customHeight="1">
      <c r="F777" s="1">
        <v>44986</v>
      </c>
      <c r="G777">
        <f t="shared" si="13"/>
        <v>3</v>
      </c>
      <c r="J777" s="7"/>
    </row>
    <row r="778" spans="6:10" ht="18.75" customHeight="1">
      <c r="F778" s="1">
        <v>45017</v>
      </c>
      <c r="G778">
        <f t="shared" si="13"/>
        <v>4</v>
      </c>
      <c r="J778" s="7"/>
    </row>
    <row r="779" spans="6:10" ht="18.75" customHeight="1">
      <c r="F779" s="1">
        <v>45047</v>
      </c>
      <c r="G779">
        <f t="shared" si="13"/>
        <v>5</v>
      </c>
      <c r="J779" s="7"/>
    </row>
    <row r="780" spans="6:10" ht="18.75" customHeight="1">
      <c r="F780" s="1">
        <v>45078</v>
      </c>
      <c r="G780">
        <f t="shared" si="13"/>
        <v>6</v>
      </c>
      <c r="J780" s="7"/>
    </row>
    <row r="781" spans="6:10" ht="18.75" customHeight="1">
      <c r="F781" s="1">
        <v>45108</v>
      </c>
      <c r="G781">
        <f t="shared" si="13"/>
        <v>7</v>
      </c>
      <c r="J781" s="7"/>
    </row>
    <row r="782" spans="6:10" ht="18.75" customHeight="1">
      <c r="F782" s="1">
        <v>45139</v>
      </c>
      <c r="G782">
        <f t="shared" si="13"/>
        <v>8</v>
      </c>
      <c r="J782" s="7"/>
    </row>
    <row r="783" spans="6:10" ht="18.75" customHeight="1">
      <c r="F783" s="1">
        <v>45170</v>
      </c>
      <c r="G783">
        <f t="shared" si="13"/>
        <v>9</v>
      </c>
      <c r="J783" s="7"/>
    </row>
    <row r="784" spans="6:10" ht="18.75" customHeight="1">
      <c r="F784" s="1">
        <v>45200</v>
      </c>
      <c r="G784">
        <f t="shared" si="13"/>
        <v>10</v>
      </c>
      <c r="J784" s="7"/>
    </row>
    <row r="785" spans="6:10" ht="18.75" customHeight="1">
      <c r="F785" s="1">
        <v>45231</v>
      </c>
      <c r="G785">
        <f t="shared" si="13"/>
        <v>11</v>
      </c>
      <c r="J785" s="7"/>
    </row>
    <row r="786" spans="6:10" ht="18.75" customHeight="1">
      <c r="F786" s="1">
        <v>45261</v>
      </c>
      <c r="G786">
        <f t="shared" si="13"/>
        <v>12</v>
      </c>
      <c r="J786" s="7"/>
    </row>
    <row r="787" spans="6:10" ht="18.75" customHeight="1">
      <c r="F787" s="1">
        <v>45292</v>
      </c>
      <c r="G787">
        <f t="shared" si="13"/>
        <v>1</v>
      </c>
      <c r="J787" s="7"/>
    </row>
    <row r="788" spans="6:10" ht="18.75" customHeight="1">
      <c r="F788" s="1">
        <v>45323</v>
      </c>
      <c r="G788">
        <f t="shared" si="13"/>
        <v>2</v>
      </c>
      <c r="J788" s="7"/>
    </row>
    <row r="789" spans="6:10" ht="18.75" customHeight="1">
      <c r="F789" s="1">
        <v>45352</v>
      </c>
      <c r="G789">
        <f t="shared" si="13"/>
        <v>3</v>
      </c>
      <c r="J789" s="7"/>
    </row>
    <row r="790" spans="6:10" ht="18.75" customHeight="1">
      <c r="F790" s="1">
        <v>45383</v>
      </c>
      <c r="G790">
        <f t="shared" si="13"/>
        <v>4</v>
      </c>
      <c r="J790" s="7"/>
    </row>
    <row r="791" spans="6:10" ht="18.75" customHeight="1">
      <c r="F791" s="1">
        <v>45413</v>
      </c>
      <c r="G791">
        <f t="shared" si="13"/>
        <v>5</v>
      </c>
      <c r="J791" s="7"/>
    </row>
    <row r="792" spans="6:10" ht="18.75" customHeight="1">
      <c r="F792" s="1">
        <v>45444</v>
      </c>
      <c r="G792">
        <f t="shared" si="13"/>
        <v>6</v>
      </c>
      <c r="J792" s="7"/>
    </row>
    <row r="793" spans="6:10" ht="18.75" customHeight="1">
      <c r="F793" s="1">
        <v>45474</v>
      </c>
      <c r="G793">
        <f t="shared" si="13"/>
        <v>7</v>
      </c>
      <c r="J793" s="7"/>
    </row>
    <row r="794" spans="6:10" ht="18.75" customHeight="1">
      <c r="F794" s="1">
        <v>45505</v>
      </c>
      <c r="G794">
        <f t="shared" si="13"/>
        <v>8</v>
      </c>
      <c r="J794" s="7"/>
    </row>
    <row r="795" spans="6:10" ht="18.75" customHeight="1">
      <c r="F795" s="1">
        <v>45536</v>
      </c>
      <c r="G795">
        <f t="shared" si="13"/>
        <v>9</v>
      </c>
      <c r="J795" s="7"/>
    </row>
    <row r="796" spans="6:10" ht="18.75" customHeight="1">
      <c r="F796" s="1">
        <v>45566</v>
      </c>
      <c r="G796">
        <f t="shared" si="13"/>
        <v>10</v>
      </c>
      <c r="J796" s="7"/>
    </row>
    <row r="797" spans="6:10" ht="18.75" customHeight="1">
      <c r="F797" s="1">
        <v>45597</v>
      </c>
      <c r="G797">
        <f t="shared" si="13"/>
        <v>11</v>
      </c>
      <c r="J797" s="7"/>
    </row>
    <row r="798" spans="6:10" ht="18.75" customHeight="1">
      <c r="F798" s="1">
        <v>45627</v>
      </c>
      <c r="G798">
        <f t="shared" si="13"/>
        <v>12</v>
      </c>
      <c r="J798" s="7"/>
    </row>
    <row r="799" spans="6:10" ht="18.75" customHeight="1">
      <c r="F799" s="1">
        <v>45658</v>
      </c>
      <c r="G799">
        <f t="shared" si="13"/>
        <v>1</v>
      </c>
      <c r="J799" s="7"/>
    </row>
    <row r="800" spans="6:10" ht="18.75" customHeight="1">
      <c r="F800" s="1">
        <v>45689</v>
      </c>
      <c r="G800">
        <f t="shared" si="13"/>
        <v>2</v>
      </c>
      <c r="J800" s="7"/>
    </row>
    <row r="801" spans="6:10" ht="18.75" customHeight="1">
      <c r="F801" s="1">
        <v>45717</v>
      </c>
      <c r="G801">
        <f t="shared" si="13"/>
        <v>3</v>
      </c>
      <c r="J801" s="7"/>
    </row>
    <row r="802" spans="6:10" ht="18.75" customHeight="1">
      <c r="F802" s="1">
        <v>45748</v>
      </c>
      <c r="G802">
        <f t="shared" si="13"/>
        <v>4</v>
      </c>
      <c r="J802" s="7"/>
    </row>
    <row r="803" spans="6:10" ht="18.75" customHeight="1">
      <c r="F803" s="1">
        <v>45778</v>
      </c>
      <c r="G803">
        <f t="shared" si="13"/>
        <v>5</v>
      </c>
      <c r="J803" s="7"/>
    </row>
    <row r="804" spans="6:10" ht="18.75" customHeight="1">
      <c r="F804" s="1">
        <v>45809</v>
      </c>
      <c r="G804">
        <f t="shared" si="13"/>
        <v>6</v>
      </c>
      <c r="J804" s="7"/>
    </row>
    <row r="805" spans="6:10" ht="18.75" customHeight="1">
      <c r="F805" s="1">
        <v>45839</v>
      </c>
      <c r="G805">
        <f t="shared" si="13"/>
        <v>7</v>
      </c>
      <c r="J805" s="7"/>
    </row>
    <row r="806" spans="6:10" ht="18.75" customHeight="1">
      <c r="F806" s="1">
        <v>45870</v>
      </c>
      <c r="G806">
        <f t="shared" si="13"/>
        <v>8</v>
      </c>
      <c r="J806" s="7"/>
    </row>
    <row r="807" spans="6:10" ht="18.75" customHeight="1">
      <c r="F807" s="1">
        <v>45901</v>
      </c>
      <c r="G807">
        <f t="shared" si="13"/>
        <v>9</v>
      </c>
      <c r="J807" s="7"/>
    </row>
    <row r="808" spans="6:10" ht="18.75" customHeight="1">
      <c r="F808" s="1">
        <v>45931</v>
      </c>
      <c r="G808">
        <f t="shared" si="13"/>
        <v>10</v>
      </c>
      <c r="J808" s="7"/>
    </row>
    <row r="809" spans="6:10" ht="18.75" customHeight="1">
      <c r="F809" s="1">
        <v>45962</v>
      </c>
      <c r="G809">
        <f t="shared" si="13"/>
        <v>11</v>
      </c>
      <c r="J809" s="7"/>
    </row>
    <row r="810" spans="6:10" ht="18.75" customHeight="1">
      <c r="F810" s="1">
        <v>45992</v>
      </c>
      <c r="G810">
        <f t="shared" si="13"/>
        <v>12</v>
      </c>
      <c r="J810" s="7"/>
    </row>
    <row r="811" spans="6:10" ht="18.75" customHeight="1">
      <c r="F811" s="1">
        <v>46023</v>
      </c>
      <c r="G811">
        <f t="shared" si="13"/>
        <v>1</v>
      </c>
      <c r="J811" s="7"/>
    </row>
    <row r="812" spans="6:10" ht="18.75" customHeight="1">
      <c r="F812" s="1">
        <v>46054</v>
      </c>
      <c r="G812">
        <f t="shared" si="13"/>
        <v>2</v>
      </c>
      <c r="J812" s="7"/>
    </row>
    <row r="813" spans="6:10" ht="18.75" customHeight="1">
      <c r="F813" s="1">
        <v>46082</v>
      </c>
      <c r="G813">
        <f t="shared" si="13"/>
        <v>3</v>
      </c>
      <c r="J813" s="7"/>
    </row>
    <row r="814" spans="6:10" ht="18.75" customHeight="1">
      <c r="F814" s="1">
        <v>46113</v>
      </c>
      <c r="G814">
        <f t="shared" si="13"/>
        <v>4</v>
      </c>
      <c r="J814" s="7"/>
    </row>
    <row r="815" spans="6:10" ht="18.75" customHeight="1">
      <c r="F815" s="1">
        <v>46143</v>
      </c>
      <c r="G815">
        <f t="shared" si="13"/>
        <v>5</v>
      </c>
      <c r="J815" s="7"/>
    </row>
    <row r="816" spans="6:10" ht="18.75" customHeight="1">
      <c r="F816" s="1">
        <v>46174</v>
      </c>
      <c r="G816">
        <f t="shared" si="13"/>
        <v>6</v>
      </c>
      <c r="J816" s="7"/>
    </row>
    <row r="817" spans="6:10" ht="18.75" customHeight="1">
      <c r="F817" s="1">
        <v>46204</v>
      </c>
      <c r="G817">
        <f t="shared" si="13"/>
        <v>7</v>
      </c>
      <c r="J817" s="7"/>
    </row>
    <row r="818" spans="6:10" ht="18.75" customHeight="1">
      <c r="F818" s="1">
        <v>46235</v>
      </c>
      <c r="G818">
        <f t="shared" si="13"/>
        <v>8</v>
      </c>
      <c r="J818" s="7"/>
    </row>
    <row r="819" spans="6:10" ht="18.75" customHeight="1">
      <c r="F819" s="1">
        <v>46266</v>
      </c>
      <c r="G819">
        <f t="shared" si="13"/>
        <v>9</v>
      </c>
      <c r="J819" s="7"/>
    </row>
    <row r="820" spans="6:10" ht="18.75" customHeight="1">
      <c r="F820" s="1">
        <v>46296</v>
      </c>
      <c r="G820">
        <f t="shared" si="13"/>
        <v>10</v>
      </c>
      <c r="J820" s="7"/>
    </row>
    <row r="821" spans="6:10" ht="18.75" customHeight="1">
      <c r="F821" s="1">
        <v>46327</v>
      </c>
      <c r="G821">
        <f t="shared" si="13"/>
        <v>11</v>
      </c>
      <c r="J821" s="7"/>
    </row>
    <row r="822" spans="6:10" ht="18.75" customHeight="1">
      <c r="F822" s="1">
        <v>46357</v>
      </c>
      <c r="G822">
        <f t="shared" si="13"/>
        <v>12</v>
      </c>
      <c r="J822" s="7"/>
    </row>
    <row r="823" spans="6:10" ht="18.75" customHeight="1">
      <c r="F823" s="1">
        <v>46388</v>
      </c>
      <c r="G823">
        <f t="shared" si="13"/>
        <v>1</v>
      </c>
      <c r="J823" s="7"/>
    </row>
    <row r="824" spans="6:10" ht="18.75" customHeight="1">
      <c r="F824" s="1">
        <v>46419</v>
      </c>
      <c r="G824">
        <f t="shared" si="13"/>
        <v>2</v>
      </c>
      <c r="J824" s="7"/>
    </row>
    <row r="825" spans="6:10" ht="18.75" customHeight="1">
      <c r="F825" s="1">
        <v>46447</v>
      </c>
      <c r="G825">
        <f t="shared" si="13"/>
        <v>3</v>
      </c>
      <c r="J825" s="7"/>
    </row>
    <row r="826" spans="6:10" ht="18.75" customHeight="1">
      <c r="F826" s="1">
        <v>46478</v>
      </c>
      <c r="G826">
        <f t="shared" si="13"/>
        <v>4</v>
      </c>
      <c r="J826" s="7"/>
    </row>
    <row r="827" spans="6:10" ht="18.75" customHeight="1">
      <c r="F827" s="1">
        <v>46508</v>
      </c>
      <c r="G827">
        <f t="shared" si="13"/>
        <v>5</v>
      </c>
      <c r="J827" s="7"/>
    </row>
    <row r="828" spans="6:10" ht="18.75" customHeight="1">
      <c r="F828" s="1">
        <v>46539</v>
      </c>
      <c r="G828">
        <f t="shared" si="13"/>
        <v>6</v>
      </c>
      <c r="J828" s="7"/>
    </row>
    <row r="829" spans="6:10" ht="18.75" customHeight="1">
      <c r="F829" s="1">
        <v>46569</v>
      </c>
      <c r="G829">
        <f t="shared" si="13"/>
        <v>7</v>
      </c>
      <c r="J829" s="7"/>
    </row>
    <row r="830" spans="6:10" ht="18.75" customHeight="1">
      <c r="F830" s="1">
        <v>46600</v>
      </c>
      <c r="G830">
        <f t="shared" si="13"/>
        <v>8</v>
      </c>
      <c r="J830" s="7"/>
    </row>
    <row r="831" spans="6:10" ht="18.75" customHeight="1">
      <c r="F831" s="1">
        <v>46631</v>
      </c>
      <c r="G831">
        <f t="shared" si="13"/>
        <v>9</v>
      </c>
      <c r="J831" s="7"/>
    </row>
    <row r="832" spans="6:10" ht="18.75" customHeight="1">
      <c r="F832" s="1">
        <v>46661</v>
      </c>
      <c r="G832">
        <f t="shared" si="13"/>
        <v>10</v>
      </c>
      <c r="J832" s="7"/>
    </row>
    <row r="833" spans="6:10" ht="18.75" customHeight="1">
      <c r="F833" s="1">
        <v>46692</v>
      </c>
      <c r="G833">
        <f t="shared" si="13"/>
        <v>11</v>
      </c>
      <c r="J833" s="7"/>
    </row>
    <row r="834" spans="6:10" ht="18.75" customHeight="1">
      <c r="F834" s="1">
        <v>46722</v>
      </c>
      <c r="G834">
        <f t="shared" si="13"/>
        <v>12</v>
      </c>
      <c r="J834" s="7"/>
    </row>
    <row r="835" spans="6:10" ht="18.75" customHeight="1">
      <c r="F835" s="1">
        <v>46753</v>
      </c>
      <c r="G835">
        <f t="shared" ref="G835:G898" si="14">MONTH(F835)</f>
        <v>1</v>
      </c>
      <c r="J835" s="7"/>
    </row>
    <row r="836" spans="6:10" ht="18.75" customHeight="1">
      <c r="F836" s="1">
        <v>46784</v>
      </c>
      <c r="G836">
        <f t="shared" si="14"/>
        <v>2</v>
      </c>
      <c r="J836" s="7"/>
    </row>
    <row r="837" spans="6:10" ht="18.75" customHeight="1">
      <c r="F837" s="1">
        <v>46813</v>
      </c>
      <c r="G837">
        <f t="shared" si="14"/>
        <v>3</v>
      </c>
      <c r="J837" s="7"/>
    </row>
    <row r="838" spans="6:10" ht="18.75" customHeight="1">
      <c r="F838" s="1">
        <v>46844</v>
      </c>
      <c r="G838">
        <f t="shared" si="14"/>
        <v>4</v>
      </c>
      <c r="J838" s="7"/>
    </row>
    <row r="839" spans="6:10" ht="18.75" customHeight="1">
      <c r="F839" s="1">
        <v>46874</v>
      </c>
      <c r="G839">
        <f t="shared" si="14"/>
        <v>5</v>
      </c>
      <c r="J839" s="7"/>
    </row>
    <row r="840" spans="6:10" ht="18.75" customHeight="1">
      <c r="F840" s="1">
        <v>46905</v>
      </c>
      <c r="G840">
        <f t="shared" si="14"/>
        <v>6</v>
      </c>
      <c r="J840" s="7"/>
    </row>
    <row r="841" spans="6:10" ht="18.75" customHeight="1">
      <c r="F841" s="1">
        <v>46935</v>
      </c>
      <c r="G841">
        <f t="shared" si="14"/>
        <v>7</v>
      </c>
      <c r="J841" s="7"/>
    </row>
    <row r="842" spans="6:10" ht="18.75" customHeight="1">
      <c r="F842" s="1">
        <v>46966</v>
      </c>
      <c r="G842">
        <f t="shared" si="14"/>
        <v>8</v>
      </c>
      <c r="J842" s="7"/>
    </row>
    <row r="843" spans="6:10" ht="18.75" customHeight="1">
      <c r="F843" s="1">
        <v>46997</v>
      </c>
      <c r="G843">
        <f t="shared" si="14"/>
        <v>9</v>
      </c>
      <c r="J843" s="7"/>
    </row>
    <row r="844" spans="6:10" ht="18.75" customHeight="1">
      <c r="F844" s="1">
        <v>47027</v>
      </c>
      <c r="G844">
        <f t="shared" si="14"/>
        <v>10</v>
      </c>
      <c r="J844" s="7"/>
    </row>
    <row r="845" spans="6:10" ht="18.75" customHeight="1">
      <c r="F845" s="1">
        <v>47058</v>
      </c>
      <c r="G845">
        <f t="shared" si="14"/>
        <v>11</v>
      </c>
      <c r="J845" s="7"/>
    </row>
    <row r="846" spans="6:10" ht="18.75" customHeight="1">
      <c r="F846" s="1">
        <v>47088</v>
      </c>
      <c r="G846">
        <f t="shared" si="14"/>
        <v>12</v>
      </c>
      <c r="J846" s="7"/>
    </row>
    <row r="847" spans="6:10" ht="18.75" customHeight="1">
      <c r="F847" s="1">
        <v>47119</v>
      </c>
      <c r="G847">
        <f t="shared" si="14"/>
        <v>1</v>
      </c>
      <c r="J847" s="7"/>
    </row>
    <row r="848" spans="6:10" ht="18.75" customHeight="1">
      <c r="F848" s="1">
        <v>47150</v>
      </c>
      <c r="G848">
        <f t="shared" si="14"/>
        <v>2</v>
      </c>
      <c r="J848" s="7"/>
    </row>
    <row r="849" spans="6:10" ht="18.75" customHeight="1">
      <c r="F849" s="1">
        <v>47178</v>
      </c>
      <c r="G849">
        <f t="shared" si="14"/>
        <v>3</v>
      </c>
      <c r="J849" s="7"/>
    </row>
    <row r="850" spans="6:10" ht="18.75" customHeight="1">
      <c r="F850" s="1">
        <v>47209</v>
      </c>
      <c r="G850">
        <f t="shared" si="14"/>
        <v>4</v>
      </c>
      <c r="J850" s="7"/>
    </row>
    <row r="851" spans="6:10" ht="18.75" customHeight="1">
      <c r="F851" s="1">
        <v>47239</v>
      </c>
      <c r="G851">
        <f t="shared" si="14"/>
        <v>5</v>
      </c>
      <c r="J851" s="7"/>
    </row>
    <row r="852" spans="6:10" ht="18.75" customHeight="1">
      <c r="F852" s="1">
        <v>47270</v>
      </c>
      <c r="G852">
        <f t="shared" si="14"/>
        <v>6</v>
      </c>
      <c r="J852" s="7"/>
    </row>
    <row r="853" spans="6:10" ht="18.75" customHeight="1">
      <c r="F853" s="1">
        <v>47300</v>
      </c>
      <c r="G853">
        <f t="shared" si="14"/>
        <v>7</v>
      </c>
      <c r="J853" s="7"/>
    </row>
    <row r="854" spans="6:10" ht="18.75" customHeight="1">
      <c r="F854" s="1">
        <v>47331</v>
      </c>
      <c r="G854">
        <f t="shared" si="14"/>
        <v>8</v>
      </c>
      <c r="J854" s="7"/>
    </row>
    <row r="855" spans="6:10" ht="18.75" customHeight="1">
      <c r="F855" s="1">
        <v>47362</v>
      </c>
      <c r="G855">
        <f t="shared" si="14"/>
        <v>9</v>
      </c>
      <c r="J855" s="7"/>
    </row>
    <row r="856" spans="6:10" ht="18.75" customHeight="1">
      <c r="F856" s="1">
        <v>47392</v>
      </c>
      <c r="G856">
        <f t="shared" si="14"/>
        <v>10</v>
      </c>
      <c r="J856" s="7"/>
    </row>
    <row r="857" spans="6:10" ht="18.75" customHeight="1">
      <c r="F857" s="1">
        <v>47423</v>
      </c>
      <c r="G857">
        <f t="shared" si="14"/>
        <v>11</v>
      </c>
      <c r="J857" s="7"/>
    </row>
    <row r="858" spans="6:10" ht="18.75" customHeight="1">
      <c r="F858" s="1">
        <v>47453</v>
      </c>
      <c r="G858">
        <f t="shared" si="14"/>
        <v>12</v>
      </c>
      <c r="J858" s="7"/>
    </row>
    <row r="859" spans="6:10" ht="18.75" customHeight="1">
      <c r="F859" s="1">
        <v>47484</v>
      </c>
      <c r="G859">
        <f t="shared" si="14"/>
        <v>1</v>
      </c>
      <c r="J859" s="7"/>
    </row>
    <row r="860" spans="6:10" ht="18.75" customHeight="1">
      <c r="F860" s="1">
        <v>47515</v>
      </c>
      <c r="G860">
        <f t="shared" si="14"/>
        <v>2</v>
      </c>
      <c r="J860" s="7"/>
    </row>
    <row r="861" spans="6:10" ht="18.75" customHeight="1">
      <c r="F861" s="1">
        <v>47543</v>
      </c>
      <c r="G861">
        <f t="shared" si="14"/>
        <v>3</v>
      </c>
      <c r="J861" s="7"/>
    </row>
    <row r="862" spans="6:10" ht="18.75" customHeight="1">
      <c r="F862" s="1">
        <v>47574</v>
      </c>
      <c r="G862">
        <f t="shared" si="14"/>
        <v>4</v>
      </c>
      <c r="J862" s="7"/>
    </row>
    <row r="863" spans="6:10" ht="18.75" customHeight="1">
      <c r="F863" s="1">
        <v>47604</v>
      </c>
      <c r="G863">
        <f t="shared" si="14"/>
        <v>5</v>
      </c>
      <c r="J863" s="7"/>
    </row>
    <row r="864" spans="6:10" ht="18.75" customHeight="1">
      <c r="F864" s="1">
        <v>47635</v>
      </c>
      <c r="G864">
        <f t="shared" si="14"/>
        <v>6</v>
      </c>
      <c r="J864" s="7"/>
    </row>
    <row r="865" spans="6:10" ht="18.75" customHeight="1">
      <c r="F865" s="1">
        <v>47665</v>
      </c>
      <c r="G865">
        <f t="shared" si="14"/>
        <v>7</v>
      </c>
      <c r="J865" s="7"/>
    </row>
    <row r="866" spans="6:10" ht="18.75" customHeight="1">
      <c r="F866" s="1">
        <v>47696</v>
      </c>
      <c r="G866">
        <f t="shared" si="14"/>
        <v>8</v>
      </c>
      <c r="J866" s="7"/>
    </row>
    <row r="867" spans="6:10" ht="18.75" customHeight="1">
      <c r="F867" s="1">
        <v>47727</v>
      </c>
      <c r="G867">
        <f t="shared" si="14"/>
        <v>9</v>
      </c>
      <c r="J867" s="7"/>
    </row>
    <row r="868" spans="6:10" ht="18.75" customHeight="1">
      <c r="F868" s="1">
        <v>47757</v>
      </c>
      <c r="G868">
        <f t="shared" si="14"/>
        <v>10</v>
      </c>
      <c r="J868" s="7"/>
    </row>
    <row r="869" spans="6:10" ht="18.75" customHeight="1">
      <c r="F869" s="1">
        <v>47788</v>
      </c>
      <c r="G869">
        <f t="shared" si="14"/>
        <v>11</v>
      </c>
      <c r="J869" s="7"/>
    </row>
    <row r="870" spans="6:10" ht="18.75" customHeight="1">
      <c r="F870" s="1">
        <v>47818</v>
      </c>
      <c r="G870">
        <f t="shared" si="14"/>
        <v>12</v>
      </c>
      <c r="J870" s="7"/>
    </row>
    <row r="871" spans="6:10" ht="18.75" customHeight="1">
      <c r="F871" s="1">
        <v>47849</v>
      </c>
      <c r="G871">
        <f t="shared" si="14"/>
        <v>1</v>
      </c>
      <c r="J871" s="7"/>
    </row>
    <row r="872" spans="6:10" ht="18.75" customHeight="1">
      <c r="F872" s="1">
        <v>47880</v>
      </c>
      <c r="G872">
        <f t="shared" si="14"/>
        <v>2</v>
      </c>
      <c r="J872" s="7"/>
    </row>
    <row r="873" spans="6:10" ht="18.75" customHeight="1">
      <c r="F873" s="1">
        <v>47908</v>
      </c>
      <c r="G873">
        <f t="shared" si="14"/>
        <v>3</v>
      </c>
      <c r="J873" s="7"/>
    </row>
    <row r="874" spans="6:10" ht="18.75" customHeight="1">
      <c r="F874" s="1">
        <v>47939</v>
      </c>
      <c r="G874">
        <f t="shared" si="14"/>
        <v>4</v>
      </c>
      <c r="J874" s="7"/>
    </row>
    <row r="875" spans="6:10" ht="18.75" customHeight="1">
      <c r="F875" s="1">
        <v>47969</v>
      </c>
      <c r="G875">
        <f t="shared" si="14"/>
        <v>5</v>
      </c>
      <c r="J875" s="7"/>
    </row>
    <row r="876" spans="6:10" ht="18.75" customHeight="1">
      <c r="F876" s="1">
        <v>48000</v>
      </c>
      <c r="G876">
        <f t="shared" si="14"/>
        <v>6</v>
      </c>
      <c r="J876" s="7"/>
    </row>
    <row r="877" spans="6:10" ht="18.75" customHeight="1">
      <c r="F877" s="1">
        <v>48030</v>
      </c>
      <c r="G877">
        <f t="shared" si="14"/>
        <v>7</v>
      </c>
      <c r="J877" s="7"/>
    </row>
    <row r="878" spans="6:10" ht="18.75" customHeight="1">
      <c r="F878" s="1">
        <v>48061</v>
      </c>
      <c r="G878">
        <f t="shared" si="14"/>
        <v>8</v>
      </c>
      <c r="J878" s="7"/>
    </row>
    <row r="879" spans="6:10" ht="18.75" customHeight="1">
      <c r="F879" s="1">
        <v>48092</v>
      </c>
      <c r="G879">
        <f t="shared" si="14"/>
        <v>9</v>
      </c>
      <c r="J879" s="7"/>
    </row>
    <row r="880" spans="6:10" ht="18.75" customHeight="1">
      <c r="F880" s="1">
        <v>48122</v>
      </c>
      <c r="G880">
        <f t="shared" si="14"/>
        <v>10</v>
      </c>
      <c r="J880" s="7"/>
    </row>
    <row r="881" spans="6:10" ht="18.75" customHeight="1">
      <c r="F881" s="1">
        <v>48153</v>
      </c>
      <c r="G881">
        <f t="shared" si="14"/>
        <v>11</v>
      </c>
      <c r="J881" s="7"/>
    </row>
    <row r="882" spans="6:10" ht="18.75" customHeight="1">
      <c r="F882" s="1">
        <v>48183</v>
      </c>
      <c r="G882">
        <f t="shared" si="14"/>
        <v>12</v>
      </c>
      <c r="J882" s="7"/>
    </row>
    <row r="883" spans="6:10" ht="18.75" customHeight="1">
      <c r="F883" s="1">
        <v>48214</v>
      </c>
      <c r="G883">
        <f t="shared" si="14"/>
        <v>1</v>
      </c>
      <c r="J883" s="7"/>
    </row>
    <row r="884" spans="6:10" ht="18.75" customHeight="1">
      <c r="F884" s="1">
        <v>48245</v>
      </c>
      <c r="G884">
        <f t="shared" si="14"/>
        <v>2</v>
      </c>
      <c r="J884" s="7"/>
    </row>
    <row r="885" spans="6:10" ht="18.75" customHeight="1">
      <c r="F885" s="1">
        <v>48274</v>
      </c>
      <c r="G885">
        <f t="shared" si="14"/>
        <v>3</v>
      </c>
      <c r="J885" s="7"/>
    </row>
    <row r="886" spans="6:10" ht="18.75" customHeight="1">
      <c r="F886" s="1">
        <v>48305</v>
      </c>
      <c r="G886">
        <f t="shared" si="14"/>
        <v>4</v>
      </c>
      <c r="J886" s="7"/>
    </row>
    <row r="887" spans="6:10" ht="18.75" customHeight="1">
      <c r="F887" s="1">
        <v>48335</v>
      </c>
      <c r="G887">
        <f t="shared" si="14"/>
        <v>5</v>
      </c>
      <c r="J887" s="7"/>
    </row>
    <row r="888" spans="6:10" ht="18.75" customHeight="1">
      <c r="F888" s="1">
        <v>48366</v>
      </c>
      <c r="G888">
        <f t="shared" si="14"/>
        <v>6</v>
      </c>
      <c r="J888" s="7"/>
    </row>
    <row r="889" spans="6:10" ht="18.75" customHeight="1">
      <c r="F889" s="1">
        <v>48396</v>
      </c>
      <c r="G889">
        <f t="shared" si="14"/>
        <v>7</v>
      </c>
      <c r="J889" s="7"/>
    </row>
    <row r="890" spans="6:10" ht="18.75" customHeight="1">
      <c r="F890" s="1">
        <v>48427</v>
      </c>
      <c r="G890">
        <f t="shared" si="14"/>
        <v>8</v>
      </c>
      <c r="J890" s="7"/>
    </row>
    <row r="891" spans="6:10" ht="18.75" customHeight="1">
      <c r="F891" s="1">
        <v>48458</v>
      </c>
      <c r="G891">
        <f t="shared" si="14"/>
        <v>9</v>
      </c>
      <c r="J891" s="7"/>
    </row>
    <row r="892" spans="6:10" ht="18.75" customHeight="1">
      <c r="F892" s="1">
        <v>48488</v>
      </c>
      <c r="G892">
        <f t="shared" si="14"/>
        <v>10</v>
      </c>
      <c r="J892" s="7"/>
    </row>
    <row r="893" spans="6:10" ht="18.75" customHeight="1">
      <c r="F893" s="1">
        <v>48519</v>
      </c>
      <c r="G893">
        <f t="shared" si="14"/>
        <v>11</v>
      </c>
      <c r="J893" s="7"/>
    </row>
    <row r="894" spans="6:10" ht="18.75" customHeight="1">
      <c r="F894" s="1">
        <v>48549</v>
      </c>
      <c r="G894">
        <f t="shared" si="14"/>
        <v>12</v>
      </c>
      <c r="J894" s="7"/>
    </row>
    <row r="895" spans="6:10" ht="18.75" customHeight="1">
      <c r="F895" s="1">
        <v>48580</v>
      </c>
      <c r="G895">
        <f t="shared" si="14"/>
        <v>1</v>
      </c>
      <c r="J895" s="7"/>
    </row>
    <row r="896" spans="6:10" ht="18.75" customHeight="1">
      <c r="F896" s="1">
        <v>48611</v>
      </c>
      <c r="G896">
        <f t="shared" si="14"/>
        <v>2</v>
      </c>
      <c r="J896" s="7"/>
    </row>
    <row r="897" spans="6:10" ht="18.75" customHeight="1">
      <c r="F897" s="1">
        <v>48639</v>
      </c>
      <c r="G897">
        <f t="shared" si="14"/>
        <v>3</v>
      </c>
      <c r="J897" s="7"/>
    </row>
    <row r="898" spans="6:10" ht="18.75" customHeight="1">
      <c r="F898" s="1">
        <v>48670</v>
      </c>
      <c r="G898">
        <f t="shared" si="14"/>
        <v>4</v>
      </c>
      <c r="J898" s="7"/>
    </row>
    <row r="899" spans="6:10" ht="18.75" customHeight="1">
      <c r="F899" s="1">
        <v>48700</v>
      </c>
      <c r="G899">
        <f t="shared" ref="G899:G962" si="15">MONTH(F899)</f>
        <v>5</v>
      </c>
      <c r="J899" s="7"/>
    </row>
    <row r="900" spans="6:10" ht="18.75" customHeight="1">
      <c r="F900" s="1">
        <v>48731</v>
      </c>
      <c r="G900">
        <f t="shared" si="15"/>
        <v>6</v>
      </c>
      <c r="J900" s="7"/>
    </row>
    <row r="901" spans="6:10" ht="18.75" customHeight="1">
      <c r="F901" s="1">
        <v>48761</v>
      </c>
      <c r="G901">
        <f t="shared" si="15"/>
        <v>7</v>
      </c>
      <c r="J901" s="7"/>
    </row>
    <row r="902" spans="6:10" ht="18.75" customHeight="1">
      <c r="F902" s="1">
        <v>48792</v>
      </c>
      <c r="G902">
        <f t="shared" si="15"/>
        <v>8</v>
      </c>
      <c r="J902" s="7"/>
    </row>
    <row r="903" spans="6:10" ht="18.75" customHeight="1">
      <c r="F903" s="1">
        <v>48823</v>
      </c>
      <c r="G903">
        <f t="shared" si="15"/>
        <v>9</v>
      </c>
      <c r="J903" s="7"/>
    </row>
    <row r="904" spans="6:10" ht="18.75" customHeight="1">
      <c r="F904" s="1">
        <v>48853</v>
      </c>
      <c r="G904">
        <f t="shared" si="15"/>
        <v>10</v>
      </c>
      <c r="J904" s="7"/>
    </row>
    <row r="905" spans="6:10" ht="18.75" customHeight="1">
      <c r="F905" s="1">
        <v>48884</v>
      </c>
      <c r="G905">
        <f t="shared" si="15"/>
        <v>11</v>
      </c>
      <c r="J905" s="7"/>
    </row>
    <row r="906" spans="6:10" ht="18.75" customHeight="1">
      <c r="F906" s="1">
        <v>48914</v>
      </c>
      <c r="G906">
        <f t="shared" si="15"/>
        <v>12</v>
      </c>
      <c r="J906" s="7"/>
    </row>
    <row r="907" spans="6:10" ht="18.75" customHeight="1">
      <c r="F907" s="1">
        <v>48945</v>
      </c>
      <c r="G907">
        <f t="shared" si="15"/>
        <v>1</v>
      </c>
      <c r="J907" s="7"/>
    </row>
    <row r="908" spans="6:10" ht="18.75" customHeight="1">
      <c r="F908" s="1">
        <v>48976</v>
      </c>
      <c r="G908">
        <f t="shared" si="15"/>
        <v>2</v>
      </c>
      <c r="J908" s="7"/>
    </row>
    <row r="909" spans="6:10" ht="18.75" customHeight="1">
      <c r="F909" s="1">
        <v>49004</v>
      </c>
      <c r="G909">
        <f t="shared" si="15"/>
        <v>3</v>
      </c>
      <c r="J909" s="7"/>
    </row>
    <row r="910" spans="6:10" ht="18.75" customHeight="1">
      <c r="F910" s="1">
        <v>49035</v>
      </c>
      <c r="G910">
        <f t="shared" si="15"/>
        <v>4</v>
      </c>
      <c r="J910" s="7"/>
    </row>
    <row r="911" spans="6:10" ht="18.75" customHeight="1">
      <c r="F911" s="1">
        <v>49065</v>
      </c>
      <c r="G911">
        <f t="shared" si="15"/>
        <v>5</v>
      </c>
      <c r="J911" s="7"/>
    </row>
    <row r="912" spans="6:10" ht="18.75" customHeight="1">
      <c r="F912" s="1">
        <v>49096</v>
      </c>
      <c r="G912">
        <f t="shared" si="15"/>
        <v>6</v>
      </c>
      <c r="J912" s="7"/>
    </row>
    <row r="913" spans="6:10" ht="18.75" customHeight="1">
      <c r="F913" s="1">
        <v>49126</v>
      </c>
      <c r="G913">
        <f t="shared" si="15"/>
        <v>7</v>
      </c>
      <c r="J913" s="7"/>
    </row>
    <row r="914" spans="6:10" ht="18.75" customHeight="1">
      <c r="F914" s="1">
        <v>49157</v>
      </c>
      <c r="G914">
        <f t="shared" si="15"/>
        <v>8</v>
      </c>
      <c r="J914" s="7"/>
    </row>
    <row r="915" spans="6:10" ht="18.75" customHeight="1">
      <c r="F915" s="1">
        <v>49188</v>
      </c>
      <c r="G915">
        <f t="shared" si="15"/>
        <v>9</v>
      </c>
      <c r="J915" s="7"/>
    </row>
    <row r="916" spans="6:10" ht="18.75" customHeight="1">
      <c r="F916" s="1">
        <v>49218</v>
      </c>
      <c r="G916">
        <f t="shared" si="15"/>
        <v>10</v>
      </c>
      <c r="J916" s="7"/>
    </row>
    <row r="917" spans="6:10" ht="18.75" customHeight="1">
      <c r="F917" s="1">
        <v>49249</v>
      </c>
      <c r="G917">
        <f t="shared" si="15"/>
        <v>11</v>
      </c>
      <c r="J917" s="7"/>
    </row>
    <row r="918" spans="6:10" ht="18.75" customHeight="1">
      <c r="F918" s="1">
        <v>49279</v>
      </c>
      <c r="G918">
        <f t="shared" si="15"/>
        <v>12</v>
      </c>
      <c r="J918" s="7"/>
    </row>
    <row r="919" spans="6:10" ht="18.75" customHeight="1">
      <c r="F919" s="1">
        <v>49310</v>
      </c>
      <c r="G919">
        <f t="shared" si="15"/>
        <v>1</v>
      </c>
      <c r="J919" s="7"/>
    </row>
    <row r="920" spans="6:10" ht="18.75" customHeight="1">
      <c r="F920" s="1">
        <v>49341</v>
      </c>
      <c r="G920">
        <f t="shared" si="15"/>
        <v>2</v>
      </c>
      <c r="J920" s="7"/>
    </row>
    <row r="921" spans="6:10" ht="18.75" customHeight="1">
      <c r="F921" s="1">
        <v>49369</v>
      </c>
      <c r="G921">
        <f t="shared" si="15"/>
        <v>3</v>
      </c>
      <c r="J921" s="7"/>
    </row>
    <row r="922" spans="6:10" ht="18.75" customHeight="1">
      <c r="F922" s="1">
        <v>49400</v>
      </c>
      <c r="G922">
        <f t="shared" si="15"/>
        <v>4</v>
      </c>
      <c r="J922" s="7"/>
    </row>
    <row r="923" spans="6:10" ht="18.75" customHeight="1">
      <c r="F923" s="1">
        <v>49430</v>
      </c>
      <c r="G923">
        <f t="shared" si="15"/>
        <v>5</v>
      </c>
      <c r="J923" s="7"/>
    </row>
    <row r="924" spans="6:10" ht="18.75" customHeight="1">
      <c r="F924" s="1">
        <v>49461</v>
      </c>
      <c r="G924">
        <f t="shared" si="15"/>
        <v>6</v>
      </c>
      <c r="J924" s="7"/>
    </row>
    <row r="925" spans="6:10" ht="18.75" customHeight="1">
      <c r="F925" s="1">
        <v>49491</v>
      </c>
      <c r="G925">
        <f t="shared" si="15"/>
        <v>7</v>
      </c>
      <c r="J925" s="7"/>
    </row>
    <row r="926" spans="6:10" ht="18.75" customHeight="1">
      <c r="F926" s="1">
        <v>49522</v>
      </c>
      <c r="G926">
        <f t="shared" si="15"/>
        <v>8</v>
      </c>
      <c r="J926" s="7"/>
    </row>
    <row r="927" spans="6:10" ht="18.75" customHeight="1">
      <c r="F927" s="1">
        <v>49553</v>
      </c>
      <c r="G927">
        <f t="shared" si="15"/>
        <v>9</v>
      </c>
      <c r="J927" s="7"/>
    </row>
    <row r="928" spans="6:10" ht="18.75" customHeight="1">
      <c r="F928" s="1">
        <v>49583</v>
      </c>
      <c r="G928">
        <f t="shared" si="15"/>
        <v>10</v>
      </c>
      <c r="J928" s="7"/>
    </row>
    <row r="929" spans="6:10" ht="18.75" customHeight="1">
      <c r="F929" s="1">
        <v>49614</v>
      </c>
      <c r="G929">
        <f t="shared" si="15"/>
        <v>11</v>
      </c>
      <c r="J929" s="7"/>
    </row>
    <row r="930" spans="6:10" ht="18.75" customHeight="1">
      <c r="F930" s="1">
        <v>49644</v>
      </c>
      <c r="G930">
        <f t="shared" si="15"/>
        <v>12</v>
      </c>
      <c r="J930" s="7"/>
    </row>
    <row r="931" spans="6:10" ht="18.75" customHeight="1">
      <c r="F931" s="1">
        <v>49675</v>
      </c>
      <c r="G931">
        <f t="shared" si="15"/>
        <v>1</v>
      </c>
      <c r="J931" s="7"/>
    </row>
    <row r="932" spans="6:10" ht="18.75" customHeight="1">
      <c r="F932" s="1">
        <v>49706</v>
      </c>
      <c r="G932">
        <f t="shared" si="15"/>
        <v>2</v>
      </c>
      <c r="J932" s="7"/>
    </row>
    <row r="933" spans="6:10" ht="18.75" customHeight="1">
      <c r="F933" s="1">
        <v>49735</v>
      </c>
      <c r="G933">
        <f t="shared" si="15"/>
        <v>3</v>
      </c>
      <c r="J933" s="7"/>
    </row>
    <row r="934" spans="6:10" ht="18.75" customHeight="1">
      <c r="F934" s="1">
        <v>49766</v>
      </c>
      <c r="G934">
        <f t="shared" si="15"/>
        <v>4</v>
      </c>
      <c r="J934" s="7"/>
    </row>
    <row r="935" spans="6:10" ht="18.75" customHeight="1">
      <c r="F935" s="1">
        <v>49796</v>
      </c>
      <c r="G935">
        <f t="shared" si="15"/>
        <v>5</v>
      </c>
      <c r="J935" s="7"/>
    </row>
    <row r="936" spans="6:10" ht="18.75" customHeight="1">
      <c r="F936" s="1">
        <v>49827</v>
      </c>
      <c r="G936">
        <f t="shared" si="15"/>
        <v>6</v>
      </c>
      <c r="J936" s="7"/>
    </row>
    <row r="937" spans="6:10" ht="18.75" customHeight="1">
      <c r="F937" s="1">
        <v>49857</v>
      </c>
      <c r="G937">
        <f t="shared" si="15"/>
        <v>7</v>
      </c>
      <c r="J937" s="7"/>
    </row>
    <row r="938" spans="6:10" ht="18.75" customHeight="1">
      <c r="F938" s="1">
        <v>49888</v>
      </c>
      <c r="G938">
        <f t="shared" si="15"/>
        <v>8</v>
      </c>
      <c r="J938" s="7"/>
    </row>
    <row r="939" spans="6:10" ht="18.75" customHeight="1">
      <c r="F939" s="1">
        <v>49919</v>
      </c>
      <c r="G939">
        <f t="shared" si="15"/>
        <v>9</v>
      </c>
      <c r="J939" s="7"/>
    </row>
    <row r="940" spans="6:10" ht="18.75" customHeight="1">
      <c r="F940" s="1">
        <v>49949</v>
      </c>
      <c r="G940">
        <f t="shared" si="15"/>
        <v>10</v>
      </c>
      <c r="J940" s="7"/>
    </row>
    <row r="941" spans="6:10" ht="18.75" customHeight="1">
      <c r="F941" s="1">
        <v>49980</v>
      </c>
      <c r="G941">
        <f t="shared" si="15"/>
        <v>11</v>
      </c>
      <c r="J941" s="7"/>
    </row>
    <row r="942" spans="6:10" ht="18.75" customHeight="1">
      <c r="F942" s="1">
        <v>50010</v>
      </c>
      <c r="G942">
        <f t="shared" si="15"/>
        <v>12</v>
      </c>
      <c r="J942" s="7"/>
    </row>
    <row r="943" spans="6:10" ht="18.75" customHeight="1">
      <c r="F943" s="1">
        <v>50041</v>
      </c>
      <c r="G943">
        <f t="shared" si="15"/>
        <v>1</v>
      </c>
    </row>
    <row r="944" spans="6:10" ht="18.75" customHeight="1">
      <c r="F944" s="1">
        <v>50072</v>
      </c>
      <c r="G944">
        <f t="shared" si="15"/>
        <v>2</v>
      </c>
    </row>
    <row r="945" spans="6:7" ht="18.75" customHeight="1">
      <c r="F945" s="1">
        <v>50100</v>
      </c>
      <c r="G945">
        <f t="shared" si="15"/>
        <v>3</v>
      </c>
    </row>
    <row r="946" spans="6:7" ht="18.75" customHeight="1">
      <c r="F946" s="1">
        <v>50131</v>
      </c>
      <c r="G946">
        <f t="shared" si="15"/>
        <v>4</v>
      </c>
    </row>
    <row r="947" spans="6:7" ht="18.75" customHeight="1">
      <c r="F947" s="1">
        <v>50161</v>
      </c>
      <c r="G947">
        <f t="shared" si="15"/>
        <v>5</v>
      </c>
    </row>
    <row r="948" spans="6:7" ht="18.75" customHeight="1">
      <c r="F948" s="1">
        <v>50192</v>
      </c>
      <c r="G948">
        <f t="shared" si="15"/>
        <v>6</v>
      </c>
    </row>
    <row r="949" spans="6:7" ht="18.75" customHeight="1">
      <c r="F949" s="1">
        <v>50222</v>
      </c>
      <c r="G949">
        <f t="shared" si="15"/>
        <v>7</v>
      </c>
    </row>
    <row r="950" spans="6:7" ht="18.75" customHeight="1">
      <c r="F950" s="1">
        <v>50253</v>
      </c>
      <c r="G950">
        <f t="shared" si="15"/>
        <v>8</v>
      </c>
    </row>
    <row r="951" spans="6:7" ht="18.75" customHeight="1">
      <c r="F951" s="1">
        <v>50284</v>
      </c>
      <c r="G951">
        <f t="shared" si="15"/>
        <v>9</v>
      </c>
    </row>
    <row r="952" spans="6:7" ht="18.75" customHeight="1">
      <c r="F952" s="1">
        <v>50314</v>
      </c>
      <c r="G952">
        <f t="shared" si="15"/>
        <v>10</v>
      </c>
    </row>
    <row r="953" spans="6:7" ht="18.75" customHeight="1">
      <c r="F953" s="1">
        <v>50345</v>
      </c>
      <c r="G953">
        <f t="shared" si="15"/>
        <v>11</v>
      </c>
    </row>
    <row r="954" spans="6:7" ht="18.75" customHeight="1">
      <c r="F954" s="1">
        <v>50375</v>
      </c>
      <c r="G954">
        <f t="shared" si="15"/>
        <v>12</v>
      </c>
    </row>
    <row r="955" spans="6:7" ht="18.75" customHeight="1">
      <c r="F955" s="1">
        <v>50406</v>
      </c>
      <c r="G955">
        <f t="shared" si="15"/>
        <v>1</v>
      </c>
    </row>
    <row r="956" spans="6:7" ht="18.75" customHeight="1">
      <c r="F956" s="1">
        <v>50437</v>
      </c>
      <c r="G956">
        <f t="shared" si="15"/>
        <v>2</v>
      </c>
    </row>
    <row r="957" spans="6:7" ht="18.75" customHeight="1">
      <c r="F957" s="1">
        <v>50465</v>
      </c>
      <c r="G957">
        <f t="shared" si="15"/>
        <v>3</v>
      </c>
    </row>
    <row r="958" spans="6:7" ht="18.75" customHeight="1">
      <c r="F958" s="1">
        <v>50496</v>
      </c>
      <c r="G958">
        <f t="shared" si="15"/>
        <v>4</v>
      </c>
    </row>
    <row r="959" spans="6:7" ht="18.75" customHeight="1">
      <c r="F959" s="1">
        <v>50526</v>
      </c>
      <c r="G959">
        <f t="shared" si="15"/>
        <v>5</v>
      </c>
    </row>
    <row r="960" spans="6:7" ht="18.75" customHeight="1">
      <c r="F960" s="1">
        <v>50557</v>
      </c>
      <c r="G960">
        <f t="shared" si="15"/>
        <v>6</v>
      </c>
    </row>
    <row r="961" spans="6:7" ht="18.75" customHeight="1">
      <c r="F961" s="1">
        <v>50587</v>
      </c>
      <c r="G961">
        <f t="shared" si="15"/>
        <v>7</v>
      </c>
    </row>
    <row r="962" spans="6:7" ht="18.75" customHeight="1">
      <c r="F962" s="1">
        <v>50618</v>
      </c>
      <c r="G962">
        <f t="shared" si="15"/>
        <v>8</v>
      </c>
    </row>
    <row r="963" spans="6:7" ht="18.75" customHeight="1">
      <c r="F963" s="1">
        <v>50649</v>
      </c>
      <c r="G963">
        <f t="shared" ref="G963:G982" si="16">MONTH(F963)</f>
        <v>9</v>
      </c>
    </row>
    <row r="964" spans="6:7" ht="18.75" customHeight="1">
      <c r="F964" s="1">
        <v>50679</v>
      </c>
      <c r="G964">
        <f t="shared" si="16"/>
        <v>10</v>
      </c>
    </row>
    <row r="965" spans="6:7" ht="18.75" customHeight="1">
      <c r="F965" s="1">
        <v>50710</v>
      </c>
      <c r="G965">
        <f t="shared" si="16"/>
        <v>11</v>
      </c>
    </row>
    <row r="966" spans="6:7" ht="18.75" customHeight="1">
      <c r="F966" s="1">
        <v>50740</v>
      </c>
      <c r="G966">
        <f t="shared" si="16"/>
        <v>12</v>
      </c>
    </row>
    <row r="967" spans="6:7" ht="18.75" customHeight="1">
      <c r="F967" s="1">
        <v>50771</v>
      </c>
      <c r="G967">
        <f t="shared" si="16"/>
        <v>1</v>
      </c>
    </row>
    <row r="968" spans="6:7" ht="18.75" customHeight="1">
      <c r="F968" s="1">
        <v>50802</v>
      </c>
      <c r="G968">
        <f t="shared" si="16"/>
        <v>2</v>
      </c>
    </row>
    <row r="969" spans="6:7" ht="18.75" customHeight="1">
      <c r="F969" s="1">
        <v>50830</v>
      </c>
      <c r="G969">
        <f t="shared" si="16"/>
        <v>3</v>
      </c>
    </row>
    <row r="970" spans="6:7" ht="18.75" customHeight="1">
      <c r="F970" s="1">
        <v>50861</v>
      </c>
      <c r="G970">
        <f t="shared" si="16"/>
        <v>4</v>
      </c>
    </row>
    <row r="971" spans="6:7" ht="18.75" customHeight="1">
      <c r="F971" s="1">
        <v>50891</v>
      </c>
      <c r="G971">
        <f t="shared" si="16"/>
        <v>5</v>
      </c>
    </row>
    <row r="972" spans="6:7" ht="18.75" customHeight="1">
      <c r="F972" s="1">
        <v>50922</v>
      </c>
      <c r="G972">
        <f t="shared" si="16"/>
        <v>6</v>
      </c>
    </row>
    <row r="973" spans="6:7" ht="18.75" customHeight="1">
      <c r="F973" s="1">
        <v>50952</v>
      </c>
      <c r="G973">
        <f t="shared" si="16"/>
        <v>7</v>
      </c>
    </row>
    <row r="974" spans="6:7" ht="18.75" customHeight="1">
      <c r="F974" s="1">
        <v>50983</v>
      </c>
      <c r="G974">
        <f t="shared" si="16"/>
        <v>8</v>
      </c>
    </row>
    <row r="975" spans="6:7" ht="18.75" customHeight="1">
      <c r="F975" s="1">
        <v>51014</v>
      </c>
      <c r="G975">
        <f t="shared" si="16"/>
        <v>9</v>
      </c>
    </row>
    <row r="976" spans="6:7" ht="18.75" customHeight="1">
      <c r="F976" s="1">
        <v>51044</v>
      </c>
      <c r="G976">
        <f t="shared" si="16"/>
        <v>10</v>
      </c>
    </row>
    <row r="977" spans="6:8" ht="18.75" customHeight="1">
      <c r="F977" s="1">
        <v>51075</v>
      </c>
      <c r="G977">
        <f t="shared" si="16"/>
        <v>11</v>
      </c>
    </row>
    <row r="978" spans="6:8" ht="18.75" customHeight="1">
      <c r="F978" s="1">
        <v>51105</v>
      </c>
      <c r="G978">
        <f t="shared" si="16"/>
        <v>12</v>
      </c>
    </row>
    <row r="979" spans="6:8" ht="18.75" customHeight="1">
      <c r="F979" s="1">
        <v>51136</v>
      </c>
      <c r="G979">
        <f t="shared" si="16"/>
        <v>1</v>
      </c>
    </row>
    <row r="980" spans="6:8" ht="18.75" customHeight="1">
      <c r="F980" s="1">
        <v>51167</v>
      </c>
      <c r="G980">
        <f t="shared" si="16"/>
        <v>2</v>
      </c>
    </row>
    <row r="981" spans="6:8" ht="18.75" customHeight="1">
      <c r="F981" s="1">
        <v>51196</v>
      </c>
      <c r="G981">
        <f t="shared" si="16"/>
        <v>3</v>
      </c>
    </row>
    <row r="982" spans="6:8" ht="18.75" customHeight="1">
      <c r="F982" s="16">
        <v>51227</v>
      </c>
      <c r="G982" s="17">
        <f t="shared" si="16"/>
        <v>4</v>
      </c>
      <c r="H982" s="18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sheetPr codeName="Sheet4"/>
  <dimension ref="A1:P982"/>
  <sheetViews>
    <sheetView zoomScaleNormal="100" workbookViewId="0">
      <selection activeCell="A11" sqref="A11"/>
    </sheetView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15</v>
      </c>
      <c r="D1" t="s">
        <v>16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  <c r="O1" s="9" t="s">
        <v>12</v>
      </c>
    </row>
    <row r="2" spans="1:16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>_A*F2*F2+_B*F2+_C</f>
        <v>314.32880345834894</v>
      </c>
      <c r="J2" s="7">
        <f>H2-I2</f>
        <v>1.3711965416510452</v>
      </c>
      <c r="K2" s="7" cm="1">
        <f t="array" ref="K2">INDEX(Sm,G2)</f>
        <v>1.3711965416510452</v>
      </c>
      <c r="L2" s="7">
        <f>I2+K2</f>
        <v>315.7</v>
      </c>
      <c r="M2" s="7">
        <f>H2-L2</f>
        <v>0</v>
      </c>
      <c r="O2" s="10">
        <v>1</v>
      </c>
      <c r="P2" t="s">
        <v>25</v>
      </c>
    </row>
    <row r="3" spans="1:16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0">MONTH(F3)</f>
        <v>4</v>
      </c>
      <c r="H3" s="7">
        <v>317.45999999999998</v>
      </c>
      <c r="J3" s="7"/>
      <c r="P3" t="s">
        <v>24</v>
      </c>
    </row>
    <row r="4" spans="1:16" ht="18.75" customHeight="1">
      <c r="F4" s="1">
        <v>21306</v>
      </c>
      <c r="G4">
        <f t="shared" si="0"/>
        <v>5</v>
      </c>
      <c r="H4" s="7">
        <v>317.51</v>
      </c>
      <c r="J4" s="7"/>
      <c r="O4" s="10">
        <v>2</v>
      </c>
      <c r="P4" t="s">
        <v>40</v>
      </c>
    </row>
    <row r="5" spans="1:16" ht="18.75" customHeight="1">
      <c r="A5" t="s">
        <v>50</v>
      </c>
      <c r="F5" s="1">
        <v>21367</v>
      </c>
      <c r="G5">
        <f t="shared" si="0"/>
        <v>7</v>
      </c>
      <c r="H5" s="7">
        <v>315.86</v>
      </c>
      <c r="J5" s="7"/>
      <c r="P5" t="s">
        <v>28</v>
      </c>
    </row>
    <row r="6" spans="1:16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0"/>
        <v>8</v>
      </c>
      <c r="H6" s="7">
        <v>314.93</v>
      </c>
      <c r="J6" s="7"/>
      <c r="O6" s="10">
        <v>3</v>
      </c>
      <c r="P6" t="s">
        <v>27</v>
      </c>
    </row>
    <row r="7" spans="1:16" ht="18.75" customHeight="1">
      <c r="B7" s="21">
        <f t="array" ref="B7:D7">LINEST($H$2:$H$502,$F$2:$F$502^{1,2})</f>
        <v>9.3943704454783883E-8</v>
      </c>
      <c r="C7" s="21">
        <v>-1.8176605040235326E-3</v>
      </c>
      <c r="D7" s="21">
        <v>310.5435075120696</v>
      </c>
      <c r="E7" t="s">
        <v>51</v>
      </c>
      <c r="F7" s="1">
        <v>21429</v>
      </c>
      <c r="G7">
        <f t="shared" si="0"/>
        <v>9</v>
      </c>
      <c r="H7" s="7">
        <v>313.20999999999998</v>
      </c>
      <c r="J7" s="7"/>
      <c r="O7" s="10"/>
      <c r="P7" t="s">
        <v>30</v>
      </c>
    </row>
    <row r="8" spans="1:16" ht="18.75" customHeight="1">
      <c r="B8" t="s">
        <v>44</v>
      </c>
      <c r="F8" s="1">
        <v>21490</v>
      </c>
      <c r="G8">
        <f t="shared" si="0"/>
        <v>11</v>
      </c>
      <c r="H8" s="7">
        <v>313.33</v>
      </c>
      <c r="J8" s="7"/>
      <c r="O8" s="10">
        <v>4</v>
      </c>
      <c r="P8" t="s">
        <v>26</v>
      </c>
    </row>
    <row r="9" spans="1:16" ht="18.75" customHeight="1">
      <c r="F9" s="1">
        <v>21520</v>
      </c>
      <c r="G9">
        <f t="shared" si="0"/>
        <v>12</v>
      </c>
      <c r="H9" s="7">
        <v>314.67</v>
      </c>
      <c r="J9" s="7"/>
      <c r="P9" t="s">
        <v>24</v>
      </c>
    </row>
    <row r="10" spans="1:16" ht="18.75" customHeight="1">
      <c r="A10" t="s">
        <v>56</v>
      </c>
      <c r="F10" s="1">
        <v>21551</v>
      </c>
      <c r="G10">
        <f t="shared" si="0"/>
        <v>1</v>
      </c>
      <c r="H10" s="7">
        <v>315.58</v>
      </c>
      <c r="J10" s="7"/>
      <c r="O10" s="10">
        <v>5</v>
      </c>
      <c r="P10" t="s">
        <v>41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0"/>
        <v>2</v>
      </c>
      <c r="H11" s="7">
        <v>316.49</v>
      </c>
      <c r="J11" s="7"/>
      <c r="P11" t="s">
        <v>29</v>
      </c>
    </row>
    <row r="12" spans="1:16" ht="18.75" customHeight="1">
      <c r="A12" s="2">
        <v>1</v>
      </c>
      <c r="B12" s="13" t="e">
        <f t="shared" ref="B12:B23" si="1">AVERAGEIF($G$2:$G$502,A12,$J$2:$J$502)</f>
        <v>#DIV/0!</v>
      </c>
      <c r="C12" t="s">
        <v>45</v>
      </c>
      <c r="F12" s="1">
        <v>21610</v>
      </c>
      <c r="G12">
        <f t="shared" si="0"/>
        <v>3</v>
      </c>
      <c r="H12" s="7">
        <v>316.64999999999998</v>
      </c>
      <c r="J12" s="7"/>
      <c r="O12" s="10">
        <v>6</v>
      </c>
      <c r="P12" t="s">
        <v>43</v>
      </c>
    </row>
    <row r="13" spans="1:16" ht="18.75" customHeight="1">
      <c r="A13" s="2">
        <v>2</v>
      </c>
      <c r="B13" s="14" t="e">
        <f t="shared" si="1"/>
        <v>#DIV/0!</v>
      </c>
      <c r="F13" s="1">
        <v>21641</v>
      </c>
      <c r="G13">
        <f t="shared" si="0"/>
        <v>4</v>
      </c>
      <c r="H13" s="7">
        <v>317.72000000000003</v>
      </c>
      <c r="J13" s="7"/>
      <c r="P13" t="s">
        <v>31</v>
      </c>
    </row>
    <row r="14" spans="1:16" ht="18.75" customHeight="1">
      <c r="A14" s="2">
        <v>3</v>
      </c>
      <c r="B14" s="14">
        <f t="shared" si="1"/>
        <v>1.3711965416510452</v>
      </c>
      <c r="F14" s="1">
        <v>21671</v>
      </c>
      <c r="G14">
        <f t="shared" si="0"/>
        <v>5</v>
      </c>
      <c r="H14" s="7">
        <v>318.29000000000002</v>
      </c>
      <c r="J14" s="7"/>
      <c r="O14" s="10">
        <v>7</v>
      </c>
      <c r="P14" t="s">
        <v>32</v>
      </c>
    </row>
    <row r="15" spans="1:16" ht="18.75" customHeight="1">
      <c r="A15" s="2">
        <v>4</v>
      </c>
      <c r="B15" s="14" t="e">
        <f t="shared" si="1"/>
        <v>#DIV/0!</v>
      </c>
      <c r="F15" s="1">
        <v>21702</v>
      </c>
      <c r="G15">
        <f t="shared" si="0"/>
        <v>6</v>
      </c>
      <c r="H15" s="7">
        <v>318.14999999999998</v>
      </c>
      <c r="J15" s="7"/>
      <c r="O15" s="10"/>
      <c r="P15" t="s">
        <v>33</v>
      </c>
    </row>
    <row r="16" spans="1:16" ht="18.75" customHeight="1">
      <c r="A16" s="2">
        <v>5</v>
      </c>
      <c r="B16" s="14" t="e">
        <f t="shared" si="1"/>
        <v>#DIV/0!</v>
      </c>
      <c r="F16" s="1">
        <v>21732</v>
      </c>
      <c r="G16">
        <f t="shared" si="0"/>
        <v>7</v>
      </c>
      <c r="H16" s="7">
        <v>316.54000000000002</v>
      </c>
      <c r="J16" s="7"/>
      <c r="O16" s="10">
        <v>8</v>
      </c>
      <c r="P16" t="s">
        <v>13</v>
      </c>
    </row>
    <row r="17" spans="1:16" ht="18.75" customHeight="1">
      <c r="A17" s="2">
        <v>6</v>
      </c>
      <c r="B17" s="14" t="e">
        <f t="shared" si="1"/>
        <v>#DIV/0!</v>
      </c>
      <c r="F17" s="1">
        <v>21763</v>
      </c>
      <c r="G17">
        <f t="shared" si="0"/>
        <v>8</v>
      </c>
      <c r="H17" s="7">
        <v>314.8</v>
      </c>
      <c r="J17" s="7"/>
      <c r="O17" s="10">
        <v>9</v>
      </c>
      <c r="P17" t="s">
        <v>37</v>
      </c>
    </row>
    <row r="18" spans="1:16" ht="18.75" customHeight="1">
      <c r="A18" s="2">
        <v>7</v>
      </c>
      <c r="B18" s="14" t="e">
        <f t="shared" si="1"/>
        <v>#DIV/0!</v>
      </c>
      <c r="F18" s="1">
        <v>21794</v>
      </c>
      <c r="G18">
        <f t="shared" si="0"/>
        <v>9</v>
      </c>
      <c r="H18" s="7">
        <v>313.83999999999997</v>
      </c>
      <c r="J18" s="7"/>
      <c r="O18" s="10"/>
      <c r="P18" t="s">
        <v>34</v>
      </c>
    </row>
    <row r="19" spans="1:16" ht="18.75" customHeight="1">
      <c r="A19" s="2">
        <v>8</v>
      </c>
      <c r="B19" s="14" t="e">
        <f t="shared" si="1"/>
        <v>#DIV/0!</v>
      </c>
      <c r="F19" s="1">
        <v>21824</v>
      </c>
      <c r="G19">
        <f t="shared" si="0"/>
        <v>10</v>
      </c>
      <c r="H19" s="7">
        <v>313.33</v>
      </c>
      <c r="J19" s="7"/>
      <c r="O19" s="10">
        <v>10</v>
      </c>
      <c r="P19" t="s">
        <v>13</v>
      </c>
    </row>
    <row r="20" spans="1:16" ht="18.75" customHeight="1">
      <c r="A20" s="2">
        <v>9</v>
      </c>
      <c r="B20" s="14" t="e">
        <f t="shared" si="1"/>
        <v>#DIV/0!</v>
      </c>
      <c r="F20" s="1">
        <v>21855</v>
      </c>
      <c r="G20">
        <f t="shared" si="0"/>
        <v>11</v>
      </c>
      <c r="H20" s="7">
        <v>314.81</v>
      </c>
      <c r="J20" s="7"/>
    </row>
    <row r="21" spans="1:16" ht="18.75" customHeight="1">
      <c r="A21" s="2">
        <v>10</v>
      </c>
      <c r="B21" s="14" t="e">
        <f t="shared" si="1"/>
        <v>#DIV/0!</v>
      </c>
      <c r="F21" s="1">
        <v>21885</v>
      </c>
      <c r="G21">
        <f t="shared" si="0"/>
        <v>12</v>
      </c>
      <c r="H21" s="7">
        <v>315.58</v>
      </c>
      <c r="J21" s="7"/>
      <c r="O21" t="s">
        <v>35</v>
      </c>
    </row>
    <row r="22" spans="1:16" ht="18.75" customHeight="1">
      <c r="A22" s="2">
        <v>11</v>
      </c>
      <c r="B22" s="14" t="e">
        <f t="shared" si="1"/>
        <v>#DIV/0!</v>
      </c>
      <c r="F22" s="1">
        <v>21916</v>
      </c>
      <c r="G22">
        <f t="shared" si="0"/>
        <v>1</v>
      </c>
      <c r="H22" s="7">
        <v>316.43</v>
      </c>
      <c r="J22" s="7"/>
    </row>
    <row r="23" spans="1:16" ht="18.75" customHeight="1">
      <c r="A23" s="2">
        <v>12</v>
      </c>
      <c r="B23" s="15" t="e">
        <f t="shared" si="1"/>
        <v>#DIV/0!</v>
      </c>
      <c r="F23" s="1">
        <v>21947</v>
      </c>
      <c r="G23">
        <f t="shared" si="0"/>
        <v>2</v>
      </c>
      <c r="H23" s="7">
        <v>316.98</v>
      </c>
      <c r="J23" s="7"/>
    </row>
    <row r="24" spans="1:16" ht="18.75" customHeight="1">
      <c r="A24" s="4">
        <v>13</v>
      </c>
      <c r="B24" s="20" t="e">
        <f>B12</f>
        <v>#DIV/0!</v>
      </c>
      <c r="C24" s="19" t="s">
        <v>36</v>
      </c>
      <c r="D24" s="5"/>
      <c r="F24" s="1">
        <v>21976</v>
      </c>
      <c r="G24">
        <f t="shared" si="0"/>
        <v>3</v>
      </c>
      <c r="H24" s="7">
        <v>317.58</v>
      </c>
      <c r="J24" s="7"/>
    </row>
    <row r="25" spans="1:16" ht="18.75" customHeight="1">
      <c r="A25" s="2" t="s">
        <v>7</v>
      </c>
      <c r="B25" s="12" t="e">
        <f>SUM(B12:B23)</f>
        <v>#DIV/0!</v>
      </c>
      <c r="C25" s="11"/>
      <c r="F25" s="1">
        <v>22007</v>
      </c>
      <c r="G25">
        <f t="shared" si="0"/>
        <v>4</v>
      </c>
      <c r="H25" s="7">
        <v>319.02999999999997</v>
      </c>
      <c r="J25" s="7"/>
    </row>
    <row r="26" spans="1:16" ht="18.75" customHeight="1">
      <c r="F26" s="1">
        <v>22037</v>
      </c>
      <c r="G26">
        <f t="shared" si="0"/>
        <v>5</v>
      </c>
      <c r="H26" s="7">
        <v>320.04000000000002</v>
      </c>
      <c r="J26" s="7"/>
    </row>
    <row r="27" spans="1:16" ht="18.75" customHeight="1">
      <c r="A27" s="2" t="s">
        <v>11</v>
      </c>
      <c r="B27" s="12">
        <f>SUMSQ(M2:M742)/COUNT(M2:M742)</f>
        <v>0</v>
      </c>
      <c r="F27" s="1">
        <v>22068</v>
      </c>
      <c r="G27">
        <f t="shared" si="0"/>
        <v>6</v>
      </c>
      <c r="H27" s="7">
        <v>319.58</v>
      </c>
      <c r="J27" s="7"/>
    </row>
    <row r="28" spans="1:16" ht="18.75" customHeight="1">
      <c r="F28" s="1">
        <v>22098</v>
      </c>
      <c r="G28">
        <f t="shared" si="0"/>
        <v>7</v>
      </c>
      <c r="H28" s="7">
        <v>318.18</v>
      </c>
      <c r="J28" s="7"/>
    </row>
    <row r="29" spans="1:16" ht="18.75" customHeight="1">
      <c r="F29" s="1">
        <v>22129</v>
      </c>
      <c r="G29">
        <f t="shared" si="0"/>
        <v>8</v>
      </c>
      <c r="H29" s="7">
        <v>315.89999999999998</v>
      </c>
      <c r="J29" s="7"/>
    </row>
    <row r="30" spans="1:16" ht="18.75" customHeight="1">
      <c r="F30" s="1">
        <v>22160</v>
      </c>
      <c r="G30">
        <f t="shared" si="0"/>
        <v>9</v>
      </c>
      <c r="H30" s="7">
        <v>314.17</v>
      </c>
      <c r="J30" s="7"/>
    </row>
    <row r="31" spans="1:16" ht="18.75" customHeight="1">
      <c r="F31" s="1">
        <v>22190</v>
      </c>
      <c r="G31">
        <f t="shared" si="0"/>
        <v>10</v>
      </c>
      <c r="H31" s="7">
        <v>313.83</v>
      </c>
      <c r="J31" s="7"/>
    </row>
    <row r="32" spans="1:16" ht="18.75" customHeight="1">
      <c r="F32" s="1">
        <v>22221</v>
      </c>
      <c r="G32">
        <f t="shared" si="0"/>
        <v>11</v>
      </c>
      <c r="H32" s="7">
        <v>315</v>
      </c>
      <c r="J32" s="7"/>
    </row>
    <row r="33" spans="6:10" ht="18.75" customHeight="1">
      <c r="F33" s="1">
        <v>22251</v>
      </c>
      <c r="G33">
        <f t="shared" si="0"/>
        <v>12</v>
      </c>
      <c r="H33" s="7">
        <v>316.19</v>
      </c>
      <c r="J33" s="7"/>
    </row>
    <row r="34" spans="6:10" ht="18.75" customHeight="1">
      <c r="F34" s="1">
        <v>22282</v>
      </c>
      <c r="G34">
        <f t="shared" si="0"/>
        <v>1</v>
      </c>
      <c r="H34" s="7">
        <v>316.89999999999998</v>
      </c>
      <c r="J34" s="7"/>
    </row>
    <row r="35" spans="6:10" ht="18.75" customHeight="1">
      <c r="F35" s="1">
        <v>22313</v>
      </c>
      <c r="G35">
        <f t="shared" si="0"/>
        <v>2</v>
      </c>
      <c r="H35" s="7">
        <v>317.7</v>
      </c>
      <c r="J35" s="7"/>
    </row>
    <row r="36" spans="6:10" ht="18.75" customHeight="1">
      <c r="F36" s="1">
        <v>22341</v>
      </c>
      <c r="G36">
        <f t="shared" si="0"/>
        <v>3</v>
      </c>
      <c r="H36" s="7">
        <v>318.54000000000002</v>
      </c>
      <c r="J36" s="7"/>
    </row>
    <row r="37" spans="6:10" ht="18.75" customHeight="1">
      <c r="F37" s="1">
        <v>22372</v>
      </c>
      <c r="G37">
        <f t="shared" si="0"/>
        <v>4</v>
      </c>
      <c r="H37" s="7">
        <v>319.48</v>
      </c>
      <c r="J37" s="7"/>
    </row>
    <row r="38" spans="6:10" ht="18.75" customHeight="1">
      <c r="F38" s="1">
        <v>22402</v>
      </c>
      <c r="G38">
        <f t="shared" si="0"/>
        <v>5</v>
      </c>
      <c r="H38" s="7">
        <v>320.58</v>
      </c>
      <c r="J38" s="7"/>
    </row>
    <row r="39" spans="6:10" ht="18.75" customHeight="1">
      <c r="F39" s="1">
        <v>22433</v>
      </c>
      <c r="G39">
        <f t="shared" si="0"/>
        <v>6</v>
      </c>
      <c r="H39" s="7">
        <v>319.77</v>
      </c>
      <c r="J39" s="7"/>
    </row>
    <row r="40" spans="6:10" ht="18.75" customHeight="1">
      <c r="F40" s="1">
        <v>22463</v>
      </c>
      <c r="G40">
        <f t="shared" si="0"/>
        <v>7</v>
      </c>
      <c r="H40" s="7">
        <v>318.57</v>
      </c>
      <c r="J40" s="7"/>
    </row>
    <row r="41" spans="6:10" ht="18.75" customHeight="1">
      <c r="F41" s="1">
        <v>22494</v>
      </c>
      <c r="G41">
        <f t="shared" si="0"/>
        <v>8</v>
      </c>
      <c r="H41" s="7">
        <v>316.79000000000002</v>
      </c>
      <c r="J41" s="7"/>
    </row>
    <row r="42" spans="6:10" ht="18.75" customHeight="1">
      <c r="F42" s="1">
        <v>22525</v>
      </c>
      <c r="G42">
        <f t="shared" si="0"/>
        <v>9</v>
      </c>
      <c r="H42" s="7">
        <v>314.99</v>
      </c>
      <c r="J42" s="7"/>
    </row>
    <row r="43" spans="6:10" ht="18.75" customHeight="1">
      <c r="F43" s="1">
        <v>22555</v>
      </c>
      <c r="G43">
        <f t="shared" si="0"/>
        <v>10</v>
      </c>
      <c r="H43" s="7">
        <v>315.31</v>
      </c>
      <c r="J43" s="7"/>
    </row>
    <row r="44" spans="6:10" ht="18.75" customHeight="1">
      <c r="F44" s="1">
        <v>22586</v>
      </c>
      <c r="G44">
        <f t="shared" si="0"/>
        <v>11</v>
      </c>
      <c r="H44" s="7">
        <v>316.10000000000002</v>
      </c>
      <c r="J44" s="7"/>
    </row>
    <row r="45" spans="6:10" ht="18.75" customHeight="1">
      <c r="F45" s="1">
        <v>22616</v>
      </c>
      <c r="G45">
        <f t="shared" si="0"/>
        <v>12</v>
      </c>
      <c r="H45" s="7">
        <v>317.01</v>
      </c>
      <c r="J45" s="7"/>
    </row>
    <row r="46" spans="6:10" ht="18.75" customHeight="1">
      <c r="F46" s="1">
        <v>22647</v>
      </c>
      <c r="G46">
        <f t="shared" si="0"/>
        <v>1</v>
      </c>
      <c r="H46" s="7">
        <v>317.94</v>
      </c>
      <c r="J46" s="7"/>
    </row>
    <row r="47" spans="6:10" ht="18.75" customHeight="1">
      <c r="F47" s="1">
        <v>22678</v>
      </c>
      <c r="G47">
        <f t="shared" si="0"/>
        <v>2</v>
      </c>
      <c r="H47" s="7">
        <v>318.55</v>
      </c>
      <c r="J47" s="7"/>
    </row>
    <row r="48" spans="6:10" ht="18.75" customHeight="1">
      <c r="F48" s="1">
        <v>22706</v>
      </c>
      <c r="G48">
        <f t="shared" si="0"/>
        <v>3</v>
      </c>
      <c r="H48" s="7">
        <v>319.68</v>
      </c>
      <c r="J48" s="7"/>
    </row>
    <row r="49" spans="6:10" ht="18.75" customHeight="1">
      <c r="F49" s="1">
        <v>22737</v>
      </c>
      <c r="G49">
        <f t="shared" si="0"/>
        <v>4</v>
      </c>
      <c r="H49" s="7">
        <v>320.57</v>
      </c>
      <c r="J49" s="7"/>
    </row>
    <row r="50" spans="6:10" ht="18.75" customHeight="1">
      <c r="F50" s="1">
        <v>22767</v>
      </c>
      <c r="G50">
        <f t="shared" si="0"/>
        <v>5</v>
      </c>
      <c r="H50" s="7">
        <v>321.02</v>
      </c>
      <c r="J50" s="7"/>
    </row>
    <row r="51" spans="6:10" ht="18.75" customHeight="1">
      <c r="F51" s="1">
        <v>22798</v>
      </c>
      <c r="G51">
        <f t="shared" si="0"/>
        <v>6</v>
      </c>
      <c r="H51" s="7">
        <v>320.62</v>
      </c>
      <c r="J51" s="7"/>
    </row>
    <row r="52" spans="6:10" ht="18.75" customHeight="1">
      <c r="F52" s="1">
        <v>22828</v>
      </c>
      <c r="G52">
        <f t="shared" si="0"/>
        <v>7</v>
      </c>
      <c r="H52" s="7">
        <v>319.61</v>
      </c>
      <c r="J52" s="7"/>
    </row>
    <row r="53" spans="6:10" ht="18.75" customHeight="1">
      <c r="F53" s="1">
        <v>22859</v>
      </c>
      <c r="G53">
        <f t="shared" si="0"/>
        <v>8</v>
      </c>
      <c r="H53" s="7">
        <v>317.39999999999998</v>
      </c>
      <c r="J53" s="7"/>
    </row>
    <row r="54" spans="6:10" ht="18.75" customHeight="1">
      <c r="F54" s="1">
        <v>22890</v>
      </c>
      <c r="G54">
        <f t="shared" si="0"/>
        <v>9</v>
      </c>
      <c r="H54" s="7">
        <v>316.25</v>
      </c>
      <c r="J54" s="7"/>
    </row>
    <row r="55" spans="6:10" ht="18.75" customHeight="1">
      <c r="F55" s="1">
        <v>22920</v>
      </c>
      <c r="G55">
        <f t="shared" si="0"/>
        <v>10</v>
      </c>
      <c r="H55" s="7">
        <v>315.42</v>
      </c>
      <c r="J55" s="7"/>
    </row>
    <row r="56" spans="6:10" ht="18.75" customHeight="1">
      <c r="F56" s="1">
        <v>22951</v>
      </c>
      <c r="G56">
        <f t="shared" si="0"/>
        <v>11</v>
      </c>
      <c r="H56" s="7">
        <v>316.69</v>
      </c>
      <c r="J56" s="7"/>
    </row>
    <row r="57" spans="6:10" ht="18.75" customHeight="1">
      <c r="F57" s="1">
        <v>22981</v>
      </c>
      <c r="G57">
        <f t="shared" si="0"/>
        <v>12</v>
      </c>
      <c r="H57" s="7">
        <v>317.7</v>
      </c>
      <c r="J57" s="7"/>
    </row>
    <row r="58" spans="6:10" ht="18.75" customHeight="1">
      <c r="F58" s="1">
        <v>23012</v>
      </c>
      <c r="G58">
        <f t="shared" si="0"/>
        <v>1</v>
      </c>
      <c r="H58" s="7">
        <v>318.74</v>
      </c>
      <c r="J58" s="7"/>
    </row>
    <row r="59" spans="6:10" ht="18.75" customHeight="1">
      <c r="F59" s="1">
        <v>23043</v>
      </c>
      <c r="G59">
        <f t="shared" si="0"/>
        <v>2</v>
      </c>
      <c r="H59" s="7">
        <v>319.07</v>
      </c>
      <c r="J59" s="7"/>
    </row>
    <row r="60" spans="6:10" ht="18.75" customHeight="1">
      <c r="F60" s="1">
        <v>23071</v>
      </c>
      <c r="G60">
        <f t="shared" si="0"/>
        <v>3</v>
      </c>
      <c r="H60" s="7">
        <v>319.86</v>
      </c>
      <c r="J60" s="7"/>
    </row>
    <row r="61" spans="6:10" ht="18.75" customHeight="1">
      <c r="F61" s="1">
        <v>23102</v>
      </c>
      <c r="G61">
        <f t="shared" si="0"/>
        <v>4</v>
      </c>
      <c r="H61" s="7">
        <v>321.38</v>
      </c>
      <c r="J61" s="7"/>
    </row>
    <row r="62" spans="6:10" ht="18.75" customHeight="1">
      <c r="F62" s="1">
        <v>23132</v>
      </c>
      <c r="G62">
        <f t="shared" si="0"/>
        <v>5</v>
      </c>
      <c r="H62" s="7">
        <v>322.25</v>
      </c>
      <c r="J62" s="7"/>
    </row>
    <row r="63" spans="6:10" ht="18.75" customHeight="1">
      <c r="F63" s="1">
        <v>23163</v>
      </c>
      <c r="G63">
        <f t="shared" si="0"/>
        <v>6</v>
      </c>
      <c r="H63" s="7">
        <v>321.48</v>
      </c>
      <c r="J63" s="7"/>
    </row>
    <row r="64" spans="6:10" ht="18.75" customHeight="1">
      <c r="F64" s="1">
        <v>23193</v>
      </c>
      <c r="G64">
        <f t="shared" si="0"/>
        <v>7</v>
      </c>
      <c r="H64" s="7">
        <v>319.74</v>
      </c>
      <c r="J64" s="7"/>
    </row>
    <row r="65" spans="6:10" ht="18.75" customHeight="1">
      <c r="F65" s="1">
        <v>23224</v>
      </c>
      <c r="G65">
        <f t="shared" si="0"/>
        <v>8</v>
      </c>
      <c r="H65" s="7">
        <v>317.77</v>
      </c>
      <c r="J65" s="7"/>
    </row>
    <row r="66" spans="6:10" ht="18.75" customHeight="1">
      <c r="F66" s="1">
        <v>23255</v>
      </c>
      <c r="G66">
        <f t="shared" si="0"/>
        <v>9</v>
      </c>
      <c r="H66" s="7">
        <v>316.20999999999998</v>
      </c>
      <c r="J66" s="7"/>
    </row>
    <row r="67" spans="6:10" ht="18.75" customHeight="1">
      <c r="F67" s="1">
        <v>23285</v>
      </c>
      <c r="G67">
        <f t="shared" ref="G67:G130" si="2">MONTH(F67)</f>
        <v>10</v>
      </c>
      <c r="H67" s="7">
        <v>315.99</v>
      </c>
      <c r="J67" s="7"/>
    </row>
    <row r="68" spans="6:10" ht="18.75" customHeight="1">
      <c r="F68" s="1">
        <v>23316</v>
      </c>
      <c r="G68">
        <f t="shared" si="2"/>
        <v>11</v>
      </c>
      <c r="H68" s="7">
        <v>317.07</v>
      </c>
      <c r="J68" s="7"/>
    </row>
    <row r="69" spans="6:10" ht="18.75" customHeight="1">
      <c r="F69" s="1">
        <v>23346</v>
      </c>
      <c r="G69">
        <f t="shared" si="2"/>
        <v>12</v>
      </c>
      <c r="H69" s="7">
        <v>318.35000000000002</v>
      </c>
      <c r="J69" s="7"/>
    </row>
    <row r="70" spans="6:10" ht="18.75" customHeight="1">
      <c r="F70" s="1">
        <v>23377</v>
      </c>
      <c r="G70">
        <f t="shared" si="2"/>
        <v>1</v>
      </c>
      <c r="H70" s="7">
        <v>319.57</v>
      </c>
      <c r="J70" s="7"/>
    </row>
    <row r="71" spans="6:10" ht="18.75" customHeight="1">
      <c r="F71" s="1">
        <v>23498</v>
      </c>
      <c r="G71">
        <f t="shared" si="2"/>
        <v>5</v>
      </c>
      <c r="H71" s="7">
        <v>322.26</v>
      </c>
      <c r="J71" s="7"/>
    </row>
    <row r="72" spans="6:10" ht="18.75" customHeight="1">
      <c r="F72" s="1">
        <v>23529</v>
      </c>
      <c r="G72">
        <f t="shared" si="2"/>
        <v>6</v>
      </c>
      <c r="H72" s="7">
        <v>321.89</v>
      </c>
      <c r="J72" s="7"/>
    </row>
    <row r="73" spans="6:10" ht="18.75" customHeight="1">
      <c r="F73" s="1">
        <v>23559</v>
      </c>
      <c r="G73">
        <f t="shared" si="2"/>
        <v>7</v>
      </c>
      <c r="H73" s="7">
        <v>320.44</v>
      </c>
      <c r="J73" s="7"/>
    </row>
    <row r="74" spans="6:10" ht="18.75" customHeight="1">
      <c r="F74" s="1">
        <v>23590</v>
      </c>
      <c r="G74">
        <f t="shared" si="2"/>
        <v>8</v>
      </c>
      <c r="H74" s="7">
        <v>318.69</v>
      </c>
      <c r="J74" s="7"/>
    </row>
    <row r="75" spans="6:10" ht="18.75" customHeight="1">
      <c r="F75" s="1">
        <v>23621</v>
      </c>
      <c r="G75">
        <f t="shared" si="2"/>
        <v>9</v>
      </c>
      <c r="H75" s="7">
        <v>316.7</v>
      </c>
      <c r="J75" s="7"/>
    </row>
    <row r="76" spans="6:10" ht="18.75" customHeight="1">
      <c r="F76" s="1">
        <v>23651</v>
      </c>
      <c r="G76">
        <f t="shared" si="2"/>
        <v>10</v>
      </c>
      <c r="H76" s="7">
        <v>316.87</v>
      </c>
      <c r="J76" s="7"/>
    </row>
    <row r="77" spans="6:10" ht="18.75" customHeight="1">
      <c r="F77" s="1">
        <v>23682</v>
      </c>
      <c r="G77">
        <f t="shared" si="2"/>
        <v>11</v>
      </c>
      <c r="H77" s="7">
        <v>317.68</v>
      </c>
      <c r="J77" s="7"/>
    </row>
    <row r="78" spans="6:10" ht="18.75" customHeight="1">
      <c r="F78" s="1">
        <v>23712</v>
      </c>
      <c r="G78">
        <f t="shared" si="2"/>
        <v>12</v>
      </c>
      <c r="H78" s="7">
        <v>318.70999999999998</v>
      </c>
      <c r="J78" s="7"/>
    </row>
    <row r="79" spans="6:10" ht="18.75" customHeight="1">
      <c r="F79" s="1">
        <v>23743</v>
      </c>
      <c r="G79">
        <f t="shared" si="2"/>
        <v>1</v>
      </c>
      <c r="H79" s="7">
        <v>319.44</v>
      </c>
      <c r="J79" s="7"/>
    </row>
    <row r="80" spans="6:10" ht="18.75" customHeight="1">
      <c r="F80" s="1">
        <v>23774</v>
      </c>
      <c r="G80">
        <f t="shared" si="2"/>
        <v>2</v>
      </c>
      <c r="H80" s="7">
        <v>320.44</v>
      </c>
      <c r="J80" s="7"/>
    </row>
    <row r="81" spans="6:10" ht="18.75" customHeight="1">
      <c r="F81" s="1">
        <v>23802</v>
      </c>
      <c r="G81">
        <f t="shared" si="2"/>
        <v>3</v>
      </c>
      <c r="H81" s="7">
        <v>320.89</v>
      </c>
      <c r="J81" s="7"/>
    </row>
    <row r="82" spans="6:10" ht="18.75" customHeight="1">
      <c r="F82" s="1">
        <v>23833</v>
      </c>
      <c r="G82">
        <f t="shared" si="2"/>
        <v>4</v>
      </c>
      <c r="H82" s="7">
        <v>322.14</v>
      </c>
      <c r="J82" s="7"/>
    </row>
    <row r="83" spans="6:10" ht="18.75" customHeight="1">
      <c r="F83" s="1">
        <v>23863</v>
      </c>
      <c r="G83">
        <f t="shared" si="2"/>
        <v>5</v>
      </c>
      <c r="H83" s="7">
        <v>322.17</v>
      </c>
      <c r="J83" s="7"/>
    </row>
    <row r="84" spans="6:10" ht="18.75" customHeight="1">
      <c r="F84" s="1">
        <v>23894</v>
      </c>
      <c r="G84">
        <f t="shared" si="2"/>
        <v>6</v>
      </c>
      <c r="H84" s="7">
        <v>321.87</v>
      </c>
      <c r="J84" s="7"/>
    </row>
    <row r="85" spans="6:10" ht="18.75" customHeight="1">
      <c r="F85" s="1">
        <v>23924</v>
      </c>
      <c r="G85">
        <f t="shared" si="2"/>
        <v>7</v>
      </c>
      <c r="H85" s="7">
        <v>321.20999999999998</v>
      </c>
      <c r="J85" s="7"/>
    </row>
    <row r="86" spans="6:10" ht="18.75" customHeight="1">
      <c r="F86" s="1">
        <v>23955</v>
      </c>
      <c r="G86">
        <f t="shared" si="2"/>
        <v>8</v>
      </c>
      <c r="H86" s="7">
        <v>318.87</v>
      </c>
      <c r="J86" s="7"/>
    </row>
    <row r="87" spans="6:10" ht="18.75" customHeight="1">
      <c r="F87" s="1">
        <v>23986</v>
      </c>
      <c r="G87">
        <f t="shared" si="2"/>
        <v>9</v>
      </c>
      <c r="H87" s="7">
        <v>317.81</v>
      </c>
      <c r="J87" s="7"/>
    </row>
    <row r="88" spans="6:10" ht="18.75" customHeight="1">
      <c r="F88" s="1">
        <v>24016</v>
      </c>
      <c r="G88">
        <f t="shared" si="2"/>
        <v>10</v>
      </c>
      <c r="H88" s="7">
        <v>317.3</v>
      </c>
      <c r="J88" s="7"/>
    </row>
    <row r="89" spans="6:10" ht="18.75" customHeight="1">
      <c r="F89" s="1">
        <v>24047</v>
      </c>
      <c r="G89">
        <f t="shared" si="2"/>
        <v>11</v>
      </c>
      <c r="H89" s="7">
        <v>318.87</v>
      </c>
      <c r="J89" s="7"/>
    </row>
    <row r="90" spans="6:10" ht="18.75" customHeight="1">
      <c r="F90" s="1">
        <v>24077</v>
      </c>
      <c r="G90">
        <f t="shared" si="2"/>
        <v>12</v>
      </c>
      <c r="H90" s="7">
        <v>319.42</v>
      </c>
      <c r="J90" s="7"/>
    </row>
    <row r="91" spans="6:10" ht="18.75" customHeight="1">
      <c r="F91" s="1">
        <v>24108</v>
      </c>
      <c r="G91">
        <f t="shared" si="2"/>
        <v>1</v>
      </c>
      <c r="H91" s="7">
        <v>320.62</v>
      </c>
      <c r="J91" s="7"/>
    </row>
    <row r="92" spans="6:10" ht="18.75" customHeight="1">
      <c r="F92" s="1">
        <v>24139</v>
      </c>
      <c r="G92">
        <f t="shared" si="2"/>
        <v>2</v>
      </c>
      <c r="H92" s="7">
        <v>321.60000000000002</v>
      </c>
      <c r="J92" s="7"/>
    </row>
    <row r="93" spans="6:10" ht="18.75" customHeight="1">
      <c r="F93" s="1">
        <v>24167</v>
      </c>
      <c r="G93">
        <f t="shared" si="2"/>
        <v>3</v>
      </c>
      <c r="H93" s="7">
        <v>322.39</v>
      </c>
      <c r="J93" s="7"/>
    </row>
    <row r="94" spans="6:10" ht="18.75" customHeight="1">
      <c r="F94" s="1">
        <v>24198</v>
      </c>
      <c r="G94">
        <f t="shared" si="2"/>
        <v>4</v>
      </c>
      <c r="H94" s="7">
        <v>323.7</v>
      </c>
      <c r="J94" s="7"/>
    </row>
    <row r="95" spans="6:10" ht="18.75" customHeight="1">
      <c r="F95" s="1">
        <v>24228</v>
      </c>
      <c r="G95">
        <f t="shared" si="2"/>
        <v>5</v>
      </c>
      <c r="H95" s="7">
        <v>324.08</v>
      </c>
      <c r="J95" s="7"/>
    </row>
    <row r="96" spans="6:10" ht="18.75" customHeight="1">
      <c r="F96" s="1">
        <v>24259</v>
      </c>
      <c r="G96">
        <f t="shared" si="2"/>
        <v>6</v>
      </c>
      <c r="H96" s="7">
        <v>323.75</v>
      </c>
      <c r="J96" s="7"/>
    </row>
    <row r="97" spans="6:10" ht="18.75" customHeight="1">
      <c r="F97" s="1">
        <v>24289</v>
      </c>
      <c r="G97">
        <f t="shared" si="2"/>
        <v>7</v>
      </c>
      <c r="H97" s="7">
        <v>322.38</v>
      </c>
      <c r="J97" s="7"/>
    </row>
    <row r="98" spans="6:10" ht="18.75" customHeight="1">
      <c r="F98" s="1">
        <v>24320</v>
      </c>
      <c r="G98">
        <f t="shared" si="2"/>
        <v>8</v>
      </c>
      <c r="H98" s="7">
        <v>320.36</v>
      </c>
      <c r="J98" s="7"/>
    </row>
    <row r="99" spans="6:10" ht="18.75" customHeight="1">
      <c r="F99" s="1">
        <v>24351</v>
      </c>
      <c r="G99">
        <f t="shared" si="2"/>
        <v>9</v>
      </c>
      <c r="H99" s="7">
        <v>318.64</v>
      </c>
      <c r="J99" s="7"/>
    </row>
    <row r="100" spans="6:10" ht="18.75" customHeight="1">
      <c r="F100" s="1">
        <v>24381</v>
      </c>
      <c r="G100">
        <f t="shared" si="2"/>
        <v>10</v>
      </c>
      <c r="H100" s="7">
        <v>318.10000000000002</v>
      </c>
      <c r="J100" s="7"/>
    </row>
    <row r="101" spans="6:10" ht="18.75" customHeight="1">
      <c r="F101" s="1">
        <v>24412</v>
      </c>
      <c r="G101">
        <f t="shared" si="2"/>
        <v>11</v>
      </c>
      <c r="H101" s="7">
        <v>319.77999999999997</v>
      </c>
      <c r="J101" s="7"/>
    </row>
    <row r="102" spans="6:10" ht="18.75" customHeight="1">
      <c r="F102" s="1">
        <v>24442</v>
      </c>
      <c r="G102">
        <f t="shared" si="2"/>
        <v>12</v>
      </c>
      <c r="H102" s="7">
        <v>321.02999999999997</v>
      </c>
      <c r="J102" s="7"/>
    </row>
    <row r="103" spans="6:10" ht="18.75" customHeight="1">
      <c r="F103" s="1">
        <v>24473</v>
      </c>
      <c r="G103">
        <f t="shared" si="2"/>
        <v>1</v>
      </c>
      <c r="H103" s="7">
        <v>322.33</v>
      </c>
      <c r="J103" s="7"/>
    </row>
    <row r="104" spans="6:10" ht="18.75" customHeight="1">
      <c r="F104" s="1">
        <v>24504</v>
      </c>
      <c r="G104">
        <f t="shared" si="2"/>
        <v>2</v>
      </c>
      <c r="H104" s="7">
        <v>322.5</v>
      </c>
      <c r="J104" s="7"/>
    </row>
    <row r="105" spans="6:10" ht="18.75" customHeight="1">
      <c r="F105" s="1">
        <v>24532</v>
      </c>
      <c r="G105">
        <f t="shared" si="2"/>
        <v>3</v>
      </c>
      <c r="H105" s="7">
        <v>323.04000000000002</v>
      </c>
      <c r="J105" s="7"/>
    </row>
    <row r="106" spans="6:10" ht="18.75" customHeight="1">
      <c r="F106" s="1">
        <v>24563</v>
      </c>
      <c r="G106">
        <f t="shared" si="2"/>
        <v>4</v>
      </c>
      <c r="H106" s="7">
        <v>324.42</v>
      </c>
      <c r="J106" s="7"/>
    </row>
    <row r="107" spans="6:10" ht="18.75" customHeight="1">
      <c r="F107" s="1">
        <v>24593</v>
      </c>
      <c r="G107">
        <f t="shared" si="2"/>
        <v>5</v>
      </c>
      <c r="H107" s="7">
        <v>325</v>
      </c>
      <c r="J107" s="7"/>
    </row>
    <row r="108" spans="6:10" ht="18.75" customHeight="1">
      <c r="F108" s="1">
        <v>24624</v>
      </c>
      <c r="G108">
        <f t="shared" si="2"/>
        <v>6</v>
      </c>
      <c r="H108" s="7">
        <v>324.08999999999997</v>
      </c>
      <c r="J108" s="7"/>
    </row>
    <row r="109" spans="6:10" ht="18.75" customHeight="1">
      <c r="F109" s="1">
        <v>24654</v>
      </c>
      <c r="G109">
        <f t="shared" si="2"/>
        <v>7</v>
      </c>
      <c r="H109" s="7">
        <v>322.54000000000002</v>
      </c>
      <c r="J109" s="7"/>
    </row>
    <row r="110" spans="6:10" ht="18.75" customHeight="1">
      <c r="F110" s="1">
        <v>24685</v>
      </c>
      <c r="G110">
        <f t="shared" si="2"/>
        <v>8</v>
      </c>
      <c r="H110" s="7">
        <v>320.92</v>
      </c>
      <c r="J110" s="7"/>
    </row>
    <row r="111" spans="6:10" ht="18.75" customHeight="1">
      <c r="F111" s="1">
        <v>24716</v>
      </c>
      <c r="G111">
        <f t="shared" si="2"/>
        <v>9</v>
      </c>
      <c r="H111" s="7">
        <v>319.25</v>
      </c>
      <c r="J111" s="7"/>
    </row>
    <row r="112" spans="6:10" ht="18.75" customHeight="1">
      <c r="F112" s="1">
        <v>24746</v>
      </c>
      <c r="G112">
        <f t="shared" si="2"/>
        <v>10</v>
      </c>
      <c r="H112" s="7">
        <v>319.39</v>
      </c>
      <c r="J112" s="7"/>
    </row>
    <row r="113" spans="6:10" ht="18.75" customHeight="1">
      <c r="F113" s="1">
        <v>24777</v>
      </c>
      <c r="G113">
        <f t="shared" si="2"/>
        <v>11</v>
      </c>
      <c r="H113" s="7">
        <v>320.73</v>
      </c>
      <c r="J113" s="7"/>
    </row>
    <row r="114" spans="6:10" ht="18.75" customHeight="1">
      <c r="F114" s="1">
        <v>24807</v>
      </c>
      <c r="G114">
        <f t="shared" si="2"/>
        <v>12</v>
      </c>
      <c r="H114" s="7">
        <v>321.95999999999998</v>
      </c>
      <c r="J114" s="7"/>
    </row>
    <row r="115" spans="6:10" ht="18.75" customHeight="1">
      <c r="F115" s="1">
        <v>24838</v>
      </c>
      <c r="G115">
        <f t="shared" si="2"/>
        <v>1</v>
      </c>
      <c r="H115" s="7">
        <v>322.57</v>
      </c>
      <c r="J115" s="7"/>
    </row>
    <row r="116" spans="6:10" ht="18.75" customHeight="1">
      <c r="F116" s="1">
        <v>24869</v>
      </c>
      <c r="G116">
        <f t="shared" si="2"/>
        <v>2</v>
      </c>
      <c r="H116" s="7">
        <v>323.14999999999998</v>
      </c>
      <c r="J116" s="7"/>
    </row>
    <row r="117" spans="6:10" ht="18.75" customHeight="1">
      <c r="F117" s="1">
        <v>24898</v>
      </c>
      <c r="G117">
        <f t="shared" si="2"/>
        <v>3</v>
      </c>
      <c r="H117" s="7">
        <v>323.89</v>
      </c>
      <c r="J117" s="7"/>
    </row>
    <row r="118" spans="6:10" ht="18.75" customHeight="1">
      <c r="F118" s="1">
        <v>24929</v>
      </c>
      <c r="G118">
        <f t="shared" si="2"/>
        <v>4</v>
      </c>
      <c r="H118" s="7">
        <v>325.02</v>
      </c>
      <c r="J118" s="7"/>
    </row>
    <row r="119" spans="6:10" ht="18.75" customHeight="1">
      <c r="F119" s="1">
        <v>24959</v>
      </c>
      <c r="G119">
        <f t="shared" si="2"/>
        <v>5</v>
      </c>
      <c r="H119" s="7">
        <v>325.57</v>
      </c>
      <c r="J119" s="7"/>
    </row>
    <row r="120" spans="6:10" ht="18.75" customHeight="1">
      <c r="F120" s="1">
        <v>24990</v>
      </c>
      <c r="G120">
        <f t="shared" si="2"/>
        <v>6</v>
      </c>
      <c r="H120" s="7">
        <v>325.36</v>
      </c>
      <c r="J120" s="7"/>
    </row>
    <row r="121" spans="6:10" ht="18.75" customHeight="1">
      <c r="F121" s="1">
        <v>25020</v>
      </c>
      <c r="G121">
        <f t="shared" si="2"/>
        <v>7</v>
      </c>
      <c r="H121" s="7">
        <v>324.14</v>
      </c>
      <c r="J121" s="7"/>
    </row>
    <row r="122" spans="6:10" ht="18.75" customHeight="1">
      <c r="F122" s="1">
        <v>25051</v>
      </c>
      <c r="G122">
        <f t="shared" si="2"/>
        <v>8</v>
      </c>
      <c r="H122" s="7">
        <v>322.11</v>
      </c>
      <c r="J122" s="7"/>
    </row>
    <row r="123" spans="6:10" ht="18.75" customHeight="1">
      <c r="F123" s="1">
        <v>25082</v>
      </c>
      <c r="G123">
        <f t="shared" si="2"/>
        <v>9</v>
      </c>
      <c r="H123" s="7">
        <v>320.33</v>
      </c>
      <c r="J123" s="7"/>
    </row>
    <row r="124" spans="6:10" ht="18.75" customHeight="1">
      <c r="F124" s="1">
        <v>25112</v>
      </c>
      <c r="G124">
        <f t="shared" si="2"/>
        <v>10</v>
      </c>
      <c r="H124" s="7">
        <v>320.25</v>
      </c>
      <c r="J124" s="7"/>
    </row>
    <row r="125" spans="6:10" ht="18.75" customHeight="1">
      <c r="F125" s="1">
        <v>25143</v>
      </c>
      <c r="G125">
        <f t="shared" si="2"/>
        <v>11</v>
      </c>
      <c r="H125" s="7">
        <v>321.32</v>
      </c>
      <c r="J125" s="7"/>
    </row>
    <row r="126" spans="6:10" ht="18.75" customHeight="1">
      <c r="F126" s="1">
        <v>25173</v>
      </c>
      <c r="G126">
        <f t="shared" si="2"/>
        <v>12</v>
      </c>
      <c r="H126" s="7">
        <v>322.89</v>
      </c>
      <c r="J126" s="7"/>
    </row>
    <row r="127" spans="6:10" ht="18.75" customHeight="1">
      <c r="F127" s="1">
        <v>25204</v>
      </c>
      <c r="G127">
        <f t="shared" si="2"/>
        <v>1</v>
      </c>
      <c r="H127" s="7">
        <v>324</v>
      </c>
      <c r="J127" s="7"/>
    </row>
    <row r="128" spans="6:10" ht="18.75" customHeight="1">
      <c r="F128" s="1">
        <v>25235</v>
      </c>
      <c r="G128">
        <f t="shared" si="2"/>
        <v>2</v>
      </c>
      <c r="H128" s="7">
        <v>324.41000000000003</v>
      </c>
      <c r="J128" s="7"/>
    </row>
    <row r="129" spans="6:10" ht="18.75" customHeight="1">
      <c r="F129" s="1">
        <v>25263</v>
      </c>
      <c r="G129">
        <f t="shared" si="2"/>
        <v>3</v>
      </c>
      <c r="H129" s="7">
        <v>325.63</v>
      </c>
      <c r="J129" s="7"/>
    </row>
    <row r="130" spans="6:10" ht="18.75" customHeight="1">
      <c r="F130" s="1">
        <v>25294</v>
      </c>
      <c r="G130">
        <f t="shared" si="2"/>
        <v>4</v>
      </c>
      <c r="H130" s="7">
        <v>326.66000000000003</v>
      </c>
      <c r="J130" s="7"/>
    </row>
    <row r="131" spans="6:10" ht="18.75" customHeight="1">
      <c r="F131" s="1">
        <v>25324</v>
      </c>
      <c r="G131">
        <f t="shared" ref="G131:G194" si="3">MONTH(F131)</f>
        <v>5</v>
      </c>
      <c r="H131" s="7">
        <v>327.38</v>
      </c>
      <c r="J131" s="7"/>
    </row>
    <row r="132" spans="6:10" ht="18.75" customHeight="1">
      <c r="F132" s="1">
        <v>25355</v>
      </c>
      <c r="G132">
        <f t="shared" si="3"/>
        <v>6</v>
      </c>
      <c r="H132" s="7">
        <v>326.70999999999998</v>
      </c>
      <c r="J132" s="7"/>
    </row>
    <row r="133" spans="6:10" ht="18.75" customHeight="1">
      <c r="F133" s="1">
        <v>25385</v>
      </c>
      <c r="G133">
        <f t="shared" si="3"/>
        <v>7</v>
      </c>
      <c r="H133" s="7">
        <v>325.88</v>
      </c>
      <c r="J133" s="7"/>
    </row>
    <row r="134" spans="6:10" ht="18.75" customHeight="1">
      <c r="F134" s="1">
        <v>25416</v>
      </c>
      <c r="G134">
        <f t="shared" si="3"/>
        <v>8</v>
      </c>
      <c r="H134" s="7">
        <v>323.66000000000003</v>
      </c>
      <c r="J134" s="7"/>
    </row>
    <row r="135" spans="6:10" ht="18.75" customHeight="1">
      <c r="F135" s="1">
        <v>25447</v>
      </c>
      <c r="G135">
        <f t="shared" si="3"/>
        <v>9</v>
      </c>
      <c r="H135" s="7">
        <v>322.38</v>
      </c>
      <c r="J135" s="7"/>
    </row>
    <row r="136" spans="6:10" ht="18.75" customHeight="1">
      <c r="F136" s="1">
        <v>25477</v>
      </c>
      <c r="G136">
        <f t="shared" si="3"/>
        <v>10</v>
      </c>
      <c r="H136" s="7">
        <v>321.77999999999997</v>
      </c>
      <c r="J136" s="7"/>
    </row>
    <row r="137" spans="6:10" ht="18.75" customHeight="1">
      <c r="F137" s="1">
        <v>25508</v>
      </c>
      <c r="G137">
        <f t="shared" si="3"/>
        <v>11</v>
      </c>
      <c r="H137" s="7">
        <v>322.85000000000002</v>
      </c>
      <c r="J137" s="7"/>
    </row>
    <row r="138" spans="6:10" ht="18.75" customHeight="1">
      <c r="F138" s="1">
        <v>25538</v>
      </c>
      <c r="G138">
        <f t="shared" si="3"/>
        <v>12</v>
      </c>
      <c r="H138" s="7">
        <v>324.12</v>
      </c>
      <c r="J138" s="7"/>
    </row>
    <row r="139" spans="6:10" ht="18.75" customHeight="1">
      <c r="F139" s="1">
        <v>25569</v>
      </c>
      <c r="G139">
        <f t="shared" si="3"/>
        <v>1</v>
      </c>
      <c r="H139" s="7">
        <v>325.06</v>
      </c>
      <c r="J139" s="7"/>
    </row>
    <row r="140" spans="6:10" ht="18.75" customHeight="1">
      <c r="F140" s="1">
        <v>25600</v>
      </c>
      <c r="G140">
        <f t="shared" si="3"/>
        <v>2</v>
      </c>
      <c r="H140" s="7">
        <v>325.98</v>
      </c>
      <c r="J140" s="7"/>
    </row>
    <row r="141" spans="6:10" ht="18.75" customHeight="1">
      <c r="F141" s="1">
        <v>25628</v>
      </c>
      <c r="G141">
        <f t="shared" si="3"/>
        <v>3</v>
      </c>
      <c r="H141" s="7">
        <v>326.93</v>
      </c>
      <c r="J141" s="7"/>
    </row>
    <row r="142" spans="6:10" ht="18.75" customHeight="1">
      <c r="F142" s="1">
        <v>25659</v>
      </c>
      <c r="G142">
        <f t="shared" si="3"/>
        <v>4</v>
      </c>
      <c r="H142" s="7">
        <v>328.13</v>
      </c>
      <c r="J142" s="7"/>
    </row>
    <row r="143" spans="6:10" ht="18.75" customHeight="1">
      <c r="F143" s="1">
        <v>25689</v>
      </c>
      <c r="G143">
        <f t="shared" si="3"/>
        <v>5</v>
      </c>
      <c r="H143" s="7">
        <v>328.08</v>
      </c>
      <c r="J143" s="7"/>
    </row>
    <row r="144" spans="6:10" ht="18.75" customHeight="1">
      <c r="F144" s="1">
        <v>25720</v>
      </c>
      <c r="G144">
        <f t="shared" si="3"/>
        <v>6</v>
      </c>
      <c r="H144" s="7">
        <v>327.67</v>
      </c>
      <c r="J144" s="7"/>
    </row>
    <row r="145" spans="6:10" ht="18.75" customHeight="1">
      <c r="F145" s="1">
        <v>25750</v>
      </c>
      <c r="G145">
        <f t="shared" si="3"/>
        <v>7</v>
      </c>
      <c r="H145" s="7">
        <v>326.33999999999997</v>
      </c>
      <c r="J145" s="7"/>
    </row>
    <row r="146" spans="6:10" ht="18.75" customHeight="1">
      <c r="F146" s="1">
        <v>25781</v>
      </c>
      <c r="G146">
        <f t="shared" si="3"/>
        <v>8</v>
      </c>
      <c r="H146" s="7">
        <v>324.69</v>
      </c>
      <c r="J146" s="7"/>
    </row>
    <row r="147" spans="6:10" ht="18.75" customHeight="1">
      <c r="F147" s="1">
        <v>25812</v>
      </c>
      <c r="G147">
        <f t="shared" si="3"/>
        <v>9</v>
      </c>
      <c r="H147" s="7">
        <v>323.10000000000002</v>
      </c>
      <c r="J147" s="7"/>
    </row>
    <row r="148" spans="6:10" ht="18.75" customHeight="1">
      <c r="F148" s="1">
        <v>25842</v>
      </c>
      <c r="G148">
        <f t="shared" si="3"/>
        <v>10</v>
      </c>
      <c r="H148" s="7">
        <v>323.06</v>
      </c>
      <c r="J148" s="7"/>
    </row>
    <row r="149" spans="6:10" ht="18.75" customHeight="1">
      <c r="F149" s="1">
        <v>25873</v>
      </c>
      <c r="G149">
        <f t="shared" si="3"/>
        <v>11</v>
      </c>
      <c r="H149" s="7">
        <v>324.01</v>
      </c>
      <c r="J149" s="7"/>
    </row>
    <row r="150" spans="6:10" ht="18.75" customHeight="1">
      <c r="F150" s="1">
        <v>25903</v>
      </c>
      <c r="G150">
        <f t="shared" si="3"/>
        <v>12</v>
      </c>
      <c r="H150" s="7">
        <v>325.13</v>
      </c>
      <c r="J150" s="7"/>
    </row>
    <row r="151" spans="6:10" ht="18.75" customHeight="1">
      <c r="F151" s="1">
        <v>25934</v>
      </c>
      <c r="G151">
        <f t="shared" si="3"/>
        <v>1</v>
      </c>
      <c r="H151" s="7">
        <v>326.17</v>
      </c>
      <c r="J151" s="7"/>
    </row>
    <row r="152" spans="6:10" ht="18.75" customHeight="1">
      <c r="F152" s="1">
        <v>25965</v>
      </c>
      <c r="G152">
        <f t="shared" si="3"/>
        <v>2</v>
      </c>
      <c r="H152" s="7">
        <v>326.68</v>
      </c>
      <c r="J152" s="7"/>
    </row>
    <row r="153" spans="6:10" ht="18.75" customHeight="1">
      <c r="F153" s="1">
        <v>25993</v>
      </c>
      <c r="G153">
        <f t="shared" si="3"/>
        <v>3</v>
      </c>
      <c r="H153" s="7">
        <v>327.17</v>
      </c>
      <c r="J153" s="7"/>
    </row>
    <row r="154" spans="6:10" ht="18.75" customHeight="1">
      <c r="F154" s="1">
        <v>26024</v>
      </c>
      <c r="G154">
        <f t="shared" si="3"/>
        <v>4</v>
      </c>
      <c r="H154" s="7">
        <v>327.79</v>
      </c>
      <c r="J154" s="7"/>
    </row>
    <row r="155" spans="6:10" ht="18.75" customHeight="1">
      <c r="F155" s="1">
        <v>26054</v>
      </c>
      <c r="G155">
        <f t="shared" si="3"/>
        <v>5</v>
      </c>
      <c r="H155" s="7">
        <v>328.93</v>
      </c>
      <c r="J155" s="7"/>
    </row>
    <row r="156" spans="6:10" ht="18.75" customHeight="1">
      <c r="F156" s="1">
        <v>26085</v>
      </c>
      <c r="G156">
        <f t="shared" si="3"/>
        <v>6</v>
      </c>
      <c r="H156" s="7">
        <v>328.57</v>
      </c>
      <c r="J156" s="7"/>
    </row>
    <row r="157" spans="6:10" ht="18.75" customHeight="1">
      <c r="F157" s="1">
        <v>26115</v>
      </c>
      <c r="G157">
        <f t="shared" si="3"/>
        <v>7</v>
      </c>
      <c r="H157" s="7">
        <v>327.36</v>
      </c>
      <c r="J157" s="7"/>
    </row>
    <row r="158" spans="6:10" ht="18.75" customHeight="1">
      <c r="F158" s="1">
        <v>26146</v>
      </c>
      <c r="G158">
        <f t="shared" si="3"/>
        <v>8</v>
      </c>
      <c r="H158" s="7">
        <v>325.43</v>
      </c>
      <c r="J158" s="7"/>
    </row>
    <row r="159" spans="6:10" ht="18.75" customHeight="1">
      <c r="F159" s="1">
        <v>26177</v>
      </c>
      <c r="G159">
        <f t="shared" si="3"/>
        <v>9</v>
      </c>
      <c r="H159" s="7">
        <v>323.36</v>
      </c>
      <c r="J159" s="7"/>
    </row>
    <row r="160" spans="6:10" ht="18.75" customHeight="1">
      <c r="F160" s="1">
        <v>26207</v>
      </c>
      <c r="G160">
        <f t="shared" si="3"/>
        <v>10</v>
      </c>
      <c r="H160" s="7">
        <v>323.56</v>
      </c>
      <c r="J160" s="7"/>
    </row>
    <row r="161" spans="6:10" ht="18.75" customHeight="1">
      <c r="F161" s="1">
        <v>26238</v>
      </c>
      <c r="G161">
        <f t="shared" si="3"/>
        <v>11</v>
      </c>
      <c r="H161" s="7">
        <v>324.8</v>
      </c>
      <c r="J161" s="7"/>
    </row>
    <row r="162" spans="6:10" ht="18.75" customHeight="1">
      <c r="F162" s="1">
        <v>26268</v>
      </c>
      <c r="G162">
        <f t="shared" si="3"/>
        <v>12</v>
      </c>
      <c r="H162" s="7">
        <v>326.01</v>
      </c>
      <c r="J162" s="7"/>
    </row>
    <row r="163" spans="6:10" ht="18.75" customHeight="1">
      <c r="F163" s="1">
        <v>26299</v>
      </c>
      <c r="G163">
        <f t="shared" si="3"/>
        <v>1</v>
      </c>
      <c r="H163" s="7">
        <v>326.77</v>
      </c>
      <c r="J163" s="7"/>
    </row>
    <row r="164" spans="6:10" ht="18.75" customHeight="1">
      <c r="F164" s="1">
        <v>26330</v>
      </c>
      <c r="G164">
        <f t="shared" si="3"/>
        <v>2</v>
      </c>
      <c r="H164" s="7">
        <v>327.63</v>
      </c>
      <c r="J164" s="7"/>
    </row>
    <row r="165" spans="6:10" ht="18.75" customHeight="1">
      <c r="F165" s="1">
        <v>26359</v>
      </c>
      <c r="G165">
        <f t="shared" si="3"/>
        <v>3</v>
      </c>
      <c r="H165" s="7">
        <v>327.75</v>
      </c>
      <c r="J165" s="7"/>
    </row>
    <row r="166" spans="6:10" ht="18.75" customHeight="1">
      <c r="F166" s="1">
        <v>26390</v>
      </c>
      <c r="G166">
        <f t="shared" si="3"/>
        <v>4</v>
      </c>
      <c r="H166" s="7">
        <v>329.72</v>
      </c>
      <c r="J166" s="7"/>
    </row>
    <row r="167" spans="6:10" ht="18.75" customHeight="1">
      <c r="F167" s="1">
        <v>26420</v>
      </c>
      <c r="G167">
        <f t="shared" si="3"/>
        <v>5</v>
      </c>
      <c r="H167" s="7">
        <v>330.07</v>
      </c>
      <c r="J167" s="7"/>
    </row>
    <row r="168" spans="6:10" ht="18.75" customHeight="1">
      <c r="F168" s="1">
        <v>26451</v>
      </c>
      <c r="G168">
        <f t="shared" si="3"/>
        <v>6</v>
      </c>
      <c r="H168" s="7">
        <v>329.09</v>
      </c>
      <c r="J168" s="7"/>
    </row>
    <row r="169" spans="6:10" ht="18.75" customHeight="1">
      <c r="F169" s="1">
        <v>26481</v>
      </c>
      <c r="G169">
        <f t="shared" si="3"/>
        <v>7</v>
      </c>
      <c r="H169" s="7">
        <v>328.04</v>
      </c>
      <c r="J169" s="7"/>
    </row>
    <row r="170" spans="6:10" ht="18.75" customHeight="1">
      <c r="F170" s="1">
        <v>26512</v>
      </c>
      <c r="G170">
        <f t="shared" si="3"/>
        <v>8</v>
      </c>
      <c r="H170" s="7">
        <v>326.32</v>
      </c>
      <c r="J170" s="7"/>
    </row>
    <row r="171" spans="6:10" ht="18.75" customHeight="1">
      <c r="F171" s="1">
        <v>26543</v>
      </c>
      <c r="G171">
        <f t="shared" si="3"/>
        <v>9</v>
      </c>
      <c r="H171" s="7">
        <v>324.83999999999997</v>
      </c>
      <c r="J171" s="7"/>
    </row>
    <row r="172" spans="6:10" ht="18.75" customHeight="1">
      <c r="F172" s="1">
        <v>26573</v>
      </c>
      <c r="G172">
        <f t="shared" si="3"/>
        <v>10</v>
      </c>
      <c r="H172" s="7">
        <v>325.2</v>
      </c>
      <c r="J172" s="7"/>
    </row>
    <row r="173" spans="6:10" ht="18.75" customHeight="1">
      <c r="F173" s="1">
        <v>26604</v>
      </c>
      <c r="G173">
        <f t="shared" si="3"/>
        <v>11</v>
      </c>
      <c r="H173" s="7">
        <v>326.5</v>
      </c>
      <c r="J173" s="7"/>
    </row>
    <row r="174" spans="6:10" ht="18.75" customHeight="1">
      <c r="F174" s="1">
        <v>26634</v>
      </c>
      <c r="G174">
        <f t="shared" si="3"/>
        <v>12</v>
      </c>
      <c r="H174" s="7">
        <v>327.55</v>
      </c>
      <c r="J174" s="7"/>
    </row>
    <row r="175" spans="6:10" ht="18.75" customHeight="1">
      <c r="F175" s="1">
        <v>26665</v>
      </c>
      <c r="G175">
        <f t="shared" si="3"/>
        <v>1</v>
      </c>
      <c r="H175" s="7">
        <v>328.55</v>
      </c>
      <c r="J175" s="7"/>
    </row>
    <row r="176" spans="6:10" ht="18.75" customHeight="1">
      <c r="F176" s="1">
        <v>26696</v>
      </c>
      <c r="G176">
        <f t="shared" si="3"/>
        <v>2</v>
      </c>
      <c r="H176" s="7">
        <v>329.56</v>
      </c>
      <c r="J176" s="7"/>
    </row>
    <row r="177" spans="6:10" ht="18.75" customHeight="1">
      <c r="F177" s="1">
        <v>26724</v>
      </c>
      <c r="G177">
        <f t="shared" si="3"/>
        <v>3</v>
      </c>
      <c r="H177" s="7">
        <v>330.3</v>
      </c>
      <c r="J177" s="7"/>
    </row>
    <row r="178" spans="6:10" ht="18.75" customHeight="1">
      <c r="F178" s="1">
        <v>26755</v>
      </c>
      <c r="G178">
        <f t="shared" si="3"/>
        <v>4</v>
      </c>
      <c r="H178" s="7">
        <v>331.5</v>
      </c>
      <c r="J178" s="7"/>
    </row>
    <row r="179" spans="6:10" ht="18.75" customHeight="1">
      <c r="F179" s="1">
        <v>26785</v>
      </c>
      <c r="G179">
        <f t="shared" si="3"/>
        <v>5</v>
      </c>
      <c r="H179" s="7">
        <v>332.48</v>
      </c>
      <c r="J179" s="7"/>
    </row>
    <row r="180" spans="6:10" ht="18.75" customHeight="1">
      <c r="F180" s="1">
        <v>26816</v>
      </c>
      <c r="G180">
        <f t="shared" si="3"/>
        <v>6</v>
      </c>
      <c r="H180" s="7">
        <v>332.07</v>
      </c>
      <c r="J180" s="7"/>
    </row>
    <row r="181" spans="6:10" ht="18.75" customHeight="1">
      <c r="F181" s="1">
        <v>26846</v>
      </c>
      <c r="G181">
        <f t="shared" si="3"/>
        <v>7</v>
      </c>
      <c r="H181" s="7">
        <v>330.87</v>
      </c>
      <c r="J181" s="7"/>
    </row>
    <row r="182" spans="6:10" ht="18.75" customHeight="1">
      <c r="F182" s="1">
        <v>26877</v>
      </c>
      <c r="G182">
        <f t="shared" si="3"/>
        <v>8</v>
      </c>
      <c r="H182" s="7">
        <v>329.31</v>
      </c>
      <c r="J182" s="7"/>
    </row>
    <row r="183" spans="6:10" ht="18.75" customHeight="1">
      <c r="F183" s="1">
        <v>26908</v>
      </c>
      <c r="G183">
        <f t="shared" si="3"/>
        <v>9</v>
      </c>
      <c r="H183" s="7">
        <v>327.51</v>
      </c>
      <c r="J183" s="7"/>
    </row>
    <row r="184" spans="6:10" ht="18.75" customHeight="1">
      <c r="F184" s="1">
        <v>26938</v>
      </c>
      <c r="G184">
        <f t="shared" si="3"/>
        <v>10</v>
      </c>
      <c r="H184" s="7">
        <v>327.18</v>
      </c>
      <c r="J184" s="7"/>
    </row>
    <row r="185" spans="6:10" ht="18.75" customHeight="1">
      <c r="F185" s="1">
        <v>26969</v>
      </c>
      <c r="G185">
        <f t="shared" si="3"/>
        <v>11</v>
      </c>
      <c r="H185" s="7">
        <v>328.16</v>
      </c>
      <c r="J185" s="7"/>
    </row>
    <row r="186" spans="6:10" ht="18.75" customHeight="1">
      <c r="F186" s="1">
        <v>26999</v>
      </c>
      <c r="G186">
        <f t="shared" si="3"/>
        <v>12</v>
      </c>
      <c r="H186" s="7">
        <v>328.64</v>
      </c>
      <c r="J186" s="7"/>
    </row>
    <row r="187" spans="6:10" ht="18.75" customHeight="1">
      <c r="F187" s="1">
        <v>27030</v>
      </c>
      <c r="G187">
        <f t="shared" si="3"/>
        <v>1</v>
      </c>
      <c r="H187" s="7">
        <v>329.35</v>
      </c>
      <c r="J187" s="7"/>
    </row>
    <row r="188" spans="6:10" ht="18.75" customHeight="1">
      <c r="F188" s="1">
        <v>27061</v>
      </c>
      <c r="G188">
        <f t="shared" si="3"/>
        <v>2</v>
      </c>
      <c r="H188" s="7">
        <v>330.71</v>
      </c>
      <c r="J188" s="7"/>
    </row>
    <row r="189" spans="6:10" ht="18.75" customHeight="1">
      <c r="F189" s="1">
        <v>27089</v>
      </c>
      <c r="G189">
        <f t="shared" si="3"/>
        <v>3</v>
      </c>
      <c r="H189" s="7">
        <v>331.48</v>
      </c>
      <c r="J189" s="7"/>
    </row>
    <row r="190" spans="6:10" ht="18.75" customHeight="1">
      <c r="F190" s="1">
        <v>27120</v>
      </c>
      <c r="G190">
        <f t="shared" si="3"/>
        <v>4</v>
      </c>
      <c r="H190" s="7">
        <v>332.65</v>
      </c>
      <c r="J190" s="7"/>
    </row>
    <row r="191" spans="6:10" ht="18.75" customHeight="1">
      <c r="F191" s="1">
        <v>27150</v>
      </c>
      <c r="G191">
        <f t="shared" si="3"/>
        <v>5</v>
      </c>
      <c r="H191" s="7">
        <v>333.09</v>
      </c>
      <c r="J191" s="7"/>
    </row>
    <row r="192" spans="6:10" ht="18.75" customHeight="1">
      <c r="F192" s="1">
        <v>27181</v>
      </c>
      <c r="G192">
        <f t="shared" si="3"/>
        <v>6</v>
      </c>
      <c r="H192" s="7">
        <v>332.25</v>
      </c>
      <c r="J192" s="7"/>
    </row>
    <row r="193" spans="6:10" ht="18.75" customHeight="1">
      <c r="F193" s="1">
        <v>27211</v>
      </c>
      <c r="G193">
        <f t="shared" si="3"/>
        <v>7</v>
      </c>
      <c r="H193" s="7">
        <v>331.18</v>
      </c>
      <c r="J193" s="7"/>
    </row>
    <row r="194" spans="6:10" ht="18.75" customHeight="1">
      <c r="F194" s="1">
        <v>27242</v>
      </c>
      <c r="G194">
        <f t="shared" si="3"/>
        <v>8</v>
      </c>
      <c r="H194" s="7">
        <v>329.39</v>
      </c>
      <c r="J194" s="7"/>
    </row>
    <row r="195" spans="6:10" ht="18.75" customHeight="1">
      <c r="F195" s="1">
        <v>27273</v>
      </c>
      <c r="G195">
        <f t="shared" ref="G195:G258" si="4">MONTH(F195)</f>
        <v>9</v>
      </c>
      <c r="H195" s="7">
        <v>327.43</v>
      </c>
      <c r="J195" s="7"/>
    </row>
    <row r="196" spans="6:10" ht="18.75" customHeight="1">
      <c r="F196" s="1">
        <v>27303</v>
      </c>
      <c r="G196">
        <f t="shared" si="4"/>
        <v>10</v>
      </c>
      <c r="H196" s="7">
        <v>327.37</v>
      </c>
      <c r="J196" s="7"/>
    </row>
    <row r="197" spans="6:10" ht="18.75" customHeight="1">
      <c r="F197" s="1">
        <v>27334</v>
      </c>
      <c r="G197">
        <f t="shared" si="4"/>
        <v>11</v>
      </c>
      <c r="H197" s="7">
        <v>328.46</v>
      </c>
      <c r="J197" s="7"/>
    </row>
    <row r="198" spans="6:10" ht="18.75" customHeight="1">
      <c r="F198" s="1">
        <v>27364</v>
      </c>
      <c r="G198">
        <f t="shared" si="4"/>
        <v>12</v>
      </c>
      <c r="H198" s="7">
        <v>329.57</v>
      </c>
      <c r="J198" s="7"/>
    </row>
    <row r="199" spans="6:10" ht="18.75" customHeight="1">
      <c r="F199" s="1">
        <v>27395</v>
      </c>
      <c r="G199">
        <f t="shared" si="4"/>
        <v>1</v>
      </c>
      <c r="H199" s="7">
        <v>330.4</v>
      </c>
      <c r="J199" s="7"/>
    </row>
    <row r="200" spans="6:10" ht="18.75" customHeight="1">
      <c r="F200" s="1">
        <v>27426</v>
      </c>
      <c r="G200">
        <f t="shared" si="4"/>
        <v>2</v>
      </c>
      <c r="H200" s="7">
        <v>331.4</v>
      </c>
      <c r="J200" s="7"/>
    </row>
    <row r="201" spans="6:10" ht="18.75" customHeight="1">
      <c r="F201" s="1">
        <v>27454</v>
      </c>
      <c r="G201">
        <f t="shared" si="4"/>
        <v>3</v>
      </c>
      <c r="H201" s="7">
        <v>332.04</v>
      </c>
      <c r="J201" s="7"/>
    </row>
    <row r="202" spans="6:10" ht="18.75" customHeight="1">
      <c r="F202" s="1">
        <v>27485</v>
      </c>
      <c r="G202">
        <f t="shared" si="4"/>
        <v>4</v>
      </c>
      <c r="H202" s="7">
        <v>333.31</v>
      </c>
      <c r="J202" s="7"/>
    </row>
    <row r="203" spans="6:10" ht="18.75" customHeight="1">
      <c r="F203" s="1">
        <v>27515</v>
      </c>
      <c r="G203">
        <f t="shared" si="4"/>
        <v>5</v>
      </c>
      <c r="H203" s="7">
        <v>333.97</v>
      </c>
      <c r="J203" s="7"/>
    </row>
    <row r="204" spans="6:10" ht="18.75" customHeight="1">
      <c r="F204" s="1">
        <v>27546</v>
      </c>
      <c r="G204">
        <f t="shared" si="4"/>
        <v>6</v>
      </c>
      <c r="H204" s="7">
        <v>333.6</v>
      </c>
      <c r="J204" s="7"/>
    </row>
    <row r="205" spans="6:10" ht="18.75" customHeight="1">
      <c r="F205" s="1">
        <v>27576</v>
      </c>
      <c r="G205">
        <f t="shared" si="4"/>
        <v>7</v>
      </c>
      <c r="H205" s="7">
        <v>331.9</v>
      </c>
      <c r="J205" s="7"/>
    </row>
    <row r="206" spans="6:10" ht="18.75" customHeight="1">
      <c r="F206" s="1">
        <v>27607</v>
      </c>
      <c r="G206">
        <f t="shared" si="4"/>
        <v>8</v>
      </c>
      <c r="H206" s="7">
        <v>330.06</v>
      </c>
      <c r="J206" s="7"/>
    </row>
    <row r="207" spans="6:10" ht="18.75" customHeight="1">
      <c r="F207" s="1">
        <v>27638</v>
      </c>
      <c r="G207">
        <f t="shared" si="4"/>
        <v>9</v>
      </c>
      <c r="H207" s="7">
        <v>328.56</v>
      </c>
      <c r="J207" s="7"/>
    </row>
    <row r="208" spans="6:10" ht="18.75" customHeight="1">
      <c r="F208" s="1">
        <v>27668</v>
      </c>
      <c r="G208">
        <f t="shared" si="4"/>
        <v>10</v>
      </c>
      <c r="H208" s="7">
        <v>328.34</v>
      </c>
      <c r="J208" s="7"/>
    </row>
    <row r="209" spans="6:10" ht="18.75" customHeight="1">
      <c r="F209" s="1">
        <v>27699</v>
      </c>
      <c r="G209">
        <f t="shared" si="4"/>
        <v>11</v>
      </c>
      <c r="H209" s="7">
        <v>329.49</v>
      </c>
      <c r="J209" s="7"/>
    </row>
    <row r="210" spans="6:10" ht="18.75" customHeight="1">
      <c r="F210" s="1">
        <v>27729</v>
      </c>
      <c r="G210">
        <f t="shared" si="4"/>
        <v>12</v>
      </c>
      <c r="H210" s="7">
        <v>330.76</v>
      </c>
      <c r="J210" s="7"/>
    </row>
    <row r="211" spans="6:10" ht="18.75" customHeight="1">
      <c r="F211" s="1">
        <v>27760</v>
      </c>
      <c r="G211">
        <f t="shared" si="4"/>
        <v>1</v>
      </c>
      <c r="H211" s="7">
        <v>331.75</v>
      </c>
      <c r="J211" s="7"/>
    </row>
    <row r="212" spans="6:10" ht="18.75" customHeight="1">
      <c r="F212" s="1">
        <v>27791</v>
      </c>
      <c r="G212">
        <f t="shared" si="4"/>
        <v>2</v>
      </c>
      <c r="H212" s="7">
        <v>332.57</v>
      </c>
      <c r="J212" s="7"/>
    </row>
    <row r="213" spans="6:10" ht="18.75" customHeight="1">
      <c r="F213" s="1">
        <v>27820</v>
      </c>
      <c r="G213">
        <f t="shared" si="4"/>
        <v>3</v>
      </c>
      <c r="H213" s="7">
        <v>333.5</v>
      </c>
      <c r="J213" s="7"/>
    </row>
    <row r="214" spans="6:10" ht="18.75" customHeight="1">
      <c r="F214" s="1">
        <v>27851</v>
      </c>
      <c r="G214">
        <f t="shared" si="4"/>
        <v>4</v>
      </c>
      <c r="H214" s="7">
        <v>334.58</v>
      </c>
      <c r="J214" s="7"/>
    </row>
    <row r="215" spans="6:10" ht="18.75" customHeight="1">
      <c r="F215" s="1">
        <v>27881</v>
      </c>
      <c r="G215">
        <f t="shared" si="4"/>
        <v>5</v>
      </c>
      <c r="H215" s="7">
        <v>334.88</v>
      </c>
      <c r="J215" s="7"/>
    </row>
    <row r="216" spans="6:10" ht="18.75" customHeight="1">
      <c r="F216" s="1">
        <v>27912</v>
      </c>
      <c r="G216">
        <f t="shared" si="4"/>
        <v>6</v>
      </c>
      <c r="H216" s="7">
        <v>334.33</v>
      </c>
      <c r="J216" s="7"/>
    </row>
    <row r="217" spans="6:10" ht="18.75" customHeight="1">
      <c r="F217" s="1">
        <v>27942</v>
      </c>
      <c r="G217">
        <f t="shared" si="4"/>
        <v>7</v>
      </c>
      <c r="H217" s="7">
        <v>333.05</v>
      </c>
      <c r="J217" s="7"/>
    </row>
    <row r="218" spans="6:10" ht="18.75" customHeight="1">
      <c r="F218" s="1">
        <v>27973</v>
      </c>
      <c r="G218">
        <f t="shared" si="4"/>
        <v>8</v>
      </c>
      <c r="H218" s="7">
        <v>330.94</v>
      </c>
      <c r="J218" s="7"/>
    </row>
    <row r="219" spans="6:10" ht="18.75" customHeight="1">
      <c r="F219" s="1">
        <v>28004</v>
      </c>
      <c r="G219">
        <f t="shared" si="4"/>
        <v>9</v>
      </c>
      <c r="H219" s="7">
        <v>329.3</v>
      </c>
      <c r="J219" s="7"/>
    </row>
    <row r="220" spans="6:10" ht="18.75" customHeight="1">
      <c r="F220" s="1">
        <v>28034</v>
      </c>
      <c r="G220">
        <f t="shared" si="4"/>
        <v>10</v>
      </c>
      <c r="H220" s="7">
        <v>328.94</v>
      </c>
      <c r="J220" s="7"/>
    </row>
    <row r="221" spans="6:10" ht="18.75" customHeight="1">
      <c r="F221" s="1">
        <v>28065</v>
      </c>
      <c r="G221">
        <f t="shared" si="4"/>
        <v>11</v>
      </c>
      <c r="H221" s="7">
        <v>330.31</v>
      </c>
      <c r="J221" s="7"/>
    </row>
    <row r="222" spans="6:10" ht="18.75" customHeight="1">
      <c r="F222" s="1">
        <v>28095</v>
      </c>
      <c r="G222">
        <f t="shared" si="4"/>
        <v>12</v>
      </c>
      <c r="H222" s="7">
        <v>331.68</v>
      </c>
      <c r="J222" s="7"/>
    </row>
    <row r="223" spans="6:10" ht="18.75" customHeight="1">
      <c r="F223" s="1">
        <v>28126</v>
      </c>
      <c r="G223">
        <f t="shared" si="4"/>
        <v>1</v>
      </c>
      <c r="H223" s="7">
        <v>332.93</v>
      </c>
      <c r="J223" s="7"/>
    </row>
    <row r="224" spans="6:10" ht="18.75" customHeight="1">
      <c r="F224" s="1">
        <v>28157</v>
      </c>
      <c r="G224">
        <f t="shared" si="4"/>
        <v>2</v>
      </c>
      <c r="H224" s="7">
        <v>333.42</v>
      </c>
      <c r="J224" s="7"/>
    </row>
    <row r="225" spans="6:10" ht="18.75" customHeight="1">
      <c r="F225" s="1">
        <v>28185</v>
      </c>
      <c r="G225">
        <f t="shared" si="4"/>
        <v>3</v>
      </c>
      <c r="H225" s="7">
        <v>334.7</v>
      </c>
      <c r="J225" s="7"/>
    </row>
    <row r="226" spans="6:10" ht="18.75" customHeight="1">
      <c r="F226" s="1">
        <v>28216</v>
      </c>
      <c r="G226">
        <f t="shared" si="4"/>
        <v>4</v>
      </c>
      <c r="H226" s="7">
        <v>336.07</v>
      </c>
      <c r="J226" s="7"/>
    </row>
    <row r="227" spans="6:10" ht="18.75" customHeight="1">
      <c r="F227" s="1">
        <v>28246</v>
      </c>
      <c r="G227">
        <f t="shared" si="4"/>
        <v>5</v>
      </c>
      <c r="H227" s="7">
        <v>336.75</v>
      </c>
      <c r="J227" s="7"/>
    </row>
    <row r="228" spans="6:10" ht="18.75" customHeight="1">
      <c r="F228" s="1">
        <v>28277</v>
      </c>
      <c r="G228">
        <f t="shared" si="4"/>
        <v>6</v>
      </c>
      <c r="H228" s="7">
        <v>336.27</v>
      </c>
      <c r="J228" s="7"/>
    </row>
    <row r="229" spans="6:10" ht="18.75" customHeight="1">
      <c r="F229" s="1">
        <v>28307</v>
      </c>
      <c r="G229">
        <f t="shared" si="4"/>
        <v>7</v>
      </c>
      <c r="H229" s="7">
        <v>334.92</v>
      </c>
      <c r="J229" s="7"/>
    </row>
    <row r="230" spans="6:10" ht="18.75" customHeight="1">
      <c r="F230" s="1">
        <v>28338</v>
      </c>
      <c r="G230">
        <f t="shared" si="4"/>
        <v>8</v>
      </c>
      <c r="H230" s="7">
        <v>332.75</v>
      </c>
      <c r="J230" s="7"/>
    </row>
    <row r="231" spans="6:10" ht="18.75" customHeight="1">
      <c r="F231" s="1">
        <v>28369</v>
      </c>
      <c r="G231">
        <f t="shared" si="4"/>
        <v>9</v>
      </c>
      <c r="H231" s="7">
        <v>331.59</v>
      </c>
      <c r="J231" s="7"/>
    </row>
    <row r="232" spans="6:10" ht="18.75" customHeight="1">
      <c r="F232" s="1">
        <v>28399</v>
      </c>
      <c r="G232">
        <f t="shared" si="4"/>
        <v>10</v>
      </c>
      <c r="H232" s="7">
        <v>331.16</v>
      </c>
      <c r="J232" s="7"/>
    </row>
    <row r="233" spans="6:10" ht="18.75" customHeight="1">
      <c r="F233" s="1">
        <v>28430</v>
      </c>
      <c r="G233">
        <f t="shared" si="4"/>
        <v>11</v>
      </c>
      <c r="H233" s="7">
        <v>332.4</v>
      </c>
      <c r="J233" s="7"/>
    </row>
    <row r="234" spans="6:10" ht="18.75" customHeight="1">
      <c r="F234" s="1">
        <v>28460</v>
      </c>
      <c r="G234">
        <f t="shared" si="4"/>
        <v>12</v>
      </c>
      <c r="H234" s="7">
        <v>333.85</v>
      </c>
      <c r="J234" s="7"/>
    </row>
    <row r="235" spans="6:10" ht="18.75" customHeight="1">
      <c r="F235" s="1">
        <v>28491</v>
      </c>
      <c r="G235">
        <f t="shared" si="4"/>
        <v>1</v>
      </c>
      <c r="H235" s="7">
        <v>334.97</v>
      </c>
      <c r="J235" s="7"/>
    </row>
    <row r="236" spans="6:10" ht="18.75" customHeight="1">
      <c r="F236" s="1">
        <v>28522</v>
      </c>
      <c r="G236">
        <f t="shared" si="4"/>
        <v>2</v>
      </c>
      <c r="H236" s="7">
        <v>335.39</v>
      </c>
      <c r="J236" s="7"/>
    </row>
    <row r="237" spans="6:10" ht="18.75" customHeight="1">
      <c r="F237" s="1">
        <v>28550</v>
      </c>
      <c r="G237">
        <f t="shared" si="4"/>
        <v>3</v>
      </c>
      <c r="H237" s="7">
        <v>336.64</v>
      </c>
      <c r="J237" s="7"/>
    </row>
    <row r="238" spans="6:10" ht="18.75" customHeight="1">
      <c r="F238" s="1">
        <v>28581</v>
      </c>
      <c r="G238">
        <f t="shared" si="4"/>
        <v>4</v>
      </c>
      <c r="H238" s="7">
        <v>337.76</v>
      </c>
      <c r="J238" s="7"/>
    </row>
    <row r="239" spans="6:10" ht="18.75" customHeight="1">
      <c r="F239" s="1">
        <v>28611</v>
      </c>
      <c r="G239">
        <f t="shared" si="4"/>
        <v>5</v>
      </c>
      <c r="H239" s="7">
        <v>338.01</v>
      </c>
      <c r="J239" s="7"/>
    </row>
    <row r="240" spans="6:10" ht="18.75" customHeight="1">
      <c r="F240" s="1">
        <v>28642</v>
      </c>
      <c r="G240">
        <f t="shared" si="4"/>
        <v>6</v>
      </c>
      <c r="H240" s="7">
        <v>337.9</v>
      </c>
      <c r="J240" s="7"/>
    </row>
    <row r="241" spans="6:10" ht="18.75" customHeight="1">
      <c r="F241" s="1">
        <v>28672</v>
      </c>
      <c r="G241">
        <f t="shared" si="4"/>
        <v>7</v>
      </c>
      <c r="H241" s="7">
        <v>336.54</v>
      </c>
      <c r="J241" s="7"/>
    </row>
    <row r="242" spans="6:10" ht="18.75" customHeight="1">
      <c r="F242" s="1">
        <v>28703</v>
      </c>
      <c r="G242">
        <f t="shared" si="4"/>
        <v>8</v>
      </c>
      <c r="H242" s="7">
        <v>334.68</v>
      </c>
      <c r="J242" s="7"/>
    </row>
    <row r="243" spans="6:10" ht="18.75" customHeight="1">
      <c r="F243" s="1">
        <v>28734</v>
      </c>
      <c r="G243">
        <f t="shared" si="4"/>
        <v>9</v>
      </c>
      <c r="H243" s="7">
        <v>332.76</v>
      </c>
      <c r="J243" s="7"/>
    </row>
    <row r="244" spans="6:10" ht="18.75" customHeight="1">
      <c r="F244" s="1">
        <v>28764</v>
      </c>
      <c r="G244">
        <f t="shared" si="4"/>
        <v>10</v>
      </c>
      <c r="H244" s="7">
        <v>332.55</v>
      </c>
      <c r="J244" s="7"/>
    </row>
    <row r="245" spans="6:10" ht="18.75" customHeight="1">
      <c r="F245" s="1">
        <v>28795</v>
      </c>
      <c r="G245">
        <f t="shared" si="4"/>
        <v>11</v>
      </c>
      <c r="H245" s="7">
        <v>333.92</v>
      </c>
      <c r="J245" s="7"/>
    </row>
    <row r="246" spans="6:10" ht="18.75" customHeight="1">
      <c r="F246" s="1">
        <v>28825</v>
      </c>
      <c r="G246">
        <f t="shared" si="4"/>
        <v>12</v>
      </c>
      <c r="H246" s="7">
        <v>334.95</v>
      </c>
      <c r="J246" s="7"/>
    </row>
    <row r="247" spans="6:10" ht="18.75" customHeight="1">
      <c r="F247" s="1">
        <v>28856</v>
      </c>
      <c r="G247">
        <f t="shared" si="4"/>
        <v>1</v>
      </c>
      <c r="H247" s="7">
        <v>336.23</v>
      </c>
      <c r="J247" s="7"/>
    </row>
    <row r="248" spans="6:10" ht="18.75" customHeight="1">
      <c r="F248" s="1">
        <v>28887</v>
      </c>
      <c r="G248">
        <f t="shared" si="4"/>
        <v>2</v>
      </c>
      <c r="H248" s="7">
        <v>336.76</v>
      </c>
      <c r="J248" s="7"/>
    </row>
    <row r="249" spans="6:10" ht="18.75" customHeight="1">
      <c r="F249" s="1">
        <v>28915</v>
      </c>
      <c r="G249">
        <f t="shared" si="4"/>
        <v>3</v>
      </c>
      <c r="H249" s="7">
        <v>337.96</v>
      </c>
      <c r="J249" s="7"/>
    </row>
    <row r="250" spans="6:10" ht="18.75" customHeight="1">
      <c r="F250" s="1">
        <v>28946</v>
      </c>
      <c r="G250">
        <f t="shared" si="4"/>
        <v>4</v>
      </c>
      <c r="H250" s="7">
        <v>338.88</v>
      </c>
      <c r="J250" s="7"/>
    </row>
    <row r="251" spans="6:10" ht="18.75" customHeight="1">
      <c r="F251" s="1">
        <v>28976</v>
      </c>
      <c r="G251">
        <f t="shared" si="4"/>
        <v>5</v>
      </c>
      <c r="H251" s="7">
        <v>339.47</v>
      </c>
      <c r="J251" s="7"/>
    </row>
    <row r="252" spans="6:10" ht="18.75" customHeight="1">
      <c r="F252" s="1">
        <v>29007</v>
      </c>
      <c r="G252">
        <f t="shared" si="4"/>
        <v>6</v>
      </c>
      <c r="H252" s="7">
        <v>339.29</v>
      </c>
      <c r="J252" s="7"/>
    </row>
    <row r="253" spans="6:10" ht="18.75" customHeight="1">
      <c r="F253" s="1">
        <v>29037</v>
      </c>
      <c r="G253">
        <f t="shared" si="4"/>
        <v>7</v>
      </c>
      <c r="H253" s="7">
        <v>337.73</v>
      </c>
      <c r="J253" s="7"/>
    </row>
    <row r="254" spans="6:10" ht="18.75" customHeight="1">
      <c r="F254" s="1">
        <v>29068</v>
      </c>
      <c r="G254">
        <f t="shared" si="4"/>
        <v>8</v>
      </c>
      <c r="H254" s="7">
        <v>336.09</v>
      </c>
      <c r="J254" s="7"/>
    </row>
    <row r="255" spans="6:10" ht="18.75" customHeight="1">
      <c r="F255" s="1">
        <v>29099</v>
      </c>
      <c r="G255">
        <f t="shared" si="4"/>
        <v>9</v>
      </c>
      <c r="H255" s="7">
        <v>333.92</v>
      </c>
      <c r="J255" s="7"/>
    </row>
    <row r="256" spans="6:10" ht="18.75" customHeight="1">
      <c r="F256" s="1">
        <v>29129</v>
      </c>
      <c r="G256">
        <f t="shared" si="4"/>
        <v>10</v>
      </c>
      <c r="H256" s="7">
        <v>333.86</v>
      </c>
      <c r="J256" s="7"/>
    </row>
    <row r="257" spans="6:10" ht="18.75" customHeight="1">
      <c r="F257" s="1">
        <v>29160</v>
      </c>
      <c r="G257">
        <f t="shared" si="4"/>
        <v>11</v>
      </c>
      <c r="H257" s="7">
        <v>335.29</v>
      </c>
      <c r="J257" s="7"/>
    </row>
    <row r="258" spans="6:10" ht="18.75" customHeight="1">
      <c r="F258" s="1">
        <v>29190</v>
      </c>
      <c r="G258">
        <f t="shared" si="4"/>
        <v>12</v>
      </c>
      <c r="H258" s="7">
        <v>336.73</v>
      </c>
      <c r="J258" s="7"/>
    </row>
    <row r="259" spans="6:10" ht="18.75" customHeight="1">
      <c r="F259" s="1">
        <v>29221</v>
      </c>
      <c r="G259">
        <f t="shared" ref="G259:G322" si="5">MONTH(F259)</f>
        <v>1</v>
      </c>
      <c r="H259" s="7">
        <v>338.01</v>
      </c>
      <c r="J259" s="7"/>
    </row>
    <row r="260" spans="6:10" ht="18.75" customHeight="1">
      <c r="F260" s="1">
        <v>29252</v>
      </c>
      <c r="G260">
        <f t="shared" si="5"/>
        <v>2</v>
      </c>
      <c r="H260" s="7">
        <v>338.36</v>
      </c>
      <c r="J260" s="7"/>
    </row>
    <row r="261" spans="6:10" ht="18.75" customHeight="1">
      <c r="F261" s="1">
        <v>29281</v>
      </c>
      <c r="G261">
        <f t="shared" si="5"/>
        <v>3</v>
      </c>
      <c r="H261" s="7">
        <v>340.07</v>
      </c>
      <c r="J261" s="7"/>
    </row>
    <row r="262" spans="6:10" ht="18.75" customHeight="1">
      <c r="F262" s="1">
        <v>29312</v>
      </c>
      <c r="G262">
        <f t="shared" si="5"/>
        <v>4</v>
      </c>
      <c r="H262" s="7">
        <v>340.76</v>
      </c>
      <c r="J262" s="7"/>
    </row>
    <row r="263" spans="6:10" ht="18.75" customHeight="1">
      <c r="F263" s="1">
        <v>29342</v>
      </c>
      <c r="G263">
        <f t="shared" si="5"/>
        <v>5</v>
      </c>
      <c r="H263" s="7">
        <v>341.47</v>
      </c>
      <c r="J263" s="7"/>
    </row>
    <row r="264" spans="6:10" ht="18.75" customHeight="1">
      <c r="F264" s="1">
        <v>29373</v>
      </c>
      <c r="G264">
        <f t="shared" si="5"/>
        <v>6</v>
      </c>
      <c r="H264" s="7">
        <v>341.17</v>
      </c>
      <c r="J264" s="7"/>
    </row>
    <row r="265" spans="6:10" ht="18.75" customHeight="1">
      <c r="F265" s="1">
        <v>29403</v>
      </c>
      <c r="G265">
        <f t="shared" si="5"/>
        <v>7</v>
      </c>
      <c r="H265" s="7">
        <v>339.56</v>
      </c>
      <c r="J265" s="7"/>
    </row>
    <row r="266" spans="6:10" ht="18.75" customHeight="1">
      <c r="F266" s="1">
        <v>29434</v>
      </c>
      <c r="G266">
        <f t="shared" si="5"/>
        <v>8</v>
      </c>
      <c r="H266" s="7">
        <v>337.6</v>
      </c>
      <c r="J266" s="7"/>
    </row>
    <row r="267" spans="6:10" ht="18.75" customHeight="1">
      <c r="F267" s="1">
        <v>29465</v>
      </c>
      <c r="G267">
        <f t="shared" si="5"/>
        <v>9</v>
      </c>
      <c r="H267" s="7">
        <v>335.88</v>
      </c>
      <c r="J267" s="7"/>
    </row>
    <row r="268" spans="6:10" ht="18.75" customHeight="1">
      <c r="F268" s="1">
        <v>29495</v>
      </c>
      <c r="G268">
        <f t="shared" si="5"/>
        <v>10</v>
      </c>
      <c r="H268" s="7">
        <v>336.02</v>
      </c>
      <c r="J268" s="7"/>
    </row>
    <row r="269" spans="6:10" ht="18.75" customHeight="1">
      <c r="F269" s="1">
        <v>29526</v>
      </c>
      <c r="G269">
        <f t="shared" si="5"/>
        <v>11</v>
      </c>
      <c r="H269" s="7">
        <v>337.1</v>
      </c>
      <c r="J269" s="7"/>
    </row>
    <row r="270" spans="6:10" ht="18.75" customHeight="1">
      <c r="F270" s="1">
        <v>29556</v>
      </c>
      <c r="G270">
        <f t="shared" si="5"/>
        <v>12</v>
      </c>
      <c r="H270" s="7">
        <v>338.21</v>
      </c>
      <c r="J270" s="7"/>
    </row>
    <row r="271" spans="6:10" ht="18.75" customHeight="1">
      <c r="F271" s="1">
        <v>29587</v>
      </c>
      <c r="G271">
        <f t="shared" si="5"/>
        <v>1</v>
      </c>
      <c r="H271" s="7">
        <v>339.24</v>
      </c>
      <c r="J271" s="7"/>
    </row>
    <row r="272" spans="6:10" ht="18.75" customHeight="1">
      <c r="F272" s="1">
        <v>29618</v>
      </c>
      <c r="G272">
        <f t="shared" si="5"/>
        <v>2</v>
      </c>
      <c r="H272" s="7">
        <v>340.48</v>
      </c>
      <c r="J272" s="7"/>
    </row>
    <row r="273" spans="6:10" ht="18.75" customHeight="1">
      <c r="F273" s="1">
        <v>29646</v>
      </c>
      <c r="G273">
        <f t="shared" si="5"/>
        <v>3</v>
      </c>
      <c r="H273" s="7">
        <v>341.38</v>
      </c>
      <c r="J273" s="7"/>
    </row>
    <row r="274" spans="6:10" ht="18.75" customHeight="1">
      <c r="F274" s="1">
        <v>29677</v>
      </c>
      <c r="G274">
        <f t="shared" si="5"/>
        <v>4</v>
      </c>
      <c r="H274" s="7">
        <v>342.5</v>
      </c>
      <c r="J274" s="7"/>
    </row>
    <row r="275" spans="6:10" ht="18.75" customHeight="1">
      <c r="F275" s="1">
        <v>29707</v>
      </c>
      <c r="G275">
        <f t="shared" si="5"/>
        <v>5</v>
      </c>
      <c r="H275" s="7">
        <v>342.91</v>
      </c>
      <c r="J275" s="7"/>
    </row>
    <row r="276" spans="6:10" ht="18.75" customHeight="1">
      <c r="F276" s="1">
        <v>29738</v>
      </c>
      <c r="G276">
        <f t="shared" si="5"/>
        <v>6</v>
      </c>
      <c r="H276" s="7">
        <v>342.25</v>
      </c>
      <c r="J276" s="7"/>
    </row>
    <row r="277" spans="6:10" ht="18.75" customHeight="1">
      <c r="F277" s="1">
        <v>29768</v>
      </c>
      <c r="G277">
        <f t="shared" si="5"/>
        <v>7</v>
      </c>
      <c r="H277" s="7">
        <v>340.49</v>
      </c>
      <c r="J277" s="7"/>
    </row>
    <row r="278" spans="6:10" ht="18.75" customHeight="1">
      <c r="F278" s="1">
        <v>29799</v>
      </c>
      <c r="G278">
        <f t="shared" si="5"/>
        <v>8</v>
      </c>
      <c r="H278" s="7">
        <v>338.43</v>
      </c>
      <c r="J278" s="7"/>
    </row>
    <row r="279" spans="6:10" ht="18.75" customHeight="1">
      <c r="F279" s="1">
        <v>29830</v>
      </c>
      <c r="G279">
        <f t="shared" si="5"/>
        <v>9</v>
      </c>
      <c r="H279" s="7">
        <v>336.69</v>
      </c>
      <c r="J279" s="7"/>
    </row>
    <row r="280" spans="6:10" ht="18.75" customHeight="1">
      <c r="F280" s="1">
        <v>29860</v>
      </c>
      <c r="G280">
        <f t="shared" si="5"/>
        <v>10</v>
      </c>
      <c r="H280" s="7">
        <v>336.86</v>
      </c>
      <c r="J280" s="7"/>
    </row>
    <row r="281" spans="6:10" ht="18.75" customHeight="1">
      <c r="F281" s="1">
        <v>29891</v>
      </c>
      <c r="G281">
        <f t="shared" si="5"/>
        <v>11</v>
      </c>
      <c r="H281" s="7">
        <v>338.36</v>
      </c>
      <c r="J281" s="7"/>
    </row>
    <row r="282" spans="6:10" ht="18.75" customHeight="1">
      <c r="F282" s="1">
        <v>29921</v>
      </c>
      <c r="G282">
        <f t="shared" si="5"/>
        <v>12</v>
      </c>
      <c r="H282" s="7">
        <v>339.61</v>
      </c>
      <c r="J282" s="7"/>
    </row>
    <row r="283" spans="6:10" ht="18.75" customHeight="1">
      <c r="F283" s="1">
        <v>29952</v>
      </c>
      <c r="G283">
        <f t="shared" si="5"/>
        <v>1</v>
      </c>
      <c r="H283" s="7">
        <v>340.75</v>
      </c>
      <c r="J283" s="7"/>
    </row>
    <row r="284" spans="6:10" ht="18.75" customHeight="1">
      <c r="F284" s="1">
        <v>29983</v>
      </c>
      <c r="G284">
        <f t="shared" si="5"/>
        <v>2</v>
      </c>
      <c r="H284" s="7">
        <v>341.61</v>
      </c>
      <c r="J284" s="7"/>
    </row>
    <row r="285" spans="6:10" ht="18.75" customHeight="1">
      <c r="F285" s="1">
        <v>30011</v>
      </c>
      <c r="G285">
        <f t="shared" si="5"/>
        <v>3</v>
      </c>
      <c r="H285" s="7">
        <v>342.7</v>
      </c>
      <c r="J285" s="7"/>
    </row>
    <row r="286" spans="6:10" ht="18.75" customHeight="1">
      <c r="F286" s="1">
        <v>30042</v>
      </c>
      <c r="G286">
        <f t="shared" si="5"/>
        <v>4</v>
      </c>
      <c r="H286" s="7">
        <v>343.57</v>
      </c>
      <c r="J286" s="7"/>
    </row>
    <row r="287" spans="6:10" ht="18.75" customHeight="1">
      <c r="F287" s="1">
        <v>30072</v>
      </c>
      <c r="G287">
        <f t="shared" si="5"/>
        <v>5</v>
      </c>
      <c r="H287" s="7">
        <v>344.14</v>
      </c>
      <c r="J287" s="7"/>
    </row>
    <row r="288" spans="6:10" ht="18.75" customHeight="1">
      <c r="F288" s="1">
        <v>30103</v>
      </c>
      <c r="G288">
        <f t="shared" si="5"/>
        <v>6</v>
      </c>
      <c r="H288" s="7">
        <v>343.35</v>
      </c>
      <c r="J288" s="7"/>
    </row>
    <row r="289" spans="6:10" ht="18.75" customHeight="1">
      <c r="F289" s="1">
        <v>30133</v>
      </c>
      <c r="G289">
        <f t="shared" si="5"/>
        <v>7</v>
      </c>
      <c r="H289" s="7">
        <v>342.06</v>
      </c>
      <c r="J289" s="7"/>
    </row>
    <row r="290" spans="6:10" ht="18.75" customHeight="1">
      <c r="F290" s="1">
        <v>30164</v>
      </c>
      <c r="G290">
        <f t="shared" si="5"/>
        <v>8</v>
      </c>
      <c r="H290" s="7">
        <v>339.81</v>
      </c>
      <c r="J290" s="7"/>
    </row>
    <row r="291" spans="6:10" ht="18.75" customHeight="1">
      <c r="F291" s="1">
        <v>30195</v>
      </c>
      <c r="G291">
        <f t="shared" si="5"/>
        <v>9</v>
      </c>
      <c r="H291" s="7">
        <v>337.98</v>
      </c>
      <c r="J291" s="7"/>
    </row>
    <row r="292" spans="6:10" ht="18.75" customHeight="1">
      <c r="F292" s="1">
        <v>30225</v>
      </c>
      <c r="G292">
        <f t="shared" si="5"/>
        <v>10</v>
      </c>
      <c r="H292" s="7">
        <v>337.86</v>
      </c>
      <c r="J292" s="7"/>
    </row>
    <row r="293" spans="6:10" ht="18.75" customHeight="1">
      <c r="F293" s="1">
        <v>30256</v>
      </c>
      <c r="G293">
        <f t="shared" si="5"/>
        <v>11</v>
      </c>
      <c r="H293" s="7">
        <v>339.26</v>
      </c>
      <c r="J293" s="7"/>
    </row>
    <row r="294" spans="6:10" ht="18.75" customHeight="1">
      <c r="F294" s="1">
        <v>30286</v>
      </c>
      <c r="G294">
        <f t="shared" si="5"/>
        <v>12</v>
      </c>
      <c r="H294" s="7">
        <v>340.49</v>
      </c>
      <c r="J294" s="7"/>
    </row>
    <row r="295" spans="6:10" ht="18.75" customHeight="1">
      <c r="F295" s="1">
        <v>30317</v>
      </c>
      <c r="G295">
        <f t="shared" si="5"/>
        <v>1</v>
      </c>
      <c r="H295" s="7">
        <v>341.38</v>
      </c>
      <c r="J295" s="7"/>
    </row>
    <row r="296" spans="6:10" ht="18.75" customHeight="1">
      <c r="F296" s="1">
        <v>30348</v>
      </c>
      <c r="G296">
        <f t="shared" si="5"/>
        <v>2</v>
      </c>
      <c r="H296" s="7">
        <v>342.52</v>
      </c>
      <c r="J296" s="7"/>
    </row>
    <row r="297" spans="6:10" ht="18.75" customHeight="1">
      <c r="F297" s="1">
        <v>30376</v>
      </c>
      <c r="G297">
        <f t="shared" si="5"/>
        <v>3</v>
      </c>
      <c r="H297" s="7">
        <v>343.1</v>
      </c>
      <c r="J297" s="7"/>
    </row>
    <row r="298" spans="6:10" ht="18.75" customHeight="1">
      <c r="F298" s="1">
        <v>30407</v>
      </c>
      <c r="G298">
        <f t="shared" si="5"/>
        <v>4</v>
      </c>
      <c r="H298" s="7">
        <v>344.94</v>
      </c>
      <c r="J298" s="7"/>
    </row>
    <row r="299" spans="6:10" ht="18.75" customHeight="1">
      <c r="F299" s="1">
        <v>30437</v>
      </c>
      <c r="G299">
        <f t="shared" si="5"/>
        <v>5</v>
      </c>
      <c r="H299" s="7">
        <v>345.76</v>
      </c>
      <c r="J299" s="7"/>
    </row>
    <row r="300" spans="6:10" ht="18.75" customHeight="1">
      <c r="F300" s="1">
        <v>30468</v>
      </c>
      <c r="G300">
        <f t="shared" si="5"/>
        <v>6</v>
      </c>
      <c r="H300" s="7">
        <v>345.32</v>
      </c>
      <c r="J300" s="7"/>
    </row>
    <row r="301" spans="6:10" ht="18.75" customHeight="1">
      <c r="F301" s="1">
        <v>30498</v>
      </c>
      <c r="G301">
        <f t="shared" si="5"/>
        <v>7</v>
      </c>
      <c r="H301" s="7">
        <v>343.98</v>
      </c>
      <c r="J301" s="7"/>
    </row>
    <row r="302" spans="6:10" ht="18.75" customHeight="1">
      <c r="F302" s="1">
        <v>30529</v>
      </c>
      <c r="G302">
        <f t="shared" si="5"/>
        <v>8</v>
      </c>
      <c r="H302" s="7">
        <v>342.38</v>
      </c>
      <c r="J302" s="7"/>
    </row>
    <row r="303" spans="6:10" ht="18.75" customHeight="1">
      <c r="F303" s="1">
        <v>30560</v>
      </c>
      <c r="G303">
        <f t="shared" si="5"/>
        <v>9</v>
      </c>
      <c r="H303" s="7">
        <v>339.87</v>
      </c>
      <c r="J303" s="7"/>
    </row>
    <row r="304" spans="6:10" ht="18.75" customHeight="1">
      <c r="F304" s="1">
        <v>30590</v>
      </c>
      <c r="G304">
        <f t="shared" si="5"/>
        <v>10</v>
      </c>
      <c r="H304" s="7">
        <v>339.99</v>
      </c>
      <c r="J304" s="7"/>
    </row>
    <row r="305" spans="6:10" ht="18.75" customHeight="1">
      <c r="F305" s="1">
        <v>30621</v>
      </c>
      <c r="G305">
        <f t="shared" si="5"/>
        <v>11</v>
      </c>
      <c r="H305" s="7">
        <v>341.15</v>
      </c>
      <c r="J305" s="7"/>
    </row>
    <row r="306" spans="6:10" ht="18.75" customHeight="1">
      <c r="F306" s="1">
        <v>30651</v>
      </c>
      <c r="G306">
        <f t="shared" si="5"/>
        <v>12</v>
      </c>
      <c r="H306" s="7">
        <v>342.99</v>
      </c>
      <c r="J306" s="7"/>
    </row>
    <row r="307" spans="6:10" ht="18.75" customHeight="1">
      <c r="F307" s="1">
        <v>30682</v>
      </c>
      <c r="G307">
        <f t="shared" si="5"/>
        <v>1</v>
      </c>
      <c r="H307" s="7">
        <v>343.7</v>
      </c>
      <c r="J307" s="7"/>
    </row>
    <row r="308" spans="6:10" ht="18.75" customHeight="1">
      <c r="F308" s="1">
        <v>30713</v>
      </c>
      <c r="G308">
        <f t="shared" si="5"/>
        <v>2</v>
      </c>
      <c r="H308" s="7">
        <v>344.5</v>
      </c>
      <c r="J308" s="7"/>
    </row>
    <row r="309" spans="6:10" ht="18.75" customHeight="1">
      <c r="F309" s="1">
        <v>30742</v>
      </c>
      <c r="G309">
        <f t="shared" si="5"/>
        <v>3</v>
      </c>
      <c r="H309" s="7">
        <v>345.28</v>
      </c>
      <c r="J309" s="7"/>
    </row>
    <row r="310" spans="6:10" ht="18.75" customHeight="1">
      <c r="F310" s="1">
        <v>30773</v>
      </c>
      <c r="G310">
        <f t="shared" si="5"/>
        <v>4</v>
      </c>
      <c r="H310" s="7">
        <v>347.05</v>
      </c>
      <c r="J310" s="7"/>
    </row>
    <row r="311" spans="6:10" ht="18.75" customHeight="1">
      <c r="F311" s="1">
        <v>30803</v>
      </c>
      <c r="G311">
        <f t="shared" si="5"/>
        <v>5</v>
      </c>
      <c r="H311" s="7">
        <v>347.43</v>
      </c>
      <c r="J311" s="7"/>
    </row>
    <row r="312" spans="6:10" ht="18.75" customHeight="1">
      <c r="F312" s="1">
        <v>30834</v>
      </c>
      <c r="G312">
        <f t="shared" si="5"/>
        <v>6</v>
      </c>
      <c r="H312" s="7">
        <v>346.8</v>
      </c>
      <c r="J312" s="7"/>
    </row>
    <row r="313" spans="6:10" ht="18.75" customHeight="1">
      <c r="F313" s="1">
        <v>30864</v>
      </c>
      <c r="G313">
        <f t="shared" si="5"/>
        <v>7</v>
      </c>
      <c r="H313" s="7">
        <v>345.39</v>
      </c>
      <c r="J313" s="7"/>
    </row>
    <row r="314" spans="6:10" ht="18.75" customHeight="1">
      <c r="F314" s="1">
        <v>30895</v>
      </c>
      <c r="G314">
        <f t="shared" si="5"/>
        <v>8</v>
      </c>
      <c r="H314" s="7">
        <v>343.28</v>
      </c>
      <c r="J314" s="7"/>
    </row>
    <row r="315" spans="6:10" ht="18.75" customHeight="1">
      <c r="F315" s="1">
        <v>30926</v>
      </c>
      <c r="G315">
        <f t="shared" si="5"/>
        <v>9</v>
      </c>
      <c r="H315" s="7">
        <v>341.07</v>
      </c>
      <c r="J315" s="7"/>
    </row>
    <row r="316" spans="6:10" ht="18.75" customHeight="1">
      <c r="F316" s="1">
        <v>30956</v>
      </c>
      <c r="G316">
        <f t="shared" si="5"/>
        <v>10</v>
      </c>
      <c r="H316" s="7">
        <v>341.35</v>
      </c>
      <c r="J316" s="7"/>
    </row>
    <row r="317" spans="6:10" ht="18.75" customHeight="1">
      <c r="F317" s="1">
        <v>30987</v>
      </c>
      <c r="G317">
        <f t="shared" si="5"/>
        <v>11</v>
      </c>
      <c r="H317" s="7">
        <v>342.98</v>
      </c>
      <c r="J317" s="7"/>
    </row>
    <row r="318" spans="6:10" ht="18.75" customHeight="1">
      <c r="F318" s="1">
        <v>31017</v>
      </c>
      <c r="G318">
        <f t="shared" si="5"/>
        <v>12</v>
      </c>
      <c r="H318" s="7">
        <v>344.22</v>
      </c>
      <c r="J318" s="7"/>
    </row>
    <row r="319" spans="6:10" ht="18.75" customHeight="1">
      <c r="F319" s="1">
        <v>31048</v>
      </c>
      <c r="G319">
        <f t="shared" si="5"/>
        <v>1</v>
      </c>
      <c r="H319" s="7">
        <v>344.97</v>
      </c>
      <c r="J319" s="7"/>
    </row>
    <row r="320" spans="6:10" ht="18.75" customHeight="1">
      <c r="F320" s="1">
        <v>31079</v>
      </c>
      <c r="G320">
        <f t="shared" si="5"/>
        <v>2</v>
      </c>
      <c r="H320" s="7">
        <v>345.99</v>
      </c>
      <c r="J320" s="7"/>
    </row>
    <row r="321" spans="6:10" ht="18.75" customHeight="1">
      <c r="F321" s="1">
        <v>31107</v>
      </c>
      <c r="G321">
        <f t="shared" si="5"/>
        <v>3</v>
      </c>
      <c r="H321" s="7">
        <v>347.42</v>
      </c>
      <c r="J321" s="7"/>
    </row>
    <row r="322" spans="6:10" ht="18.75" customHeight="1">
      <c r="F322" s="1">
        <v>31138</v>
      </c>
      <c r="G322">
        <f t="shared" si="5"/>
        <v>4</v>
      </c>
      <c r="H322" s="7">
        <v>348.35</v>
      </c>
      <c r="J322" s="7"/>
    </row>
    <row r="323" spans="6:10" ht="18.75" customHeight="1">
      <c r="F323" s="1">
        <v>31168</v>
      </c>
      <c r="G323">
        <f t="shared" ref="G323:G386" si="6">MONTH(F323)</f>
        <v>5</v>
      </c>
      <c r="H323" s="7">
        <v>348.93</v>
      </c>
      <c r="J323" s="7"/>
    </row>
    <row r="324" spans="6:10" ht="18.75" customHeight="1">
      <c r="F324" s="1">
        <v>31199</v>
      </c>
      <c r="G324">
        <f t="shared" si="6"/>
        <v>6</v>
      </c>
      <c r="H324" s="7">
        <v>348.25</v>
      </c>
      <c r="J324" s="7"/>
    </row>
    <row r="325" spans="6:10" ht="18.75" customHeight="1">
      <c r="F325" s="1">
        <v>31229</v>
      </c>
      <c r="G325">
        <f t="shared" si="6"/>
        <v>7</v>
      </c>
      <c r="H325" s="7">
        <v>346.56</v>
      </c>
      <c r="J325" s="7"/>
    </row>
    <row r="326" spans="6:10" ht="18.75" customHeight="1">
      <c r="F326" s="1">
        <v>31260</v>
      </c>
      <c r="G326">
        <f t="shared" si="6"/>
        <v>8</v>
      </c>
      <c r="H326" s="7">
        <v>344.67</v>
      </c>
      <c r="J326" s="7"/>
    </row>
    <row r="327" spans="6:10" ht="18.75" customHeight="1">
      <c r="F327" s="1">
        <v>31291</v>
      </c>
      <c r="G327">
        <f t="shared" si="6"/>
        <v>9</v>
      </c>
      <c r="H327" s="7">
        <v>343.09</v>
      </c>
      <c r="J327" s="7"/>
    </row>
    <row r="328" spans="6:10" ht="18.75" customHeight="1">
      <c r="F328" s="1">
        <v>31321</v>
      </c>
      <c r="G328">
        <f t="shared" si="6"/>
        <v>10</v>
      </c>
      <c r="H328" s="7">
        <v>342.8</v>
      </c>
      <c r="J328" s="7"/>
    </row>
    <row r="329" spans="6:10" ht="18.75" customHeight="1">
      <c r="F329" s="1">
        <v>31352</v>
      </c>
      <c r="G329">
        <f t="shared" si="6"/>
        <v>11</v>
      </c>
      <c r="H329" s="7">
        <v>344.24</v>
      </c>
      <c r="J329" s="7"/>
    </row>
    <row r="330" spans="6:10" ht="18.75" customHeight="1">
      <c r="F330" s="1">
        <v>31382</v>
      </c>
      <c r="G330">
        <f t="shared" si="6"/>
        <v>12</v>
      </c>
      <c r="H330" s="7">
        <v>345.56</v>
      </c>
      <c r="J330" s="7"/>
    </row>
    <row r="331" spans="6:10" ht="18.75" customHeight="1">
      <c r="F331" s="1">
        <v>31413</v>
      </c>
      <c r="G331">
        <f t="shared" si="6"/>
        <v>1</v>
      </c>
      <c r="H331" s="7">
        <v>346.3</v>
      </c>
      <c r="J331" s="7"/>
    </row>
    <row r="332" spans="6:10" ht="18.75" customHeight="1">
      <c r="F332" s="1">
        <v>31444</v>
      </c>
      <c r="G332">
        <f t="shared" si="6"/>
        <v>2</v>
      </c>
      <c r="H332" s="7">
        <v>346.95</v>
      </c>
      <c r="J332" s="7"/>
    </row>
    <row r="333" spans="6:10" ht="18.75" customHeight="1">
      <c r="F333" s="1">
        <v>31472</v>
      </c>
      <c r="G333">
        <f t="shared" si="6"/>
        <v>3</v>
      </c>
      <c r="H333" s="7">
        <v>347.85</v>
      </c>
      <c r="J333" s="7"/>
    </row>
    <row r="334" spans="6:10" ht="18.75" customHeight="1">
      <c r="F334" s="1">
        <v>31503</v>
      </c>
      <c r="G334">
        <f t="shared" si="6"/>
        <v>4</v>
      </c>
      <c r="H334" s="7">
        <v>349.55</v>
      </c>
      <c r="J334" s="7"/>
    </row>
    <row r="335" spans="6:10" ht="18.75" customHeight="1">
      <c r="F335" s="1">
        <v>31533</v>
      </c>
      <c r="G335">
        <f t="shared" si="6"/>
        <v>5</v>
      </c>
      <c r="H335" s="7">
        <v>350.22</v>
      </c>
      <c r="J335" s="7"/>
    </row>
    <row r="336" spans="6:10" ht="18.75" customHeight="1">
      <c r="F336" s="1">
        <v>31564</v>
      </c>
      <c r="G336">
        <f t="shared" si="6"/>
        <v>6</v>
      </c>
      <c r="H336" s="7">
        <v>349.55</v>
      </c>
      <c r="J336" s="7"/>
    </row>
    <row r="337" spans="6:10" ht="18.75" customHeight="1">
      <c r="F337" s="1">
        <v>31594</v>
      </c>
      <c r="G337">
        <f t="shared" si="6"/>
        <v>7</v>
      </c>
      <c r="H337" s="7">
        <v>347.94</v>
      </c>
      <c r="J337" s="7"/>
    </row>
    <row r="338" spans="6:10" ht="18.75" customHeight="1">
      <c r="F338" s="1">
        <v>31625</v>
      </c>
      <c r="G338">
        <f t="shared" si="6"/>
        <v>8</v>
      </c>
      <c r="H338" s="7">
        <v>345.9</v>
      </c>
      <c r="J338" s="7"/>
    </row>
    <row r="339" spans="6:10" ht="18.75" customHeight="1">
      <c r="F339" s="1">
        <v>31656</v>
      </c>
      <c r="G339">
        <f t="shared" si="6"/>
        <v>9</v>
      </c>
      <c r="H339" s="7">
        <v>344.85</v>
      </c>
      <c r="J339" s="7"/>
    </row>
    <row r="340" spans="6:10" ht="18.75" customHeight="1">
      <c r="F340" s="1">
        <v>31686</v>
      </c>
      <c r="G340">
        <f t="shared" si="6"/>
        <v>10</v>
      </c>
      <c r="H340" s="7">
        <v>344.17</v>
      </c>
      <c r="J340" s="7"/>
    </row>
    <row r="341" spans="6:10" ht="18.75" customHeight="1">
      <c r="F341" s="1">
        <v>31717</v>
      </c>
      <c r="G341">
        <f t="shared" si="6"/>
        <v>11</v>
      </c>
      <c r="H341" s="7">
        <v>345.66</v>
      </c>
      <c r="J341" s="7"/>
    </row>
    <row r="342" spans="6:10" ht="18.75" customHeight="1">
      <c r="F342" s="1">
        <v>31747</v>
      </c>
      <c r="G342">
        <f t="shared" si="6"/>
        <v>12</v>
      </c>
      <c r="H342" s="7">
        <v>346.9</v>
      </c>
      <c r="J342" s="7"/>
    </row>
    <row r="343" spans="6:10" ht="18.75" customHeight="1">
      <c r="F343" s="1">
        <v>31778</v>
      </c>
      <c r="G343">
        <f t="shared" si="6"/>
        <v>1</v>
      </c>
      <c r="H343" s="7">
        <v>348.02</v>
      </c>
      <c r="J343" s="7"/>
    </row>
    <row r="344" spans="6:10" ht="18.75" customHeight="1">
      <c r="F344" s="1">
        <v>31809</v>
      </c>
      <c r="G344">
        <f t="shared" si="6"/>
        <v>2</v>
      </c>
      <c r="H344" s="7">
        <v>348.48</v>
      </c>
      <c r="J344" s="7"/>
    </row>
    <row r="345" spans="6:10" ht="18.75" customHeight="1">
      <c r="F345" s="1">
        <v>31837</v>
      </c>
      <c r="G345">
        <f t="shared" si="6"/>
        <v>3</v>
      </c>
      <c r="H345" s="7">
        <v>349.42</v>
      </c>
      <c r="J345" s="7"/>
    </row>
    <row r="346" spans="6:10" ht="18.75" customHeight="1">
      <c r="F346" s="1">
        <v>31868</v>
      </c>
      <c r="G346">
        <f t="shared" si="6"/>
        <v>4</v>
      </c>
      <c r="H346" s="7">
        <v>350.98</v>
      </c>
      <c r="J346" s="7"/>
    </row>
    <row r="347" spans="6:10" ht="18.75" customHeight="1">
      <c r="F347" s="1">
        <v>31898</v>
      </c>
      <c r="G347">
        <f t="shared" si="6"/>
        <v>5</v>
      </c>
      <c r="H347" s="7">
        <v>351.85</v>
      </c>
      <c r="J347" s="7"/>
    </row>
    <row r="348" spans="6:10" ht="18.75" customHeight="1">
      <c r="F348" s="1">
        <v>31929</v>
      </c>
      <c r="G348">
        <f t="shared" si="6"/>
        <v>6</v>
      </c>
      <c r="H348" s="7">
        <v>351.26</v>
      </c>
      <c r="J348" s="7"/>
    </row>
    <row r="349" spans="6:10" ht="18.75" customHeight="1">
      <c r="F349" s="1">
        <v>31959</v>
      </c>
      <c r="G349">
        <f t="shared" si="6"/>
        <v>7</v>
      </c>
      <c r="H349" s="7">
        <v>349.51</v>
      </c>
      <c r="J349" s="7"/>
    </row>
    <row r="350" spans="6:10" ht="18.75" customHeight="1">
      <c r="F350" s="1">
        <v>31990</v>
      </c>
      <c r="G350">
        <f t="shared" si="6"/>
        <v>8</v>
      </c>
      <c r="H350" s="7">
        <v>348.1</v>
      </c>
      <c r="J350" s="7"/>
    </row>
    <row r="351" spans="6:10" ht="18.75" customHeight="1">
      <c r="F351" s="1">
        <v>32021</v>
      </c>
      <c r="G351">
        <f t="shared" si="6"/>
        <v>9</v>
      </c>
      <c r="H351" s="7">
        <v>346.45</v>
      </c>
      <c r="J351" s="7"/>
    </row>
    <row r="352" spans="6:10" ht="18.75" customHeight="1">
      <c r="F352" s="1">
        <v>32051</v>
      </c>
      <c r="G352">
        <f t="shared" si="6"/>
        <v>10</v>
      </c>
      <c r="H352" s="7">
        <v>346.36</v>
      </c>
      <c r="J352" s="7"/>
    </row>
    <row r="353" spans="6:10" ht="18.75" customHeight="1">
      <c r="F353" s="1">
        <v>32082</v>
      </c>
      <c r="G353">
        <f t="shared" si="6"/>
        <v>11</v>
      </c>
      <c r="H353" s="7">
        <v>347.81</v>
      </c>
      <c r="J353" s="7"/>
    </row>
    <row r="354" spans="6:10" ht="18.75" customHeight="1">
      <c r="F354" s="1">
        <v>32112</v>
      </c>
      <c r="G354">
        <f t="shared" si="6"/>
        <v>12</v>
      </c>
      <c r="H354" s="7">
        <v>348.96</v>
      </c>
      <c r="J354" s="7"/>
    </row>
    <row r="355" spans="6:10" ht="18.75" customHeight="1">
      <c r="F355" s="1">
        <v>32143</v>
      </c>
      <c r="G355">
        <f t="shared" si="6"/>
        <v>1</v>
      </c>
      <c r="H355" s="7">
        <v>350.43</v>
      </c>
      <c r="J355" s="7"/>
    </row>
    <row r="356" spans="6:10" ht="18.75" customHeight="1">
      <c r="F356" s="1">
        <v>32174</v>
      </c>
      <c r="G356">
        <f t="shared" si="6"/>
        <v>2</v>
      </c>
      <c r="H356" s="7">
        <v>351.73</v>
      </c>
      <c r="J356" s="7"/>
    </row>
    <row r="357" spans="6:10" ht="18.75" customHeight="1">
      <c r="F357" s="1">
        <v>32203</v>
      </c>
      <c r="G357">
        <f t="shared" si="6"/>
        <v>3</v>
      </c>
      <c r="H357" s="7">
        <v>352.22</v>
      </c>
      <c r="J357" s="7"/>
    </row>
    <row r="358" spans="6:10" ht="18.75" customHeight="1">
      <c r="F358" s="1">
        <v>32234</v>
      </c>
      <c r="G358">
        <f t="shared" si="6"/>
        <v>4</v>
      </c>
      <c r="H358" s="7">
        <v>353.59</v>
      </c>
      <c r="J358" s="7"/>
    </row>
    <row r="359" spans="6:10" ht="18.75" customHeight="1">
      <c r="F359" s="1">
        <v>32264</v>
      </c>
      <c r="G359">
        <f t="shared" si="6"/>
        <v>5</v>
      </c>
      <c r="H359" s="7">
        <v>354.22</v>
      </c>
      <c r="J359" s="7"/>
    </row>
    <row r="360" spans="6:10" ht="18.75" customHeight="1">
      <c r="F360" s="1">
        <v>32295</v>
      </c>
      <c r="G360">
        <f t="shared" si="6"/>
        <v>6</v>
      </c>
      <c r="H360" s="7">
        <v>353.8</v>
      </c>
      <c r="J360" s="7"/>
    </row>
    <row r="361" spans="6:10" ht="18.75" customHeight="1">
      <c r="F361" s="1">
        <v>32325</v>
      </c>
      <c r="G361">
        <f t="shared" si="6"/>
        <v>7</v>
      </c>
      <c r="H361" s="7">
        <v>352.38</v>
      </c>
      <c r="J361" s="7"/>
    </row>
    <row r="362" spans="6:10" ht="18.75" customHeight="1">
      <c r="F362" s="1">
        <v>32356</v>
      </c>
      <c r="G362">
        <f t="shared" si="6"/>
        <v>8</v>
      </c>
      <c r="H362" s="7">
        <v>350.43</v>
      </c>
      <c r="J362" s="7"/>
    </row>
    <row r="363" spans="6:10" ht="18.75" customHeight="1">
      <c r="F363" s="1">
        <v>32387</v>
      </c>
      <c r="G363">
        <f t="shared" si="6"/>
        <v>9</v>
      </c>
      <c r="H363" s="7">
        <v>348.73</v>
      </c>
      <c r="J363" s="7"/>
    </row>
    <row r="364" spans="6:10" ht="18.75" customHeight="1">
      <c r="F364" s="1">
        <v>32417</v>
      </c>
      <c r="G364">
        <f t="shared" si="6"/>
        <v>10</v>
      </c>
      <c r="H364" s="7">
        <v>348.88</v>
      </c>
      <c r="J364" s="7"/>
    </row>
    <row r="365" spans="6:10" ht="18.75" customHeight="1">
      <c r="F365" s="1">
        <v>32448</v>
      </c>
      <c r="G365">
        <f t="shared" si="6"/>
        <v>11</v>
      </c>
      <c r="H365" s="7">
        <v>350.07</v>
      </c>
      <c r="J365" s="7"/>
    </row>
    <row r="366" spans="6:10" ht="18.75" customHeight="1">
      <c r="F366" s="1">
        <v>32478</v>
      </c>
      <c r="G366">
        <f t="shared" si="6"/>
        <v>12</v>
      </c>
      <c r="H366" s="7">
        <v>351.34</v>
      </c>
      <c r="J366" s="7"/>
    </row>
    <row r="367" spans="6:10" ht="18.75" customHeight="1">
      <c r="F367" s="1">
        <v>32509</v>
      </c>
      <c r="G367">
        <f t="shared" si="6"/>
        <v>1</v>
      </c>
      <c r="H367" s="7">
        <v>352.76</v>
      </c>
      <c r="J367" s="7"/>
    </row>
    <row r="368" spans="6:10" ht="18.75" customHeight="1">
      <c r="F368" s="1">
        <v>32540</v>
      </c>
      <c r="G368">
        <f t="shared" si="6"/>
        <v>2</v>
      </c>
      <c r="H368" s="7">
        <v>353.07</v>
      </c>
      <c r="J368" s="7"/>
    </row>
    <row r="369" spans="6:10" ht="18.75" customHeight="1">
      <c r="F369" s="1">
        <v>32568</v>
      </c>
      <c r="G369">
        <f t="shared" si="6"/>
        <v>3</v>
      </c>
      <c r="H369" s="7">
        <v>353.68</v>
      </c>
      <c r="J369" s="7"/>
    </row>
    <row r="370" spans="6:10" ht="18.75" customHeight="1">
      <c r="F370" s="1">
        <v>32599</v>
      </c>
      <c r="G370">
        <f t="shared" si="6"/>
        <v>4</v>
      </c>
      <c r="H370" s="7">
        <v>355.42</v>
      </c>
      <c r="J370" s="7"/>
    </row>
    <row r="371" spans="6:10" ht="18.75" customHeight="1">
      <c r="F371" s="1">
        <v>32629</v>
      </c>
      <c r="G371">
        <f t="shared" si="6"/>
        <v>5</v>
      </c>
      <c r="H371" s="7">
        <v>355.67</v>
      </c>
      <c r="J371" s="7"/>
    </row>
    <row r="372" spans="6:10" ht="18.75" customHeight="1">
      <c r="F372" s="1">
        <v>32660</v>
      </c>
      <c r="G372">
        <f t="shared" si="6"/>
        <v>6</v>
      </c>
      <c r="H372" s="7">
        <v>355.12</v>
      </c>
      <c r="J372" s="7"/>
    </row>
    <row r="373" spans="6:10" ht="18.75" customHeight="1">
      <c r="F373" s="1">
        <v>32690</v>
      </c>
      <c r="G373">
        <f t="shared" si="6"/>
        <v>7</v>
      </c>
      <c r="H373" s="7">
        <v>353.9</v>
      </c>
      <c r="J373" s="7"/>
    </row>
    <row r="374" spans="6:10" ht="18.75" customHeight="1">
      <c r="F374" s="1">
        <v>32721</v>
      </c>
      <c r="G374">
        <f t="shared" si="6"/>
        <v>8</v>
      </c>
      <c r="H374" s="7">
        <v>351.67</v>
      </c>
      <c r="J374" s="7"/>
    </row>
    <row r="375" spans="6:10" ht="18.75" customHeight="1">
      <c r="F375" s="1">
        <v>32752</v>
      </c>
      <c r="G375">
        <f t="shared" si="6"/>
        <v>9</v>
      </c>
      <c r="H375" s="7">
        <v>349.81</v>
      </c>
      <c r="J375" s="7"/>
    </row>
    <row r="376" spans="6:10" ht="18.75" customHeight="1">
      <c r="F376" s="1">
        <v>32782</v>
      </c>
      <c r="G376">
        <f t="shared" si="6"/>
        <v>10</v>
      </c>
      <c r="H376" s="7">
        <v>349.99</v>
      </c>
      <c r="J376" s="7"/>
    </row>
    <row r="377" spans="6:10" ht="18.75" customHeight="1">
      <c r="F377" s="1">
        <v>32813</v>
      </c>
      <c r="G377">
        <f t="shared" si="6"/>
        <v>11</v>
      </c>
      <c r="H377" s="7">
        <v>351.3</v>
      </c>
      <c r="J377" s="7"/>
    </row>
    <row r="378" spans="6:10" ht="18.75" customHeight="1">
      <c r="F378" s="1">
        <v>32843</v>
      </c>
      <c r="G378">
        <f t="shared" si="6"/>
        <v>12</v>
      </c>
      <c r="H378" s="7">
        <v>352.52</v>
      </c>
      <c r="J378" s="7"/>
    </row>
    <row r="379" spans="6:10" ht="18.75" customHeight="1">
      <c r="F379" s="1">
        <v>32874</v>
      </c>
      <c r="G379">
        <f t="shared" si="6"/>
        <v>1</v>
      </c>
      <c r="H379" s="7">
        <v>353.66</v>
      </c>
      <c r="J379" s="7"/>
    </row>
    <row r="380" spans="6:10" ht="18.75" customHeight="1">
      <c r="F380" s="1">
        <v>32905</v>
      </c>
      <c r="G380">
        <f t="shared" si="6"/>
        <v>2</v>
      </c>
      <c r="H380" s="7">
        <v>354.7</v>
      </c>
      <c r="J380" s="7"/>
    </row>
    <row r="381" spans="6:10" ht="18.75" customHeight="1">
      <c r="F381" s="1">
        <v>32933</v>
      </c>
      <c r="G381">
        <f t="shared" si="6"/>
        <v>3</v>
      </c>
      <c r="H381" s="7">
        <v>355.38</v>
      </c>
      <c r="J381" s="7"/>
    </row>
    <row r="382" spans="6:10" ht="18.75" customHeight="1">
      <c r="F382" s="1">
        <v>32964</v>
      </c>
      <c r="G382">
        <f t="shared" si="6"/>
        <v>4</v>
      </c>
      <c r="H382" s="7">
        <v>356.2</v>
      </c>
      <c r="J382" s="7"/>
    </row>
    <row r="383" spans="6:10" ht="18.75" customHeight="1">
      <c r="F383" s="1">
        <v>32994</v>
      </c>
      <c r="G383">
        <f t="shared" si="6"/>
        <v>5</v>
      </c>
      <c r="H383" s="7">
        <v>357.16</v>
      </c>
      <c r="J383" s="7"/>
    </row>
    <row r="384" spans="6:10" ht="18.75" customHeight="1">
      <c r="F384" s="1">
        <v>33025</v>
      </c>
      <c r="G384">
        <f t="shared" si="6"/>
        <v>6</v>
      </c>
      <c r="H384" s="7">
        <v>356.23</v>
      </c>
      <c r="J384" s="7"/>
    </row>
    <row r="385" spans="6:10" ht="18.75" customHeight="1">
      <c r="F385" s="1">
        <v>33055</v>
      </c>
      <c r="G385">
        <f t="shared" si="6"/>
        <v>7</v>
      </c>
      <c r="H385" s="7">
        <v>354.81</v>
      </c>
      <c r="J385" s="7"/>
    </row>
    <row r="386" spans="6:10" ht="18.75" customHeight="1">
      <c r="F386" s="1">
        <v>33086</v>
      </c>
      <c r="G386">
        <f t="shared" si="6"/>
        <v>8</v>
      </c>
      <c r="H386" s="7">
        <v>352.91</v>
      </c>
      <c r="J386" s="7"/>
    </row>
    <row r="387" spans="6:10" ht="18.75" customHeight="1">
      <c r="F387" s="1">
        <v>33117</v>
      </c>
      <c r="G387">
        <f t="shared" ref="G387:G450" si="7">MONTH(F387)</f>
        <v>9</v>
      </c>
      <c r="H387" s="7">
        <v>350.96</v>
      </c>
      <c r="J387" s="7"/>
    </row>
    <row r="388" spans="6:10" ht="18.75" customHeight="1">
      <c r="F388" s="1">
        <v>33147</v>
      </c>
      <c r="G388">
        <f t="shared" si="7"/>
        <v>10</v>
      </c>
      <c r="H388" s="7">
        <v>351.18</v>
      </c>
      <c r="J388" s="7"/>
    </row>
    <row r="389" spans="6:10" ht="18.75" customHeight="1">
      <c r="F389" s="1">
        <v>33178</v>
      </c>
      <c r="G389">
        <f t="shared" si="7"/>
        <v>11</v>
      </c>
      <c r="H389" s="7">
        <v>352.83</v>
      </c>
      <c r="J389" s="7"/>
    </row>
    <row r="390" spans="6:10" ht="18.75" customHeight="1">
      <c r="F390" s="1">
        <v>33208</v>
      </c>
      <c r="G390">
        <f t="shared" si="7"/>
        <v>12</v>
      </c>
      <c r="H390" s="7">
        <v>354.21</v>
      </c>
      <c r="J390" s="7"/>
    </row>
    <row r="391" spans="6:10" ht="18.75" customHeight="1">
      <c r="F391" s="1">
        <v>33239</v>
      </c>
      <c r="G391">
        <f t="shared" si="7"/>
        <v>1</v>
      </c>
      <c r="H391" s="7">
        <v>354.72</v>
      </c>
      <c r="J391" s="7"/>
    </row>
    <row r="392" spans="6:10" ht="18.75" customHeight="1">
      <c r="F392" s="1">
        <v>33270</v>
      </c>
      <c r="G392">
        <f t="shared" si="7"/>
        <v>2</v>
      </c>
      <c r="H392" s="7">
        <v>355.75</v>
      </c>
      <c r="J392" s="7"/>
    </row>
    <row r="393" spans="6:10" ht="18.75" customHeight="1">
      <c r="F393" s="1">
        <v>33298</v>
      </c>
      <c r="G393">
        <f t="shared" si="7"/>
        <v>3</v>
      </c>
      <c r="H393" s="7">
        <v>357.16</v>
      </c>
      <c r="J393" s="7"/>
    </row>
    <row r="394" spans="6:10" ht="18.75" customHeight="1">
      <c r="F394" s="1">
        <v>33329</v>
      </c>
      <c r="G394">
        <f t="shared" si="7"/>
        <v>4</v>
      </c>
      <c r="H394" s="7">
        <v>358.6</v>
      </c>
      <c r="J394" s="7"/>
    </row>
    <row r="395" spans="6:10" ht="18.75" customHeight="1">
      <c r="F395" s="1">
        <v>33359</v>
      </c>
      <c r="G395">
        <f t="shared" si="7"/>
        <v>5</v>
      </c>
      <c r="H395" s="7">
        <v>359.34</v>
      </c>
      <c r="J395" s="7"/>
    </row>
    <row r="396" spans="6:10" ht="18.75" customHeight="1">
      <c r="F396" s="1">
        <v>33390</v>
      </c>
      <c r="G396">
        <f t="shared" si="7"/>
        <v>6</v>
      </c>
      <c r="H396" s="7">
        <v>358.24</v>
      </c>
      <c r="J396" s="7"/>
    </row>
    <row r="397" spans="6:10" ht="18.75" customHeight="1">
      <c r="F397" s="1">
        <v>33420</v>
      </c>
      <c r="G397">
        <f t="shared" si="7"/>
        <v>7</v>
      </c>
      <c r="H397" s="7">
        <v>356.17</v>
      </c>
      <c r="J397" s="7"/>
    </row>
    <row r="398" spans="6:10" ht="18.75" customHeight="1">
      <c r="F398" s="1">
        <v>33451</v>
      </c>
      <c r="G398">
        <f t="shared" si="7"/>
        <v>8</v>
      </c>
      <c r="H398" s="7">
        <v>354.01</v>
      </c>
      <c r="J398" s="7"/>
    </row>
    <row r="399" spans="6:10" ht="18.75" customHeight="1">
      <c r="F399" s="1">
        <v>33482</v>
      </c>
      <c r="G399">
        <f t="shared" si="7"/>
        <v>9</v>
      </c>
      <c r="H399" s="7">
        <v>352.15</v>
      </c>
      <c r="J399" s="7"/>
    </row>
    <row r="400" spans="6:10" ht="18.75" customHeight="1">
      <c r="F400" s="1">
        <v>33512</v>
      </c>
      <c r="G400">
        <f t="shared" si="7"/>
        <v>10</v>
      </c>
      <c r="H400" s="7">
        <v>352.21</v>
      </c>
      <c r="J400" s="7"/>
    </row>
    <row r="401" spans="6:10" ht="18.75" customHeight="1">
      <c r="F401" s="1">
        <v>33543</v>
      </c>
      <c r="G401">
        <f t="shared" si="7"/>
        <v>11</v>
      </c>
      <c r="H401" s="7">
        <v>353.75</v>
      </c>
      <c r="J401" s="7"/>
    </row>
    <row r="402" spans="6:10" ht="18.75" customHeight="1">
      <c r="F402" s="1">
        <v>33573</v>
      </c>
      <c r="G402">
        <f t="shared" si="7"/>
        <v>12</v>
      </c>
      <c r="H402" s="7">
        <v>354.99</v>
      </c>
      <c r="J402" s="7"/>
    </row>
    <row r="403" spans="6:10" ht="18.75" customHeight="1">
      <c r="F403" s="1">
        <v>33604</v>
      </c>
      <c r="G403">
        <f t="shared" si="7"/>
        <v>1</v>
      </c>
      <c r="H403" s="7">
        <v>355.99</v>
      </c>
      <c r="J403" s="7"/>
    </row>
    <row r="404" spans="6:10" ht="18.75" customHeight="1">
      <c r="F404" s="1">
        <v>33635</v>
      </c>
      <c r="G404">
        <f t="shared" si="7"/>
        <v>2</v>
      </c>
      <c r="H404" s="7">
        <v>356.72</v>
      </c>
      <c r="J404" s="7"/>
    </row>
    <row r="405" spans="6:10" ht="18.75" customHeight="1">
      <c r="F405" s="1">
        <v>33664</v>
      </c>
      <c r="G405">
        <f t="shared" si="7"/>
        <v>3</v>
      </c>
      <c r="H405" s="7">
        <v>357.81</v>
      </c>
      <c r="J405" s="7"/>
    </row>
    <row r="406" spans="6:10" ht="18.75" customHeight="1">
      <c r="F406" s="1">
        <v>33695</v>
      </c>
      <c r="G406">
        <f t="shared" si="7"/>
        <v>4</v>
      </c>
      <c r="H406" s="7">
        <v>359.15</v>
      </c>
      <c r="J406" s="7"/>
    </row>
    <row r="407" spans="6:10" ht="18.75" customHeight="1">
      <c r="F407" s="1">
        <v>33725</v>
      </c>
      <c r="G407">
        <f t="shared" si="7"/>
        <v>5</v>
      </c>
      <c r="H407" s="7">
        <v>359.66</v>
      </c>
      <c r="J407" s="7"/>
    </row>
    <row r="408" spans="6:10" ht="18.75" customHeight="1">
      <c r="F408" s="1">
        <v>33756</v>
      </c>
      <c r="G408">
        <f t="shared" si="7"/>
        <v>6</v>
      </c>
      <c r="H408" s="7">
        <v>359.25</v>
      </c>
      <c r="J408" s="7"/>
    </row>
    <row r="409" spans="6:10" ht="18.75" customHeight="1">
      <c r="F409" s="1">
        <v>33786</v>
      </c>
      <c r="G409">
        <f t="shared" si="7"/>
        <v>7</v>
      </c>
      <c r="H409" s="7">
        <v>357.02</v>
      </c>
      <c r="J409" s="7"/>
    </row>
    <row r="410" spans="6:10" ht="18.75" customHeight="1">
      <c r="F410" s="1">
        <v>33817</v>
      </c>
      <c r="G410">
        <f t="shared" si="7"/>
        <v>8</v>
      </c>
      <c r="H410" s="7">
        <v>355</v>
      </c>
      <c r="J410" s="7"/>
    </row>
    <row r="411" spans="6:10" ht="18.75" customHeight="1">
      <c r="F411" s="1">
        <v>33848</v>
      </c>
      <c r="G411">
        <f t="shared" si="7"/>
        <v>9</v>
      </c>
      <c r="H411" s="7">
        <v>353.01</v>
      </c>
      <c r="J411" s="7"/>
    </row>
    <row r="412" spans="6:10" ht="18.75" customHeight="1">
      <c r="F412" s="1">
        <v>33878</v>
      </c>
      <c r="G412">
        <f t="shared" si="7"/>
        <v>10</v>
      </c>
      <c r="H412" s="7">
        <v>353.31</v>
      </c>
      <c r="J412" s="7"/>
    </row>
    <row r="413" spans="6:10" ht="18.75" customHeight="1">
      <c r="F413" s="1">
        <v>33909</v>
      </c>
      <c r="G413">
        <f t="shared" si="7"/>
        <v>11</v>
      </c>
      <c r="H413" s="7">
        <v>354.16</v>
      </c>
      <c r="J413" s="7"/>
    </row>
    <row r="414" spans="6:10" ht="18.75" customHeight="1">
      <c r="F414" s="1">
        <v>33939</v>
      </c>
      <c r="G414">
        <f t="shared" si="7"/>
        <v>12</v>
      </c>
      <c r="H414" s="7">
        <v>355.4</v>
      </c>
      <c r="J414" s="7"/>
    </row>
    <row r="415" spans="6:10" ht="18.75" customHeight="1">
      <c r="F415" s="1">
        <v>33970</v>
      </c>
      <c r="G415">
        <f t="shared" si="7"/>
        <v>1</v>
      </c>
      <c r="H415" s="7">
        <v>356.7</v>
      </c>
      <c r="J415" s="7"/>
    </row>
    <row r="416" spans="6:10" ht="18.75" customHeight="1">
      <c r="F416" s="1">
        <v>34001</v>
      </c>
      <c r="G416">
        <f t="shared" si="7"/>
        <v>2</v>
      </c>
      <c r="H416" s="7">
        <v>357.17</v>
      </c>
      <c r="J416" s="7"/>
    </row>
    <row r="417" spans="6:10" ht="18.75" customHeight="1">
      <c r="F417" s="1">
        <v>34029</v>
      </c>
      <c r="G417">
        <f t="shared" si="7"/>
        <v>3</v>
      </c>
      <c r="H417" s="7">
        <v>358.38</v>
      </c>
      <c r="J417" s="7"/>
    </row>
    <row r="418" spans="6:10" ht="18.75" customHeight="1">
      <c r="F418" s="1">
        <v>34060</v>
      </c>
      <c r="G418">
        <f t="shared" si="7"/>
        <v>4</v>
      </c>
      <c r="H418" s="7">
        <v>359.46</v>
      </c>
      <c r="J418" s="7"/>
    </row>
    <row r="419" spans="6:10" ht="18.75" customHeight="1">
      <c r="F419" s="1">
        <v>34090</v>
      </c>
      <c r="G419">
        <f t="shared" si="7"/>
        <v>5</v>
      </c>
      <c r="H419" s="7">
        <v>360.28</v>
      </c>
      <c r="J419" s="7"/>
    </row>
    <row r="420" spans="6:10" ht="18.75" customHeight="1">
      <c r="F420" s="1">
        <v>34121</v>
      </c>
      <c r="G420">
        <f t="shared" si="7"/>
        <v>6</v>
      </c>
      <c r="H420" s="7">
        <v>359.6</v>
      </c>
      <c r="J420" s="7"/>
    </row>
    <row r="421" spans="6:10" ht="18.75" customHeight="1">
      <c r="F421" s="1">
        <v>34151</v>
      </c>
      <c r="G421">
        <f t="shared" si="7"/>
        <v>7</v>
      </c>
      <c r="H421" s="7">
        <v>357.57</v>
      </c>
      <c r="J421" s="7"/>
    </row>
    <row r="422" spans="6:10" ht="18.75" customHeight="1">
      <c r="F422" s="1">
        <v>34182</v>
      </c>
      <c r="G422">
        <f t="shared" si="7"/>
        <v>8</v>
      </c>
      <c r="H422" s="7">
        <v>355.52</v>
      </c>
      <c r="J422" s="7"/>
    </row>
    <row r="423" spans="6:10" ht="18.75" customHeight="1">
      <c r="F423" s="1">
        <v>34213</v>
      </c>
      <c r="G423">
        <f t="shared" si="7"/>
        <v>9</v>
      </c>
      <c r="H423" s="7">
        <v>353.69</v>
      </c>
      <c r="J423" s="7"/>
    </row>
    <row r="424" spans="6:10" ht="18.75" customHeight="1">
      <c r="F424" s="1">
        <v>34243</v>
      </c>
      <c r="G424">
        <f t="shared" si="7"/>
        <v>10</v>
      </c>
      <c r="H424" s="7">
        <v>353.99</v>
      </c>
      <c r="J424" s="7"/>
    </row>
    <row r="425" spans="6:10" ht="18.75" customHeight="1">
      <c r="F425" s="1">
        <v>34274</v>
      </c>
      <c r="G425">
        <f t="shared" si="7"/>
        <v>11</v>
      </c>
      <c r="H425" s="7">
        <v>355.34</v>
      </c>
      <c r="J425" s="7"/>
    </row>
    <row r="426" spans="6:10" ht="18.75" customHeight="1">
      <c r="F426" s="1">
        <v>34304</v>
      </c>
      <c r="G426">
        <f t="shared" si="7"/>
        <v>12</v>
      </c>
      <c r="H426" s="7">
        <v>356.8</v>
      </c>
      <c r="J426" s="7"/>
    </row>
    <row r="427" spans="6:10" ht="18.75" customHeight="1">
      <c r="F427" s="1">
        <v>34335</v>
      </c>
      <c r="G427">
        <f t="shared" si="7"/>
        <v>1</v>
      </c>
      <c r="H427" s="7">
        <v>358.37</v>
      </c>
      <c r="J427" s="7"/>
    </row>
    <row r="428" spans="6:10" ht="18.75" customHeight="1">
      <c r="F428" s="1">
        <v>34366</v>
      </c>
      <c r="G428">
        <f t="shared" si="7"/>
        <v>2</v>
      </c>
      <c r="H428" s="7">
        <v>358.91</v>
      </c>
      <c r="J428" s="7"/>
    </row>
    <row r="429" spans="6:10" ht="18.75" customHeight="1">
      <c r="F429" s="1">
        <v>34394</v>
      </c>
      <c r="G429">
        <f t="shared" si="7"/>
        <v>3</v>
      </c>
      <c r="H429" s="7">
        <v>359.97</v>
      </c>
      <c r="J429" s="7"/>
    </row>
    <row r="430" spans="6:10" ht="18.75" customHeight="1">
      <c r="F430" s="1">
        <v>34425</v>
      </c>
      <c r="G430">
        <f t="shared" si="7"/>
        <v>4</v>
      </c>
      <c r="H430" s="7">
        <v>361.26</v>
      </c>
      <c r="J430" s="7"/>
    </row>
    <row r="431" spans="6:10" ht="18.75" customHeight="1">
      <c r="F431" s="1">
        <v>34455</v>
      </c>
      <c r="G431">
        <f t="shared" si="7"/>
        <v>5</v>
      </c>
      <c r="H431" s="7">
        <v>361.69</v>
      </c>
      <c r="J431" s="7"/>
    </row>
    <row r="432" spans="6:10" ht="18.75" customHeight="1">
      <c r="F432" s="1">
        <v>34486</v>
      </c>
      <c r="G432">
        <f t="shared" si="7"/>
        <v>6</v>
      </c>
      <c r="H432" s="7">
        <v>360.94</v>
      </c>
      <c r="J432" s="7"/>
    </row>
    <row r="433" spans="6:10" ht="18.75" customHeight="1">
      <c r="F433" s="1">
        <v>34516</v>
      </c>
      <c r="G433">
        <f t="shared" si="7"/>
        <v>7</v>
      </c>
      <c r="H433" s="7">
        <v>359.55</v>
      </c>
      <c r="J433" s="7"/>
    </row>
    <row r="434" spans="6:10" ht="18.75" customHeight="1">
      <c r="F434" s="1">
        <v>34547</v>
      </c>
      <c r="G434">
        <f t="shared" si="7"/>
        <v>8</v>
      </c>
      <c r="H434" s="7">
        <v>357.48</v>
      </c>
      <c r="J434" s="7"/>
    </row>
    <row r="435" spans="6:10" ht="18.75" customHeight="1">
      <c r="F435" s="1">
        <v>34578</v>
      </c>
      <c r="G435">
        <f t="shared" si="7"/>
        <v>9</v>
      </c>
      <c r="H435" s="7">
        <v>355.84</v>
      </c>
      <c r="J435" s="7"/>
    </row>
    <row r="436" spans="6:10" ht="18.75" customHeight="1">
      <c r="F436" s="1">
        <v>34608</v>
      </c>
      <c r="G436">
        <f t="shared" si="7"/>
        <v>10</v>
      </c>
      <c r="H436" s="7">
        <v>356</v>
      </c>
      <c r="J436" s="7"/>
    </row>
    <row r="437" spans="6:10" ht="18.75" customHeight="1">
      <c r="F437" s="1">
        <v>34639</v>
      </c>
      <c r="G437">
        <f t="shared" si="7"/>
        <v>11</v>
      </c>
      <c r="H437" s="7">
        <v>357.58</v>
      </c>
      <c r="J437" s="7"/>
    </row>
    <row r="438" spans="6:10" ht="18.75" customHeight="1">
      <c r="F438" s="1">
        <v>34669</v>
      </c>
      <c r="G438">
        <f t="shared" si="7"/>
        <v>12</v>
      </c>
      <c r="H438" s="7">
        <v>359.04</v>
      </c>
      <c r="J438" s="7"/>
    </row>
    <row r="439" spans="6:10" ht="18.75" customHeight="1">
      <c r="F439" s="1">
        <v>34700</v>
      </c>
      <c r="G439">
        <f t="shared" si="7"/>
        <v>1</v>
      </c>
      <c r="H439" s="7">
        <v>359.97</v>
      </c>
      <c r="J439" s="7"/>
    </row>
    <row r="440" spans="6:10" ht="18.75" customHeight="1">
      <c r="F440" s="1">
        <v>34731</v>
      </c>
      <c r="G440">
        <f t="shared" si="7"/>
        <v>2</v>
      </c>
      <c r="H440" s="7">
        <v>361</v>
      </c>
      <c r="J440" s="7"/>
    </row>
    <row r="441" spans="6:10" ht="18.75" customHeight="1">
      <c r="F441" s="1">
        <v>34759</v>
      </c>
      <c r="G441">
        <f t="shared" si="7"/>
        <v>3</v>
      </c>
      <c r="H441" s="7">
        <v>361.63</v>
      </c>
      <c r="J441" s="7"/>
    </row>
    <row r="442" spans="6:10" ht="18.75" customHeight="1">
      <c r="F442" s="1">
        <v>34790</v>
      </c>
      <c r="G442">
        <f t="shared" si="7"/>
        <v>4</v>
      </c>
      <c r="H442" s="7">
        <v>363.45</v>
      </c>
      <c r="J442" s="7"/>
    </row>
    <row r="443" spans="6:10" ht="18.75" customHeight="1">
      <c r="F443" s="1">
        <v>34820</v>
      </c>
      <c r="G443">
        <f t="shared" si="7"/>
        <v>5</v>
      </c>
      <c r="H443" s="7">
        <v>363.8</v>
      </c>
      <c r="J443" s="7"/>
    </row>
    <row r="444" spans="6:10" ht="18.75" customHeight="1">
      <c r="F444" s="1">
        <v>34851</v>
      </c>
      <c r="G444">
        <f t="shared" si="7"/>
        <v>6</v>
      </c>
      <c r="H444" s="7">
        <v>363.26</v>
      </c>
      <c r="J444" s="7"/>
    </row>
    <row r="445" spans="6:10" ht="18.75" customHeight="1">
      <c r="F445" s="1">
        <v>34881</v>
      </c>
      <c r="G445">
        <f t="shared" si="7"/>
        <v>7</v>
      </c>
      <c r="H445" s="7">
        <v>361.89</v>
      </c>
      <c r="J445" s="7"/>
    </row>
    <row r="446" spans="6:10" ht="18.75" customHeight="1">
      <c r="F446" s="1">
        <v>34912</v>
      </c>
      <c r="G446">
        <f t="shared" si="7"/>
        <v>8</v>
      </c>
      <c r="H446" s="7">
        <v>359.45</v>
      </c>
      <c r="J446" s="7"/>
    </row>
    <row r="447" spans="6:10" ht="18.75" customHeight="1">
      <c r="F447" s="1">
        <v>34943</v>
      </c>
      <c r="G447">
        <f t="shared" si="7"/>
        <v>9</v>
      </c>
      <c r="H447" s="7">
        <v>358.05</v>
      </c>
      <c r="J447" s="7"/>
    </row>
    <row r="448" spans="6:10" ht="18.75" customHeight="1">
      <c r="F448" s="1">
        <v>34973</v>
      </c>
      <c r="G448">
        <f t="shared" si="7"/>
        <v>10</v>
      </c>
      <c r="H448" s="7">
        <v>357.75</v>
      </c>
      <c r="J448" s="7"/>
    </row>
    <row r="449" spans="6:10" ht="18.75" customHeight="1">
      <c r="F449" s="1">
        <v>35004</v>
      </c>
      <c r="G449">
        <f t="shared" si="7"/>
        <v>11</v>
      </c>
      <c r="H449" s="7">
        <v>359.56</v>
      </c>
      <c r="J449" s="7"/>
    </row>
    <row r="450" spans="6:10" ht="18.75" customHeight="1">
      <c r="F450" s="1">
        <v>35034</v>
      </c>
      <c r="G450">
        <f t="shared" si="7"/>
        <v>12</v>
      </c>
      <c r="H450" s="7">
        <v>360.7</v>
      </c>
      <c r="J450" s="7"/>
    </row>
    <row r="451" spans="6:10" ht="18.75" customHeight="1">
      <c r="F451" s="1">
        <v>35065</v>
      </c>
      <c r="G451">
        <f t="shared" ref="G451:G514" si="8">MONTH(F451)</f>
        <v>1</v>
      </c>
      <c r="H451" s="7">
        <v>362.05</v>
      </c>
      <c r="J451" s="7"/>
    </row>
    <row r="452" spans="6:10" ht="18.75" customHeight="1">
      <c r="F452" s="1">
        <v>35096</v>
      </c>
      <c r="G452">
        <f t="shared" si="8"/>
        <v>2</v>
      </c>
      <c r="H452" s="7">
        <v>363.24</v>
      </c>
      <c r="J452" s="7"/>
    </row>
    <row r="453" spans="6:10" ht="18.75" customHeight="1">
      <c r="F453" s="1">
        <v>35125</v>
      </c>
      <c r="G453">
        <f t="shared" si="8"/>
        <v>3</v>
      </c>
      <c r="H453" s="7">
        <v>364.02</v>
      </c>
      <c r="J453" s="7"/>
    </row>
    <row r="454" spans="6:10" ht="18.75" customHeight="1">
      <c r="F454" s="1">
        <v>35156</v>
      </c>
      <c r="G454">
        <f t="shared" si="8"/>
        <v>4</v>
      </c>
      <c r="H454" s="7">
        <v>364.71</v>
      </c>
      <c r="J454" s="7"/>
    </row>
    <row r="455" spans="6:10" ht="18.75" customHeight="1">
      <c r="F455" s="1">
        <v>35186</v>
      </c>
      <c r="G455">
        <f t="shared" si="8"/>
        <v>5</v>
      </c>
      <c r="H455" s="7">
        <v>365.42</v>
      </c>
      <c r="J455" s="7"/>
    </row>
    <row r="456" spans="6:10" ht="18.75" customHeight="1">
      <c r="F456" s="1">
        <v>35217</v>
      </c>
      <c r="G456">
        <f t="shared" si="8"/>
        <v>6</v>
      </c>
      <c r="H456" s="7">
        <v>364.97</v>
      </c>
      <c r="J456" s="7"/>
    </row>
    <row r="457" spans="6:10" ht="18.75" customHeight="1">
      <c r="F457" s="1">
        <v>35247</v>
      </c>
      <c r="G457">
        <f t="shared" si="8"/>
        <v>7</v>
      </c>
      <c r="H457" s="7">
        <v>363.65</v>
      </c>
      <c r="J457" s="7"/>
    </row>
    <row r="458" spans="6:10" ht="18.75" customHeight="1">
      <c r="F458" s="1">
        <v>35278</v>
      </c>
      <c r="G458">
        <f t="shared" si="8"/>
        <v>8</v>
      </c>
      <c r="H458" s="7">
        <v>361.48</v>
      </c>
      <c r="J458" s="7"/>
    </row>
    <row r="459" spans="6:10" ht="18.75" customHeight="1">
      <c r="F459" s="1">
        <v>35309</v>
      </c>
      <c r="G459">
        <f t="shared" si="8"/>
        <v>9</v>
      </c>
      <c r="H459" s="7">
        <v>359.45</v>
      </c>
      <c r="J459" s="7"/>
    </row>
    <row r="460" spans="6:10" ht="18.75" customHeight="1">
      <c r="F460" s="1">
        <v>35339</v>
      </c>
      <c r="G460">
        <f t="shared" si="8"/>
        <v>10</v>
      </c>
      <c r="H460" s="7">
        <v>359.61</v>
      </c>
      <c r="J460" s="7"/>
    </row>
    <row r="461" spans="6:10" ht="18.75" customHeight="1">
      <c r="F461" s="1">
        <v>35370</v>
      </c>
      <c r="G461">
        <f t="shared" si="8"/>
        <v>11</v>
      </c>
      <c r="H461" s="7">
        <v>360.76</v>
      </c>
      <c r="J461" s="7"/>
    </row>
    <row r="462" spans="6:10" ht="18.75" customHeight="1">
      <c r="F462" s="1">
        <v>35400</v>
      </c>
      <c r="G462">
        <f t="shared" si="8"/>
        <v>12</v>
      </c>
      <c r="H462" s="7">
        <v>362.33</v>
      </c>
      <c r="J462" s="7"/>
    </row>
    <row r="463" spans="6:10" ht="18.75" customHeight="1">
      <c r="F463" s="1">
        <v>35431</v>
      </c>
      <c r="G463">
        <f t="shared" si="8"/>
        <v>1</v>
      </c>
      <c r="H463" s="7">
        <v>363.19</v>
      </c>
      <c r="J463" s="7"/>
    </row>
    <row r="464" spans="6:10" ht="18.75" customHeight="1">
      <c r="F464" s="1">
        <v>35462</v>
      </c>
      <c r="G464">
        <f t="shared" si="8"/>
        <v>2</v>
      </c>
      <c r="H464" s="7">
        <v>363.99</v>
      </c>
      <c r="J464" s="7"/>
    </row>
    <row r="465" spans="6:10" ht="18.75" customHeight="1">
      <c r="F465" s="1">
        <v>35490</v>
      </c>
      <c r="G465">
        <f t="shared" si="8"/>
        <v>3</v>
      </c>
      <c r="H465" s="7">
        <v>364.56</v>
      </c>
      <c r="J465" s="7"/>
    </row>
    <row r="466" spans="6:10" ht="18.75" customHeight="1">
      <c r="F466" s="1">
        <v>35521</v>
      </c>
      <c r="G466">
        <f t="shared" si="8"/>
        <v>4</v>
      </c>
      <c r="H466" s="7">
        <v>366.36</v>
      </c>
      <c r="J466" s="7"/>
    </row>
    <row r="467" spans="6:10" ht="18.75" customHeight="1">
      <c r="F467" s="1">
        <v>35551</v>
      </c>
      <c r="G467">
        <f t="shared" si="8"/>
        <v>5</v>
      </c>
      <c r="H467" s="7">
        <v>366.8</v>
      </c>
      <c r="J467" s="7"/>
    </row>
    <row r="468" spans="6:10" ht="18.75" customHeight="1">
      <c r="F468" s="1">
        <v>35582</v>
      </c>
      <c r="G468">
        <f t="shared" si="8"/>
        <v>6</v>
      </c>
      <c r="H468" s="7">
        <v>365.63</v>
      </c>
      <c r="J468" s="7"/>
    </row>
    <row r="469" spans="6:10" ht="18.75" customHeight="1">
      <c r="F469" s="1">
        <v>35612</v>
      </c>
      <c r="G469">
        <f t="shared" si="8"/>
        <v>7</v>
      </c>
      <c r="H469" s="7">
        <v>364.47</v>
      </c>
      <c r="J469" s="7"/>
    </row>
    <row r="470" spans="6:10" ht="18.75" customHeight="1">
      <c r="F470" s="1">
        <v>35643</v>
      </c>
      <c r="G470">
        <f t="shared" si="8"/>
        <v>8</v>
      </c>
      <c r="H470" s="7">
        <v>362.5</v>
      </c>
      <c r="J470" s="7"/>
    </row>
    <row r="471" spans="6:10" ht="18.75" customHeight="1">
      <c r="F471" s="1">
        <v>35674</v>
      </c>
      <c r="G471">
        <f t="shared" si="8"/>
        <v>9</v>
      </c>
      <c r="H471" s="7">
        <v>360.19</v>
      </c>
      <c r="J471" s="7"/>
    </row>
    <row r="472" spans="6:10" ht="18.75" customHeight="1">
      <c r="F472" s="1">
        <v>35704</v>
      </c>
      <c r="G472">
        <f t="shared" si="8"/>
        <v>10</v>
      </c>
      <c r="H472" s="7">
        <v>360.78</v>
      </c>
      <c r="J472" s="7"/>
    </row>
    <row r="473" spans="6:10" ht="18.75" customHeight="1">
      <c r="F473" s="1">
        <v>35735</v>
      </c>
      <c r="G473">
        <f t="shared" si="8"/>
        <v>11</v>
      </c>
      <c r="H473" s="7">
        <v>362.43</v>
      </c>
      <c r="J473" s="7"/>
    </row>
    <row r="474" spans="6:10" ht="18.75" customHeight="1">
      <c r="F474" s="1">
        <v>35765</v>
      </c>
      <c r="G474">
        <f t="shared" si="8"/>
        <v>12</v>
      </c>
      <c r="H474" s="7">
        <v>364.28</v>
      </c>
      <c r="J474" s="7"/>
    </row>
    <row r="475" spans="6:10" ht="18.75" customHeight="1">
      <c r="F475" s="1">
        <v>35796</v>
      </c>
      <c r="G475">
        <f t="shared" si="8"/>
        <v>1</v>
      </c>
      <c r="H475" s="7">
        <v>365.33</v>
      </c>
      <c r="J475" s="7"/>
    </row>
    <row r="476" spans="6:10" ht="18.75" customHeight="1">
      <c r="F476" s="1">
        <v>35827</v>
      </c>
      <c r="G476">
        <f t="shared" si="8"/>
        <v>2</v>
      </c>
      <c r="H476" s="7">
        <v>366.15</v>
      </c>
      <c r="J476" s="7"/>
    </row>
    <row r="477" spans="6:10" ht="18.75" customHeight="1">
      <c r="F477" s="1">
        <v>35855</v>
      </c>
      <c r="G477">
        <f t="shared" si="8"/>
        <v>3</v>
      </c>
      <c r="H477" s="7">
        <v>367.31</v>
      </c>
      <c r="J477" s="7"/>
    </row>
    <row r="478" spans="6:10" ht="18.75" customHeight="1">
      <c r="F478" s="1">
        <v>35886</v>
      </c>
      <c r="G478">
        <f t="shared" si="8"/>
        <v>4</v>
      </c>
      <c r="H478" s="7">
        <v>368.61</v>
      </c>
      <c r="J478" s="7"/>
    </row>
    <row r="479" spans="6:10" ht="18.75" customHeight="1">
      <c r="F479" s="1">
        <v>35916</v>
      </c>
      <c r="G479">
        <f t="shared" si="8"/>
        <v>5</v>
      </c>
      <c r="H479" s="7">
        <v>369.3</v>
      </c>
      <c r="J479" s="7"/>
    </row>
    <row r="480" spans="6:10" ht="18.75" customHeight="1">
      <c r="F480" s="1">
        <v>35947</v>
      </c>
      <c r="G480">
        <f t="shared" si="8"/>
        <v>6</v>
      </c>
      <c r="H480" s="7">
        <v>368.88</v>
      </c>
      <c r="J480" s="7"/>
    </row>
    <row r="481" spans="6:10" ht="18.75" customHeight="1">
      <c r="F481" s="1">
        <v>35977</v>
      </c>
      <c r="G481">
        <f t="shared" si="8"/>
        <v>7</v>
      </c>
      <c r="H481" s="7">
        <v>367.64</v>
      </c>
      <c r="J481" s="7"/>
    </row>
    <row r="482" spans="6:10" ht="18.75" customHeight="1">
      <c r="F482" s="1">
        <v>36008</v>
      </c>
      <c r="G482">
        <f t="shared" si="8"/>
        <v>8</v>
      </c>
      <c r="H482" s="7">
        <v>365.78</v>
      </c>
      <c r="J482" s="7"/>
    </row>
    <row r="483" spans="6:10" ht="18.75" customHeight="1">
      <c r="F483" s="1">
        <v>36039</v>
      </c>
      <c r="G483">
        <f t="shared" si="8"/>
        <v>9</v>
      </c>
      <c r="H483" s="7">
        <v>363.9</v>
      </c>
      <c r="J483" s="7"/>
    </row>
    <row r="484" spans="6:10" ht="18.75" customHeight="1">
      <c r="F484" s="1">
        <v>36069</v>
      </c>
      <c r="G484">
        <f t="shared" si="8"/>
        <v>10</v>
      </c>
      <c r="H484" s="7">
        <v>364.23</v>
      </c>
      <c r="J484" s="7"/>
    </row>
    <row r="485" spans="6:10" ht="18.75" customHeight="1">
      <c r="F485" s="1">
        <v>36100</v>
      </c>
      <c r="G485">
        <f t="shared" si="8"/>
        <v>11</v>
      </c>
      <c r="H485" s="7">
        <v>365.46</v>
      </c>
      <c r="J485" s="7"/>
    </row>
    <row r="486" spans="6:10" ht="18.75" customHeight="1">
      <c r="F486" s="1">
        <v>36130</v>
      </c>
      <c r="G486">
        <f t="shared" si="8"/>
        <v>12</v>
      </c>
      <c r="H486" s="7">
        <v>366.97</v>
      </c>
      <c r="J486" s="7"/>
    </row>
    <row r="487" spans="6:10" ht="18.75" customHeight="1">
      <c r="F487" s="1">
        <v>36161</v>
      </c>
      <c r="G487">
        <f t="shared" si="8"/>
        <v>1</v>
      </c>
      <c r="H487" s="7">
        <v>368.15</v>
      </c>
      <c r="J487" s="7"/>
    </row>
    <row r="488" spans="6:10" ht="18.75" customHeight="1">
      <c r="F488" s="1">
        <v>36192</v>
      </c>
      <c r="G488">
        <f t="shared" si="8"/>
        <v>2</v>
      </c>
      <c r="H488" s="7">
        <v>368.87</v>
      </c>
      <c r="J488" s="7"/>
    </row>
    <row r="489" spans="6:10" ht="18.75" customHeight="1">
      <c r="F489" s="1">
        <v>36220</v>
      </c>
      <c r="G489">
        <f t="shared" si="8"/>
        <v>3</v>
      </c>
      <c r="H489" s="7">
        <v>369.59</v>
      </c>
      <c r="J489" s="7"/>
    </row>
    <row r="490" spans="6:10" ht="18.75" customHeight="1">
      <c r="F490" s="1">
        <v>36251</v>
      </c>
      <c r="G490">
        <f t="shared" si="8"/>
        <v>4</v>
      </c>
      <c r="H490" s="7">
        <v>371.14</v>
      </c>
      <c r="J490" s="7"/>
    </row>
    <row r="491" spans="6:10" ht="18.75" customHeight="1">
      <c r="F491" s="1">
        <v>36281</v>
      </c>
      <c r="G491">
        <f t="shared" si="8"/>
        <v>5</v>
      </c>
      <c r="H491" s="7">
        <v>371</v>
      </c>
      <c r="J491" s="7"/>
    </row>
    <row r="492" spans="6:10" ht="18.75" customHeight="1">
      <c r="F492" s="1">
        <v>36312</v>
      </c>
      <c r="G492">
        <f t="shared" si="8"/>
        <v>6</v>
      </c>
      <c r="H492" s="7">
        <v>370.35</v>
      </c>
      <c r="J492" s="7"/>
    </row>
    <row r="493" spans="6:10" ht="18.75" customHeight="1">
      <c r="F493" s="1">
        <v>36342</v>
      </c>
      <c r="G493">
        <f t="shared" si="8"/>
        <v>7</v>
      </c>
      <c r="H493" s="7">
        <v>369.27</v>
      </c>
      <c r="J493" s="7"/>
    </row>
    <row r="494" spans="6:10" ht="18.75" customHeight="1">
      <c r="F494" s="1">
        <v>36373</v>
      </c>
      <c r="G494">
        <f t="shared" si="8"/>
        <v>8</v>
      </c>
      <c r="H494" s="7">
        <v>366.93</v>
      </c>
      <c r="J494" s="7"/>
    </row>
    <row r="495" spans="6:10" ht="18.75" customHeight="1">
      <c r="F495" s="1">
        <v>36404</v>
      </c>
      <c r="G495">
        <f t="shared" si="8"/>
        <v>9</v>
      </c>
      <c r="H495" s="7">
        <v>364.64</v>
      </c>
      <c r="J495" s="7"/>
    </row>
    <row r="496" spans="6:10" ht="18.75" customHeight="1">
      <c r="F496" s="1">
        <v>36434</v>
      </c>
      <c r="G496">
        <f t="shared" si="8"/>
        <v>10</v>
      </c>
      <c r="H496" s="7">
        <v>365.13</v>
      </c>
      <c r="J496" s="7"/>
    </row>
    <row r="497" spans="6:10" ht="18.75" customHeight="1">
      <c r="F497" s="1">
        <v>36465</v>
      </c>
      <c r="G497">
        <f t="shared" si="8"/>
        <v>11</v>
      </c>
      <c r="H497" s="7">
        <v>366.68</v>
      </c>
      <c r="J497" s="7"/>
    </row>
    <row r="498" spans="6:10" ht="18.75" customHeight="1">
      <c r="F498" s="1">
        <v>36495</v>
      </c>
      <c r="G498">
        <f t="shared" si="8"/>
        <v>12</v>
      </c>
      <c r="H498" s="7">
        <v>368</v>
      </c>
      <c r="J498" s="7"/>
    </row>
    <row r="499" spans="6:10" ht="18.75" customHeight="1">
      <c r="F499" s="1">
        <v>36526</v>
      </c>
      <c r="G499">
        <f t="shared" si="8"/>
        <v>1</v>
      </c>
      <c r="H499" s="7">
        <v>369.14</v>
      </c>
      <c r="J499" s="7"/>
    </row>
    <row r="500" spans="6:10" ht="18.75" customHeight="1">
      <c r="F500" s="1">
        <v>36557</v>
      </c>
      <c r="G500">
        <f t="shared" si="8"/>
        <v>2</v>
      </c>
      <c r="H500" s="7">
        <v>369.46</v>
      </c>
      <c r="J500" s="7"/>
    </row>
    <row r="501" spans="6:10" ht="18.75" customHeight="1">
      <c r="F501" s="1">
        <v>36586</v>
      </c>
      <c r="G501">
        <f t="shared" si="8"/>
        <v>3</v>
      </c>
      <c r="H501" s="7">
        <v>370.51</v>
      </c>
      <c r="J501" s="7"/>
    </row>
    <row r="502" spans="6:10" ht="18.75" customHeight="1">
      <c r="F502" s="16">
        <v>36617</v>
      </c>
      <c r="G502" s="17">
        <f t="shared" si="8"/>
        <v>4</v>
      </c>
      <c r="H502" s="18">
        <v>371.66</v>
      </c>
      <c r="J502" s="7"/>
    </row>
    <row r="503" spans="6:10" ht="18.75" customHeight="1">
      <c r="F503" s="1">
        <v>36647</v>
      </c>
      <c r="G503">
        <f t="shared" si="8"/>
        <v>5</v>
      </c>
      <c r="H503" s="7">
        <v>371.83</v>
      </c>
      <c r="J503" s="7"/>
    </row>
    <row r="504" spans="6:10" ht="18.75" customHeight="1">
      <c r="F504" s="1">
        <v>36678</v>
      </c>
      <c r="G504">
        <f t="shared" si="8"/>
        <v>6</v>
      </c>
      <c r="H504" s="7">
        <v>371.69</v>
      </c>
      <c r="J504" s="7"/>
    </row>
    <row r="505" spans="6:10" ht="18.75" customHeight="1">
      <c r="F505" s="1">
        <v>36708</v>
      </c>
      <c r="G505">
        <f t="shared" si="8"/>
        <v>7</v>
      </c>
      <c r="H505" s="7">
        <v>370.12</v>
      </c>
      <c r="J505" s="7"/>
    </row>
    <row r="506" spans="6:10" ht="18.75" customHeight="1">
      <c r="F506" s="1">
        <v>36739</v>
      </c>
      <c r="G506">
        <f t="shared" si="8"/>
        <v>8</v>
      </c>
      <c r="H506" s="7">
        <v>368.12</v>
      </c>
      <c r="J506" s="7"/>
    </row>
    <row r="507" spans="6:10" ht="18.75" customHeight="1">
      <c r="F507" s="1">
        <v>36770</v>
      </c>
      <c r="G507">
        <f t="shared" si="8"/>
        <v>9</v>
      </c>
      <c r="H507" s="7">
        <v>366.62</v>
      </c>
      <c r="J507" s="7"/>
    </row>
    <row r="508" spans="6:10" ht="18.75" customHeight="1">
      <c r="F508" s="1">
        <v>36800</v>
      </c>
      <c r="G508">
        <f t="shared" si="8"/>
        <v>10</v>
      </c>
      <c r="H508" s="7">
        <v>366.73</v>
      </c>
      <c r="J508" s="7"/>
    </row>
    <row r="509" spans="6:10" ht="18.75" customHeight="1">
      <c r="F509" s="1">
        <v>36831</v>
      </c>
      <c r="G509">
        <f t="shared" si="8"/>
        <v>11</v>
      </c>
      <c r="H509" s="7">
        <v>368.29</v>
      </c>
      <c r="J509" s="7"/>
    </row>
    <row r="510" spans="6:10" ht="18.75" customHeight="1">
      <c r="F510" s="1">
        <v>36861</v>
      </c>
      <c r="G510">
        <f t="shared" si="8"/>
        <v>12</v>
      </c>
      <c r="H510" s="7">
        <v>369.52</v>
      </c>
      <c r="J510" s="7"/>
    </row>
    <row r="511" spans="6:10" ht="18.75" customHeight="1">
      <c r="F511" s="1">
        <v>36892</v>
      </c>
      <c r="G511">
        <f t="shared" si="8"/>
        <v>1</v>
      </c>
      <c r="H511" s="7">
        <v>370.28</v>
      </c>
      <c r="J511" s="7"/>
    </row>
    <row r="512" spans="6:10" ht="18.75" customHeight="1">
      <c r="F512" s="1">
        <v>36923</v>
      </c>
      <c r="G512">
        <f t="shared" si="8"/>
        <v>2</v>
      </c>
      <c r="H512" s="7">
        <v>371.5</v>
      </c>
      <c r="J512" s="7"/>
    </row>
    <row r="513" spans="6:10" ht="18.75" customHeight="1">
      <c r="F513" s="1">
        <v>36951</v>
      </c>
      <c r="G513">
        <f t="shared" si="8"/>
        <v>3</v>
      </c>
      <c r="H513" s="7">
        <v>372.12</v>
      </c>
      <c r="J513" s="7"/>
    </row>
    <row r="514" spans="6:10" ht="18.75" customHeight="1">
      <c r="F514" s="1">
        <v>36982</v>
      </c>
      <c r="G514">
        <f t="shared" si="8"/>
        <v>4</v>
      </c>
      <c r="H514" s="7">
        <v>372.86</v>
      </c>
      <c r="J514" s="7"/>
    </row>
    <row r="515" spans="6:10" ht="18.75" customHeight="1">
      <c r="F515" s="1">
        <v>37012</v>
      </c>
      <c r="G515">
        <f t="shared" ref="G515:G578" si="9">MONTH(F515)</f>
        <v>5</v>
      </c>
      <c r="H515" s="7">
        <v>374.02</v>
      </c>
      <c r="J515" s="7"/>
    </row>
    <row r="516" spans="6:10" ht="18.75" customHeight="1">
      <c r="F516" s="1">
        <v>37043</v>
      </c>
      <c r="G516">
        <f t="shared" si="9"/>
        <v>6</v>
      </c>
      <c r="H516" s="7">
        <v>373.31</v>
      </c>
      <c r="J516" s="7"/>
    </row>
    <row r="517" spans="6:10" ht="18.75" customHeight="1">
      <c r="F517" s="1">
        <v>37073</v>
      </c>
      <c r="G517">
        <f t="shared" si="9"/>
        <v>7</v>
      </c>
      <c r="H517" s="7">
        <v>371.62</v>
      </c>
      <c r="J517" s="7"/>
    </row>
    <row r="518" spans="6:10" ht="18.75" customHeight="1">
      <c r="F518" s="1">
        <v>37104</v>
      </c>
      <c r="G518">
        <f t="shared" si="9"/>
        <v>8</v>
      </c>
      <c r="H518" s="7">
        <v>369.55</v>
      </c>
      <c r="J518" s="7"/>
    </row>
    <row r="519" spans="6:10" ht="18.75" customHeight="1">
      <c r="F519" s="1">
        <v>37135</v>
      </c>
      <c r="G519">
        <f t="shared" si="9"/>
        <v>9</v>
      </c>
      <c r="H519" s="7">
        <v>367.96</v>
      </c>
      <c r="J519" s="7"/>
    </row>
    <row r="520" spans="6:10" ht="18.75" customHeight="1">
      <c r="F520" s="1">
        <v>37165</v>
      </c>
      <c r="G520">
        <f t="shared" si="9"/>
        <v>10</v>
      </c>
      <c r="H520" s="7">
        <v>368.09</v>
      </c>
      <c r="J520" s="7"/>
    </row>
    <row r="521" spans="6:10" ht="18.75" customHeight="1">
      <c r="F521" s="1">
        <v>37196</v>
      </c>
      <c r="G521">
        <f t="shared" si="9"/>
        <v>11</v>
      </c>
      <c r="H521" s="7">
        <v>369.68</v>
      </c>
      <c r="J521" s="7"/>
    </row>
    <row r="522" spans="6:10" ht="18.75" customHeight="1">
      <c r="F522" s="1">
        <v>37226</v>
      </c>
      <c r="G522">
        <f t="shared" si="9"/>
        <v>12</v>
      </c>
      <c r="H522" s="7">
        <v>371.24</v>
      </c>
      <c r="J522" s="7"/>
    </row>
    <row r="523" spans="6:10" ht="18.75" customHeight="1">
      <c r="F523" s="1">
        <v>37257</v>
      </c>
      <c r="G523">
        <f t="shared" si="9"/>
        <v>1</v>
      </c>
      <c r="H523" s="7">
        <v>372.44</v>
      </c>
      <c r="J523" s="7"/>
    </row>
    <row r="524" spans="6:10" ht="18.75" customHeight="1">
      <c r="F524" s="1">
        <v>37288</v>
      </c>
      <c r="G524">
        <f t="shared" si="9"/>
        <v>2</v>
      </c>
      <c r="H524" s="7">
        <v>373.08</v>
      </c>
      <c r="J524" s="7"/>
    </row>
    <row r="525" spans="6:10" ht="18.75" customHeight="1">
      <c r="F525" s="1">
        <v>37316</v>
      </c>
      <c r="G525">
        <f t="shared" si="9"/>
        <v>3</v>
      </c>
      <c r="H525" s="7">
        <v>373.52</v>
      </c>
      <c r="J525" s="7"/>
    </row>
    <row r="526" spans="6:10" ht="18.75" customHeight="1">
      <c r="F526" s="1">
        <v>37347</v>
      </c>
      <c r="G526">
        <f t="shared" si="9"/>
        <v>4</v>
      </c>
      <c r="H526" s="7">
        <v>374.85</v>
      </c>
      <c r="J526" s="7"/>
    </row>
    <row r="527" spans="6:10" ht="18.75" customHeight="1">
      <c r="F527" s="1">
        <v>37377</v>
      </c>
      <c r="G527">
        <f t="shared" si="9"/>
        <v>5</v>
      </c>
      <c r="H527" s="7">
        <v>375.55</v>
      </c>
      <c r="J527" s="7"/>
    </row>
    <row r="528" spans="6:10" ht="18.75" customHeight="1">
      <c r="F528" s="1">
        <v>37408</v>
      </c>
      <c r="G528">
        <f t="shared" si="9"/>
        <v>6</v>
      </c>
      <c r="H528" s="7">
        <v>375.4</v>
      </c>
      <c r="J528" s="7"/>
    </row>
    <row r="529" spans="6:10" ht="18.75" customHeight="1">
      <c r="F529" s="1">
        <v>37438</v>
      </c>
      <c r="G529">
        <f t="shared" si="9"/>
        <v>7</v>
      </c>
      <c r="H529" s="7">
        <v>374.02</v>
      </c>
      <c r="J529" s="7"/>
    </row>
    <row r="530" spans="6:10" ht="18.75" customHeight="1">
      <c r="F530" s="1">
        <v>37469</v>
      </c>
      <c r="G530">
        <f t="shared" si="9"/>
        <v>8</v>
      </c>
      <c r="H530" s="7">
        <v>371.48</v>
      </c>
      <c r="J530" s="7"/>
    </row>
    <row r="531" spans="6:10" ht="18.75" customHeight="1">
      <c r="F531" s="1">
        <v>37500</v>
      </c>
      <c r="G531">
        <f t="shared" si="9"/>
        <v>9</v>
      </c>
      <c r="H531" s="7">
        <v>370.7</v>
      </c>
      <c r="J531" s="7"/>
    </row>
    <row r="532" spans="6:10" ht="18.75" customHeight="1">
      <c r="F532" s="1">
        <v>37530</v>
      </c>
      <c r="G532">
        <f t="shared" si="9"/>
        <v>10</v>
      </c>
      <c r="H532" s="7">
        <v>370.25</v>
      </c>
      <c r="J532" s="7"/>
    </row>
    <row r="533" spans="6:10" ht="18.75" customHeight="1">
      <c r="F533" s="1">
        <v>37561</v>
      </c>
      <c r="G533">
        <f t="shared" si="9"/>
        <v>11</v>
      </c>
      <c r="H533" s="7">
        <v>372.08</v>
      </c>
      <c r="J533" s="7"/>
    </row>
    <row r="534" spans="6:10" ht="18.75" customHeight="1">
      <c r="F534" s="1">
        <v>37591</v>
      </c>
      <c r="G534">
        <f t="shared" si="9"/>
        <v>12</v>
      </c>
      <c r="H534" s="7">
        <v>373.78</v>
      </c>
      <c r="J534" s="7"/>
    </row>
    <row r="535" spans="6:10" ht="18.75" customHeight="1">
      <c r="F535" s="1">
        <v>37622</v>
      </c>
      <c r="G535">
        <f t="shared" si="9"/>
        <v>1</v>
      </c>
      <c r="H535" s="7">
        <v>374.68</v>
      </c>
      <c r="J535" s="7"/>
    </row>
    <row r="536" spans="6:10" ht="18.75" customHeight="1">
      <c r="F536" s="1">
        <v>37653</v>
      </c>
      <c r="G536">
        <f t="shared" si="9"/>
        <v>2</v>
      </c>
      <c r="H536" s="7">
        <v>375.62</v>
      </c>
      <c r="J536" s="7"/>
    </row>
    <row r="537" spans="6:10" ht="18.75" customHeight="1">
      <c r="F537" s="1">
        <v>37681</v>
      </c>
      <c r="G537">
        <f t="shared" si="9"/>
        <v>3</v>
      </c>
      <c r="H537" s="7">
        <v>376.11</v>
      </c>
      <c r="J537" s="7"/>
    </row>
    <row r="538" spans="6:10" ht="18.75" customHeight="1">
      <c r="F538" s="1">
        <v>37712</v>
      </c>
      <c r="G538">
        <f t="shared" si="9"/>
        <v>4</v>
      </c>
      <c r="H538" s="7">
        <v>377.65</v>
      </c>
      <c r="J538" s="7"/>
    </row>
    <row r="539" spans="6:10" ht="18.75" customHeight="1">
      <c r="F539" s="1">
        <v>37742</v>
      </c>
      <c r="G539">
        <f t="shared" si="9"/>
        <v>5</v>
      </c>
      <c r="H539" s="7">
        <v>378.35</v>
      </c>
      <c r="J539" s="7"/>
    </row>
    <row r="540" spans="6:10" ht="18.75" customHeight="1">
      <c r="F540" s="1">
        <v>37773</v>
      </c>
      <c r="G540">
        <f t="shared" si="9"/>
        <v>6</v>
      </c>
      <c r="H540" s="7">
        <v>378.13</v>
      </c>
      <c r="J540" s="7"/>
    </row>
    <row r="541" spans="6:10" ht="18.75" customHeight="1">
      <c r="F541" s="1">
        <v>37803</v>
      </c>
      <c r="G541">
        <f t="shared" si="9"/>
        <v>7</v>
      </c>
      <c r="H541" s="7">
        <v>376.6</v>
      </c>
      <c r="J541" s="7"/>
    </row>
    <row r="542" spans="6:10" ht="18.75" customHeight="1">
      <c r="F542" s="1">
        <v>37834</v>
      </c>
      <c r="G542">
        <f t="shared" si="9"/>
        <v>8</v>
      </c>
      <c r="H542" s="7">
        <v>374.48</v>
      </c>
      <c r="J542" s="7"/>
    </row>
    <row r="543" spans="6:10" ht="18.75" customHeight="1">
      <c r="F543" s="1">
        <v>37865</v>
      </c>
      <c r="G543">
        <f t="shared" si="9"/>
        <v>9</v>
      </c>
      <c r="H543" s="7">
        <v>372.98</v>
      </c>
      <c r="J543" s="7"/>
    </row>
    <row r="544" spans="6:10" ht="18.75" customHeight="1">
      <c r="F544" s="1">
        <v>37895</v>
      </c>
      <c r="G544">
        <f t="shared" si="9"/>
        <v>10</v>
      </c>
      <c r="H544" s="7">
        <v>373</v>
      </c>
      <c r="J544" s="7"/>
    </row>
    <row r="545" spans="6:10" ht="18.75" customHeight="1">
      <c r="F545" s="1">
        <v>37926</v>
      </c>
      <c r="G545">
        <f t="shared" si="9"/>
        <v>11</v>
      </c>
      <c r="H545" s="7">
        <v>374.35</v>
      </c>
      <c r="J545" s="7"/>
    </row>
    <row r="546" spans="6:10" ht="18.75" customHeight="1">
      <c r="F546" s="1">
        <v>37956</v>
      </c>
      <c r="G546">
        <f t="shared" si="9"/>
        <v>12</v>
      </c>
      <c r="H546" s="7">
        <v>375.69</v>
      </c>
      <c r="J546" s="7"/>
    </row>
    <row r="547" spans="6:10" ht="18.75" customHeight="1">
      <c r="F547" s="1">
        <v>37987</v>
      </c>
      <c r="G547">
        <f t="shared" si="9"/>
        <v>1</v>
      </c>
      <c r="H547" s="7">
        <v>376.79</v>
      </c>
      <c r="J547" s="7"/>
    </row>
    <row r="548" spans="6:10" ht="18.75" customHeight="1">
      <c r="F548" s="1">
        <v>38018</v>
      </c>
      <c r="G548">
        <f t="shared" si="9"/>
        <v>2</v>
      </c>
      <c r="H548" s="7">
        <v>377.37</v>
      </c>
      <c r="J548" s="7"/>
    </row>
    <row r="549" spans="6:10" ht="18.75" customHeight="1">
      <c r="F549" s="1">
        <v>38047</v>
      </c>
      <c r="G549">
        <f t="shared" si="9"/>
        <v>3</v>
      </c>
      <c r="H549" s="7">
        <v>378.39</v>
      </c>
      <c r="J549" s="7"/>
    </row>
    <row r="550" spans="6:10" ht="18.75" customHeight="1">
      <c r="F550" s="1">
        <v>38078</v>
      </c>
      <c r="G550">
        <f t="shared" si="9"/>
        <v>4</v>
      </c>
      <c r="H550" s="7">
        <v>380.5</v>
      </c>
      <c r="J550" s="7"/>
    </row>
    <row r="551" spans="6:10" ht="18.75" customHeight="1">
      <c r="F551" s="1">
        <v>38108</v>
      </c>
      <c r="G551">
        <f t="shared" si="9"/>
        <v>5</v>
      </c>
      <c r="H551" s="7">
        <v>380.62</v>
      </c>
      <c r="J551" s="7"/>
    </row>
    <row r="552" spans="6:10" ht="18.75" customHeight="1">
      <c r="F552" s="1">
        <v>38139</v>
      </c>
      <c r="G552">
        <f t="shared" si="9"/>
        <v>6</v>
      </c>
      <c r="H552" s="7">
        <v>379.55</v>
      </c>
      <c r="J552" s="7"/>
    </row>
    <row r="553" spans="6:10" ht="18.75" customHeight="1">
      <c r="F553" s="1">
        <v>38169</v>
      </c>
      <c r="G553">
        <f t="shared" si="9"/>
        <v>7</v>
      </c>
      <c r="H553" s="7">
        <v>377.76</v>
      </c>
      <c r="J553" s="7"/>
    </row>
    <row r="554" spans="6:10" ht="18.75" customHeight="1">
      <c r="F554" s="1">
        <v>38200</v>
      </c>
      <c r="G554">
        <f t="shared" si="9"/>
        <v>8</v>
      </c>
      <c r="H554" s="7">
        <v>375.83</v>
      </c>
      <c r="J554" s="7"/>
    </row>
    <row r="555" spans="6:10" ht="18.75" customHeight="1">
      <c r="F555" s="1">
        <v>38231</v>
      </c>
      <c r="G555">
        <f t="shared" si="9"/>
        <v>9</v>
      </c>
      <c r="H555" s="7">
        <v>374.05</v>
      </c>
      <c r="J555" s="7"/>
    </row>
    <row r="556" spans="6:10" ht="18.75" customHeight="1">
      <c r="F556" s="1">
        <v>38261</v>
      </c>
      <c r="G556">
        <f t="shared" si="9"/>
        <v>10</v>
      </c>
      <c r="H556" s="7">
        <v>374.22</v>
      </c>
      <c r="J556" s="7"/>
    </row>
    <row r="557" spans="6:10" ht="18.75" customHeight="1">
      <c r="F557" s="1">
        <v>38292</v>
      </c>
      <c r="G557">
        <f t="shared" si="9"/>
        <v>11</v>
      </c>
      <c r="H557" s="7">
        <v>375.84</v>
      </c>
      <c r="J557" s="7"/>
    </row>
    <row r="558" spans="6:10" ht="18.75" customHeight="1">
      <c r="F558" s="1">
        <v>38322</v>
      </c>
      <c r="G558">
        <f t="shared" si="9"/>
        <v>12</v>
      </c>
      <c r="H558" s="7">
        <v>377.44</v>
      </c>
      <c r="J558" s="7"/>
    </row>
    <row r="559" spans="6:10" ht="18.75" customHeight="1">
      <c r="F559" s="1">
        <v>38353</v>
      </c>
      <c r="G559">
        <f t="shared" si="9"/>
        <v>1</v>
      </c>
      <c r="H559" s="7">
        <v>378.34</v>
      </c>
      <c r="J559" s="7"/>
    </row>
    <row r="560" spans="6:10" ht="18.75" customHeight="1">
      <c r="F560" s="1">
        <v>38384</v>
      </c>
      <c r="G560">
        <f t="shared" si="9"/>
        <v>2</v>
      </c>
      <c r="H560" s="7">
        <v>379.61</v>
      </c>
      <c r="J560" s="7"/>
    </row>
    <row r="561" spans="6:10" ht="18.75" customHeight="1">
      <c r="F561" s="1">
        <v>38412</v>
      </c>
      <c r="G561">
        <f t="shared" si="9"/>
        <v>3</v>
      </c>
      <c r="H561" s="7">
        <v>380.08</v>
      </c>
      <c r="J561" s="7"/>
    </row>
    <row r="562" spans="6:10" ht="18.75" customHeight="1">
      <c r="F562" s="1">
        <v>38443</v>
      </c>
      <c r="G562">
        <f t="shared" si="9"/>
        <v>4</v>
      </c>
      <c r="H562" s="7">
        <v>382.05</v>
      </c>
      <c r="J562" s="7"/>
    </row>
    <row r="563" spans="6:10" ht="18.75" customHeight="1">
      <c r="F563" s="1">
        <v>38473</v>
      </c>
      <c r="G563">
        <f t="shared" si="9"/>
        <v>5</v>
      </c>
      <c r="H563" s="7">
        <v>382.24</v>
      </c>
      <c r="J563" s="7"/>
    </row>
    <row r="564" spans="6:10" ht="18.75" customHeight="1">
      <c r="F564" s="1">
        <v>38504</v>
      </c>
      <c r="G564">
        <f t="shared" si="9"/>
        <v>6</v>
      </c>
      <c r="H564" s="7">
        <v>382.08</v>
      </c>
      <c r="J564" s="7"/>
    </row>
    <row r="565" spans="6:10" ht="18.75" customHeight="1">
      <c r="F565" s="1">
        <v>38534</v>
      </c>
      <c r="G565">
        <f t="shared" si="9"/>
        <v>7</v>
      </c>
      <c r="H565" s="7">
        <v>380.66</v>
      </c>
      <c r="J565" s="7"/>
    </row>
    <row r="566" spans="6:10" ht="18.75" customHeight="1">
      <c r="F566" s="1">
        <v>38565</v>
      </c>
      <c r="G566">
        <f t="shared" si="9"/>
        <v>8</v>
      </c>
      <c r="H566" s="7">
        <v>378.67</v>
      </c>
      <c r="J566" s="7"/>
    </row>
    <row r="567" spans="6:10" ht="18.75" customHeight="1">
      <c r="F567" s="1">
        <v>38596</v>
      </c>
      <c r="G567">
        <f t="shared" si="9"/>
        <v>9</v>
      </c>
      <c r="H567" s="7">
        <v>376.42</v>
      </c>
      <c r="J567" s="7"/>
    </row>
    <row r="568" spans="6:10" ht="18.75" customHeight="1">
      <c r="F568" s="1">
        <v>38626</v>
      </c>
      <c r="G568">
        <f t="shared" si="9"/>
        <v>10</v>
      </c>
      <c r="H568" s="7">
        <v>376.8</v>
      </c>
      <c r="J568" s="7"/>
    </row>
    <row r="569" spans="6:10" ht="18.75" customHeight="1">
      <c r="F569" s="1">
        <v>38657</v>
      </c>
      <c r="G569">
        <f t="shared" si="9"/>
        <v>11</v>
      </c>
      <c r="H569" s="7">
        <v>378.31</v>
      </c>
      <c r="J569" s="7"/>
    </row>
    <row r="570" spans="6:10" ht="18.75" customHeight="1">
      <c r="F570" s="1">
        <v>38687</v>
      </c>
      <c r="G570">
        <f t="shared" si="9"/>
        <v>12</v>
      </c>
      <c r="H570" s="7">
        <v>379.96</v>
      </c>
      <c r="J570" s="7"/>
    </row>
    <row r="571" spans="6:10" ht="18.75" customHeight="1">
      <c r="F571" s="1">
        <v>38718</v>
      </c>
      <c r="G571">
        <f t="shared" si="9"/>
        <v>1</v>
      </c>
      <c r="H571" s="7">
        <v>381.37</v>
      </c>
      <c r="J571" s="7"/>
    </row>
    <row r="572" spans="6:10" ht="18.75" customHeight="1">
      <c r="F572" s="1">
        <v>38749</v>
      </c>
      <c r="G572">
        <f t="shared" si="9"/>
        <v>2</v>
      </c>
      <c r="H572" s="7">
        <v>382.02</v>
      </c>
      <c r="J572" s="7"/>
    </row>
    <row r="573" spans="6:10" ht="18.75" customHeight="1">
      <c r="F573" s="1">
        <v>38777</v>
      </c>
      <c r="G573">
        <f t="shared" si="9"/>
        <v>3</v>
      </c>
      <c r="H573" s="7">
        <v>382.56</v>
      </c>
      <c r="J573" s="7"/>
    </row>
    <row r="574" spans="6:10" ht="18.75" customHeight="1">
      <c r="F574" s="1">
        <v>38808</v>
      </c>
      <c r="G574">
        <f t="shared" si="9"/>
        <v>4</v>
      </c>
      <c r="H574" s="7">
        <v>384.36</v>
      </c>
      <c r="J574" s="7"/>
    </row>
    <row r="575" spans="6:10" ht="18.75" customHeight="1">
      <c r="F575" s="1">
        <v>38838</v>
      </c>
      <c r="G575">
        <f t="shared" si="9"/>
        <v>5</v>
      </c>
      <c r="H575" s="7">
        <v>384.92</v>
      </c>
      <c r="J575" s="7"/>
    </row>
    <row r="576" spans="6:10" ht="18.75" customHeight="1">
      <c r="F576" s="1">
        <v>38869</v>
      </c>
      <c r="G576">
        <f t="shared" si="9"/>
        <v>6</v>
      </c>
      <c r="H576" s="7">
        <v>384.03</v>
      </c>
      <c r="J576" s="7"/>
    </row>
    <row r="577" spans="6:10" ht="18.75" customHeight="1">
      <c r="F577" s="1">
        <v>38899</v>
      </c>
      <c r="G577">
        <f t="shared" si="9"/>
        <v>7</v>
      </c>
      <c r="H577" s="7">
        <v>382.28</v>
      </c>
      <c r="J577" s="7"/>
    </row>
    <row r="578" spans="6:10" ht="18.75" customHeight="1">
      <c r="F578" s="1">
        <v>38930</v>
      </c>
      <c r="G578">
        <f t="shared" si="9"/>
        <v>8</v>
      </c>
      <c r="H578" s="7">
        <v>380.48</v>
      </c>
      <c r="J578" s="7"/>
    </row>
    <row r="579" spans="6:10" ht="18.75" customHeight="1">
      <c r="F579" s="1">
        <v>38961</v>
      </c>
      <c r="G579">
        <f t="shared" ref="G579:G642" si="10">MONTH(F579)</f>
        <v>9</v>
      </c>
      <c r="H579" s="7">
        <v>378.81</v>
      </c>
      <c r="J579" s="7"/>
    </row>
    <row r="580" spans="6:10" ht="18.75" customHeight="1">
      <c r="F580" s="1">
        <v>38991</v>
      </c>
      <c r="G580">
        <f t="shared" si="10"/>
        <v>10</v>
      </c>
      <c r="H580" s="7">
        <v>379.06</v>
      </c>
      <c r="J580" s="7"/>
    </row>
    <row r="581" spans="6:10" ht="18.75" customHeight="1">
      <c r="F581" s="1">
        <v>39022</v>
      </c>
      <c r="G581">
        <f t="shared" si="10"/>
        <v>11</v>
      </c>
      <c r="H581" s="7">
        <v>380.14</v>
      </c>
      <c r="J581" s="7"/>
    </row>
    <row r="582" spans="6:10" ht="18.75" customHeight="1">
      <c r="F582" s="1">
        <v>39052</v>
      </c>
      <c r="G582">
        <f t="shared" si="10"/>
        <v>12</v>
      </c>
      <c r="H582" s="7">
        <v>381.66</v>
      </c>
      <c r="J582" s="7"/>
    </row>
    <row r="583" spans="6:10" ht="18.75" customHeight="1">
      <c r="F583" s="1">
        <v>39083</v>
      </c>
      <c r="G583">
        <f t="shared" si="10"/>
        <v>1</v>
      </c>
      <c r="H583" s="7">
        <v>382.58</v>
      </c>
      <c r="J583" s="7"/>
    </row>
    <row r="584" spans="6:10" ht="18.75" customHeight="1">
      <c r="F584" s="1">
        <v>39114</v>
      </c>
      <c r="G584">
        <f t="shared" si="10"/>
        <v>2</v>
      </c>
      <c r="H584" s="7">
        <v>383.71</v>
      </c>
      <c r="J584" s="7"/>
    </row>
    <row r="585" spans="6:10" ht="18.75" customHeight="1">
      <c r="F585" s="1">
        <v>39142</v>
      </c>
      <c r="G585">
        <f t="shared" si="10"/>
        <v>3</v>
      </c>
      <c r="H585" s="7">
        <v>384.34</v>
      </c>
      <c r="J585" s="7"/>
    </row>
    <row r="586" spans="6:10" ht="18.75" customHeight="1">
      <c r="F586" s="1">
        <v>39173</v>
      </c>
      <c r="G586">
        <f t="shared" si="10"/>
        <v>4</v>
      </c>
      <c r="H586" s="7">
        <v>386.23</v>
      </c>
      <c r="J586" s="7"/>
    </row>
    <row r="587" spans="6:10" ht="18.75" customHeight="1">
      <c r="F587" s="1">
        <v>39203</v>
      </c>
      <c r="G587">
        <f t="shared" si="10"/>
        <v>5</v>
      </c>
      <c r="H587" s="7">
        <v>386.41</v>
      </c>
      <c r="J587" s="7"/>
    </row>
    <row r="588" spans="6:10" ht="18.75" customHeight="1">
      <c r="F588" s="1">
        <v>39234</v>
      </c>
      <c r="G588">
        <f t="shared" si="10"/>
        <v>6</v>
      </c>
      <c r="H588" s="7">
        <v>385.87</v>
      </c>
      <c r="J588" s="7"/>
    </row>
    <row r="589" spans="6:10" ht="18.75" customHeight="1">
      <c r="F589" s="1">
        <v>39264</v>
      </c>
      <c r="G589">
        <f t="shared" si="10"/>
        <v>7</v>
      </c>
      <c r="H589" s="7">
        <v>384.44</v>
      </c>
      <c r="J589" s="7"/>
    </row>
    <row r="590" spans="6:10" ht="18.75" customHeight="1">
      <c r="F590" s="1">
        <v>39295</v>
      </c>
      <c r="G590">
        <f t="shared" si="10"/>
        <v>8</v>
      </c>
      <c r="H590" s="7">
        <v>381.84</v>
      </c>
      <c r="J590" s="7"/>
    </row>
    <row r="591" spans="6:10" ht="18.75" customHeight="1">
      <c r="F591" s="1">
        <v>39326</v>
      </c>
      <c r="G591">
        <f t="shared" si="10"/>
        <v>9</v>
      </c>
      <c r="H591" s="7">
        <v>380.86</v>
      </c>
      <c r="J591" s="7"/>
    </row>
    <row r="592" spans="6:10" ht="18.75" customHeight="1">
      <c r="F592" s="1">
        <v>39356</v>
      </c>
      <c r="G592">
        <f t="shared" si="10"/>
        <v>10</v>
      </c>
      <c r="H592" s="7">
        <v>380.86</v>
      </c>
      <c r="J592" s="7"/>
    </row>
    <row r="593" spans="6:10" ht="18.75" customHeight="1">
      <c r="F593" s="1">
        <v>39387</v>
      </c>
      <c r="G593">
        <f t="shared" si="10"/>
        <v>11</v>
      </c>
      <c r="H593" s="7">
        <v>382.36</v>
      </c>
      <c r="J593" s="7"/>
    </row>
    <row r="594" spans="6:10" ht="18.75" customHeight="1">
      <c r="F594" s="1">
        <v>39417</v>
      </c>
      <c r="G594">
        <f t="shared" si="10"/>
        <v>12</v>
      </c>
      <c r="H594" s="7">
        <v>383.61</v>
      </c>
      <c r="J594" s="7"/>
    </row>
    <row r="595" spans="6:10" ht="18.75" customHeight="1">
      <c r="F595" s="1">
        <v>39448</v>
      </c>
      <c r="G595">
        <f t="shared" si="10"/>
        <v>1</v>
      </c>
      <c r="H595" s="7">
        <v>385.07</v>
      </c>
      <c r="J595" s="7"/>
    </row>
    <row r="596" spans="6:10" ht="18.75" customHeight="1">
      <c r="F596" s="1">
        <v>39479</v>
      </c>
      <c r="G596">
        <f t="shared" si="10"/>
        <v>2</v>
      </c>
      <c r="H596" s="7">
        <v>385.84</v>
      </c>
      <c r="J596" s="7"/>
    </row>
    <row r="597" spans="6:10" ht="18.75" customHeight="1">
      <c r="F597" s="1">
        <v>39508</v>
      </c>
      <c r="G597">
        <f t="shared" si="10"/>
        <v>3</v>
      </c>
      <c r="H597" s="7">
        <v>385.83</v>
      </c>
      <c r="J597" s="7"/>
    </row>
    <row r="598" spans="6:10" ht="18.75" customHeight="1">
      <c r="F598" s="1">
        <v>39539</v>
      </c>
      <c r="G598">
        <f t="shared" si="10"/>
        <v>4</v>
      </c>
      <c r="H598" s="7">
        <v>386.77</v>
      </c>
      <c r="J598" s="7"/>
    </row>
    <row r="599" spans="6:10" ht="18.75" customHeight="1">
      <c r="F599" s="1">
        <v>39569</v>
      </c>
      <c r="G599">
        <f t="shared" si="10"/>
        <v>5</v>
      </c>
      <c r="H599" s="7">
        <v>388.51</v>
      </c>
      <c r="J599" s="7"/>
    </row>
    <row r="600" spans="6:10" ht="18.75" customHeight="1">
      <c r="F600" s="1">
        <v>39600</v>
      </c>
      <c r="G600">
        <f t="shared" si="10"/>
        <v>6</v>
      </c>
      <c r="H600" s="7">
        <v>388.05</v>
      </c>
      <c r="J600" s="7"/>
    </row>
    <row r="601" spans="6:10" ht="18.75" customHeight="1">
      <c r="F601" s="1">
        <v>39630</v>
      </c>
      <c r="G601">
        <f t="shared" si="10"/>
        <v>7</v>
      </c>
      <c r="H601" s="7">
        <v>386.25</v>
      </c>
      <c r="J601" s="7"/>
    </row>
    <row r="602" spans="6:10" ht="18.75" customHeight="1">
      <c r="F602" s="1">
        <v>39661</v>
      </c>
      <c r="G602">
        <f t="shared" si="10"/>
        <v>8</v>
      </c>
      <c r="H602" s="7">
        <v>384.08</v>
      </c>
      <c r="J602" s="7"/>
    </row>
    <row r="603" spans="6:10" ht="18.75" customHeight="1">
      <c r="F603" s="1">
        <v>39692</v>
      </c>
      <c r="G603">
        <f t="shared" si="10"/>
        <v>9</v>
      </c>
      <c r="H603" s="7">
        <v>383.09</v>
      </c>
      <c r="J603" s="7"/>
    </row>
    <row r="604" spans="6:10" ht="18.75" customHeight="1">
      <c r="F604" s="1">
        <v>39722</v>
      </c>
      <c r="G604">
        <f t="shared" si="10"/>
        <v>10</v>
      </c>
      <c r="H604" s="7">
        <v>382.78</v>
      </c>
      <c r="J604" s="7"/>
    </row>
    <row r="605" spans="6:10" ht="18.75" customHeight="1">
      <c r="F605" s="1">
        <v>39753</v>
      </c>
      <c r="G605">
        <f t="shared" si="10"/>
        <v>11</v>
      </c>
      <c r="H605" s="7">
        <v>384.01</v>
      </c>
      <c r="J605" s="7"/>
    </row>
    <row r="606" spans="6:10" ht="18.75" customHeight="1">
      <c r="F606" s="1">
        <v>39783</v>
      </c>
      <c r="G606">
        <f t="shared" si="10"/>
        <v>12</v>
      </c>
      <c r="H606" s="7">
        <v>385.11</v>
      </c>
      <c r="J606" s="7"/>
    </row>
    <row r="607" spans="6:10" ht="18.75" customHeight="1">
      <c r="F607" s="1">
        <v>39814</v>
      </c>
      <c r="G607">
        <f t="shared" si="10"/>
        <v>1</v>
      </c>
      <c r="H607" s="7">
        <v>386.65</v>
      </c>
      <c r="J607" s="7"/>
    </row>
    <row r="608" spans="6:10" ht="18.75" customHeight="1">
      <c r="F608" s="1">
        <v>39845</v>
      </c>
      <c r="G608">
        <f t="shared" si="10"/>
        <v>2</v>
      </c>
      <c r="H608" s="7">
        <v>387.12</v>
      </c>
      <c r="J608" s="7"/>
    </row>
    <row r="609" spans="6:10" ht="18.75" customHeight="1">
      <c r="F609" s="1">
        <v>39873</v>
      </c>
      <c r="G609">
        <f t="shared" si="10"/>
        <v>3</v>
      </c>
      <c r="H609" s="7">
        <v>388.52</v>
      </c>
      <c r="J609" s="7"/>
    </row>
    <row r="610" spans="6:10" ht="18.75" customHeight="1">
      <c r="F610" s="1">
        <v>39904</v>
      </c>
      <c r="G610">
        <f t="shared" si="10"/>
        <v>4</v>
      </c>
      <c r="H610" s="7">
        <v>389.57</v>
      </c>
      <c r="J610" s="7"/>
    </row>
    <row r="611" spans="6:10" ht="18.75" customHeight="1">
      <c r="F611" s="1">
        <v>39934</v>
      </c>
      <c r="G611">
        <f t="shared" si="10"/>
        <v>5</v>
      </c>
      <c r="H611" s="7">
        <v>390.17</v>
      </c>
      <c r="J611" s="7"/>
    </row>
    <row r="612" spans="6:10" ht="18.75" customHeight="1">
      <c r="F612" s="1">
        <v>39965</v>
      </c>
      <c r="G612">
        <f t="shared" si="10"/>
        <v>6</v>
      </c>
      <c r="H612" s="7">
        <v>389.62</v>
      </c>
      <c r="J612" s="7"/>
    </row>
    <row r="613" spans="6:10" ht="18.75" customHeight="1">
      <c r="F613" s="1">
        <v>39995</v>
      </c>
      <c r="G613">
        <f t="shared" si="10"/>
        <v>7</v>
      </c>
      <c r="H613" s="7">
        <v>388.07</v>
      </c>
      <c r="J613" s="7"/>
    </row>
    <row r="614" spans="6:10" ht="18.75" customHeight="1">
      <c r="F614" s="1">
        <v>40026</v>
      </c>
      <c r="G614">
        <f t="shared" si="10"/>
        <v>8</v>
      </c>
      <c r="H614" s="7">
        <v>386.08</v>
      </c>
      <c r="J614" s="7"/>
    </row>
    <row r="615" spans="6:10" ht="18.75" customHeight="1">
      <c r="F615" s="1">
        <v>40057</v>
      </c>
      <c r="G615">
        <f t="shared" si="10"/>
        <v>9</v>
      </c>
      <c r="H615" s="7">
        <v>384.65</v>
      </c>
      <c r="J615" s="7"/>
    </row>
    <row r="616" spans="6:10" ht="18.75" customHeight="1">
      <c r="F616" s="1">
        <v>40087</v>
      </c>
      <c r="G616">
        <f t="shared" si="10"/>
        <v>10</v>
      </c>
      <c r="H616" s="7">
        <v>384.33</v>
      </c>
      <c r="J616" s="7"/>
    </row>
    <row r="617" spans="6:10" ht="18.75" customHeight="1">
      <c r="F617" s="1">
        <v>40118</v>
      </c>
      <c r="G617">
        <f t="shared" si="10"/>
        <v>11</v>
      </c>
      <c r="H617" s="7">
        <v>386.05</v>
      </c>
      <c r="J617" s="7"/>
    </row>
    <row r="618" spans="6:10" ht="18.75" customHeight="1">
      <c r="F618" s="1">
        <v>40148</v>
      </c>
      <c r="G618">
        <f t="shared" si="10"/>
        <v>12</v>
      </c>
      <c r="H618" s="7">
        <v>387.49</v>
      </c>
      <c r="J618" s="7"/>
    </row>
    <row r="619" spans="6:10" ht="18.75" customHeight="1">
      <c r="F619" s="1">
        <v>40179</v>
      </c>
      <c r="G619">
        <f t="shared" si="10"/>
        <v>1</v>
      </c>
      <c r="H619" s="7">
        <v>388.55</v>
      </c>
      <c r="J619" s="7"/>
    </row>
    <row r="620" spans="6:10" ht="18.75" customHeight="1">
      <c r="F620" s="1">
        <v>40210</v>
      </c>
      <c r="G620">
        <f t="shared" si="10"/>
        <v>2</v>
      </c>
      <c r="H620" s="7">
        <v>390.08</v>
      </c>
      <c r="J620" s="7"/>
    </row>
    <row r="621" spans="6:10" ht="18.75" customHeight="1">
      <c r="F621" s="1">
        <v>40238</v>
      </c>
      <c r="G621">
        <f t="shared" si="10"/>
        <v>3</v>
      </c>
      <c r="H621" s="7">
        <v>391.01</v>
      </c>
      <c r="J621" s="7"/>
    </row>
    <row r="622" spans="6:10" ht="18.75" customHeight="1">
      <c r="F622" s="1">
        <v>40269</v>
      </c>
      <c r="G622">
        <f t="shared" si="10"/>
        <v>4</v>
      </c>
      <c r="H622" s="7">
        <v>392.38</v>
      </c>
      <c r="J622" s="7"/>
    </row>
    <row r="623" spans="6:10" ht="18.75" customHeight="1">
      <c r="F623" s="1">
        <v>40299</v>
      </c>
      <c r="G623">
        <f t="shared" si="10"/>
        <v>5</v>
      </c>
      <c r="H623" s="7">
        <v>393.22</v>
      </c>
      <c r="J623" s="7"/>
    </row>
    <row r="624" spans="6:10" ht="18.75" customHeight="1">
      <c r="F624" s="1">
        <v>40330</v>
      </c>
      <c r="G624">
        <f t="shared" si="10"/>
        <v>6</v>
      </c>
      <c r="H624" s="7">
        <v>392.24</v>
      </c>
      <c r="J624" s="7"/>
    </row>
    <row r="625" spans="6:10" ht="18.75" customHeight="1">
      <c r="F625" s="1">
        <v>40360</v>
      </c>
      <c r="G625">
        <f t="shared" si="10"/>
        <v>7</v>
      </c>
      <c r="H625" s="7">
        <v>390.33</v>
      </c>
      <c r="J625" s="7"/>
    </row>
    <row r="626" spans="6:10" ht="18.75" customHeight="1">
      <c r="F626" s="1">
        <v>40391</v>
      </c>
      <c r="G626">
        <f t="shared" si="10"/>
        <v>8</v>
      </c>
      <c r="H626" s="7">
        <v>388.52</v>
      </c>
      <c r="J626" s="7"/>
    </row>
    <row r="627" spans="6:10" ht="18.75" customHeight="1">
      <c r="F627" s="1">
        <v>40422</v>
      </c>
      <c r="G627">
        <f t="shared" si="10"/>
        <v>9</v>
      </c>
      <c r="H627" s="7">
        <v>386.84</v>
      </c>
      <c r="J627" s="7"/>
    </row>
    <row r="628" spans="6:10" ht="18.75" customHeight="1">
      <c r="F628" s="1">
        <v>40452</v>
      </c>
      <c r="G628">
        <f t="shared" si="10"/>
        <v>10</v>
      </c>
      <c r="H628" s="7">
        <v>387.16</v>
      </c>
      <c r="J628" s="7"/>
    </row>
    <row r="629" spans="6:10" ht="18.75" customHeight="1">
      <c r="F629" s="1">
        <v>40483</v>
      </c>
      <c r="G629">
        <f t="shared" si="10"/>
        <v>11</v>
      </c>
      <c r="H629" s="7">
        <v>388.67</v>
      </c>
      <c r="J629" s="7"/>
    </row>
    <row r="630" spans="6:10" ht="18.75" customHeight="1">
      <c r="F630" s="1">
        <v>40513</v>
      </c>
      <c r="G630">
        <f t="shared" si="10"/>
        <v>12</v>
      </c>
      <c r="H630" s="7">
        <v>389.81</v>
      </c>
      <c r="J630" s="7"/>
    </row>
    <row r="631" spans="6:10" ht="18.75" customHeight="1">
      <c r="F631" s="1">
        <v>40544</v>
      </c>
      <c r="G631">
        <f t="shared" si="10"/>
        <v>1</v>
      </c>
      <c r="H631" s="7">
        <v>391.3</v>
      </c>
      <c r="J631" s="7"/>
    </row>
    <row r="632" spans="6:10" ht="18.75" customHeight="1">
      <c r="F632" s="1">
        <v>40575</v>
      </c>
      <c r="G632">
        <f t="shared" si="10"/>
        <v>2</v>
      </c>
      <c r="H632" s="7">
        <v>391.92</v>
      </c>
      <c r="J632" s="7"/>
    </row>
    <row r="633" spans="6:10" ht="18.75" customHeight="1">
      <c r="F633" s="1">
        <v>40603</v>
      </c>
      <c r="G633">
        <f t="shared" si="10"/>
        <v>3</v>
      </c>
      <c r="H633" s="7">
        <v>392.45</v>
      </c>
      <c r="J633" s="7"/>
    </row>
    <row r="634" spans="6:10" ht="18.75" customHeight="1">
      <c r="F634" s="1">
        <v>40634</v>
      </c>
      <c r="G634">
        <f t="shared" si="10"/>
        <v>4</v>
      </c>
      <c r="H634" s="7">
        <v>393.37</v>
      </c>
      <c r="J634" s="7"/>
    </row>
    <row r="635" spans="6:10" ht="18.75" customHeight="1">
      <c r="F635" s="1">
        <v>40664</v>
      </c>
      <c r="G635">
        <f t="shared" si="10"/>
        <v>5</v>
      </c>
      <c r="H635" s="7">
        <v>394.28</v>
      </c>
      <c r="J635" s="7"/>
    </row>
    <row r="636" spans="6:10" ht="18.75" customHeight="1">
      <c r="F636" s="1">
        <v>40695</v>
      </c>
      <c r="G636">
        <f t="shared" si="10"/>
        <v>6</v>
      </c>
      <c r="H636" s="7">
        <v>393.69</v>
      </c>
      <c r="J636" s="7"/>
    </row>
    <row r="637" spans="6:10" ht="18.75" customHeight="1">
      <c r="F637" s="1">
        <v>40725</v>
      </c>
      <c r="G637">
        <f t="shared" si="10"/>
        <v>7</v>
      </c>
      <c r="H637" s="7">
        <v>392.59</v>
      </c>
      <c r="J637" s="7"/>
    </row>
    <row r="638" spans="6:10" ht="18.75" customHeight="1">
      <c r="F638" s="1">
        <v>40756</v>
      </c>
      <c r="G638">
        <f t="shared" si="10"/>
        <v>8</v>
      </c>
      <c r="H638" s="7">
        <v>390.21</v>
      </c>
      <c r="J638" s="7"/>
    </row>
    <row r="639" spans="6:10" ht="18.75" customHeight="1">
      <c r="F639" s="1">
        <v>40787</v>
      </c>
      <c r="G639">
        <f t="shared" si="10"/>
        <v>9</v>
      </c>
      <c r="H639" s="7">
        <v>389</v>
      </c>
      <c r="J639" s="7"/>
    </row>
    <row r="640" spans="6:10" ht="18.75" customHeight="1">
      <c r="F640" s="1">
        <v>40817</v>
      </c>
      <c r="G640">
        <f t="shared" si="10"/>
        <v>10</v>
      </c>
      <c r="H640" s="7">
        <v>388.93</v>
      </c>
      <c r="J640" s="7"/>
    </row>
    <row r="641" spans="6:10" ht="18.75" customHeight="1">
      <c r="F641" s="1">
        <v>40848</v>
      </c>
      <c r="G641">
        <f t="shared" si="10"/>
        <v>11</v>
      </c>
      <c r="H641" s="7">
        <v>390.24</v>
      </c>
      <c r="J641" s="7"/>
    </row>
    <row r="642" spans="6:10" ht="18.75" customHeight="1">
      <c r="F642" s="1">
        <v>40878</v>
      </c>
      <c r="G642">
        <f t="shared" si="10"/>
        <v>12</v>
      </c>
      <c r="H642" s="7">
        <v>391.8</v>
      </c>
      <c r="J642" s="7"/>
    </row>
    <row r="643" spans="6:10" ht="18.75" customHeight="1">
      <c r="F643" s="1">
        <v>40909</v>
      </c>
      <c r="G643">
        <f t="shared" ref="G643:G706" si="11">MONTH(F643)</f>
        <v>1</v>
      </c>
      <c r="H643" s="7">
        <v>393.07</v>
      </c>
      <c r="J643" s="7"/>
    </row>
    <row r="644" spans="6:10" ht="18.75" customHeight="1">
      <c r="F644" s="1">
        <v>40940</v>
      </c>
      <c r="G644">
        <f t="shared" si="11"/>
        <v>2</v>
      </c>
      <c r="H644" s="7">
        <v>393.35</v>
      </c>
      <c r="J644" s="7"/>
    </row>
    <row r="645" spans="6:10" ht="18.75" customHeight="1">
      <c r="F645" s="1">
        <v>40969</v>
      </c>
      <c r="G645">
        <f t="shared" si="11"/>
        <v>3</v>
      </c>
      <c r="H645" s="7">
        <v>394.36</v>
      </c>
      <c r="J645" s="7"/>
    </row>
    <row r="646" spans="6:10" ht="18.75" customHeight="1">
      <c r="F646" s="1">
        <v>41000</v>
      </c>
      <c r="G646">
        <f t="shared" si="11"/>
        <v>4</v>
      </c>
      <c r="H646" s="7">
        <v>396.43</v>
      </c>
      <c r="J646" s="7"/>
    </row>
    <row r="647" spans="6:10" ht="18.75" customHeight="1">
      <c r="F647" s="1">
        <v>41030</v>
      </c>
      <c r="G647">
        <f t="shared" si="11"/>
        <v>5</v>
      </c>
      <c r="H647" s="7">
        <v>396.87</v>
      </c>
      <c r="J647" s="7"/>
    </row>
    <row r="648" spans="6:10" ht="18.75" customHeight="1">
      <c r="F648" s="1">
        <v>41061</v>
      </c>
      <c r="G648">
        <f t="shared" si="11"/>
        <v>6</v>
      </c>
      <c r="H648" s="7">
        <v>395.88</v>
      </c>
      <c r="J648" s="7"/>
    </row>
    <row r="649" spans="6:10" ht="18.75" customHeight="1">
      <c r="F649" s="1">
        <v>41091</v>
      </c>
      <c r="G649">
        <f t="shared" si="11"/>
        <v>7</v>
      </c>
      <c r="H649" s="7">
        <v>394.52</v>
      </c>
      <c r="J649" s="7"/>
    </row>
    <row r="650" spans="6:10" ht="18.75" customHeight="1">
      <c r="F650" s="1">
        <v>41122</v>
      </c>
      <c r="G650">
        <f t="shared" si="11"/>
        <v>8</v>
      </c>
      <c r="H650" s="7">
        <v>392.54</v>
      </c>
      <c r="J650" s="7"/>
    </row>
    <row r="651" spans="6:10" ht="18.75" customHeight="1">
      <c r="F651" s="1">
        <v>41153</v>
      </c>
      <c r="G651">
        <f t="shared" si="11"/>
        <v>9</v>
      </c>
      <c r="H651" s="7">
        <v>391.13</v>
      </c>
      <c r="J651" s="7"/>
    </row>
    <row r="652" spans="6:10" ht="18.75" customHeight="1">
      <c r="F652" s="1">
        <v>41183</v>
      </c>
      <c r="G652">
        <f t="shared" si="11"/>
        <v>10</v>
      </c>
      <c r="H652" s="7">
        <v>391.01</v>
      </c>
      <c r="J652" s="7"/>
    </row>
    <row r="653" spans="6:10" ht="18.75" customHeight="1">
      <c r="F653" s="1">
        <v>41214</v>
      </c>
      <c r="G653">
        <f t="shared" si="11"/>
        <v>11</v>
      </c>
      <c r="H653" s="7">
        <v>392.95</v>
      </c>
      <c r="J653" s="7"/>
    </row>
    <row r="654" spans="6:10" ht="18.75" customHeight="1">
      <c r="F654" s="1">
        <v>41244</v>
      </c>
      <c r="G654">
        <f t="shared" si="11"/>
        <v>12</v>
      </c>
      <c r="H654" s="7">
        <v>394.33</v>
      </c>
      <c r="J654" s="7"/>
    </row>
    <row r="655" spans="6:10" ht="18.75" customHeight="1">
      <c r="F655" s="1">
        <v>41275</v>
      </c>
      <c r="G655">
        <f t="shared" si="11"/>
        <v>1</v>
      </c>
      <c r="H655" s="7">
        <v>395.61</v>
      </c>
      <c r="J655" s="7"/>
    </row>
    <row r="656" spans="6:10" ht="18.75" customHeight="1">
      <c r="F656" s="1">
        <v>41306</v>
      </c>
      <c r="G656">
        <f t="shared" si="11"/>
        <v>2</v>
      </c>
      <c r="H656" s="7">
        <v>396.85</v>
      </c>
      <c r="J656" s="7"/>
    </row>
    <row r="657" spans="6:10" ht="18.75" customHeight="1">
      <c r="F657" s="1">
        <v>41334</v>
      </c>
      <c r="G657">
        <f t="shared" si="11"/>
        <v>3</v>
      </c>
      <c r="H657" s="7">
        <v>397.26</v>
      </c>
      <c r="J657" s="7"/>
    </row>
    <row r="658" spans="6:10" ht="18.75" customHeight="1">
      <c r="F658" s="1">
        <v>41365</v>
      </c>
      <c r="G658">
        <f t="shared" si="11"/>
        <v>4</v>
      </c>
      <c r="H658" s="7">
        <v>398.35</v>
      </c>
      <c r="J658" s="7"/>
    </row>
    <row r="659" spans="6:10" ht="18.75" customHeight="1">
      <c r="F659" s="1">
        <v>41395</v>
      </c>
      <c r="G659">
        <f t="shared" si="11"/>
        <v>5</v>
      </c>
      <c r="H659" s="7">
        <v>399.98</v>
      </c>
      <c r="J659" s="7"/>
    </row>
    <row r="660" spans="6:10" ht="18.75" customHeight="1">
      <c r="F660" s="1">
        <v>41426</v>
      </c>
      <c r="G660">
        <f t="shared" si="11"/>
        <v>6</v>
      </c>
      <c r="H660" s="7">
        <v>398.87</v>
      </c>
      <c r="J660" s="7"/>
    </row>
    <row r="661" spans="6:10" ht="18.75" customHeight="1">
      <c r="F661" s="1">
        <v>41456</v>
      </c>
      <c r="G661">
        <f t="shared" si="11"/>
        <v>7</v>
      </c>
      <c r="H661" s="7">
        <v>397.37</v>
      </c>
      <c r="J661" s="7"/>
    </row>
    <row r="662" spans="6:10" ht="18.75" customHeight="1">
      <c r="F662" s="1">
        <v>41487</v>
      </c>
      <c r="G662">
        <f t="shared" si="11"/>
        <v>8</v>
      </c>
      <c r="H662" s="7">
        <v>395.41</v>
      </c>
      <c r="J662" s="7"/>
    </row>
    <row r="663" spans="6:10" ht="18.75" customHeight="1">
      <c r="F663" s="1">
        <v>41518</v>
      </c>
      <c r="G663">
        <f t="shared" si="11"/>
        <v>9</v>
      </c>
      <c r="H663" s="7">
        <v>393.39</v>
      </c>
      <c r="J663" s="7"/>
    </row>
    <row r="664" spans="6:10" ht="18.75" customHeight="1">
      <c r="F664" s="1">
        <v>41548</v>
      </c>
      <c r="G664">
        <f t="shared" si="11"/>
        <v>10</v>
      </c>
      <c r="H664" s="7">
        <v>393.7</v>
      </c>
      <c r="J664" s="7"/>
    </row>
    <row r="665" spans="6:10" ht="18.75" customHeight="1">
      <c r="F665" s="1">
        <v>41579</v>
      </c>
      <c r="G665">
        <f t="shared" si="11"/>
        <v>11</v>
      </c>
      <c r="H665" s="7">
        <v>395.19</v>
      </c>
      <c r="J665" s="7"/>
    </row>
    <row r="666" spans="6:10" ht="18.75" customHeight="1">
      <c r="F666" s="1">
        <v>41609</v>
      </c>
      <c r="G666">
        <f t="shared" si="11"/>
        <v>12</v>
      </c>
      <c r="H666" s="7">
        <v>396.82</v>
      </c>
      <c r="J666" s="7"/>
    </row>
    <row r="667" spans="6:10" ht="18.75" customHeight="1">
      <c r="F667" s="1">
        <v>41640</v>
      </c>
      <c r="G667">
        <f t="shared" si="11"/>
        <v>1</v>
      </c>
      <c r="H667" s="7">
        <v>397.93</v>
      </c>
      <c r="J667" s="7"/>
    </row>
    <row r="668" spans="6:10" ht="18.75" customHeight="1">
      <c r="F668" s="1">
        <v>41671</v>
      </c>
      <c r="G668">
        <f t="shared" si="11"/>
        <v>2</v>
      </c>
      <c r="H668" s="7">
        <v>398.1</v>
      </c>
      <c r="J668" s="7"/>
    </row>
    <row r="669" spans="6:10" ht="18.75" customHeight="1">
      <c r="F669" s="1">
        <v>41699</v>
      </c>
      <c r="G669">
        <f t="shared" si="11"/>
        <v>3</v>
      </c>
      <c r="H669" s="7">
        <v>399.47</v>
      </c>
      <c r="J669" s="7"/>
    </row>
    <row r="670" spans="6:10" ht="18.75" customHeight="1">
      <c r="F670" s="1">
        <v>41730</v>
      </c>
      <c r="G670">
        <f t="shared" si="11"/>
        <v>4</v>
      </c>
      <c r="H670" s="7">
        <v>401.33</v>
      </c>
      <c r="J670" s="7"/>
    </row>
    <row r="671" spans="6:10" ht="18.75" customHeight="1">
      <c r="F671" s="1">
        <v>41760</v>
      </c>
      <c r="G671">
        <f t="shared" si="11"/>
        <v>5</v>
      </c>
      <c r="H671" s="7">
        <v>401.88</v>
      </c>
      <c r="J671" s="7"/>
    </row>
    <row r="672" spans="6:10" ht="18.75" customHeight="1">
      <c r="F672" s="1">
        <v>41791</v>
      </c>
      <c r="G672">
        <f t="shared" si="11"/>
        <v>6</v>
      </c>
      <c r="H672" s="7">
        <v>401.31</v>
      </c>
      <c r="J672" s="7"/>
    </row>
    <row r="673" spans="6:10" ht="18.75" customHeight="1">
      <c r="F673" s="1">
        <v>41821</v>
      </c>
      <c r="G673">
        <f t="shared" si="11"/>
        <v>7</v>
      </c>
      <c r="H673" s="7">
        <v>399.07</v>
      </c>
      <c r="J673" s="7"/>
    </row>
    <row r="674" spans="6:10" ht="18.75" customHeight="1">
      <c r="F674" s="1">
        <v>41852</v>
      </c>
      <c r="G674">
        <f t="shared" si="11"/>
        <v>8</v>
      </c>
      <c r="H674" s="7">
        <v>397.21</v>
      </c>
      <c r="J674" s="7"/>
    </row>
    <row r="675" spans="6:10" ht="18.75" customHeight="1">
      <c r="F675" s="1">
        <v>41883</v>
      </c>
      <c r="G675">
        <f t="shared" si="11"/>
        <v>9</v>
      </c>
      <c r="H675" s="7">
        <v>395.4</v>
      </c>
      <c r="J675" s="7"/>
    </row>
    <row r="676" spans="6:10" ht="18.75" customHeight="1">
      <c r="F676" s="1">
        <v>41913</v>
      </c>
      <c r="G676">
        <f t="shared" si="11"/>
        <v>10</v>
      </c>
      <c r="H676" s="7">
        <v>395.65</v>
      </c>
      <c r="J676" s="7"/>
    </row>
    <row r="677" spans="6:10" ht="18.75" customHeight="1">
      <c r="F677" s="1">
        <v>41944</v>
      </c>
      <c r="G677">
        <f t="shared" si="11"/>
        <v>11</v>
      </c>
      <c r="H677" s="7">
        <v>397.23</v>
      </c>
      <c r="J677" s="7"/>
    </row>
    <row r="678" spans="6:10" ht="18.75" customHeight="1">
      <c r="F678" s="1">
        <v>41974</v>
      </c>
      <c r="G678">
        <f t="shared" si="11"/>
        <v>12</v>
      </c>
      <c r="H678" s="7">
        <v>398.79</v>
      </c>
      <c r="J678" s="7"/>
    </row>
    <row r="679" spans="6:10" ht="18.75" customHeight="1">
      <c r="F679" s="1">
        <v>42005</v>
      </c>
      <c r="G679">
        <f t="shared" si="11"/>
        <v>1</v>
      </c>
      <c r="H679" s="7">
        <v>399.85</v>
      </c>
      <c r="J679" s="7"/>
    </row>
    <row r="680" spans="6:10" ht="18.75" customHeight="1">
      <c r="F680" s="1">
        <v>42036</v>
      </c>
      <c r="G680">
        <f t="shared" si="11"/>
        <v>2</v>
      </c>
      <c r="H680" s="7">
        <v>400.31</v>
      </c>
      <c r="J680" s="7"/>
    </row>
    <row r="681" spans="6:10" ht="18.75" customHeight="1">
      <c r="F681" s="1">
        <v>42064</v>
      </c>
      <c r="G681">
        <f t="shared" si="11"/>
        <v>3</v>
      </c>
      <c r="H681" s="7">
        <v>401.51</v>
      </c>
      <c r="J681" s="7"/>
    </row>
    <row r="682" spans="6:10" ht="18.75" customHeight="1">
      <c r="F682" s="1">
        <v>42095</v>
      </c>
      <c r="G682">
        <f t="shared" si="11"/>
        <v>4</v>
      </c>
      <c r="H682" s="7">
        <v>403.45</v>
      </c>
      <c r="J682" s="7"/>
    </row>
    <row r="683" spans="6:10" ht="18.75" customHeight="1">
      <c r="F683" s="1">
        <v>42125</v>
      </c>
      <c r="G683">
        <f t="shared" si="11"/>
        <v>5</v>
      </c>
      <c r="H683" s="7">
        <v>404.1</v>
      </c>
      <c r="J683" s="7"/>
    </row>
    <row r="684" spans="6:10" ht="18.75" customHeight="1">
      <c r="F684" s="1">
        <v>42156</v>
      </c>
      <c r="G684">
        <f t="shared" si="11"/>
        <v>6</v>
      </c>
      <c r="H684" s="7">
        <v>402.88</v>
      </c>
      <c r="J684" s="7"/>
    </row>
    <row r="685" spans="6:10" ht="18.75" customHeight="1">
      <c r="F685" s="1">
        <v>42186</v>
      </c>
      <c r="G685">
        <f t="shared" si="11"/>
        <v>7</v>
      </c>
      <c r="H685" s="7">
        <v>401.61</v>
      </c>
      <c r="J685" s="7"/>
    </row>
    <row r="686" spans="6:10" ht="18.75" customHeight="1">
      <c r="F686" s="1">
        <v>42217</v>
      </c>
      <c r="G686">
        <f t="shared" si="11"/>
        <v>8</v>
      </c>
      <c r="H686" s="7">
        <v>399</v>
      </c>
      <c r="J686" s="7"/>
    </row>
    <row r="687" spans="6:10" ht="18.75" customHeight="1">
      <c r="F687" s="1">
        <v>42248</v>
      </c>
      <c r="G687">
        <f t="shared" si="11"/>
        <v>9</v>
      </c>
      <c r="H687" s="7">
        <v>397.5</v>
      </c>
      <c r="J687" s="7"/>
    </row>
    <row r="688" spans="6:10" ht="18.75" customHeight="1">
      <c r="F688" s="1">
        <v>42278</v>
      </c>
      <c r="G688">
        <f t="shared" si="11"/>
        <v>10</v>
      </c>
      <c r="H688" s="7">
        <v>398.28</v>
      </c>
      <c r="J688" s="7"/>
    </row>
    <row r="689" spans="6:10" ht="18.75" customHeight="1">
      <c r="F689" s="1">
        <v>42309</v>
      </c>
      <c r="G689">
        <f t="shared" si="11"/>
        <v>11</v>
      </c>
      <c r="H689" s="7">
        <v>400.24</v>
      </c>
      <c r="J689" s="7"/>
    </row>
    <row r="690" spans="6:10" ht="18.75" customHeight="1">
      <c r="F690" s="1">
        <v>42339</v>
      </c>
      <c r="G690">
        <f t="shared" si="11"/>
        <v>12</v>
      </c>
      <c r="H690" s="7">
        <v>401.89</v>
      </c>
      <c r="J690" s="7"/>
    </row>
    <row r="691" spans="6:10" ht="18.75" customHeight="1">
      <c r="F691" s="1">
        <v>42370</v>
      </c>
      <c r="G691">
        <f t="shared" si="11"/>
        <v>1</v>
      </c>
      <c r="H691" s="7">
        <v>402.65</v>
      </c>
      <c r="J691" s="7"/>
    </row>
    <row r="692" spans="6:10" ht="18.75" customHeight="1">
      <c r="F692" s="1">
        <v>42401</v>
      </c>
      <c r="G692">
        <f t="shared" si="11"/>
        <v>2</v>
      </c>
      <c r="H692" s="7">
        <v>404.16</v>
      </c>
      <c r="J692" s="7"/>
    </row>
    <row r="693" spans="6:10" ht="18.75" customHeight="1">
      <c r="F693" s="1">
        <v>42430</v>
      </c>
      <c r="G693">
        <f t="shared" si="11"/>
        <v>3</v>
      </c>
      <c r="H693" s="7">
        <v>404.85</v>
      </c>
      <c r="J693" s="7"/>
    </row>
    <row r="694" spans="6:10" ht="18.75" customHeight="1">
      <c r="F694" s="1">
        <v>42461</v>
      </c>
      <c r="G694">
        <f t="shared" si="11"/>
        <v>4</v>
      </c>
      <c r="H694" s="7">
        <v>407.57</v>
      </c>
      <c r="J694" s="7"/>
    </row>
    <row r="695" spans="6:10" ht="18.75" customHeight="1">
      <c r="F695" s="1">
        <v>42491</v>
      </c>
      <c r="G695">
        <f t="shared" si="11"/>
        <v>5</v>
      </c>
      <c r="H695" s="7">
        <v>407.66</v>
      </c>
      <c r="J695" s="7"/>
    </row>
    <row r="696" spans="6:10" ht="18.75" customHeight="1">
      <c r="F696" s="1">
        <v>42522</v>
      </c>
      <c r="G696">
        <f t="shared" si="11"/>
        <v>6</v>
      </c>
      <c r="H696" s="7">
        <v>407</v>
      </c>
      <c r="J696" s="7"/>
    </row>
    <row r="697" spans="6:10" ht="18.75" customHeight="1">
      <c r="F697" s="1">
        <v>42552</v>
      </c>
      <c r="G697">
        <f t="shared" si="11"/>
        <v>7</v>
      </c>
      <c r="H697" s="7">
        <v>404.5</v>
      </c>
      <c r="J697" s="7"/>
    </row>
    <row r="698" spans="6:10" ht="18.75" customHeight="1">
      <c r="F698" s="1">
        <v>42583</v>
      </c>
      <c r="G698">
        <f t="shared" si="11"/>
        <v>8</v>
      </c>
      <c r="H698" s="7">
        <v>402.24</v>
      </c>
      <c r="J698" s="7"/>
    </row>
    <row r="699" spans="6:10" ht="18.75" customHeight="1">
      <c r="F699" s="1">
        <v>42614</v>
      </c>
      <c r="G699">
        <f t="shared" si="11"/>
        <v>9</v>
      </c>
      <c r="H699" s="7">
        <v>401.01</v>
      </c>
      <c r="J699" s="7"/>
    </row>
    <row r="700" spans="6:10" ht="18.75" customHeight="1">
      <c r="F700" s="1">
        <v>42644</v>
      </c>
      <c r="G700">
        <f t="shared" si="11"/>
        <v>10</v>
      </c>
      <c r="H700" s="7">
        <v>401.5</v>
      </c>
      <c r="J700" s="7"/>
    </row>
    <row r="701" spans="6:10" ht="18.75" customHeight="1">
      <c r="F701" s="1">
        <v>42675</v>
      </c>
      <c r="G701">
        <f t="shared" si="11"/>
        <v>11</v>
      </c>
      <c r="H701" s="7">
        <v>403.64</v>
      </c>
      <c r="J701" s="7"/>
    </row>
    <row r="702" spans="6:10" ht="18.75" customHeight="1">
      <c r="F702" s="1">
        <v>42705</v>
      </c>
      <c r="G702">
        <f t="shared" si="11"/>
        <v>12</v>
      </c>
      <c r="H702" s="7">
        <v>404.55</v>
      </c>
      <c r="J702" s="7"/>
    </row>
    <row r="703" spans="6:10" ht="18.75" customHeight="1">
      <c r="F703" s="1">
        <v>42736</v>
      </c>
      <c r="G703">
        <f t="shared" si="11"/>
        <v>1</v>
      </c>
      <c r="H703" s="7">
        <v>406.07</v>
      </c>
      <c r="J703" s="7"/>
    </row>
    <row r="704" spans="6:10" ht="18.75" customHeight="1">
      <c r="F704" s="1">
        <v>42767</v>
      </c>
      <c r="G704">
        <f t="shared" si="11"/>
        <v>2</v>
      </c>
      <c r="H704" s="7">
        <v>406.64</v>
      </c>
      <c r="J704" s="7"/>
    </row>
    <row r="705" spans="6:10" ht="18.75" customHeight="1">
      <c r="F705" s="1">
        <v>42795</v>
      </c>
      <c r="G705">
        <f t="shared" si="11"/>
        <v>3</v>
      </c>
      <c r="H705" s="7">
        <v>407.05</v>
      </c>
      <c r="J705" s="7"/>
    </row>
    <row r="706" spans="6:10" ht="18.75" customHeight="1">
      <c r="F706" s="1">
        <v>42826</v>
      </c>
      <c r="G706">
        <f t="shared" si="11"/>
        <v>4</v>
      </c>
      <c r="H706" s="7">
        <v>408.95</v>
      </c>
      <c r="J706" s="7"/>
    </row>
    <row r="707" spans="6:10" ht="18.75" customHeight="1">
      <c r="F707" s="1">
        <v>42856</v>
      </c>
      <c r="G707">
        <f t="shared" ref="G707:G770" si="12">MONTH(F707)</f>
        <v>5</v>
      </c>
      <c r="H707" s="7">
        <v>409.91</v>
      </c>
      <c r="J707" s="7"/>
    </row>
    <row r="708" spans="6:10" ht="18.75" customHeight="1">
      <c r="F708" s="1">
        <v>42887</v>
      </c>
      <c r="G708">
        <f t="shared" si="12"/>
        <v>6</v>
      </c>
      <c r="H708" s="7">
        <v>409.12</v>
      </c>
      <c r="J708" s="7"/>
    </row>
    <row r="709" spans="6:10" ht="18.75" customHeight="1">
      <c r="F709" s="1">
        <v>42917</v>
      </c>
      <c r="G709">
        <f t="shared" si="12"/>
        <v>7</v>
      </c>
      <c r="H709" s="7">
        <v>407.2</v>
      </c>
      <c r="J709" s="7"/>
    </row>
    <row r="710" spans="6:10" ht="18.75" customHeight="1">
      <c r="F710" s="1">
        <v>42948</v>
      </c>
      <c r="G710">
        <f t="shared" si="12"/>
        <v>8</v>
      </c>
      <c r="H710" s="7">
        <v>405.24</v>
      </c>
      <c r="J710" s="7"/>
    </row>
    <row r="711" spans="6:10" ht="18.75" customHeight="1">
      <c r="F711" s="1">
        <v>42979</v>
      </c>
      <c r="G711">
        <f t="shared" si="12"/>
        <v>9</v>
      </c>
      <c r="H711" s="7">
        <v>403.27</v>
      </c>
      <c r="J711" s="7"/>
    </row>
    <row r="712" spans="6:10" ht="18.75" customHeight="1">
      <c r="F712" s="1">
        <v>43009</v>
      </c>
      <c r="G712">
        <f t="shared" si="12"/>
        <v>10</v>
      </c>
      <c r="H712" s="7">
        <v>403.64</v>
      </c>
      <c r="J712" s="7"/>
    </row>
    <row r="713" spans="6:10" ht="18.75" customHeight="1">
      <c r="F713" s="1">
        <v>43040</v>
      </c>
      <c r="G713">
        <f t="shared" si="12"/>
        <v>11</v>
      </c>
      <c r="H713" s="7">
        <v>405.17</v>
      </c>
      <c r="J713" s="7"/>
    </row>
    <row r="714" spans="6:10" ht="18.75" customHeight="1">
      <c r="F714" s="1">
        <v>43070</v>
      </c>
      <c r="G714">
        <f t="shared" si="12"/>
        <v>12</v>
      </c>
      <c r="H714" s="7">
        <v>406.75</v>
      </c>
      <c r="J714" s="7"/>
    </row>
    <row r="715" spans="6:10" ht="18.75" customHeight="1">
      <c r="F715" s="1">
        <v>43101</v>
      </c>
      <c r="G715">
        <f t="shared" si="12"/>
        <v>1</v>
      </c>
      <c r="H715" s="7">
        <v>408.05</v>
      </c>
      <c r="J715" s="7"/>
    </row>
    <row r="716" spans="6:10" ht="18.75" customHeight="1">
      <c r="F716" s="1">
        <v>43132</v>
      </c>
      <c r="G716">
        <f t="shared" si="12"/>
        <v>2</v>
      </c>
      <c r="H716" s="7">
        <v>408.34</v>
      </c>
      <c r="J716" s="7"/>
    </row>
    <row r="717" spans="6:10" ht="18.75" customHeight="1">
      <c r="F717" s="1">
        <v>43160</v>
      </c>
      <c r="G717">
        <f t="shared" si="12"/>
        <v>3</v>
      </c>
      <c r="H717" s="7">
        <v>409.25</v>
      </c>
      <c r="J717" s="7"/>
    </row>
    <row r="718" spans="6:10" ht="18.75" customHeight="1">
      <c r="F718" s="1">
        <v>43191</v>
      </c>
      <c r="G718">
        <f t="shared" si="12"/>
        <v>4</v>
      </c>
      <c r="H718" s="7">
        <v>410.3</v>
      </c>
      <c r="J718" s="7"/>
    </row>
    <row r="719" spans="6:10" ht="18.75" customHeight="1">
      <c r="F719" s="1">
        <v>43221</v>
      </c>
      <c r="G719">
        <f t="shared" si="12"/>
        <v>5</v>
      </c>
      <c r="H719" s="7">
        <v>411.3</v>
      </c>
      <c r="J719" s="7"/>
    </row>
    <row r="720" spans="6:10" ht="18.75" customHeight="1">
      <c r="F720" s="1">
        <v>43252</v>
      </c>
      <c r="G720">
        <f t="shared" si="12"/>
        <v>6</v>
      </c>
      <c r="H720" s="7">
        <v>410.88</v>
      </c>
      <c r="J720" s="7"/>
    </row>
    <row r="721" spans="6:10" ht="18.75" customHeight="1">
      <c r="F721" s="1">
        <v>43282</v>
      </c>
      <c r="G721">
        <f t="shared" si="12"/>
        <v>7</v>
      </c>
      <c r="H721" s="7">
        <v>408.9</v>
      </c>
      <c r="J721" s="7"/>
    </row>
    <row r="722" spans="6:10" ht="18.75" customHeight="1">
      <c r="F722" s="1">
        <v>43313</v>
      </c>
      <c r="G722">
        <f t="shared" si="12"/>
        <v>8</v>
      </c>
      <c r="H722" s="7">
        <v>407.1</v>
      </c>
      <c r="J722" s="7"/>
    </row>
    <row r="723" spans="6:10" ht="18.75" customHeight="1">
      <c r="F723" s="1">
        <v>43344</v>
      </c>
      <c r="G723">
        <f t="shared" si="12"/>
        <v>9</v>
      </c>
      <c r="H723" s="7">
        <v>405.59</v>
      </c>
      <c r="J723" s="7"/>
    </row>
    <row r="724" spans="6:10" ht="18.75" customHeight="1">
      <c r="F724" s="1">
        <v>43374</v>
      </c>
      <c r="G724">
        <f t="shared" si="12"/>
        <v>10</v>
      </c>
      <c r="H724" s="7">
        <v>405.99</v>
      </c>
      <c r="J724" s="7"/>
    </row>
    <row r="725" spans="6:10" ht="18.75" customHeight="1">
      <c r="F725" s="1">
        <v>43405</v>
      </c>
      <c r="G725">
        <f t="shared" si="12"/>
        <v>11</v>
      </c>
      <c r="H725" s="7">
        <v>408.12</v>
      </c>
      <c r="J725" s="7"/>
    </row>
    <row r="726" spans="6:10" ht="18.75" customHeight="1">
      <c r="F726" s="1">
        <v>43435</v>
      </c>
      <c r="G726">
        <f t="shared" si="12"/>
        <v>12</v>
      </c>
      <c r="H726" s="7">
        <v>409.23</v>
      </c>
      <c r="J726" s="7"/>
    </row>
    <row r="727" spans="6:10" ht="18.75" customHeight="1">
      <c r="F727" s="1">
        <v>43466</v>
      </c>
      <c r="G727">
        <f t="shared" si="12"/>
        <v>1</v>
      </c>
      <c r="H727" s="7">
        <v>410.92</v>
      </c>
      <c r="J727" s="7"/>
    </row>
    <row r="728" spans="6:10" ht="18.75" customHeight="1">
      <c r="F728" s="1">
        <v>43497</v>
      </c>
      <c r="G728">
        <f t="shared" si="12"/>
        <v>2</v>
      </c>
      <c r="H728" s="7">
        <v>411.66</v>
      </c>
      <c r="J728" s="7"/>
    </row>
    <row r="729" spans="6:10" ht="18.75" customHeight="1">
      <c r="F729" s="1">
        <v>43525</v>
      </c>
      <c r="G729">
        <f t="shared" si="12"/>
        <v>3</v>
      </c>
      <c r="H729" s="7">
        <v>412</v>
      </c>
      <c r="J729" s="7"/>
    </row>
    <row r="730" spans="6:10" ht="18.75" customHeight="1">
      <c r="F730" s="1">
        <v>43556</v>
      </c>
      <c r="G730">
        <f t="shared" si="12"/>
        <v>4</v>
      </c>
      <c r="H730" s="7">
        <v>413.52</v>
      </c>
      <c r="J730" s="7"/>
    </row>
    <row r="731" spans="6:10" ht="18.75" customHeight="1">
      <c r="F731" s="1">
        <v>43586</v>
      </c>
      <c r="G731">
        <f t="shared" si="12"/>
        <v>5</v>
      </c>
      <c r="H731" s="7">
        <v>414.83</v>
      </c>
      <c r="J731" s="7"/>
    </row>
    <row r="732" spans="6:10" ht="18.75" customHeight="1">
      <c r="F732" s="1">
        <v>43617</v>
      </c>
      <c r="G732">
        <f t="shared" si="12"/>
        <v>6</v>
      </c>
      <c r="H732" s="7">
        <v>413.96</v>
      </c>
      <c r="J732" s="7"/>
    </row>
    <row r="733" spans="6:10" ht="18.75" customHeight="1">
      <c r="F733" s="1">
        <v>43647</v>
      </c>
      <c r="G733">
        <f t="shared" si="12"/>
        <v>7</v>
      </c>
      <c r="H733" s="7">
        <v>411.85</v>
      </c>
      <c r="J733" s="7"/>
    </row>
    <row r="734" spans="6:10" ht="18.75" customHeight="1">
      <c r="F734" s="1">
        <v>43678</v>
      </c>
      <c r="G734">
        <f t="shared" si="12"/>
        <v>8</v>
      </c>
      <c r="H734" s="7">
        <v>410.08</v>
      </c>
      <c r="J734" s="7"/>
    </row>
    <row r="735" spans="6:10" ht="18.75" customHeight="1">
      <c r="F735" s="1">
        <v>43709</v>
      </c>
      <c r="G735">
        <f t="shared" si="12"/>
        <v>9</v>
      </c>
      <c r="H735" s="7">
        <v>408.55</v>
      </c>
      <c r="J735" s="7"/>
    </row>
    <row r="736" spans="6:10" ht="18.75" customHeight="1">
      <c r="F736" s="1">
        <v>43739</v>
      </c>
      <c r="G736">
        <f t="shared" si="12"/>
        <v>10</v>
      </c>
      <c r="H736" s="7">
        <v>408.43</v>
      </c>
      <c r="J736" s="7"/>
    </row>
    <row r="737" spans="6:10" ht="18.75" customHeight="1">
      <c r="F737" s="1">
        <v>43770</v>
      </c>
      <c r="G737">
        <f t="shared" si="12"/>
        <v>11</v>
      </c>
      <c r="H737" s="7">
        <v>410.29</v>
      </c>
      <c r="J737" s="7"/>
    </row>
    <row r="738" spans="6:10" ht="18.75" customHeight="1">
      <c r="F738" s="1">
        <v>43800</v>
      </c>
      <c r="G738">
        <f t="shared" si="12"/>
        <v>12</v>
      </c>
      <c r="H738" s="7">
        <v>411.85</v>
      </c>
      <c r="J738" s="7"/>
    </row>
    <row r="739" spans="6:10" ht="18.75" customHeight="1">
      <c r="F739" s="1">
        <v>43831</v>
      </c>
      <c r="G739">
        <f t="shared" si="12"/>
        <v>1</v>
      </c>
      <c r="H739" s="7">
        <v>413.37</v>
      </c>
      <c r="J739" s="7"/>
    </row>
    <row r="740" spans="6:10" ht="18.75" customHeight="1">
      <c r="F740" s="1">
        <v>43862</v>
      </c>
      <c r="G740">
        <f t="shared" si="12"/>
        <v>2</v>
      </c>
      <c r="H740" s="7">
        <v>414.09</v>
      </c>
      <c r="J740" s="7"/>
    </row>
    <row r="741" spans="6:10" ht="18.75" customHeight="1">
      <c r="F741" s="1">
        <v>43891</v>
      </c>
      <c r="G741">
        <f t="shared" si="12"/>
        <v>3</v>
      </c>
      <c r="H741" s="7">
        <v>414.51</v>
      </c>
      <c r="J741" s="7"/>
    </row>
    <row r="742" spans="6:10" ht="18.75" customHeight="1">
      <c r="F742" s="16">
        <v>43922</v>
      </c>
      <c r="G742" s="17">
        <f t="shared" si="12"/>
        <v>4</v>
      </c>
      <c r="H742" s="18">
        <v>416.18</v>
      </c>
      <c r="J742" s="7"/>
    </row>
    <row r="743" spans="6:10" ht="18.75" customHeight="1">
      <c r="F743" s="1">
        <v>43952</v>
      </c>
      <c r="G743">
        <f t="shared" si="12"/>
        <v>5</v>
      </c>
      <c r="J743" s="7"/>
    </row>
    <row r="744" spans="6:10" ht="18.75" customHeight="1">
      <c r="F744" s="1">
        <v>43983</v>
      </c>
      <c r="G744">
        <f t="shared" si="12"/>
        <v>6</v>
      </c>
      <c r="J744" s="7"/>
    </row>
    <row r="745" spans="6:10" ht="18.75" customHeight="1">
      <c r="F745" s="1">
        <v>44013</v>
      </c>
      <c r="G745">
        <f t="shared" si="12"/>
        <v>7</v>
      </c>
      <c r="J745" s="7"/>
    </row>
    <row r="746" spans="6:10" ht="18.75" customHeight="1">
      <c r="F746" s="1">
        <v>44044</v>
      </c>
      <c r="G746">
        <f t="shared" si="12"/>
        <v>8</v>
      </c>
      <c r="J746" s="7"/>
    </row>
    <row r="747" spans="6:10" ht="18.75" customHeight="1">
      <c r="F747" s="1">
        <v>44075</v>
      </c>
      <c r="G747">
        <f t="shared" si="12"/>
        <v>9</v>
      </c>
      <c r="J747" s="7"/>
    </row>
    <row r="748" spans="6:10" ht="18.75" customHeight="1">
      <c r="F748" s="1">
        <v>44105</v>
      </c>
      <c r="G748">
        <f t="shared" si="12"/>
        <v>10</v>
      </c>
      <c r="J748" s="7"/>
    </row>
    <row r="749" spans="6:10" ht="18.75" customHeight="1">
      <c r="F749" s="1">
        <v>44136</v>
      </c>
      <c r="G749">
        <f t="shared" si="12"/>
        <v>11</v>
      </c>
      <c r="J749" s="7"/>
    </row>
    <row r="750" spans="6:10" ht="18.75" customHeight="1">
      <c r="F750" s="1">
        <v>44166</v>
      </c>
      <c r="G750">
        <f t="shared" si="12"/>
        <v>12</v>
      </c>
      <c r="J750" s="7"/>
    </row>
    <row r="751" spans="6:10" ht="18.75" customHeight="1">
      <c r="F751" s="1">
        <v>44197</v>
      </c>
      <c r="G751">
        <f t="shared" si="12"/>
        <v>1</v>
      </c>
      <c r="J751" s="7"/>
    </row>
    <row r="752" spans="6:10" ht="18.75" customHeight="1">
      <c r="F752" s="1">
        <v>44228</v>
      </c>
      <c r="G752">
        <f t="shared" si="12"/>
        <v>2</v>
      </c>
      <c r="J752" s="7"/>
    </row>
    <row r="753" spans="6:10" ht="18.75" customHeight="1">
      <c r="F753" s="1">
        <v>44256</v>
      </c>
      <c r="G753">
        <f t="shared" si="12"/>
        <v>3</v>
      </c>
      <c r="J753" s="7"/>
    </row>
    <row r="754" spans="6:10" ht="18.75" customHeight="1">
      <c r="F754" s="1">
        <v>44287</v>
      </c>
      <c r="G754">
        <f t="shared" si="12"/>
        <v>4</v>
      </c>
      <c r="J754" s="7"/>
    </row>
    <row r="755" spans="6:10" ht="18.75" customHeight="1">
      <c r="F755" s="1">
        <v>44317</v>
      </c>
      <c r="G755">
        <f t="shared" si="12"/>
        <v>5</v>
      </c>
      <c r="J755" s="7"/>
    </row>
    <row r="756" spans="6:10" ht="18.75" customHeight="1">
      <c r="F756" s="1">
        <v>44348</v>
      </c>
      <c r="G756">
        <f t="shared" si="12"/>
        <v>6</v>
      </c>
      <c r="J756" s="7"/>
    </row>
    <row r="757" spans="6:10" ht="18.75" customHeight="1">
      <c r="F757" s="1">
        <v>44378</v>
      </c>
      <c r="G757">
        <f t="shared" si="12"/>
        <v>7</v>
      </c>
      <c r="J757" s="7"/>
    </row>
    <row r="758" spans="6:10" ht="18.75" customHeight="1">
      <c r="F758" s="1">
        <v>44409</v>
      </c>
      <c r="G758">
        <f t="shared" si="12"/>
        <v>8</v>
      </c>
      <c r="J758" s="7"/>
    </row>
    <row r="759" spans="6:10" ht="18.75" customHeight="1">
      <c r="F759" s="1">
        <v>44440</v>
      </c>
      <c r="G759">
        <f t="shared" si="12"/>
        <v>9</v>
      </c>
      <c r="J759" s="7"/>
    </row>
    <row r="760" spans="6:10" ht="18.75" customHeight="1">
      <c r="F760" s="1">
        <v>44470</v>
      </c>
      <c r="G760">
        <f t="shared" si="12"/>
        <v>10</v>
      </c>
      <c r="J760" s="7"/>
    </row>
    <row r="761" spans="6:10" ht="18.75" customHeight="1">
      <c r="F761" s="1">
        <v>44501</v>
      </c>
      <c r="G761">
        <f t="shared" si="12"/>
        <v>11</v>
      </c>
      <c r="J761" s="7"/>
    </row>
    <row r="762" spans="6:10" ht="18.75" customHeight="1">
      <c r="F762" s="1">
        <v>44531</v>
      </c>
      <c r="G762">
        <f t="shared" si="12"/>
        <v>12</v>
      </c>
      <c r="J762" s="7"/>
    </row>
    <row r="763" spans="6:10" ht="18.75" customHeight="1">
      <c r="F763" s="1">
        <v>44562</v>
      </c>
      <c r="G763">
        <f t="shared" si="12"/>
        <v>1</v>
      </c>
      <c r="J763" s="7"/>
    </row>
    <row r="764" spans="6:10" ht="18.75" customHeight="1">
      <c r="F764" s="1">
        <v>44593</v>
      </c>
      <c r="G764">
        <f t="shared" si="12"/>
        <v>2</v>
      </c>
      <c r="J764" s="7"/>
    </row>
    <row r="765" spans="6:10" ht="18.75" customHeight="1">
      <c r="F765" s="1">
        <v>44621</v>
      </c>
      <c r="G765">
        <f t="shared" si="12"/>
        <v>3</v>
      </c>
      <c r="J765" s="7"/>
    </row>
    <row r="766" spans="6:10" ht="18.75" customHeight="1">
      <c r="F766" s="1">
        <v>44652</v>
      </c>
      <c r="G766">
        <f t="shared" si="12"/>
        <v>4</v>
      </c>
      <c r="J766" s="7"/>
    </row>
    <row r="767" spans="6:10" ht="18.75" customHeight="1">
      <c r="F767" s="1">
        <v>44682</v>
      </c>
      <c r="G767">
        <f t="shared" si="12"/>
        <v>5</v>
      </c>
      <c r="J767" s="7"/>
    </row>
    <row r="768" spans="6:10" ht="18.75" customHeight="1">
      <c r="F768" s="1">
        <v>44713</v>
      </c>
      <c r="G768">
        <f t="shared" si="12"/>
        <v>6</v>
      </c>
      <c r="J768" s="7"/>
    </row>
    <row r="769" spans="6:10" ht="18.75" customHeight="1">
      <c r="F769" s="1">
        <v>44743</v>
      </c>
      <c r="G769">
        <f t="shared" si="12"/>
        <v>7</v>
      </c>
      <c r="J769" s="7"/>
    </row>
    <row r="770" spans="6:10" ht="18.75" customHeight="1">
      <c r="F770" s="1">
        <v>44774</v>
      </c>
      <c r="G770">
        <f t="shared" si="12"/>
        <v>8</v>
      </c>
      <c r="J770" s="7"/>
    </row>
    <row r="771" spans="6:10" ht="18.75" customHeight="1">
      <c r="F771" s="1">
        <v>44805</v>
      </c>
      <c r="G771">
        <f t="shared" ref="G771:G834" si="13">MONTH(F771)</f>
        <v>9</v>
      </c>
      <c r="J771" s="7"/>
    </row>
    <row r="772" spans="6:10" ht="18.75" customHeight="1">
      <c r="F772" s="1">
        <v>44835</v>
      </c>
      <c r="G772">
        <f t="shared" si="13"/>
        <v>10</v>
      </c>
      <c r="J772" s="7"/>
    </row>
    <row r="773" spans="6:10" ht="18.75" customHeight="1">
      <c r="F773" s="1">
        <v>44866</v>
      </c>
      <c r="G773">
        <f t="shared" si="13"/>
        <v>11</v>
      </c>
      <c r="J773" s="7"/>
    </row>
    <row r="774" spans="6:10" ht="18.75" customHeight="1">
      <c r="F774" s="1">
        <v>44896</v>
      </c>
      <c r="G774">
        <f t="shared" si="13"/>
        <v>12</v>
      </c>
      <c r="J774" s="7"/>
    </row>
    <row r="775" spans="6:10" ht="18.75" customHeight="1">
      <c r="F775" s="1">
        <v>44927</v>
      </c>
      <c r="G775">
        <f t="shared" si="13"/>
        <v>1</v>
      </c>
      <c r="J775" s="7"/>
    </row>
    <row r="776" spans="6:10" ht="18.75" customHeight="1">
      <c r="F776" s="1">
        <v>44958</v>
      </c>
      <c r="G776">
        <f t="shared" si="13"/>
        <v>2</v>
      </c>
      <c r="J776" s="7"/>
    </row>
    <row r="777" spans="6:10" ht="18.75" customHeight="1">
      <c r="F777" s="1">
        <v>44986</v>
      </c>
      <c r="G777">
        <f t="shared" si="13"/>
        <v>3</v>
      </c>
      <c r="J777" s="7"/>
    </row>
    <row r="778" spans="6:10" ht="18.75" customHeight="1">
      <c r="F778" s="1">
        <v>45017</v>
      </c>
      <c r="G778">
        <f t="shared" si="13"/>
        <v>4</v>
      </c>
      <c r="J778" s="7"/>
    </row>
    <row r="779" spans="6:10" ht="18.75" customHeight="1">
      <c r="F779" s="1">
        <v>45047</v>
      </c>
      <c r="G779">
        <f t="shared" si="13"/>
        <v>5</v>
      </c>
      <c r="J779" s="7"/>
    </row>
    <row r="780" spans="6:10" ht="18.75" customHeight="1">
      <c r="F780" s="1">
        <v>45078</v>
      </c>
      <c r="G780">
        <f t="shared" si="13"/>
        <v>6</v>
      </c>
      <c r="J780" s="7"/>
    </row>
    <row r="781" spans="6:10" ht="18.75" customHeight="1">
      <c r="F781" s="1">
        <v>45108</v>
      </c>
      <c r="G781">
        <f t="shared" si="13"/>
        <v>7</v>
      </c>
      <c r="J781" s="7"/>
    </row>
    <row r="782" spans="6:10" ht="18.75" customHeight="1">
      <c r="F782" s="1">
        <v>45139</v>
      </c>
      <c r="G782">
        <f t="shared" si="13"/>
        <v>8</v>
      </c>
      <c r="J782" s="7"/>
    </row>
    <row r="783" spans="6:10" ht="18.75" customHeight="1">
      <c r="F783" s="1">
        <v>45170</v>
      </c>
      <c r="G783">
        <f t="shared" si="13"/>
        <v>9</v>
      </c>
      <c r="J783" s="7"/>
    </row>
    <row r="784" spans="6:10" ht="18.75" customHeight="1">
      <c r="F784" s="1">
        <v>45200</v>
      </c>
      <c r="G784">
        <f t="shared" si="13"/>
        <v>10</v>
      </c>
      <c r="J784" s="7"/>
    </row>
    <row r="785" spans="6:10" ht="18.75" customHeight="1">
      <c r="F785" s="1">
        <v>45231</v>
      </c>
      <c r="G785">
        <f t="shared" si="13"/>
        <v>11</v>
      </c>
      <c r="J785" s="7"/>
    </row>
    <row r="786" spans="6:10" ht="18.75" customHeight="1">
      <c r="F786" s="1">
        <v>45261</v>
      </c>
      <c r="G786">
        <f t="shared" si="13"/>
        <v>12</v>
      </c>
      <c r="J786" s="7"/>
    </row>
    <row r="787" spans="6:10" ht="18.75" customHeight="1">
      <c r="F787" s="1">
        <v>45292</v>
      </c>
      <c r="G787">
        <f t="shared" si="13"/>
        <v>1</v>
      </c>
      <c r="J787" s="7"/>
    </row>
    <row r="788" spans="6:10" ht="18.75" customHeight="1">
      <c r="F788" s="1">
        <v>45323</v>
      </c>
      <c r="G788">
        <f t="shared" si="13"/>
        <v>2</v>
      </c>
      <c r="J788" s="7"/>
    </row>
    <row r="789" spans="6:10" ht="18.75" customHeight="1">
      <c r="F789" s="1">
        <v>45352</v>
      </c>
      <c r="G789">
        <f t="shared" si="13"/>
        <v>3</v>
      </c>
      <c r="J789" s="7"/>
    </row>
    <row r="790" spans="6:10" ht="18.75" customHeight="1">
      <c r="F790" s="1">
        <v>45383</v>
      </c>
      <c r="G790">
        <f t="shared" si="13"/>
        <v>4</v>
      </c>
      <c r="J790" s="7"/>
    </row>
    <row r="791" spans="6:10" ht="18.75" customHeight="1">
      <c r="F791" s="1">
        <v>45413</v>
      </c>
      <c r="G791">
        <f t="shared" si="13"/>
        <v>5</v>
      </c>
      <c r="J791" s="7"/>
    </row>
    <row r="792" spans="6:10" ht="18.75" customHeight="1">
      <c r="F792" s="1">
        <v>45444</v>
      </c>
      <c r="G792">
        <f t="shared" si="13"/>
        <v>6</v>
      </c>
      <c r="J792" s="7"/>
    </row>
    <row r="793" spans="6:10" ht="18.75" customHeight="1">
      <c r="F793" s="1">
        <v>45474</v>
      </c>
      <c r="G793">
        <f t="shared" si="13"/>
        <v>7</v>
      </c>
      <c r="J793" s="7"/>
    </row>
    <row r="794" spans="6:10" ht="18.75" customHeight="1">
      <c r="F794" s="1">
        <v>45505</v>
      </c>
      <c r="G794">
        <f t="shared" si="13"/>
        <v>8</v>
      </c>
      <c r="J794" s="7"/>
    </row>
    <row r="795" spans="6:10" ht="18.75" customHeight="1">
      <c r="F795" s="1">
        <v>45536</v>
      </c>
      <c r="G795">
        <f t="shared" si="13"/>
        <v>9</v>
      </c>
      <c r="J795" s="7"/>
    </row>
    <row r="796" spans="6:10" ht="18.75" customHeight="1">
      <c r="F796" s="1">
        <v>45566</v>
      </c>
      <c r="G796">
        <f t="shared" si="13"/>
        <v>10</v>
      </c>
      <c r="J796" s="7"/>
    </row>
    <row r="797" spans="6:10" ht="18.75" customHeight="1">
      <c r="F797" s="1">
        <v>45597</v>
      </c>
      <c r="G797">
        <f t="shared" si="13"/>
        <v>11</v>
      </c>
      <c r="J797" s="7"/>
    </row>
    <row r="798" spans="6:10" ht="18.75" customHeight="1">
      <c r="F798" s="1">
        <v>45627</v>
      </c>
      <c r="G798">
        <f t="shared" si="13"/>
        <v>12</v>
      </c>
      <c r="J798" s="7"/>
    </row>
    <row r="799" spans="6:10" ht="18.75" customHeight="1">
      <c r="F799" s="1">
        <v>45658</v>
      </c>
      <c r="G799">
        <f t="shared" si="13"/>
        <v>1</v>
      </c>
      <c r="J799" s="7"/>
    </row>
    <row r="800" spans="6:10" ht="18.75" customHeight="1">
      <c r="F800" s="1">
        <v>45689</v>
      </c>
      <c r="G800">
        <f t="shared" si="13"/>
        <v>2</v>
      </c>
      <c r="J800" s="7"/>
    </row>
    <row r="801" spans="6:10" ht="18.75" customHeight="1">
      <c r="F801" s="1">
        <v>45717</v>
      </c>
      <c r="G801">
        <f t="shared" si="13"/>
        <v>3</v>
      </c>
      <c r="J801" s="7"/>
    </row>
    <row r="802" spans="6:10" ht="18.75" customHeight="1">
      <c r="F802" s="1">
        <v>45748</v>
      </c>
      <c r="G802">
        <f t="shared" si="13"/>
        <v>4</v>
      </c>
      <c r="J802" s="7"/>
    </row>
    <row r="803" spans="6:10" ht="18.75" customHeight="1">
      <c r="F803" s="1">
        <v>45778</v>
      </c>
      <c r="G803">
        <f t="shared" si="13"/>
        <v>5</v>
      </c>
      <c r="J803" s="7"/>
    </row>
    <row r="804" spans="6:10" ht="18.75" customHeight="1">
      <c r="F804" s="1">
        <v>45809</v>
      </c>
      <c r="G804">
        <f t="shared" si="13"/>
        <v>6</v>
      </c>
      <c r="J804" s="7"/>
    </row>
    <row r="805" spans="6:10" ht="18.75" customHeight="1">
      <c r="F805" s="1">
        <v>45839</v>
      </c>
      <c r="G805">
        <f t="shared" si="13"/>
        <v>7</v>
      </c>
      <c r="J805" s="7"/>
    </row>
    <row r="806" spans="6:10" ht="18.75" customHeight="1">
      <c r="F806" s="1">
        <v>45870</v>
      </c>
      <c r="G806">
        <f t="shared" si="13"/>
        <v>8</v>
      </c>
      <c r="J806" s="7"/>
    </row>
    <row r="807" spans="6:10" ht="18.75" customHeight="1">
      <c r="F807" s="1">
        <v>45901</v>
      </c>
      <c r="G807">
        <f t="shared" si="13"/>
        <v>9</v>
      </c>
      <c r="J807" s="7"/>
    </row>
    <row r="808" spans="6:10" ht="18.75" customHeight="1">
      <c r="F808" s="1">
        <v>45931</v>
      </c>
      <c r="G808">
        <f t="shared" si="13"/>
        <v>10</v>
      </c>
      <c r="J808" s="7"/>
    </row>
    <row r="809" spans="6:10" ht="18.75" customHeight="1">
      <c r="F809" s="1">
        <v>45962</v>
      </c>
      <c r="G809">
        <f t="shared" si="13"/>
        <v>11</v>
      </c>
      <c r="J809" s="7"/>
    </row>
    <row r="810" spans="6:10" ht="18.75" customHeight="1">
      <c r="F810" s="1">
        <v>45992</v>
      </c>
      <c r="G810">
        <f t="shared" si="13"/>
        <v>12</v>
      </c>
      <c r="J810" s="7"/>
    </row>
    <row r="811" spans="6:10" ht="18.75" customHeight="1">
      <c r="F811" s="1">
        <v>46023</v>
      </c>
      <c r="G811">
        <f t="shared" si="13"/>
        <v>1</v>
      </c>
      <c r="J811" s="7"/>
    </row>
    <row r="812" spans="6:10" ht="18.75" customHeight="1">
      <c r="F812" s="1">
        <v>46054</v>
      </c>
      <c r="G812">
        <f t="shared" si="13"/>
        <v>2</v>
      </c>
      <c r="J812" s="7"/>
    </row>
    <row r="813" spans="6:10" ht="18.75" customHeight="1">
      <c r="F813" s="1">
        <v>46082</v>
      </c>
      <c r="G813">
        <f t="shared" si="13"/>
        <v>3</v>
      </c>
      <c r="J813" s="7"/>
    </row>
    <row r="814" spans="6:10" ht="18.75" customHeight="1">
      <c r="F814" s="1">
        <v>46113</v>
      </c>
      <c r="G814">
        <f t="shared" si="13"/>
        <v>4</v>
      </c>
      <c r="J814" s="7"/>
    </row>
    <row r="815" spans="6:10" ht="18.75" customHeight="1">
      <c r="F815" s="1">
        <v>46143</v>
      </c>
      <c r="G815">
        <f t="shared" si="13"/>
        <v>5</v>
      </c>
      <c r="J815" s="7"/>
    </row>
    <row r="816" spans="6:10" ht="18.75" customHeight="1">
      <c r="F816" s="1">
        <v>46174</v>
      </c>
      <c r="G816">
        <f t="shared" si="13"/>
        <v>6</v>
      </c>
      <c r="J816" s="7"/>
    </row>
    <row r="817" spans="6:10" ht="18.75" customHeight="1">
      <c r="F817" s="1">
        <v>46204</v>
      </c>
      <c r="G817">
        <f t="shared" si="13"/>
        <v>7</v>
      </c>
      <c r="J817" s="7"/>
    </row>
    <row r="818" spans="6:10" ht="18.75" customHeight="1">
      <c r="F818" s="1">
        <v>46235</v>
      </c>
      <c r="G818">
        <f t="shared" si="13"/>
        <v>8</v>
      </c>
      <c r="J818" s="7"/>
    </row>
    <row r="819" spans="6:10" ht="18.75" customHeight="1">
      <c r="F819" s="1">
        <v>46266</v>
      </c>
      <c r="G819">
        <f t="shared" si="13"/>
        <v>9</v>
      </c>
      <c r="J819" s="7"/>
    </row>
    <row r="820" spans="6:10" ht="18.75" customHeight="1">
      <c r="F820" s="1">
        <v>46296</v>
      </c>
      <c r="G820">
        <f t="shared" si="13"/>
        <v>10</v>
      </c>
      <c r="J820" s="7"/>
    </row>
    <row r="821" spans="6:10" ht="18.75" customHeight="1">
      <c r="F821" s="1">
        <v>46327</v>
      </c>
      <c r="G821">
        <f t="shared" si="13"/>
        <v>11</v>
      </c>
      <c r="J821" s="7"/>
    </row>
    <row r="822" spans="6:10" ht="18.75" customHeight="1">
      <c r="F822" s="1">
        <v>46357</v>
      </c>
      <c r="G822">
        <f t="shared" si="13"/>
        <v>12</v>
      </c>
      <c r="J822" s="7"/>
    </row>
    <row r="823" spans="6:10" ht="18.75" customHeight="1">
      <c r="F823" s="1">
        <v>46388</v>
      </c>
      <c r="G823">
        <f t="shared" si="13"/>
        <v>1</v>
      </c>
      <c r="J823" s="7"/>
    </row>
    <row r="824" spans="6:10" ht="18.75" customHeight="1">
      <c r="F824" s="1">
        <v>46419</v>
      </c>
      <c r="G824">
        <f t="shared" si="13"/>
        <v>2</v>
      </c>
      <c r="J824" s="7"/>
    </row>
    <row r="825" spans="6:10" ht="18.75" customHeight="1">
      <c r="F825" s="1">
        <v>46447</v>
      </c>
      <c r="G825">
        <f t="shared" si="13"/>
        <v>3</v>
      </c>
      <c r="J825" s="7"/>
    </row>
    <row r="826" spans="6:10" ht="18.75" customHeight="1">
      <c r="F826" s="1">
        <v>46478</v>
      </c>
      <c r="G826">
        <f t="shared" si="13"/>
        <v>4</v>
      </c>
      <c r="J826" s="7"/>
    </row>
    <row r="827" spans="6:10" ht="18.75" customHeight="1">
      <c r="F827" s="1">
        <v>46508</v>
      </c>
      <c r="G827">
        <f t="shared" si="13"/>
        <v>5</v>
      </c>
      <c r="J827" s="7"/>
    </row>
    <row r="828" spans="6:10" ht="18.75" customHeight="1">
      <c r="F828" s="1">
        <v>46539</v>
      </c>
      <c r="G828">
        <f t="shared" si="13"/>
        <v>6</v>
      </c>
      <c r="J828" s="7"/>
    </row>
    <row r="829" spans="6:10" ht="18.75" customHeight="1">
      <c r="F829" s="1">
        <v>46569</v>
      </c>
      <c r="G829">
        <f t="shared" si="13"/>
        <v>7</v>
      </c>
      <c r="J829" s="7"/>
    </row>
    <row r="830" spans="6:10" ht="18.75" customHeight="1">
      <c r="F830" s="1">
        <v>46600</v>
      </c>
      <c r="G830">
        <f t="shared" si="13"/>
        <v>8</v>
      </c>
      <c r="J830" s="7"/>
    </row>
    <row r="831" spans="6:10" ht="18.75" customHeight="1">
      <c r="F831" s="1">
        <v>46631</v>
      </c>
      <c r="G831">
        <f t="shared" si="13"/>
        <v>9</v>
      </c>
      <c r="J831" s="7"/>
    </row>
    <row r="832" spans="6:10" ht="18.75" customHeight="1">
      <c r="F832" s="1">
        <v>46661</v>
      </c>
      <c r="G832">
        <f t="shared" si="13"/>
        <v>10</v>
      </c>
      <c r="J832" s="7"/>
    </row>
    <row r="833" spans="6:10" ht="18.75" customHeight="1">
      <c r="F833" s="1">
        <v>46692</v>
      </c>
      <c r="G833">
        <f t="shared" si="13"/>
        <v>11</v>
      </c>
      <c r="J833" s="7"/>
    </row>
    <row r="834" spans="6:10" ht="18.75" customHeight="1">
      <c r="F834" s="1">
        <v>46722</v>
      </c>
      <c r="G834">
        <f t="shared" si="13"/>
        <v>12</v>
      </c>
      <c r="J834" s="7"/>
    </row>
    <row r="835" spans="6:10" ht="18.75" customHeight="1">
      <c r="F835" s="1">
        <v>46753</v>
      </c>
      <c r="G835">
        <f t="shared" ref="G835:G898" si="14">MONTH(F835)</f>
        <v>1</v>
      </c>
      <c r="J835" s="7"/>
    </row>
    <row r="836" spans="6:10" ht="18.75" customHeight="1">
      <c r="F836" s="1">
        <v>46784</v>
      </c>
      <c r="G836">
        <f t="shared" si="14"/>
        <v>2</v>
      </c>
      <c r="J836" s="7"/>
    </row>
    <row r="837" spans="6:10" ht="18.75" customHeight="1">
      <c r="F837" s="1">
        <v>46813</v>
      </c>
      <c r="G837">
        <f t="shared" si="14"/>
        <v>3</v>
      </c>
      <c r="J837" s="7"/>
    </row>
    <row r="838" spans="6:10" ht="18.75" customHeight="1">
      <c r="F838" s="1">
        <v>46844</v>
      </c>
      <c r="G838">
        <f t="shared" si="14"/>
        <v>4</v>
      </c>
      <c r="J838" s="7"/>
    </row>
    <row r="839" spans="6:10" ht="18.75" customHeight="1">
      <c r="F839" s="1">
        <v>46874</v>
      </c>
      <c r="G839">
        <f t="shared" si="14"/>
        <v>5</v>
      </c>
      <c r="J839" s="7"/>
    </row>
    <row r="840" spans="6:10" ht="18.75" customHeight="1">
      <c r="F840" s="1">
        <v>46905</v>
      </c>
      <c r="G840">
        <f t="shared" si="14"/>
        <v>6</v>
      </c>
      <c r="J840" s="7"/>
    </row>
    <row r="841" spans="6:10" ht="18.75" customHeight="1">
      <c r="F841" s="1">
        <v>46935</v>
      </c>
      <c r="G841">
        <f t="shared" si="14"/>
        <v>7</v>
      </c>
      <c r="J841" s="7"/>
    </row>
    <row r="842" spans="6:10" ht="18.75" customHeight="1">
      <c r="F842" s="1">
        <v>46966</v>
      </c>
      <c r="G842">
        <f t="shared" si="14"/>
        <v>8</v>
      </c>
      <c r="J842" s="7"/>
    </row>
    <row r="843" spans="6:10" ht="18.75" customHeight="1">
      <c r="F843" s="1">
        <v>46997</v>
      </c>
      <c r="G843">
        <f t="shared" si="14"/>
        <v>9</v>
      </c>
      <c r="J843" s="7"/>
    </row>
    <row r="844" spans="6:10" ht="18.75" customHeight="1">
      <c r="F844" s="1">
        <v>47027</v>
      </c>
      <c r="G844">
        <f t="shared" si="14"/>
        <v>10</v>
      </c>
      <c r="J844" s="7"/>
    </row>
    <row r="845" spans="6:10" ht="18.75" customHeight="1">
      <c r="F845" s="1">
        <v>47058</v>
      </c>
      <c r="G845">
        <f t="shared" si="14"/>
        <v>11</v>
      </c>
      <c r="J845" s="7"/>
    </row>
    <row r="846" spans="6:10" ht="18.75" customHeight="1">
      <c r="F846" s="1">
        <v>47088</v>
      </c>
      <c r="G846">
        <f t="shared" si="14"/>
        <v>12</v>
      </c>
      <c r="J846" s="7"/>
    </row>
    <row r="847" spans="6:10" ht="18.75" customHeight="1">
      <c r="F847" s="1">
        <v>47119</v>
      </c>
      <c r="G847">
        <f t="shared" si="14"/>
        <v>1</v>
      </c>
      <c r="J847" s="7"/>
    </row>
    <row r="848" spans="6:10" ht="18.75" customHeight="1">
      <c r="F848" s="1">
        <v>47150</v>
      </c>
      <c r="G848">
        <f t="shared" si="14"/>
        <v>2</v>
      </c>
      <c r="J848" s="7"/>
    </row>
    <row r="849" spans="6:10" ht="18.75" customHeight="1">
      <c r="F849" s="1">
        <v>47178</v>
      </c>
      <c r="G849">
        <f t="shared" si="14"/>
        <v>3</v>
      </c>
      <c r="J849" s="7"/>
    </row>
    <row r="850" spans="6:10" ht="18.75" customHeight="1">
      <c r="F850" s="1">
        <v>47209</v>
      </c>
      <c r="G850">
        <f t="shared" si="14"/>
        <v>4</v>
      </c>
      <c r="J850" s="7"/>
    </row>
    <row r="851" spans="6:10" ht="18.75" customHeight="1">
      <c r="F851" s="1">
        <v>47239</v>
      </c>
      <c r="G851">
        <f t="shared" si="14"/>
        <v>5</v>
      </c>
      <c r="J851" s="7"/>
    </row>
    <row r="852" spans="6:10" ht="18.75" customHeight="1">
      <c r="F852" s="1">
        <v>47270</v>
      </c>
      <c r="G852">
        <f t="shared" si="14"/>
        <v>6</v>
      </c>
      <c r="J852" s="7"/>
    </row>
    <row r="853" spans="6:10" ht="18.75" customHeight="1">
      <c r="F853" s="1">
        <v>47300</v>
      </c>
      <c r="G853">
        <f t="shared" si="14"/>
        <v>7</v>
      </c>
      <c r="J853" s="7"/>
    </row>
    <row r="854" spans="6:10" ht="18.75" customHeight="1">
      <c r="F854" s="1">
        <v>47331</v>
      </c>
      <c r="G854">
        <f t="shared" si="14"/>
        <v>8</v>
      </c>
      <c r="J854" s="7"/>
    </row>
    <row r="855" spans="6:10" ht="18.75" customHeight="1">
      <c r="F855" s="1">
        <v>47362</v>
      </c>
      <c r="G855">
        <f t="shared" si="14"/>
        <v>9</v>
      </c>
      <c r="J855" s="7"/>
    </row>
    <row r="856" spans="6:10" ht="18.75" customHeight="1">
      <c r="F856" s="1">
        <v>47392</v>
      </c>
      <c r="G856">
        <f t="shared" si="14"/>
        <v>10</v>
      </c>
      <c r="J856" s="7"/>
    </row>
    <row r="857" spans="6:10" ht="18.75" customHeight="1">
      <c r="F857" s="1">
        <v>47423</v>
      </c>
      <c r="G857">
        <f t="shared" si="14"/>
        <v>11</v>
      </c>
      <c r="J857" s="7"/>
    </row>
    <row r="858" spans="6:10" ht="18.75" customHeight="1">
      <c r="F858" s="1">
        <v>47453</v>
      </c>
      <c r="G858">
        <f t="shared" si="14"/>
        <v>12</v>
      </c>
      <c r="J858" s="7"/>
    </row>
    <row r="859" spans="6:10" ht="18.75" customHeight="1">
      <c r="F859" s="1">
        <v>47484</v>
      </c>
      <c r="G859">
        <f t="shared" si="14"/>
        <v>1</v>
      </c>
      <c r="J859" s="7"/>
    </row>
    <row r="860" spans="6:10" ht="18.75" customHeight="1">
      <c r="F860" s="1">
        <v>47515</v>
      </c>
      <c r="G860">
        <f t="shared" si="14"/>
        <v>2</v>
      </c>
      <c r="J860" s="7"/>
    </row>
    <row r="861" spans="6:10" ht="18.75" customHeight="1">
      <c r="F861" s="1">
        <v>47543</v>
      </c>
      <c r="G861">
        <f t="shared" si="14"/>
        <v>3</v>
      </c>
      <c r="J861" s="7"/>
    </row>
    <row r="862" spans="6:10" ht="18.75" customHeight="1">
      <c r="F862" s="1">
        <v>47574</v>
      </c>
      <c r="G862">
        <f t="shared" si="14"/>
        <v>4</v>
      </c>
      <c r="J862" s="7"/>
    </row>
    <row r="863" spans="6:10" ht="18.75" customHeight="1">
      <c r="F863" s="1">
        <v>47604</v>
      </c>
      <c r="G863">
        <f t="shared" si="14"/>
        <v>5</v>
      </c>
      <c r="J863" s="7"/>
    </row>
    <row r="864" spans="6:10" ht="18.75" customHeight="1">
      <c r="F864" s="1">
        <v>47635</v>
      </c>
      <c r="G864">
        <f t="shared" si="14"/>
        <v>6</v>
      </c>
      <c r="J864" s="7"/>
    </row>
    <row r="865" spans="6:10" ht="18.75" customHeight="1">
      <c r="F865" s="1">
        <v>47665</v>
      </c>
      <c r="G865">
        <f t="shared" si="14"/>
        <v>7</v>
      </c>
      <c r="J865" s="7"/>
    </row>
    <row r="866" spans="6:10" ht="18.75" customHeight="1">
      <c r="F866" s="1">
        <v>47696</v>
      </c>
      <c r="G866">
        <f t="shared" si="14"/>
        <v>8</v>
      </c>
      <c r="J866" s="7"/>
    </row>
    <row r="867" spans="6:10" ht="18.75" customHeight="1">
      <c r="F867" s="1">
        <v>47727</v>
      </c>
      <c r="G867">
        <f t="shared" si="14"/>
        <v>9</v>
      </c>
      <c r="J867" s="7"/>
    </row>
    <row r="868" spans="6:10" ht="18.75" customHeight="1">
      <c r="F868" s="1">
        <v>47757</v>
      </c>
      <c r="G868">
        <f t="shared" si="14"/>
        <v>10</v>
      </c>
      <c r="J868" s="7"/>
    </row>
    <row r="869" spans="6:10" ht="18.75" customHeight="1">
      <c r="F869" s="1">
        <v>47788</v>
      </c>
      <c r="G869">
        <f t="shared" si="14"/>
        <v>11</v>
      </c>
      <c r="J869" s="7"/>
    </row>
    <row r="870" spans="6:10" ht="18.75" customHeight="1">
      <c r="F870" s="1">
        <v>47818</v>
      </c>
      <c r="G870">
        <f t="shared" si="14"/>
        <v>12</v>
      </c>
      <c r="J870" s="7"/>
    </row>
    <row r="871" spans="6:10" ht="18.75" customHeight="1">
      <c r="F871" s="1">
        <v>47849</v>
      </c>
      <c r="G871">
        <f t="shared" si="14"/>
        <v>1</v>
      </c>
      <c r="J871" s="7"/>
    </row>
    <row r="872" spans="6:10" ht="18.75" customHeight="1">
      <c r="F872" s="1">
        <v>47880</v>
      </c>
      <c r="G872">
        <f t="shared" si="14"/>
        <v>2</v>
      </c>
      <c r="J872" s="7"/>
    </row>
    <row r="873" spans="6:10" ht="18.75" customHeight="1">
      <c r="F873" s="1">
        <v>47908</v>
      </c>
      <c r="G873">
        <f t="shared" si="14"/>
        <v>3</v>
      </c>
      <c r="J873" s="7"/>
    </row>
    <row r="874" spans="6:10" ht="18.75" customHeight="1">
      <c r="F874" s="1">
        <v>47939</v>
      </c>
      <c r="G874">
        <f t="shared" si="14"/>
        <v>4</v>
      </c>
      <c r="J874" s="7"/>
    </row>
    <row r="875" spans="6:10" ht="18.75" customHeight="1">
      <c r="F875" s="1">
        <v>47969</v>
      </c>
      <c r="G875">
        <f t="shared" si="14"/>
        <v>5</v>
      </c>
      <c r="J875" s="7"/>
    </row>
    <row r="876" spans="6:10" ht="18.75" customHeight="1">
      <c r="F876" s="1">
        <v>48000</v>
      </c>
      <c r="G876">
        <f t="shared" si="14"/>
        <v>6</v>
      </c>
      <c r="J876" s="7"/>
    </row>
    <row r="877" spans="6:10" ht="18.75" customHeight="1">
      <c r="F877" s="1">
        <v>48030</v>
      </c>
      <c r="G877">
        <f t="shared" si="14"/>
        <v>7</v>
      </c>
      <c r="J877" s="7"/>
    </row>
    <row r="878" spans="6:10" ht="18.75" customHeight="1">
      <c r="F878" s="1">
        <v>48061</v>
      </c>
      <c r="G878">
        <f t="shared" si="14"/>
        <v>8</v>
      </c>
      <c r="J878" s="7"/>
    </row>
    <row r="879" spans="6:10" ht="18.75" customHeight="1">
      <c r="F879" s="1">
        <v>48092</v>
      </c>
      <c r="G879">
        <f t="shared" si="14"/>
        <v>9</v>
      </c>
      <c r="J879" s="7"/>
    </row>
    <row r="880" spans="6:10" ht="18.75" customHeight="1">
      <c r="F880" s="1">
        <v>48122</v>
      </c>
      <c r="G880">
        <f t="shared" si="14"/>
        <v>10</v>
      </c>
      <c r="J880" s="7"/>
    </row>
    <row r="881" spans="6:10" ht="18.75" customHeight="1">
      <c r="F881" s="1">
        <v>48153</v>
      </c>
      <c r="G881">
        <f t="shared" si="14"/>
        <v>11</v>
      </c>
      <c r="J881" s="7"/>
    </row>
    <row r="882" spans="6:10" ht="18.75" customHeight="1">
      <c r="F882" s="1">
        <v>48183</v>
      </c>
      <c r="G882">
        <f t="shared" si="14"/>
        <v>12</v>
      </c>
      <c r="J882" s="7"/>
    </row>
    <row r="883" spans="6:10" ht="18.75" customHeight="1">
      <c r="F883" s="1">
        <v>48214</v>
      </c>
      <c r="G883">
        <f t="shared" si="14"/>
        <v>1</v>
      </c>
      <c r="J883" s="7"/>
    </row>
    <row r="884" spans="6:10" ht="18.75" customHeight="1">
      <c r="F884" s="1">
        <v>48245</v>
      </c>
      <c r="G884">
        <f t="shared" si="14"/>
        <v>2</v>
      </c>
      <c r="J884" s="7"/>
    </row>
    <row r="885" spans="6:10" ht="18.75" customHeight="1">
      <c r="F885" s="1">
        <v>48274</v>
      </c>
      <c r="G885">
        <f t="shared" si="14"/>
        <v>3</v>
      </c>
      <c r="J885" s="7"/>
    </row>
    <row r="886" spans="6:10" ht="18.75" customHeight="1">
      <c r="F886" s="1">
        <v>48305</v>
      </c>
      <c r="G886">
        <f t="shared" si="14"/>
        <v>4</v>
      </c>
      <c r="J886" s="7"/>
    </row>
    <row r="887" spans="6:10" ht="18.75" customHeight="1">
      <c r="F887" s="1">
        <v>48335</v>
      </c>
      <c r="G887">
        <f t="shared" si="14"/>
        <v>5</v>
      </c>
      <c r="J887" s="7"/>
    </row>
    <row r="888" spans="6:10" ht="18.75" customHeight="1">
      <c r="F888" s="1">
        <v>48366</v>
      </c>
      <c r="G888">
        <f t="shared" si="14"/>
        <v>6</v>
      </c>
      <c r="J888" s="7"/>
    </row>
    <row r="889" spans="6:10" ht="18.75" customHeight="1">
      <c r="F889" s="1">
        <v>48396</v>
      </c>
      <c r="G889">
        <f t="shared" si="14"/>
        <v>7</v>
      </c>
      <c r="J889" s="7"/>
    </row>
    <row r="890" spans="6:10" ht="18.75" customHeight="1">
      <c r="F890" s="1">
        <v>48427</v>
      </c>
      <c r="G890">
        <f t="shared" si="14"/>
        <v>8</v>
      </c>
      <c r="J890" s="7"/>
    </row>
    <row r="891" spans="6:10" ht="18.75" customHeight="1">
      <c r="F891" s="1">
        <v>48458</v>
      </c>
      <c r="G891">
        <f t="shared" si="14"/>
        <v>9</v>
      </c>
      <c r="J891" s="7"/>
    </row>
    <row r="892" spans="6:10" ht="18.75" customHeight="1">
      <c r="F892" s="1">
        <v>48488</v>
      </c>
      <c r="G892">
        <f t="shared" si="14"/>
        <v>10</v>
      </c>
      <c r="J892" s="7"/>
    </row>
    <row r="893" spans="6:10" ht="18.75" customHeight="1">
      <c r="F893" s="1">
        <v>48519</v>
      </c>
      <c r="G893">
        <f t="shared" si="14"/>
        <v>11</v>
      </c>
      <c r="J893" s="7"/>
    </row>
    <row r="894" spans="6:10" ht="18.75" customHeight="1">
      <c r="F894" s="1">
        <v>48549</v>
      </c>
      <c r="G894">
        <f t="shared" si="14"/>
        <v>12</v>
      </c>
      <c r="J894" s="7"/>
    </row>
    <row r="895" spans="6:10" ht="18.75" customHeight="1">
      <c r="F895" s="1">
        <v>48580</v>
      </c>
      <c r="G895">
        <f t="shared" si="14"/>
        <v>1</v>
      </c>
      <c r="J895" s="7"/>
    </row>
    <row r="896" spans="6:10" ht="18.75" customHeight="1">
      <c r="F896" s="1">
        <v>48611</v>
      </c>
      <c r="G896">
        <f t="shared" si="14"/>
        <v>2</v>
      </c>
      <c r="J896" s="7"/>
    </row>
    <row r="897" spans="6:10" ht="18.75" customHeight="1">
      <c r="F897" s="1">
        <v>48639</v>
      </c>
      <c r="G897">
        <f t="shared" si="14"/>
        <v>3</v>
      </c>
      <c r="J897" s="7"/>
    </row>
    <row r="898" spans="6:10" ht="18.75" customHeight="1">
      <c r="F898" s="1">
        <v>48670</v>
      </c>
      <c r="G898">
        <f t="shared" si="14"/>
        <v>4</v>
      </c>
      <c r="J898" s="7"/>
    </row>
    <row r="899" spans="6:10" ht="18.75" customHeight="1">
      <c r="F899" s="1">
        <v>48700</v>
      </c>
      <c r="G899">
        <f t="shared" ref="G899:G962" si="15">MONTH(F899)</f>
        <v>5</v>
      </c>
      <c r="J899" s="7"/>
    </row>
    <row r="900" spans="6:10" ht="18.75" customHeight="1">
      <c r="F900" s="1">
        <v>48731</v>
      </c>
      <c r="G900">
        <f t="shared" si="15"/>
        <v>6</v>
      </c>
      <c r="J900" s="7"/>
    </row>
    <row r="901" spans="6:10" ht="18.75" customHeight="1">
      <c r="F901" s="1">
        <v>48761</v>
      </c>
      <c r="G901">
        <f t="shared" si="15"/>
        <v>7</v>
      </c>
      <c r="J901" s="7"/>
    </row>
    <row r="902" spans="6:10" ht="18.75" customHeight="1">
      <c r="F902" s="1">
        <v>48792</v>
      </c>
      <c r="G902">
        <f t="shared" si="15"/>
        <v>8</v>
      </c>
      <c r="J902" s="7"/>
    </row>
    <row r="903" spans="6:10" ht="18.75" customHeight="1">
      <c r="F903" s="1">
        <v>48823</v>
      </c>
      <c r="G903">
        <f t="shared" si="15"/>
        <v>9</v>
      </c>
      <c r="J903" s="7"/>
    </row>
    <row r="904" spans="6:10" ht="18.75" customHeight="1">
      <c r="F904" s="1">
        <v>48853</v>
      </c>
      <c r="G904">
        <f t="shared" si="15"/>
        <v>10</v>
      </c>
      <c r="J904" s="7"/>
    </row>
    <row r="905" spans="6:10" ht="18.75" customHeight="1">
      <c r="F905" s="1">
        <v>48884</v>
      </c>
      <c r="G905">
        <f t="shared" si="15"/>
        <v>11</v>
      </c>
      <c r="J905" s="7"/>
    </row>
    <row r="906" spans="6:10" ht="18.75" customHeight="1">
      <c r="F906" s="1">
        <v>48914</v>
      </c>
      <c r="G906">
        <f t="shared" si="15"/>
        <v>12</v>
      </c>
      <c r="J906" s="7"/>
    </row>
    <row r="907" spans="6:10" ht="18.75" customHeight="1">
      <c r="F907" s="1">
        <v>48945</v>
      </c>
      <c r="G907">
        <f t="shared" si="15"/>
        <v>1</v>
      </c>
      <c r="J907" s="7"/>
    </row>
    <row r="908" spans="6:10" ht="18.75" customHeight="1">
      <c r="F908" s="1">
        <v>48976</v>
      </c>
      <c r="G908">
        <f t="shared" si="15"/>
        <v>2</v>
      </c>
      <c r="J908" s="7"/>
    </row>
    <row r="909" spans="6:10" ht="18.75" customHeight="1">
      <c r="F909" s="1">
        <v>49004</v>
      </c>
      <c r="G909">
        <f t="shared" si="15"/>
        <v>3</v>
      </c>
      <c r="J909" s="7"/>
    </row>
    <row r="910" spans="6:10" ht="18.75" customHeight="1">
      <c r="F910" s="1">
        <v>49035</v>
      </c>
      <c r="G910">
        <f t="shared" si="15"/>
        <v>4</v>
      </c>
      <c r="J910" s="7"/>
    </row>
    <row r="911" spans="6:10" ht="18.75" customHeight="1">
      <c r="F911" s="1">
        <v>49065</v>
      </c>
      <c r="G911">
        <f t="shared" si="15"/>
        <v>5</v>
      </c>
      <c r="J911" s="7"/>
    </row>
    <row r="912" spans="6:10" ht="18.75" customHeight="1">
      <c r="F912" s="1">
        <v>49096</v>
      </c>
      <c r="G912">
        <f t="shared" si="15"/>
        <v>6</v>
      </c>
      <c r="J912" s="7"/>
    </row>
    <row r="913" spans="6:10" ht="18.75" customHeight="1">
      <c r="F913" s="1">
        <v>49126</v>
      </c>
      <c r="G913">
        <f t="shared" si="15"/>
        <v>7</v>
      </c>
      <c r="J913" s="7"/>
    </row>
    <row r="914" spans="6:10" ht="18.75" customHeight="1">
      <c r="F914" s="1">
        <v>49157</v>
      </c>
      <c r="G914">
        <f t="shared" si="15"/>
        <v>8</v>
      </c>
      <c r="J914" s="7"/>
    </row>
    <row r="915" spans="6:10" ht="18.75" customHeight="1">
      <c r="F915" s="1">
        <v>49188</v>
      </c>
      <c r="G915">
        <f t="shared" si="15"/>
        <v>9</v>
      </c>
      <c r="J915" s="7"/>
    </row>
    <row r="916" spans="6:10" ht="18.75" customHeight="1">
      <c r="F916" s="1">
        <v>49218</v>
      </c>
      <c r="G916">
        <f t="shared" si="15"/>
        <v>10</v>
      </c>
      <c r="J916" s="7"/>
    </row>
    <row r="917" spans="6:10" ht="18.75" customHeight="1">
      <c r="F917" s="1">
        <v>49249</v>
      </c>
      <c r="G917">
        <f t="shared" si="15"/>
        <v>11</v>
      </c>
      <c r="J917" s="7"/>
    </row>
    <row r="918" spans="6:10" ht="18.75" customHeight="1">
      <c r="F918" s="1">
        <v>49279</v>
      </c>
      <c r="G918">
        <f t="shared" si="15"/>
        <v>12</v>
      </c>
      <c r="J918" s="7"/>
    </row>
    <row r="919" spans="6:10" ht="18.75" customHeight="1">
      <c r="F919" s="1">
        <v>49310</v>
      </c>
      <c r="G919">
        <f t="shared" si="15"/>
        <v>1</v>
      </c>
      <c r="J919" s="7"/>
    </row>
    <row r="920" spans="6:10" ht="18.75" customHeight="1">
      <c r="F920" s="1">
        <v>49341</v>
      </c>
      <c r="G920">
        <f t="shared" si="15"/>
        <v>2</v>
      </c>
      <c r="J920" s="7"/>
    </row>
    <row r="921" spans="6:10" ht="18.75" customHeight="1">
      <c r="F921" s="1">
        <v>49369</v>
      </c>
      <c r="G921">
        <f t="shared" si="15"/>
        <v>3</v>
      </c>
      <c r="J921" s="7"/>
    </row>
    <row r="922" spans="6:10" ht="18.75" customHeight="1">
      <c r="F922" s="1">
        <v>49400</v>
      </c>
      <c r="G922">
        <f t="shared" si="15"/>
        <v>4</v>
      </c>
      <c r="J922" s="7"/>
    </row>
    <row r="923" spans="6:10" ht="18.75" customHeight="1">
      <c r="F923" s="1">
        <v>49430</v>
      </c>
      <c r="G923">
        <f t="shared" si="15"/>
        <v>5</v>
      </c>
      <c r="J923" s="7"/>
    </row>
    <row r="924" spans="6:10" ht="18.75" customHeight="1">
      <c r="F924" s="1">
        <v>49461</v>
      </c>
      <c r="G924">
        <f t="shared" si="15"/>
        <v>6</v>
      </c>
      <c r="J924" s="7"/>
    </row>
    <row r="925" spans="6:10" ht="18.75" customHeight="1">
      <c r="F925" s="1">
        <v>49491</v>
      </c>
      <c r="G925">
        <f t="shared" si="15"/>
        <v>7</v>
      </c>
      <c r="J925" s="7"/>
    </row>
    <row r="926" spans="6:10" ht="18.75" customHeight="1">
      <c r="F926" s="1">
        <v>49522</v>
      </c>
      <c r="G926">
        <f t="shared" si="15"/>
        <v>8</v>
      </c>
      <c r="J926" s="7"/>
    </row>
    <row r="927" spans="6:10" ht="18.75" customHeight="1">
      <c r="F927" s="1">
        <v>49553</v>
      </c>
      <c r="G927">
        <f t="shared" si="15"/>
        <v>9</v>
      </c>
      <c r="J927" s="7"/>
    </row>
    <row r="928" spans="6:10" ht="18.75" customHeight="1">
      <c r="F928" s="1">
        <v>49583</v>
      </c>
      <c r="G928">
        <f t="shared" si="15"/>
        <v>10</v>
      </c>
      <c r="J928" s="7"/>
    </row>
    <row r="929" spans="6:10" ht="18.75" customHeight="1">
      <c r="F929" s="1">
        <v>49614</v>
      </c>
      <c r="G929">
        <f t="shared" si="15"/>
        <v>11</v>
      </c>
      <c r="J929" s="7"/>
    </row>
    <row r="930" spans="6:10" ht="18.75" customHeight="1">
      <c r="F930" s="1">
        <v>49644</v>
      </c>
      <c r="G930">
        <f t="shared" si="15"/>
        <v>12</v>
      </c>
      <c r="J930" s="7"/>
    </row>
    <row r="931" spans="6:10" ht="18.75" customHeight="1">
      <c r="F931" s="1">
        <v>49675</v>
      </c>
      <c r="G931">
        <f t="shared" si="15"/>
        <v>1</v>
      </c>
      <c r="J931" s="7"/>
    </row>
    <row r="932" spans="6:10" ht="18.75" customHeight="1">
      <c r="F932" s="1">
        <v>49706</v>
      </c>
      <c r="G932">
        <f t="shared" si="15"/>
        <v>2</v>
      </c>
      <c r="J932" s="7"/>
    </row>
    <row r="933" spans="6:10" ht="18.75" customHeight="1">
      <c r="F933" s="1">
        <v>49735</v>
      </c>
      <c r="G933">
        <f t="shared" si="15"/>
        <v>3</v>
      </c>
      <c r="J933" s="7"/>
    </row>
    <row r="934" spans="6:10" ht="18.75" customHeight="1">
      <c r="F934" s="1">
        <v>49766</v>
      </c>
      <c r="G934">
        <f t="shared" si="15"/>
        <v>4</v>
      </c>
      <c r="J934" s="7"/>
    </row>
    <row r="935" spans="6:10" ht="18.75" customHeight="1">
      <c r="F935" s="1">
        <v>49796</v>
      </c>
      <c r="G935">
        <f t="shared" si="15"/>
        <v>5</v>
      </c>
      <c r="J935" s="7"/>
    </row>
    <row r="936" spans="6:10" ht="18.75" customHeight="1">
      <c r="F936" s="1">
        <v>49827</v>
      </c>
      <c r="G936">
        <f t="shared" si="15"/>
        <v>6</v>
      </c>
      <c r="J936" s="7"/>
    </row>
    <row r="937" spans="6:10" ht="18.75" customHeight="1">
      <c r="F937" s="1">
        <v>49857</v>
      </c>
      <c r="G937">
        <f t="shared" si="15"/>
        <v>7</v>
      </c>
      <c r="J937" s="7"/>
    </row>
    <row r="938" spans="6:10" ht="18.75" customHeight="1">
      <c r="F938" s="1">
        <v>49888</v>
      </c>
      <c r="G938">
        <f t="shared" si="15"/>
        <v>8</v>
      </c>
      <c r="J938" s="7"/>
    </row>
    <row r="939" spans="6:10" ht="18.75" customHeight="1">
      <c r="F939" s="1">
        <v>49919</v>
      </c>
      <c r="G939">
        <f t="shared" si="15"/>
        <v>9</v>
      </c>
      <c r="J939" s="7"/>
    </row>
    <row r="940" spans="6:10" ht="18.75" customHeight="1">
      <c r="F940" s="1">
        <v>49949</v>
      </c>
      <c r="G940">
        <f t="shared" si="15"/>
        <v>10</v>
      </c>
      <c r="J940" s="7"/>
    </row>
    <row r="941" spans="6:10" ht="18.75" customHeight="1">
      <c r="F941" s="1">
        <v>49980</v>
      </c>
      <c r="G941">
        <f t="shared" si="15"/>
        <v>11</v>
      </c>
      <c r="J941" s="7"/>
    </row>
    <row r="942" spans="6:10" ht="18.75" customHeight="1">
      <c r="F942" s="1">
        <v>50010</v>
      </c>
      <c r="G942">
        <f t="shared" si="15"/>
        <v>12</v>
      </c>
      <c r="J942" s="7"/>
    </row>
    <row r="943" spans="6:10" ht="18.75" customHeight="1">
      <c r="F943" s="1">
        <v>50041</v>
      </c>
      <c r="G943">
        <f t="shared" si="15"/>
        <v>1</v>
      </c>
    </row>
    <row r="944" spans="6:10" ht="18.75" customHeight="1">
      <c r="F944" s="1">
        <v>50072</v>
      </c>
      <c r="G944">
        <f t="shared" si="15"/>
        <v>2</v>
      </c>
    </row>
    <row r="945" spans="6:7" ht="18.75" customHeight="1">
      <c r="F945" s="1">
        <v>50100</v>
      </c>
      <c r="G945">
        <f t="shared" si="15"/>
        <v>3</v>
      </c>
    </row>
    <row r="946" spans="6:7" ht="18.75" customHeight="1">
      <c r="F946" s="1">
        <v>50131</v>
      </c>
      <c r="G946">
        <f t="shared" si="15"/>
        <v>4</v>
      </c>
    </row>
    <row r="947" spans="6:7" ht="18.75" customHeight="1">
      <c r="F947" s="1">
        <v>50161</v>
      </c>
      <c r="G947">
        <f t="shared" si="15"/>
        <v>5</v>
      </c>
    </row>
    <row r="948" spans="6:7" ht="18.75" customHeight="1">
      <c r="F948" s="1">
        <v>50192</v>
      </c>
      <c r="G948">
        <f t="shared" si="15"/>
        <v>6</v>
      </c>
    </row>
    <row r="949" spans="6:7" ht="18.75" customHeight="1">
      <c r="F949" s="1">
        <v>50222</v>
      </c>
      <c r="G949">
        <f t="shared" si="15"/>
        <v>7</v>
      </c>
    </row>
    <row r="950" spans="6:7" ht="18.75" customHeight="1">
      <c r="F950" s="1">
        <v>50253</v>
      </c>
      <c r="G950">
        <f t="shared" si="15"/>
        <v>8</v>
      </c>
    </row>
    <row r="951" spans="6:7" ht="18.75" customHeight="1">
      <c r="F951" s="1">
        <v>50284</v>
      </c>
      <c r="G951">
        <f t="shared" si="15"/>
        <v>9</v>
      </c>
    </row>
    <row r="952" spans="6:7" ht="18.75" customHeight="1">
      <c r="F952" s="1">
        <v>50314</v>
      </c>
      <c r="G952">
        <f t="shared" si="15"/>
        <v>10</v>
      </c>
    </row>
    <row r="953" spans="6:7" ht="18.75" customHeight="1">
      <c r="F953" s="1">
        <v>50345</v>
      </c>
      <c r="G953">
        <f t="shared" si="15"/>
        <v>11</v>
      </c>
    </row>
    <row r="954" spans="6:7" ht="18.75" customHeight="1">
      <c r="F954" s="1">
        <v>50375</v>
      </c>
      <c r="G954">
        <f t="shared" si="15"/>
        <v>12</v>
      </c>
    </row>
    <row r="955" spans="6:7" ht="18.75" customHeight="1">
      <c r="F955" s="1">
        <v>50406</v>
      </c>
      <c r="G955">
        <f t="shared" si="15"/>
        <v>1</v>
      </c>
    </row>
    <row r="956" spans="6:7" ht="18.75" customHeight="1">
      <c r="F956" s="1">
        <v>50437</v>
      </c>
      <c r="G956">
        <f t="shared" si="15"/>
        <v>2</v>
      </c>
    </row>
    <row r="957" spans="6:7" ht="18.75" customHeight="1">
      <c r="F957" s="1">
        <v>50465</v>
      </c>
      <c r="G957">
        <f t="shared" si="15"/>
        <v>3</v>
      </c>
    </row>
    <row r="958" spans="6:7" ht="18.75" customHeight="1">
      <c r="F958" s="1">
        <v>50496</v>
      </c>
      <c r="G958">
        <f t="shared" si="15"/>
        <v>4</v>
      </c>
    </row>
    <row r="959" spans="6:7" ht="18.75" customHeight="1">
      <c r="F959" s="1">
        <v>50526</v>
      </c>
      <c r="G959">
        <f t="shared" si="15"/>
        <v>5</v>
      </c>
    </row>
    <row r="960" spans="6:7" ht="18.75" customHeight="1">
      <c r="F960" s="1">
        <v>50557</v>
      </c>
      <c r="G960">
        <f t="shared" si="15"/>
        <v>6</v>
      </c>
    </row>
    <row r="961" spans="6:7" ht="18.75" customHeight="1">
      <c r="F961" s="1">
        <v>50587</v>
      </c>
      <c r="G961">
        <f t="shared" si="15"/>
        <v>7</v>
      </c>
    </row>
    <row r="962" spans="6:7" ht="18.75" customHeight="1">
      <c r="F962" s="1">
        <v>50618</v>
      </c>
      <c r="G962">
        <f t="shared" si="15"/>
        <v>8</v>
      </c>
    </row>
    <row r="963" spans="6:7" ht="18.75" customHeight="1">
      <c r="F963" s="1">
        <v>50649</v>
      </c>
      <c r="G963">
        <f t="shared" ref="G963:G982" si="16">MONTH(F963)</f>
        <v>9</v>
      </c>
    </row>
    <row r="964" spans="6:7" ht="18.75" customHeight="1">
      <c r="F964" s="1">
        <v>50679</v>
      </c>
      <c r="G964">
        <f t="shared" si="16"/>
        <v>10</v>
      </c>
    </row>
    <row r="965" spans="6:7" ht="18.75" customHeight="1">
      <c r="F965" s="1">
        <v>50710</v>
      </c>
      <c r="G965">
        <f t="shared" si="16"/>
        <v>11</v>
      </c>
    </row>
    <row r="966" spans="6:7" ht="18.75" customHeight="1">
      <c r="F966" s="1">
        <v>50740</v>
      </c>
      <c r="G966">
        <f t="shared" si="16"/>
        <v>12</v>
      </c>
    </row>
    <row r="967" spans="6:7" ht="18.75" customHeight="1">
      <c r="F967" s="1">
        <v>50771</v>
      </c>
      <c r="G967">
        <f t="shared" si="16"/>
        <v>1</v>
      </c>
    </row>
    <row r="968" spans="6:7" ht="18.75" customHeight="1">
      <c r="F968" s="1">
        <v>50802</v>
      </c>
      <c r="G968">
        <f t="shared" si="16"/>
        <v>2</v>
      </c>
    </row>
    <row r="969" spans="6:7" ht="18.75" customHeight="1">
      <c r="F969" s="1">
        <v>50830</v>
      </c>
      <c r="G969">
        <f t="shared" si="16"/>
        <v>3</v>
      </c>
    </row>
    <row r="970" spans="6:7" ht="18.75" customHeight="1">
      <c r="F970" s="1">
        <v>50861</v>
      </c>
      <c r="G970">
        <f t="shared" si="16"/>
        <v>4</v>
      </c>
    </row>
    <row r="971" spans="6:7" ht="18.75" customHeight="1">
      <c r="F971" s="1">
        <v>50891</v>
      </c>
      <c r="G971">
        <f t="shared" si="16"/>
        <v>5</v>
      </c>
    </row>
    <row r="972" spans="6:7" ht="18.75" customHeight="1">
      <c r="F972" s="1">
        <v>50922</v>
      </c>
      <c r="G972">
        <f t="shared" si="16"/>
        <v>6</v>
      </c>
    </row>
    <row r="973" spans="6:7" ht="18.75" customHeight="1">
      <c r="F973" s="1">
        <v>50952</v>
      </c>
      <c r="G973">
        <f t="shared" si="16"/>
        <v>7</v>
      </c>
    </row>
    <row r="974" spans="6:7" ht="18.75" customHeight="1">
      <c r="F974" s="1">
        <v>50983</v>
      </c>
      <c r="G974">
        <f t="shared" si="16"/>
        <v>8</v>
      </c>
    </row>
    <row r="975" spans="6:7" ht="18.75" customHeight="1">
      <c r="F975" s="1">
        <v>51014</v>
      </c>
      <c r="G975">
        <f t="shared" si="16"/>
        <v>9</v>
      </c>
    </row>
    <row r="976" spans="6:7" ht="18.75" customHeight="1">
      <c r="F976" s="1">
        <v>51044</v>
      </c>
      <c r="G976">
        <f t="shared" si="16"/>
        <v>10</v>
      </c>
    </row>
    <row r="977" spans="6:8" ht="18.75" customHeight="1">
      <c r="F977" s="1">
        <v>51075</v>
      </c>
      <c r="G977">
        <f t="shared" si="16"/>
        <v>11</v>
      </c>
    </row>
    <row r="978" spans="6:8" ht="18.75" customHeight="1">
      <c r="F978" s="1">
        <v>51105</v>
      </c>
      <c r="G978">
        <f t="shared" si="16"/>
        <v>12</v>
      </c>
    </row>
    <row r="979" spans="6:8" ht="18.75" customHeight="1">
      <c r="F979" s="1">
        <v>51136</v>
      </c>
      <c r="G979">
        <f t="shared" si="16"/>
        <v>1</v>
      </c>
    </row>
    <row r="980" spans="6:8" ht="18.75" customHeight="1">
      <c r="F980" s="1">
        <v>51167</v>
      </c>
      <c r="G980">
        <f t="shared" si="16"/>
        <v>2</v>
      </c>
    </row>
    <row r="981" spans="6:8" ht="18.75" customHeight="1">
      <c r="F981" s="1">
        <v>51196</v>
      </c>
      <c r="G981">
        <f t="shared" si="16"/>
        <v>3</v>
      </c>
    </row>
    <row r="982" spans="6:8" ht="18.75" customHeight="1">
      <c r="F982" s="16">
        <v>51227</v>
      </c>
      <c r="G982" s="17">
        <f t="shared" si="16"/>
        <v>4</v>
      </c>
      <c r="H982" s="18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C60-50E6-4B0D-8668-2BE976734B25}">
  <dimension ref="A1:M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</cols>
  <sheetData>
    <row r="1" spans="1:13" ht="18.75" customHeight="1">
      <c r="A1" s="2" t="s">
        <v>9</v>
      </c>
      <c r="B1" s="8" t="s">
        <v>15</v>
      </c>
      <c r="D1" t="s">
        <v>16</v>
      </c>
      <c r="F1" s="3" t="s">
        <v>46</v>
      </c>
      <c r="G1" s="3" t="s">
        <v>22</v>
      </c>
      <c r="H1" s="6" t="s">
        <v>47</v>
      </c>
      <c r="I1" s="6" t="s">
        <v>20</v>
      </c>
      <c r="J1" s="3" t="s">
        <v>21</v>
      </c>
      <c r="K1" s="6" t="s">
        <v>17</v>
      </c>
      <c r="L1" s="6" t="s">
        <v>23</v>
      </c>
      <c r="M1" s="6" t="s">
        <v>48</v>
      </c>
    </row>
    <row r="2" spans="1:13" ht="18.75" customHeight="1">
      <c r="A2" s="2" t="s">
        <v>2</v>
      </c>
      <c r="B2" s="8" t="s">
        <v>17</v>
      </c>
      <c r="D2" t="s">
        <v>18</v>
      </c>
      <c r="F2" s="1">
        <v>21245</v>
      </c>
      <c r="G2">
        <f>MONTH(F2)</f>
        <v>3</v>
      </c>
      <c r="H2" s="7">
        <v>315.7</v>
      </c>
      <c r="I2" s="7">
        <f t="shared" ref="I2:I65" si="0">_A*F2*F2+_B*F2+_C</f>
        <v>314.61155003735519</v>
      </c>
      <c r="J2" s="7">
        <f>H2-I2</f>
        <v>1.0884499626448019</v>
      </c>
      <c r="K2" s="7" cm="1">
        <f t="array" ref="K2">INDEX(Sm,G2)</f>
        <v>1.3733706304072995</v>
      </c>
      <c r="L2" s="7">
        <f>I2+K2</f>
        <v>315.98492066776248</v>
      </c>
      <c r="M2" s="7">
        <f>H2-L2</f>
        <v>-0.28492066776249203</v>
      </c>
    </row>
    <row r="3" spans="1:13" ht="18.75" customHeight="1">
      <c r="A3" s="2" t="s">
        <v>14</v>
      </c>
      <c r="B3" s="8" t="s">
        <v>19</v>
      </c>
      <c r="D3" t="s">
        <v>10</v>
      </c>
      <c r="F3" s="1">
        <v>21276</v>
      </c>
      <c r="G3">
        <f t="shared" ref="G3:G66" si="1">MONTH(F3)</f>
        <v>4</v>
      </c>
      <c r="H3" s="7">
        <v>317.45999999999998</v>
      </c>
      <c r="I3" s="7">
        <f t="shared" si="0"/>
        <v>314.67624382141679</v>
      </c>
      <c r="J3" s="7">
        <f t="shared" ref="J3:J66" si="2">H3-I3</f>
        <v>2.7837561785831895</v>
      </c>
      <c r="K3" s="7" cm="1">
        <f t="array" ref="K3">INDEX(Sm,G3)</f>
        <v>2.6099183412742755</v>
      </c>
      <c r="L3" s="7">
        <f t="shared" ref="L3:L66" si="3">I3+K3</f>
        <v>317.28616216269108</v>
      </c>
      <c r="M3" s="7">
        <f t="shared" ref="M3:M66" si="4">H3-L3</f>
        <v>0.1738378373088949</v>
      </c>
    </row>
    <row r="4" spans="1:13" ht="18.75" customHeight="1">
      <c r="F4" s="1">
        <v>21306</v>
      </c>
      <c r="G4">
        <f t="shared" si="1"/>
        <v>5</v>
      </c>
      <c r="H4" s="7">
        <v>317.51</v>
      </c>
      <c r="I4" s="7">
        <f t="shared" si="0"/>
        <v>314.73903013579707</v>
      </c>
      <c r="J4" s="7">
        <f t="shared" si="2"/>
        <v>2.7709698642029252</v>
      </c>
      <c r="K4" s="7" cm="1">
        <f t="array" ref="K4">INDEX(Sm,G4)</f>
        <v>3.065291801195754</v>
      </c>
      <c r="L4" s="7">
        <f t="shared" si="3"/>
        <v>317.80432193699284</v>
      </c>
      <c r="M4" s="7">
        <f t="shared" si="4"/>
        <v>-0.29432193699284426</v>
      </c>
    </row>
    <row r="5" spans="1:13" ht="18.75" customHeight="1">
      <c r="A5" t="s">
        <v>50</v>
      </c>
      <c r="F5" s="1">
        <v>21367</v>
      </c>
      <c r="G5">
        <f t="shared" si="1"/>
        <v>7</v>
      </c>
      <c r="H5" s="7">
        <v>315.86</v>
      </c>
      <c r="I5" s="7">
        <f t="shared" si="0"/>
        <v>314.86723990232565</v>
      </c>
      <c r="J5" s="7">
        <f t="shared" si="2"/>
        <v>0.99276009767436335</v>
      </c>
      <c r="K5" s="7" cm="1">
        <f t="array" ref="K5">INDEX(Sm,G5)</f>
        <v>0.72334113060077332</v>
      </c>
      <c r="L5" s="7">
        <f t="shared" si="3"/>
        <v>315.59058103292642</v>
      </c>
      <c r="M5" s="7">
        <f t="shared" si="4"/>
        <v>0.26941896707359092</v>
      </c>
    </row>
    <row r="6" spans="1:13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1"/>
        <v>8</v>
      </c>
      <c r="H6" s="7">
        <v>314.93</v>
      </c>
      <c r="I6" s="7">
        <f t="shared" si="0"/>
        <v>314.93267531624593</v>
      </c>
      <c r="J6" s="7">
        <f t="shared" si="2"/>
        <v>-2.6753162459272062E-3</v>
      </c>
      <c r="K6" s="7" cm="1">
        <f t="array" ref="K6">INDEX(Sm,G6)</f>
        <v>-1.3975570061157723</v>
      </c>
      <c r="L6" s="7">
        <f t="shared" si="3"/>
        <v>313.53511831013014</v>
      </c>
      <c r="M6" s="7">
        <f t="shared" si="4"/>
        <v>1.3948816898698624</v>
      </c>
    </row>
    <row r="7" spans="1:13" ht="18.75" customHeight="1">
      <c r="B7" s="21">
        <f t="array" ref="B7:D7">LINEST($H$2:$H$742,$F$2:$F$742^{1,2})</f>
        <v>9.8047310770192954E-8</v>
      </c>
      <c r="C7" s="21">
        <v>-2.0821734412079227E-3</v>
      </c>
      <c r="D7" s="21">
        <v>314.59366862850817</v>
      </c>
      <c r="E7" t="s">
        <v>51</v>
      </c>
      <c r="F7" s="1">
        <v>21429</v>
      </c>
      <c r="G7">
        <f t="shared" si="1"/>
        <v>9</v>
      </c>
      <c r="H7" s="7">
        <v>313.20999999999998</v>
      </c>
      <c r="I7" s="7">
        <f t="shared" si="0"/>
        <v>314.99829917709746</v>
      </c>
      <c r="J7" s="7">
        <f t="shared" si="2"/>
        <v>-1.7882991770974854</v>
      </c>
      <c r="K7" s="7" cm="1">
        <f t="array" ref="K7">INDEX(Sm,G7)</f>
        <v>-3.1934822994410497</v>
      </c>
      <c r="L7" s="7">
        <f t="shared" si="3"/>
        <v>311.80481687765644</v>
      </c>
      <c r="M7" s="7">
        <f t="shared" si="4"/>
        <v>1.4051831223435443</v>
      </c>
    </row>
    <row r="8" spans="1:13" ht="18.75" customHeight="1">
      <c r="B8" t="s">
        <v>52</v>
      </c>
      <c r="F8" s="1">
        <v>21490</v>
      </c>
      <c r="G8">
        <f t="shared" si="1"/>
        <v>11</v>
      </c>
      <c r="H8" s="7">
        <v>313.33</v>
      </c>
      <c r="I8" s="7">
        <f t="shared" si="0"/>
        <v>315.12798024157149</v>
      </c>
      <c r="J8" s="7">
        <f t="shared" si="2"/>
        <v>-1.7979802415715085</v>
      </c>
      <c r="K8" s="7" cm="1">
        <f t="array" ref="K8">INDEX(Sm,G8)</f>
        <v>-2.0591623324975612</v>
      </c>
      <c r="L8" s="7">
        <f t="shared" si="3"/>
        <v>313.06881790907391</v>
      </c>
      <c r="M8" s="7">
        <f t="shared" si="4"/>
        <v>0.26118209092607003</v>
      </c>
    </row>
    <row r="9" spans="1:13" ht="18.75" customHeight="1">
      <c r="F9" s="1">
        <v>21520</v>
      </c>
      <c r="G9">
        <f t="shared" si="1"/>
        <v>12</v>
      </c>
      <c r="H9" s="7">
        <v>314.67</v>
      </c>
      <c r="I9" s="7">
        <f t="shared" si="0"/>
        <v>315.19202548342207</v>
      </c>
      <c r="J9" s="7">
        <f t="shared" si="2"/>
        <v>-0.52202548342205546</v>
      </c>
      <c r="K9" s="7" cm="1">
        <f t="array" ref="K9">INDEX(Sm,G9)</f>
        <v>-0.89132446529561371</v>
      </c>
      <c r="L9" s="7">
        <f t="shared" si="3"/>
        <v>314.30070101812646</v>
      </c>
      <c r="M9" s="7">
        <f t="shared" si="4"/>
        <v>0.36929898187355548</v>
      </c>
    </row>
    <row r="10" spans="1:13" ht="18.75" customHeight="1">
      <c r="A10" t="s">
        <v>54</v>
      </c>
      <c r="F10" s="1">
        <v>21551</v>
      </c>
      <c r="G10">
        <f t="shared" si="1"/>
        <v>1</v>
      </c>
      <c r="H10" s="7">
        <v>315.58</v>
      </c>
      <c r="I10" s="7">
        <f t="shared" si="0"/>
        <v>315.25839097413228</v>
      </c>
      <c r="J10" s="7">
        <f t="shared" si="2"/>
        <v>0.32160902586770135</v>
      </c>
      <c r="K10" s="7" cm="1">
        <f t="array" ref="K10">INDEX(Sm,G10)</f>
        <v>6.1040869584970889E-2</v>
      </c>
      <c r="L10" s="7">
        <f t="shared" si="3"/>
        <v>315.31943184371727</v>
      </c>
      <c r="M10" s="7">
        <f t="shared" si="4"/>
        <v>0.26056815628271579</v>
      </c>
    </row>
    <row r="11" spans="1:13" ht="18.75" customHeight="1">
      <c r="A11" s="2" t="s">
        <v>6</v>
      </c>
      <c r="B11" s="3" t="s">
        <v>8</v>
      </c>
      <c r="F11" s="1">
        <v>21582</v>
      </c>
      <c r="G11">
        <f t="shared" si="1"/>
        <v>2</v>
      </c>
      <c r="H11" s="7">
        <v>316.49</v>
      </c>
      <c r="I11" s="7">
        <f t="shared" si="0"/>
        <v>315.3249449117738</v>
      </c>
      <c r="J11" s="7">
        <f t="shared" si="2"/>
        <v>1.165055088226211</v>
      </c>
      <c r="K11" s="7" cm="1">
        <f t="array" ref="K11">INDEX(Sm,G11)</f>
        <v>0.69421564520236412</v>
      </c>
      <c r="L11" s="7">
        <f t="shared" si="3"/>
        <v>316.01916055697615</v>
      </c>
      <c r="M11" s="7">
        <f t="shared" si="4"/>
        <v>0.47083944302386271</v>
      </c>
    </row>
    <row r="12" spans="1:13" ht="18.75" customHeight="1">
      <c r="A12" s="2">
        <v>1</v>
      </c>
      <c r="B12" s="13">
        <f>AVERAGEIF($G$2:$G$742,A12,$J$2:$J$742)</f>
        <v>6.1040869584970889E-2</v>
      </c>
      <c r="C12" t="s">
        <v>53</v>
      </c>
      <c r="F12" s="1">
        <v>21610</v>
      </c>
      <c r="G12">
        <f t="shared" si="1"/>
        <v>3</v>
      </c>
      <c r="H12" s="7">
        <v>316.64999999999998</v>
      </c>
      <c r="I12" s="7">
        <f t="shared" si="0"/>
        <v>315.38522011993001</v>
      </c>
      <c r="J12" s="7">
        <f t="shared" si="2"/>
        <v>1.2647798800699661</v>
      </c>
      <c r="K12" s="7" cm="1">
        <f t="array" ref="K12">INDEX(Sm,G12)</f>
        <v>1.3733706304072995</v>
      </c>
      <c r="L12" s="7">
        <f t="shared" si="3"/>
        <v>316.75859075033731</v>
      </c>
      <c r="M12" s="7">
        <f t="shared" si="4"/>
        <v>-0.10859075033732779</v>
      </c>
    </row>
    <row r="13" spans="1:13" ht="18.75" customHeight="1">
      <c r="A13" s="2">
        <v>2</v>
      </c>
      <c r="B13" s="14">
        <f t="shared" ref="B13:B23" si="5">AVERAGEIF($G$2:$G$742,A13,$J$2:$J$742)</f>
        <v>0.69421564520236412</v>
      </c>
      <c r="F13" s="1">
        <v>21641</v>
      </c>
      <c r="G13">
        <f t="shared" si="1"/>
        <v>4</v>
      </c>
      <c r="H13" s="7">
        <v>317.72000000000003</v>
      </c>
      <c r="I13" s="7">
        <f t="shared" si="0"/>
        <v>315.45213271463433</v>
      </c>
      <c r="J13" s="7">
        <f t="shared" si="2"/>
        <v>2.2678672853656963</v>
      </c>
      <c r="K13" s="7" cm="1">
        <f t="array" ref="K13">INDEX(Sm,G13)</f>
        <v>2.6099183412742755</v>
      </c>
      <c r="L13" s="7">
        <f t="shared" si="3"/>
        <v>318.06205105590863</v>
      </c>
      <c r="M13" s="7">
        <f t="shared" si="4"/>
        <v>-0.3420510559085983</v>
      </c>
    </row>
    <row r="14" spans="1:13" ht="18.75" customHeight="1">
      <c r="A14" s="2">
        <v>3</v>
      </c>
      <c r="B14" s="14">
        <f t="shared" si="5"/>
        <v>1.3733706304072995</v>
      </c>
      <c r="F14" s="1">
        <v>21671</v>
      </c>
      <c r="G14">
        <f t="shared" si="1"/>
        <v>5</v>
      </c>
      <c r="H14" s="7">
        <v>318.29000000000002</v>
      </c>
      <c r="I14" s="7">
        <f t="shared" si="0"/>
        <v>315.51706626512043</v>
      </c>
      <c r="J14" s="7">
        <f t="shared" si="2"/>
        <v>2.7729337348795866</v>
      </c>
      <c r="K14" s="7" cm="1">
        <f t="array" ref="K14">INDEX(Sm,G14)</f>
        <v>3.065291801195754</v>
      </c>
      <c r="L14" s="7">
        <f t="shared" si="3"/>
        <v>318.5823580663162</v>
      </c>
      <c r="M14" s="7">
        <f t="shared" si="4"/>
        <v>-0.29235806631618289</v>
      </c>
    </row>
    <row r="15" spans="1:13" ht="18.75" customHeight="1">
      <c r="A15" s="2">
        <v>4</v>
      </c>
      <c r="B15" s="14">
        <f t="shared" si="5"/>
        <v>2.6099183412742755</v>
      </c>
      <c r="F15" s="1">
        <v>21702</v>
      </c>
      <c r="G15">
        <f t="shared" si="1"/>
        <v>6</v>
      </c>
      <c r="H15" s="7">
        <v>318.14999999999998</v>
      </c>
      <c r="I15" s="7">
        <f t="shared" si="0"/>
        <v>315.58434967475409</v>
      </c>
      <c r="J15" s="7">
        <f t="shared" si="2"/>
        <v>2.5656503252458833</v>
      </c>
      <c r="K15" s="7" cm="1">
        <f t="array" ref="K15">INDEX(Sm,G15)</f>
        <v>2.3463851222642056</v>
      </c>
      <c r="L15" s="7">
        <f t="shared" si="3"/>
        <v>317.93073479701832</v>
      </c>
      <c r="M15" s="7">
        <f t="shared" si="4"/>
        <v>0.21926520298165997</v>
      </c>
    </row>
    <row r="16" spans="1:13" ht="18.75" customHeight="1">
      <c r="A16" s="2">
        <v>5</v>
      </c>
      <c r="B16" s="14">
        <f t="shared" si="5"/>
        <v>3.065291801195754</v>
      </c>
      <c r="F16" s="1">
        <v>21732</v>
      </c>
      <c r="G16">
        <f t="shared" si="1"/>
        <v>7</v>
      </c>
      <c r="H16" s="7">
        <v>316.54000000000002</v>
      </c>
      <c r="I16" s="7">
        <f t="shared" si="0"/>
        <v>315.64964207839762</v>
      </c>
      <c r="J16" s="7">
        <f t="shared" si="2"/>
        <v>0.89035792160240135</v>
      </c>
      <c r="K16" s="7" cm="1">
        <f t="array" ref="K16">INDEX(Sm,G16)</f>
        <v>0.72334113060077332</v>
      </c>
      <c r="L16" s="7">
        <f t="shared" si="3"/>
        <v>316.37298320899839</v>
      </c>
      <c r="M16" s="7">
        <f t="shared" si="4"/>
        <v>0.16701679100162892</v>
      </c>
    </row>
    <row r="17" spans="1:13" ht="18.75" customHeight="1">
      <c r="A17" s="2">
        <v>6</v>
      </c>
      <c r="B17" s="14">
        <f t="shared" si="5"/>
        <v>2.3463851222642056</v>
      </c>
      <c r="F17" s="1">
        <v>21763</v>
      </c>
      <c r="G17">
        <f t="shared" si="1"/>
        <v>8</v>
      </c>
      <c r="H17" s="7">
        <v>314.8</v>
      </c>
      <c r="I17" s="7">
        <f t="shared" si="0"/>
        <v>315.71729630296062</v>
      </c>
      <c r="J17" s="7">
        <f t="shared" si="2"/>
        <v>-0.91729630296060805</v>
      </c>
      <c r="K17" s="7" cm="1">
        <f t="array" ref="K17">INDEX(Sm,G17)</f>
        <v>-1.3975570061157723</v>
      </c>
      <c r="L17" s="7">
        <f t="shared" si="3"/>
        <v>314.31973929684483</v>
      </c>
      <c r="M17" s="7">
        <f t="shared" si="4"/>
        <v>0.48026070315518155</v>
      </c>
    </row>
    <row r="18" spans="1:13" ht="18.75" customHeight="1">
      <c r="A18" s="2">
        <v>7</v>
      </c>
      <c r="B18" s="14">
        <f t="shared" si="5"/>
        <v>0.72334113060077332</v>
      </c>
      <c r="F18" s="1">
        <v>21794</v>
      </c>
      <c r="G18">
        <f t="shared" si="1"/>
        <v>9</v>
      </c>
      <c r="H18" s="7">
        <v>313.83999999999997</v>
      </c>
      <c r="I18" s="7">
        <f t="shared" si="0"/>
        <v>315.78513897445492</v>
      </c>
      <c r="J18" s="7">
        <f t="shared" si="2"/>
        <v>-1.9451389744549488</v>
      </c>
      <c r="K18" s="7" cm="1">
        <f t="array" ref="K18">INDEX(Sm,G18)</f>
        <v>-3.1934822994410497</v>
      </c>
      <c r="L18" s="7">
        <f t="shared" si="3"/>
        <v>312.59165667501389</v>
      </c>
      <c r="M18" s="7">
        <f t="shared" si="4"/>
        <v>1.2483433249860809</v>
      </c>
    </row>
    <row r="19" spans="1:13" ht="18.75" customHeight="1">
      <c r="A19" s="2">
        <v>8</v>
      </c>
      <c r="B19" s="14">
        <f t="shared" si="5"/>
        <v>-1.3975570061157723</v>
      </c>
      <c r="F19" s="1">
        <v>21824</v>
      </c>
      <c r="G19">
        <f t="shared" si="1"/>
        <v>10</v>
      </c>
      <c r="H19" s="7">
        <v>313.33</v>
      </c>
      <c r="I19" s="7">
        <f t="shared" si="0"/>
        <v>315.85097259925391</v>
      </c>
      <c r="J19" s="7">
        <f t="shared" si="2"/>
        <v>-2.5209725992539234</v>
      </c>
      <c r="K19" s="7" cm="1">
        <f t="array" ref="K19">INDEX(Sm,G19)</f>
        <v>-3.3368150874962788</v>
      </c>
      <c r="L19" s="7">
        <f t="shared" si="3"/>
        <v>312.51415751175762</v>
      </c>
      <c r="M19" s="7">
        <f t="shared" si="4"/>
        <v>0.81584248824236738</v>
      </c>
    </row>
    <row r="20" spans="1:13" ht="18.75" customHeight="1">
      <c r="A20" s="2">
        <v>9</v>
      </c>
      <c r="B20" s="14">
        <f t="shared" si="5"/>
        <v>-3.1934822994410497</v>
      </c>
      <c r="F20" s="1">
        <v>21855</v>
      </c>
      <c r="G20">
        <f t="shared" si="1"/>
        <v>11</v>
      </c>
      <c r="H20" s="7">
        <v>314.81</v>
      </c>
      <c r="I20" s="7">
        <f t="shared" si="0"/>
        <v>315.91918608567755</v>
      </c>
      <c r="J20" s="7">
        <f t="shared" si="2"/>
        <v>-1.1091860856775497</v>
      </c>
      <c r="K20" s="7" cm="1">
        <f t="array" ref="K20">INDEX(Sm,G20)</f>
        <v>-2.0591623324975612</v>
      </c>
      <c r="L20" s="7">
        <f t="shared" si="3"/>
        <v>313.86002375317997</v>
      </c>
      <c r="M20" s="7">
        <f t="shared" si="4"/>
        <v>0.94997624682002879</v>
      </c>
    </row>
    <row r="21" spans="1:13" ht="18.75" customHeight="1">
      <c r="A21" s="2">
        <v>10</v>
      </c>
      <c r="B21" s="14">
        <f t="shared" si="5"/>
        <v>-3.3368150874962788</v>
      </c>
      <c r="F21" s="1">
        <v>21885</v>
      </c>
      <c r="G21">
        <f t="shared" si="1"/>
        <v>12</v>
      </c>
      <c r="H21" s="7">
        <v>315.58</v>
      </c>
      <c r="I21" s="7">
        <f t="shared" si="0"/>
        <v>315.98537856363396</v>
      </c>
      <c r="J21" s="7">
        <f t="shared" si="2"/>
        <v>-0.40537856363397395</v>
      </c>
      <c r="K21" s="7" cm="1">
        <f t="array" ref="K21">INDEX(Sm,G21)</f>
        <v>-0.89132446529561371</v>
      </c>
      <c r="L21" s="7">
        <f t="shared" si="3"/>
        <v>315.09405409833835</v>
      </c>
      <c r="M21" s="7">
        <f t="shared" si="4"/>
        <v>0.48594590166163698</v>
      </c>
    </row>
    <row r="22" spans="1:13" ht="18.75" customHeight="1">
      <c r="A22" s="2">
        <v>11</v>
      </c>
      <c r="B22" s="14">
        <f t="shared" si="5"/>
        <v>-2.0591623324975612</v>
      </c>
      <c r="F22" s="1">
        <v>21916</v>
      </c>
      <c r="G22">
        <f t="shared" si="1"/>
        <v>1</v>
      </c>
      <c r="H22" s="7">
        <v>316.43</v>
      </c>
      <c r="I22" s="7">
        <f t="shared" si="0"/>
        <v>316.05396286498689</v>
      </c>
      <c r="J22" s="7">
        <f t="shared" si="2"/>
        <v>0.37603713501312086</v>
      </c>
      <c r="K22" s="7" cm="1">
        <f t="array" ref="K22">INDEX(Sm,G22)</f>
        <v>6.1040869584970889E-2</v>
      </c>
      <c r="L22" s="7">
        <f t="shared" si="3"/>
        <v>316.11500373457187</v>
      </c>
      <c r="M22" s="7">
        <f t="shared" si="4"/>
        <v>0.3149962654281353</v>
      </c>
    </row>
    <row r="23" spans="1:13" ht="18.75" customHeight="1">
      <c r="A23" s="2">
        <v>12</v>
      </c>
      <c r="B23" s="15">
        <f t="shared" si="5"/>
        <v>-0.89132446529561371</v>
      </c>
      <c r="F23" s="1">
        <v>21947</v>
      </c>
      <c r="G23">
        <f t="shared" si="1"/>
        <v>2</v>
      </c>
      <c r="H23" s="7">
        <v>316.98</v>
      </c>
      <c r="I23" s="7">
        <f t="shared" si="0"/>
        <v>316.12273561327112</v>
      </c>
      <c r="J23" s="7">
        <f t="shared" si="2"/>
        <v>0.85726438672890026</v>
      </c>
      <c r="K23" s="7" cm="1">
        <f t="array" ref="K23">INDEX(Sm,G23)</f>
        <v>0.69421564520236412</v>
      </c>
      <c r="L23" s="7">
        <f t="shared" si="3"/>
        <v>316.81695125847347</v>
      </c>
      <c r="M23" s="7">
        <f t="shared" si="4"/>
        <v>0.16304874152655202</v>
      </c>
    </row>
    <row r="24" spans="1:13" ht="18.75" customHeight="1">
      <c r="A24" s="4">
        <v>13</v>
      </c>
      <c r="B24" s="20">
        <f>B12</f>
        <v>6.1040869584970889E-2</v>
      </c>
      <c r="C24" s="19" t="s">
        <v>36</v>
      </c>
      <c r="D24" s="5"/>
      <c r="F24" s="1">
        <v>21976</v>
      </c>
      <c r="G24">
        <f t="shared" si="1"/>
        <v>3</v>
      </c>
      <c r="H24" s="7">
        <v>317.58</v>
      </c>
      <c r="I24" s="7">
        <f t="shared" si="0"/>
        <v>316.18724201237393</v>
      </c>
      <c r="J24" s="7">
        <f t="shared" si="2"/>
        <v>1.3927579876260552</v>
      </c>
      <c r="K24" s="7" cm="1">
        <f t="array" ref="K24">INDEX(Sm,G24)</f>
        <v>1.3733706304072995</v>
      </c>
      <c r="L24" s="7">
        <f t="shared" si="3"/>
        <v>317.56061264278122</v>
      </c>
      <c r="M24" s="7">
        <f t="shared" si="4"/>
        <v>1.9387357218761281E-2</v>
      </c>
    </row>
    <row r="25" spans="1:13" ht="18.75" customHeight="1">
      <c r="A25" s="2" t="s">
        <v>7</v>
      </c>
      <c r="B25" s="12">
        <f>SUM(B12:B23)</f>
        <v>-4.7776503166333528E-3</v>
      </c>
      <c r="C25" s="11"/>
      <c r="F25" s="1">
        <v>22007</v>
      </c>
      <c r="G25">
        <f t="shared" si="1"/>
        <v>4</v>
      </c>
      <c r="H25" s="7">
        <v>319.02999999999997</v>
      </c>
      <c r="I25" s="7">
        <f t="shared" si="0"/>
        <v>316.25637949665423</v>
      </c>
      <c r="J25" s="7">
        <f t="shared" si="2"/>
        <v>2.7736205033457395</v>
      </c>
      <c r="K25" s="7" cm="1">
        <f t="array" ref="K25">INDEX(Sm,G25)</f>
        <v>2.6099183412742755</v>
      </c>
      <c r="L25" s="7">
        <f t="shared" si="3"/>
        <v>318.86629783792853</v>
      </c>
      <c r="M25" s="7">
        <f t="shared" si="4"/>
        <v>0.16370216207144495</v>
      </c>
    </row>
    <row r="26" spans="1:13" ht="18.75" customHeight="1">
      <c r="F26" s="1">
        <v>22037</v>
      </c>
      <c r="G26">
        <f t="shared" si="1"/>
        <v>5</v>
      </c>
      <c r="H26" s="7">
        <v>320.04000000000002</v>
      </c>
      <c r="I26" s="7">
        <f t="shared" si="0"/>
        <v>316.32346616608487</v>
      </c>
      <c r="J26" s="7">
        <f t="shared" si="2"/>
        <v>3.7165338339151504</v>
      </c>
      <c r="K26" s="7" cm="1">
        <f t="array" ref="K26">INDEX(Sm,G26)</f>
        <v>3.065291801195754</v>
      </c>
      <c r="L26" s="7">
        <f t="shared" si="3"/>
        <v>319.38875796728064</v>
      </c>
      <c r="M26" s="7">
        <f t="shared" si="4"/>
        <v>0.65124203271938086</v>
      </c>
    </row>
    <row r="27" spans="1:13" ht="18.75" customHeight="1">
      <c r="A27" s="2" t="s">
        <v>11</v>
      </c>
      <c r="B27" s="12">
        <f>SUMSQ(M2:M742)/COUNT(M2:M742)</f>
        <v>0.55576320751653274</v>
      </c>
      <c r="F27" s="1">
        <v>22068</v>
      </c>
      <c r="G27">
        <f t="shared" si="1"/>
        <v>6</v>
      </c>
      <c r="H27" s="7">
        <v>319.58</v>
      </c>
      <c r="I27" s="7">
        <f t="shared" si="0"/>
        <v>316.39297446529451</v>
      </c>
      <c r="J27" s="7">
        <f t="shared" si="2"/>
        <v>3.1870255347054695</v>
      </c>
      <c r="K27" s="7" cm="1">
        <f t="array" ref="K27">INDEX(Sm,G27)</f>
        <v>2.3463851222642056</v>
      </c>
      <c r="L27" s="7">
        <f t="shared" si="3"/>
        <v>318.73935958755874</v>
      </c>
      <c r="M27" s="7">
        <f t="shared" si="4"/>
        <v>0.8406404124412461</v>
      </c>
    </row>
    <row r="28" spans="1:13" ht="18.75" customHeight="1">
      <c r="F28" s="1">
        <v>22098</v>
      </c>
      <c r="G28">
        <f t="shared" si="1"/>
        <v>7</v>
      </c>
      <c r="H28" s="7">
        <v>318.18</v>
      </c>
      <c r="I28" s="7">
        <f t="shared" si="0"/>
        <v>316.46041998788257</v>
      </c>
      <c r="J28" s="7">
        <f t="shared" si="2"/>
        <v>1.7195800121174329</v>
      </c>
      <c r="K28" s="7" cm="1">
        <f t="array" ref="K28">INDEX(Sm,G28)</f>
        <v>0.72334113060077332</v>
      </c>
      <c r="L28" s="7">
        <f t="shared" si="3"/>
        <v>317.18376111848335</v>
      </c>
      <c r="M28" s="7">
        <f t="shared" si="4"/>
        <v>0.99623888151666051</v>
      </c>
    </row>
    <row r="29" spans="1:13" ht="18.75" customHeight="1">
      <c r="F29" s="1">
        <v>22129</v>
      </c>
      <c r="G29">
        <f t="shared" si="1"/>
        <v>8</v>
      </c>
      <c r="H29" s="7">
        <v>315.89999999999998</v>
      </c>
      <c r="I29" s="7">
        <f t="shared" si="0"/>
        <v>316.53029910202156</v>
      </c>
      <c r="J29" s="7">
        <f t="shared" si="2"/>
        <v>-0.63029910202158135</v>
      </c>
      <c r="K29" s="7" cm="1">
        <f t="array" ref="K29">INDEX(Sm,G29)</f>
        <v>-1.3975570061157723</v>
      </c>
      <c r="L29" s="7">
        <f t="shared" si="3"/>
        <v>315.13274209590577</v>
      </c>
      <c r="M29" s="7">
        <f t="shared" si="4"/>
        <v>0.76725790409420824</v>
      </c>
    </row>
    <row r="30" spans="1:13" ht="18.75" customHeight="1">
      <c r="F30" s="1">
        <v>22160</v>
      </c>
      <c r="G30">
        <f t="shared" si="1"/>
        <v>9</v>
      </c>
      <c r="H30" s="7">
        <v>314.17</v>
      </c>
      <c r="I30" s="7">
        <f t="shared" si="0"/>
        <v>316.60036666309185</v>
      </c>
      <c r="J30" s="7">
        <f t="shared" si="2"/>
        <v>-2.4303666630918315</v>
      </c>
      <c r="K30" s="7" cm="1">
        <f t="array" ref="K30">INDEX(Sm,G30)</f>
        <v>-3.1934822994410497</v>
      </c>
      <c r="L30" s="7">
        <f t="shared" si="3"/>
        <v>313.40688436365082</v>
      </c>
      <c r="M30" s="7">
        <f t="shared" si="4"/>
        <v>0.76311563634919821</v>
      </c>
    </row>
    <row r="31" spans="1:13" ht="18.75" customHeight="1">
      <c r="F31" s="1">
        <v>22190</v>
      </c>
      <c r="G31">
        <f t="shared" si="1"/>
        <v>10</v>
      </c>
      <c r="H31" s="7">
        <v>313.83</v>
      </c>
      <c r="I31" s="7">
        <f t="shared" si="0"/>
        <v>316.66835340683537</v>
      </c>
      <c r="J31" s="7">
        <f t="shared" si="2"/>
        <v>-2.8383534068353811</v>
      </c>
      <c r="K31" s="7" cm="1">
        <f t="array" ref="K31">INDEX(Sm,G31)</f>
        <v>-3.3368150874962788</v>
      </c>
      <c r="L31" s="7">
        <f t="shared" si="3"/>
        <v>313.33153831933907</v>
      </c>
      <c r="M31" s="7">
        <f t="shared" si="4"/>
        <v>0.49846168066090968</v>
      </c>
    </row>
    <row r="32" spans="1:13" ht="18.75" customHeight="1">
      <c r="F32" s="1">
        <v>22221</v>
      </c>
      <c r="G32">
        <f t="shared" si="1"/>
        <v>11</v>
      </c>
      <c r="H32" s="7">
        <v>315</v>
      </c>
      <c r="I32" s="7">
        <f t="shared" si="0"/>
        <v>316.73879178283499</v>
      </c>
      <c r="J32" s="7">
        <f t="shared" si="2"/>
        <v>-1.7387917828349941</v>
      </c>
      <c r="K32" s="7" cm="1">
        <f t="array" ref="K32">INDEX(Sm,G32)</f>
        <v>-2.0591623324975612</v>
      </c>
      <c r="L32" s="7">
        <f t="shared" si="3"/>
        <v>314.67962945033742</v>
      </c>
      <c r="M32" s="7">
        <f t="shared" si="4"/>
        <v>0.32037054966258438</v>
      </c>
    </row>
    <row r="33" spans="6:13" ht="18.75" customHeight="1">
      <c r="F33" s="1">
        <v>22251</v>
      </c>
      <c r="G33">
        <f t="shared" si="1"/>
        <v>12</v>
      </c>
      <c r="H33" s="7">
        <v>316.19</v>
      </c>
      <c r="I33" s="7">
        <f t="shared" si="0"/>
        <v>316.80713737973588</v>
      </c>
      <c r="J33" s="7">
        <f t="shared" si="2"/>
        <v>-0.61713737973587968</v>
      </c>
      <c r="K33" s="7" cm="1">
        <f t="array" ref="K33">INDEX(Sm,G33)</f>
        <v>-0.89132446529561371</v>
      </c>
      <c r="L33" s="7">
        <f t="shared" si="3"/>
        <v>315.91581291444027</v>
      </c>
      <c r="M33" s="7">
        <f t="shared" si="4"/>
        <v>0.27418708555973126</v>
      </c>
    </row>
    <row r="34" spans="6:13" ht="18.75" customHeight="1">
      <c r="F34" s="1">
        <v>22282</v>
      </c>
      <c r="G34">
        <f t="shared" si="1"/>
        <v>1</v>
      </c>
      <c r="H34" s="7">
        <v>316.89999999999998</v>
      </c>
      <c r="I34" s="7">
        <f t="shared" si="0"/>
        <v>316.87794657066485</v>
      </c>
      <c r="J34" s="7">
        <f t="shared" si="2"/>
        <v>2.2053429335130659E-2</v>
      </c>
      <c r="K34" s="7" cm="1">
        <f t="array" ref="K34">INDEX(Sm,G34)</f>
        <v>6.1040869584970889E-2</v>
      </c>
      <c r="L34" s="7">
        <f t="shared" si="3"/>
        <v>316.93898744024983</v>
      </c>
      <c r="M34" s="7">
        <f t="shared" si="4"/>
        <v>-3.8987440249854899E-2</v>
      </c>
    </row>
    <row r="35" spans="6:13" ht="18.75" customHeight="1">
      <c r="F35" s="1">
        <v>22313</v>
      </c>
      <c r="G35">
        <f t="shared" si="1"/>
        <v>2</v>
      </c>
      <c r="H35" s="7">
        <v>317.7</v>
      </c>
      <c r="I35" s="7">
        <f t="shared" si="0"/>
        <v>316.94894420852512</v>
      </c>
      <c r="J35" s="7">
        <f t="shared" si="2"/>
        <v>0.75105579147486878</v>
      </c>
      <c r="K35" s="7" cm="1">
        <f t="array" ref="K35">INDEX(Sm,G35)</f>
        <v>0.69421564520236412</v>
      </c>
      <c r="L35" s="7">
        <f t="shared" si="3"/>
        <v>317.64315985372747</v>
      </c>
      <c r="M35" s="7">
        <f t="shared" si="4"/>
        <v>5.6840146272520542E-2</v>
      </c>
    </row>
    <row r="36" spans="6:13" ht="18.75" customHeight="1">
      <c r="F36" s="1">
        <v>22341</v>
      </c>
      <c r="G36">
        <f t="shared" si="1"/>
        <v>3</v>
      </c>
      <c r="H36" s="7">
        <v>318.54000000000002</v>
      </c>
      <c r="I36" s="7">
        <f t="shared" si="0"/>
        <v>317.01323308139501</v>
      </c>
      <c r="J36" s="7">
        <f t="shared" si="2"/>
        <v>1.5267669186050057</v>
      </c>
      <c r="K36" s="7" cm="1">
        <f t="array" ref="K36">INDEX(Sm,G36)</f>
        <v>1.3733706304072995</v>
      </c>
      <c r="L36" s="7">
        <f t="shared" si="3"/>
        <v>318.38660371180231</v>
      </c>
      <c r="M36" s="7">
        <f t="shared" si="4"/>
        <v>0.15339628819771178</v>
      </c>
    </row>
    <row r="37" spans="6:13" ht="18.75" customHeight="1">
      <c r="F37" s="1">
        <v>22372</v>
      </c>
      <c r="G37">
        <f t="shared" si="1"/>
        <v>4</v>
      </c>
      <c r="H37" s="7">
        <v>319.48</v>
      </c>
      <c r="I37" s="7">
        <f t="shared" si="0"/>
        <v>317.08458937631804</v>
      </c>
      <c r="J37" s="7">
        <f t="shared" si="2"/>
        <v>2.3954106236819825</v>
      </c>
      <c r="K37" s="7" cm="1">
        <f t="array" ref="K37">INDEX(Sm,G37)</f>
        <v>2.6099183412742755</v>
      </c>
      <c r="L37" s="7">
        <f t="shared" si="3"/>
        <v>319.69450771759233</v>
      </c>
      <c r="M37" s="7">
        <f t="shared" si="4"/>
        <v>-0.21450771759231202</v>
      </c>
    </row>
    <row r="38" spans="6:13" ht="18.75" customHeight="1">
      <c r="F38" s="1">
        <v>22402</v>
      </c>
      <c r="G38">
        <f t="shared" si="1"/>
        <v>5</v>
      </c>
      <c r="H38" s="7">
        <v>320.58</v>
      </c>
      <c r="I38" s="7">
        <f t="shared" si="0"/>
        <v>317.15382328185456</v>
      </c>
      <c r="J38" s="7">
        <f t="shared" si="2"/>
        <v>3.4261767181454275</v>
      </c>
      <c r="K38" s="7" cm="1">
        <f t="array" ref="K38">INDEX(Sm,G38)</f>
        <v>3.065291801195754</v>
      </c>
      <c r="L38" s="7">
        <f t="shared" si="3"/>
        <v>320.21911508305033</v>
      </c>
      <c r="M38" s="7">
        <f t="shared" si="4"/>
        <v>0.36088491694965796</v>
      </c>
    </row>
    <row r="39" spans="6:13" ht="18.75" customHeight="1">
      <c r="F39" s="1">
        <v>22433</v>
      </c>
      <c r="G39">
        <f t="shared" si="1"/>
        <v>6</v>
      </c>
      <c r="H39" s="7">
        <v>319.77</v>
      </c>
      <c r="I39" s="7">
        <f t="shared" si="0"/>
        <v>317.22555039170692</v>
      </c>
      <c r="J39" s="7">
        <f t="shared" si="2"/>
        <v>2.5444496082930641</v>
      </c>
      <c r="K39" s="7" cm="1">
        <f t="array" ref="K39">INDEX(Sm,G39)</f>
        <v>2.3463851222642056</v>
      </c>
      <c r="L39" s="7">
        <f t="shared" si="3"/>
        <v>319.57193551397114</v>
      </c>
      <c r="M39" s="7">
        <f t="shared" si="4"/>
        <v>0.19806448602884075</v>
      </c>
    </row>
    <row r="40" spans="6:13" ht="18.75" customHeight="1">
      <c r="F40" s="1">
        <v>22463</v>
      </c>
      <c r="G40">
        <f t="shared" si="1"/>
        <v>7</v>
      </c>
      <c r="H40" s="7">
        <v>318.57</v>
      </c>
      <c r="I40" s="7">
        <f t="shared" si="0"/>
        <v>317.29514315040086</v>
      </c>
      <c r="J40" s="7">
        <f t="shared" si="2"/>
        <v>1.2748568495991321</v>
      </c>
      <c r="K40" s="7" cm="1">
        <f t="array" ref="K40">INDEX(Sm,G40)</f>
        <v>0.72334113060077332</v>
      </c>
      <c r="L40" s="7">
        <f t="shared" si="3"/>
        <v>318.01848428100163</v>
      </c>
      <c r="M40" s="7">
        <f t="shared" si="4"/>
        <v>0.55151571899835972</v>
      </c>
    </row>
    <row r="41" spans="6:13" ht="18.75" customHeight="1">
      <c r="F41" s="1">
        <v>22494</v>
      </c>
      <c r="G41">
        <f t="shared" si="1"/>
        <v>8</v>
      </c>
      <c r="H41" s="7">
        <v>316.79000000000002</v>
      </c>
      <c r="I41" s="7">
        <f t="shared" si="0"/>
        <v>317.36724107518256</v>
      </c>
      <c r="J41" s="7">
        <f t="shared" si="2"/>
        <v>-0.57724107518254186</v>
      </c>
      <c r="K41" s="7" cm="1">
        <f t="array" ref="K41">INDEX(Sm,G41)</f>
        <v>-1.3975570061157723</v>
      </c>
      <c r="L41" s="7">
        <f t="shared" si="3"/>
        <v>315.96968406906677</v>
      </c>
      <c r="M41" s="7">
        <f t="shared" si="4"/>
        <v>0.82031593093324773</v>
      </c>
    </row>
    <row r="42" spans="6:13" ht="18.75" customHeight="1">
      <c r="F42" s="1">
        <v>22525</v>
      </c>
      <c r="G42">
        <f t="shared" si="1"/>
        <v>9</v>
      </c>
      <c r="H42" s="7">
        <v>314.99</v>
      </c>
      <c r="I42" s="7">
        <f t="shared" si="0"/>
        <v>317.43952744689557</v>
      </c>
      <c r="J42" s="7">
        <f t="shared" si="2"/>
        <v>-2.4495274468955586</v>
      </c>
      <c r="K42" s="7" cm="1">
        <f t="array" ref="K42">INDEX(Sm,G42)</f>
        <v>-3.1934822994410497</v>
      </c>
      <c r="L42" s="7">
        <f t="shared" si="3"/>
        <v>314.24604514745454</v>
      </c>
      <c r="M42" s="7">
        <f t="shared" si="4"/>
        <v>0.74395485254547111</v>
      </c>
    </row>
    <row r="43" spans="6:13" ht="18.75" customHeight="1">
      <c r="F43" s="1">
        <v>22555</v>
      </c>
      <c r="G43">
        <f t="shared" si="1"/>
        <v>10</v>
      </c>
      <c r="H43" s="7">
        <v>315.31</v>
      </c>
      <c r="I43" s="7">
        <f t="shared" si="0"/>
        <v>317.50966142674497</v>
      </c>
      <c r="J43" s="7">
        <f t="shared" si="2"/>
        <v>-2.1996614267449672</v>
      </c>
      <c r="K43" s="7" cm="1">
        <f t="array" ref="K43">INDEX(Sm,G43)</f>
        <v>-3.3368150874962788</v>
      </c>
      <c r="L43" s="7">
        <f t="shared" si="3"/>
        <v>314.17284633924868</v>
      </c>
      <c r="M43" s="7">
        <f t="shared" si="4"/>
        <v>1.1371536607513235</v>
      </c>
    </row>
    <row r="44" spans="6:13" ht="18.75" customHeight="1">
      <c r="F44" s="1">
        <v>22586</v>
      </c>
      <c r="G44">
        <f t="shared" si="1"/>
        <v>11</v>
      </c>
      <c r="H44" s="7">
        <v>316.10000000000002</v>
      </c>
      <c r="I44" s="7">
        <f t="shared" si="0"/>
        <v>317.58231861338732</v>
      </c>
      <c r="J44" s="7">
        <f t="shared" si="2"/>
        <v>-1.4823186133872923</v>
      </c>
      <c r="K44" s="7" cm="1">
        <f t="array" ref="K44">INDEX(Sm,G44)</f>
        <v>-2.0591623324975612</v>
      </c>
      <c r="L44" s="7">
        <f t="shared" si="3"/>
        <v>315.52315628088974</v>
      </c>
      <c r="M44" s="7">
        <f t="shared" si="4"/>
        <v>0.5768437191102862</v>
      </c>
    </row>
    <row r="45" spans="6:13" ht="18.75" customHeight="1">
      <c r="F45" s="1">
        <v>22616</v>
      </c>
      <c r="G45">
        <f t="shared" si="1"/>
        <v>12</v>
      </c>
      <c r="H45" s="7">
        <v>317.01</v>
      </c>
      <c r="I45" s="7">
        <f t="shared" si="0"/>
        <v>317.65281144639408</v>
      </c>
      <c r="J45" s="7">
        <f t="shared" si="2"/>
        <v>-0.64281144639409149</v>
      </c>
      <c r="K45" s="7" cm="1">
        <f t="array" ref="K45">INDEX(Sm,G45)</f>
        <v>-0.89132446529561371</v>
      </c>
      <c r="L45" s="7">
        <f t="shared" si="3"/>
        <v>316.76148698109847</v>
      </c>
      <c r="M45" s="7">
        <f t="shared" si="4"/>
        <v>0.24851301890151944</v>
      </c>
    </row>
    <row r="46" spans="6:13" ht="18.75" customHeight="1">
      <c r="F46" s="1">
        <v>22647</v>
      </c>
      <c r="G46">
        <f t="shared" si="1"/>
        <v>1</v>
      </c>
      <c r="H46" s="7">
        <v>317.94</v>
      </c>
      <c r="I46" s="7">
        <f t="shared" si="0"/>
        <v>317.72583944796577</v>
      </c>
      <c r="J46" s="7">
        <f t="shared" si="2"/>
        <v>0.21416055203422957</v>
      </c>
      <c r="K46" s="7" cm="1">
        <f t="array" ref="K46">INDEX(Sm,G46)</f>
        <v>6.1040869584970889E-2</v>
      </c>
      <c r="L46" s="7">
        <f t="shared" si="3"/>
        <v>317.78688031755075</v>
      </c>
      <c r="M46" s="7">
        <f t="shared" si="4"/>
        <v>0.15311968244924401</v>
      </c>
    </row>
    <row r="47" spans="6:13" ht="18.75" customHeight="1">
      <c r="F47" s="1">
        <v>22678</v>
      </c>
      <c r="G47">
        <f t="shared" si="1"/>
        <v>2</v>
      </c>
      <c r="H47" s="7">
        <v>318.55</v>
      </c>
      <c r="I47" s="7">
        <f t="shared" si="0"/>
        <v>317.79905589646876</v>
      </c>
      <c r="J47" s="7">
        <f t="shared" si="2"/>
        <v>0.7509441035312534</v>
      </c>
      <c r="K47" s="7" cm="1">
        <f t="array" ref="K47">INDEX(Sm,G47)</f>
        <v>0.69421564520236412</v>
      </c>
      <c r="L47" s="7">
        <f t="shared" si="3"/>
        <v>318.49327154167111</v>
      </c>
      <c r="M47" s="7">
        <f t="shared" si="4"/>
        <v>5.6728458328905162E-2</v>
      </c>
    </row>
    <row r="48" spans="6:13" ht="18.75" customHeight="1">
      <c r="F48" s="1">
        <v>22706</v>
      </c>
      <c r="G48">
        <f t="shared" si="1"/>
        <v>3</v>
      </c>
      <c r="H48" s="7">
        <v>319.68</v>
      </c>
      <c r="I48" s="7">
        <f t="shared" si="0"/>
        <v>317.86534885637082</v>
      </c>
      <c r="J48" s="7">
        <f t="shared" si="2"/>
        <v>1.8146511436291917</v>
      </c>
      <c r="K48" s="7" cm="1">
        <f t="array" ref="K48">INDEX(Sm,G48)</f>
        <v>1.3733706304072995</v>
      </c>
      <c r="L48" s="7">
        <f t="shared" si="3"/>
        <v>319.23871948677811</v>
      </c>
      <c r="M48" s="7">
        <f t="shared" si="4"/>
        <v>0.44128051322189776</v>
      </c>
    </row>
    <row r="49" spans="6:13" ht="18.75" customHeight="1">
      <c r="F49" s="1">
        <v>22737</v>
      </c>
      <c r="G49">
        <f t="shared" si="1"/>
        <v>4</v>
      </c>
      <c r="H49" s="7">
        <v>320.57</v>
      </c>
      <c r="I49" s="7">
        <f t="shared" si="0"/>
        <v>317.93892396193655</v>
      </c>
      <c r="J49" s="7">
        <f t="shared" si="2"/>
        <v>2.6310760380634406</v>
      </c>
      <c r="K49" s="7" cm="1">
        <f t="array" ref="K49">INDEX(Sm,G49)</f>
        <v>2.6099183412742755</v>
      </c>
      <c r="L49" s="7">
        <f t="shared" si="3"/>
        <v>320.54884230321085</v>
      </c>
      <c r="M49" s="7">
        <f t="shared" si="4"/>
        <v>2.115769678914603E-2</v>
      </c>
    </row>
    <row r="50" spans="6:13" ht="18.75" customHeight="1">
      <c r="F50" s="1">
        <v>22767</v>
      </c>
      <c r="G50">
        <f t="shared" si="1"/>
        <v>5</v>
      </c>
      <c r="H50" s="7">
        <v>321.02</v>
      </c>
      <c r="I50" s="7">
        <f t="shared" si="0"/>
        <v>318.01030510357896</v>
      </c>
      <c r="J50" s="7">
        <f t="shared" si="2"/>
        <v>3.0096948964210242</v>
      </c>
      <c r="K50" s="7" cm="1">
        <f t="array" ref="K50">INDEX(Sm,G50)</f>
        <v>3.065291801195754</v>
      </c>
      <c r="L50" s="7">
        <f t="shared" si="3"/>
        <v>321.07559690477473</v>
      </c>
      <c r="M50" s="7">
        <f t="shared" si="4"/>
        <v>-5.5596904774745326E-2</v>
      </c>
    </row>
    <row r="51" spans="6:13" ht="18.75" customHeight="1">
      <c r="F51" s="1">
        <v>22798</v>
      </c>
      <c r="G51">
        <f t="shared" si="1"/>
        <v>6</v>
      </c>
      <c r="H51" s="7">
        <v>320.62</v>
      </c>
      <c r="I51" s="7">
        <f t="shared" si="0"/>
        <v>318.08425102407404</v>
      </c>
      <c r="J51" s="7">
        <f t="shared" si="2"/>
        <v>2.5357489759259693</v>
      </c>
      <c r="K51" s="7" cm="1">
        <f t="array" ref="K51">INDEX(Sm,G51)</f>
        <v>2.3463851222642056</v>
      </c>
      <c r="L51" s="7">
        <f t="shared" si="3"/>
        <v>320.43063614633826</v>
      </c>
      <c r="M51" s="7">
        <f t="shared" si="4"/>
        <v>0.18936385366174591</v>
      </c>
    </row>
    <row r="52" spans="6:13" ht="18.75" customHeight="1">
      <c r="F52" s="1">
        <v>22828</v>
      </c>
      <c r="G52">
        <f t="shared" si="1"/>
        <v>7</v>
      </c>
      <c r="H52" s="7">
        <v>319.61</v>
      </c>
      <c r="I52" s="7">
        <f t="shared" si="0"/>
        <v>318.15599101887386</v>
      </c>
      <c r="J52" s="7">
        <f t="shared" si="2"/>
        <v>1.454008981126151</v>
      </c>
      <c r="K52" s="7" cm="1">
        <f t="array" ref="K52">INDEX(Sm,G52)</f>
        <v>0.72334113060077332</v>
      </c>
      <c r="L52" s="7">
        <f t="shared" si="3"/>
        <v>318.87933214947464</v>
      </c>
      <c r="M52" s="7">
        <f t="shared" si="4"/>
        <v>0.73066785052537853</v>
      </c>
    </row>
    <row r="53" spans="6:13" ht="18.75" customHeight="1">
      <c r="F53" s="1">
        <v>22859</v>
      </c>
      <c r="G53">
        <f t="shared" si="1"/>
        <v>8</v>
      </c>
      <c r="H53" s="7">
        <v>317.39999999999998</v>
      </c>
      <c r="I53" s="7">
        <f t="shared" si="0"/>
        <v>318.23030775429828</v>
      </c>
      <c r="J53" s="7">
        <f t="shared" si="2"/>
        <v>-0.83030775429830328</v>
      </c>
      <c r="K53" s="7" cm="1">
        <f t="array" ref="K53">INDEX(Sm,G53)</f>
        <v>-1.3975570061157723</v>
      </c>
      <c r="L53" s="7">
        <f t="shared" si="3"/>
        <v>316.83275074818249</v>
      </c>
      <c r="M53" s="7">
        <f t="shared" si="4"/>
        <v>0.56724925181748631</v>
      </c>
    </row>
    <row r="54" spans="6:13" ht="18.75" customHeight="1">
      <c r="F54" s="1">
        <v>22890</v>
      </c>
      <c r="G54">
        <f t="shared" si="1"/>
        <v>9</v>
      </c>
      <c r="H54" s="7">
        <v>316.25</v>
      </c>
      <c r="I54" s="7">
        <f t="shared" si="0"/>
        <v>318.304812936654</v>
      </c>
      <c r="J54" s="7">
        <f t="shared" si="2"/>
        <v>-2.0548129366540024</v>
      </c>
      <c r="K54" s="7" cm="1">
        <f t="array" ref="K54">INDEX(Sm,G54)</f>
        <v>-3.1934822994410497</v>
      </c>
      <c r="L54" s="7">
        <f t="shared" si="3"/>
        <v>315.11133063721297</v>
      </c>
      <c r="M54" s="7">
        <f t="shared" si="4"/>
        <v>1.1386693627870272</v>
      </c>
    </row>
    <row r="55" spans="6:13" ht="18.75" customHeight="1">
      <c r="F55" s="1">
        <v>22920</v>
      </c>
      <c r="G55">
        <f t="shared" si="1"/>
        <v>10</v>
      </c>
      <c r="H55" s="7">
        <v>315.42</v>
      </c>
      <c r="I55" s="7">
        <f t="shared" si="0"/>
        <v>318.37709415260929</v>
      </c>
      <c r="J55" s="7">
        <f t="shared" si="2"/>
        <v>-2.9570941526092724</v>
      </c>
      <c r="K55" s="7" cm="1">
        <f t="array" ref="K55">INDEX(Sm,G55)</f>
        <v>-3.3368150874962788</v>
      </c>
      <c r="L55" s="7">
        <f t="shared" si="3"/>
        <v>315.040279065113</v>
      </c>
      <c r="M55" s="7">
        <f t="shared" si="4"/>
        <v>0.3797209348870183</v>
      </c>
    </row>
    <row r="56" spans="6:13" ht="18.75" customHeight="1">
      <c r="F56" s="1">
        <v>22951</v>
      </c>
      <c r="G56">
        <f t="shared" si="1"/>
        <v>11</v>
      </c>
      <c r="H56" s="7">
        <v>316.69</v>
      </c>
      <c r="I56" s="7">
        <f t="shared" si="0"/>
        <v>318.45197014989435</v>
      </c>
      <c r="J56" s="7">
        <f t="shared" si="2"/>
        <v>-1.7619701498943527</v>
      </c>
      <c r="K56" s="7" cm="1">
        <f t="array" ref="K56">INDEX(Sm,G56)</f>
        <v>-2.0591623324975612</v>
      </c>
      <c r="L56" s="7">
        <f t="shared" si="3"/>
        <v>316.39280781739677</v>
      </c>
      <c r="M56" s="7">
        <f t="shared" si="4"/>
        <v>0.29719218260322577</v>
      </c>
    </row>
    <row r="57" spans="6:13" ht="18.75" customHeight="1">
      <c r="F57" s="1">
        <v>22981</v>
      </c>
      <c r="G57">
        <f t="shared" si="1"/>
        <v>12</v>
      </c>
      <c r="H57" s="7">
        <v>317.7</v>
      </c>
      <c r="I57" s="7">
        <f t="shared" si="0"/>
        <v>318.524610219007</v>
      </c>
      <c r="J57" s="7">
        <f t="shared" si="2"/>
        <v>-0.82461021900701326</v>
      </c>
      <c r="K57" s="7" cm="1">
        <f t="array" ref="K57">INDEX(Sm,G57)</f>
        <v>-0.89132446529561371</v>
      </c>
      <c r="L57" s="7">
        <f t="shared" si="3"/>
        <v>317.63328575371139</v>
      </c>
      <c r="M57" s="7">
        <f t="shared" si="4"/>
        <v>6.6714246288597678E-2</v>
      </c>
    </row>
    <row r="58" spans="6:13" ht="18.75" customHeight="1">
      <c r="F58" s="1">
        <v>23012</v>
      </c>
      <c r="G58">
        <f t="shared" si="1"/>
        <v>1</v>
      </c>
      <c r="H58" s="7">
        <v>318.74</v>
      </c>
      <c r="I58" s="7">
        <f t="shared" si="0"/>
        <v>318.5998570312214</v>
      </c>
      <c r="J58" s="7">
        <f t="shared" si="2"/>
        <v>0.14014296877860488</v>
      </c>
      <c r="K58" s="7" cm="1">
        <f t="array" ref="K58">INDEX(Sm,G58)</f>
        <v>6.1040869584970889E-2</v>
      </c>
      <c r="L58" s="7">
        <f t="shared" si="3"/>
        <v>318.66089790080639</v>
      </c>
      <c r="M58" s="7">
        <f t="shared" si="4"/>
        <v>7.9102099193619324E-2</v>
      </c>
    </row>
    <row r="59" spans="6:13" ht="18.75" customHeight="1">
      <c r="F59" s="1">
        <v>23043</v>
      </c>
      <c r="G59">
        <f t="shared" si="1"/>
        <v>2</v>
      </c>
      <c r="H59" s="7">
        <v>319.07</v>
      </c>
      <c r="I59" s="7">
        <f t="shared" si="0"/>
        <v>318.67529229036711</v>
      </c>
      <c r="J59" s="7">
        <f t="shared" si="2"/>
        <v>0.3947077096328826</v>
      </c>
      <c r="K59" s="7" cm="1">
        <f t="array" ref="K59">INDEX(Sm,G59)</f>
        <v>0.69421564520236412</v>
      </c>
      <c r="L59" s="7">
        <f t="shared" si="3"/>
        <v>319.36950793556946</v>
      </c>
      <c r="M59" s="7">
        <f t="shared" si="4"/>
        <v>-0.29950793556946564</v>
      </c>
    </row>
    <row r="60" spans="6:13" ht="18.75" customHeight="1">
      <c r="F60" s="1">
        <v>23071</v>
      </c>
      <c r="G60">
        <f t="shared" si="1"/>
        <v>3</v>
      </c>
      <c r="H60" s="7">
        <v>319.86</v>
      </c>
      <c r="I60" s="7">
        <f t="shared" si="0"/>
        <v>318.74358933730127</v>
      </c>
      <c r="J60" s="7">
        <f t="shared" si="2"/>
        <v>1.1164106626987405</v>
      </c>
      <c r="K60" s="7" cm="1">
        <f t="array" ref="K60">INDEX(Sm,G60)</f>
        <v>1.3733706304072995</v>
      </c>
      <c r="L60" s="7">
        <f t="shared" si="3"/>
        <v>320.11695996770857</v>
      </c>
      <c r="M60" s="7">
        <f t="shared" si="4"/>
        <v>-0.25695996770855345</v>
      </c>
    </row>
    <row r="61" spans="6:13" ht="18.75" customHeight="1">
      <c r="F61" s="1">
        <v>23102</v>
      </c>
      <c r="G61">
        <f t="shared" si="1"/>
        <v>4</v>
      </c>
      <c r="H61" s="7">
        <v>321.38</v>
      </c>
      <c r="I61" s="7">
        <f t="shared" si="0"/>
        <v>318.81938325350978</v>
      </c>
      <c r="J61" s="7">
        <f t="shared" si="2"/>
        <v>2.5606167464902114</v>
      </c>
      <c r="K61" s="7" cm="1">
        <f t="array" ref="K61">INDEX(Sm,G61)</f>
        <v>2.6099183412742755</v>
      </c>
      <c r="L61" s="7">
        <f t="shared" si="3"/>
        <v>321.42930159478408</v>
      </c>
      <c r="M61" s="7">
        <f t="shared" si="4"/>
        <v>-4.9301594784083136E-2</v>
      </c>
    </row>
    <row r="62" spans="6:13" ht="18.75" customHeight="1">
      <c r="F62" s="1">
        <v>23132</v>
      </c>
      <c r="G62">
        <f t="shared" si="1"/>
        <v>5</v>
      </c>
      <c r="H62" s="7">
        <v>322.25</v>
      </c>
      <c r="I62" s="7">
        <f t="shared" si="0"/>
        <v>318.89291163125802</v>
      </c>
      <c r="J62" s="7">
        <f t="shared" si="2"/>
        <v>3.3570883687419837</v>
      </c>
      <c r="K62" s="7" cm="1">
        <f t="array" ref="K62">INDEX(Sm,G62)</f>
        <v>3.065291801195754</v>
      </c>
      <c r="L62" s="7">
        <f t="shared" si="3"/>
        <v>321.95820343245379</v>
      </c>
      <c r="M62" s="7">
        <f t="shared" si="4"/>
        <v>0.29179656754621419</v>
      </c>
    </row>
    <row r="63" spans="6:13" ht="18.75" customHeight="1">
      <c r="F63" s="1">
        <v>23163</v>
      </c>
      <c r="G63">
        <f t="shared" si="1"/>
        <v>6</v>
      </c>
      <c r="H63" s="7">
        <v>321.48</v>
      </c>
      <c r="I63" s="7">
        <f t="shared" si="0"/>
        <v>318.96907636239587</v>
      </c>
      <c r="J63" s="7">
        <f t="shared" si="2"/>
        <v>2.5109236376041508</v>
      </c>
      <c r="K63" s="7" cm="1">
        <f t="array" ref="K63">INDEX(Sm,G63)</f>
        <v>2.3463851222642056</v>
      </c>
      <c r="L63" s="7">
        <f t="shared" si="3"/>
        <v>321.31546148466009</v>
      </c>
      <c r="M63" s="7">
        <f t="shared" si="4"/>
        <v>0.16453851533992747</v>
      </c>
    </row>
    <row r="64" spans="6:13" ht="18.75" customHeight="1">
      <c r="F64" s="1">
        <v>23193</v>
      </c>
      <c r="G64">
        <f t="shared" si="1"/>
        <v>7</v>
      </c>
      <c r="H64" s="7">
        <v>319.74</v>
      </c>
      <c r="I64" s="7">
        <f t="shared" si="0"/>
        <v>319.04296359330158</v>
      </c>
      <c r="J64" s="7">
        <f t="shared" si="2"/>
        <v>0.69703640669843026</v>
      </c>
      <c r="K64" s="7" cm="1">
        <f t="array" ref="K64">INDEX(Sm,G64)</f>
        <v>0.72334113060077332</v>
      </c>
      <c r="L64" s="7">
        <f t="shared" si="3"/>
        <v>319.76630472390235</v>
      </c>
      <c r="M64" s="7">
        <f t="shared" si="4"/>
        <v>-2.6304723902342175E-2</v>
      </c>
    </row>
    <row r="65" spans="6:13" ht="18.75" customHeight="1">
      <c r="F65" s="1">
        <v>23224</v>
      </c>
      <c r="G65">
        <f t="shared" si="1"/>
        <v>8</v>
      </c>
      <c r="H65" s="7">
        <v>317.77</v>
      </c>
      <c r="I65" s="7">
        <f t="shared" si="0"/>
        <v>319.11949913936871</v>
      </c>
      <c r="J65" s="7">
        <f t="shared" si="2"/>
        <v>-1.3494991393687314</v>
      </c>
      <c r="K65" s="7" cm="1">
        <f t="array" ref="K65">INDEX(Sm,G65)</f>
        <v>-1.3975570061157723</v>
      </c>
      <c r="L65" s="7">
        <f t="shared" si="3"/>
        <v>317.72194213325292</v>
      </c>
      <c r="M65" s="7">
        <f t="shared" si="4"/>
        <v>4.8057866747058142E-2</v>
      </c>
    </row>
    <row r="66" spans="6:13" ht="18.75" customHeight="1">
      <c r="F66" s="1">
        <v>23255</v>
      </c>
      <c r="G66">
        <f t="shared" si="1"/>
        <v>9</v>
      </c>
      <c r="H66" s="7">
        <v>316.20999999999998</v>
      </c>
      <c r="I66" s="7">
        <f t="shared" ref="I66:I129" si="6">_A*F66*F66+_B*F66+_C</f>
        <v>319.19622313236721</v>
      </c>
      <c r="J66" s="7">
        <f t="shared" si="2"/>
        <v>-2.986223132367229</v>
      </c>
      <c r="K66" s="7" cm="1">
        <f t="array" ref="K66">INDEX(Sm,G66)</f>
        <v>-3.1934822994410497</v>
      </c>
      <c r="L66" s="7">
        <f t="shared" si="3"/>
        <v>316.00274083292618</v>
      </c>
      <c r="M66" s="7">
        <f t="shared" si="4"/>
        <v>0.20725916707380065</v>
      </c>
    </row>
    <row r="67" spans="6:13" ht="18.75" customHeight="1">
      <c r="F67" s="1">
        <v>23285</v>
      </c>
      <c r="G67">
        <f t="shared" ref="G67:G130" si="7">MONTH(F67)</f>
        <v>10</v>
      </c>
      <c r="H67" s="7">
        <v>315.99</v>
      </c>
      <c r="I67" s="7">
        <f t="shared" si="6"/>
        <v>319.27065158442832</v>
      </c>
      <c r="J67" s="7">
        <f t="shared" ref="J67:J130" si="8">H67-I67</f>
        <v>-3.2806515844283126</v>
      </c>
      <c r="K67" s="7" cm="1">
        <f t="array" ref="K67">INDEX(Sm,G67)</f>
        <v>-3.3368150874962788</v>
      </c>
      <c r="L67" s="7">
        <f t="shared" ref="L67:L130" si="9">I67+K67</f>
        <v>315.93383649693203</v>
      </c>
      <c r="M67" s="7">
        <f t="shared" ref="M67:M130" si="10">H67-L67</f>
        <v>5.6163503067978127E-2</v>
      </c>
    </row>
    <row r="68" spans="6:13" ht="18.75" customHeight="1">
      <c r="F68" s="1">
        <v>23316</v>
      </c>
      <c r="G68">
        <f t="shared" si="7"/>
        <v>11</v>
      </c>
      <c r="H68" s="7">
        <v>317.07</v>
      </c>
      <c r="I68" s="7">
        <f t="shared" si="6"/>
        <v>319.3477463923561</v>
      </c>
      <c r="J68" s="7">
        <f t="shared" si="8"/>
        <v>-2.2777463923561072</v>
      </c>
      <c r="K68" s="7" cm="1">
        <f t="array" ref="K68">INDEX(Sm,G68)</f>
        <v>-2.0591623324975612</v>
      </c>
      <c r="L68" s="7">
        <f t="shared" si="9"/>
        <v>317.28858405985852</v>
      </c>
      <c r="M68" s="7">
        <f t="shared" si="10"/>
        <v>-0.21858405985852869</v>
      </c>
    </row>
    <row r="69" spans="6:13" ht="18.75" customHeight="1">
      <c r="F69" s="1">
        <v>23346</v>
      </c>
      <c r="G69">
        <f t="shared" si="7"/>
        <v>12</v>
      </c>
      <c r="H69" s="7">
        <v>318.35000000000002</v>
      </c>
      <c r="I69" s="7">
        <f t="shared" si="6"/>
        <v>319.42253369757464</v>
      </c>
      <c r="J69" s="7">
        <f t="shared" si="8"/>
        <v>-1.0725336975746131</v>
      </c>
      <c r="K69" s="7" cm="1">
        <f t="array" ref="K69">INDEX(Sm,G69)</f>
        <v>-0.89132446529561371</v>
      </c>
      <c r="L69" s="7">
        <f t="shared" si="9"/>
        <v>318.53120923227902</v>
      </c>
      <c r="M69" s="7">
        <f t="shared" si="10"/>
        <v>-0.18120923227900221</v>
      </c>
    </row>
    <row r="70" spans="6:13" ht="18.75" customHeight="1">
      <c r="F70" s="1">
        <v>23377</v>
      </c>
      <c r="G70">
        <f t="shared" si="7"/>
        <v>1</v>
      </c>
      <c r="H70" s="7">
        <v>319.57</v>
      </c>
      <c r="I70" s="7">
        <f t="shared" si="6"/>
        <v>319.49999932043181</v>
      </c>
      <c r="J70" s="7">
        <f t="shared" si="8"/>
        <v>7.0000679568181567E-2</v>
      </c>
      <c r="K70" s="7" cm="1">
        <f t="array" ref="K70">INDEX(Sm,G70)</f>
        <v>6.1040869584970889E-2</v>
      </c>
      <c r="L70" s="7">
        <f t="shared" si="9"/>
        <v>319.5610401900168</v>
      </c>
      <c r="M70" s="7">
        <f t="shared" si="10"/>
        <v>8.9598099831960099E-3</v>
      </c>
    </row>
    <row r="71" spans="6:13" ht="18.75" customHeight="1">
      <c r="F71" s="1">
        <v>23498</v>
      </c>
      <c r="G71">
        <f t="shared" si="7"/>
        <v>5</v>
      </c>
      <c r="H71" s="7">
        <v>322.26</v>
      </c>
      <c r="I71" s="7">
        <f t="shared" si="6"/>
        <v>319.80416842482032</v>
      </c>
      <c r="J71" s="7">
        <f t="shared" si="8"/>
        <v>2.4558315751796727</v>
      </c>
      <c r="K71" s="7" cm="1">
        <f t="array" ref="K71">INDEX(Sm,G71)</f>
        <v>3.065291801195754</v>
      </c>
      <c r="L71" s="7">
        <f t="shared" si="9"/>
        <v>322.86946022601609</v>
      </c>
      <c r="M71" s="7">
        <f t="shared" si="10"/>
        <v>-0.60946022601609684</v>
      </c>
    </row>
    <row r="72" spans="6:13" ht="18.75" customHeight="1">
      <c r="F72" s="1">
        <v>23529</v>
      </c>
      <c r="G72">
        <f t="shared" si="7"/>
        <v>6</v>
      </c>
      <c r="H72" s="7">
        <v>321.89</v>
      </c>
      <c r="I72" s="7">
        <f t="shared" si="6"/>
        <v>319.88255804553415</v>
      </c>
      <c r="J72" s="7">
        <f t="shared" si="8"/>
        <v>2.0074419544658326</v>
      </c>
      <c r="K72" s="7" cm="1">
        <f t="array" ref="K72">INDEX(Sm,G72)</f>
        <v>2.3463851222642056</v>
      </c>
      <c r="L72" s="7">
        <f t="shared" si="9"/>
        <v>322.22894316779838</v>
      </c>
      <c r="M72" s="7">
        <f t="shared" si="10"/>
        <v>-0.33894316779839073</v>
      </c>
    </row>
    <row r="73" spans="6:13" ht="18.75" customHeight="1">
      <c r="F73" s="1">
        <v>23559</v>
      </c>
      <c r="G73">
        <f t="shared" si="7"/>
        <v>7</v>
      </c>
      <c r="H73" s="7">
        <v>320.44</v>
      </c>
      <c r="I73" s="7">
        <f t="shared" si="6"/>
        <v>319.95859839538434</v>
      </c>
      <c r="J73" s="7">
        <f t="shared" si="8"/>
        <v>0.48140160461565529</v>
      </c>
      <c r="K73" s="7" cm="1">
        <f t="array" ref="K73">INDEX(Sm,G73)</f>
        <v>0.72334113060077332</v>
      </c>
      <c r="L73" s="7">
        <f t="shared" si="9"/>
        <v>320.68193952598511</v>
      </c>
      <c r="M73" s="7">
        <f t="shared" si="10"/>
        <v>-0.24193952598511714</v>
      </c>
    </row>
    <row r="74" spans="6:13" ht="18.75" customHeight="1">
      <c r="F74" s="1">
        <v>23590</v>
      </c>
      <c r="G74">
        <f t="shared" si="7"/>
        <v>8</v>
      </c>
      <c r="H74" s="7">
        <v>318.69</v>
      </c>
      <c r="I74" s="7">
        <f t="shared" si="6"/>
        <v>320.03735883102746</v>
      </c>
      <c r="J74" s="7">
        <f t="shared" si="8"/>
        <v>-1.3473588310274636</v>
      </c>
      <c r="K74" s="7" cm="1">
        <f t="array" ref="K74">INDEX(Sm,G74)</f>
        <v>-1.3975570061157723</v>
      </c>
      <c r="L74" s="7">
        <f t="shared" si="9"/>
        <v>318.63980182491167</v>
      </c>
      <c r="M74" s="7">
        <f t="shared" si="10"/>
        <v>5.0198175088326025E-2</v>
      </c>
    </row>
    <row r="75" spans="6:13" ht="18.75" customHeight="1">
      <c r="F75" s="1">
        <v>23621</v>
      </c>
      <c r="G75">
        <f t="shared" si="7"/>
        <v>9</v>
      </c>
      <c r="H75" s="7">
        <v>316.7</v>
      </c>
      <c r="I75" s="7">
        <f t="shared" si="6"/>
        <v>320.11630771360194</v>
      </c>
      <c r="J75" s="7">
        <f t="shared" si="8"/>
        <v>-3.4163077136019524</v>
      </c>
      <c r="K75" s="7" cm="1">
        <f t="array" ref="K75">INDEX(Sm,G75)</f>
        <v>-3.1934822994410497</v>
      </c>
      <c r="L75" s="7">
        <f t="shared" si="9"/>
        <v>316.92282541416091</v>
      </c>
      <c r="M75" s="7">
        <f t="shared" si="10"/>
        <v>-0.22282541416092272</v>
      </c>
    </row>
    <row r="76" spans="6:13" ht="18.75" customHeight="1">
      <c r="F76" s="1">
        <v>23651</v>
      </c>
      <c r="G76">
        <f t="shared" si="7"/>
        <v>10</v>
      </c>
      <c r="H76" s="7">
        <v>316.87</v>
      </c>
      <c r="I76" s="7">
        <f t="shared" si="6"/>
        <v>320.19288928460759</v>
      </c>
      <c r="J76" s="7">
        <f t="shared" si="8"/>
        <v>-3.3228892846075837</v>
      </c>
      <c r="K76" s="7" cm="1">
        <f t="array" ref="K76">INDEX(Sm,G76)</f>
        <v>-3.3368150874962788</v>
      </c>
      <c r="L76" s="7">
        <f t="shared" si="9"/>
        <v>316.8560741971113</v>
      </c>
      <c r="M76" s="7">
        <f t="shared" si="10"/>
        <v>1.392580288870704E-2</v>
      </c>
    </row>
    <row r="77" spans="6:13" ht="18.75" customHeight="1">
      <c r="F77" s="1">
        <v>23682</v>
      </c>
      <c r="G77">
        <f t="shared" si="7"/>
        <v>11</v>
      </c>
      <c r="H77" s="7">
        <v>317.68</v>
      </c>
      <c r="I77" s="7">
        <f t="shared" si="6"/>
        <v>320.27220898211135</v>
      </c>
      <c r="J77" s="7">
        <f t="shared" si="8"/>
        <v>-2.5922089821113445</v>
      </c>
      <c r="K77" s="7" cm="1">
        <f t="array" ref="K77">INDEX(Sm,G77)</f>
        <v>-2.0591623324975612</v>
      </c>
      <c r="L77" s="7">
        <f t="shared" si="9"/>
        <v>318.21304664961377</v>
      </c>
      <c r="M77" s="7">
        <f t="shared" si="10"/>
        <v>-0.53304664961376602</v>
      </c>
    </row>
    <row r="78" spans="6:13" ht="18.75" customHeight="1">
      <c r="F78" s="1">
        <v>23712</v>
      </c>
      <c r="G78">
        <f t="shared" si="7"/>
        <v>12</v>
      </c>
      <c r="H78" s="7">
        <v>318.70999999999998</v>
      </c>
      <c r="I78" s="7">
        <f t="shared" si="6"/>
        <v>320.34914940627442</v>
      </c>
      <c r="J78" s="7">
        <f t="shared" si="8"/>
        <v>-1.6391494062744414</v>
      </c>
      <c r="K78" s="7" cm="1">
        <f t="array" ref="K78">INDEX(Sm,G78)</f>
        <v>-0.89132446529561371</v>
      </c>
      <c r="L78" s="7">
        <f t="shared" si="9"/>
        <v>319.45782494097881</v>
      </c>
      <c r="M78" s="7">
        <f t="shared" si="10"/>
        <v>-0.74782494097883045</v>
      </c>
    </row>
    <row r="79" spans="6:13" ht="18.75" customHeight="1">
      <c r="F79" s="1">
        <v>23743</v>
      </c>
      <c r="G79">
        <f t="shared" si="7"/>
        <v>1</v>
      </c>
      <c r="H79" s="7">
        <v>319.44</v>
      </c>
      <c r="I79" s="7">
        <f t="shared" si="6"/>
        <v>320.42883991870758</v>
      </c>
      <c r="J79" s="7">
        <f t="shared" si="8"/>
        <v>-0.98883991870758337</v>
      </c>
      <c r="K79" s="7" cm="1">
        <f t="array" ref="K79">INDEX(Sm,G79)</f>
        <v>6.1040869584970889E-2</v>
      </c>
      <c r="L79" s="7">
        <f t="shared" si="9"/>
        <v>320.48988078829257</v>
      </c>
      <c r="M79" s="7">
        <f t="shared" si="10"/>
        <v>-1.0498807882925689</v>
      </c>
    </row>
    <row r="80" spans="6:13" ht="18.75" customHeight="1">
      <c r="F80" s="1">
        <v>23774</v>
      </c>
      <c r="G80">
        <f t="shared" si="7"/>
        <v>2</v>
      </c>
      <c r="H80" s="7">
        <v>320.44</v>
      </c>
      <c r="I80" s="7">
        <f t="shared" si="6"/>
        <v>320.50871887807199</v>
      </c>
      <c r="J80" s="7">
        <f t="shared" si="8"/>
        <v>-6.871887807199073E-2</v>
      </c>
      <c r="K80" s="7" cm="1">
        <f t="array" ref="K80">INDEX(Sm,G80)</f>
        <v>0.69421564520236412</v>
      </c>
      <c r="L80" s="7">
        <f t="shared" si="9"/>
        <v>321.20293452327434</v>
      </c>
      <c r="M80" s="7">
        <f t="shared" si="10"/>
        <v>-0.76293452327433897</v>
      </c>
    </row>
    <row r="81" spans="6:13" ht="18.75" customHeight="1">
      <c r="F81" s="1">
        <v>23802</v>
      </c>
      <c r="G81">
        <f t="shared" si="7"/>
        <v>3</v>
      </c>
      <c r="H81" s="7">
        <v>320.89</v>
      </c>
      <c r="I81" s="7">
        <f t="shared" si="6"/>
        <v>320.58102958971983</v>
      </c>
      <c r="J81" s="7">
        <f t="shared" si="8"/>
        <v>0.30897041028015337</v>
      </c>
      <c r="K81" s="7" cm="1">
        <f t="array" ref="K81">INDEX(Sm,G81)</f>
        <v>1.3733706304072995</v>
      </c>
      <c r="L81" s="7">
        <f t="shared" si="9"/>
        <v>321.95440022012713</v>
      </c>
      <c r="M81" s="7">
        <f t="shared" si="10"/>
        <v>-1.0644002201271405</v>
      </c>
    </row>
    <row r="82" spans="6:13" ht="18.75" customHeight="1">
      <c r="F82" s="1">
        <v>23833</v>
      </c>
      <c r="G82">
        <f t="shared" si="7"/>
        <v>4</v>
      </c>
      <c r="H82" s="7">
        <v>322.14</v>
      </c>
      <c r="I82" s="7">
        <f t="shared" si="6"/>
        <v>320.6612672061471</v>
      </c>
      <c r="J82" s="7">
        <f t="shared" si="8"/>
        <v>1.4787327938528847</v>
      </c>
      <c r="K82" s="7" cm="1">
        <f t="array" ref="K82">INDEX(Sm,G82)</f>
        <v>2.6099183412742755</v>
      </c>
      <c r="L82" s="7">
        <f t="shared" si="9"/>
        <v>323.2711855474214</v>
      </c>
      <c r="M82" s="7">
        <f t="shared" si="10"/>
        <v>-1.1311855474214099</v>
      </c>
    </row>
    <row r="83" spans="6:13" ht="18.75" customHeight="1">
      <c r="F83" s="1">
        <v>23863</v>
      </c>
      <c r="G83">
        <f t="shared" si="7"/>
        <v>5</v>
      </c>
      <c r="H83" s="7">
        <v>322.17</v>
      </c>
      <c r="I83" s="7">
        <f t="shared" si="6"/>
        <v>320.7390959389457</v>
      </c>
      <c r="J83" s="7">
        <f t="shared" si="8"/>
        <v>1.4309040610543207</v>
      </c>
      <c r="K83" s="7" cm="1">
        <f t="array" ref="K83">INDEX(Sm,G83)</f>
        <v>3.065291801195754</v>
      </c>
      <c r="L83" s="7">
        <f t="shared" si="9"/>
        <v>323.80438774014146</v>
      </c>
      <c r="M83" s="7">
        <f t="shared" si="10"/>
        <v>-1.6343877401414488</v>
      </c>
    </row>
    <row r="84" spans="6:13" ht="18.75" customHeight="1">
      <c r="F84" s="1">
        <v>23894</v>
      </c>
      <c r="G84">
        <f t="shared" si="7"/>
        <v>6</v>
      </c>
      <c r="H84" s="7">
        <v>321.87</v>
      </c>
      <c r="I84" s="7">
        <f t="shared" si="6"/>
        <v>320.8197043703023</v>
      </c>
      <c r="J84" s="7">
        <f t="shared" si="8"/>
        <v>1.0502956296977004</v>
      </c>
      <c r="K84" s="7" cm="1">
        <f t="array" ref="K84">INDEX(Sm,G84)</f>
        <v>2.3463851222642056</v>
      </c>
      <c r="L84" s="7">
        <f t="shared" si="9"/>
        <v>323.16608949256653</v>
      </c>
      <c r="M84" s="7">
        <f t="shared" si="10"/>
        <v>-1.2960894925665229</v>
      </c>
    </row>
    <row r="85" spans="6:13" ht="18.75" customHeight="1">
      <c r="F85" s="1">
        <v>23924</v>
      </c>
      <c r="G85">
        <f t="shared" si="7"/>
        <v>7</v>
      </c>
      <c r="H85" s="7">
        <v>321.20999999999998</v>
      </c>
      <c r="I85" s="7">
        <f t="shared" si="6"/>
        <v>320.89789195625832</v>
      </c>
      <c r="J85" s="7">
        <f t="shared" si="8"/>
        <v>0.31210804374165946</v>
      </c>
      <c r="K85" s="7" cm="1">
        <f t="array" ref="K85">INDEX(Sm,G85)</f>
        <v>0.72334113060077332</v>
      </c>
      <c r="L85" s="7">
        <f t="shared" si="9"/>
        <v>321.62123308685909</v>
      </c>
      <c r="M85" s="7">
        <f t="shared" si="10"/>
        <v>-0.41123308685911297</v>
      </c>
    </row>
    <row r="86" spans="6:13" ht="18.75" customHeight="1">
      <c r="F86" s="1">
        <v>23955</v>
      </c>
      <c r="G86">
        <f t="shared" si="7"/>
        <v>8</v>
      </c>
      <c r="H86" s="7">
        <v>318.87</v>
      </c>
      <c r="I86" s="7">
        <f t="shared" si="6"/>
        <v>320.97887120254421</v>
      </c>
      <c r="J86" s="7">
        <f t="shared" si="8"/>
        <v>-2.1088712025442078</v>
      </c>
      <c r="K86" s="7" cm="1">
        <f t="array" ref="K86">INDEX(Sm,G86)</f>
        <v>-1.3975570061157723</v>
      </c>
      <c r="L86" s="7">
        <f t="shared" si="9"/>
        <v>319.58131419642842</v>
      </c>
      <c r="M86" s="7">
        <f t="shared" si="10"/>
        <v>-0.7113141964284182</v>
      </c>
    </row>
    <row r="87" spans="6:13" ht="18.75" customHeight="1">
      <c r="F87" s="1">
        <v>23986</v>
      </c>
      <c r="G87">
        <f t="shared" si="7"/>
        <v>9</v>
      </c>
      <c r="H87" s="7">
        <v>317.81</v>
      </c>
      <c r="I87" s="7">
        <f t="shared" si="6"/>
        <v>321.06003889576141</v>
      </c>
      <c r="J87" s="7">
        <f t="shared" si="8"/>
        <v>-3.2500388957614064</v>
      </c>
      <c r="K87" s="7" cm="1">
        <f t="array" ref="K87">INDEX(Sm,G87)</f>
        <v>-3.1934822994410497</v>
      </c>
      <c r="L87" s="7">
        <f t="shared" si="9"/>
        <v>317.86655659632038</v>
      </c>
      <c r="M87" s="7">
        <f t="shared" si="10"/>
        <v>-5.6556596320376684E-2</v>
      </c>
    </row>
    <row r="88" spans="6:13" ht="18.75" customHeight="1">
      <c r="F88" s="1">
        <v>24016</v>
      </c>
      <c r="G88">
        <f t="shared" si="7"/>
        <v>10</v>
      </c>
      <c r="H88" s="7">
        <v>317.3</v>
      </c>
      <c r="I88" s="7">
        <f t="shared" si="6"/>
        <v>321.13876770287288</v>
      </c>
      <c r="J88" s="7">
        <f t="shared" si="8"/>
        <v>-3.8387677028728717</v>
      </c>
      <c r="K88" s="7" cm="1">
        <f t="array" ref="K88">INDEX(Sm,G88)</f>
        <v>-3.3368150874962788</v>
      </c>
      <c r="L88" s="7">
        <f t="shared" si="9"/>
        <v>317.80195261537659</v>
      </c>
      <c r="M88" s="7">
        <f t="shared" si="10"/>
        <v>-0.50195261537658098</v>
      </c>
    </row>
    <row r="89" spans="6:13" ht="18.75" customHeight="1">
      <c r="F89" s="1">
        <v>24047</v>
      </c>
      <c r="G89">
        <f t="shared" si="7"/>
        <v>11</v>
      </c>
      <c r="H89" s="7">
        <v>318.87</v>
      </c>
      <c r="I89" s="7">
        <f t="shared" si="6"/>
        <v>321.22030621101942</v>
      </c>
      <c r="J89" s="7">
        <f t="shared" si="8"/>
        <v>-2.3503062110194151</v>
      </c>
      <c r="K89" s="7" cm="1">
        <f t="array" ref="K89">INDEX(Sm,G89)</f>
        <v>-2.0591623324975612</v>
      </c>
      <c r="L89" s="7">
        <f t="shared" si="9"/>
        <v>319.16114387852184</v>
      </c>
      <c r="M89" s="7">
        <f t="shared" si="10"/>
        <v>-0.29114387852183654</v>
      </c>
    </row>
    <row r="90" spans="6:13" ht="18.75" customHeight="1">
      <c r="F90" s="1">
        <v>24077</v>
      </c>
      <c r="G90">
        <f t="shared" si="7"/>
        <v>12</v>
      </c>
      <c r="H90" s="7">
        <v>319.42</v>
      </c>
      <c r="I90" s="7">
        <f t="shared" si="6"/>
        <v>321.29939387128832</v>
      </c>
      <c r="J90" s="7">
        <f t="shared" si="8"/>
        <v>-1.8793938712883005</v>
      </c>
      <c r="K90" s="7" cm="1">
        <f t="array" ref="K90">INDEX(Sm,G90)</f>
        <v>-0.89132446529561371</v>
      </c>
      <c r="L90" s="7">
        <f t="shared" si="9"/>
        <v>320.40806940599271</v>
      </c>
      <c r="M90" s="7">
        <f t="shared" si="10"/>
        <v>-0.98806940599268955</v>
      </c>
    </row>
    <row r="91" spans="6:13" ht="18.75" customHeight="1">
      <c r="F91" s="1">
        <v>24108</v>
      </c>
      <c r="G91">
        <f t="shared" si="7"/>
        <v>1</v>
      </c>
      <c r="H91" s="7">
        <v>320.62</v>
      </c>
      <c r="I91" s="7">
        <f t="shared" si="6"/>
        <v>321.38130319436419</v>
      </c>
      <c r="J91" s="7">
        <f t="shared" si="8"/>
        <v>-0.76130319436418858</v>
      </c>
      <c r="K91" s="7" cm="1">
        <f t="array" ref="K91">INDEX(Sm,G91)</f>
        <v>6.1040869584970889E-2</v>
      </c>
      <c r="L91" s="7">
        <f t="shared" si="9"/>
        <v>321.44234406394918</v>
      </c>
      <c r="M91" s="7">
        <f t="shared" si="10"/>
        <v>-0.82234406394917414</v>
      </c>
    </row>
    <row r="92" spans="6:13" ht="18.75" customHeight="1">
      <c r="F92" s="1">
        <v>24139</v>
      </c>
      <c r="G92">
        <f t="shared" si="7"/>
        <v>2</v>
      </c>
      <c r="H92" s="7">
        <v>321.60000000000002</v>
      </c>
      <c r="I92" s="7">
        <f t="shared" si="6"/>
        <v>321.46340096437137</v>
      </c>
      <c r="J92" s="7">
        <f t="shared" si="8"/>
        <v>0.13659903562864883</v>
      </c>
      <c r="K92" s="7" cm="1">
        <f t="array" ref="K92">INDEX(Sm,G92)</f>
        <v>0.69421564520236412</v>
      </c>
      <c r="L92" s="7">
        <f t="shared" si="9"/>
        <v>322.15761660957372</v>
      </c>
      <c r="M92" s="7">
        <f t="shared" si="10"/>
        <v>-0.55761660957369941</v>
      </c>
    </row>
    <row r="93" spans="6:13" ht="18.75" customHeight="1">
      <c r="F93" s="1">
        <v>24167</v>
      </c>
      <c r="G93">
        <f t="shared" si="7"/>
        <v>3</v>
      </c>
      <c r="H93" s="7">
        <v>322.39</v>
      </c>
      <c r="I93" s="7">
        <f t="shared" si="6"/>
        <v>321.53771576305138</v>
      </c>
      <c r="J93" s="7">
        <f t="shared" si="8"/>
        <v>0.85228423694860567</v>
      </c>
      <c r="K93" s="7" cm="1">
        <f t="array" ref="K93">INDEX(Sm,G93)</f>
        <v>1.3733706304072995</v>
      </c>
      <c r="L93" s="7">
        <f t="shared" si="9"/>
        <v>322.91108639345867</v>
      </c>
      <c r="M93" s="7">
        <f t="shared" si="10"/>
        <v>-0.52108639345868824</v>
      </c>
    </row>
    <row r="94" spans="6:13" ht="18.75" customHeight="1">
      <c r="F94" s="1">
        <v>24198</v>
      </c>
      <c r="G94">
        <f t="shared" si="7"/>
        <v>4</v>
      </c>
      <c r="H94" s="7">
        <v>323.7</v>
      </c>
      <c r="I94" s="7">
        <f t="shared" si="6"/>
        <v>321.62017219012137</v>
      </c>
      <c r="J94" s="7">
        <f t="shared" si="8"/>
        <v>2.0798278098786227</v>
      </c>
      <c r="K94" s="7" cm="1">
        <f t="array" ref="K94">INDEX(Sm,G94)</f>
        <v>2.6099183412742755</v>
      </c>
      <c r="L94" s="7">
        <f t="shared" si="9"/>
        <v>324.23009053139566</v>
      </c>
      <c r="M94" s="7">
        <f t="shared" si="10"/>
        <v>-0.53009053139567186</v>
      </c>
    </row>
    <row r="95" spans="6:13" ht="18.75" customHeight="1">
      <c r="F95" s="1">
        <v>24228</v>
      </c>
      <c r="G95">
        <f t="shared" si="7"/>
        <v>5</v>
      </c>
      <c r="H95" s="7">
        <v>324.08</v>
      </c>
      <c r="I95" s="7">
        <f t="shared" si="6"/>
        <v>321.70014815902584</v>
      </c>
      <c r="J95" s="7">
        <f t="shared" si="8"/>
        <v>2.3798518409741405</v>
      </c>
      <c r="K95" s="7" cm="1">
        <f t="array" ref="K95">INDEX(Sm,G95)</f>
        <v>3.065291801195754</v>
      </c>
      <c r="L95" s="7">
        <f t="shared" si="9"/>
        <v>324.76543996022161</v>
      </c>
      <c r="M95" s="7">
        <f t="shared" si="10"/>
        <v>-0.68543996022162901</v>
      </c>
    </row>
    <row r="96" spans="6:13" ht="18.75" customHeight="1">
      <c r="F96" s="1">
        <v>24259</v>
      </c>
      <c r="G96">
        <f t="shared" si="7"/>
        <v>6</v>
      </c>
      <c r="H96" s="7">
        <v>323.75</v>
      </c>
      <c r="I96" s="7">
        <f t="shared" si="6"/>
        <v>321.78297540102511</v>
      </c>
      <c r="J96" s="7">
        <f t="shared" si="8"/>
        <v>1.9670245989748878</v>
      </c>
      <c r="K96" s="7" cm="1">
        <f t="array" ref="K96">INDEX(Sm,G96)</f>
        <v>2.3463851222642056</v>
      </c>
      <c r="L96" s="7">
        <f t="shared" si="9"/>
        <v>324.12936052328934</v>
      </c>
      <c r="M96" s="7">
        <f t="shared" si="10"/>
        <v>-0.37936052328933556</v>
      </c>
    </row>
    <row r="97" spans="6:13" ht="18.75" customHeight="1">
      <c r="F97" s="1">
        <v>24289</v>
      </c>
      <c r="G97">
        <f t="shared" si="7"/>
        <v>7</v>
      </c>
      <c r="H97" s="7">
        <v>322.38</v>
      </c>
      <c r="I97" s="7">
        <f t="shared" si="6"/>
        <v>321.86331022308701</v>
      </c>
      <c r="J97" s="7">
        <f t="shared" si="8"/>
        <v>0.51668977691298323</v>
      </c>
      <c r="K97" s="7" cm="1">
        <f t="array" ref="K97">INDEX(Sm,G97)</f>
        <v>0.72334113060077332</v>
      </c>
      <c r="L97" s="7">
        <f t="shared" si="9"/>
        <v>322.58665135368778</v>
      </c>
      <c r="M97" s="7">
        <f t="shared" si="10"/>
        <v>-0.2066513536877892</v>
      </c>
    </row>
    <row r="98" spans="6:13" ht="18.75" customHeight="1">
      <c r="F98" s="1">
        <v>24320</v>
      </c>
      <c r="G98">
        <f t="shared" si="7"/>
        <v>8</v>
      </c>
      <c r="H98" s="7">
        <v>320.36</v>
      </c>
      <c r="I98" s="7">
        <f t="shared" si="6"/>
        <v>321.94650828001568</v>
      </c>
      <c r="J98" s="7">
        <f t="shared" si="8"/>
        <v>-1.5865082800156642</v>
      </c>
      <c r="K98" s="7" cm="1">
        <f t="array" ref="K98">INDEX(Sm,G98)</f>
        <v>-1.3975570061157723</v>
      </c>
      <c r="L98" s="7">
        <f t="shared" si="9"/>
        <v>320.54895127389989</v>
      </c>
      <c r="M98" s="7">
        <f t="shared" si="10"/>
        <v>-0.18895127389987465</v>
      </c>
    </row>
    <row r="99" spans="6:13" ht="18.75" customHeight="1">
      <c r="F99" s="1">
        <v>24351</v>
      </c>
      <c r="G99">
        <f t="shared" si="7"/>
        <v>9</v>
      </c>
      <c r="H99" s="7">
        <v>318.64</v>
      </c>
      <c r="I99" s="7">
        <f t="shared" si="6"/>
        <v>322.02989478387559</v>
      </c>
      <c r="J99" s="7">
        <f t="shared" si="8"/>
        <v>-3.3898947838756044</v>
      </c>
      <c r="K99" s="7" cm="1">
        <f t="array" ref="K99">INDEX(Sm,G99)</f>
        <v>-3.1934822994410497</v>
      </c>
      <c r="L99" s="7">
        <f t="shared" si="9"/>
        <v>318.83641248443456</v>
      </c>
      <c r="M99" s="7">
        <f t="shared" si="10"/>
        <v>-0.19641248443457471</v>
      </c>
    </row>
    <row r="100" spans="6:13" ht="18.75" customHeight="1">
      <c r="F100" s="1">
        <v>24381</v>
      </c>
      <c r="G100">
        <f t="shared" si="7"/>
        <v>10</v>
      </c>
      <c r="H100" s="7">
        <v>318.10000000000002</v>
      </c>
      <c r="I100" s="7">
        <f t="shared" si="6"/>
        <v>322.11077082709295</v>
      </c>
      <c r="J100" s="7">
        <f t="shared" si="8"/>
        <v>-4.0107708270929265</v>
      </c>
      <c r="K100" s="7" cm="1">
        <f t="array" ref="K100">INDEX(Sm,G100)</f>
        <v>-3.3368150874962788</v>
      </c>
      <c r="L100" s="7">
        <f t="shared" si="9"/>
        <v>318.77395573959666</v>
      </c>
      <c r="M100" s="7">
        <f t="shared" si="10"/>
        <v>-0.67395573959663579</v>
      </c>
    </row>
    <row r="101" spans="6:13" ht="18.75" customHeight="1">
      <c r="F101" s="1">
        <v>24412</v>
      </c>
      <c r="G101">
        <f t="shared" si="7"/>
        <v>11</v>
      </c>
      <c r="H101" s="7">
        <v>319.77999999999997</v>
      </c>
      <c r="I101" s="7">
        <f t="shared" si="6"/>
        <v>322.1945281458822</v>
      </c>
      <c r="J101" s="7">
        <f t="shared" si="8"/>
        <v>-2.4145281458822296</v>
      </c>
      <c r="K101" s="7" cm="1">
        <f t="array" ref="K101">INDEX(Sm,G101)</f>
        <v>-2.0591623324975612</v>
      </c>
      <c r="L101" s="7">
        <f t="shared" si="9"/>
        <v>320.13536581338462</v>
      </c>
      <c r="M101" s="7">
        <f t="shared" si="10"/>
        <v>-0.35536581338465112</v>
      </c>
    </row>
    <row r="102" spans="6:13" ht="18.75" customHeight="1">
      <c r="F102" s="1">
        <v>24442</v>
      </c>
      <c r="G102">
        <f t="shared" si="7"/>
        <v>12</v>
      </c>
      <c r="H102" s="7">
        <v>321.02999999999997</v>
      </c>
      <c r="I102" s="7">
        <f t="shared" si="6"/>
        <v>322.27576304225698</v>
      </c>
      <c r="J102" s="7">
        <f t="shared" si="8"/>
        <v>-1.2457630422570105</v>
      </c>
      <c r="K102" s="7" cm="1">
        <f t="array" ref="K102">INDEX(Sm,G102)</f>
        <v>-0.89132446529561371</v>
      </c>
      <c r="L102" s="7">
        <f t="shared" si="9"/>
        <v>321.38443857696137</v>
      </c>
      <c r="M102" s="7">
        <f t="shared" si="10"/>
        <v>-0.35443857696139958</v>
      </c>
    </row>
    <row r="103" spans="6:13" ht="18.75" customHeight="1">
      <c r="F103" s="1">
        <v>24473</v>
      </c>
      <c r="G103">
        <f t="shared" si="7"/>
        <v>1</v>
      </c>
      <c r="H103" s="7">
        <v>322.33</v>
      </c>
      <c r="I103" s="7">
        <f t="shared" si="6"/>
        <v>322.35989117597558</v>
      </c>
      <c r="J103" s="7">
        <f t="shared" si="8"/>
        <v>-2.9891175975592432E-2</v>
      </c>
      <c r="K103" s="7" cm="1">
        <f t="array" ref="K103">INDEX(Sm,G103)</f>
        <v>6.1040869584970889E-2</v>
      </c>
      <c r="L103" s="7">
        <f t="shared" si="9"/>
        <v>322.42093204556056</v>
      </c>
      <c r="M103" s="7">
        <f t="shared" si="10"/>
        <v>-9.093204556057799E-2</v>
      </c>
    </row>
    <row r="104" spans="6:13" ht="18.75" customHeight="1">
      <c r="F104" s="1">
        <v>24504</v>
      </c>
      <c r="G104">
        <f t="shared" si="7"/>
        <v>2</v>
      </c>
      <c r="H104" s="7">
        <v>322.5</v>
      </c>
      <c r="I104" s="7">
        <f t="shared" si="6"/>
        <v>322.44420775662547</v>
      </c>
      <c r="J104" s="7">
        <f t="shared" si="8"/>
        <v>5.5792243374526151E-2</v>
      </c>
      <c r="K104" s="7" cm="1">
        <f t="array" ref="K104">INDEX(Sm,G104)</f>
        <v>0.69421564520236412</v>
      </c>
      <c r="L104" s="7">
        <f t="shared" si="9"/>
        <v>323.13842340182782</v>
      </c>
      <c r="M104" s="7">
        <f t="shared" si="10"/>
        <v>-0.63842340182782209</v>
      </c>
    </row>
    <row r="105" spans="6:13" ht="18.75" customHeight="1">
      <c r="F105" s="1">
        <v>24532</v>
      </c>
      <c r="G105">
        <f t="shared" si="7"/>
        <v>3</v>
      </c>
      <c r="H105" s="7">
        <v>323.04000000000002</v>
      </c>
      <c r="I105" s="7">
        <f t="shared" si="6"/>
        <v>322.52052664233764</v>
      </c>
      <c r="J105" s="7">
        <f t="shared" si="8"/>
        <v>0.51947335766237757</v>
      </c>
      <c r="K105" s="7" cm="1">
        <f t="array" ref="K105">INDEX(Sm,G105)</f>
        <v>1.3733706304072995</v>
      </c>
      <c r="L105" s="7">
        <f t="shared" si="9"/>
        <v>323.89389727274494</v>
      </c>
      <c r="M105" s="7">
        <f t="shared" si="10"/>
        <v>-0.85389727274491634</v>
      </c>
    </row>
    <row r="106" spans="6:13" ht="18.75" customHeight="1">
      <c r="F106" s="1">
        <v>24563</v>
      </c>
      <c r="G106">
        <f t="shared" si="7"/>
        <v>4</v>
      </c>
      <c r="H106" s="7">
        <v>324.42</v>
      </c>
      <c r="I106" s="7">
        <f t="shared" si="6"/>
        <v>322.60520188005034</v>
      </c>
      <c r="J106" s="7">
        <f t="shared" si="8"/>
        <v>1.8147981199496712</v>
      </c>
      <c r="K106" s="7" cm="1">
        <f t="array" ref="K106">INDEX(Sm,G106)</f>
        <v>2.6099183412742755</v>
      </c>
      <c r="L106" s="7">
        <f t="shared" si="9"/>
        <v>325.21512022132464</v>
      </c>
      <c r="M106" s="7">
        <f t="shared" si="10"/>
        <v>-0.79512022132462334</v>
      </c>
    </row>
    <row r="107" spans="6:13" ht="18.75" customHeight="1">
      <c r="F107" s="1">
        <v>24593</v>
      </c>
      <c r="G107">
        <f t="shared" si="7"/>
        <v>5</v>
      </c>
      <c r="H107" s="7">
        <v>325</v>
      </c>
      <c r="I107" s="7">
        <f t="shared" si="6"/>
        <v>322.68732508506065</v>
      </c>
      <c r="J107" s="7">
        <f t="shared" si="8"/>
        <v>2.3126749149393504</v>
      </c>
      <c r="K107" s="7" cm="1">
        <f t="array" ref="K107">INDEX(Sm,G107)</f>
        <v>3.065291801195754</v>
      </c>
      <c r="L107" s="7">
        <f t="shared" si="9"/>
        <v>325.75261688625642</v>
      </c>
      <c r="M107" s="7">
        <f t="shared" si="10"/>
        <v>-0.75261688625641909</v>
      </c>
    </row>
    <row r="108" spans="6:13" ht="18.75" customHeight="1">
      <c r="F108" s="1">
        <v>24624</v>
      </c>
      <c r="G108">
        <f t="shared" si="7"/>
        <v>6</v>
      </c>
      <c r="H108" s="7">
        <v>324.08999999999997</v>
      </c>
      <c r="I108" s="7">
        <f t="shared" si="6"/>
        <v>322.77237113770269</v>
      </c>
      <c r="J108" s="7">
        <f t="shared" si="8"/>
        <v>1.3176288622972834</v>
      </c>
      <c r="K108" s="7" cm="1">
        <f t="array" ref="K108">INDEX(Sm,G108)</f>
        <v>2.3463851222642056</v>
      </c>
      <c r="L108" s="7">
        <f t="shared" si="9"/>
        <v>325.11875625996691</v>
      </c>
      <c r="M108" s="7">
        <f t="shared" si="10"/>
        <v>-1.02875625996694</v>
      </c>
    </row>
    <row r="109" spans="6:13" ht="18.75" customHeight="1">
      <c r="F109" s="1">
        <v>24654</v>
      </c>
      <c r="G109">
        <f t="shared" si="7"/>
        <v>7</v>
      </c>
      <c r="H109" s="7">
        <v>322.54000000000002</v>
      </c>
      <c r="I109" s="7">
        <f t="shared" si="6"/>
        <v>322.85485319587048</v>
      </c>
      <c r="J109" s="7">
        <f t="shared" si="8"/>
        <v>-0.31485319587045524</v>
      </c>
      <c r="K109" s="7" cm="1">
        <f t="array" ref="K109">INDEX(Sm,G109)</f>
        <v>0.72334113060077332</v>
      </c>
      <c r="L109" s="7">
        <f t="shared" si="9"/>
        <v>323.57819432647125</v>
      </c>
      <c r="M109" s="7">
        <f t="shared" si="10"/>
        <v>-1.0381943264712277</v>
      </c>
    </row>
    <row r="110" spans="6:13" ht="18.75" customHeight="1">
      <c r="F110" s="1">
        <v>24685</v>
      </c>
      <c r="G110">
        <f t="shared" si="7"/>
        <v>8</v>
      </c>
      <c r="H110" s="7">
        <v>320.92</v>
      </c>
      <c r="I110" s="7">
        <f t="shared" si="6"/>
        <v>322.9402700634418</v>
      </c>
      <c r="J110" s="7">
        <f t="shared" si="8"/>
        <v>-2.0202700634417852</v>
      </c>
      <c r="K110" s="7" cm="1">
        <f t="array" ref="K110">INDEX(Sm,G110)</f>
        <v>-1.3975570061157723</v>
      </c>
      <c r="L110" s="7">
        <f t="shared" si="9"/>
        <v>321.54271305732601</v>
      </c>
      <c r="M110" s="7">
        <f t="shared" si="10"/>
        <v>-0.62271305732599558</v>
      </c>
    </row>
    <row r="111" spans="6:13" ht="18.75" customHeight="1">
      <c r="F111" s="1">
        <v>24716</v>
      </c>
      <c r="G111">
        <f t="shared" si="7"/>
        <v>9</v>
      </c>
      <c r="H111" s="7">
        <v>319.25</v>
      </c>
      <c r="I111" s="7">
        <f t="shared" si="6"/>
        <v>323.02587537794449</v>
      </c>
      <c r="J111" s="7">
        <f t="shared" si="8"/>
        <v>-3.7758753779444874</v>
      </c>
      <c r="K111" s="7" cm="1">
        <f t="array" ref="K111">INDEX(Sm,G111)</f>
        <v>-3.1934822994410497</v>
      </c>
      <c r="L111" s="7">
        <f t="shared" si="9"/>
        <v>319.83239307850346</v>
      </c>
      <c r="M111" s="7">
        <f t="shared" si="10"/>
        <v>-0.58239307850345767</v>
      </c>
    </row>
    <row r="112" spans="6:13" ht="18.75" customHeight="1">
      <c r="F112" s="1">
        <v>24746</v>
      </c>
      <c r="G112">
        <f t="shared" si="7"/>
        <v>10</v>
      </c>
      <c r="H112" s="7">
        <v>319.39</v>
      </c>
      <c r="I112" s="7">
        <f t="shared" si="6"/>
        <v>323.10889865726773</v>
      </c>
      <c r="J112" s="7">
        <f t="shared" si="8"/>
        <v>-3.7188986572677436</v>
      </c>
      <c r="K112" s="7" cm="1">
        <f t="array" ref="K112">INDEX(Sm,G112)</f>
        <v>-3.3368150874962788</v>
      </c>
      <c r="L112" s="7">
        <f t="shared" si="9"/>
        <v>319.77208356977144</v>
      </c>
      <c r="M112" s="7">
        <f t="shared" si="10"/>
        <v>-0.38208356977145286</v>
      </c>
    </row>
    <row r="113" spans="6:13" ht="18.75" customHeight="1">
      <c r="F113" s="1">
        <v>24777</v>
      </c>
      <c r="G113">
        <f t="shared" si="7"/>
        <v>11</v>
      </c>
      <c r="H113" s="7">
        <v>320.73</v>
      </c>
      <c r="I113" s="7">
        <f t="shared" si="6"/>
        <v>323.1948747866997</v>
      </c>
      <c r="J113" s="7">
        <f t="shared" si="8"/>
        <v>-2.4648747866996814</v>
      </c>
      <c r="K113" s="7" cm="1">
        <f t="array" ref="K113">INDEX(Sm,G113)</f>
        <v>-2.0591623324975612</v>
      </c>
      <c r="L113" s="7">
        <f t="shared" si="9"/>
        <v>321.13571245420212</v>
      </c>
      <c r="M113" s="7">
        <f t="shared" si="10"/>
        <v>-0.40571245420210289</v>
      </c>
    </row>
    <row r="114" spans="6:13" ht="18.75" customHeight="1">
      <c r="F114" s="1">
        <v>24807</v>
      </c>
      <c r="G114">
        <f t="shared" si="7"/>
        <v>12</v>
      </c>
      <c r="H114" s="7">
        <v>321.95999999999998</v>
      </c>
      <c r="I114" s="7">
        <f t="shared" si="6"/>
        <v>323.27825691918036</v>
      </c>
      <c r="J114" s="7">
        <f t="shared" si="8"/>
        <v>-1.318256919180385</v>
      </c>
      <c r="K114" s="7" cm="1">
        <f t="array" ref="K114">INDEX(Sm,G114)</f>
        <v>-0.89132446529561371</v>
      </c>
      <c r="L114" s="7">
        <f t="shared" si="9"/>
        <v>322.38693245388475</v>
      </c>
      <c r="M114" s="7">
        <f t="shared" si="10"/>
        <v>-0.42693245388477408</v>
      </c>
    </row>
    <row r="115" spans="6:13" ht="18.75" customHeight="1">
      <c r="F115" s="1">
        <v>24838</v>
      </c>
      <c r="G115">
        <f t="shared" si="7"/>
        <v>1</v>
      </c>
      <c r="H115" s="7">
        <v>322.57</v>
      </c>
      <c r="I115" s="7">
        <f t="shared" si="6"/>
        <v>323.36460386354167</v>
      </c>
      <c r="J115" s="7">
        <f t="shared" si="8"/>
        <v>-0.79460386354168122</v>
      </c>
      <c r="K115" s="7" cm="1">
        <f t="array" ref="K115">INDEX(Sm,G115)</f>
        <v>6.1040869584970889E-2</v>
      </c>
      <c r="L115" s="7">
        <f t="shared" si="9"/>
        <v>323.42564473312666</v>
      </c>
      <c r="M115" s="7">
        <f t="shared" si="10"/>
        <v>-0.85564473312666678</v>
      </c>
    </row>
    <row r="116" spans="6:13" ht="18.75" customHeight="1">
      <c r="F116" s="1">
        <v>24869</v>
      </c>
      <c r="G116">
        <f t="shared" si="7"/>
        <v>2</v>
      </c>
      <c r="H116" s="7">
        <v>323.14999999999998</v>
      </c>
      <c r="I116" s="7">
        <f t="shared" si="6"/>
        <v>323.45113925483429</v>
      </c>
      <c r="J116" s="7">
        <f t="shared" si="8"/>
        <v>-0.30113925483431103</v>
      </c>
      <c r="K116" s="7" cm="1">
        <f t="array" ref="K116">INDEX(Sm,G116)</f>
        <v>0.69421564520236412</v>
      </c>
      <c r="L116" s="7">
        <f t="shared" si="9"/>
        <v>324.14535490003664</v>
      </c>
      <c r="M116" s="7">
        <f t="shared" si="10"/>
        <v>-0.99535490003665927</v>
      </c>
    </row>
    <row r="117" spans="6:13" ht="18.75" customHeight="1">
      <c r="F117" s="1">
        <v>24898</v>
      </c>
      <c r="G117">
        <f t="shared" si="7"/>
        <v>3</v>
      </c>
      <c r="H117" s="7">
        <v>323.89</v>
      </c>
      <c r="I117" s="7">
        <f t="shared" si="6"/>
        <v>323.53226231997718</v>
      </c>
      <c r="J117" s="7">
        <f t="shared" si="8"/>
        <v>0.35773768002280804</v>
      </c>
      <c r="K117" s="7" cm="1">
        <f t="array" ref="K117">INDEX(Sm,G117)</f>
        <v>1.3733706304072995</v>
      </c>
      <c r="L117" s="7">
        <f t="shared" si="9"/>
        <v>324.90563295038447</v>
      </c>
      <c r="M117" s="7">
        <f t="shared" si="10"/>
        <v>-1.0156329503844859</v>
      </c>
    </row>
    <row r="118" spans="6:13" ht="18.75" customHeight="1">
      <c r="F118" s="1">
        <v>24929</v>
      </c>
      <c r="G118">
        <f t="shared" si="7"/>
        <v>4</v>
      </c>
      <c r="H118" s="7">
        <v>325.02</v>
      </c>
      <c r="I118" s="7">
        <f t="shared" si="6"/>
        <v>323.61916244726586</v>
      </c>
      <c r="J118" s="7">
        <f t="shared" si="8"/>
        <v>1.4008375527341173</v>
      </c>
      <c r="K118" s="7" cm="1">
        <f t="array" ref="K118">INDEX(Sm,G118)</f>
        <v>2.6099183412742755</v>
      </c>
      <c r="L118" s="7">
        <f t="shared" si="9"/>
        <v>326.22908078854016</v>
      </c>
      <c r="M118" s="7">
        <f t="shared" si="10"/>
        <v>-1.2090807885401773</v>
      </c>
    </row>
    <row r="119" spans="6:13" ht="18.75" customHeight="1">
      <c r="F119" s="1">
        <v>24959</v>
      </c>
      <c r="G119">
        <f t="shared" si="7"/>
        <v>5</v>
      </c>
      <c r="H119" s="7">
        <v>325.57</v>
      </c>
      <c r="I119" s="7">
        <f t="shared" si="6"/>
        <v>323.7034387712207</v>
      </c>
      <c r="J119" s="7">
        <f t="shared" si="8"/>
        <v>1.8665612287792896</v>
      </c>
      <c r="K119" s="7" cm="1">
        <f t="array" ref="K119">INDEX(Sm,G119)</f>
        <v>3.065291801195754</v>
      </c>
      <c r="L119" s="7">
        <f t="shared" si="9"/>
        <v>326.76873057241647</v>
      </c>
      <c r="M119" s="7">
        <f t="shared" si="10"/>
        <v>-1.1987305724164798</v>
      </c>
    </row>
    <row r="120" spans="6:13" ht="18.75" customHeight="1">
      <c r="F120" s="1">
        <v>24990</v>
      </c>
      <c r="G120">
        <f t="shared" si="7"/>
        <v>6</v>
      </c>
      <c r="H120" s="7">
        <v>325.36</v>
      </c>
      <c r="I120" s="7">
        <f t="shared" si="6"/>
        <v>323.79070971343873</v>
      </c>
      <c r="J120" s="7">
        <f t="shared" si="8"/>
        <v>1.5692902865612837</v>
      </c>
      <c r="K120" s="7" cm="1">
        <f t="array" ref="K120">INDEX(Sm,G120)</f>
        <v>2.3463851222642056</v>
      </c>
      <c r="L120" s="7">
        <f t="shared" si="9"/>
        <v>326.13709483570295</v>
      </c>
      <c r="M120" s="7">
        <f t="shared" si="10"/>
        <v>-0.77709483570293969</v>
      </c>
    </row>
    <row r="121" spans="6:13" ht="18.75" customHeight="1">
      <c r="F121" s="1">
        <v>25020</v>
      </c>
      <c r="G121">
        <f t="shared" si="7"/>
        <v>7</v>
      </c>
      <c r="H121" s="7">
        <v>324.14</v>
      </c>
      <c r="I121" s="7">
        <f t="shared" si="6"/>
        <v>323.87534489055105</v>
      </c>
      <c r="J121" s="7">
        <f t="shared" si="8"/>
        <v>0.26465510944893822</v>
      </c>
      <c r="K121" s="7" cm="1">
        <f t="array" ref="K121">INDEX(Sm,G121)</f>
        <v>0.72334113060077332</v>
      </c>
      <c r="L121" s="7">
        <f t="shared" si="9"/>
        <v>324.59868602115182</v>
      </c>
      <c r="M121" s="7">
        <f t="shared" si="10"/>
        <v>-0.45868602115183421</v>
      </c>
    </row>
    <row r="122" spans="6:13" ht="18.75" customHeight="1">
      <c r="F122" s="1">
        <v>25051</v>
      </c>
      <c r="G122">
        <f t="shared" si="7"/>
        <v>8</v>
      </c>
      <c r="H122" s="7">
        <v>322.11</v>
      </c>
      <c r="I122" s="7">
        <f t="shared" si="6"/>
        <v>323.96298664769841</v>
      </c>
      <c r="J122" s="7">
        <f t="shared" si="8"/>
        <v>-1.8529866476984012</v>
      </c>
      <c r="K122" s="7" cm="1">
        <f t="array" ref="K122">INDEX(Sm,G122)</f>
        <v>-1.3975570061157723</v>
      </c>
      <c r="L122" s="7">
        <f t="shared" si="9"/>
        <v>322.56542964158263</v>
      </c>
      <c r="M122" s="7">
        <f t="shared" si="10"/>
        <v>-0.45542964158261157</v>
      </c>
    </row>
    <row r="123" spans="6:13" ht="18.75" customHeight="1">
      <c r="F123" s="1">
        <v>25082</v>
      </c>
      <c r="G123">
        <f t="shared" si="7"/>
        <v>9</v>
      </c>
      <c r="H123" s="7">
        <v>320.33</v>
      </c>
      <c r="I123" s="7">
        <f t="shared" si="6"/>
        <v>324.05081685177709</v>
      </c>
      <c r="J123" s="7">
        <f t="shared" si="8"/>
        <v>-3.7208168517771014</v>
      </c>
      <c r="K123" s="7" cm="1">
        <f t="array" ref="K123">INDEX(Sm,G123)</f>
        <v>-3.1934822994410497</v>
      </c>
      <c r="L123" s="7">
        <f t="shared" si="9"/>
        <v>320.85733455233606</v>
      </c>
      <c r="M123" s="7">
        <f t="shared" si="10"/>
        <v>-0.52733455233607174</v>
      </c>
    </row>
    <row r="124" spans="6:13" ht="18.75" customHeight="1">
      <c r="F124" s="1">
        <v>25112</v>
      </c>
      <c r="G124">
        <f t="shared" si="7"/>
        <v>10</v>
      </c>
      <c r="H124" s="7">
        <v>320.25</v>
      </c>
      <c r="I124" s="7">
        <f t="shared" si="6"/>
        <v>324.13599325004481</v>
      </c>
      <c r="J124" s="7">
        <f t="shared" si="8"/>
        <v>-3.8859932500448053</v>
      </c>
      <c r="K124" s="7" cm="1">
        <f t="array" ref="K124">INDEX(Sm,G124)</f>
        <v>-3.3368150874962788</v>
      </c>
      <c r="L124" s="7">
        <f t="shared" si="9"/>
        <v>320.79917816254851</v>
      </c>
      <c r="M124" s="7">
        <f t="shared" si="10"/>
        <v>-0.54917816254851459</v>
      </c>
    </row>
    <row r="125" spans="6:13" ht="18.75" customHeight="1">
      <c r="F125" s="1">
        <v>25143</v>
      </c>
      <c r="G125">
        <f t="shared" si="7"/>
        <v>11</v>
      </c>
      <c r="H125" s="7">
        <v>321.32</v>
      </c>
      <c r="I125" s="7">
        <f t="shared" si="6"/>
        <v>324.22419426905276</v>
      </c>
      <c r="J125" s="7">
        <f t="shared" si="8"/>
        <v>-2.9041942690527662</v>
      </c>
      <c r="K125" s="7" cm="1">
        <f t="array" ref="K125">INDEX(Sm,G125)</f>
        <v>-2.0591623324975612</v>
      </c>
      <c r="L125" s="7">
        <f t="shared" si="9"/>
        <v>322.16503193655518</v>
      </c>
      <c r="M125" s="7">
        <f t="shared" si="10"/>
        <v>-0.84503193655518771</v>
      </c>
    </row>
    <row r="126" spans="6:13" ht="18.75" customHeight="1">
      <c r="F126" s="1">
        <v>25173</v>
      </c>
      <c r="G126">
        <f t="shared" si="7"/>
        <v>12</v>
      </c>
      <c r="H126" s="7">
        <v>322.89</v>
      </c>
      <c r="I126" s="7">
        <f t="shared" si="6"/>
        <v>324.30972952047796</v>
      </c>
      <c r="J126" s="7">
        <f t="shared" si="8"/>
        <v>-1.4197295204779721</v>
      </c>
      <c r="K126" s="7" cm="1">
        <f t="array" ref="K126">INDEX(Sm,G126)</f>
        <v>-0.89132446529561371</v>
      </c>
      <c r="L126" s="7">
        <f t="shared" si="9"/>
        <v>323.41840505518235</v>
      </c>
      <c r="M126" s="7">
        <f t="shared" si="10"/>
        <v>-0.52840505518236114</v>
      </c>
    </row>
    <row r="127" spans="6:13" ht="18.75" customHeight="1">
      <c r="F127" s="1">
        <v>25204</v>
      </c>
      <c r="G127">
        <f t="shared" si="7"/>
        <v>1</v>
      </c>
      <c r="H127" s="7">
        <v>324</v>
      </c>
      <c r="I127" s="7">
        <f t="shared" si="6"/>
        <v>324.39830135441525</v>
      </c>
      <c r="J127" s="7">
        <f t="shared" si="8"/>
        <v>-0.39830135441525272</v>
      </c>
      <c r="K127" s="7" cm="1">
        <f t="array" ref="K127">INDEX(Sm,G127)</f>
        <v>6.1040869584970889E-2</v>
      </c>
      <c r="L127" s="7">
        <f t="shared" si="9"/>
        <v>324.45934222400024</v>
      </c>
      <c r="M127" s="7">
        <f t="shared" si="10"/>
        <v>-0.45934222400023828</v>
      </c>
    </row>
    <row r="128" spans="6:13" ht="18.75" customHeight="1">
      <c r="F128" s="1">
        <v>25235</v>
      </c>
      <c r="G128">
        <f t="shared" si="7"/>
        <v>2</v>
      </c>
      <c r="H128" s="7">
        <v>324.41000000000003</v>
      </c>
      <c r="I128" s="7">
        <f t="shared" si="6"/>
        <v>324.48706163528391</v>
      </c>
      <c r="J128" s="7">
        <f t="shared" si="8"/>
        <v>-7.7061635283882879E-2</v>
      </c>
      <c r="K128" s="7" cm="1">
        <f t="array" ref="K128">INDEX(Sm,G128)</f>
        <v>0.69421564520236412</v>
      </c>
      <c r="L128" s="7">
        <f t="shared" si="9"/>
        <v>325.18127728048626</v>
      </c>
      <c r="M128" s="7">
        <f t="shared" si="10"/>
        <v>-0.77127728048623112</v>
      </c>
    </row>
    <row r="129" spans="6:13" ht="18.75" customHeight="1">
      <c r="F129" s="1">
        <v>25263</v>
      </c>
      <c r="G129">
        <f t="shared" si="7"/>
        <v>3</v>
      </c>
      <c r="H129" s="7">
        <v>325.63</v>
      </c>
      <c r="I129" s="7">
        <f t="shared" si="6"/>
        <v>324.5673941857097</v>
      </c>
      <c r="J129" s="7">
        <f t="shared" si="8"/>
        <v>1.0626058142902934</v>
      </c>
      <c r="K129" s="7" cm="1">
        <f t="array" ref="K129">INDEX(Sm,G129)</f>
        <v>1.3733706304072995</v>
      </c>
      <c r="L129" s="7">
        <f t="shared" si="9"/>
        <v>325.940764816117</v>
      </c>
      <c r="M129" s="7">
        <f t="shared" si="10"/>
        <v>-0.31076481611700046</v>
      </c>
    </row>
    <row r="130" spans="6:13" ht="18.75" customHeight="1">
      <c r="F130" s="1">
        <v>25294</v>
      </c>
      <c r="G130">
        <f t="shared" si="7"/>
        <v>4</v>
      </c>
      <c r="H130" s="7">
        <v>326.66000000000003</v>
      </c>
      <c r="I130" s="7">
        <f t="shared" ref="I130:I193" si="11">_A*F130*F130+_B*F130+_C</f>
        <v>324.65651312364116</v>
      </c>
      <c r="J130" s="7">
        <f t="shared" si="8"/>
        <v>2.0034868763588634</v>
      </c>
      <c r="K130" s="7" cm="1">
        <f t="array" ref="K130">INDEX(Sm,G130)</f>
        <v>2.6099183412742755</v>
      </c>
      <c r="L130" s="7">
        <f t="shared" si="9"/>
        <v>327.26643146491546</v>
      </c>
      <c r="M130" s="7">
        <f t="shared" si="10"/>
        <v>-0.60643146491543121</v>
      </c>
    </row>
    <row r="131" spans="6:13" ht="18.75" customHeight="1">
      <c r="F131" s="1">
        <v>25324</v>
      </c>
      <c r="G131">
        <f t="shared" ref="G131:G194" si="12">MONTH(F131)</f>
        <v>5</v>
      </c>
      <c r="H131" s="7">
        <v>327.38</v>
      </c>
      <c r="I131" s="7">
        <f t="shared" si="11"/>
        <v>324.74293668370188</v>
      </c>
      <c r="J131" s="7">
        <f t="shared" ref="J131:J194" si="13">H131-I131</f>
        <v>2.6370633162981107</v>
      </c>
      <c r="K131" s="7" cm="1">
        <f t="array" ref="K131">INDEX(Sm,G131)</f>
        <v>3.065291801195754</v>
      </c>
      <c r="L131" s="7">
        <f t="shared" ref="L131:L194" si="14">I131+K131</f>
        <v>327.80822848489765</v>
      </c>
      <c r="M131" s="7">
        <f t="shared" ref="M131:M194" si="15">H131-L131</f>
        <v>-0.42822848489765875</v>
      </c>
    </row>
    <row r="132" spans="6:13" ht="18.75" customHeight="1">
      <c r="F132" s="1">
        <v>25355</v>
      </c>
      <c r="G132">
        <f t="shared" si="12"/>
        <v>6</v>
      </c>
      <c r="H132" s="7">
        <v>326.70999999999998</v>
      </c>
      <c r="I132" s="7">
        <f t="shared" si="11"/>
        <v>324.83242643656263</v>
      </c>
      <c r="J132" s="7">
        <f t="shared" si="13"/>
        <v>1.8775735634373518</v>
      </c>
      <c r="K132" s="7" cm="1">
        <f t="array" ref="K132">INDEX(Sm,G132)</f>
        <v>2.3463851222642056</v>
      </c>
      <c r="L132" s="7">
        <f t="shared" si="14"/>
        <v>327.17881155882685</v>
      </c>
      <c r="M132" s="7">
        <f t="shared" si="15"/>
        <v>-0.46881155882687153</v>
      </c>
    </row>
    <row r="133" spans="6:13" ht="18.75" customHeight="1">
      <c r="F133" s="1">
        <v>25385</v>
      </c>
      <c r="G133">
        <f t="shared" si="12"/>
        <v>7</v>
      </c>
      <c r="H133" s="7">
        <v>325.88</v>
      </c>
      <c r="I133" s="7">
        <f t="shared" si="11"/>
        <v>324.91920884978077</v>
      </c>
      <c r="J133" s="7">
        <f t="shared" si="13"/>
        <v>0.96079115021922235</v>
      </c>
      <c r="K133" s="7" cm="1">
        <f t="array" ref="K133">INDEX(Sm,G133)</f>
        <v>0.72334113060077332</v>
      </c>
      <c r="L133" s="7">
        <f t="shared" si="14"/>
        <v>325.64254998038155</v>
      </c>
      <c r="M133" s="7">
        <f t="shared" si="15"/>
        <v>0.23745001961844991</v>
      </c>
    </row>
    <row r="134" spans="6:13" ht="18.75" customHeight="1">
      <c r="F134" s="1">
        <v>25416</v>
      </c>
      <c r="G134">
        <f t="shared" si="12"/>
        <v>8</v>
      </c>
      <c r="H134" s="7">
        <v>323.66000000000003</v>
      </c>
      <c r="I134" s="7">
        <f t="shared" si="11"/>
        <v>325.00906941757086</v>
      </c>
      <c r="J134" s="7">
        <f t="shared" si="13"/>
        <v>-1.3490694175708313</v>
      </c>
      <c r="K134" s="7" cm="1">
        <f t="array" ref="K134">INDEX(Sm,G134)</f>
        <v>-1.3975570061157723</v>
      </c>
      <c r="L134" s="7">
        <f t="shared" si="14"/>
        <v>323.61151241145507</v>
      </c>
      <c r="M134" s="7">
        <f t="shared" si="15"/>
        <v>4.8487588544958271E-2</v>
      </c>
    </row>
    <row r="135" spans="6:13" ht="18.75" customHeight="1">
      <c r="F135" s="1">
        <v>25447</v>
      </c>
      <c r="G135">
        <f t="shared" si="12"/>
        <v>9</v>
      </c>
      <c r="H135" s="7">
        <v>322.38</v>
      </c>
      <c r="I135" s="7">
        <f t="shared" si="11"/>
        <v>325.09911843229224</v>
      </c>
      <c r="J135" s="7">
        <f t="shared" si="13"/>
        <v>-2.7191184322922481</v>
      </c>
      <c r="K135" s="7" cm="1">
        <f t="array" ref="K135">INDEX(Sm,G135)</f>
        <v>-3.1934822994410497</v>
      </c>
      <c r="L135" s="7">
        <f t="shared" si="14"/>
        <v>321.90563613285121</v>
      </c>
      <c r="M135" s="7">
        <f t="shared" si="15"/>
        <v>0.47436386714878154</v>
      </c>
    </row>
    <row r="136" spans="6:13" ht="18.75" customHeight="1">
      <c r="F136" s="1">
        <v>25477</v>
      </c>
      <c r="G136">
        <f t="shared" si="12"/>
        <v>10</v>
      </c>
      <c r="H136" s="7">
        <v>321.77999999999997</v>
      </c>
      <c r="I136" s="7">
        <f t="shared" si="11"/>
        <v>325.18644206666585</v>
      </c>
      <c r="J136" s="7">
        <f t="shared" si="13"/>
        <v>-3.4064420666658748</v>
      </c>
      <c r="K136" s="7" cm="1">
        <f t="array" ref="K136">INDEX(Sm,G136)</f>
        <v>-3.3368150874962788</v>
      </c>
      <c r="L136" s="7">
        <f t="shared" si="14"/>
        <v>321.84962697916956</v>
      </c>
      <c r="M136" s="7">
        <f t="shared" si="15"/>
        <v>-6.9626979169584047E-2</v>
      </c>
    </row>
    <row r="137" spans="6:13" ht="18.75" customHeight="1">
      <c r="F137" s="1">
        <v>25508</v>
      </c>
      <c r="G137">
        <f t="shared" si="12"/>
        <v>11</v>
      </c>
      <c r="H137" s="7">
        <v>322.85000000000002</v>
      </c>
      <c r="I137" s="7">
        <f t="shared" si="11"/>
        <v>325.27686189631657</v>
      </c>
      <c r="J137" s="7">
        <f t="shared" si="13"/>
        <v>-2.4268618963165522</v>
      </c>
      <c r="K137" s="7" cm="1">
        <f t="array" ref="K137">INDEX(Sm,G137)</f>
        <v>-2.0591623324975612</v>
      </c>
      <c r="L137" s="7">
        <f t="shared" si="14"/>
        <v>323.217699563819</v>
      </c>
      <c r="M137" s="7">
        <f t="shared" si="15"/>
        <v>-0.36769956381897373</v>
      </c>
    </row>
    <row r="138" spans="6:13" ht="18.75" customHeight="1">
      <c r="F138" s="1">
        <v>25538</v>
      </c>
      <c r="G138">
        <f t="shared" si="12"/>
        <v>12</v>
      </c>
      <c r="H138" s="7">
        <v>324.12</v>
      </c>
      <c r="I138" s="7">
        <f t="shared" si="11"/>
        <v>325.3645443838476</v>
      </c>
      <c r="J138" s="7">
        <f t="shared" si="13"/>
        <v>-1.2445443838475967</v>
      </c>
      <c r="K138" s="7" cm="1">
        <f t="array" ref="K138">INDEX(Sm,G138)</f>
        <v>-0.89132446529561371</v>
      </c>
      <c r="L138" s="7">
        <f t="shared" si="14"/>
        <v>324.47321991855199</v>
      </c>
      <c r="M138" s="7">
        <f t="shared" si="15"/>
        <v>-0.35321991855198576</v>
      </c>
    </row>
    <row r="139" spans="6:13" ht="18.75" customHeight="1">
      <c r="F139" s="1">
        <v>25569</v>
      </c>
      <c r="G139">
        <f t="shared" si="12"/>
        <v>1</v>
      </c>
      <c r="H139" s="7">
        <v>325.06</v>
      </c>
      <c r="I139" s="7">
        <f t="shared" si="11"/>
        <v>325.45533502842767</v>
      </c>
      <c r="J139" s="7">
        <f t="shared" si="13"/>
        <v>-0.39533502842766666</v>
      </c>
      <c r="K139" s="7" cm="1">
        <f t="array" ref="K139">INDEX(Sm,G139)</f>
        <v>6.1040869584970889E-2</v>
      </c>
      <c r="L139" s="7">
        <f t="shared" si="14"/>
        <v>325.51637589801265</v>
      </c>
      <c r="M139" s="7">
        <f t="shared" si="15"/>
        <v>-0.45637589801265221</v>
      </c>
    </row>
    <row r="140" spans="6:13" ht="18.75" customHeight="1">
      <c r="F140" s="1">
        <v>25600</v>
      </c>
      <c r="G140">
        <f t="shared" si="12"/>
        <v>2</v>
      </c>
      <c r="H140" s="7">
        <v>325.98</v>
      </c>
      <c r="I140" s="7">
        <f t="shared" si="11"/>
        <v>325.54631411993898</v>
      </c>
      <c r="J140" s="7">
        <f t="shared" si="13"/>
        <v>0.43368588006103437</v>
      </c>
      <c r="K140" s="7" cm="1">
        <f t="array" ref="K140">INDEX(Sm,G140)</f>
        <v>0.69421564520236412</v>
      </c>
      <c r="L140" s="7">
        <f t="shared" si="14"/>
        <v>326.24052976514133</v>
      </c>
      <c r="M140" s="7">
        <f t="shared" si="15"/>
        <v>-0.26052976514131387</v>
      </c>
    </row>
    <row r="141" spans="6:13" ht="18.75" customHeight="1">
      <c r="F141" s="1">
        <v>25628</v>
      </c>
      <c r="G141">
        <f t="shared" si="12"/>
        <v>3</v>
      </c>
      <c r="H141" s="7">
        <v>326.93</v>
      </c>
      <c r="I141" s="7">
        <f t="shared" si="11"/>
        <v>325.628650757397</v>
      </c>
      <c r="J141" s="7">
        <f t="shared" si="13"/>
        <v>1.3013492426030098</v>
      </c>
      <c r="K141" s="7" cm="1">
        <f t="array" ref="K141">INDEX(Sm,G141)</f>
        <v>1.3733706304072995</v>
      </c>
      <c r="L141" s="7">
        <f t="shared" si="14"/>
        <v>327.00202138780429</v>
      </c>
      <c r="M141" s="7">
        <f t="shared" si="15"/>
        <v>-7.2021387804284132E-2</v>
      </c>
    </row>
    <row r="142" spans="6:13" ht="18.75" customHeight="1">
      <c r="F142" s="1">
        <v>25659</v>
      </c>
      <c r="G142">
        <f t="shared" si="12"/>
        <v>4</v>
      </c>
      <c r="H142" s="7">
        <v>328.13</v>
      </c>
      <c r="I142" s="7">
        <f t="shared" si="11"/>
        <v>325.71998850597112</v>
      </c>
      <c r="J142" s="7">
        <f t="shared" si="13"/>
        <v>2.410011494028879</v>
      </c>
      <c r="K142" s="7" cm="1">
        <f t="array" ref="K142">INDEX(Sm,G142)</f>
        <v>2.6099183412742755</v>
      </c>
      <c r="L142" s="7">
        <f t="shared" si="14"/>
        <v>328.32990684724541</v>
      </c>
      <c r="M142" s="7">
        <f t="shared" si="15"/>
        <v>-0.19990684724541552</v>
      </c>
    </row>
    <row r="143" spans="6:13" ht="18.75" customHeight="1">
      <c r="F143" s="1">
        <v>25689</v>
      </c>
      <c r="G143">
        <f t="shared" si="12"/>
        <v>5</v>
      </c>
      <c r="H143" s="7">
        <v>328.08</v>
      </c>
      <c r="I143" s="7">
        <f t="shared" si="11"/>
        <v>325.80855930213772</v>
      </c>
      <c r="J143" s="7">
        <f t="shared" si="13"/>
        <v>2.2714406978622605</v>
      </c>
      <c r="K143" s="7" cm="1">
        <f t="array" ref="K143">INDEX(Sm,G143)</f>
        <v>3.065291801195754</v>
      </c>
      <c r="L143" s="7">
        <f t="shared" si="14"/>
        <v>328.87385110333349</v>
      </c>
      <c r="M143" s="7">
        <f t="shared" si="15"/>
        <v>-0.79385110333350895</v>
      </c>
    </row>
    <row r="144" spans="6:13" ht="18.75" customHeight="1">
      <c r="F144" s="1">
        <v>25720</v>
      </c>
      <c r="G144">
        <f t="shared" si="12"/>
        <v>6</v>
      </c>
      <c r="H144" s="7">
        <v>327.67</v>
      </c>
      <c r="I144" s="7">
        <f t="shared" si="11"/>
        <v>325.90026786564124</v>
      </c>
      <c r="J144" s="7">
        <f t="shared" si="13"/>
        <v>1.769732134358776</v>
      </c>
      <c r="K144" s="7" cm="1">
        <f t="array" ref="K144">INDEX(Sm,G144)</f>
        <v>2.3463851222642056</v>
      </c>
      <c r="L144" s="7">
        <f t="shared" si="14"/>
        <v>328.24665298790546</v>
      </c>
      <c r="M144" s="7">
        <f t="shared" si="15"/>
        <v>-0.57665298790544739</v>
      </c>
    </row>
    <row r="145" spans="6:13" ht="18.75" customHeight="1">
      <c r="F145" s="1">
        <v>25750</v>
      </c>
      <c r="G145">
        <f t="shared" si="12"/>
        <v>7</v>
      </c>
      <c r="H145" s="7">
        <v>326.33999999999997</v>
      </c>
      <c r="I145" s="7">
        <f t="shared" si="11"/>
        <v>325.98919751496521</v>
      </c>
      <c r="J145" s="7">
        <f t="shared" si="13"/>
        <v>0.35080248503476241</v>
      </c>
      <c r="K145" s="7" cm="1">
        <f t="array" ref="K145">INDEX(Sm,G145)</f>
        <v>0.72334113060077332</v>
      </c>
      <c r="L145" s="7">
        <f t="shared" si="14"/>
        <v>326.71253864556599</v>
      </c>
      <c r="M145" s="7">
        <f t="shared" si="15"/>
        <v>-0.37253864556601002</v>
      </c>
    </row>
    <row r="146" spans="6:13" ht="18.75" customHeight="1">
      <c r="F146" s="1">
        <v>25781</v>
      </c>
      <c r="G146">
        <f t="shared" si="12"/>
        <v>8</v>
      </c>
      <c r="H146" s="7">
        <v>324.69</v>
      </c>
      <c r="I146" s="7">
        <f t="shared" si="11"/>
        <v>326.08127689339801</v>
      </c>
      <c r="J146" s="7">
        <f t="shared" si="13"/>
        <v>-1.3912768933980146</v>
      </c>
      <c r="K146" s="7" cm="1">
        <f t="array" ref="K146">INDEX(Sm,G146)</f>
        <v>-1.3975570061157723</v>
      </c>
      <c r="L146" s="7">
        <f t="shared" si="14"/>
        <v>324.68371988728222</v>
      </c>
      <c r="M146" s="7">
        <f t="shared" si="15"/>
        <v>6.2801127177749549E-3</v>
      </c>
    </row>
    <row r="147" spans="6:13" ht="18.75" customHeight="1">
      <c r="F147" s="1">
        <v>25812</v>
      </c>
      <c r="G147">
        <f t="shared" si="12"/>
        <v>9</v>
      </c>
      <c r="H147" s="7">
        <v>323.10000000000002</v>
      </c>
      <c r="I147" s="7">
        <f t="shared" si="11"/>
        <v>326.17354471876217</v>
      </c>
      <c r="J147" s="7">
        <f t="shared" si="13"/>
        <v>-3.0735447187621503</v>
      </c>
      <c r="K147" s="7" cm="1">
        <f t="array" ref="K147">INDEX(Sm,G147)</f>
        <v>-3.1934822994410497</v>
      </c>
      <c r="L147" s="7">
        <f t="shared" si="14"/>
        <v>322.98006241932114</v>
      </c>
      <c r="M147" s="7">
        <f t="shared" si="15"/>
        <v>0.11993758067887939</v>
      </c>
    </row>
    <row r="148" spans="6:13" ht="18.75" customHeight="1">
      <c r="F148" s="1">
        <v>25842</v>
      </c>
      <c r="G148">
        <f t="shared" si="12"/>
        <v>10</v>
      </c>
      <c r="H148" s="7">
        <v>323.06</v>
      </c>
      <c r="I148" s="7">
        <f t="shared" si="11"/>
        <v>326.2630155892416</v>
      </c>
      <c r="J148" s="7">
        <f t="shared" si="13"/>
        <v>-3.2030155892416019</v>
      </c>
      <c r="K148" s="7" cm="1">
        <f t="array" ref="K148">INDEX(Sm,G148)</f>
        <v>-3.3368150874962788</v>
      </c>
      <c r="L148" s="7">
        <f t="shared" si="14"/>
        <v>322.92620050174531</v>
      </c>
      <c r="M148" s="7">
        <f t="shared" si="15"/>
        <v>0.13379949825468884</v>
      </c>
    </row>
    <row r="149" spans="6:13" ht="18.75" customHeight="1">
      <c r="F149" s="1">
        <v>25873</v>
      </c>
      <c r="G149">
        <f t="shared" si="12"/>
        <v>11</v>
      </c>
      <c r="H149" s="7">
        <v>324.01</v>
      </c>
      <c r="I149" s="7">
        <f t="shared" si="11"/>
        <v>326.35565422953511</v>
      </c>
      <c r="J149" s="7">
        <f t="shared" si="13"/>
        <v>-2.3456542295351142</v>
      </c>
      <c r="K149" s="7" cm="1">
        <f t="array" ref="K149">INDEX(Sm,G149)</f>
        <v>-2.0591623324975612</v>
      </c>
      <c r="L149" s="7">
        <f t="shared" si="14"/>
        <v>324.29649189703753</v>
      </c>
      <c r="M149" s="7">
        <f t="shared" si="15"/>
        <v>-0.28649189703753564</v>
      </c>
    </row>
    <row r="150" spans="6:13" ht="18.75" customHeight="1">
      <c r="F150" s="1">
        <v>25903</v>
      </c>
      <c r="G150">
        <f t="shared" si="12"/>
        <v>12</v>
      </c>
      <c r="H150" s="7">
        <v>325.13</v>
      </c>
      <c r="I150" s="7">
        <f t="shared" si="11"/>
        <v>326.44548395317196</v>
      </c>
      <c r="J150" s="7">
        <f t="shared" si="13"/>
        <v>-1.3154839531719631</v>
      </c>
      <c r="K150" s="7" cm="1">
        <f t="array" ref="K150">INDEX(Sm,G150)</f>
        <v>-0.89132446529561371</v>
      </c>
      <c r="L150" s="7">
        <f t="shared" si="14"/>
        <v>325.55415948787635</v>
      </c>
      <c r="M150" s="7">
        <f t="shared" si="15"/>
        <v>-0.42415948787635216</v>
      </c>
    </row>
    <row r="151" spans="6:13" ht="18.75" customHeight="1">
      <c r="F151" s="1">
        <v>25934</v>
      </c>
      <c r="G151">
        <f t="shared" si="12"/>
        <v>1</v>
      </c>
      <c r="H151" s="7">
        <v>326.17</v>
      </c>
      <c r="I151" s="7">
        <f t="shared" si="11"/>
        <v>326.53849340839474</v>
      </c>
      <c r="J151" s="7">
        <f t="shared" si="13"/>
        <v>-0.36849340839472688</v>
      </c>
      <c r="K151" s="7" cm="1">
        <f t="array" ref="K151">INDEX(Sm,G151)</f>
        <v>6.1040869584970889E-2</v>
      </c>
      <c r="L151" s="7">
        <f t="shared" si="14"/>
        <v>326.59953427797973</v>
      </c>
      <c r="M151" s="7">
        <f t="shared" si="15"/>
        <v>-0.42953427797971244</v>
      </c>
    </row>
    <row r="152" spans="6:13" ht="18.75" customHeight="1">
      <c r="F152" s="1">
        <v>25965</v>
      </c>
      <c r="G152">
        <f t="shared" si="12"/>
        <v>2</v>
      </c>
      <c r="H152" s="7">
        <v>326.68</v>
      </c>
      <c r="I152" s="7">
        <f t="shared" si="11"/>
        <v>326.63169131054883</v>
      </c>
      <c r="J152" s="7">
        <f t="shared" si="13"/>
        <v>4.8308689451175724E-2</v>
      </c>
      <c r="K152" s="7" cm="1">
        <f t="array" ref="K152">INDEX(Sm,G152)</f>
        <v>0.69421564520236412</v>
      </c>
      <c r="L152" s="7">
        <f t="shared" si="14"/>
        <v>327.32590695575118</v>
      </c>
      <c r="M152" s="7">
        <f t="shared" si="15"/>
        <v>-0.64590695575117252</v>
      </c>
    </row>
    <row r="153" spans="6:13" ht="18.75" customHeight="1">
      <c r="F153" s="1">
        <v>25993</v>
      </c>
      <c r="G153">
        <f t="shared" si="12"/>
        <v>3</v>
      </c>
      <c r="H153" s="7">
        <v>327.17</v>
      </c>
      <c r="I153" s="7">
        <f t="shared" si="11"/>
        <v>326.71603203503895</v>
      </c>
      <c r="J153" s="7">
        <f t="shared" si="13"/>
        <v>0.45396796496106617</v>
      </c>
      <c r="K153" s="7" cm="1">
        <f t="array" ref="K153">INDEX(Sm,G153)</f>
        <v>1.3733706304072995</v>
      </c>
      <c r="L153" s="7">
        <f t="shared" si="14"/>
        <v>328.08940266544624</v>
      </c>
      <c r="M153" s="7">
        <f t="shared" si="15"/>
        <v>-0.91940266544622773</v>
      </c>
    </row>
    <row r="154" spans="6:13" ht="18.75" customHeight="1">
      <c r="F154" s="1">
        <v>26024</v>
      </c>
      <c r="G154">
        <f t="shared" si="12"/>
        <v>4</v>
      </c>
      <c r="H154" s="7">
        <v>327.79</v>
      </c>
      <c r="I154" s="7">
        <f t="shared" si="11"/>
        <v>326.80958859425584</v>
      </c>
      <c r="J154" s="7">
        <f t="shared" si="13"/>
        <v>0.98041140574417796</v>
      </c>
      <c r="K154" s="7" cm="1">
        <f t="array" ref="K154">INDEX(Sm,G154)</f>
        <v>2.6099183412742755</v>
      </c>
      <c r="L154" s="7">
        <f t="shared" si="14"/>
        <v>329.41950693553014</v>
      </c>
      <c r="M154" s="7">
        <f t="shared" si="15"/>
        <v>-1.6295069355301166</v>
      </c>
    </row>
    <row r="155" spans="6:13" ht="18.75" customHeight="1">
      <c r="F155" s="1">
        <v>26054</v>
      </c>
      <c r="G155">
        <f t="shared" si="12"/>
        <v>5</v>
      </c>
      <c r="H155" s="7">
        <v>328.93</v>
      </c>
      <c r="I155" s="7">
        <f t="shared" si="11"/>
        <v>326.90030662652828</v>
      </c>
      <c r="J155" s="7">
        <f t="shared" si="13"/>
        <v>2.02969337347173</v>
      </c>
      <c r="K155" s="7" cm="1">
        <f t="array" ref="K155">INDEX(Sm,G155)</f>
        <v>3.065291801195754</v>
      </c>
      <c r="L155" s="7">
        <f t="shared" si="14"/>
        <v>329.96559842772405</v>
      </c>
      <c r="M155" s="7">
        <f t="shared" si="15"/>
        <v>-1.0355984277240395</v>
      </c>
    </row>
    <row r="156" spans="6:13" ht="18.75" customHeight="1">
      <c r="F156" s="1">
        <v>26085</v>
      </c>
      <c r="G156">
        <f t="shared" si="12"/>
        <v>6</v>
      </c>
      <c r="H156" s="7">
        <v>328.57</v>
      </c>
      <c r="I156" s="7">
        <f t="shared" si="11"/>
        <v>326.99423400067451</v>
      </c>
      <c r="J156" s="7">
        <f t="shared" si="13"/>
        <v>1.5757659993254833</v>
      </c>
      <c r="K156" s="7" cm="1">
        <f t="array" ref="K156">INDEX(Sm,G156)</f>
        <v>2.3463851222642056</v>
      </c>
      <c r="L156" s="7">
        <f t="shared" si="14"/>
        <v>329.34061912293873</v>
      </c>
      <c r="M156" s="7">
        <f t="shared" si="15"/>
        <v>-0.77061912293874002</v>
      </c>
    </row>
    <row r="157" spans="6:13" ht="18.75" customHeight="1">
      <c r="F157" s="1">
        <v>26115</v>
      </c>
      <c r="G157">
        <f t="shared" si="12"/>
        <v>7</v>
      </c>
      <c r="H157" s="7">
        <v>327.36</v>
      </c>
      <c r="I157" s="7">
        <f t="shared" si="11"/>
        <v>327.08531088610442</v>
      </c>
      <c r="J157" s="7">
        <f t="shared" si="13"/>
        <v>0.27468911389559025</v>
      </c>
      <c r="K157" s="7" cm="1">
        <f t="array" ref="K157">INDEX(Sm,G157)</f>
        <v>0.72334113060077332</v>
      </c>
      <c r="L157" s="7">
        <f t="shared" si="14"/>
        <v>327.8086520167052</v>
      </c>
      <c r="M157" s="7">
        <f t="shared" si="15"/>
        <v>-0.44865201670518218</v>
      </c>
    </row>
    <row r="158" spans="6:13" ht="18.75" customHeight="1">
      <c r="F158" s="1">
        <v>26146</v>
      </c>
      <c r="G158">
        <f t="shared" si="12"/>
        <v>8</v>
      </c>
      <c r="H158" s="7">
        <v>325.43</v>
      </c>
      <c r="I158" s="7">
        <f t="shared" si="11"/>
        <v>327.17960907517994</v>
      </c>
      <c r="J158" s="7">
        <f t="shared" si="13"/>
        <v>-1.7496090751799329</v>
      </c>
      <c r="K158" s="7" cm="1">
        <f t="array" ref="K158">INDEX(Sm,G158)</f>
        <v>-1.3975570061157723</v>
      </c>
      <c r="L158" s="7">
        <f t="shared" si="14"/>
        <v>325.78205206906415</v>
      </c>
      <c r="M158" s="7">
        <f t="shared" si="15"/>
        <v>-0.35205206906414332</v>
      </c>
    </row>
    <row r="159" spans="6:13" ht="18.75" customHeight="1">
      <c r="F159" s="1">
        <v>26177</v>
      </c>
      <c r="G159">
        <f t="shared" si="12"/>
        <v>9</v>
      </c>
      <c r="H159" s="7">
        <v>323.36</v>
      </c>
      <c r="I159" s="7">
        <f t="shared" si="11"/>
        <v>327.27409571118676</v>
      </c>
      <c r="J159" s="7">
        <f t="shared" si="13"/>
        <v>-3.9140957111867465</v>
      </c>
      <c r="K159" s="7" cm="1">
        <f t="array" ref="K159">INDEX(Sm,G159)</f>
        <v>-3.1934822994410497</v>
      </c>
      <c r="L159" s="7">
        <f t="shared" si="14"/>
        <v>324.08061341174573</v>
      </c>
      <c r="M159" s="7">
        <f t="shared" si="15"/>
        <v>-0.7206134117457168</v>
      </c>
    </row>
    <row r="160" spans="6:13" ht="18.75" customHeight="1">
      <c r="F160" s="1">
        <v>26207</v>
      </c>
      <c r="G160">
        <f t="shared" si="12"/>
        <v>10</v>
      </c>
      <c r="H160" s="7">
        <v>323.56</v>
      </c>
      <c r="I160" s="7">
        <f t="shared" si="11"/>
        <v>327.36571381777213</v>
      </c>
      <c r="J160" s="7">
        <f t="shared" si="13"/>
        <v>-3.8057138177721299</v>
      </c>
      <c r="K160" s="7" cm="1">
        <f t="array" ref="K160">INDEX(Sm,G160)</f>
        <v>-3.3368150874962788</v>
      </c>
      <c r="L160" s="7">
        <f t="shared" si="14"/>
        <v>324.02889873027584</v>
      </c>
      <c r="M160" s="7">
        <f t="shared" si="15"/>
        <v>-0.46889873027583917</v>
      </c>
    </row>
    <row r="161" spans="6:13" ht="18.75" customHeight="1">
      <c r="F161" s="1">
        <v>26238</v>
      </c>
      <c r="G161">
        <f t="shared" si="12"/>
        <v>11</v>
      </c>
      <c r="H161" s="7">
        <v>324.8</v>
      </c>
      <c r="I161" s="7">
        <f t="shared" si="11"/>
        <v>327.46057126870829</v>
      </c>
      <c r="J161" s="7">
        <f t="shared" si="13"/>
        <v>-2.6605712687082814</v>
      </c>
      <c r="K161" s="7" cm="1">
        <f t="array" ref="K161">INDEX(Sm,G161)</f>
        <v>-2.0591623324975612</v>
      </c>
      <c r="L161" s="7">
        <f t="shared" si="14"/>
        <v>325.40140893621071</v>
      </c>
      <c r="M161" s="7">
        <f t="shared" si="15"/>
        <v>-0.6014089362107029</v>
      </c>
    </row>
    <row r="162" spans="6:13" ht="18.75" customHeight="1">
      <c r="F162" s="1">
        <v>26268</v>
      </c>
      <c r="G162">
        <f t="shared" si="12"/>
        <v>12</v>
      </c>
      <c r="H162" s="7">
        <v>326.01</v>
      </c>
      <c r="I162" s="7">
        <f t="shared" si="11"/>
        <v>327.55254822845109</v>
      </c>
      <c r="J162" s="7">
        <f t="shared" si="13"/>
        <v>-1.5425482284510963</v>
      </c>
      <c r="K162" s="7" cm="1">
        <f t="array" ref="K162">INDEX(Sm,G162)</f>
        <v>-0.89132446529561371</v>
      </c>
      <c r="L162" s="7">
        <f t="shared" si="14"/>
        <v>326.66122376315548</v>
      </c>
      <c r="M162" s="7">
        <f t="shared" si="15"/>
        <v>-0.65122376315548536</v>
      </c>
    </row>
    <row r="163" spans="6:13" ht="18.75" customHeight="1">
      <c r="F163" s="1">
        <v>26299</v>
      </c>
      <c r="G163">
        <f t="shared" si="12"/>
        <v>1</v>
      </c>
      <c r="H163" s="7">
        <v>326.77</v>
      </c>
      <c r="I163" s="7">
        <f t="shared" si="11"/>
        <v>327.64777649431659</v>
      </c>
      <c r="J163" s="7">
        <f t="shared" si="13"/>
        <v>-0.8777764943166062</v>
      </c>
      <c r="K163" s="7" cm="1">
        <f t="array" ref="K163">INDEX(Sm,G163)</f>
        <v>6.1040869584970889E-2</v>
      </c>
      <c r="L163" s="7">
        <f t="shared" si="14"/>
        <v>327.70881736390157</v>
      </c>
      <c r="M163" s="7">
        <f t="shared" si="15"/>
        <v>-0.93881736390159176</v>
      </c>
    </row>
    <row r="164" spans="6:13" ht="18.75" customHeight="1">
      <c r="F164" s="1">
        <v>26330</v>
      </c>
      <c r="G164">
        <f t="shared" si="12"/>
        <v>2</v>
      </c>
      <c r="H164" s="7">
        <v>327.63</v>
      </c>
      <c r="I164" s="7">
        <f t="shared" si="11"/>
        <v>327.74319320711339</v>
      </c>
      <c r="J164" s="7">
        <f t="shared" si="13"/>
        <v>-0.11319320711339742</v>
      </c>
      <c r="K164" s="7" cm="1">
        <f t="array" ref="K164">INDEX(Sm,G164)</f>
        <v>0.69421564520236412</v>
      </c>
      <c r="L164" s="7">
        <f t="shared" si="14"/>
        <v>328.43740885231574</v>
      </c>
      <c r="M164" s="7">
        <f t="shared" si="15"/>
        <v>-0.80740885231574566</v>
      </c>
    </row>
    <row r="165" spans="6:13" ht="18.75" customHeight="1">
      <c r="F165" s="1">
        <v>26359</v>
      </c>
      <c r="G165">
        <f t="shared" si="12"/>
        <v>3</v>
      </c>
      <c r="H165" s="7">
        <v>327.75</v>
      </c>
      <c r="I165" s="7">
        <f t="shared" si="11"/>
        <v>327.83262460527629</v>
      </c>
      <c r="J165" s="7">
        <f t="shared" si="13"/>
        <v>-8.2624605276294005E-2</v>
      </c>
      <c r="K165" s="7" cm="1">
        <f t="array" ref="K165">INDEX(Sm,G165)</f>
        <v>1.3733706304072995</v>
      </c>
      <c r="L165" s="7">
        <f t="shared" si="14"/>
        <v>329.20599523568359</v>
      </c>
      <c r="M165" s="7">
        <f t="shared" si="15"/>
        <v>-1.4559952356835879</v>
      </c>
    </row>
    <row r="166" spans="6:13" ht="18.75" customHeight="1">
      <c r="F166" s="1">
        <v>26390</v>
      </c>
      <c r="G166">
        <f t="shared" si="12"/>
        <v>4</v>
      </c>
      <c r="H166" s="7">
        <v>329.72</v>
      </c>
      <c r="I166" s="7">
        <f t="shared" si="11"/>
        <v>327.92840605406917</v>
      </c>
      <c r="J166" s="7">
        <f t="shared" si="13"/>
        <v>1.7915939459308561</v>
      </c>
      <c r="K166" s="7" cm="1">
        <f t="array" ref="K166">INDEX(Sm,G166)</f>
        <v>2.6099183412742755</v>
      </c>
      <c r="L166" s="7">
        <f t="shared" si="14"/>
        <v>330.53832439534347</v>
      </c>
      <c r="M166" s="7">
        <f t="shared" si="15"/>
        <v>-0.81832439534343848</v>
      </c>
    </row>
    <row r="167" spans="6:13" ht="18.75" customHeight="1">
      <c r="F167" s="1">
        <v>26420</v>
      </c>
      <c r="G167">
        <f t="shared" si="12"/>
        <v>5</v>
      </c>
      <c r="H167" s="7">
        <v>330.07</v>
      </c>
      <c r="I167" s="7">
        <f t="shared" si="11"/>
        <v>328.02127720528614</v>
      </c>
      <c r="J167" s="7">
        <f t="shared" si="13"/>
        <v>2.0487227947138535</v>
      </c>
      <c r="K167" s="7" cm="1">
        <f t="array" ref="K167">INDEX(Sm,G167)</f>
        <v>3.065291801195754</v>
      </c>
      <c r="L167" s="7">
        <f t="shared" si="14"/>
        <v>331.08656900648191</v>
      </c>
      <c r="M167" s="7">
        <f t="shared" si="15"/>
        <v>-1.0165690064819159</v>
      </c>
    </row>
    <row r="168" spans="6:13" ht="18.75" customHeight="1">
      <c r="F168" s="1">
        <v>26451</v>
      </c>
      <c r="G168">
        <f t="shared" si="12"/>
        <v>6</v>
      </c>
      <c r="H168" s="7">
        <v>329.09</v>
      </c>
      <c r="I168" s="7">
        <f t="shared" si="11"/>
        <v>328.11742946900836</v>
      </c>
      <c r="J168" s="7">
        <f t="shared" si="13"/>
        <v>0.97257053099161794</v>
      </c>
      <c r="K168" s="7" cm="1">
        <f t="array" ref="K168">INDEX(Sm,G168)</f>
        <v>2.3463851222642056</v>
      </c>
      <c r="L168" s="7">
        <f t="shared" si="14"/>
        <v>330.46381459127258</v>
      </c>
      <c r="M168" s="7">
        <f t="shared" si="15"/>
        <v>-1.3738145912726054</v>
      </c>
    </row>
    <row r="169" spans="6:13" ht="18.75" customHeight="1">
      <c r="F169" s="1">
        <v>26481</v>
      </c>
      <c r="G169">
        <f t="shared" si="12"/>
        <v>7</v>
      </c>
      <c r="H169" s="7">
        <v>328.04</v>
      </c>
      <c r="I169" s="7">
        <f t="shared" si="11"/>
        <v>328.21065947338275</v>
      </c>
      <c r="J169" s="7">
        <f t="shared" si="13"/>
        <v>-0.17065947338272736</v>
      </c>
      <c r="K169" s="7" cm="1">
        <f t="array" ref="K169">INDEX(Sm,G169)</f>
        <v>0.72334113060077332</v>
      </c>
      <c r="L169" s="7">
        <f t="shared" si="14"/>
        <v>328.93400060398352</v>
      </c>
      <c r="M169" s="7">
        <f t="shared" si="15"/>
        <v>-0.89400060398349979</v>
      </c>
    </row>
    <row r="170" spans="6:13" ht="18.75" customHeight="1">
      <c r="F170" s="1">
        <v>26512</v>
      </c>
      <c r="G170">
        <f t="shared" si="12"/>
        <v>8</v>
      </c>
      <c r="H170" s="7">
        <v>326.32</v>
      </c>
      <c r="I170" s="7">
        <f t="shared" si="11"/>
        <v>328.30718255203431</v>
      </c>
      <c r="J170" s="7">
        <f t="shared" si="13"/>
        <v>-1.9871825520343123</v>
      </c>
      <c r="K170" s="7" cm="1">
        <f t="array" ref="K170">INDEX(Sm,G170)</f>
        <v>-1.3975570061157723</v>
      </c>
      <c r="L170" s="7">
        <f t="shared" si="14"/>
        <v>326.90962554591852</v>
      </c>
      <c r="M170" s="7">
        <f t="shared" si="15"/>
        <v>-0.58962554591852268</v>
      </c>
    </row>
    <row r="171" spans="6:13" ht="18.75" customHeight="1">
      <c r="F171" s="1">
        <v>26543</v>
      </c>
      <c r="G171">
        <f t="shared" si="12"/>
        <v>9</v>
      </c>
      <c r="H171" s="7">
        <v>324.83999999999997</v>
      </c>
      <c r="I171" s="7">
        <f t="shared" si="11"/>
        <v>328.40389407761717</v>
      </c>
      <c r="J171" s="7">
        <f t="shared" si="13"/>
        <v>-3.5638940776171921</v>
      </c>
      <c r="K171" s="7" cm="1">
        <f t="array" ref="K171">INDEX(Sm,G171)</f>
        <v>-3.1934822994410497</v>
      </c>
      <c r="L171" s="7">
        <f t="shared" si="14"/>
        <v>325.21041177817614</v>
      </c>
      <c r="M171" s="7">
        <f t="shared" si="15"/>
        <v>-0.37041177817616244</v>
      </c>
    </row>
    <row r="172" spans="6:13" ht="18.75" customHeight="1">
      <c r="F172" s="1">
        <v>26573</v>
      </c>
      <c r="G172">
        <f t="shared" si="12"/>
        <v>10</v>
      </c>
      <c r="H172" s="7">
        <v>325.2</v>
      </c>
      <c r="I172" s="7">
        <f t="shared" si="11"/>
        <v>328.49766530314702</v>
      </c>
      <c r="J172" s="7">
        <f t="shared" si="13"/>
        <v>-3.2976653031470278</v>
      </c>
      <c r="K172" s="7" cm="1">
        <f t="array" ref="K172">INDEX(Sm,G172)</f>
        <v>-3.3368150874962788</v>
      </c>
      <c r="L172" s="7">
        <f t="shared" si="14"/>
        <v>325.16085021565073</v>
      </c>
      <c r="M172" s="7">
        <f t="shared" si="15"/>
        <v>3.9149784349262973E-2</v>
      </c>
    </row>
    <row r="173" spans="6:13" ht="18.75" customHeight="1">
      <c r="F173" s="1">
        <v>26604</v>
      </c>
      <c r="G173">
        <f t="shared" si="12"/>
        <v>11</v>
      </c>
      <c r="H173" s="7">
        <v>326.5</v>
      </c>
      <c r="I173" s="7">
        <f t="shared" si="11"/>
        <v>328.59474764365916</v>
      </c>
      <c r="J173" s="7">
        <f t="shared" si="13"/>
        <v>-2.0947476436591614</v>
      </c>
      <c r="K173" s="7" cm="1">
        <f t="array" ref="K173">INDEX(Sm,G173)</f>
        <v>-2.0591623324975612</v>
      </c>
      <c r="L173" s="7">
        <f t="shared" si="14"/>
        <v>326.53558531116158</v>
      </c>
      <c r="M173" s="7">
        <f t="shared" si="15"/>
        <v>-3.5585311161582922E-2</v>
      </c>
    </row>
    <row r="174" spans="6:13" ht="18.75" customHeight="1">
      <c r="F174" s="1">
        <v>26634</v>
      </c>
      <c r="G174">
        <f t="shared" si="12"/>
        <v>12</v>
      </c>
      <c r="H174" s="7">
        <v>327.55</v>
      </c>
      <c r="I174" s="7">
        <f t="shared" si="11"/>
        <v>328.68887772234643</v>
      </c>
      <c r="J174" s="7">
        <f t="shared" si="13"/>
        <v>-1.1388777223464217</v>
      </c>
      <c r="K174" s="7" cm="1">
        <f t="array" ref="K174">INDEX(Sm,G174)</f>
        <v>-0.89132446529561371</v>
      </c>
      <c r="L174" s="7">
        <f t="shared" si="14"/>
        <v>327.79755325705082</v>
      </c>
      <c r="M174" s="7">
        <f t="shared" si="15"/>
        <v>-0.24755325705081077</v>
      </c>
    </row>
    <row r="175" spans="6:13" ht="18.75" customHeight="1">
      <c r="F175" s="1">
        <v>26665</v>
      </c>
      <c r="G175">
        <f t="shared" si="12"/>
        <v>1</v>
      </c>
      <c r="H175" s="7">
        <v>328.55</v>
      </c>
      <c r="I175" s="7">
        <f t="shared" si="11"/>
        <v>328.78633087778798</v>
      </c>
      <c r="J175" s="7">
        <f t="shared" si="13"/>
        <v>-0.2363308777879638</v>
      </c>
      <c r="K175" s="7" cm="1">
        <f t="array" ref="K175">INDEX(Sm,G175)</f>
        <v>6.1040869584970889E-2</v>
      </c>
      <c r="L175" s="7">
        <f t="shared" si="14"/>
        <v>328.84737174737296</v>
      </c>
      <c r="M175" s="7">
        <f t="shared" si="15"/>
        <v>-0.29737174737294936</v>
      </c>
    </row>
    <row r="176" spans="6:13" ht="18.75" customHeight="1">
      <c r="F176" s="1">
        <v>26696</v>
      </c>
      <c r="G176">
        <f t="shared" si="12"/>
        <v>2</v>
      </c>
      <c r="H176" s="7">
        <v>329.56</v>
      </c>
      <c r="I176" s="7">
        <f t="shared" si="11"/>
        <v>328.88397248016076</v>
      </c>
      <c r="J176" s="7">
        <f t="shared" si="13"/>
        <v>0.67602751983923781</v>
      </c>
      <c r="K176" s="7" cm="1">
        <f t="array" ref="K176">INDEX(Sm,G176)</f>
        <v>0.69421564520236412</v>
      </c>
      <c r="L176" s="7">
        <f t="shared" si="14"/>
        <v>329.57818812536311</v>
      </c>
      <c r="M176" s="7">
        <f t="shared" si="15"/>
        <v>-1.818812536311043E-2</v>
      </c>
    </row>
    <row r="177" spans="6:13" ht="18.75" customHeight="1">
      <c r="F177" s="1">
        <v>26724</v>
      </c>
      <c r="G177">
        <f t="shared" si="12"/>
        <v>3</v>
      </c>
      <c r="H177" s="7">
        <v>330.3</v>
      </c>
      <c r="I177" s="7">
        <f t="shared" si="11"/>
        <v>328.97232686936457</v>
      </c>
      <c r="J177" s="7">
        <f t="shared" si="13"/>
        <v>1.3276731306354463</v>
      </c>
      <c r="K177" s="7" cm="1">
        <f t="array" ref="K177">INDEX(Sm,G177)</f>
        <v>1.3733706304072995</v>
      </c>
      <c r="L177" s="7">
        <f t="shared" si="14"/>
        <v>330.34569749977186</v>
      </c>
      <c r="M177" s="7">
        <f t="shared" si="15"/>
        <v>-4.5697499771847561E-2</v>
      </c>
    </row>
    <row r="178" spans="6:13" ht="18.75" customHeight="1">
      <c r="F178" s="1">
        <v>26755</v>
      </c>
      <c r="G178">
        <f t="shared" si="12"/>
        <v>4</v>
      </c>
      <c r="H178" s="7">
        <v>331.5</v>
      </c>
      <c r="I178" s="7">
        <f t="shared" si="11"/>
        <v>329.07032712880022</v>
      </c>
      <c r="J178" s="7">
        <f t="shared" si="13"/>
        <v>2.4296728711997844</v>
      </c>
      <c r="K178" s="7" cm="1">
        <f t="array" ref="K178">INDEX(Sm,G178)</f>
        <v>2.6099183412742755</v>
      </c>
      <c r="L178" s="7">
        <f t="shared" si="14"/>
        <v>331.68024547007451</v>
      </c>
      <c r="M178" s="7">
        <f t="shared" si="15"/>
        <v>-0.18024547007451019</v>
      </c>
    </row>
    <row r="179" spans="6:13" ht="18.75" customHeight="1">
      <c r="F179" s="1">
        <v>26785</v>
      </c>
      <c r="G179">
        <f t="shared" si="12"/>
        <v>5</v>
      </c>
      <c r="H179" s="7">
        <v>332.48</v>
      </c>
      <c r="I179" s="7">
        <f t="shared" si="11"/>
        <v>329.16534551612301</v>
      </c>
      <c r="J179" s="7">
        <f t="shared" si="13"/>
        <v>3.3146544838770069</v>
      </c>
      <c r="K179" s="7" cm="1">
        <f t="array" ref="K179">INDEX(Sm,G179)</f>
        <v>3.065291801195754</v>
      </c>
      <c r="L179" s="7">
        <f t="shared" si="14"/>
        <v>332.23063731731878</v>
      </c>
      <c r="M179" s="7">
        <f t="shared" si="15"/>
        <v>0.2493626826812374</v>
      </c>
    </row>
    <row r="180" spans="6:13" ht="18.75" customHeight="1">
      <c r="F180" s="1">
        <v>26816</v>
      </c>
      <c r="G180">
        <f t="shared" si="12"/>
        <v>6</v>
      </c>
      <c r="H180" s="7">
        <v>332.07</v>
      </c>
      <c r="I180" s="7">
        <f t="shared" si="11"/>
        <v>329.263716590488</v>
      </c>
      <c r="J180" s="7">
        <f t="shared" si="13"/>
        <v>2.8062834095119911</v>
      </c>
      <c r="K180" s="7" cm="1">
        <f t="array" ref="K180">INDEX(Sm,G180)</f>
        <v>2.3463851222642056</v>
      </c>
      <c r="L180" s="7">
        <f t="shared" si="14"/>
        <v>331.61010171275223</v>
      </c>
      <c r="M180" s="7">
        <f t="shared" si="15"/>
        <v>0.45989828724776771</v>
      </c>
    </row>
    <row r="181" spans="6:13" ht="18.75" customHeight="1">
      <c r="F181" s="1">
        <v>26846</v>
      </c>
      <c r="G181">
        <f t="shared" si="12"/>
        <v>7</v>
      </c>
      <c r="H181" s="7">
        <v>330.87</v>
      </c>
      <c r="I181" s="7">
        <f t="shared" si="11"/>
        <v>329.35909383096822</v>
      </c>
      <c r="J181" s="7">
        <f t="shared" si="13"/>
        <v>1.5109061690317844</v>
      </c>
      <c r="K181" s="7" cm="1">
        <f t="array" ref="K181">INDEX(Sm,G181)</f>
        <v>0.72334113060077332</v>
      </c>
      <c r="L181" s="7">
        <f t="shared" si="14"/>
        <v>330.08243496156899</v>
      </c>
      <c r="M181" s="7">
        <f t="shared" si="15"/>
        <v>0.787565038431012</v>
      </c>
    </row>
    <row r="182" spans="6:13" ht="18.75" customHeight="1">
      <c r="F182" s="1">
        <v>26877</v>
      </c>
      <c r="G182">
        <f t="shared" si="12"/>
        <v>8</v>
      </c>
      <c r="H182" s="7">
        <v>329.31</v>
      </c>
      <c r="I182" s="7">
        <f t="shared" si="11"/>
        <v>329.45783572026249</v>
      </c>
      <c r="J182" s="7">
        <f t="shared" si="13"/>
        <v>-0.14783572026249203</v>
      </c>
      <c r="K182" s="7" cm="1">
        <f t="array" ref="K182">INDEX(Sm,G182)</f>
        <v>-1.3975570061157723</v>
      </c>
      <c r="L182" s="7">
        <f t="shared" si="14"/>
        <v>328.0602787141467</v>
      </c>
      <c r="M182" s="7">
        <f t="shared" si="15"/>
        <v>1.2497212858532976</v>
      </c>
    </row>
    <row r="183" spans="6:13" ht="18.75" customHeight="1">
      <c r="F183" s="1">
        <v>26908</v>
      </c>
      <c r="G183">
        <f t="shared" si="12"/>
        <v>9</v>
      </c>
      <c r="H183" s="7">
        <v>327.51</v>
      </c>
      <c r="I183" s="7">
        <f t="shared" si="11"/>
        <v>329.55676605648807</v>
      </c>
      <c r="J183" s="7">
        <f t="shared" si="13"/>
        <v>-2.0467660564880816</v>
      </c>
      <c r="K183" s="7" cm="1">
        <f t="array" ref="K183">INDEX(Sm,G183)</f>
        <v>-3.1934822994410497</v>
      </c>
      <c r="L183" s="7">
        <f t="shared" si="14"/>
        <v>326.36328375704704</v>
      </c>
      <c r="M183" s="7">
        <f t="shared" si="15"/>
        <v>1.1467162429529481</v>
      </c>
    </row>
    <row r="184" spans="6:13" ht="18.75" customHeight="1">
      <c r="F184" s="1">
        <v>26938</v>
      </c>
      <c r="G184">
        <f t="shared" si="12"/>
        <v>10</v>
      </c>
      <c r="H184" s="7">
        <v>327.18</v>
      </c>
      <c r="I184" s="7">
        <f t="shared" si="11"/>
        <v>329.65268451812381</v>
      </c>
      <c r="J184" s="7">
        <f t="shared" si="13"/>
        <v>-2.4726845181237991</v>
      </c>
      <c r="K184" s="7" cm="1">
        <f t="array" ref="K184">INDEX(Sm,G184)</f>
        <v>-3.3368150874962788</v>
      </c>
      <c r="L184" s="7">
        <f t="shared" si="14"/>
        <v>326.31586943062752</v>
      </c>
      <c r="M184" s="7">
        <f t="shared" si="15"/>
        <v>0.86413056937249166</v>
      </c>
    </row>
    <row r="185" spans="6:13" ht="18.75" customHeight="1">
      <c r="F185" s="1">
        <v>26969</v>
      </c>
      <c r="G185">
        <f t="shared" si="12"/>
        <v>11</v>
      </c>
      <c r="H185" s="7">
        <v>328.16</v>
      </c>
      <c r="I185" s="7">
        <f t="shared" si="11"/>
        <v>329.75198566927872</v>
      </c>
      <c r="J185" s="7">
        <f t="shared" si="13"/>
        <v>-1.5919856692786993</v>
      </c>
      <c r="K185" s="7" cm="1">
        <f t="array" ref="K185">INDEX(Sm,G185)</f>
        <v>-2.0591623324975612</v>
      </c>
      <c r="L185" s="7">
        <f t="shared" si="14"/>
        <v>327.69282333678115</v>
      </c>
      <c r="M185" s="7">
        <f t="shared" si="15"/>
        <v>0.46717666321887918</v>
      </c>
    </row>
    <row r="186" spans="6:13" ht="18.75" customHeight="1">
      <c r="F186" s="1">
        <v>26999</v>
      </c>
      <c r="G186">
        <f t="shared" si="12"/>
        <v>12</v>
      </c>
      <c r="H186" s="7">
        <v>328.64</v>
      </c>
      <c r="I186" s="7">
        <f t="shared" si="11"/>
        <v>329.84826298407188</v>
      </c>
      <c r="J186" s="7">
        <f t="shared" si="13"/>
        <v>-1.2082629840718937</v>
      </c>
      <c r="K186" s="7" cm="1">
        <f t="array" ref="K186">INDEX(Sm,G186)</f>
        <v>-0.89132446529561371</v>
      </c>
      <c r="L186" s="7">
        <f t="shared" si="14"/>
        <v>328.95693851877627</v>
      </c>
      <c r="M186" s="7">
        <f t="shared" si="15"/>
        <v>-0.31693851877628276</v>
      </c>
    </row>
    <row r="187" spans="6:13" ht="18.75" customHeight="1">
      <c r="F187" s="1">
        <v>27030</v>
      </c>
      <c r="G187">
        <f t="shared" si="12"/>
        <v>1</v>
      </c>
      <c r="H187" s="7">
        <v>329.35</v>
      </c>
      <c r="I187" s="7">
        <f t="shared" si="11"/>
        <v>329.94793495015608</v>
      </c>
      <c r="J187" s="7">
        <f t="shared" si="13"/>
        <v>-0.59793495015605913</v>
      </c>
      <c r="K187" s="7" cm="1">
        <f t="array" ref="K187">INDEX(Sm,G187)</f>
        <v>6.1040869584970889E-2</v>
      </c>
      <c r="L187" s="7">
        <f t="shared" si="14"/>
        <v>330.00897581974107</v>
      </c>
      <c r="M187" s="7">
        <f t="shared" si="15"/>
        <v>-0.65897581974104469</v>
      </c>
    </row>
    <row r="188" spans="6:13" ht="18.75" customHeight="1">
      <c r="F188" s="1">
        <v>27061</v>
      </c>
      <c r="G188">
        <f t="shared" si="12"/>
        <v>2</v>
      </c>
      <c r="H188" s="7">
        <v>330.71</v>
      </c>
      <c r="I188" s="7">
        <f t="shared" si="11"/>
        <v>330.04779536317164</v>
      </c>
      <c r="J188" s="7">
        <f t="shared" si="13"/>
        <v>0.66220463682833497</v>
      </c>
      <c r="K188" s="7" cm="1">
        <f t="array" ref="K188">INDEX(Sm,G188)</f>
        <v>0.69421564520236412</v>
      </c>
      <c r="L188" s="7">
        <f t="shared" si="14"/>
        <v>330.74201100837399</v>
      </c>
      <c r="M188" s="7">
        <f t="shared" si="15"/>
        <v>-3.2011008374013272E-2</v>
      </c>
    </row>
    <row r="189" spans="6:13" ht="18.75" customHeight="1">
      <c r="F189" s="1">
        <v>27089</v>
      </c>
      <c r="G189">
        <f t="shared" si="12"/>
        <v>3</v>
      </c>
      <c r="H189" s="7">
        <v>331.48</v>
      </c>
      <c r="I189" s="7">
        <f t="shared" si="11"/>
        <v>330.13815383940755</v>
      </c>
      <c r="J189" s="7">
        <f t="shared" si="13"/>
        <v>1.3418461605924676</v>
      </c>
      <c r="K189" s="7" cm="1">
        <f t="array" ref="K189">INDEX(Sm,G189)</f>
        <v>1.3733706304072995</v>
      </c>
      <c r="L189" s="7">
        <f t="shared" si="14"/>
        <v>331.51152446981484</v>
      </c>
      <c r="M189" s="7">
        <f t="shared" si="15"/>
        <v>-3.1524469814826261E-2</v>
      </c>
    </row>
    <row r="190" spans="6:13" ht="18.75" customHeight="1">
      <c r="F190" s="1">
        <v>27120</v>
      </c>
      <c r="G190">
        <f t="shared" si="12"/>
        <v>4</v>
      </c>
      <c r="H190" s="7">
        <v>332.65</v>
      </c>
      <c r="I190" s="7">
        <f t="shared" si="11"/>
        <v>330.23837290948592</v>
      </c>
      <c r="J190" s="7">
        <f t="shared" si="13"/>
        <v>2.4116270905140595</v>
      </c>
      <c r="K190" s="7" cm="1">
        <f t="array" ref="K190">INDEX(Sm,G190)</f>
        <v>2.6099183412742755</v>
      </c>
      <c r="L190" s="7">
        <f t="shared" si="14"/>
        <v>332.84829125076021</v>
      </c>
      <c r="M190" s="7">
        <f t="shared" si="15"/>
        <v>-0.19829125076023502</v>
      </c>
    </row>
    <row r="191" spans="6:13" ht="18.75" customHeight="1">
      <c r="F191" s="1">
        <v>27150</v>
      </c>
      <c r="G191">
        <f t="shared" si="12"/>
        <v>5</v>
      </c>
      <c r="H191" s="7">
        <v>333.09</v>
      </c>
      <c r="I191" s="7">
        <f t="shared" si="11"/>
        <v>330.3355385329146</v>
      </c>
      <c r="J191" s="7">
        <f t="shared" si="13"/>
        <v>2.7544614670853775</v>
      </c>
      <c r="K191" s="7" cm="1">
        <f t="array" ref="K191">INDEX(Sm,G191)</f>
        <v>3.065291801195754</v>
      </c>
      <c r="L191" s="7">
        <f t="shared" si="14"/>
        <v>333.40083033411037</v>
      </c>
      <c r="M191" s="7">
        <f t="shared" si="15"/>
        <v>-0.31083033411039196</v>
      </c>
    </row>
    <row r="192" spans="6:13" ht="18.75" customHeight="1">
      <c r="F192" s="1">
        <v>27181</v>
      </c>
      <c r="G192">
        <f t="shared" si="12"/>
        <v>6</v>
      </c>
      <c r="H192" s="7">
        <v>332.25</v>
      </c>
      <c r="I192" s="7">
        <f t="shared" si="11"/>
        <v>330.4361284179223</v>
      </c>
      <c r="J192" s="7">
        <f t="shared" si="13"/>
        <v>1.8138715820776952</v>
      </c>
      <c r="K192" s="7" cm="1">
        <f t="array" ref="K192">INDEX(Sm,G192)</f>
        <v>2.3463851222642056</v>
      </c>
      <c r="L192" s="7">
        <f t="shared" si="14"/>
        <v>332.78251354018653</v>
      </c>
      <c r="M192" s="7">
        <f t="shared" si="15"/>
        <v>-0.53251354018652819</v>
      </c>
    </row>
    <row r="193" spans="6:13" ht="18.75" customHeight="1">
      <c r="F193" s="1">
        <v>27211</v>
      </c>
      <c r="G193">
        <f t="shared" si="12"/>
        <v>7</v>
      </c>
      <c r="H193" s="7">
        <v>331.18</v>
      </c>
      <c r="I193" s="7">
        <f t="shared" si="11"/>
        <v>330.53365289450841</v>
      </c>
      <c r="J193" s="7">
        <f t="shared" si="13"/>
        <v>0.6463471054915999</v>
      </c>
      <c r="K193" s="7" cm="1">
        <f t="array" ref="K193">INDEX(Sm,G193)</f>
        <v>0.72334113060077332</v>
      </c>
      <c r="L193" s="7">
        <f t="shared" si="14"/>
        <v>331.25699402510918</v>
      </c>
      <c r="M193" s="7">
        <f t="shared" si="15"/>
        <v>-7.6994025109172526E-2</v>
      </c>
    </row>
    <row r="194" spans="6:13" ht="18.75" customHeight="1">
      <c r="F194" s="1">
        <v>27242</v>
      </c>
      <c r="G194">
        <f t="shared" si="12"/>
        <v>8</v>
      </c>
      <c r="H194" s="7">
        <v>329.39</v>
      </c>
      <c r="I194" s="7">
        <f t="shared" ref="I194:I257" si="16">_A*F194*F194+_B*F194+_C</f>
        <v>330.6346135944454</v>
      </c>
      <c r="J194" s="7">
        <f t="shared" si="13"/>
        <v>-1.2446135944454113</v>
      </c>
      <c r="K194" s="7" cm="1">
        <f t="array" ref="K194">INDEX(Sm,G194)</f>
        <v>-1.3975570061157723</v>
      </c>
      <c r="L194" s="7">
        <f t="shared" si="14"/>
        <v>329.23705658832961</v>
      </c>
      <c r="M194" s="7">
        <f t="shared" si="15"/>
        <v>0.15294341167037828</v>
      </c>
    </row>
    <row r="195" spans="6:13" ht="18.75" customHeight="1">
      <c r="F195" s="1">
        <v>27273</v>
      </c>
      <c r="G195">
        <f t="shared" ref="G195:G258" si="17">MONTH(F195)</f>
        <v>9</v>
      </c>
      <c r="H195" s="7">
        <v>327.43</v>
      </c>
      <c r="I195" s="7">
        <f t="shared" si="16"/>
        <v>330.73576274131375</v>
      </c>
      <c r="J195" s="7">
        <f t="shared" ref="J195:J258" si="18">H195-I195</f>
        <v>-3.3057627413137425</v>
      </c>
      <c r="K195" s="7" cm="1">
        <f t="array" ref="K195">INDEX(Sm,G195)</f>
        <v>-3.1934822994410497</v>
      </c>
      <c r="L195" s="7">
        <f t="shared" ref="L195:L258" si="19">I195+K195</f>
        <v>327.54228044187272</v>
      </c>
      <c r="M195" s="7">
        <f t="shared" ref="M195:M258" si="20">H195-L195</f>
        <v>-0.1122804418727128</v>
      </c>
    </row>
    <row r="196" spans="6:13" ht="18.75" customHeight="1">
      <c r="F196" s="1">
        <v>27303</v>
      </c>
      <c r="G196">
        <f t="shared" si="17"/>
        <v>10</v>
      </c>
      <c r="H196" s="7">
        <v>327.37</v>
      </c>
      <c r="I196" s="7">
        <f t="shared" si="16"/>
        <v>330.83382843905531</v>
      </c>
      <c r="J196" s="7">
        <f t="shared" si="18"/>
        <v>-3.4638284390553054</v>
      </c>
      <c r="K196" s="7" cm="1">
        <f t="array" ref="K196">INDEX(Sm,G196)</f>
        <v>-3.3368150874962788</v>
      </c>
      <c r="L196" s="7">
        <f t="shared" si="19"/>
        <v>327.49701335155902</v>
      </c>
      <c r="M196" s="7">
        <f t="shared" si="20"/>
        <v>-0.12701335155901461</v>
      </c>
    </row>
    <row r="197" spans="6:13" ht="18.75" customHeight="1">
      <c r="F197" s="1">
        <v>27334</v>
      </c>
      <c r="G197">
        <f t="shared" si="17"/>
        <v>11</v>
      </c>
      <c r="H197" s="7">
        <v>328.46</v>
      </c>
      <c r="I197" s="7">
        <f t="shared" si="16"/>
        <v>330.93534840085294</v>
      </c>
      <c r="J197" s="7">
        <f t="shared" si="18"/>
        <v>-2.4753484008529654</v>
      </c>
      <c r="K197" s="7" cm="1">
        <f t="array" ref="K197">INDEX(Sm,G197)</f>
        <v>-2.0591623324975612</v>
      </c>
      <c r="L197" s="7">
        <f t="shared" si="19"/>
        <v>328.87618606835537</v>
      </c>
      <c r="M197" s="7">
        <f t="shared" si="20"/>
        <v>-0.41618606835538685</v>
      </c>
    </row>
    <row r="198" spans="6:13" ht="18.75" customHeight="1">
      <c r="F198" s="1">
        <v>27364</v>
      </c>
      <c r="G198">
        <f t="shared" si="17"/>
        <v>12</v>
      </c>
      <c r="H198" s="7">
        <v>329.57</v>
      </c>
      <c r="I198" s="7">
        <f t="shared" si="16"/>
        <v>331.03377295175198</v>
      </c>
      <c r="J198" s="7">
        <f t="shared" si="18"/>
        <v>-1.4637729517519915</v>
      </c>
      <c r="K198" s="7" cm="1">
        <f t="array" ref="K198">INDEX(Sm,G198)</f>
        <v>-0.89132446529561371</v>
      </c>
      <c r="L198" s="7">
        <f t="shared" si="19"/>
        <v>330.14244848645637</v>
      </c>
      <c r="M198" s="7">
        <f t="shared" si="20"/>
        <v>-0.57244848645638058</v>
      </c>
    </row>
    <row r="199" spans="6:13" ht="18.75" customHeight="1">
      <c r="F199" s="1">
        <v>27395</v>
      </c>
      <c r="G199">
        <f t="shared" si="17"/>
        <v>1</v>
      </c>
      <c r="H199" s="7">
        <v>330.4</v>
      </c>
      <c r="I199" s="7">
        <f t="shared" si="16"/>
        <v>331.1356637284789</v>
      </c>
      <c r="J199" s="7">
        <f t="shared" si="18"/>
        <v>-0.7356637284789258</v>
      </c>
      <c r="K199" s="7" cm="1">
        <f t="array" ref="K199">INDEX(Sm,G199)</f>
        <v>6.1040869584970889E-2</v>
      </c>
      <c r="L199" s="7">
        <f t="shared" si="19"/>
        <v>331.19670459806389</v>
      </c>
      <c r="M199" s="7">
        <f t="shared" si="20"/>
        <v>-0.79670459806391136</v>
      </c>
    </row>
    <row r="200" spans="6:13" ht="18.75" customHeight="1">
      <c r="F200" s="1">
        <v>27426</v>
      </c>
      <c r="G200">
        <f t="shared" si="17"/>
        <v>2</v>
      </c>
      <c r="H200" s="7">
        <v>331.4</v>
      </c>
      <c r="I200" s="7">
        <f t="shared" si="16"/>
        <v>331.23774295213718</v>
      </c>
      <c r="J200" s="7">
        <f t="shared" si="18"/>
        <v>0.16225704786279493</v>
      </c>
      <c r="K200" s="7" cm="1">
        <f t="array" ref="K200">INDEX(Sm,G200)</f>
        <v>0.69421564520236412</v>
      </c>
      <c r="L200" s="7">
        <f t="shared" si="19"/>
        <v>331.93195859733953</v>
      </c>
      <c r="M200" s="7">
        <f t="shared" si="20"/>
        <v>-0.53195859733955331</v>
      </c>
    </row>
    <row r="201" spans="6:13" ht="18.75" customHeight="1">
      <c r="F201" s="1">
        <v>27454</v>
      </c>
      <c r="G201">
        <f t="shared" si="17"/>
        <v>3</v>
      </c>
      <c r="H201" s="7">
        <v>332.04</v>
      </c>
      <c r="I201" s="7">
        <f t="shared" si="16"/>
        <v>331.33010551540531</v>
      </c>
      <c r="J201" s="7">
        <f t="shared" si="18"/>
        <v>0.70989448459471305</v>
      </c>
      <c r="K201" s="7" cm="1">
        <f t="array" ref="K201">INDEX(Sm,G201)</f>
        <v>1.3733706304072995</v>
      </c>
      <c r="L201" s="7">
        <f t="shared" si="19"/>
        <v>332.7034761458126</v>
      </c>
      <c r="M201" s="7">
        <f t="shared" si="20"/>
        <v>-0.66347614581258085</v>
      </c>
    </row>
    <row r="202" spans="6:13" ht="18.75" customHeight="1">
      <c r="F202" s="1">
        <v>27485</v>
      </c>
      <c r="G202">
        <f t="shared" si="17"/>
        <v>4</v>
      </c>
      <c r="H202" s="7">
        <v>333.31</v>
      </c>
      <c r="I202" s="7">
        <f t="shared" si="16"/>
        <v>331.43254339612633</v>
      </c>
      <c r="J202" s="7">
        <f t="shared" si="18"/>
        <v>1.877456603873668</v>
      </c>
      <c r="K202" s="7" cm="1">
        <f t="array" ref="K202">INDEX(Sm,G202)</f>
        <v>2.6099183412742755</v>
      </c>
      <c r="L202" s="7">
        <f t="shared" si="19"/>
        <v>334.04246173740063</v>
      </c>
      <c r="M202" s="7">
        <f t="shared" si="20"/>
        <v>-0.73246173740062659</v>
      </c>
    </row>
    <row r="203" spans="6:13" ht="18.75" customHeight="1">
      <c r="F203" s="1">
        <v>27515</v>
      </c>
      <c r="G203">
        <f t="shared" si="17"/>
        <v>5</v>
      </c>
      <c r="H203" s="7">
        <v>333.97</v>
      </c>
      <c r="I203" s="7">
        <f t="shared" si="16"/>
        <v>331.53185625566095</v>
      </c>
      <c r="J203" s="7">
        <f t="shared" si="18"/>
        <v>2.4381437443390723</v>
      </c>
      <c r="K203" s="7" cm="1">
        <f t="array" ref="K203">INDEX(Sm,G203)</f>
        <v>3.065291801195754</v>
      </c>
      <c r="L203" s="7">
        <f t="shared" si="19"/>
        <v>334.59714805685672</v>
      </c>
      <c r="M203" s="7">
        <f t="shared" si="20"/>
        <v>-0.62714805685669717</v>
      </c>
    </row>
    <row r="204" spans="6:13" ht="18.75" customHeight="1">
      <c r="F204" s="1">
        <v>27546</v>
      </c>
      <c r="G204">
        <f t="shared" si="17"/>
        <v>6</v>
      </c>
      <c r="H204" s="7">
        <v>333.6</v>
      </c>
      <c r="I204" s="7">
        <f t="shared" si="16"/>
        <v>331.63466495131132</v>
      </c>
      <c r="J204" s="7">
        <f t="shared" si="18"/>
        <v>1.9653350486887007</v>
      </c>
      <c r="K204" s="7" cm="1">
        <f t="array" ref="K204">INDEX(Sm,G204)</f>
        <v>2.3463851222642056</v>
      </c>
      <c r="L204" s="7">
        <f t="shared" si="19"/>
        <v>333.98105007357555</v>
      </c>
      <c r="M204" s="7">
        <f t="shared" si="20"/>
        <v>-0.38105007357552267</v>
      </c>
    </row>
    <row r="205" spans="6:13" ht="18.75" customHeight="1">
      <c r="F205" s="1">
        <v>27576</v>
      </c>
      <c r="G205">
        <f t="shared" si="17"/>
        <v>7</v>
      </c>
      <c r="H205" s="7">
        <v>331.9</v>
      </c>
      <c r="I205" s="7">
        <f t="shared" si="16"/>
        <v>331.73433666400331</v>
      </c>
      <c r="J205" s="7">
        <f t="shared" si="18"/>
        <v>0.16566333599666905</v>
      </c>
      <c r="K205" s="7" cm="1">
        <f t="array" ref="K205">INDEX(Sm,G205)</f>
        <v>0.72334113060077332</v>
      </c>
      <c r="L205" s="7">
        <f t="shared" si="19"/>
        <v>332.45767779460408</v>
      </c>
      <c r="M205" s="7">
        <f t="shared" si="20"/>
        <v>-0.55767779460410338</v>
      </c>
    </row>
    <row r="206" spans="6:13" ht="18.75" customHeight="1">
      <c r="F206" s="1">
        <v>27607</v>
      </c>
      <c r="G206">
        <f t="shared" si="17"/>
        <v>8</v>
      </c>
      <c r="H206" s="7">
        <v>330.06</v>
      </c>
      <c r="I206" s="7">
        <f t="shared" si="16"/>
        <v>331.83751617458307</v>
      </c>
      <c r="J206" s="7">
        <f t="shared" si="18"/>
        <v>-1.7775161745830701</v>
      </c>
      <c r="K206" s="7" cm="1">
        <f t="array" ref="K206">INDEX(Sm,G206)</f>
        <v>-1.3975570061157723</v>
      </c>
      <c r="L206" s="7">
        <f t="shared" si="19"/>
        <v>330.43995916846728</v>
      </c>
      <c r="M206" s="7">
        <f t="shared" si="20"/>
        <v>-0.37995916846728051</v>
      </c>
    </row>
    <row r="207" spans="6:13" ht="18.75" customHeight="1">
      <c r="F207" s="1">
        <v>27638</v>
      </c>
      <c r="G207">
        <f t="shared" si="17"/>
        <v>9</v>
      </c>
      <c r="H207" s="7">
        <v>328.56</v>
      </c>
      <c r="I207" s="7">
        <f t="shared" si="16"/>
        <v>331.94088413209408</v>
      </c>
      <c r="J207" s="7">
        <f t="shared" si="18"/>
        <v>-3.3808841320940815</v>
      </c>
      <c r="K207" s="7" cm="1">
        <f t="array" ref="K207">INDEX(Sm,G207)</f>
        <v>-3.1934822994410497</v>
      </c>
      <c r="L207" s="7">
        <f t="shared" si="19"/>
        <v>328.74740183265305</v>
      </c>
      <c r="M207" s="7">
        <f t="shared" si="20"/>
        <v>-0.18740183265305177</v>
      </c>
    </row>
    <row r="208" spans="6:13" ht="18.75" customHeight="1">
      <c r="F208" s="1">
        <v>27668</v>
      </c>
      <c r="G208">
        <f t="shared" si="17"/>
        <v>10</v>
      </c>
      <c r="H208" s="7">
        <v>328.34</v>
      </c>
      <c r="I208" s="7">
        <f t="shared" si="16"/>
        <v>332.04109706594153</v>
      </c>
      <c r="J208" s="7">
        <f t="shared" si="18"/>
        <v>-3.7010970659415534</v>
      </c>
      <c r="K208" s="7" cm="1">
        <f t="array" ref="K208">INDEX(Sm,G208)</f>
        <v>-3.3368150874962788</v>
      </c>
      <c r="L208" s="7">
        <f t="shared" si="19"/>
        <v>328.70428197844524</v>
      </c>
      <c r="M208" s="7">
        <f t="shared" si="20"/>
        <v>-0.36428197844526267</v>
      </c>
    </row>
    <row r="209" spans="6:13" ht="18.75" customHeight="1">
      <c r="F209" s="1">
        <v>27699</v>
      </c>
      <c r="G209">
        <f t="shared" si="17"/>
        <v>11</v>
      </c>
      <c r="H209" s="7">
        <v>329.49</v>
      </c>
      <c r="I209" s="7">
        <f t="shared" si="16"/>
        <v>332.14483583838194</v>
      </c>
      <c r="J209" s="7">
        <f t="shared" si="18"/>
        <v>-2.6548358383819277</v>
      </c>
      <c r="K209" s="7" cm="1">
        <f t="array" ref="K209">INDEX(Sm,G209)</f>
        <v>-2.0591623324975612</v>
      </c>
      <c r="L209" s="7">
        <f t="shared" si="19"/>
        <v>330.08567350588436</v>
      </c>
      <c r="M209" s="7">
        <f t="shared" si="20"/>
        <v>-0.5956735058843492</v>
      </c>
    </row>
    <row r="210" spans="6:13" ht="18.75" customHeight="1">
      <c r="F210" s="1">
        <v>27729</v>
      </c>
      <c r="G210">
        <f t="shared" si="17"/>
        <v>12</v>
      </c>
      <c r="H210" s="7">
        <v>330.76</v>
      </c>
      <c r="I210" s="7">
        <f t="shared" si="16"/>
        <v>332.2454076253868</v>
      </c>
      <c r="J210" s="7">
        <f t="shared" si="18"/>
        <v>-1.4854076253868129</v>
      </c>
      <c r="K210" s="7" cm="1">
        <f t="array" ref="K210">INDEX(Sm,G210)</f>
        <v>-0.89132446529561371</v>
      </c>
      <c r="L210" s="7">
        <f t="shared" si="19"/>
        <v>331.35408316009119</v>
      </c>
      <c r="M210" s="7">
        <f t="shared" si="20"/>
        <v>-0.59408316009120199</v>
      </c>
    </row>
    <row r="211" spans="6:13" ht="18.75" customHeight="1">
      <c r="F211" s="1">
        <v>27760</v>
      </c>
      <c r="G211">
        <f t="shared" si="17"/>
        <v>1</v>
      </c>
      <c r="H211" s="7">
        <v>331.75</v>
      </c>
      <c r="I211" s="7">
        <f t="shared" si="16"/>
        <v>332.3495172127565</v>
      </c>
      <c r="J211" s="7">
        <f t="shared" si="18"/>
        <v>-0.59951721275649561</v>
      </c>
      <c r="K211" s="7" cm="1">
        <f t="array" ref="K211">INDEX(Sm,G211)</f>
        <v>6.1040869584970889E-2</v>
      </c>
      <c r="L211" s="7">
        <f t="shared" si="19"/>
        <v>332.41055808234148</v>
      </c>
      <c r="M211" s="7">
        <f t="shared" si="20"/>
        <v>-0.66055808234148117</v>
      </c>
    </row>
    <row r="212" spans="6:13" ht="18.75" customHeight="1">
      <c r="F212" s="1">
        <v>27791</v>
      </c>
      <c r="G212">
        <f t="shared" si="17"/>
        <v>2</v>
      </c>
      <c r="H212" s="7">
        <v>332.57</v>
      </c>
      <c r="I212" s="7">
        <f t="shared" si="16"/>
        <v>332.45381524705749</v>
      </c>
      <c r="J212" s="7">
        <f t="shared" si="18"/>
        <v>0.11618475294250175</v>
      </c>
      <c r="K212" s="7" cm="1">
        <f t="array" ref="K212">INDEX(Sm,G212)</f>
        <v>0.69421564520236412</v>
      </c>
      <c r="L212" s="7">
        <f t="shared" si="19"/>
        <v>333.14803089225984</v>
      </c>
      <c r="M212" s="7">
        <f t="shared" si="20"/>
        <v>-0.5780308922598465</v>
      </c>
    </row>
    <row r="213" spans="6:13" ht="18.75" customHeight="1">
      <c r="F213" s="1">
        <v>27820</v>
      </c>
      <c r="G213">
        <f t="shared" si="17"/>
        <v>3</v>
      </c>
      <c r="H213" s="7">
        <v>333.5</v>
      </c>
      <c r="I213" s="7">
        <f t="shared" si="16"/>
        <v>332.55155497824046</v>
      </c>
      <c r="J213" s="7">
        <f t="shared" si="18"/>
        <v>0.94844502175953949</v>
      </c>
      <c r="K213" s="7" cm="1">
        <f t="array" ref="K213">INDEX(Sm,G213)</f>
        <v>1.3733706304072995</v>
      </c>
      <c r="L213" s="7">
        <f t="shared" si="19"/>
        <v>333.92492560864775</v>
      </c>
      <c r="M213" s="7">
        <f t="shared" si="20"/>
        <v>-0.42492560864775442</v>
      </c>
    </row>
    <row r="214" spans="6:13" ht="18.75" customHeight="1">
      <c r="F214" s="1">
        <v>27851</v>
      </c>
      <c r="G214">
        <f t="shared" si="17"/>
        <v>4</v>
      </c>
      <c r="H214" s="7">
        <v>334.58</v>
      </c>
      <c r="I214" s="7">
        <f t="shared" si="16"/>
        <v>332.65621774853753</v>
      </c>
      <c r="J214" s="7">
        <f t="shared" si="18"/>
        <v>1.9237822514624554</v>
      </c>
      <c r="K214" s="7" cm="1">
        <f t="array" ref="K214">INDEX(Sm,G214)</f>
        <v>2.6099183412742755</v>
      </c>
      <c r="L214" s="7">
        <f t="shared" si="19"/>
        <v>335.26613608981182</v>
      </c>
      <c r="M214" s="7">
        <f t="shared" si="20"/>
        <v>-0.68613608981183916</v>
      </c>
    </row>
    <row r="215" spans="6:13" ht="18.75" customHeight="1">
      <c r="F215" s="1">
        <v>27881</v>
      </c>
      <c r="G215">
        <f t="shared" si="17"/>
        <v>5</v>
      </c>
      <c r="H215" s="7">
        <v>334.88</v>
      </c>
      <c r="I215" s="7">
        <f t="shared" si="16"/>
        <v>332.75768372701657</v>
      </c>
      <c r="J215" s="7">
        <f t="shared" si="18"/>
        <v>2.1223162729834257</v>
      </c>
      <c r="K215" s="7" cm="1">
        <f t="array" ref="K215">INDEX(Sm,G215)</f>
        <v>3.065291801195754</v>
      </c>
      <c r="L215" s="7">
        <f t="shared" si="19"/>
        <v>335.82297552821234</v>
      </c>
      <c r="M215" s="7">
        <f t="shared" si="20"/>
        <v>-0.94297552821234376</v>
      </c>
    </row>
    <row r="216" spans="6:13" ht="18.75" customHeight="1">
      <c r="F216" s="1">
        <v>27912</v>
      </c>
      <c r="G216">
        <f t="shared" si="17"/>
        <v>6</v>
      </c>
      <c r="H216" s="7">
        <v>334.33</v>
      </c>
      <c r="I216" s="7">
        <f t="shared" si="16"/>
        <v>332.86271731224298</v>
      </c>
      <c r="J216" s="7">
        <f t="shared" si="18"/>
        <v>1.467282687757006</v>
      </c>
      <c r="K216" s="7" cm="1">
        <f t="array" ref="K216">INDEX(Sm,G216)</f>
        <v>2.3463851222642056</v>
      </c>
      <c r="L216" s="7">
        <f t="shared" si="19"/>
        <v>335.2091024345072</v>
      </c>
      <c r="M216" s="7">
        <f t="shared" si="20"/>
        <v>-0.87910243450721737</v>
      </c>
    </row>
    <row r="217" spans="6:13" ht="18.75" customHeight="1">
      <c r="F217" s="1">
        <v>27942</v>
      </c>
      <c r="G217">
        <f t="shared" si="17"/>
        <v>7</v>
      </c>
      <c r="H217" s="7">
        <v>333.05</v>
      </c>
      <c r="I217" s="7">
        <f t="shared" si="16"/>
        <v>332.9645421438795</v>
      </c>
      <c r="J217" s="7">
        <f t="shared" si="18"/>
        <v>8.5457856120513043E-2</v>
      </c>
      <c r="K217" s="7" cm="1">
        <f t="array" ref="K217">INDEX(Sm,G217)</f>
        <v>0.72334113060077332</v>
      </c>
      <c r="L217" s="7">
        <f t="shared" si="19"/>
        <v>333.68788327448027</v>
      </c>
      <c r="M217" s="7">
        <f t="shared" si="20"/>
        <v>-0.63788327448025939</v>
      </c>
    </row>
    <row r="218" spans="6:13" ht="18.75" customHeight="1">
      <c r="F218" s="1">
        <v>27973</v>
      </c>
      <c r="G218">
        <f t="shared" si="17"/>
        <v>8</v>
      </c>
      <c r="H218" s="7">
        <v>330.94</v>
      </c>
      <c r="I218" s="7">
        <f t="shared" si="16"/>
        <v>333.06994654403525</v>
      </c>
      <c r="J218" s="7">
        <f t="shared" si="18"/>
        <v>-2.1299465440352492</v>
      </c>
      <c r="K218" s="7" cm="1">
        <f t="array" ref="K218">INDEX(Sm,G218)</f>
        <v>-1.3975570061157723</v>
      </c>
      <c r="L218" s="7">
        <f t="shared" si="19"/>
        <v>331.67238953791946</v>
      </c>
      <c r="M218" s="7">
        <f t="shared" si="20"/>
        <v>-0.7323895379194596</v>
      </c>
    </row>
    <row r="219" spans="6:13" ht="18.75" customHeight="1">
      <c r="F219" s="1">
        <v>28004</v>
      </c>
      <c r="G219">
        <f t="shared" si="17"/>
        <v>9</v>
      </c>
      <c r="H219" s="7">
        <v>329.3</v>
      </c>
      <c r="I219" s="7">
        <f t="shared" si="16"/>
        <v>333.17553939112224</v>
      </c>
      <c r="J219" s="7">
        <f t="shared" si="18"/>
        <v>-3.8755393911222313</v>
      </c>
      <c r="K219" s="7" cm="1">
        <f t="array" ref="K219">INDEX(Sm,G219)</f>
        <v>-3.1934822994410497</v>
      </c>
      <c r="L219" s="7">
        <f t="shared" si="19"/>
        <v>329.98205709168121</v>
      </c>
      <c r="M219" s="7">
        <f t="shared" si="20"/>
        <v>-0.68205709168120165</v>
      </c>
    </row>
    <row r="220" spans="6:13" ht="18.75" customHeight="1">
      <c r="F220" s="1">
        <v>28034</v>
      </c>
      <c r="G220">
        <f t="shared" si="17"/>
        <v>10</v>
      </c>
      <c r="H220" s="7">
        <v>328.94</v>
      </c>
      <c r="I220" s="7">
        <f t="shared" si="16"/>
        <v>333.27790544391422</v>
      </c>
      <c r="J220" s="7">
        <f t="shared" si="18"/>
        <v>-4.3379054439142237</v>
      </c>
      <c r="K220" s="7" cm="1">
        <f t="array" ref="K220">INDEX(Sm,G220)</f>
        <v>-3.3368150874962788</v>
      </c>
      <c r="L220" s="7">
        <f t="shared" si="19"/>
        <v>329.94109035641793</v>
      </c>
      <c r="M220" s="7">
        <f t="shared" si="20"/>
        <v>-1.001090356417933</v>
      </c>
    </row>
    <row r="221" spans="6:13" ht="18.75" customHeight="1">
      <c r="F221" s="1">
        <v>28065</v>
      </c>
      <c r="G221">
        <f t="shared" si="17"/>
        <v>11</v>
      </c>
      <c r="H221" s="7">
        <v>330.31</v>
      </c>
      <c r="I221" s="7">
        <f t="shared" si="16"/>
        <v>333.38386910593061</v>
      </c>
      <c r="J221" s="7">
        <f t="shared" si="18"/>
        <v>-3.073869105930612</v>
      </c>
      <c r="K221" s="7" cm="1">
        <f t="array" ref="K221">INDEX(Sm,G221)</f>
        <v>-2.0591623324975612</v>
      </c>
      <c r="L221" s="7">
        <f t="shared" si="19"/>
        <v>331.32470677343304</v>
      </c>
      <c r="M221" s="7">
        <f t="shared" si="20"/>
        <v>-1.0147067734330335</v>
      </c>
    </row>
    <row r="222" spans="6:13" ht="18.75" customHeight="1">
      <c r="F222" s="1">
        <v>28095</v>
      </c>
      <c r="G222">
        <f t="shared" si="17"/>
        <v>12</v>
      </c>
      <c r="H222" s="7">
        <v>331.68</v>
      </c>
      <c r="I222" s="7">
        <f t="shared" si="16"/>
        <v>333.48659401187996</v>
      </c>
      <c r="J222" s="7">
        <f t="shared" si="18"/>
        <v>-1.8065940118799517</v>
      </c>
      <c r="K222" s="7" cm="1">
        <f t="array" ref="K222">INDEX(Sm,G222)</f>
        <v>-0.89132446529561371</v>
      </c>
      <c r="L222" s="7">
        <f t="shared" si="19"/>
        <v>332.59526954658435</v>
      </c>
      <c r="M222" s="7">
        <f t="shared" si="20"/>
        <v>-0.91526954658434079</v>
      </c>
    </row>
    <row r="223" spans="6:13" ht="18.75" customHeight="1">
      <c r="F223" s="1">
        <v>28126</v>
      </c>
      <c r="G223">
        <f t="shared" si="17"/>
        <v>1</v>
      </c>
      <c r="H223" s="7">
        <v>332.93</v>
      </c>
      <c r="I223" s="7">
        <f t="shared" si="16"/>
        <v>333.59292848882569</v>
      </c>
      <c r="J223" s="7">
        <f t="shared" si="18"/>
        <v>-0.66292848882568478</v>
      </c>
      <c r="K223" s="7" cm="1">
        <f t="array" ref="K223">INDEX(Sm,G223)</f>
        <v>6.1040869584970889E-2</v>
      </c>
      <c r="L223" s="7">
        <f t="shared" si="19"/>
        <v>333.65396935841068</v>
      </c>
      <c r="M223" s="7">
        <f t="shared" si="20"/>
        <v>-0.72396935841067034</v>
      </c>
    </row>
    <row r="224" spans="6:13" ht="18.75" customHeight="1">
      <c r="F224" s="1">
        <v>28157</v>
      </c>
      <c r="G224">
        <f t="shared" si="17"/>
        <v>2</v>
      </c>
      <c r="H224" s="7">
        <v>333.42</v>
      </c>
      <c r="I224" s="7">
        <f t="shared" si="16"/>
        <v>333.69945141270267</v>
      </c>
      <c r="J224" s="7">
        <f t="shared" si="18"/>
        <v>-0.27945141270265594</v>
      </c>
      <c r="K224" s="7" cm="1">
        <f t="array" ref="K224">INDEX(Sm,G224)</f>
        <v>0.69421564520236412</v>
      </c>
      <c r="L224" s="7">
        <f t="shared" si="19"/>
        <v>334.39366705790502</v>
      </c>
      <c r="M224" s="7">
        <f t="shared" si="20"/>
        <v>-0.97366705790500419</v>
      </c>
    </row>
    <row r="225" spans="6:13" ht="18.75" customHeight="1">
      <c r="F225" s="1">
        <v>28185</v>
      </c>
      <c r="G225">
        <f t="shared" si="17"/>
        <v>3</v>
      </c>
      <c r="H225" s="7">
        <v>334.7</v>
      </c>
      <c r="I225" s="7">
        <f t="shared" si="16"/>
        <v>333.79582764068448</v>
      </c>
      <c r="J225" s="7">
        <f t="shared" si="18"/>
        <v>0.90417235931550977</v>
      </c>
      <c r="K225" s="7" cm="1">
        <f t="array" ref="K225">INDEX(Sm,G225)</f>
        <v>1.3733706304072995</v>
      </c>
      <c r="L225" s="7">
        <f t="shared" si="19"/>
        <v>335.16919827109177</v>
      </c>
      <c r="M225" s="7">
        <f t="shared" si="20"/>
        <v>-0.46919827109178414</v>
      </c>
    </row>
    <row r="226" spans="6:13" ht="18.75" customHeight="1">
      <c r="F226" s="1">
        <v>28216</v>
      </c>
      <c r="G226">
        <f t="shared" si="17"/>
        <v>4</v>
      </c>
      <c r="H226" s="7">
        <v>336.07</v>
      </c>
      <c r="I226" s="7">
        <f t="shared" si="16"/>
        <v>333.90270922162426</v>
      </c>
      <c r="J226" s="7">
        <f t="shared" si="18"/>
        <v>2.1672907783757296</v>
      </c>
      <c r="K226" s="7" cm="1">
        <f t="array" ref="K226">INDEX(Sm,G226)</f>
        <v>2.6099183412742755</v>
      </c>
      <c r="L226" s="7">
        <f t="shared" si="19"/>
        <v>336.51262756289856</v>
      </c>
      <c r="M226" s="7">
        <f t="shared" si="20"/>
        <v>-0.44262756289856497</v>
      </c>
    </row>
    <row r="227" spans="6:13" ht="18.75" customHeight="1">
      <c r="F227" s="1">
        <v>28246</v>
      </c>
      <c r="G227">
        <f t="shared" si="17"/>
        <v>5</v>
      </c>
      <c r="H227" s="7">
        <v>336.75</v>
      </c>
      <c r="I227" s="7">
        <f t="shared" si="16"/>
        <v>334.00632243620919</v>
      </c>
      <c r="J227" s="7">
        <f t="shared" si="18"/>
        <v>2.7436775637908113</v>
      </c>
      <c r="K227" s="7" cm="1">
        <f t="array" ref="K227">INDEX(Sm,G227)</f>
        <v>3.065291801195754</v>
      </c>
      <c r="L227" s="7">
        <f t="shared" si="19"/>
        <v>337.07161423740496</v>
      </c>
      <c r="M227" s="7">
        <f t="shared" si="20"/>
        <v>-0.3216142374049582</v>
      </c>
    </row>
    <row r="228" spans="6:13" ht="18.75" customHeight="1">
      <c r="F228" s="1">
        <v>28277</v>
      </c>
      <c r="G228">
        <f t="shared" si="17"/>
        <v>6</v>
      </c>
      <c r="H228" s="7">
        <v>336.27</v>
      </c>
      <c r="I228" s="7">
        <f t="shared" si="16"/>
        <v>334.11357483207831</v>
      </c>
      <c r="J228" s="7">
        <f t="shared" si="18"/>
        <v>2.1564251679216682</v>
      </c>
      <c r="K228" s="7" cm="1">
        <f t="array" ref="K228">INDEX(Sm,G228)</f>
        <v>2.3463851222642056</v>
      </c>
      <c r="L228" s="7">
        <f t="shared" si="19"/>
        <v>336.45995995434254</v>
      </c>
      <c r="M228" s="7">
        <f t="shared" si="20"/>
        <v>-0.18995995434255519</v>
      </c>
    </row>
    <row r="229" spans="6:13" ht="18.75" customHeight="1">
      <c r="F229" s="1">
        <v>28307</v>
      </c>
      <c r="G229">
        <f t="shared" si="17"/>
        <v>7</v>
      </c>
      <c r="H229" s="7">
        <v>334.92</v>
      </c>
      <c r="I229" s="7">
        <f t="shared" si="16"/>
        <v>334.21754689982072</v>
      </c>
      <c r="J229" s="7">
        <f t="shared" si="18"/>
        <v>0.70245310017929796</v>
      </c>
      <c r="K229" s="7" cm="1">
        <f t="array" ref="K229">INDEX(Sm,G229)</f>
        <v>0.72334113060077332</v>
      </c>
      <c r="L229" s="7">
        <f t="shared" si="19"/>
        <v>334.94088803042149</v>
      </c>
      <c r="M229" s="7">
        <f t="shared" si="20"/>
        <v>-2.0888030421474468E-2</v>
      </c>
    </row>
    <row r="230" spans="6:13" ht="18.75" customHeight="1">
      <c r="F230" s="1">
        <v>28338</v>
      </c>
      <c r="G230">
        <f t="shared" si="17"/>
        <v>8</v>
      </c>
      <c r="H230" s="7">
        <v>332.75</v>
      </c>
      <c r="I230" s="7">
        <f t="shared" si="16"/>
        <v>334.32517011061918</v>
      </c>
      <c r="J230" s="7">
        <f t="shared" si="18"/>
        <v>-1.5751701106191831</v>
      </c>
      <c r="K230" s="7" cm="1">
        <f t="array" ref="K230">INDEX(Sm,G230)</f>
        <v>-1.3975570061157723</v>
      </c>
      <c r="L230" s="7">
        <f t="shared" si="19"/>
        <v>332.92761310450339</v>
      </c>
      <c r="M230" s="7">
        <f t="shared" si="20"/>
        <v>-0.17761310450339352</v>
      </c>
    </row>
    <row r="231" spans="6:13" ht="18.75" customHeight="1">
      <c r="F231" s="1">
        <v>28369</v>
      </c>
      <c r="G231">
        <f t="shared" si="17"/>
        <v>9</v>
      </c>
      <c r="H231" s="7">
        <v>331.59</v>
      </c>
      <c r="I231" s="7">
        <f t="shared" si="16"/>
        <v>334.43298176834895</v>
      </c>
      <c r="J231" s="7">
        <f t="shared" si="18"/>
        <v>-2.8429817683489773</v>
      </c>
      <c r="K231" s="7" cm="1">
        <f t="array" ref="K231">INDEX(Sm,G231)</f>
        <v>-3.1934822994410497</v>
      </c>
      <c r="L231" s="7">
        <f t="shared" si="19"/>
        <v>331.23949946890792</v>
      </c>
      <c r="M231" s="7">
        <f t="shared" si="20"/>
        <v>0.35050053109205237</v>
      </c>
    </row>
    <row r="232" spans="6:13" ht="18.75" customHeight="1">
      <c r="F232" s="1">
        <v>28399</v>
      </c>
      <c r="G232">
        <f t="shared" si="17"/>
        <v>10</v>
      </c>
      <c r="H232" s="7">
        <v>331.16</v>
      </c>
      <c r="I232" s="7">
        <f t="shared" si="16"/>
        <v>334.53749505724676</v>
      </c>
      <c r="J232" s="7">
        <f t="shared" si="18"/>
        <v>-3.3774950572467333</v>
      </c>
      <c r="K232" s="7" cm="1">
        <f t="array" ref="K232">INDEX(Sm,G232)</f>
        <v>-3.3368150874962788</v>
      </c>
      <c r="L232" s="7">
        <f t="shared" si="19"/>
        <v>331.20067996975047</v>
      </c>
      <c r="M232" s="7">
        <f t="shared" si="20"/>
        <v>-4.0679969750442524E-2</v>
      </c>
    </row>
    <row r="233" spans="6:13" ht="18.75" customHeight="1">
      <c r="F233" s="1">
        <v>28430</v>
      </c>
      <c r="G233">
        <f t="shared" si="17"/>
        <v>11</v>
      </c>
      <c r="H233" s="7">
        <v>332.4</v>
      </c>
      <c r="I233" s="7">
        <f t="shared" si="16"/>
        <v>334.64567752990587</v>
      </c>
      <c r="J233" s="7">
        <f t="shared" si="18"/>
        <v>-2.2456775299058904</v>
      </c>
      <c r="K233" s="7" cm="1">
        <f t="array" ref="K233">INDEX(Sm,G233)</f>
        <v>-2.0591623324975612</v>
      </c>
      <c r="L233" s="7">
        <f t="shared" si="19"/>
        <v>332.58651519740829</v>
      </c>
      <c r="M233" s="7">
        <f t="shared" si="20"/>
        <v>-0.18651519740831191</v>
      </c>
    </row>
    <row r="234" spans="6:13" ht="18.75" customHeight="1">
      <c r="F234" s="1">
        <v>28460</v>
      </c>
      <c r="G234">
        <f t="shared" si="17"/>
        <v>12</v>
      </c>
      <c r="H234" s="7">
        <v>333.85</v>
      </c>
      <c r="I234" s="7">
        <f t="shared" si="16"/>
        <v>334.7505496719611</v>
      </c>
      <c r="J234" s="7">
        <f t="shared" si="18"/>
        <v>-0.90054967196107327</v>
      </c>
      <c r="K234" s="7" cm="1">
        <f t="array" ref="K234">INDEX(Sm,G234)</f>
        <v>-0.89132446529561371</v>
      </c>
      <c r="L234" s="7">
        <f t="shared" si="19"/>
        <v>333.85922520666549</v>
      </c>
      <c r="M234" s="7">
        <f t="shared" si="20"/>
        <v>-9.2252066654623377E-3</v>
      </c>
    </row>
    <row r="235" spans="6:13" ht="18.75" customHeight="1">
      <c r="F235" s="1">
        <v>28491</v>
      </c>
      <c r="G235">
        <f t="shared" si="17"/>
        <v>1</v>
      </c>
      <c r="H235" s="7">
        <v>334.97</v>
      </c>
      <c r="I235" s="7">
        <f t="shared" si="16"/>
        <v>334.85910295954955</v>
      </c>
      <c r="J235" s="7">
        <f t="shared" si="18"/>
        <v>0.11089704045048165</v>
      </c>
      <c r="K235" s="7" cm="1">
        <f t="array" ref="K235">INDEX(Sm,G235)</f>
        <v>6.1040869584970889E-2</v>
      </c>
      <c r="L235" s="7">
        <f t="shared" si="19"/>
        <v>334.92014382913453</v>
      </c>
      <c r="M235" s="7">
        <f t="shared" si="20"/>
        <v>4.9856170865496097E-2</v>
      </c>
    </row>
    <row r="236" spans="6:13" ht="18.75" customHeight="1">
      <c r="F236" s="1">
        <v>28522</v>
      </c>
      <c r="G236">
        <f t="shared" si="17"/>
        <v>2</v>
      </c>
      <c r="H236" s="7">
        <v>335.39</v>
      </c>
      <c r="I236" s="7">
        <f t="shared" si="16"/>
        <v>334.96784469406924</v>
      </c>
      <c r="J236" s="7">
        <f t="shared" si="18"/>
        <v>0.42215530593074391</v>
      </c>
      <c r="K236" s="7" cm="1">
        <f t="array" ref="K236">INDEX(Sm,G236)</f>
        <v>0.69421564520236412</v>
      </c>
      <c r="L236" s="7">
        <f t="shared" si="19"/>
        <v>335.66206033927159</v>
      </c>
      <c r="M236" s="7">
        <f t="shared" si="20"/>
        <v>-0.27206033927160433</v>
      </c>
    </row>
    <row r="237" spans="6:13" ht="18.75" customHeight="1">
      <c r="F237" s="1">
        <v>28550</v>
      </c>
      <c r="G237">
        <f t="shared" si="17"/>
        <v>3</v>
      </c>
      <c r="H237" s="7">
        <v>336.64</v>
      </c>
      <c r="I237" s="7">
        <f t="shared" si="16"/>
        <v>335.06622500908315</v>
      </c>
      <c r="J237" s="7">
        <f t="shared" si="18"/>
        <v>1.5737749909168315</v>
      </c>
      <c r="K237" s="7" cm="1">
        <f t="array" ref="K237">INDEX(Sm,G237)</f>
        <v>1.3733706304072995</v>
      </c>
      <c r="L237" s="7">
        <f t="shared" si="19"/>
        <v>336.43959563949045</v>
      </c>
      <c r="M237" s="7">
        <f t="shared" si="20"/>
        <v>0.20040436050953758</v>
      </c>
    </row>
    <row r="238" spans="6:13" ht="18.75" customHeight="1">
      <c r="F238" s="1">
        <v>28581</v>
      </c>
      <c r="G238">
        <f t="shared" si="17"/>
        <v>4</v>
      </c>
      <c r="H238" s="7">
        <v>337.76</v>
      </c>
      <c r="I238" s="7">
        <f t="shared" si="16"/>
        <v>335.17532540066571</v>
      </c>
      <c r="J238" s="7">
        <f t="shared" si="18"/>
        <v>2.5846745993342779</v>
      </c>
      <c r="K238" s="7" cm="1">
        <f t="array" ref="K238">INDEX(Sm,G238)</f>
        <v>2.6099183412742755</v>
      </c>
      <c r="L238" s="7">
        <f t="shared" si="19"/>
        <v>337.78524374194001</v>
      </c>
      <c r="M238" s="7">
        <f t="shared" si="20"/>
        <v>-2.5243741940016662E-2</v>
      </c>
    </row>
    <row r="239" spans="6:13" ht="18.75" customHeight="1">
      <c r="F239" s="1">
        <v>28611</v>
      </c>
      <c r="G239">
        <f t="shared" si="17"/>
        <v>5</v>
      </c>
      <c r="H239" s="7">
        <v>338.01</v>
      </c>
      <c r="I239" s="7">
        <f t="shared" si="16"/>
        <v>335.28108585135652</v>
      </c>
      <c r="J239" s="7">
        <f t="shared" si="18"/>
        <v>2.7289141486434687</v>
      </c>
      <c r="K239" s="7" cm="1">
        <f t="array" ref="K239">INDEX(Sm,G239)</f>
        <v>3.065291801195754</v>
      </c>
      <c r="L239" s="7">
        <f t="shared" si="19"/>
        <v>338.34637765255229</v>
      </c>
      <c r="M239" s="7">
        <f t="shared" si="20"/>
        <v>-0.33637765255230079</v>
      </c>
    </row>
    <row r="240" spans="6:13" ht="18.75" customHeight="1">
      <c r="F240" s="1">
        <v>28642</v>
      </c>
      <c r="G240">
        <f t="shared" si="17"/>
        <v>6</v>
      </c>
      <c r="H240" s="7">
        <v>337.9</v>
      </c>
      <c r="I240" s="7">
        <f t="shared" si="16"/>
        <v>335.39055705786836</v>
      </c>
      <c r="J240" s="7">
        <f t="shared" si="18"/>
        <v>2.5094429421316136</v>
      </c>
      <c r="K240" s="7" cm="1">
        <f t="array" ref="K240">INDEX(Sm,G240)</f>
        <v>2.3463851222642056</v>
      </c>
      <c r="L240" s="7">
        <f t="shared" si="19"/>
        <v>337.73694218013259</v>
      </c>
      <c r="M240" s="7">
        <f t="shared" si="20"/>
        <v>0.16305781986739021</v>
      </c>
    </row>
    <row r="241" spans="6:13" ht="18.75" customHeight="1">
      <c r="F241" s="1">
        <v>28672</v>
      </c>
      <c r="G241">
        <f t="shared" si="17"/>
        <v>7</v>
      </c>
      <c r="H241" s="7">
        <v>336.54</v>
      </c>
      <c r="I241" s="7">
        <f t="shared" si="16"/>
        <v>335.49667636171665</v>
      </c>
      <c r="J241" s="7">
        <f t="shared" si="18"/>
        <v>1.0433236382833684</v>
      </c>
      <c r="K241" s="7" cm="1">
        <f t="array" ref="K241">INDEX(Sm,G241)</f>
        <v>0.72334113060077332</v>
      </c>
      <c r="L241" s="7">
        <f t="shared" si="19"/>
        <v>336.22001749231742</v>
      </c>
      <c r="M241" s="7">
        <f t="shared" si="20"/>
        <v>0.31998250768259595</v>
      </c>
    </row>
    <row r="242" spans="6:13" ht="18.75" customHeight="1">
      <c r="F242" s="1">
        <v>28703</v>
      </c>
      <c r="G242">
        <f t="shared" si="17"/>
        <v>8</v>
      </c>
      <c r="H242" s="7">
        <v>334.68</v>
      </c>
      <c r="I242" s="7">
        <f t="shared" si="16"/>
        <v>335.60651838315783</v>
      </c>
      <c r="J242" s="7">
        <f t="shared" si="18"/>
        <v>-0.92651838315782697</v>
      </c>
      <c r="K242" s="7" cm="1">
        <f t="array" ref="K242">INDEX(Sm,G242)</f>
        <v>-1.3975570061157723</v>
      </c>
      <c r="L242" s="7">
        <f t="shared" si="19"/>
        <v>334.20896137704204</v>
      </c>
      <c r="M242" s="7">
        <f t="shared" si="20"/>
        <v>0.47103862295796262</v>
      </c>
    </row>
    <row r="243" spans="6:13" ht="18.75" customHeight="1">
      <c r="F243" s="1">
        <v>28734</v>
      </c>
      <c r="G243">
        <f t="shared" si="17"/>
        <v>9</v>
      </c>
      <c r="H243" s="7">
        <v>332.76</v>
      </c>
      <c r="I243" s="7">
        <f t="shared" si="16"/>
        <v>335.71654885153032</v>
      </c>
      <c r="J243" s="7">
        <f t="shared" si="18"/>
        <v>-2.9565488515303286</v>
      </c>
      <c r="K243" s="7" cm="1">
        <f t="array" ref="K243">INDEX(Sm,G243)</f>
        <v>-3.1934822994410497</v>
      </c>
      <c r="L243" s="7">
        <f t="shared" si="19"/>
        <v>332.52306655208929</v>
      </c>
      <c r="M243" s="7">
        <f t="shared" si="20"/>
        <v>0.23693344791070103</v>
      </c>
    </row>
    <row r="244" spans="6:13" ht="18.75" customHeight="1">
      <c r="F244" s="1">
        <v>28764</v>
      </c>
      <c r="G244">
        <f t="shared" si="17"/>
        <v>10</v>
      </c>
      <c r="H244" s="7">
        <v>332.55</v>
      </c>
      <c r="I244" s="7">
        <f t="shared" si="16"/>
        <v>335.82320937653401</v>
      </c>
      <c r="J244" s="7">
        <f t="shared" si="18"/>
        <v>-3.2732093765339982</v>
      </c>
      <c r="K244" s="7" cm="1">
        <f t="array" ref="K244">INDEX(Sm,G244)</f>
        <v>-3.3368150874962788</v>
      </c>
      <c r="L244" s="7">
        <f t="shared" si="19"/>
        <v>332.48639428903772</v>
      </c>
      <c r="M244" s="7">
        <f t="shared" si="20"/>
        <v>6.3605710962292505E-2</v>
      </c>
    </row>
    <row r="245" spans="6:13" ht="18.75" customHeight="1">
      <c r="F245" s="1">
        <v>28795</v>
      </c>
      <c r="G245">
        <f t="shared" si="17"/>
        <v>11</v>
      </c>
      <c r="H245" s="7">
        <v>333.92</v>
      </c>
      <c r="I245" s="7">
        <f t="shared" si="16"/>
        <v>335.93361065983584</v>
      </c>
      <c r="J245" s="7">
        <f t="shared" si="18"/>
        <v>-2.0136106598358197</v>
      </c>
      <c r="K245" s="7" cm="1">
        <f t="array" ref="K245">INDEX(Sm,G245)</f>
        <v>-2.0591623324975612</v>
      </c>
      <c r="L245" s="7">
        <f t="shared" si="19"/>
        <v>333.87444832733826</v>
      </c>
      <c r="M245" s="7">
        <f t="shared" si="20"/>
        <v>4.5551672661758857E-2</v>
      </c>
    </row>
    <row r="246" spans="6:13" ht="18.75" customHeight="1">
      <c r="F246" s="1">
        <v>28825</v>
      </c>
      <c r="G246">
        <f t="shared" si="17"/>
        <v>12</v>
      </c>
      <c r="H246" s="7">
        <v>334.95</v>
      </c>
      <c r="I246" s="7">
        <f t="shared" si="16"/>
        <v>336.04063003799695</v>
      </c>
      <c r="J246" s="7">
        <f t="shared" si="18"/>
        <v>-1.0906300379969593</v>
      </c>
      <c r="K246" s="7" cm="1">
        <f t="array" ref="K246">INDEX(Sm,G246)</f>
        <v>-0.89132446529561371</v>
      </c>
      <c r="L246" s="7">
        <f t="shared" si="19"/>
        <v>335.14930557270134</v>
      </c>
      <c r="M246" s="7">
        <f t="shared" si="20"/>
        <v>-0.19930557270134841</v>
      </c>
    </row>
    <row r="247" spans="6:13" ht="18.75" customHeight="1">
      <c r="F247" s="1">
        <v>28856</v>
      </c>
      <c r="G247">
        <f t="shared" si="17"/>
        <v>1</v>
      </c>
      <c r="H247" s="7">
        <v>336.23</v>
      </c>
      <c r="I247" s="7">
        <f t="shared" si="16"/>
        <v>336.15140213622811</v>
      </c>
      <c r="J247" s="7">
        <f t="shared" si="18"/>
        <v>7.8597863771904031E-2</v>
      </c>
      <c r="K247" s="7" cm="1">
        <f t="array" ref="K247">INDEX(Sm,G247)</f>
        <v>6.1040869584970889E-2</v>
      </c>
      <c r="L247" s="7">
        <f t="shared" si="19"/>
        <v>336.2124430058131</v>
      </c>
      <c r="M247" s="7">
        <f t="shared" si="20"/>
        <v>1.7556994186918473E-2</v>
      </c>
    </row>
    <row r="248" spans="6:13" ht="18.75" customHeight="1">
      <c r="F248" s="1">
        <v>28887</v>
      </c>
      <c r="G248">
        <f t="shared" si="17"/>
        <v>2</v>
      </c>
      <c r="H248" s="7">
        <v>336.76</v>
      </c>
      <c r="I248" s="7">
        <f t="shared" si="16"/>
        <v>336.26236268139053</v>
      </c>
      <c r="J248" s="7">
        <f t="shared" si="18"/>
        <v>0.49763731860946336</v>
      </c>
      <c r="K248" s="7" cm="1">
        <f t="array" ref="K248">INDEX(Sm,G248)</f>
        <v>0.69421564520236412</v>
      </c>
      <c r="L248" s="7">
        <f t="shared" si="19"/>
        <v>336.95657832659288</v>
      </c>
      <c r="M248" s="7">
        <f t="shared" si="20"/>
        <v>-0.19657832659288488</v>
      </c>
    </row>
    <row r="249" spans="6:13" ht="18.75" customHeight="1">
      <c r="F249" s="1">
        <v>28915</v>
      </c>
      <c r="G249">
        <f t="shared" si="17"/>
        <v>3</v>
      </c>
      <c r="H249" s="7">
        <v>337.96</v>
      </c>
      <c r="I249" s="7">
        <f t="shared" si="16"/>
        <v>336.3627470834366</v>
      </c>
      <c r="J249" s="7">
        <f t="shared" si="18"/>
        <v>1.5972529165633773</v>
      </c>
      <c r="K249" s="7" cm="1">
        <f t="array" ref="K249">INDEX(Sm,G249)</f>
        <v>1.3733706304072995</v>
      </c>
      <c r="L249" s="7">
        <f t="shared" si="19"/>
        <v>337.7361177138439</v>
      </c>
      <c r="M249" s="7">
        <f t="shared" si="20"/>
        <v>0.22388228615608341</v>
      </c>
    </row>
    <row r="250" spans="6:13" ht="18.75" customHeight="1">
      <c r="F250" s="1">
        <v>28946</v>
      </c>
      <c r="G250">
        <f t="shared" si="17"/>
        <v>4</v>
      </c>
      <c r="H250" s="7">
        <v>338.88</v>
      </c>
      <c r="I250" s="7">
        <f t="shared" si="16"/>
        <v>336.47406628566188</v>
      </c>
      <c r="J250" s="7">
        <f t="shared" si="18"/>
        <v>2.4059337143381185</v>
      </c>
      <c r="K250" s="7" cm="1">
        <f t="array" ref="K250">INDEX(Sm,G250)</f>
        <v>2.6099183412742755</v>
      </c>
      <c r="L250" s="7">
        <f t="shared" si="19"/>
        <v>339.08398462693617</v>
      </c>
      <c r="M250" s="7">
        <f t="shared" si="20"/>
        <v>-0.20398462693617603</v>
      </c>
    </row>
    <row r="251" spans="6:13" ht="18.75" customHeight="1">
      <c r="F251" s="1">
        <v>28976</v>
      </c>
      <c r="G251">
        <f t="shared" si="17"/>
        <v>5</v>
      </c>
      <c r="H251" s="7">
        <v>339.47</v>
      </c>
      <c r="I251" s="7">
        <f t="shared" si="16"/>
        <v>336.58197397245857</v>
      </c>
      <c r="J251" s="7">
        <f t="shared" si="18"/>
        <v>2.8880260275414571</v>
      </c>
      <c r="K251" s="7" cm="1">
        <f t="array" ref="K251">INDEX(Sm,G251)</f>
        <v>3.065291801195754</v>
      </c>
      <c r="L251" s="7">
        <f t="shared" si="19"/>
        <v>339.64726577365434</v>
      </c>
      <c r="M251" s="7">
        <f t="shared" si="20"/>
        <v>-0.1772657736543124</v>
      </c>
    </row>
    <row r="252" spans="6:13" ht="18.75" customHeight="1">
      <c r="F252" s="1">
        <v>29007</v>
      </c>
      <c r="G252">
        <f t="shared" si="17"/>
        <v>6</v>
      </c>
      <c r="H252" s="7">
        <v>339.29</v>
      </c>
      <c r="I252" s="7">
        <f t="shared" si="16"/>
        <v>336.69366398961313</v>
      </c>
      <c r="J252" s="7">
        <f t="shared" si="18"/>
        <v>2.5963360103868922</v>
      </c>
      <c r="K252" s="7" cm="1">
        <f t="array" ref="K252">INDEX(Sm,G252)</f>
        <v>2.3463851222642056</v>
      </c>
      <c r="L252" s="7">
        <f t="shared" si="19"/>
        <v>339.04004911187735</v>
      </c>
      <c r="M252" s="7">
        <f t="shared" si="20"/>
        <v>0.24995088812266886</v>
      </c>
    </row>
    <row r="253" spans="6:13" ht="18.75" customHeight="1">
      <c r="F253" s="1">
        <v>29037</v>
      </c>
      <c r="G253">
        <f t="shared" si="17"/>
        <v>7</v>
      </c>
      <c r="H253" s="7">
        <v>337.73</v>
      </c>
      <c r="I253" s="7">
        <f t="shared" si="16"/>
        <v>336.80193052956724</v>
      </c>
      <c r="J253" s="7">
        <f t="shared" si="18"/>
        <v>0.92806947043277432</v>
      </c>
      <c r="K253" s="7" cm="1">
        <f t="array" ref="K253">INDEX(Sm,G253)</f>
        <v>0.72334113060077332</v>
      </c>
      <c r="L253" s="7">
        <f t="shared" si="19"/>
        <v>337.52527166016802</v>
      </c>
      <c r="M253" s="7">
        <f t="shared" si="20"/>
        <v>0.20472833983200189</v>
      </c>
    </row>
    <row r="254" spans="6:13" ht="18.75" customHeight="1">
      <c r="F254" s="1">
        <v>29068</v>
      </c>
      <c r="G254">
        <f t="shared" si="17"/>
        <v>8</v>
      </c>
      <c r="H254" s="7">
        <v>336.09</v>
      </c>
      <c r="I254" s="7">
        <f t="shared" si="16"/>
        <v>336.9139913616512</v>
      </c>
      <c r="J254" s="7">
        <f t="shared" si="18"/>
        <v>-0.823991361651224</v>
      </c>
      <c r="K254" s="7" cm="1">
        <f t="array" ref="K254">INDEX(Sm,G254)</f>
        <v>-1.3975570061157723</v>
      </c>
      <c r="L254" s="7">
        <f t="shared" si="19"/>
        <v>335.51643435553541</v>
      </c>
      <c r="M254" s="7">
        <f t="shared" si="20"/>
        <v>0.57356564446456559</v>
      </c>
    </row>
    <row r="255" spans="6:13" ht="18.75" customHeight="1">
      <c r="F255" s="1">
        <v>29099</v>
      </c>
      <c r="G255">
        <f t="shared" si="17"/>
        <v>9</v>
      </c>
      <c r="H255" s="7">
        <v>333.92</v>
      </c>
      <c r="I255" s="7">
        <f t="shared" si="16"/>
        <v>337.0262406406664</v>
      </c>
      <c r="J255" s="7">
        <f t="shared" si="18"/>
        <v>-3.1062406406663854</v>
      </c>
      <c r="K255" s="7" cm="1">
        <f t="array" ref="K255">INDEX(Sm,G255)</f>
        <v>-3.1934822994410497</v>
      </c>
      <c r="L255" s="7">
        <f t="shared" si="19"/>
        <v>333.83275834122537</v>
      </c>
      <c r="M255" s="7">
        <f t="shared" si="20"/>
        <v>8.7241658774644293E-2</v>
      </c>
    </row>
    <row r="256" spans="6:13" ht="18.75" customHeight="1">
      <c r="F256" s="1">
        <v>29129</v>
      </c>
      <c r="G256">
        <f t="shared" si="17"/>
        <v>10</v>
      </c>
      <c r="H256" s="7">
        <v>333.86</v>
      </c>
      <c r="I256" s="7">
        <f t="shared" si="16"/>
        <v>337.13504840177598</v>
      </c>
      <c r="J256" s="7">
        <f t="shared" si="18"/>
        <v>-3.2750484017759618</v>
      </c>
      <c r="K256" s="7" cm="1">
        <f t="array" ref="K256">INDEX(Sm,G256)</f>
        <v>-3.3368150874962788</v>
      </c>
      <c r="L256" s="7">
        <f t="shared" si="19"/>
        <v>333.79823331427968</v>
      </c>
      <c r="M256" s="7">
        <f t="shared" si="20"/>
        <v>6.1766685720328951E-2</v>
      </c>
    </row>
    <row r="257" spans="6:13" ht="18.75" customHeight="1">
      <c r="F257" s="1">
        <v>29160</v>
      </c>
      <c r="G257">
        <f t="shared" si="17"/>
        <v>11</v>
      </c>
      <c r="H257" s="7">
        <v>335.29</v>
      </c>
      <c r="I257" s="7">
        <f t="shared" si="16"/>
        <v>337.24766849572052</v>
      </c>
      <c r="J257" s="7">
        <f t="shared" si="18"/>
        <v>-1.9576684957204975</v>
      </c>
      <c r="K257" s="7" cm="1">
        <f t="array" ref="K257">INDEX(Sm,G257)</f>
        <v>-2.0591623324975612</v>
      </c>
      <c r="L257" s="7">
        <f t="shared" si="19"/>
        <v>335.18850616322294</v>
      </c>
      <c r="M257" s="7">
        <f t="shared" si="20"/>
        <v>0.10149383677708101</v>
      </c>
    </row>
    <row r="258" spans="6:13" ht="18.75" customHeight="1">
      <c r="F258" s="1">
        <v>29190</v>
      </c>
      <c r="G258">
        <f t="shared" si="17"/>
        <v>12</v>
      </c>
      <c r="H258" s="7">
        <v>336.73</v>
      </c>
      <c r="I258" s="7">
        <f t="shared" ref="I258:I321" si="21">_A*F258*F258+_B*F258+_C</f>
        <v>337.35683510998751</v>
      </c>
      <c r="J258" s="7">
        <f t="shared" si="18"/>
        <v>-0.62683510998749625</v>
      </c>
      <c r="K258" s="7" cm="1">
        <f t="array" ref="K258">INDEX(Sm,G258)</f>
        <v>-0.89132446529561371</v>
      </c>
      <c r="L258" s="7">
        <f t="shared" si="19"/>
        <v>336.4655106446919</v>
      </c>
      <c r="M258" s="7">
        <f t="shared" si="20"/>
        <v>0.26448935530811468</v>
      </c>
    </row>
    <row r="259" spans="6:13" ht="18.75" customHeight="1">
      <c r="F259" s="1">
        <v>29221</v>
      </c>
      <c r="G259">
        <f t="shared" ref="G259:G322" si="22">MONTH(F259)</f>
        <v>1</v>
      </c>
      <c r="H259" s="7">
        <v>338.01</v>
      </c>
      <c r="I259" s="7">
        <f t="shared" si="21"/>
        <v>337.4698260188614</v>
      </c>
      <c r="J259" s="7">
        <f t="shared" ref="J259:J322" si="23">H259-I259</f>
        <v>0.54017398113859372</v>
      </c>
      <c r="K259" s="7" cm="1">
        <f t="array" ref="K259">INDEX(Sm,G259)</f>
        <v>6.1040869584970889E-2</v>
      </c>
      <c r="L259" s="7">
        <f t="shared" ref="L259:L322" si="24">I259+K259</f>
        <v>337.53086688844638</v>
      </c>
      <c r="M259" s="7">
        <f t="shared" ref="M259:M322" si="25">H259-L259</f>
        <v>0.47913311155360816</v>
      </c>
    </row>
    <row r="260" spans="6:13" ht="18.75" customHeight="1">
      <c r="F260" s="1">
        <v>29252</v>
      </c>
      <c r="G260">
        <f t="shared" si="22"/>
        <v>2</v>
      </c>
      <c r="H260" s="7">
        <v>338.36</v>
      </c>
      <c r="I260" s="7">
        <f t="shared" si="21"/>
        <v>337.58300537466658</v>
      </c>
      <c r="J260" s="7">
        <f t="shared" si="23"/>
        <v>0.77699462533342967</v>
      </c>
      <c r="K260" s="7" cm="1">
        <f t="array" ref="K260">INDEX(Sm,G260)</f>
        <v>0.69421564520236412</v>
      </c>
      <c r="L260" s="7">
        <f t="shared" si="24"/>
        <v>338.27722101986893</v>
      </c>
      <c r="M260" s="7">
        <f t="shared" si="25"/>
        <v>8.2778980131081425E-2</v>
      </c>
    </row>
    <row r="261" spans="6:13" ht="18.75" customHeight="1">
      <c r="F261" s="1">
        <v>29281</v>
      </c>
      <c r="G261">
        <f t="shared" si="22"/>
        <v>3</v>
      </c>
      <c r="H261" s="7">
        <v>340.07</v>
      </c>
      <c r="I261" s="7">
        <f t="shared" si="21"/>
        <v>337.68905343886956</v>
      </c>
      <c r="J261" s="7">
        <f t="shared" si="23"/>
        <v>2.380946561130429</v>
      </c>
      <c r="K261" s="7" cm="1">
        <f t="array" ref="K261">INDEX(Sm,G261)</f>
        <v>1.3733706304072995</v>
      </c>
      <c r="L261" s="7">
        <f t="shared" si="24"/>
        <v>339.06242406927686</v>
      </c>
      <c r="M261" s="7">
        <f t="shared" si="25"/>
        <v>1.0075759307231351</v>
      </c>
    </row>
    <row r="262" spans="6:13" ht="18.75" customHeight="1">
      <c r="F262" s="1">
        <v>29312</v>
      </c>
      <c r="G262">
        <f t="shared" si="22"/>
        <v>4</v>
      </c>
      <c r="H262" s="7">
        <v>340.76</v>
      </c>
      <c r="I262" s="7">
        <f t="shared" si="21"/>
        <v>337.80259753067082</v>
      </c>
      <c r="J262" s="7">
        <f t="shared" si="23"/>
        <v>2.9574024693291676</v>
      </c>
      <c r="K262" s="7" cm="1">
        <f t="array" ref="K262">INDEX(Sm,G262)</f>
        <v>2.6099183412742755</v>
      </c>
      <c r="L262" s="7">
        <f t="shared" si="24"/>
        <v>340.41251587194512</v>
      </c>
      <c r="M262" s="7">
        <f t="shared" si="25"/>
        <v>0.34748412805487305</v>
      </c>
    </row>
    <row r="263" spans="6:13" ht="18.75" customHeight="1">
      <c r="F263" s="1">
        <v>29342</v>
      </c>
      <c r="G263">
        <f t="shared" si="22"/>
        <v>5</v>
      </c>
      <c r="H263" s="7">
        <v>341.47</v>
      </c>
      <c r="I263" s="7">
        <f t="shared" si="21"/>
        <v>337.91265833641205</v>
      </c>
      <c r="J263" s="7">
        <f t="shared" si="23"/>
        <v>3.5573416635879767</v>
      </c>
      <c r="K263" s="7" cm="1">
        <f t="array" ref="K263">INDEX(Sm,G263)</f>
        <v>3.065291801195754</v>
      </c>
      <c r="L263" s="7">
        <f t="shared" si="24"/>
        <v>340.97795013760782</v>
      </c>
      <c r="M263" s="7">
        <f t="shared" si="25"/>
        <v>0.49204986239220716</v>
      </c>
    </row>
    <row r="264" spans="6:13" ht="18.75" customHeight="1">
      <c r="F264" s="1">
        <v>29373</v>
      </c>
      <c r="G264">
        <f t="shared" si="22"/>
        <v>6</v>
      </c>
      <c r="H264" s="7">
        <v>341.17</v>
      </c>
      <c r="I264" s="7">
        <f t="shared" si="21"/>
        <v>338.02657324314265</v>
      </c>
      <c r="J264" s="7">
        <f t="shared" si="23"/>
        <v>3.1434267568573659</v>
      </c>
      <c r="K264" s="7" cm="1">
        <f t="array" ref="K264">INDEX(Sm,G264)</f>
        <v>2.3463851222642056</v>
      </c>
      <c r="L264" s="7">
        <f t="shared" si="24"/>
        <v>340.37295836540687</v>
      </c>
      <c r="M264" s="7">
        <f t="shared" si="25"/>
        <v>0.79704163459314259</v>
      </c>
    </row>
    <row r="265" spans="6:13" ht="18.75" customHeight="1">
      <c r="F265" s="1">
        <v>29403</v>
      </c>
      <c r="G265">
        <f t="shared" si="22"/>
        <v>7</v>
      </c>
      <c r="H265" s="7">
        <v>339.56</v>
      </c>
      <c r="I265" s="7">
        <f t="shared" si="21"/>
        <v>338.13699290204124</v>
      </c>
      <c r="J265" s="7">
        <f t="shared" si="23"/>
        <v>1.4230070979587595</v>
      </c>
      <c r="K265" s="7" cm="1">
        <f t="array" ref="K265">INDEX(Sm,G265)</f>
        <v>0.72334113060077332</v>
      </c>
      <c r="L265" s="7">
        <f t="shared" si="24"/>
        <v>338.86033403264202</v>
      </c>
      <c r="M265" s="7">
        <f t="shared" si="25"/>
        <v>0.69966596735798703</v>
      </c>
    </row>
    <row r="266" spans="6:13" ht="18.75" customHeight="1">
      <c r="F266" s="1">
        <v>29434</v>
      </c>
      <c r="G266">
        <f t="shared" si="22"/>
        <v>8</v>
      </c>
      <c r="H266" s="7">
        <v>337.6</v>
      </c>
      <c r="I266" s="7">
        <f t="shared" si="21"/>
        <v>338.25127862370118</v>
      </c>
      <c r="J266" s="7">
        <f t="shared" si="23"/>
        <v>-0.65127862370115963</v>
      </c>
      <c r="K266" s="7" cm="1">
        <f t="array" ref="K266">INDEX(Sm,G266)</f>
        <v>-1.3975570061157723</v>
      </c>
      <c r="L266" s="7">
        <f t="shared" si="24"/>
        <v>336.85372161758539</v>
      </c>
      <c r="M266" s="7">
        <f t="shared" si="25"/>
        <v>0.74627838241462996</v>
      </c>
    </row>
    <row r="267" spans="6:13" ht="18.75" customHeight="1">
      <c r="F267" s="1">
        <v>29465</v>
      </c>
      <c r="G267">
        <f t="shared" si="22"/>
        <v>9</v>
      </c>
      <c r="H267" s="7">
        <v>335.88</v>
      </c>
      <c r="I267" s="7">
        <f t="shared" si="21"/>
        <v>338.36575279229237</v>
      </c>
      <c r="J267" s="7">
        <f t="shared" si="23"/>
        <v>-2.4857527922923737</v>
      </c>
      <c r="K267" s="7" cm="1">
        <f t="array" ref="K267">INDEX(Sm,G267)</f>
        <v>-3.1934822994410497</v>
      </c>
      <c r="L267" s="7">
        <f t="shared" si="24"/>
        <v>335.17227049285134</v>
      </c>
      <c r="M267" s="7">
        <f t="shared" si="25"/>
        <v>0.70772950714865601</v>
      </c>
    </row>
    <row r="268" spans="6:13" ht="18.75" customHeight="1">
      <c r="F268" s="1">
        <v>29495</v>
      </c>
      <c r="G268">
        <f t="shared" si="22"/>
        <v>10</v>
      </c>
      <c r="H268" s="7">
        <v>336.02</v>
      </c>
      <c r="I268" s="7">
        <f t="shared" si="21"/>
        <v>338.47671367234648</v>
      </c>
      <c r="J268" s="7">
        <f t="shared" si="23"/>
        <v>-2.4567136723464955</v>
      </c>
      <c r="K268" s="7" cm="1">
        <f t="array" ref="K268">INDEX(Sm,G268)</f>
        <v>-3.3368150874962788</v>
      </c>
      <c r="L268" s="7">
        <f t="shared" si="24"/>
        <v>335.13989858485019</v>
      </c>
      <c r="M268" s="7">
        <f t="shared" si="25"/>
        <v>0.88010141514979523</v>
      </c>
    </row>
    <row r="269" spans="6:13" ht="18.75" customHeight="1">
      <c r="F269" s="1">
        <v>29526</v>
      </c>
      <c r="G269">
        <f t="shared" si="22"/>
        <v>11</v>
      </c>
      <c r="H269" s="7">
        <v>337.1</v>
      </c>
      <c r="I269" s="7">
        <f t="shared" si="21"/>
        <v>338.591558655867</v>
      </c>
      <c r="J269" s="7">
        <f t="shared" si="23"/>
        <v>-1.4915586558669816</v>
      </c>
      <c r="K269" s="7" cm="1">
        <f t="array" ref="K269">INDEX(Sm,G269)</f>
        <v>-2.0591623324975612</v>
      </c>
      <c r="L269" s="7">
        <f t="shared" si="24"/>
        <v>336.53239632336943</v>
      </c>
      <c r="M269" s="7">
        <f t="shared" si="25"/>
        <v>0.56760367663059696</v>
      </c>
    </row>
    <row r="270" spans="6:13" ht="18.75" customHeight="1">
      <c r="F270" s="1">
        <v>29556</v>
      </c>
      <c r="G270">
        <f t="shared" si="22"/>
        <v>12</v>
      </c>
      <c r="H270" s="7">
        <v>338.21</v>
      </c>
      <c r="I270" s="7">
        <f t="shared" si="21"/>
        <v>338.70287838907853</v>
      </c>
      <c r="J270" s="7">
        <f t="shared" si="23"/>
        <v>-0.4928783890785553</v>
      </c>
      <c r="K270" s="7" cm="1">
        <f t="array" ref="K270">INDEX(Sm,G270)</f>
        <v>-0.89132446529561371</v>
      </c>
      <c r="L270" s="7">
        <f t="shared" si="24"/>
        <v>337.81155392378292</v>
      </c>
      <c r="M270" s="7">
        <f t="shared" si="25"/>
        <v>0.39844607621705563</v>
      </c>
    </row>
    <row r="271" spans="6:13" ht="18.75" customHeight="1">
      <c r="F271" s="1">
        <v>29587</v>
      </c>
      <c r="G271">
        <f t="shared" si="22"/>
        <v>1</v>
      </c>
      <c r="H271" s="7">
        <v>339.24</v>
      </c>
      <c r="I271" s="7">
        <f t="shared" si="21"/>
        <v>338.8180941875284</v>
      </c>
      <c r="J271" s="7">
        <f t="shared" si="23"/>
        <v>0.42190581247160708</v>
      </c>
      <c r="K271" s="7" cm="1">
        <f t="array" ref="K271">INDEX(Sm,G271)</f>
        <v>6.1040869584970889E-2</v>
      </c>
      <c r="L271" s="7">
        <f t="shared" si="24"/>
        <v>338.87913505711339</v>
      </c>
      <c r="M271" s="7">
        <f t="shared" si="25"/>
        <v>0.36086494288662152</v>
      </c>
    </row>
    <row r="272" spans="6:13" ht="18.75" customHeight="1">
      <c r="F272" s="1">
        <v>29618</v>
      </c>
      <c r="G272">
        <f t="shared" si="22"/>
        <v>2</v>
      </c>
      <c r="H272" s="7">
        <v>340.48</v>
      </c>
      <c r="I272" s="7">
        <f t="shared" si="21"/>
        <v>338.93349843290957</v>
      </c>
      <c r="J272" s="7">
        <f t="shared" si="23"/>
        <v>1.546501567090445</v>
      </c>
      <c r="K272" s="7" cm="1">
        <f t="array" ref="K272">INDEX(Sm,G272)</f>
        <v>0.69421564520236412</v>
      </c>
      <c r="L272" s="7">
        <f t="shared" si="24"/>
        <v>339.62771407811192</v>
      </c>
      <c r="M272" s="7">
        <f t="shared" si="25"/>
        <v>0.85228592188809671</v>
      </c>
    </row>
    <row r="273" spans="6:13" ht="18.75" customHeight="1">
      <c r="F273" s="1">
        <v>29646</v>
      </c>
      <c r="G273">
        <f t="shared" si="22"/>
        <v>3</v>
      </c>
      <c r="H273" s="7">
        <v>341.38</v>
      </c>
      <c r="I273" s="7">
        <f t="shared" si="21"/>
        <v>339.03789649966933</v>
      </c>
      <c r="J273" s="7">
        <f t="shared" si="23"/>
        <v>2.3421035003306656</v>
      </c>
      <c r="K273" s="7" cm="1">
        <f t="array" ref="K273">INDEX(Sm,G273)</f>
        <v>1.3733706304072995</v>
      </c>
      <c r="L273" s="7">
        <f t="shared" si="24"/>
        <v>340.41126713007662</v>
      </c>
      <c r="M273" s="7">
        <f t="shared" si="25"/>
        <v>0.96873286992337171</v>
      </c>
    </row>
    <row r="274" spans="6:13" ht="18.75" customHeight="1">
      <c r="F274" s="1">
        <v>29677</v>
      </c>
      <c r="G274">
        <f t="shared" si="22"/>
        <v>4</v>
      </c>
      <c r="H274" s="7">
        <v>342.5</v>
      </c>
      <c r="I274" s="7">
        <f t="shared" si="21"/>
        <v>339.15365940211331</v>
      </c>
      <c r="J274" s="7">
        <f t="shared" si="23"/>
        <v>3.3463405978866945</v>
      </c>
      <c r="K274" s="7" cm="1">
        <f t="array" ref="K274">INDEX(Sm,G274)</f>
        <v>2.6099183412742755</v>
      </c>
      <c r="L274" s="7">
        <f t="shared" si="24"/>
        <v>341.7635777433876</v>
      </c>
      <c r="M274" s="7">
        <f t="shared" si="25"/>
        <v>0.73642225661239991</v>
      </c>
    </row>
    <row r="275" spans="6:13" ht="18.75" customHeight="1">
      <c r="F275" s="1">
        <v>29707</v>
      </c>
      <c r="G275">
        <f t="shared" si="22"/>
        <v>5</v>
      </c>
      <c r="H275" s="7">
        <v>342.91</v>
      </c>
      <c r="I275" s="7">
        <f t="shared" si="21"/>
        <v>339.26586744396036</v>
      </c>
      <c r="J275" s="7">
        <f t="shared" si="23"/>
        <v>3.6441325560396649</v>
      </c>
      <c r="K275" s="7" cm="1">
        <f t="array" ref="K275">INDEX(Sm,G275)</f>
        <v>3.065291801195754</v>
      </c>
      <c r="L275" s="7">
        <f t="shared" si="24"/>
        <v>342.33115924515613</v>
      </c>
      <c r="M275" s="7">
        <f t="shared" si="25"/>
        <v>0.57884075484389541</v>
      </c>
    </row>
    <row r="276" spans="6:13" ht="18.75" customHeight="1">
      <c r="F276" s="1">
        <v>29738</v>
      </c>
      <c r="G276">
        <f t="shared" si="22"/>
        <v>6</v>
      </c>
      <c r="H276" s="7">
        <v>342.25</v>
      </c>
      <c r="I276" s="7">
        <f t="shared" si="21"/>
        <v>339.38200116133368</v>
      </c>
      <c r="J276" s="7">
        <f t="shared" si="23"/>
        <v>2.867998838666324</v>
      </c>
      <c r="K276" s="7" cm="1">
        <f t="array" ref="K276">INDEX(Sm,G276)</f>
        <v>2.3463851222642056</v>
      </c>
      <c r="L276" s="7">
        <f t="shared" si="24"/>
        <v>341.7283862835979</v>
      </c>
      <c r="M276" s="7">
        <f t="shared" si="25"/>
        <v>0.52161371640210064</v>
      </c>
    </row>
    <row r="277" spans="6:13" ht="18.75" customHeight="1">
      <c r="F277" s="1">
        <v>29768</v>
      </c>
      <c r="G277">
        <f t="shared" si="22"/>
        <v>7</v>
      </c>
      <c r="H277" s="7">
        <v>340.49</v>
      </c>
      <c r="I277" s="7">
        <f t="shared" si="21"/>
        <v>339.49456805633821</v>
      </c>
      <c r="J277" s="7">
        <f t="shared" si="23"/>
        <v>0.99543194366179932</v>
      </c>
      <c r="K277" s="7" cm="1">
        <f t="array" ref="K277">INDEX(Sm,G277)</f>
        <v>0.72334113060077332</v>
      </c>
      <c r="L277" s="7">
        <f t="shared" si="24"/>
        <v>340.21790918693898</v>
      </c>
      <c r="M277" s="7">
        <f t="shared" si="25"/>
        <v>0.27209081306102689</v>
      </c>
    </row>
    <row r="278" spans="6:13" ht="18.75" customHeight="1">
      <c r="F278" s="1">
        <v>29799</v>
      </c>
      <c r="G278">
        <f t="shared" si="22"/>
        <v>8</v>
      </c>
      <c r="H278" s="7">
        <v>338.43</v>
      </c>
      <c r="I278" s="7">
        <f t="shared" si="21"/>
        <v>339.61107258864081</v>
      </c>
      <c r="J278" s="7">
        <f t="shared" si="23"/>
        <v>-1.1810725886408022</v>
      </c>
      <c r="K278" s="7" cm="1">
        <f t="array" ref="K278">INDEX(Sm,G278)</f>
        <v>-1.3975570061157723</v>
      </c>
      <c r="L278" s="7">
        <f t="shared" si="24"/>
        <v>338.21351558252502</v>
      </c>
      <c r="M278" s="7">
        <f t="shared" si="25"/>
        <v>0.21648441747498737</v>
      </c>
    </row>
    <row r="279" spans="6:13" ht="18.75" customHeight="1">
      <c r="F279" s="1">
        <v>29830</v>
      </c>
      <c r="G279">
        <f t="shared" si="22"/>
        <v>9</v>
      </c>
      <c r="H279" s="7">
        <v>336.69</v>
      </c>
      <c r="I279" s="7">
        <f t="shared" si="21"/>
        <v>339.72776556787477</v>
      </c>
      <c r="J279" s="7">
        <f t="shared" si="23"/>
        <v>-3.0377655678747715</v>
      </c>
      <c r="K279" s="7" cm="1">
        <f t="array" ref="K279">INDEX(Sm,G279)</f>
        <v>-3.1934822994410497</v>
      </c>
      <c r="L279" s="7">
        <f t="shared" si="24"/>
        <v>336.53428326843374</v>
      </c>
      <c r="M279" s="7">
        <f t="shared" si="25"/>
        <v>0.1557167315662582</v>
      </c>
    </row>
    <row r="280" spans="6:13" ht="18.75" customHeight="1">
      <c r="F280" s="1">
        <v>29860</v>
      </c>
      <c r="G280">
        <f t="shared" si="22"/>
        <v>10</v>
      </c>
      <c r="H280" s="7">
        <v>336.86</v>
      </c>
      <c r="I280" s="7">
        <f t="shared" si="21"/>
        <v>339.8408736840347</v>
      </c>
      <c r="J280" s="7">
        <f t="shared" si="23"/>
        <v>-2.980873684034691</v>
      </c>
      <c r="K280" s="7" cm="1">
        <f t="array" ref="K280">INDEX(Sm,G280)</f>
        <v>-3.3368150874962788</v>
      </c>
      <c r="L280" s="7">
        <f t="shared" si="24"/>
        <v>336.50405859653841</v>
      </c>
      <c r="M280" s="7">
        <f t="shared" si="25"/>
        <v>0.35594140346159975</v>
      </c>
    </row>
    <row r="281" spans="6:13" ht="18.75" customHeight="1">
      <c r="F281" s="1">
        <v>29891</v>
      </c>
      <c r="G281">
        <f t="shared" si="22"/>
        <v>11</v>
      </c>
      <c r="H281" s="7">
        <v>338.36</v>
      </c>
      <c r="I281" s="7">
        <f t="shared" si="21"/>
        <v>339.95793747819801</v>
      </c>
      <c r="J281" s="7">
        <f t="shared" si="23"/>
        <v>-1.5979374781979914</v>
      </c>
      <c r="K281" s="7" cm="1">
        <f t="array" ref="K281">INDEX(Sm,G281)</f>
        <v>-2.0591623324975612</v>
      </c>
      <c r="L281" s="7">
        <f t="shared" si="24"/>
        <v>337.89877514570043</v>
      </c>
      <c r="M281" s="7">
        <f t="shared" si="25"/>
        <v>0.46122485429958715</v>
      </c>
    </row>
    <row r="282" spans="6:13" ht="18.75" customHeight="1">
      <c r="F282" s="1">
        <v>29921</v>
      </c>
      <c r="G282">
        <f t="shared" si="22"/>
        <v>12</v>
      </c>
      <c r="H282" s="7">
        <v>339.61</v>
      </c>
      <c r="I282" s="7">
        <f t="shared" si="21"/>
        <v>340.07140444751536</v>
      </c>
      <c r="J282" s="7">
        <f t="shared" si="23"/>
        <v>-0.46140444751534915</v>
      </c>
      <c r="K282" s="7" cm="1">
        <f t="array" ref="K282">INDEX(Sm,G282)</f>
        <v>-0.89132446529561371</v>
      </c>
      <c r="L282" s="7">
        <f t="shared" si="24"/>
        <v>339.18007998221975</v>
      </c>
      <c r="M282" s="7">
        <f t="shared" si="25"/>
        <v>0.42992001778026179</v>
      </c>
    </row>
    <row r="283" spans="6:13" ht="18.75" customHeight="1">
      <c r="F283" s="1">
        <v>29952</v>
      </c>
      <c r="G283">
        <f t="shared" si="22"/>
        <v>1</v>
      </c>
      <c r="H283" s="7">
        <v>340.75</v>
      </c>
      <c r="I283" s="7">
        <f t="shared" si="21"/>
        <v>340.188839056608</v>
      </c>
      <c r="J283" s="7">
        <f t="shared" si="23"/>
        <v>0.56116094339199662</v>
      </c>
      <c r="K283" s="7" cm="1">
        <f t="array" ref="K283">INDEX(Sm,G283)</f>
        <v>6.1040869584970889E-2</v>
      </c>
      <c r="L283" s="7">
        <f t="shared" si="24"/>
        <v>340.24987992619299</v>
      </c>
      <c r="M283" s="7">
        <f t="shared" si="25"/>
        <v>0.50012007380701107</v>
      </c>
    </row>
    <row r="284" spans="6:13" ht="18.75" customHeight="1">
      <c r="F284" s="1">
        <v>29983</v>
      </c>
      <c r="G284">
        <f t="shared" si="22"/>
        <v>2</v>
      </c>
      <c r="H284" s="7">
        <v>341.61</v>
      </c>
      <c r="I284" s="7">
        <f t="shared" si="21"/>
        <v>340.30646211263189</v>
      </c>
      <c r="J284" s="7">
        <f t="shared" si="23"/>
        <v>1.3035378873681225</v>
      </c>
      <c r="K284" s="7" cm="1">
        <f t="array" ref="K284">INDEX(Sm,G284)</f>
        <v>0.69421564520236412</v>
      </c>
      <c r="L284" s="7">
        <f t="shared" si="24"/>
        <v>341.00067775783424</v>
      </c>
      <c r="M284" s="7">
        <f t="shared" si="25"/>
        <v>0.60932224216577424</v>
      </c>
    </row>
    <row r="285" spans="6:13" ht="18.75" customHeight="1">
      <c r="F285" s="1">
        <v>30011</v>
      </c>
      <c r="G285">
        <f t="shared" si="22"/>
        <v>3</v>
      </c>
      <c r="H285" s="7">
        <v>342.7</v>
      </c>
      <c r="I285" s="7">
        <f t="shared" si="21"/>
        <v>340.41286426642381</v>
      </c>
      <c r="J285" s="7">
        <f t="shared" si="23"/>
        <v>2.2871357335761786</v>
      </c>
      <c r="K285" s="7" cm="1">
        <f t="array" ref="K285">INDEX(Sm,G285)</f>
        <v>1.3733706304072995</v>
      </c>
      <c r="L285" s="7">
        <f t="shared" si="24"/>
        <v>341.7862348968311</v>
      </c>
      <c r="M285" s="7">
        <f t="shared" si="25"/>
        <v>0.91376510316888471</v>
      </c>
    </row>
    <row r="286" spans="6:13" ht="18.75" customHeight="1">
      <c r="F286" s="1">
        <v>30042</v>
      </c>
      <c r="G286">
        <f t="shared" si="22"/>
        <v>4</v>
      </c>
      <c r="H286" s="7">
        <v>343.57</v>
      </c>
      <c r="I286" s="7">
        <f t="shared" si="21"/>
        <v>340.5308459795105</v>
      </c>
      <c r="J286" s="7">
        <f t="shared" si="23"/>
        <v>3.0391540204894909</v>
      </c>
      <c r="K286" s="7" cm="1">
        <f t="array" ref="K286">INDEX(Sm,G286)</f>
        <v>2.6099183412742755</v>
      </c>
      <c r="L286" s="7">
        <f t="shared" si="24"/>
        <v>343.1407643207848</v>
      </c>
      <c r="M286" s="7">
        <f t="shared" si="25"/>
        <v>0.42923567921519634</v>
      </c>
    </row>
    <row r="287" spans="6:13" ht="18.75" customHeight="1">
      <c r="F287" s="1">
        <v>30072</v>
      </c>
      <c r="G287">
        <f t="shared" si="22"/>
        <v>5</v>
      </c>
      <c r="H287" s="7">
        <v>344.14</v>
      </c>
      <c r="I287" s="7">
        <f t="shared" si="21"/>
        <v>340.64520125746344</v>
      </c>
      <c r="J287" s="7">
        <f t="shared" si="23"/>
        <v>3.4947987425365454</v>
      </c>
      <c r="K287" s="7" cm="1">
        <f t="array" ref="K287">INDEX(Sm,G287)</f>
        <v>3.065291801195754</v>
      </c>
      <c r="L287" s="7">
        <f t="shared" si="24"/>
        <v>343.71049305865921</v>
      </c>
      <c r="M287" s="7">
        <f t="shared" si="25"/>
        <v>0.42950694134077594</v>
      </c>
    </row>
    <row r="288" spans="6:13" ht="18.75" customHeight="1">
      <c r="F288" s="1">
        <v>30103</v>
      </c>
      <c r="G288">
        <f t="shared" si="22"/>
        <v>6</v>
      </c>
      <c r="H288" s="7">
        <v>343.35</v>
      </c>
      <c r="I288" s="7">
        <f t="shared" si="21"/>
        <v>340.76355378547947</v>
      </c>
      <c r="J288" s="7">
        <f t="shared" si="23"/>
        <v>2.5864462145205493</v>
      </c>
      <c r="K288" s="7" cm="1">
        <f t="array" ref="K288">INDEX(Sm,G288)</f>
        <v>2.3463851222642056</v>
      </c>
      <c r="L288" s="7">
        <f t="shared" si="24"/>
        <v>343.1099389077437</v>
      </c>
      <c r="M288" s="7">
        <f t="shared" si="25"/>
        <v>0.24006109225632599</v>
      </c>
    </row>
    <row r="289" spans="6:13" ht="18.75" customHeight="1">
      <c r="F289" s="1">
        <v>30133</v>
      </c>
      <c r="G289">
        <f t="shared" si="22"/>
        <v>7</v>
      </c>
      <c r="H289" s="7">
        <v>342.06</v>
      </c>
      <c r="I289" s="7">
        <f t="shared" si="21"/>
        <v>340.87826791658983</v>
      </c>
      <c r="J289" s="7">
        <f t="shared" si="23"/>
        <v>1.1817320834101679</v>
      </c>
      <c r="K289" s="7" cm="1">
        <f t="array" ref="K289">INDEX(Sm,G289)</f>
        <v>0.72334113060077332</v>
      </c>
      <c r="L289" s="7">
        <f t="shared" si="24"/>
        <v>341.60160904719061</v>
      </c>
      <c r="M289" s="7">
        <f t="shared" si="25"/>
        <v>0.45839095280939546</v>
      </c>
    </row>
    <row r="290" spans="6:13" ht="18.75" customHeight="1">
      <c r="F290" s="1">
        <v>30164</v>
      </c>
      <c r="G290">
        <f t="shared" si="22"/>
        <v>8</v>
      </c>
      <c r="H290" s="7">
        <v>339.81</v>
      </c>
      <c r="I290" s="7">
        <f t="shared" si="21"/>
        <v>340.99699125953521</v>
      </c>
      <c r="J290" s="7">
        <f t="shared" si="23"/>
        <v>-1.1869912595352048</v>
      </c>
      <c r="K290" s="7" cm="1">
        <f t="array" ref="K290">INDEX(Sm,G290)</f>
        <v>-1.3975570061157723</v>
      </c>
      <c r="L290" s="7">
        <f t="shared" si="24"/>
        <v>339.59943425341942</v>
      </c>
      <c r="M290" s="7">
        <f t="shared" si="25"/>
        <v>0.2105657465805848</v>
      </c>
    </row>
    <row r="291" spans="6:13" ht="18.75" customHeight="1">
      <c r="F291" s="1">
        <v>30195</v>
      </c>
      <c r="G291">
        <f t="shared" si="22"/>
        <v>9</v>
      </c>
      <c r="H291" s="7">
        <v>337.98</v>
      </c>
      <c r="I291" s="7">
        <f t="shared" si="21"/>
        <v>341.11590304941188</v>
      </c>
      <c r="J291" s="7">
        <f t="shared" si="23"/>
        <v>-3.1359030494118656</v>
      </c>
      <c r="K291" s="7" cm="1">
        <f t="array" ref="K291">INDEX(Sm,G291)</f>
        <v>-3.1934822994410497</v>
      </c>
      <c r="L291" s="7">
        <f t="shared" si="24"/>
        <v>337.92242074997085</v>
      </c>
      <c r="M291" s="7">
        <f t="shared" si="25"/>
        <v>5.7579250029164086E-2</v>
      </c>
    </row>
    <row r="292" spans="6:13" ht="18.75" customHeight="1">
      <c r="F292" s="1">
        <v>30225</v>
      </c>
      <c r="G292">
        <f t="shared" si="22"/>
        <v>10</v>
      </c>
      <c r="H292" s="7">
        <v>337.86</v>
      </c>
      <c r="I292" s="7">
        <f t="shared" si="21"/>
        <v>341.2311584016777</v>
      </c>
      <c r="J292" s="7">
        <f t="shared" si="23"/>
        <v>-3.3711584016776897</v>
      </c>
      <c r="K292" s="7" cm="1">
        <f t="array" ref="K292">INDEX(Sm,G292)</f>
        <v>-3.3368150874962788</v>
      </c>
      <c r="L292" s="7">
        <f t="shared" si="24"/>
        <v>337.89434331418141</v>
      </c>
      <c r="M292" s="7">
        <f t="shared" si="25"/>
        <v>-3.434331418139891E-2</v>
      </c>
    </row>
    <row r="293" spans="6:13" ht="18.75" customHeight="1">
      <c r="F293" s="1">
        <v>30256</v>
      </c>
      <c r="G293">
        <f t="shared" si="22"/>
        <v>11</v>
      </c>
      <c r="H293" s="7">
        <v>339.26</v>
      </c>
      <c r="I293" s="7">
        <f t="shared" si="21"/>
        <v>341.35044100648372</v>
      </c>
      <c r="J293" s="7">
        <f t="shared" si="23"/>
        <v>-2.0904410064837293</v>
      </c>
      <c r="K293" s="7" cm="1">
        <f t="array" ref="K293">INDEX(Sm,G293)</f>
        <v>-2.0591623324975612</v>
      </c>
      <c r="L293" s="7">
        <f t="shared" si="24"/>
        <v>339.29127867398614</v>
      </c>
      <c r="M293" s="7">
        <f t="shared" si="25"/>
        <v>-3.1278673986150807E-2</v>
      </c>
    </row>
    <row r="294" spans="6:13" ht="18.75" customHeight="1">
      <c r="F294" s="1">
        <v>30286</v>
      </c>
      <c r="G294">
        <f t="shared" si="22"/>
        <v>12</v>
      </c>
      <c r="H294" s="7">
        <v>340.49</v>
      </c>
      <c r="I294" s="7">
        <f t="shared" si="21"/>
        <v>341.46605521190696</v>
      </c>
      <c r="J294" s="7">
        <f t="shared" si="23"/>
        <v>-0.97605521190695299</v>
      </c>
      <c r="K294" s="7" cm="1">
        <f t="array" ref="K294">INDEX(Sm,G294)</f>
        <v>-0.89132446529561371</v>
      </c>
      <c r="L294" s="7">
        <f t="shared" si="24"/>
        <v>340.57473074661135</v>
      </c>
      <c r="M294" s="7">
        <f t="shared" si="25"/>
        <v>-8.4730746611342056E-2</v>
      </c>
    </row>
    <row r="295" spans="6:13" ht="18.75" customHeight="1">
      <c r="F295" s="1">
        <v>30317</v>
      </c>
      <c r="G295">
        <f t="shared" si="22"/>
        <v>1</v>
      </c>
      <c r="H295" s="7">
        <v>341.38</v>
      </c>
      <c r="I295" s="7">
        <f t="shared" si="21"/>
        <v>341.58570863164232</v>
      </c>
      <c r="J295" s="7">
        <f t="shared" si="23"/>
        <v>-0.20570863164232378</v>
      </c>
      <c r="K295" s="7" cm="1">
        <f t="array" ref="K295">INDEX(Sm,G295)</f>
        <v>6.1040869584970889E-2</v>
      </c>
      <c r="L295" s="7">
        <f t="shared" si="24"/>
        <v>341.6467495012273</v>
      </c>
      <c r="M295" s="7">
        <f t="shared" si="25"/>
        <v>-0.26674950122730934</v>
      </c>
    </row>
    <row r="296" spans="6:13" ht="18.75" customHeight="1">
      <c r="F296" s="1">
        <v>30348</v>
      </c>
      <c r="G296">
        <f t="shared" si="22"/>
        <v>2</v>
      </c>
      <c r="H296" s="7">
        <v>342.52</v>
      </c>
      <c r="I296" s="7">
        <f t="shared" si="21"/>
        <v>341.70555049830892</v>
      </c>
      <c r="J296" s="7">
        <f t="shared" si="23"/>
        <v>0.81444950169105823</v>
      </c>
      <c r="K296" s="7" cm="1">
        <f t="array" ref="K296">INDEX(Sm,G296)</f>
        <v>0.69421564520236412</v>
      </c>
      <c r="L296" s="7">
        <f t="shared" si="24"/>
        <v>342.39976614351127</v>
      </c>
      <c r="M296" s="7">
        <f t="shared" si="25"/>
        <v>0.12023385648870999</v>
      </c>
    </row>
    <row r="297" spans="6:13" ht="18.75" customHeight="1">
      <c r="F297" s="1">
        <v>30376</v>
      </c>
      <c r="G297">
        <f t="shared" si="22"/>
        <v>3</v>
      </c>
      <c r="H297" s="7">
        <v>343.1</v>
      </c>
      <c r="I297" s="7">
        <f t="shared" si="21"/>
        <v>341.813956739133</v>
      </c>
      <c r="J297" s="7">
        <f t="shared" si="23"/>
        <v>1.286043260867018</v>
      </c>
      <c r="K297" s="7" cm="1">
        <f t="array" ref="K297">INDEX(Sm,G297)</f>
        <v>1.3733706304072995</v>
      </c>
      <c r="L297" s="7">
        <f t="shared" si="24"/>
        <v>343.1873273695403</v>
      </c>
      <c r="M297" s="7">
        <f t="shared" si="25"/>
        <v>-8.7327369540275868E-2</v>
      </c>
    </row>
    <row r="298" spans="6:13" ht="18.75" customHeight="1">
      <c r="F298" s="1">
        <v>30407</v>
      </c>
      <c r="G298">
        <f t="shared" si="22"/>
        <v>4</v>
      </c>
      <c r="H298" s="7">
        <v>344.94</v>
      </c>
      <c r="I298" s="7">
        <f t="shared" si="21"/>
        <v>341.93415726286241</v>
      </c>
      <c r="J298" s="7">
        <f t="shared" si="23"/>
        <v>3.0058427371375842</v>
      </c>
      <c r="K298" s="7" cm="1">
        <f t="array" ref="K298">INDEX(Sm,G298)</f>
        <v>2.6099183412742755</v>
      </c>
      <c r="L298" s="7">
        <f t="shared" si="24"/>
        <v>344.54407560413671</v>
      </c>
      <c r="M298" s="7">
        <f t="shared" si="25"/>
        <v>0.39592439586328965</v>
      </c>
    </row>
    <row r="299" spans="6:13" ht="18.75" customHeight="1">
      <c r="F299" s="1">
        <v>30437</v>
      </c>
      <c r="G299">
        <f t="shared" si="22"/>
        <v>5</v>
      </c>
      <c r="H299" s="7">
        <v>345.76</v>
      </c>
      <c r="I299" s="7">
        <f t="shared" si="21"/>
        <v>342.05065977692124</v>
      </c>
      <c r="J299" s="7">
        <f t="shared" si="23"/>
        <v>3.7093402230787547</v>
      </c>
      <c r="K299" s="7" cm="1">
        <f t="array" ref="K299">INDEX(Sm,G299)</f>
        <v>3.065291801195754</v>
      </c>
      <c r="L299" s="7">
        <f t="shared" si="24"/>
        <v>345.11595157811701</v>
      </c>
      <c r="M299" s="7">
        <f t="shared" si="25"/>
        <v>0.64404842188298517</v>
      </c>
    </row>
    <row r="300" spans="6:13" ht="18.75" customHeight="1">
      <c r="F300" s="1">
        <v>30468</v>
      </c>
      <c r="G300">
        <f t="shared" si="22"/>
        <v>6</v>
      </c>
      <c r="H300" s="7">
        <v>345.32</v>
      </c>
      <c r="I300" s="7">
        <f t="shared" si="21"/>
        <v>342.17123111557999</v>
      </c>
      <c r="J300" s="7">
        <f t="shared" si="23"/>
        <v>3.1487688844200079</v>
      </c>
      <c r="K300" s="7" cm="1">
        <f t="array" ref="K300">INDEX(Sm,G300)</f>
        <v>2.3463851222642056</v>
      </c>
      <c r="L300" s="7">
        <f t="shared" si="24"/>
        <v>344.51761623784421</v>
      </c>
      <c r="M300" s="7">
        <f t="shared" si="25"/>
        <v>0.80238376215578455</v>
      </c>
    </row>
    <row r="301" spans="6:13" ht="18.75" customHeight="1">
      <c r="F301" s="1">
        <v>30498</v>
      </c>
      <c r="G301">
        <f t="shared" si="22"/>
        <v>7</v>
      </c>
      <c r="H301" s="7">
        <v>343.98</v>
      </c>
      <c r="I301" s="7">
        <f t="shared" si="21"/>
        <v>342.28809248279623</v>
      </c>
      <c r="J301" s="7">
        <f t="shared" si="23"/>
        <v>1.6919075172037878</v>
      </c>
      <c r="K301" s="7" cm="1">
        <f t="array" ref="K301">INDEX(Sm,G301)</f>
        <v>0.72334113060077332</v>
      </c>
      <c r="L301" s="7">
        <f t="shared" si="24"/>
        <v>343.011433613397</v>
      </c>
      <c r="M301" s="7">
        <f t="shared" si="25"/>
        <v>0.96856638660301542</v>
      </c>
    </row>
    <row r="302" spans="6:13" ht="18.75" customHeight="1">
      <c r="F302" s="1">
        <v>30529</v>
      </c>
      <c r="G302">
        <f t="shared" si="22"/>
        <v>8</v>
      </c>
      <c r="H302" s="7">
        <v>342.38</v>
      </c>
      <c r="I302" s="7">
        <f t="shared" si="21"/>
        <v>342.40903463638432</v>
      </c>
      <c r="J302" s="7">
        <f t="shared" si="23"/>
        <v>-2.9034636384324131E-2</v>
      </c>
      <c r="K302" s="7" cm="1">
        <f t="array" ref="K302">INDEX(Sm,G302)</f>
        <v>-1.3975570061157723</v>
      </c>
      <c r="L302" s="7">
        <f t="shared" si="24"/>
        <v>341.01147763026853</v>
      </c>
      <c r="M302" s="7">
        <f t="shared" si="25"/>
        <v>1.3685223697314655</v>
      </c>
    </row>
    <row r="303" spans="6:13" ht="18.75" customHeight="1">
      <c r="F303" s="1">
        <v>30560</v>
      </c>
      <c r="G303">
        <f t="shared" si="22"/>
        <v>9</v>
      </c>
      <c r="H303" s="7">
        <v>339.87</v>
      </c>
      <c r="I303" s="7">
        <f t="shared" si="21"/>
        <v>342.53016523690371</v>
      </c>
      <c r="J303" s="7">
        <f t="shared" si="23"/>
        <v>-2.6601652369037083</v>
      </c>
      <c r="K303" s="7" cm="1">
        <f t="array" ref="K303">INDEX(Sm,G303)</f>
        <v>-3.1934822994410497</v>
      </c>
      <c r="L303" s="7">
        <f t="shared" si="24"/>
        <v>339.33668293746268</v>
      </c>
      <c r="M303" s="7">
        <f t="shared" si="25"/>
        <v>0.53331706253732136</v>
      </c>
    </row>
    <row r="304" spans="6:13" ht="18.75" customHeight="1">
      <c r="F304" s="1">
        <v>30590</v>
      </c>
      <c r="G304">
        <f t="shared" si="22"/>
        <v>10</v>
      </c>
      <c r="H304" s="7">
        <v>339.99</v>
      </c>
      <c r="I304" s="7">
        <f t="shared" si="21"/>
        <v>342.64756782527542</v>
      </c>
      <c r="J304" s="7">
        <f t="shared" si="23"/>
        <v>-2.6575678252754074</v>
      </c>
      <c r="K304" s="7" cm="1">
        <f t="array" ref="K304">INDEX(Sm,G304)</f>
        <v>-3.3368150874962788</v>
      </c>
      <c r="L304" s="7">
        <f t="shared" si="24"/>
        <v>339.31075273777913</v>
      </c>
      <c r="M304" s="7">
        <f t="shared" si="25"/>
        <v>0.67924726222088339</v>
      </c>
    </row>
    <row r="305" spans="6:13" ht="18.75" customHeight="1">
      <c r="F305" s="1">
        <v>30621</v>
      </c>
      <c r="G305">
        <f t="shared" si="22"/>
        <v>11</v>
      </c>
      <c r="H305" s="7">
        <v>341.15</v>
      </c>
      <c r="I305" s="7">
        <f t="shared" si="21"/>
        <v>342.76906924072415</v>
      </c>
      <c r="J305" s="7">
        <f t="shared" si="23"/>
        <v>-1.6190692407241727</v>
      </c>
      <c r="K305" s="7" cm="1">
        <f t="array" ref="K305">INDEX(Sm,G305)</f>
        <v>-2.0591623324975612</v>
      </c>
      <c r="L305" s="7">
        <f t="shared" si="24"/>
        <v>340.70990690822657</v>
      </c>
      <c r="M305" s="7">
        <f t="shared" si="25"/>
        <v>0.44009309177340583</v>
      </c>
    </row>
    <row r="306" spans="6:13" ht="18.75" customHeight="1">
      <c r="F306" s="1">
        <v>30651</v>
      </c>
      <c r="G306">
        <f t="shared" si="22"/>
        <v>12</v>
      </c>
      <c r="H306" s="7">
        <v>342.99</v>
      </c>
      <c r="I306" s="7">
        <f t="shared" si="21"/>
        <v>342.88683068225328</v>
      </c>
      <c r="J306" s="7">
        <f t="shared" si="23"/>
        <v>0.10316931774673321</v>
      </c>
      <c r="K306" s="7" cm="1">
        <f t="array" ref="K306">INDEX(Sm,G306)</f>
        <v>-0.89132446529561371</v>
      </c>
      <c r="L306" s="7">
        <f t="shared" si="24"/>
        <v>341.99550621695766</v>
      </c>
      <c r="M306" s="7">
        <f t="shared" si="25"/>
        <v>0.99449378304234415</v>
      </c>
    </row>
    <row r="307" spans="6:13" ht="18.75" customHeight="1">
      <c r="F307" s="1">
        <v>30682</v>
      </c>
      <c r="G307">
        <f t="shared" si="22"/>
        <v>1</v>
      </c>
      <c r="H307" s="7">
        <v>343.7</v>
      </c>
      <c r="I307" s="7">
        <f t="shared" si="21"/>
        <v>343.00870291263129</v>
      </c>
      <c r="J307" s="7">
        <f t="shared" si="23"/>
        <v>0.69129708736869588</v>
      </c>
      <c r="K307" s="7" cm="1">
        <f t="array" ref="K307">INDEX(Sm,G307)</f>
        <v>6.1040869584970889E-2</v>
      </c>
      <c r="L307" s="7">
        <f t="shared" si="24"/>
        <v>343.06974378221628</v>
      </c>
      <c r="M307" s="7">
        <f t="shared" si="25"/>
        <v>0.63025621778371033</v>
      </c>
    </row>
    <row r="308" spans="6:13" ht="18.75" customHeight="1">
      <c r="F308" s="1">
        <v>30713</v>
      </c>
      <c r="G308">
        <f t="shared" si="22"/>
        <v>2</v>
      </c>
      <c r="H308" s="7">
        <v>344.5</v>
      </c>
      <c r="I308" s="7">
        <f t="shared" si="21"/>
        <v>343.13076358994067</v>
      </c>
      <c r="J308" s="7">
        <f t="shared" si="23"/>
        <v>1.3692364100593295</v>
      </c>
      <c r="K308" s="7" cm="1">
        <f t="array" ref="K308">INDEX(Sm,G308)</f>
        <v>0.69421564520236412</v>
      </c>
      <c r="L308" s="7">
        <f t="shared" si="24"/>
        <v>343.82497923514302</v>
      </c>
      <c r="M308" s="7">
        <f t="shared" si="25"/>
        <v>0.67502076485698126</v>
      </c>
    </row>
    <row r="309" spans="6:13" ht="18.75" customHeight="1">
      <c r="F309" s="1">
        <v>30742</v>
      </c>
      <c r="G309">
        <f t="shared" si="22"/>
        <v>3</v>
      </c>
      <c r="H309" s="7">
        <v>345.28</v>
      </c>
      <c r="I309" s="7">
        <f t="shared" si="21"/>
        <v>343.24511998716372</v>
      </c>
      <c r="J309" s="7">
        <f t="shared" si="23"/>
        <v>2.0348800128362541</v>
      </c>
      <c r="K309" s="7" cm="1">
        <f t="array" ref="K309">INDEX(Sm,G309)</f>
        <v>1.3733706304072995</v>
      </c>
      <c r="L309" s="7">
        <f t="shared" si="24"/>
        <v>344.61849061757101</v>
      </c>
      <c r="M309" s="7">
        <f t="shared" si="25"/>
        <v>0.66150938242896018</v>
      </c>
    </row>
    <row r="310" spans="6:13" ht="18.75" customHeight="1">
      <c r="F310" s="1">
        <v>30773</v>
      </c>
      <c r="G310">
        <f t="shared" si="22"/>
        <v>4</v>
      </c>
      <c r="H310" s="7">
        <v>347.05</v>
      </c>
      <c r="I310" s="7">
        <f t="shared" si="21"/>
        <v>343.36754540046917</v>
      </c>
      <c r="J310" s="7">
        <f t="shared" si="23"/>
        <v>3.6824545995308426</v>
      </c>
      <c r="K310" s="7" cm="1">
        <f t="array" ref="K310">INDEX(Sm,G310)</f>
        <v>2.6099183412742755</v>
      </c>
      <c r="L310" s="7">
        <f t="shared" si="24"/>
        <v>345.97746374174346</v>
      </c>
      <c r="M310" s="7">
        <f t="shared" si="25"/>
        <v>1.0725362582565481</v>
      </c>
    </row>
    <row r="311" spans="6:13" ht="18.75" customHeight="1">
      <c r="F311" s="1">
        <v>30803</v>
      </c>
      <c r="G311">
        <f t="shared" si="22"/>
        <v>5</v>
      </c>
      <c r="H311" s="7">
        <v>347.43</v>
      </c>
      <c r="I311" s="7">
        <f t="shared" si="21"/>
        <v>343.48620103347253</v>
      </c>
      <c r="J311" s="7">
        <f t="shared" si="23"/>
        <v>3.9437989665274813</v>
      </c>
      <c r="K311" s="7" cm="1">
        <f t="array" ref="K311">INDEX(Sm,G311)</f>
        <v>3.065291801195754</v>
      </c>
      <c r="L311" s="7">
        <f t="shared" si="24"/>
        <v>346.5514928346683</v>
      </c>
      <c r="M311" s="7">
        <f t="shared" si="25"/>
        <v>0.8785071653317118</v>
      </c>
    </row>
    <row r="312" spans="6:13" ht="18.75" customHeight="1">
      <c r="F312" s="1">
        <v>30834</v>
      </c>
      <c r="G312">
        <f t="shared" si="22"/>
        <v>6</v>
      </c>
      <c r="H312" s="7">
        <v>346.8</v>
      </c>
      <c r="I312" s="7">
        <f t="shared" si="21"/>
        <v>343.60899726170726</v>
      </c>
      <c r="J312" s="7">
        <f t="shared" si="23"/>
        <v>3.1910027382927524</v>
      </c>
      <c r="K312" s="7" cm="1">
        <f t="array" ref="K312">INDEX(Sm,G312)</f>
        <v>2.3463851222642056</v>
      </c>
      <c r="L312" s="7">
        <f t="shared" si="24"/>
        <v>345.95538238397148</v>
      </c>
      <c r="M312" s="7">
        <f t="shared" si="25"/>
        <v>0.84461761602852903</v>
      </c>
    </row>
    <row r="313" spans="6:13" ht="18.75" customHeight="1">
      <c r="F313" s="1">
        <v>30864</v>
      </c>
      <c r="G313">
        <f t="shared" si="22"/>
        <v>7</v>
      </c>
      <c r="H313" s="7">
        <v>345.39</v>
      </c>
      <c r="I313" s="7">
        <f t="shared" si="21"/>
        <v>343.72801174786798</v>
      </c>
      <c r="J313" s="7">
        <f t="shared" si="23"/>
        <v>1.6619882521320051</v>
      </c>
      <c r="K313" s="7" cm="1">
        <f t="array" ref="K313">INDEX(Sm,G313)</f>
        <v>0.72334113060077332</v>
      </c>
      <c r="L313" s="7">
        <f t="shared" si="24"/>
        <v>344.45135287846875</v>
      </c>
      <c r="M313" s="7">
        <f t="shared" si="25"/>
        <v>0.93864712153123264</v>
      </c>
    </row>
    <row r="314" spans="6:13" ht="18.75" customHeight="1">
      <c r="F314" s="1">
        <v>30895</v>
      </c>
      <c r="G314">
        <f t="shared" si="22"/>
        <v>8</v>
      </c>
      <c r="H314" s="7">
        <v>343.28</v>
      </c>
      <c r="I314" s="7">
        <f t="shared" si="21"/>
        <v>343.85117879103211</v>
      </c>
      <c r="J314" s="7">
        <f t="shared" si="23"/>
        <v>-0.57117879103213909</v>
      </c>
      <c r="K314" s="7" cm="1">
        <f t="array" ref="K314">INDEX(Sm,G314)</f>
        <v>-1.3975570061157723</v>
      </c>
      <c r="L314" s="7">
        <f t="shared" si="24"/>
        <v>342.45362178491632</v>
      </c>
      <c r="M314" s="7">
        <f t="shared" si="25"/>
        <v>0.8263782150836505</v>
      </c>
    </row>
    <row r="315" spans="6:13" ht="18.75" customHeight="1">
      <c r="F315" s="1">
        <v>30926</v>
      </c>
      <c r="G315">
        <f t="shared" si="22"/>
        <v>9</v>
      </c>
      <c r="H315" s="7">
        <v>341.07</v>
      </c>
      <c r="I315" s="7">
        <f t="shared" si="21"/>
        <v>343.97453428112749</v>
      </c>
      <c r="J315" s="7">
        <f t="shared" si="23"/>
        <v>-2.9045342811274963</v>
      </c>
      <c r="K315" s="7" cm="1">
        <f t="array" ref="K315">INDEX(Sm,G315)</f>
        <v>-3.1934822994410497</v>
      </c>
      <c r="L315" s="7">
        <f t="shared" si="24"/>
        <v>340.78105198168646</v>
      </c>
      <c r="M315" s="7">
        <f t="shared" si="25"/>
        <v>0.28894801831353334</v>
      </c>
    </row>
    <row r="316" spans="6:13" ht="18.75" customHeight="1">
      <c r="F316" s="1">
        <v>30956</v>
      </c>
      <c r="G316">
        <f t="shared" si="22"/>
        <v>10</v>
      </c>
      <c r="H316" s="7">
        <v>341.35</v>
      </c>
      <c r="I316" s="7">
        <f t="shared" si="21"/>
        <v>344.09408998844373</v>
      </c>
      <c r="J316" s="7">
        <f t="shared" si="23"/>
        <v>-2.7440899884437044</v>
      </c>
      <c r="K316" s="7" cm="1">
        <f t="array" ref="K316">INDEX(Sm,G316)</f>
        <v>-3.3368150874962788</v>
      </c>
      <c r="L316" s="7">
        <f t="shared" si="24"/>
        <v>340.75727490094744</v>
      </c>
      <c r="M316" s="7">
        <f t="shared" si="25"/>
        <v>0.5927250990525863</v>
      </c>
    </row>
    <row r="317" spans="6:13" ht="18.75" customHeight="1">
      <c r="F317" s="1">
        <v>30987</v>
      </c>
      <c r="G317">
        <f t="shared" si="22"/>
        <v>11</v>
      </c>
      <c r="H317" s="7">
        <v>342.98</v>
      </c>
      <c r="I317" s="7">
        <f t="shared" si="21"/>
        <v>344.21781629346845</v>
      </c>
      <c r="J317" s="7">
        <f t="shared" si="23"/>
        <v>-1.2378162934684269</v>
      </c>
      <c r="K317" s="7" cm="1">
        <f t="array" ref="K317">INDEX(Sm,G317)</f>
        <v>-2.0591623324975612</v>
      </c>
      <c r="L317" s="7">
        <f t="shared" si="24"/>
        <v>342.15865396097087</v>
      </c>
      <c r="M317" s="7">
        <f t="shared" si="25"/>
        <v>0.8213460390291516</v>
      </c>
    </row>
    <row r="318" spans="6:13" ht="18.75" customHeight="1">
      <c r="F318" s="1">
        <v>31017</v>
      </c>
      <c r="G318">
        <f t="shared" si="22"/>
        <v>12</v>
      </c>
      <c r="H318" s="7">
        <v>344.22</v>
      </c>
      <c r="I318" s="7">
        <f t="shared" si="21"/>
        <v>344.33773085394205</v>
      </c>
      <c r="J318" s="7">
        <f t="shared" si="23"/>
        <v>-0.11773085394202099</v>
      </c>
      <c r="K318" s="7" cm="1">
        <f t="array" ref="K318">INDEX(Sm,G318)</f>
        <v>-0.89132446529561371</v>
      </c>
      <c r="L318" s="7">
        <f t="shared" si="24"/>
        <v>343.44640638864644</v>
      </c>
      <c r="M318" s="7">
        <f t="shared" si="25"/>
        <v>0.77359361135358995</v>
      </c>
    </row>
    <row r="319" spans="6:13" ht="18.75" customHeight="1">
      <c r="F319" s="1">
        <v>31048</v>
      </c>
      <c r="G319">
        <f t="shared" si="22"/>
        <v>1</v>
      </c>
      <c r="H319" s="7">
        <v>344.97</v>
      </c>
      <c r="I319" s="7">
        <f t="shared" si="21"/>
        <v>344.46182797389611</v>
      </c>
      <c r="J319" s="7">
        <f t="shared" si="23"/>
        <v>0.50817202610392087</v>
      </c>
      <c r="K319" s="7" cm="1">
        <f t="array" ref="K319">INDEX(Sm,G319)</f>
        <v>6.1040869584970889E-2</v>
      </c>
      <c r="L319" s="7">
        <f t="shared" si="24"/>
        <v>344.52286884348109</v>
      </c>
      <c r="M319" s="7">
        <f t="shared" si="25"/>
        <v>0.44713115651893531</v>
      </c>
    </row>
    <row r="320" spans="6:13" ht="18.75" customHeight="1">
      <c r="F320" s="1">
        <v>31079</v>
      </c>
      <c r="G320">
        <f t="shared" si="22"/>
        <v>2</v>
      </c>
      <c r="H320" s="7">
        <v>345.99</v>
      </c>
      <c r="I320" s="7">
        <f t="shared" si="21"/>
        <v>344.58611354078153</v>
      </c>
      <c r="J320" s="7">
        <f t="shared" si="23"/>
        <v>1.4038864592184837</v>
      </c>
      <c r="K320" s="7" cm="1">
        <f t="array" ref="K320">INDEX(Sm,G320)</f>
        <v>0.69421564520236412</v>
      </c>
      <c r="L320" s="7">
        <f t="shared" si="24"/>
        <v>345.28032918598387</v>
      </c>
      <c r="M320" s="7">
        <f t="shared" si="25"/>
        <v>0.70967081401613541</v>
      </c>
    </row>
    <row r="321" spans="6:13" ht="18.75" customHeight="1">
      <c r="F321" s="1">
        <v>31107</v>
      </c>
      <c r="G321">
        <f t="shared" si="22"/>
        <v>3</v>
      </c>
      <c r="H321" s="7">
        <v>347.42</v>
      </c>
      <c r="I321" s="7">
        <f t="shared" si="21"/>
        <v>344.69853344631923</v>
      </c>
      <c r="J321" s="7">
        <f t="shared" si="23"/>
        <v>2.7214665536807843</v>
      </c>
      <c r="K321" s="7" cm="1">
        <f t="array" ref="K321">INDEX(Sm,G321)</f>
        <v>1.3733706304072995</v>
      </c>
      <c r="L321" s="7">
        <f t="shared" si="24"/>
        <v>346.07190407672653</v>
      </c>
      <c r="M321" s="7">
        <f t="shared" si="25"/>
        <v>1.3480959232734904</v>
      </c>
    </row>
    <row r="322" spans="6:13" ht="18.75" customHeight="1">
      <c r="F322" s="1">
        <v>31138</v>
      </c>
      <c r="G322">
        <f t="shared" si="22"/>
        <v>4</v>
      </c>
      <c r="H322" s="7">
        <v>348.35</v>
      </c>
      <c r="I322" s="7">
        <f t="shared" ref="I322:I385" si="26">_A*F322*F322+_B*F322+_C</f>
        <v>344.82317767026734</v>
      </c>
      <c r="J322" s="7">
        <f t="shared" si="23"/>
        <v>3.5268223297326813</v>
      </c>
      <c r="K322" s="7" cm="1">
        <f t="array" ref="K322">INDEX(Sm,G322)</f>
        <v>2.6099183412742755</v>
      </c>
      <c r="L322" s="7">
        <f t="shared" si="24"/>
        <v>347.43309601154164</v>
      </c>
      <c r="M322" s="7">
        <f t="shared" si="25"/>
        <v>0.91690398845838672</v>
      </c>
    </row>
    <row r="323" spans="6:13" ht="18.75" customHeight="1">
      <c r="F323" s="1">
        <v>31168</v>
      </c>
      <c r="G323">
        <f t="shared" ref="G323:G386" si="27">MONTH(F323)</f>
        <v>5</v>
      </c>
      <c r="H323" s="7">
        <v>348.93</v>
      </c>
      <c r="I323" s="7">
        <f t="shared" si="26"/>
        <v>344.94398053937658</v>
      </c>
      <c r="J323" s="7">
        <f t="shared" ref="J323:J386" si="28">H323-I323</f>
        <v>3.9860194606234245</v>
      </c>
      <c r="K323" s="7" cm="1">
        <f t="array" ref="K323">INDEX(Sm,G323)</f>
        <v>3.065291801195754</v>
      </c>
      <c r="L323" s="7">
        <f t="shared" ref="L323:L386" si="29">I323+K323</f>
        <v>348.00927234057235</v>
      </c>
      <c r="M323" s="7">
        <f t="shared" ref="M323:M386" si="30">H323-L323</f>
        <v>0.920727659427655</v>
      </c>
    </row>
    <row r="324" spans="6:13" ht="18.75" customHeight="1">
      <c r="F324" s="1">
        <v>31199</v>
      </c>
      <c r="G324">
        <f t="shared" si="27"/>
        <v>6</v>
      </c>
      <c r="H324" s="7">
        <v>348.25</v>
      </c>
      <c r="I324" s="7">
        <f t="shared" si="26"/>
        <v>345.06899557825409</v>
      </c>
      <c r="J324" s="7">
        <f t="shared" si="28"/>
        <v>3.1810044217459108</v>
      </c>
      <c r="K324" s="7" cm="1">
        <f t="array" ref="K324">INDEX(Sm,G324)</f>
        <v>2.3463851222642056</v>
      </c>
      <c r="L324" s="7">
        <f t="shared" si="29"/>
        <v>347.41538070051831</v>
      </c>
      <c r="M324" s="7">
        <f t="shared" si="30"/>
        <v>0.83461929948168745</v>
      </c>
    </row>
    <row r="325" spans="6:13" ht="18.75" customHeight="1">
      <c r="F325" s="1">
        <v>31229</v>
      </c>
      <c r="G325">
        <f t="shared" si="27"/>
        <v>7</v>
      </c>
      <c r="H325" s="7">
        <v>346.56</v>
      </c>
      <c r="I325" s="7">
        <f t="shared" si="26"/>
        <v>345.1901573005207</v>
      </c>
      <c r="J325" s="7">
        <f t="shared" si="28"/>
        <v>1.3698426994793067</v>
      </c>
      <c r="K325" s="7" cm="1">
        <f t="array" ref="K325">INDEX(Sm,G325)</f>
        <v>0.72334113060077332</v>
      </c>
      <c r="L325" s="7">
        <f t="shared" si="29"/>
        <v>345.91349843112147</v>
      </c>
      <c r="M325" s="7">
        <f t="shared" si="30"/>
        <v>0.64650156887853427</v>
      </c>
    </row>
    <row r="326" spans="6:13" ht="18.75" customHeight="1">
      <c r="F326" s="1">
        <v>31260</v>
      </c>
      <c r="G326">
        <f t="shared" si="27"/>
        <v>8</v>
      </c>
      <c r="H326" s="7">
        <v>344.67</v>
      </c>
      <c r="I326" s="7">
        <f t="shared" si="26"/>
        <v>345.31554315432754</v>
      </c>
      <c r="J326" s="7">
        <f t="shared" si="28"/>
        <v>-0.64554315432752674</v>
      </c>
      <c r="K326" s="7" cm="1">
        <f t="array" ref="K326">INDEX(Sm,G326)</f>
        <v>-1.3975570061157723</v>
      </c>
      <c r="L326" s="7">
        <f t="shared" si="29"/>
        <v>343.91798614821175</v>
      </c>
      <c r="M326" s="7">
        <f t="shared" si="30"/>
        <v>0.75201385178826285</v>
      </c>
    </row>
    <row r="327" spans="6:13" ht="18.75" customHeight="1">
      <c r="F327" s="1">
        <v>31291</v>
      </c>
      <c r="G327">
        <f t="shared" si="27"/>
        <v>9</v>
      </c>
      <c r="H327" s="7">
        <v>343.09</v>
      </c>
      <c r="I327" s="7">
        <f t="shared" si="26"/>
        <v>345.44111745506564</v>
      </c>
      <c r="J327" s="7">
        <f t="shared" si="28"/>
        <v>-2.3511174550656619</v>
      </c>
      <c r="K327" s="7" cm="1">
        <f t="array" ref="K327">INDEX(Sm,G327)</f>
        <v>-3.1934822994410497</v>
      </c>
      <c r="L327" s="7">
        <f t="shared" si="29"/>
        <v>342.24763515562461</v>
      </c>
      <c r="M327" s="7">
        <f t="shared" si="30"/>
        <v>0.84236484437536774</v>
      </c>
    </row>
    <row r="328" spans="6:13" ht="18.75" customHeight="1">
      <c r="F328" s="1">
        <v>31321</v>
      </c>
      <c r="G328">
        <f t="shared" si="27"/>
        <v>10</v>
      </c>
      <c r="H328" s="7">
        <v>342.8</v>
      </c>
      <c r="I328" s="7">
        <f t="shared" si="26"/>
        <v>345.5628203984877</v>
      </c>
      <c r="J328" s="7">
        <f t="shared" si="28"/>
        <v>-2.7628203984876905</v>
      </c>
      <c r="K328" s="7" cm="1">
        <f t="array" ref="K328">INDEX(Sm,G328)</f>
        <v>-3.3368150874962788</v>
      </c>
      <c r="L328" s="7">
        <f t="shared" si="29"/>
        <v>342.22600531099141</v>
      </c>
      <c r="M328" s="7">
        <f t="shared" si="30"/>
        <v>0.57399468900860029</v>
      </c>
    </row>
    <row r="329" spans="6:13" ht="18.75" customHeight="1">
      <c r="F329" s="1">
        <v>31352</v>
      </c>
      <c r="G329">
        <f t="shared" si="27"/>
        <v>11</v>
      </c>
      <c r="H329" s="7">
        <v>344.24</v>
      </c>
      <c r="I329" s="7">
        <f t="shared" si="26"/>
        <v>345.68876551415519</v>
      </c>
      <c r="J329" s="7">
        <f t="shared" si="28"/>
        <v>-1.4487655141551841</v>
      </c>
      <c r="K329" s="7" cm="1">
        <f t="array" ref="K329">INDEX(Sm,G329)</f>
        <v>-2.0591623324975612</v>
      </c>
      <c r="L329" s="7">
        <f t="shared" si="29"/>
        <v>343.62960318165761</v>
      </c>
      <c r="M329" s="7">
        <f t="shared" si="30"/>
        <v>0.61039681834239445</v>
      </c>
    </row>
    <row r="330" spans="6:13" ht="18.75" customHeight="1">
      <c r="F330" s="1">
        <v>31382</v>
      </c>
      <c r="G330">
        <f t="shared" si="27"/>
        <v>12</v>
      </c>
      <c r="H330" s="7">
        <v>345.56</v>
      </c>
      <c r="I330" s="7">
        <f t="shared" si="26"/>
        <v>345.81082731073462</v>
      </c>
      <c r="J330" s="7">
        <f t="shared" si="28"/>
        <v>-0.25082731073462128</v>
      </c>
      <c r="K330" s="7" cm="1">
        <f t="array" ref="K330">INDEX(Sm,G330)</f>
        <v>-0.89132446529561371</v>
      </c>
      <c r="L330" s="7">
        <f t="shared" si="29"/>
        <v>344.91950284543901</v>
      </c>
      <c r="M330" s="7">
        <f t="shared" si="30"/>
        <v>0.64049715456098966</v>
      </c>
    </row>
    <row r="331" spans="6:13" ht="18.75" customHeight="1">
      <c r="F331" s="1">
        <v>31413</v>
      </c>
      <c r="G331">
        <f t="shared" si="27"/>
        <v>1</v>
      </c>
      <c r="H331" s="7">
        <v>346.3</v>
      </c>
      <c r="I331" s="7">
        <f t="shared" si="26"/>
        <v>345.93714324133146</v>
      </c>
      <c r="J331" s="7">
        <f t="shared" si="28"/>
        <v>0.36285675866855627</v>
      </c>
      <c r="K331" s="7" cm="1">
        <f t="array" ref="K331">INDEX(Sm,G331)</f>
        <v>6.1040869584970889E-2</v>
      </c>
      <c r="L331" s="7">
        <f t="shared" si="29"/>
        <v>345.99818411091644</v>
      </c>
      <c r="M331" s="7">
        <f t="shared" si="30"/>
        <v>0.30181588908357071</v>
      </c>
    </row>
    <row r="332" spans="6:13" ht="18.75" customHeight="1">
      <c r="F332" s="1">
        <v>31444</v>
      </c>
      <c r="G332">
        <f t="shared" si="27"/>
        <v>2</v>
      </c>
      <c r="H332" s="7">
        <v>346.95</v>
      </c>
      <c r="I332" s="7">
        <f t="shared" si="26"/>
        <v>346.06364761885953</v>
      </c>
      <c r="J332" s="7">
        <f t="shared" si="28"/>
        <v>0.88635238114045478</v>
      </c>
      <c r="K332" s="7" cm="1">
        <f t="array" ref="K332">INDEX(Sm,G332)</f>
        <v>0.69421564520236412</v>
      </c>
      <c r="L332" s="7">
        <f t="shared" si="29"/>
        <v>346.75786326406188</v>
      </c>
      <c r="M332" s="7">
        <f t="shared" si="30"/>
        <v>0.19213673593810654</v>
      </c>
    </row>
    <row r="333" spans="6:13" ht="18.75" customHeight="1">
      <c r="F333" s="1">
        <v>31472</v>
      </c>
      <c r="G333">
        <f t="shared" si="27"/>
        <v>3</v>
      </c>
      <c r="H333" s="7">
        <v>347.85</v>
      </c>
      <c r="I333" s="7">
        <f t="shared" si="26"/>
        <v>346.1780716114294</v>
      </c>
      <c r="J333" s="7">
        <f t="shared" si="28"/>
        <v>1.6719283885706204</v>
      </c>
      <c r="K333" s="7" cm="1">
        <f t="array" ref="K333">INDEX(Sm,G333)</f>
        <v>1.3733706304072995</v>
      </c>
      <c r="L333" s="7">
        <f t="shared" si="29"/>
        <v>347.5514422418367</v>
      </c>
      <c r="M333" s="7">
        <f t="shared" si="30"/>
        <v>0.29855775816332653</v>
      </c>
    </row>
    <row r="334" spans="6:13" ht="18.75" customHeight="1">
      <c r="F334" s="1">
        <v>31503</v>
      </c>
      <c r="G334">
        <f t="shared" si="27"/>
        <v>4</v>
      </c>
      <c r="H334" s="7">
        <v>349.55</v>
      </c>
      <c r="I334" s="7">
        <f t="shared" si="26"/>
        <v>346.30493464602029</v>
      </c>
      <c r="J334" s="7">
        <f t="shared" si="28"/>
        <v>3.2450653539797258</v>
      </c>
      <c r="K334" s="7" cm="1">
        <f t="array" ref="K334">INDEX(Sm,G334)</f>
        <v>2.6099183412742755</v>
      </c>
      <c r="L334" s="7">
        <f t="shared" si="29"/>
        <v>348.91485298729458</v>
      </c>
      <c r="M334" s="7">
        <f t="shared" si="30"/>
        <v>0.63514701270543128</v>
      </c>
    </row>
    <row r="335" spans="6:13" ht="18.75" customHeight="1">
      <c r="F335" s="1">
        <v>31533</v>
      </c>
      <c r="G335">
        <f t="shared" si="27"/>
        <v>5</v>
      </c>
      <c r="H335" s="7">
        <v>350.22</v>
      </c>
      <c r="I335" s="7">
        <f t="shared" si="26"/>
        <v>346.42788475123535</v>
      </c>
      <c r="J335" s="7">
        <f t="shared" si="28"/>
        <v>3.7921152487646737</v>
      </c>
      <c r="K335" s="7" cm="1">
        <f t="array" ref="K335">INDEX(Sm,G335)</f>
        <v>3.065291801195754</v>
      </c>
      <c r="L335" s="7">
        <f t="shared" si="29"/>
        <v>349.49317655243112</v>
      </c>
      <c r="M335" s="7">
        <f t="shared" si="30"/>
        <v>0.72682344756890416</v>
      </c>
    </row>
    <row r="336" spans="6:13" ht="18.75" customHeight="1">
      <c r="F336" s="1">
        <v>31564</v>
      </c>
      <c r="G336">
        <f t="shared" si="27"/>
        <v>6</v>
      </c>
      <c r="H336" s="7">
        <v>349.55</v>
      </c>
      <c r="I336" s="7">
        <f t="shared" si="26"/>
        <v>346.55511860075558</v>
      </c>
      <c r="J336" s="7">
        <f t="shared" si="28"/>
        <v>2.9948813992444343</v>
      </c>
      <c r="K336" s="7" cm="1">
        <f t="array" ref="K336">INDEX(Sm,G336)</f>
        <v>2.3463851222642056</v>
      </c>
      <c r="L336" s="7">
        <f t="shared" si="29"/>
        <v>348.9015037230198</v>
      </c>
      <c r="M336" s="7">
        <f t="shared" si="30"/>
        <v>0.64849627698021095</v>
      </c>
    </row>
    <row r="337" spans="6:13" ht="18.75" customHeight="1">
      <c r="F337" s="1">
        <v>31594</v>
      </c>
      <c r="G337">
        <f t="shared" si="27"/>
        <v>7</v>
      </c>
      <c r="H337" s="7">
        <v>347.94</v>
      </c>
      <c r="I337" s="7">
        <f t="shared" si="26"/>
        <v>346.67842755912807</v>
      </c>
      <c r="J337" s="7">
        <f t="shared" si="28"/>
        <v>1.2615724408719302</v>
      </c>
      <c r="K337" s="7" cm="1">
        <f t="array" ref="K337">INDEX(Sm,G337)</f>
        <v>0.72334113060077332</v>
      </c>
      <c r="L337" s="7">
        <f t="shared" si="29"/>
        <v>347.40176868972884</v>
      </c>
      <c r="M337" s="7">
        <f t="shared" si="30"/>
        <v>0.53823131027115778</v>
      </c>
    </row>
    <row r="338" spans="6:13" ht="18.75" customHeight="1">
      <c r="F338" s="1">
        <v>31625</v>
      </c>
      <c r="G338">
        <f t="shared" si="27"/>
        <v>8</v>
      </c>
      <c r="H338" s="7">
        <v>345.9</v>
      </c>
      <c r="I338" s="7">
        <f t="shared" si="26"/>
        <v>346.80603222357763</v>
      </c>
      <c r="J338" s="7">
        <f t="shared" si="28"/>
        <v>-0.90603222357765389</v>
      </c>
      <c r="K338" s="7" cm="1">
        <f t="array" ref="K338">INDEX(Sm,G338)</f>
        <v>-1.3975570061157723</v>
      </c>
      <c r="L338" s="7">
        <f t="shared" si="29"/>
        <v>345.40847521746184</v>
      </c>
      <c r="M338" s="7">
        <f t="shared" si="30"/>
        <v>0.4915247825381357</v>
      </c>
    </row>
    <row r="339" spans="6:13" ht="18.75" customHeight="1">
      <c r="F339" s="1">
        <v>31656</v>
      </c>
      <c r="G339">
        <f t="shared" si="27"/>
        <v>9</v>
      </c>
      <c r="H339" s="7">
        <v>344.85</v>
      </c>
      <c r="I339" s="7">
        <f t="shared" si="26"/>
        <v>346.9338253349585</v>
      </c>
      <c r="J339" s="7">
        <f t="shared" si="28"/>
        <v>-2.0838253349584761</v>
      </c>
      <c r="K339" s="7" cm="1">
        <f t="array" ref="K339">INDEX(Sm,G339)</f>
        <v>-3.1934822994410497</v>
      </c>
      <c r="L339" s="7">
        <f t="shared" si="29"/>
        <v>343.74034303551747</v>
      </c>
      <c r="M339" s="7">
        <f t="shared" si="30"/>
        <v>1.1096569644825536</v>
      </c>
    </row>
    <row r="340" spans="6:13" ht="18.75" customHeight="1">
      <c r="F340" s="1">
        <v>31686</v>
      </c>
      <c r="G340">
        <f t="shared" si="27"/>
        <v>10</v>
      </c>
      <c r="H340" s="7">
        <v>344.17</v>
      </c>
      <c r="I340" s="7">
        <f t="shared" si="26"/>
        <v>347.05767551448639</v>
      </c>
      <c r="J340" s="7">
        <f t="shared" si="28"/>
        <v>-2.8876755144863751</v>
      </c>
      <c r="K340" s="7" cm="1">
        <f t="array" ref="K340">INDEX(Sm,G340)</f>
        <v>-3.3368150874962788</v>
      </c>
      <c r="L340" s="7">
        <f t="shared" si="29"/>
        <v>343.7208604269901</v>
      </c>
      <c r="M340" s="7">
        <f t="shared" si="30"/>
        <v>0.44913957300991569</v>
      </c>
    </row>
    <row r="341" spans="6:13" ht="18.75" customHeight="1">
      <c r="F341" s="1">
        <v>31717</v>
      </c>
      <c r="G341">
        <f t="shared" si="27"/>
        <v>11</v>
      </c>
      <c r="H341" s="7">
        <v>345.66</v>
      </c>
      <c r="I341" s="7">
        <f t="shared" si="26"/>
        <v>347.1858394407966</v>
      </c>
      <c r="J341" s="7">
        <f t="shared" si="28"/>
        <v>-1.5258394407965739</v>
      </c>
      <c r="K341" s="7" cm="1">
        <f t="array" ref="K341">INDEX(Sm,G341)</f>
        <v>-2.0591623324975612</v>
      </c>
      <c r="L341" s="7">
        <f t="shared" si="29"/>
        <v>345.12667710829902</v>
      </c>
      <c r="M341" s="7">
        <f t="shared" si="30"/>
        <v>0.53332289170100466</v>
      </c>
    </row>
    <row r="342" spans="6:13" ht="18.75" customHeight="1">
      <c r="F342" s="1">
        <v>31747</v>
      </c>
      <c r="G342">
        <f t="shared" si="27"/>
        <v>12</v>
      </c>
      <c r="H342" s="7">
        <v>346.9</v>
      </c>
      <c r="I342" s="7">
        <f t="shared" si="26"/>
        <v>347.31004847348197</v>
      </c>
      <c r="J342" s="7">
        <f t="shared" si="28"/>
        <v>-0.41004847348199291</v>
      </c>
      <c r="K342" s="7" cm="1">
        <f t="array" ref="K342">INDEX(Sm,G342)</f>
        <v>-0.89132446529561371</v>
      </c>
      <c r="L342" s="7">
        <f t="shared" si="29"/>
        <v>346.41872400818636</v>
      </c>
      <c r="M342" s="7">
        <f t="shared" si="30"/>
        <v>0.48127599181361802</v>
      </c>
    </row>
    <row r="343" spans="6:13" ht="18.75" customHeight="1">
      <c r="F343" s="1">
        <v>31778</v>
      </c>
      <c r="G343">
        <f t="shared" si="27"/>
        <v>1</v>
      </c>
      <c r="H343" s="7">
        <v>348.02</v>
      </c>
      <c r="I343" s="7">
        <f t="shared" si="26"/>
        <v>347.43858321472146</v>
      </c>
      <c r="J343" s="7">
        <f t="shared" si="28"/>
        <v>0.58141678527852036</v>
      </c>
      <c r="K343" s="7" cm="1">
        <f t="array" ref="K343">INDEX(Sm,G343)</f>
        <v>6.1040869584970889E-2</v>
      </c>
      <c r="L343" s="7">
        <f t="shared" si="29"/>
        <v>347.49962408430645</v>
      </c>
      <c r="M343" s="7">
        <f t="shared" si="30"/>
        <v>0.52037591569353481</v>
      </c>
    </row>
    <row r="344" spans="6:13" ht="18.75" customHeight="1">
      <c r="F344" s="1">
        <v>31809</v>
      </c>
      <c r="G344">
        <f t="shared" si="27"/>
        <v>2</v>
      </c>
      <c r="H344" s="7">
        <v>348.48</v>
      </c>
      <c r="I344" s="7">
        <f t="shared" si="26"/>
        <v>347.56730640289231</v>
      </c>
      <c r="J344" s="7">
        <f t="shared" si="28"/>
        <v>0.91269359710770459</v>
      </c>
      <c r="K344" s="7" cm="1">
        <f t="array" ref="K344">INDEX(Sm,G344)</f>
        <v>0.69421564520236412</v>
      </c>
      <c r="L344" s="7">
        <f t="shared" si="29"/>
        <v>348.26152204809466</v>
      </c>
      <c r="M344" s="7">
        <f t="shared" si="30"/>
        <v>0.21847795190535635</v>
      </c>
    </row>
    <row r="345" spans="6:13" ht="18.75" customHeight="1">
      <c r="F345" s="1">
        <v>31837</v>
      </c>
      <c r="G345">
        <f t="shared" si="27"/>
        <v>3</v>
      </c>
      <c r="H345" s="7">
        <v>349.42</v>
      </c>
      <c r="I345" s="7">
        <f t="shared" si="26"/>
        <v>347.68373448249429</v>
      </c>
      <c r="J345" s="7">
        <f t="shared" si="28"/>
        <v>1.7362655175057284</v>
      </c>
      <c r="K345" s="7" cm="1">
        <f t="array" ref="K345">INDEX(Sm,G345)</f>
        <v>1.3733706304072995</v>
      </c>
      <c r="L345" s="7">
        <f t="shared" si="29"/>
        <v>349.05710511290158</v>
      </c>
      <c r="M345" s="7">
        <f t="shared" si="30"/>
        <v>0.36289488709843454</v>
      </c>
    </row>
    <row r="346" spans="6:13" ht="18.75" customHeight="1">
      <c r="F346" s="1">
        <v>31868</v>
      </c>
      <c r="G346">
        <f t="shared" si="27"/>
        <v>4</v>
      </c>
      <c r="H346" s="7">
        <v>350.98</v>
      </c>
      <c r="I346" s="7">
        <f t="shared" si="26"/>
        <v>347.81281632772794</v>
      </c>
      <c r="J346" s="7">
        <f t="shared" si="28"/>
        <v>3.1671836722720741</v>
      </c>
      <c r="K346" s="7" cm="1">
        <f t="array" ref="K346">INDEX(Sm,G346)</f>
        <v>2.6099183412742755</v>
      </c>
      <c r="L346" s="7">
        <f t="shared" si="29"/>
        <v>350.42273466900224</v>
      </c>
      <c r="M346" s="7">
        <f t="shared" si="30"/>
        <v>0.55726533099777953</v>
      </c>
    </row>
    <row r="347" spans="6:13" ht="18.75" customHeight="1">
      <c r="F347" s="1">
        <v>31898</v>
      </c>
      <c r="G347">
        <f t="shared" si="27"/>
        <v>5</v>
      </c>
      <c r="H347" s="7">
        <v>351.85</v>
      </c>
      <c r="I347" s="7">
        <f t="shared" si="26"/>
        <v>347.93791366904884</v>
      </c>
      <c r="J347" s="7">
        <f t="shared" si="28"/>
        <v>3.9120863309511833</v>
      </c>
      <c r="K347" s="7" cm="1">
        <f t="array" ref="K347">INDEX(Sm,G347)</f>
        <v>3.065291801195754</v>
      </c>
      <c r="L347" s="7">
        <f t="shared" si="29"/>
        <v>351.00320547024461</v>
      </c>
      <c r="M347" s="7">
        <f t="shared" si="30"/>
        <v>0.84679452975541381</v>
      </c>
    </row>
    <row r="348" spans="6:13" ht="18.75" customHeight="1">
      <c r="F348" s="1">
        <v>31929</v>
      </c>
      <c r="G348">
        <f t="shared" si="27"/>
        <v>6</v>
      </c>
      <c r="H348" s="7">
        <v>351.26</v>
      </c>
      <c r="I348" s="7">
        <f t="shared" si="26"/>
        <v>348.06736632921184</v>
      </c>
      <c r="J348" s="7">
        <f t="shared" si="28"/>
        <v>3.1926336707881546</v>
      </c>
      <c r="K348" s="7" cm="1">
        <f t="array" ref="K348">INDEX(Sm,G348)</f>
        <v>2.3463851222642056</v>
      </c>
      <c r="L348" s="7">
        <f t="shared" si="29"/>
        <v>350.41375145147606</v>
      </c>
      <c r="M348" s="7">
        <f t="shared" si="30"/>
        <v>0.84624854852393128</v>
      </c>
    </row>
    <row r="349" spans="6:13" ht="18.75" customHeight="1">
      <c r="F349" s="1">
        <v>31959</v>
      </c>
      <c r="G349">
        <f t="shared" si="27"/>
        <v>7</v>
      </c>
      <c r="H349" s="7">
        <v>349.51</v>
      </c>
      <c r="I349" s="7">
        <f t="shared" si="26"/>
        <v>348.19282252369015</v>
      </c>
      <c r="J349" s="7">
        <f t="shared" si="28"/>
        <v>1.3171774763098369</v>
      </c>
      <c r="K349" s="7" cm="1">
        <f t="array" ref="K349">INDEX(Sm,G349)</f>
        <v>0.72334113060077332</v>
      </c>
      <c r="L349" s="7">
        <f t="shared" si="29"/>
        <v>348.91616365429093</v>
      </c>
      <c r="M349" s="7">
        <f t="shared" si="30"/>
        <v>0.59383634570906452</v>
      </c>
    </row>
    <row r="350" spans="6:13" ht="18.75" customHeight="1">
      <c r="F350" s="1">
        <v>31990</v>
      </c>
      <c r="G350">
        <f t="shared" si="27"/>
        <v>8</v>
      </c>
      <c r="H350" s="7">
        <v>348.1</v>
      </c>
      <c r="I350" s="7">
        <f t="shared" si="26"/>
        <v>348.32264599878249</v>
      </c>
      <c r="J350" s="7">
        <f t="shared" si="28"/>
        <v>-0.22264599878246827</v>
      </c>
      <c r="K350" s="7" cm="1">
        <f t="array" ref="K350">INDEX(Sm,G350)</f>
        <v>-1.3975570061157723</v>
      </c>
      <c r="L350" s="7">
        <f t="shared" si="29"/>
        <v>346.9250889926667</v>
      </c>
      <c r="M350" s="7">
        <f t="shared" si="30"/>
        <v>1.1749110073333213</v>
      </c>
    </row>
    <row r="351" spans="6:13" ht="18.75" customHeight="1">
      <c r="F351" s="1">
        <v>32021</v>
      </c>
      <c r="G351">
        <f t="shared" si="27"/>
        <v>9</v>
      </c>
      <c r="H351" s="7">
        <v>346.45</v>
      </c>
      <c r="I351" s="7">
        <f t="shared" si="26"/>
        <v>348.45265792080602</v>
      </c>
      <c r="J351" s="7">
        <f t="shared" si="28"/>
        <v>-2.0026579208060298</v>
      </c>
      <c r="K351" s="7" cm="1">
        <f t="array" ref="K351">INDEX(Sm,G351)</f>
        <v>-3.1934822994410497</v>
      </c>
      <c r="L351" s="7">
        <f t="shared" si="29"/>
        <v>345.25917562136499</v>
      </c>
      <c r="M351" s="7">
        <f t="shared" si="30"/>
        <v>1.1908243786349999</v>
      </c>
    </row>
    <row r="352" spans="6:13" ht="18.75" customHeight="1">
      <c r="F352" s="1">
        <v>32051</v>
      </c>
      <c r="G352">
        <f t="shared" si="27"/>
        <v>10</v>
      </c>
      <c r="H352" s="7">
        <v>346.36</v>
      </c>
      <c r="I352" s="7">
        <f t="shared" si="26"/>
        <v>348.57865533643985</v>
      </c>
      <c r="J352" s="7">
        <f t="shared" si="28"/>
        <v>-2.2186553364398378</v>
      </c>
      <c r="K352" s="7" cm="1">
        <f t="array" ref="K352">INDEX(Sm,G352)</f>
        <v>-3.3368150874962788</v>
      </c>
      <c r="L352" s="7">
        <f t="shared" si="29"/>
        <v>345.24184024894356</v>
      </c>
      <c r="M352" s="7">
        <f t="shared" si="30"/>
        <v>1.1181597510564529</v>
      </c>
    </row>
    <row r="353" spans="6:13" ht="18.75" customHeight="1">
      <c r="F353" s="1">
        <v>32082</v>
      </c>
      <c r="G353">
        <f t="shared" si="27"/>
        <v>11</v>
      </c>
      <c r="H353" s="7">
        <v>347.81</v>
      </c>
      <c r="I353" s="7">
        <f t="shared" si="26"/>
        <v>348.70903807339278</v>
      </c>
      <c r="J353" s="7">
        <f t="shared" si="28"/>
        <v>-0.89903807339277364</v>
      </c>
      <c r="K353" s="7" cm="1">
        <f t="array" ref="K353">INDEX(Sm,G353)</f>
        <v>-2.0591623324975612</v>
      </c>
      <c r="L353" s="7">
        <f t="shared" si="29"/>
        <v>346.6498757408952</v>
      </c>
      <c r="M353" s="7">
        <f t="shared" si="30"/>
        <v>1.1601242591048049</v>
      </c>
    </row>
    <row r="354" spans="6:13" ht="18.75" customHeight="1">
      <c r="F354" s="1">
        <v>32112</v>
      </c>
      <c r="G354">
        <f t="shared" si="27"/>
        <v>12</v>
      </c>
      <c r="H354" s="7">
        <v>348.96</v>
      </c>
      <c r="I354" s="7">
        <f t="shared" si="26"/>
        <v>348.83539434218397</v>
      </c>
      <c r="J354" s="7">
        <f t="shared" si="28"/>
        <v>0.12460565781600508</v>
      </c>
      <c r="K354" s="7" cm="1">
        <f t="array" ref="K354">INDEX(Sm,G354)</f>
        <v>-0.89132446529561371</v>
      </c>
      <c r="L354" s="7">
        <f t="shared" si="29"/>
        <v>347.94406987688836</v>
      </c>
      <c r="M354" s="7">
        <f t="shared" si="30"/>
        <v>1.015930123111616</v>
      </c>
    </row>
    <row r="355" spans="6:13" ht="18.75" customHeight="1">
      <c r="F355" s="1">
        <v>32143</v>
      </c>
      <c r="G355">
        <f t="shared" si="27"/>
        <v>1</v>
      </c>
      <c r="H355" s="7">
        <v>350.43</v>
      </c>
      <c r="I355" s="7">
        <f t="shared" si="26"/>
        <v>348.96614789406624</v>
      </c>
      <c r="J355" s="7">
        <f t="shared" si="28"/>
        <v>1.4638521059337677</v>
      </c>
      <c r="K355" s="7" cm="1">
        <f t="array" ref="K355">INDEX(Sm,G355)</f>
        <v>6.1040869584970889E-2</v>
      </c>
      <c r="L355" s="7">
        <f t="shared" si="29"/>
        <v>349.02718876365122</v>
      </c>
      <c r="M355" s="7">
        <f t="shared" si="30"/>
        <v>1.4028112363487821</v>
      </c>
    </row>
    <row r="356" spans="6:13" ht="18.75" customHeight="1">
      <c r="F356" s="1">
        <v>32174</v>
      </c>
      <c r="G356">
        <f t="shared" si="27"/>
        <v>2</v>
      </c>
      <c r="H356" s="7">
        <v>351.73</v>
      </c>
      <c r="I356" s="7">
        <f t="shared" si="26"/>
        <v>349.09708989287981</v>
      </c>
      <c r="J356" s="7">
        <f t="shared" si="28"/>
        <v>2.6329101071202103</v>
      </c>
      <c r="K356" s="7" cm="1">
        <f t="array" ref="K356">INDEX(Sm,G356)</f>
        <v>0.69421564520236412</v>
      </c>
      <c r="L356" s="7">
        <f t="shared" si="29"/>
        <v>349.79130553808216</v>
      </c>
      <c r="M356" s="7">
        <f t="shared" si="30"/>
        <v>1.9386944619178621</v>
      </c>
    </row>
    <row r="357" spans="6:13" ht="18.75" customHeight="1">
      <c r="F357" s="1">
        <v>32203</v>
      </c>
      <c r="G357">
        <f t="shared" si="27"/>
        <v>3</v>
      </c>
      <c r="H357" s="7">
        <v>352.22</v>
      </c>
      <c r="I357" s="7">
        <f t="shared" si="26"/>
        <v>349.21975462312287</v>
      </c>
      <c r="J357" s="7">
        <f t="shared" si="28"/>
        <v>3.0002453768771602</v>
      </c>
      <c r="K357" s="7" cm="1">
        <f t="array" ref="K357">INDEX(Sm,G357)</f>
        <v>1.3733706304072995</v>
      </c>
      <c r="L357" s="7">
        <f t="shared" si="29"/>
        <v>350.59312525353016</v>
      </c>
      <c r="M357" s="7">
        <f t="shared" si="30"/>
        <v>1.6268747464698663</v>
      </c>
    </row>
    <row r="358" spans="6:13" ht="18.75" customHeight="1">
      <c r="F358" s="1">
        <v>32234</v>
      </c>
      <c r="G358">
        <f t="shared" si="27"/>
        <v>4</v>
      </c>
      <c r="H358" s="7">
        <v>353.59</v>
      </c>
      <c r="I358" s="7">
        <f t="shared" si="26"/>
        <v>349.35106135793251</v>
      </c>
      <c r="J358" s="7">
        <f t="shared" si="28"/>
        <v>4.2389386420674668</v>
      </c>
      <c r="K358" s="7" cm="1">
        <f t="array" ref="K358">INDEX(Sm,G358)</f>
        <v>2.6099183412742755</v>
      </c>
      <c r="L358" s="7">
        <f t="shared" si="29"/>
        <v>351.9609796992068</v>
      </c>
      <c r="M358" s="7">
        <f t="shared" si="30"/>
        <v>1.6290203007931723</v>
      </c>
    </row>
    <row r="359" spans="6:13" ht="18.75" customHeight="1">
      <c r="F359" s="1">
        <v>32264</v>
      </c>
      <c r="G359">
        <f t="shared" si="27"/>
        <v>5</v>
      </c>
      <c r="H359" s="7">
        <v>354.22</v>
      </c>
      <c r="I359" s="7">
        <f t="shared" si="26"/>
        <v>349.47831181819794</v>
      </c>
      <c r="J359" s="7">
        <f t="shared" si="28"/>
        <v>4.7416881818020897</v>
      </c>
      <c r="K359" s="7" cm="1">
        <f t="array" ref="K359">INDEX(Sm,G359)</f>
        <v>3.065291801195754</v>
      </c>
      <c r="L359" s="7">
        <f t="shared" si="29"/>
        <v>352.54360361939371</v>
      </c>
      <c r="M359" s="7">
        <f t="shared" si="30"/>
        <v>1.6763963806063202</v>
      </c>
    </row>
    <row r="360" spans="6:13" ht="18.75" customHeight="1">
      <c r="F360" s="1">
        <v>32295</v>
      </c>
      <c r="G360">
        <f t="shared" si="27"/>
        <v>6</v>
      </c>
      <c r="H360" s="7">
        <v>353.8</v>
      </c>
      <c r="I360" s="7">
        <f t="shared" si="26"/>
        <v>349.60998936793692</v>
      </c>
      <c r="J360" s="7">
        <f t="shared" si="28"/>
        <v>4.1900106320630925</v>
      </c>
      <c r="K360" s="7" cm="1">
        <f t="array" ref="K360">INDEX(Sm,G360)</f>
        <v>2.3463851222642056</v>
      </c>
      <c r="L360" s="7">
        <f t="shared" si="29"/>
        <v>351.95637449020114</v>
      </c>
      <c r="M360" s="7">
        <f t="shared" si="30"/>
        <v>1.8436255097988692</v>
      </c>
    </row>
    <row r="361" spans="6:13" ht="18.75" customHeight="1">
      <c r="F361" s="1">
        <v>32325</v>
      </c>
      <c r="G361">
        <f t="shared" si="27"/>
        <v>7</v>
      </c>
      <c r="H361" s="7">
        <v>352.38</v>
      </c>
      <c r="I361" s="7">
        <f t="shared" si="26"/>
        <v>349.73759868135977</v>
      </c>
      <c r="J361" s="7">
        <f t="shared" si="28"/>
        <v>2.6424013186402249</v>
      </c>
      <c r="K361" s="7" cm="1">
        <f t="array" ref="K361">INDEX(Sm,G361)</f>
        <v>0.72334113060077332</v>
      </c>
      <c r="L361" s="7">
        <f t="shared" si="29"/>
        <v>350.46093981196054</v>
      </c>
      <c r="M361" s="7">
        <f t="shared" si="30"/>
        <v>1.9190601880394524</v>
      </c>
    </row>
    <row r="362" spans="6:13" ht="18.75" customHeight="1">
      <c r="F362" s="1">
        <v>32356</v>
      </c>
      <c r="G362">
        <f t="shared" si="27"/>
        <v>8</v>
      </c>
      <c r="H362" s="7">
        <v>350.43</v>
      </c>
      <c r="I362" s="7">
        <f t="shared" si="26"/>
        <v>349.86964704602804</v>
      </c>
      <c r="J362" s="7">
        <f t="shared" si="28"/>
        <v>0.5603529539719716</v>
      </c>
      <c r="K362" s="7" cm="1">
        <f t="array" ref="K362">INDEX(Sm,G362)</f>
        <v>-1.3975570061157723</v>
      </c>
      <c r="L362" s="7">
        <f t="shared" si="29"/>
        <v>348.47209003991225</v>
      </c>
      <c r="M362" s="7">
        <f t="shared" si="30"/>
        <v>1.9579099600877612</v>
      </c>
    </row>
    <row r="363" spans="6:13" ht="18.75" customHeight="1">
      <c r="F363" s="1">
        <v>32387</v>
      </c>
      <c r="G363">
        <f t="shared" si="27"/>
        <v>9</v>
      </c>
      <c r="H363" s="7">
        <v>348.73</v>
      </c>
      <c r="I363" s="7">
        <f t="shared" si="26"/>
        <v>350.00188385762766</v>
      </c>
      <c r="J363" s="7">
        <f t="shared" si="28"/>
        <v>-1.2718838576276426</v>
      </c>
      <c r="K363" s="7" cm="1">
        <f t="array" ref="K363">INDEX(Sm,G363)</f>
        <v>-3.1934822994410497</v>
      </c>
      <c r="L363" s="7">
        <f t="shared" si="29"/>
        <v>346.80840155818663</v>
      </c>
      <c r="M363" s="7">
        <f t="shared" si="30"/>
        <v>1.9215984418133871</v>
      </c>
    </row>
    <row r="364" spans="6:13" ht="18.75" customHeight="1">
      <c r="F364" s="1">
        <v>32417</v>
      </c>
      <c r="G364">
        <f t="shared" si="27"/>
        <v>10</v>
      </c>
      <c r="H364" s="7">
        <v>348.88</v>
      </c>
      <c r="I364" s="7">
        <f t="shared" si="26"/>
        <v>350.13003439220597</v>
      </c>
      <c r="J364" s="7">
        <f t="shared" si="28"/>
        <v>-1.2500343922059756</v>
      </c>
      <c r="K364" s="7" cm="1">
        <f t="array" ref="K364">INDEX(Sm,G364)</f>
        <v>-3.3368150874962788</v>
      </c>
      <c r="L364" s="7">
        <f t="shared" si="29"/>
        <v>346.79321930470968</v>
      </c>
      <c r="M364" s="7">
        <f t="shared" si="30"/>
        <v>2.0867806952903152</v>
      </c>
    </row>
    <row r="365" spans="6:13" ht="18.75" customHeight="1">
      <c r="F365" s="1">
        <v>32448</v>
      </c>
      <c r="G365">
        <f t="shared" si="27"/>
        <v>11</v>
      </c>
      <c r="H365" s="7">
        <v>350.07</v>
      </c>
      <c r="I365" s="7">
        <f t="shared" si="26"/>
        <v>350.26264201873488</v>
      </c>
      <c r="J365" s="7">
        <f t="shared" si="28"/>
        <v>-0.19264201873488673</v>
      </c>
      <c r="K365" s="7" cm="1">
        <f t="array" ref="K365">INDEX(Sm,G365)</f>
        <v>-2.0591623324975612</v>
      </c>
      <c r="L365" s="7">
        <f t="shared" si="29"/>
        <v>348.2034796862373</v>
      </c>
      <c r="M365" s="7">
        <f t="shared" si="30"/>
        <v>1.8665203137626918</v>
      </c>
    </row>
    <row r="366" spans="6:13" ht="18.75" customHeight="1">
      <c r="F366" s="1">
        <v>32478</v>
      </c>
      <c r="G366">
        <f t="shared" si="27"/>
        <v>12</v>
      </c>
      <c r="H366" s="7">
        <v>351.34</v>
      </c>
      <c r="I366" s="7">
        <f t="shared" si="26"/>
        <v>350.39115140647061</v>
      </c>
      <c r="J366" s="7">
        <f t="shared" si="28"/>
        <v>0.94884859352936246</v>
      </c>
      <c r="K366" s="7" cm="1">
        <f t="array" ref="K366">INDEX(Sm,G366)</f>
        <v>-0.89132446529561371</v>
      </c>
      <c r="L366" s="7">
        <f t="shared" si="29"/>
        <v>349.499826941175</v>
      </c>
      <c r="M366" s="7">
        <f t="shared" si="30"/>
        <v>1.8401730588249734</v>
      </c>
    </row>
    <row r="367" spans="6:13" ht="18.75" customHeight="1">
      <c r="F367" s="1">
        <v>32509</v>
      </c>
      <c r="G367">
        <f t="shared" si="27"/>
        <v>1</v>
      </c>
      <c r="H367" s="7">
        <v>352.76</v>
      </c>
      <c r="I367" s="7">
        <f t="shared" si="26"/>
        <v>350.52412984792886</v>
      </c>
      <c r="J367" s="7">
        <f t="shared" si="28"/>
        <v>2.2358701520711293</v>
      </c>
      <c r="K367" s="7" cm="1">
        <f t="array" ref="K367">INDEX(Sm,G367)</f>
        <v>6.1040869584970889E-2</v>
      </c>
      <c r="L367" s="7">
        <f t="shared" si="29"/>
        <v>350.58517071751385</v>
      </c>
      <c r="M367" s="7">
        <f t="shared" si="30"/>
        <v>2.1748292824861437</v>
      </c>
    </row>
    <row r="368" spans="6:13" ht="18.75" customHeight="1">
      <c r="F368" s="1">
        <v>32540</v>
      </c>
      <c r="G368">
        <f t="shared" si="27"/>
        <v>2</v>
      </c>
      <c r="H368" s="7">
        <v>353.07</v>
      </c>
      <c r="I368" s="7">
        <f t="shared" si="26"/>
        <v>350.65729673631841</v>
      </c>
      <c r="J368" s="7">
        <f t="shared" si="28"/>
        <v>2.4127032636815784</v>
      </c>
      <c r="K368" s="7" cm="1">
        <f t="array" ref="K368">INDEX(Sm,G368)</f>
        <v>0.69421564520236412</v>
      </c>
      <c r="L368" s="7">
        <f t="shared" si="29"/>
        <v>351.35151238152076</v>
      </c>
      <c r="M368" s="7">
        <f t="shared" si="30"/>
        <v>1.7184876184792302</v>
      </c>
    </row>
    <row r="369" spans="6:13" ht="18.75" customHeight="1">
      <c r="F369" s="1">
        <v>32568</v>
      </c>
      <c r="G369">
        <f t="shared" si="27"/>
        <v>3</v>
      </c>
      <c r="H369" s="7">
        <v>353.68</v>
      </c>
      <c r="I369" s="7">
        <f t="shared" si="26"/>
        <v>350.77773848063407</v>
      </c>
      <c r="J369" s="7">
        <f t="shared" si="28"/>
        <v>2.9022615193659362</v>
      </c>
      <c r="K369" s="7" cm="1">
        <f t="array" ref="K369">INDEX(Sm,G369)</f>
        <v>1.3733706304072995</v>
      </c>
      <c r="L369" s="7">
        <f t="shared" si="29"/>
        <v>352.15110911104136</v>
      </c>
      <c r="M369" s="7">
        <f t="shared" si="30"/>
        <v>1.5288908889586423</v>
      </c>
    </row>
    <row r="370" spans="6:13" ht="18.75" customHeight="1">
      <c r="F370" s="1">
        <v>32599</v>
      </c>
      <c r="G370">
        <f t="shared" si="27"/>
        <v>4</v>
      </c>
      <c r="H370" s="7">
        <v>355.42</v>
      </c>
      <c r="I370" s="7">
        <f t="shared" si="26"/>
        <v>350.91126402608643</v>
      </c>
      <c r="J370" s="7">
        <f t="shared" si="28"/>
        <v>4.5087359739135877</v>
      </c>
      <c r="K370" s="7" cm="1">
        <f t="array" ref="K370">INDEX(Sm,G370)</f>
        <v>2.6099183412742755</v>
      </c>
      <c r="L370" s="7">
        <f t="shared" si="29"/>
        <v>353.52118236736072</v>
      </c>
      <c r="M370" s="7">
        <f t="shared" si="30"/>
        <v>1.8988176326392932</v>
      </c>
    </row>
    <row r="371" spans="6:13" ht="18.75" customHeight="1">
      <c r="F371" s="1">
        <v>32629</v>
      </c>
      <c r="G371">
        <f t="shared" si="27"/>
        <v>5</v>
      </c>
      <c r="H371" s="7">
        <v>355.67</v>
      </c>
      <c r="I371" s="7">
        <f t="shared" si="26"/>
        <v>351.04066172245774</v>
      </c>
      <c r="J371" s="7">
        <f t="shared" si="28"/>
        <v>4.6293382775422742</v>
      </c>
      <c r="K371" s="7" cm="1">
        <f t="array" ref="K371">INDEX(Sm,G371)</f>
        <v>3.065291801195754</v>
      </c>
      <c r="L371" s="7">
        <f t="shared" si="29"/>
        <v>354.10595352365351</v>
      </c>
      <c r="M371" s="7">
        <f t="shared" si="30"/>
        <v>1.5640464763465047</v>
      </c>
    </row>
    <row r="372" spans="6:13" ht="18.75" customHeight="1">
      <c r="F372" s="1">
        <v>32660</v>
      </c>
      <c r="G372">
        <f t="shared" si="27"/>
        <v>6</v>
      </c>
      <c r="H372" s="7">
        <v>355.12</v>
      </c>
      <c r="I372" s="7">
        <f t="shared" si="26"/>
        <v>351.17455808283944</v>
      </c>
      <c r="J372" s="7">
        <f t="shared" si="28"/>
        <v>3.945441917160565</v>
      </c>
      <c r="K372" s="7" cm="1">
        <f t="array" ref="K372">INDEX(Sm,G372)</f>
        <v>2.3463851222642056</v>
      </c>
      <c r="L372" s="7">
        <f t="shared" si="29"/>
        <v>353.52094320510366</v>
      </c>
      <c r="M372" s="7">
        <f t="shared" si="30"/>
        <v>1.5990567948963417</v>
      </c>
    </row>
    <row r="373" spans="6:13" ht="18.75" customHeight="1">
      <c r="F373" s="1">
        <v>32690</v>
      </c>
      <c r="G373">
        <f t="shared" si="27"/>
        <v>7</v>
      </c>
      <c r="H373" s="7">
        <v>353.9</v>
      </c>
      <c r="I373" s="7">
        <f t="shared" si="26"/>
        <v>351.30431463236818</v>
      </c>
      <c r="J373" s="7">
        <f t="shared" si="28"/>
        <v>2.5956853676318019</v>
      </c>
      <c r="K373" s="7" cm="1">
        <f t="array" ref="K373">INDEX(Sm,G373)</f>
        <v>0.72334113060077332</v>
      </c>
      <c r="L373" s="7">
        <f t="shared" si="29"/>
        <v>352.02765576296895</v>
      </c>
      <c r="M373" s="7">
        <f t="shared" si="30"/>
        <v>1.8723442370310295</v>
      </c>
    </row>
    <row r="374" spans="6:13" ht="18.75" customHeight="1">
      <c r="F374" s="1">
        <v>32721</v>
      </c>
      <c r="G374">
        <f t="shared" si="27"/>
        <v>8</v>
      </c>
      <c r="H374" s="7">
        <v>351.67</v>
      </c>
      <c r="I374" s="7">
        <f t="shared" si="26"/>
        <v>351.43858180767916</v>
      </c>
      <c r="J374" s="7">
        <f t="shared" si="28"/>
        <v>0.23141819232085936</v>
      </c>
      <c r="K374" s="7" cm="1">
        <f t="array" ref="K374">INDEX(Sm,G374)</f>
        <v>-1.3975570061157723</v>
      </c>
      <c r="L374" s="7">
        <f t="shared" si="29"/>
        <v>350.04102480156337</v>
      </c>
      <c r="M374" s="7">
        <f t="shared" si="30"/>
        <v>1.628975198436649</v>
      </c>
    </row>
    <row r="375" spans="6:13" ht="18.75" customHeight="1">
      <c r="F375" s="1">
        <v>32752</v>
      </c>
      <c r="G375">
        <f t="shared" si="27"/>
        <v>9</v>
      </c>
      <c r="H375" s="7">
        <v>349.81</v>
      </c>
      <c r="I375" s="7">
        <f t="shared" si="26"/>
        <v>351.5730374299215</v>
      </c>
      <c r="J375" s="7">
        <f t="shared" si="28"/>
        <v>-1.7630374299214964</v>
      </c>
      <c r="K375" s="7" cm="1">
        <f t="array" ref="K375">INDEX(Sm,G375)</f>
        <v>-3.1934822994410497</v>
      </c>
      <c r="L375" s="7">
        <f t="shared" si="29"/>
        <v>348.37955513048047</v>
      </c>
      <c r="M375" s="7">
        <f t="shared" si="30"/>
        <v>1.4304448695195333</v>
      </c>
    </row>
    <row r="376" spans="6:13" ht="18.75" customHeight="1">
      <c r="F376" s="1">
        <v>32782</v>
      </c>
      <c r="G376">
        <f t="shared" si="27"/>
        <v>10</v>
      </c>
      <c r="H376" s="7">
        <v>349.99</v>
      </c>
      <c r="I376" s="7">
        <f t="shared" si="26"/>
        <v>351.70333520060569</v>
      </c>
      <c r="J376" s="7">
        <f t="shared" si="28"/>
        <v>-1.7133352006056839</v>
      </c>
      <c r="K376" s="7" cm="1">
        <f t="array" ref="K376">INDEX(Sm,G376)</f>
        <v>-3.3368150874962788</v>
      </c>
      <c r="L376" s="7">
        <f t="shared" si="29"/>
        <v>348.3665201131094</v>
      </c>
      <c r="M376" s="7">
        <f t="shared" si="30"/>
        <v>1.6234798868906068</v>
      </c>
    </row>
    <row r="377" spans="6:13" ht="18.75" customHeight="1">
      <c r="F377" s="1">
        <v>32813</v>
      </c>
      <c r="G377">
        <f t="shared" si="27"/>
        <v>11</v>
      </c>
      <c r="H377" s="7">
        <v>351.3</v>
      </c>
      <c r="I377" s="7">
        <f t="shared" si="26"/>
        <v>351.83816163777732</v>
      </c>
      <c r="J377" s="7">
        <f t="shared" si="28"/>
        <v>-0.53816163777730708</v>
      </c>
      <c r="K377" s="7" cm="1">
        <f t="array" ref="K377">INDEX(Sm,G377)</f>
        <v>-2.0591623324975612</v>
      </c>
      <c r="L377" s="7">
        <f t="shared" si="29"/>
        <v>349.77899930527974</v>
      </c>
      <c r="M377" s="7">
        <f t="shared" si="30"/>
        <v>1.5210006947202714</v>
      </c>
    </row>
    <row r="378" spans="6:13" ht="18.75" customHeight="1">
      <c r="F378" s="1">
        <v>32843</v>
      </c>
      <c r="G378">
        <f t="shared" si="27"/>
        <v>12</v>
      </c>
      <c r="H378" s="7">
        <v>352.52</v>
      </c>
      <c r="I378" s="7">
        <f t="shared" si="26"/>
        <v>351.96881826161894</v>
      </c>
      <c r="J378" s="7">
        <f t="shared" si="28"/>
        <v>0.55118173838104667</v>
      </c>
      <c r="K378" s="7" cm="1">
        <f t="array" ref="K378">INDEX(Sm,G378)</f>
        <v>-0.89132446529561371</v>
      </c>
      <c r="L378" s="7">
        <f t="shared" si="29"/>
        <v>351.07749379632332</v>
      </c>
      <c r="M378" s="7">
        <f t="shared" si="30"/>
        <v>1.4425062036766576</v>
      </c>
    </row>
    <row r="379" spans="6:13" ht="18.75" customHeight="1">
      <c r="F379" s="1">
        <v>32874</v>
      </c>
      <c r="G379">
        <f t="shared" si="27"/>
        <v>1</v>
      </c>
      <c r="H379" s="7">
        <v>353.66</v>
      </c>
      <c r="I379" s="7">
        <f t="shared" si="26"/>
        <v>352.1040155137199</v>
      </c>
      <c r="J379" s="7">
        <f t="shared" si="28"/>
        <v>1.5559844862801242</v>
      </c>
      <c r="K379" s="7" cm="1">
        <f t="array" ref="K379">INDEX(Sm,G379)</f>
        <v>6.1040869584970889E-2</v>
      </c>
      <c r="L379" s="7">
        <f t="shared" si="29"/>
        <v>352.16505638330489</v>
      </c>
      <c r="M379" s="7">
        <f t="shared" si="30"/>
        <v>1.4949436166951386</v>
      </c>
    </row>
    <row r="380" spans="6:13" ht="18.75" customHeight="1">
      <c r="F380" s="1">
        <v>32905</v>
      </c>
      <c r="G380">
        <f t="shared" si="27"/>
        <v>2</v>
      </c>
      <c r="H380" s="7">
        <v>354.7</v>
      </c>
      <c r="I380" s="7">
        <f t="shared" si="26"/>
        <v>352.23940121275223</v>
      </c>
      <c r="J380" s="7">
        <f t="shared" si="28"/>
        <v>2.4605987872477613</v>
      </c>
      <c r="K380" s="7" cm="1">
        <f t="array" ref="K380">INDEX(Sm,G380)</f>
        <v>0.69421564520236412</v>
      </c>
      <c r="L380" s="7">
        <f t="shared" si="29"/>
        <v>352.93361685795458</v>
      </c>
      <c r="M380" s="7">
        <f t="shared" si="30"/>
        <v>1.766383142045413</v>
      </c>
    </row>
    <row r="381" spans="6:13" ht="18.75" customHeight="1">
      <c r="F381" s="1">
        <v>32933</v>
      </c>
      <c r="G381">
        <f t="shared" si="27"/>
        <v>3</v>
      </c>
      <c r="H381" s="7">
        <v>355.38</v>
      </c>
      <c r="I381" s="7">
        <f t="shared" si="26"/>
        <v>352.36184704410005</v>
      </c>
      <c r="J381" s="7">
        <f t="shared" si="28"/>
        <v>3.01815295589995</v>
      </c>
      <c r="K381" s="7" cm="1">
        <f t="array" ref="K381">INDEX(Sm,G381)</f>
        <v>1.3733706304072995</v>
      </c>
      <c r="L381" s="7">
        <f t="shared" si="29"/>
        <v>353.73521767450734</v>
      </c>
      <c r="M381" s="7">
        <f t="shared" si="30"/>
        <v>1.6447823254926561</v>
      </c>
    </row>
    <row r="382" spans="6:13" ht="18.75" customHeight="1">
      <c r="F382" s="1">
        <v>32964</v>
      </c>
      <c r="G382">
        <f t="shared" si="27"/>
        <v>4</v>
      </c>
      <c r="H382" s="7">
        <v>356.2</v>
      </c>
      <c r="I382" s="7">
        <f t="shared" si="26"/>
        <v>352.49759140019512</v>
      </c>
      <c r="J382" s="7">
        <f t="shared" si="28"/>
        <v>3.702408599804869</v>
      </c>
      <c r="K382" s="7" cm="1">
        <f t="array" ref="K382">INDEX(Sm,G382)</f>
        <v>2.6099183412742755</v>
      </c>
      <c r="L382" s="7">
        <f t="shared" si="29"/>
        <v>355.10750974146941</v>
      </c>
      <c r="M382" s="7">
        <f t="shared" si="30"/>
        <v>1.0924902585305745</v>
      </c>
    </row>
    <row r="383" spans="6:13" ht="18.75" customHeight="1">
      <c r="F383" s="1">
        <v>32994</v>
      </c>
      <c r="G383">
        <f t="shared" si="27"/>
        <v>5</v>
      </c>
      <c r="H383" s="7">
        <v>357.16</v>
      </c>
      <c r="I383" s="7">
        <f t="shared" si="26"/>
        <v>352.62913633267226</v>
      </c>
      <c r="J383" s="7">
        <f t="shared" si="28"/>
        <v>4.5308636673277647</v>
      </c>
      <c r="K383" s="7" cm="1">
        <f t="array" ref="K383">INDEX(Sm,G383)</f>
        <v>3.065291801195754</v>
      </c>
      <c r="L383" s="7">
        <f t="shared" si="29"/>
        <v>355.69442813386803</v>
      </c>
      <c r="M383" s="7">
        <f t="shared" si="30"/>
        <v>1.4655718661319952</v>
      </c>
    </row>
    <row r="384" spans="6:13" ht="18.75" customHeight="1">
      <c r="F384" s="1">
        <v>33025</v>
      </c>
      <c r="G384">
        <f t="shared" si="27"/>
        <v>6</v>
      </c>
      <c r="H384" s="7">
        <v>356.23</v>
      </c>
      <c r="I384" s="7">
        <f t="shared" si="26"/>
        <v>352.76525150369673</v>
      </c>
      <c r="J384" s="7">
        <f t="shared" si="28"/>
        <v>3.4647484963032866</v>
      </c>
      <c r="K384" s="7" cm="1">
        <f t="array" ref="K384">INDEX(Sm,G384)</f>
        <v>2.3463851222642056</v>
      </c>
      <c r="L384" s="7">
        <f t="shared" si="29"/>
        <v>355.11163662596095</v>
      </c>
      <c r="M384" s="7">
        <f t="shared" si="30"/>
        <v>1.1183633740390633</v>
      </c>
    </row>
    <row r="385" spans="6:13" ht="18.75" customHeight="1">
      <c r="F385" s="1">
        <v>33055</v>
      </c>
      <c r="G385">
        <f t="shared" si="27"/>
        <v>7</v>
      </c>
      <c r="H385" s="7">
        <v>354.81</v>
      </c>
      <c r="I385" s="7">
        <f t="shared" si="26"/>
        <v>352.89715528933129</v>
      </c>
      <c r="J385" s="7">
        <f t="shared" si="28"/>
        <v>1.9128447106687076</v>
      </c>
      <c r="K385" s="7" cm="1">
        <f t="array" ref="K385">INDEX(Sm,G385)</f>
        <v>0.72334113060077332</v>
      </c>
      <c r="L385" s="7">
        <f t="shared" si="29"/>
        <v>353.62049641993207</v>
      </c>
      <c r="M385" s="7">
        <f t="shared" si="30"/>
        <v>1.1895035800679352</v>
      </c>
    </row>
    <row r="386" spans="6:13" ht="18.75" customHeight="1">
      <c r="F386" s="1">
        <v>33086</v>
      </c>
      <c r="G386">
        <f t="shared" si="27"/>
        <v>8</v>
      </c>
      <c r="H386" s="7">
        <v>352.91</v>
      </c>
      <c r="I386" s="7">
        <f t="shared" ref="I386:I449" si="31">_A*F386*F386+_B*F386+_C</f>
        <v>353.03364127528505</v>
      </c>
      <c r="J386" s="7">
        <f t="shared" si="28"/>
        <v>-0.12364127528502422</v>
      </c>
      <c r="K386" s="7" cm="1">
        <f t="array" ref="K386">INDEX(Sm,G386)</f>
        <v>-1.3975570061157723</v>
      </c>
      <c r="L386" s="7">
        <f t="shared" si="29"/>
        <v>351.63608426916926</v>
      </c>
      <c r="M386" s="7">
        <f t="shared" si="30"/>
        <v>1.2739157308307654</v>
      </c>
    </row>
    <row r="387" spans="6:13" ht="18.75" customHeight="1">
      <c r="F387" s="1">
        <v>33117</v>
      </c>
      <c r="G387">
        <f t="shared" ref="G387:G450" si="32">MONTH(F387)</f>
        <v>9</v>
      </c>
      <c r="H387" s="7">
        <v>350.96</v>
      </c>
      <c r="I387" s="7">
        <f t="shared" si="31"/>
        <v>353.17031570817011</v>
      </c>
      <c r="J387" s="7">
        <f t="shared" ref="J387:J450" si="33">H387-I387</f>
        <v>-2.2103157081701283</v>
      </c>
      <c r="K387" s="7" cm="1">
        <f t="array" ref="K387">INDEX(Sm,G387)</f>
        <v>-3.1934822994410497</v>
      </c>
      <c r="L387" s="7">
        <f t="shared" ref="L387:L450" si="34">I387+K387</f>
        <v>349.97683340872908</v>
      </c>
      <c r="M387" s="7">
        <f t="shared" ref="M387:M450" si="35">H387-L387</f>
        <v>0.98316659127090134</v>
      </c>
    </row>
    <row r="388" spans="6:13" ht="18.75" customHeight="1">
      <c r="F388" s="1">
        <v>33147</v>
      </c>
      <c r="G388">
        <f t="shared" si="32"/>
        <v>10</v>
      </c>
      <c r="H388" s="7">
        <v>351.18</v>
      </c>
      <c r="I388" s="7">
        <f t="shared" si="31"/>
        <v>353.30276071496013</v>
      </c>
      <c r="J388" s="7">
        <f t="shared" si="33"/>
        <v>-2.1227607149601226</v>
      </c>
      <c r="K388" s="7" cm="1">
        <f t="array" ref="K388">INDEX(Sm,G388)</f>
        <v>-3.3368150874962788</v>
      </c>
      <c r="L388" s="7">
        <f t="shared" si="34"/>
        <v>349.96594562746384</v>
      </c>
      <c r="M388" s="7">
        <f t="shared" si="35"/>
        <v>1.2140543725361681</v>
      </c>
    </row>
    <row r="389" spans="6:13" ht="18.75" customHeight="1">
      <c r="F389" s="1">
        <v>33178</v>
      </c>
      <c r="G389">
        <f t="shared" si="32"/>
        <v>11</v>
      </c>
      <c r="H389" s="7">
        <v>352.83</v>
      </c>
      <c r="I389" s="7">
        <f t="shared" si="31"/>
        <v>353.43980596277447</v>
      </c>
      <c r="J389" s="7">
        <f t="shared" si="33"/>
        <v>-0.6098059627744874</v>
      </c>
      <c r="K389" s="7" cm="1">
        <f t="array" ref="K389">INDEX(Sm,G389)</f>
        <v>-2.0591623324975612</v>
      </c>
      <c r="L389" s="7">
        <f t="shared" si="34"/>
        <v>351.38064363027689</v>
      </c>
      <c r="M389" s="7">
        <f t="shared" si="35"/>
        <v>1.4493563697230911</v>
      </c>
    </row>
    <row r="390" spans="6:13" ht="18.75" customHeight="1">
      <c r="F390" s="1">
        <v>33208</v>
      </c>
      <c r="G390">
        <f t="shared" si="32"/>
        <v>12</v>
      </c>
      <c r="H390" s="7">
        <v>354.21</v>
      </c>
      <c r="I390" s="7">
        <f t="shared" si="31"/>
        <v>353.57260982272197</v>
      </c>
      <c r="J390" s="7">
        <f t="shared" si="33"/>
        <v>0.63739017727800729</v>
      </c>
      <c r="K390" s="7" cm="1">
        <f t="array" ref="K390">INDEX(Sm,G390)</f>
        <v>-0.89132446529561371</v>
      </c>
      <c r="L390" s="7">
        <f t="shared" si="34"/>
        <v>352.68128535742636</v>
      </c>
      <c r="M390" s="7">
        <f t="shared" si="35"/>
        <v>1.5287146425736182</v>
      </c>
    </row>
    <row r="391" spans="6:13" ht="18.75" customHeight="1">
      <c r="F391" s="1">
        <v>33239</v>
      </c>
      <c r="G391">
        <f t="shared" si="32"/>
        <v>1</v>
      </c>
      <c r="H391" s="7">
        <v>354.72</v>
      </c>
      <c r="I391" s="7">
        <f t="shared" si="31"/>
        <v>353.71002588546565</v>
      </c>
      <c r="J391" s="7">
        <f t="shared" si="33"/>
        <v>1.0099741145343728</v>
      </c>
      <c r="K391" s="7" cm="1">
        <f t="array" ref="K391">INDEX(Sm,G391)</f>
        <v>6.1040869584970889E-2</v>
      </c>
      <c r="L391" s="7">
        <f t="shared" si="34"/>
        <v>353.77106675505064</v>
      </c>
      <c r="M391" s="7">
        <f t="shared" si="35"/>
        <v>0.94893324494938724</v>
      </c>
    </row>
    <row r="392" spans="6:13" ht="18.75" customHeight="1">
      <c r="F392" s="1">
        <v>33270</v>
      </c>
      <c r="G392">
        <f t="shared" si="32"/>
        <v>2</v>
      </c>
      <c r="H392" s="7">
        <v>355.75</v>
      </c>
      <c r="I392" s="7">
        <f t="shared" si="31"/>
        <v>353.8476303951407</v>
      </c>
      <c r="J392" s="7">
        <f t="shared" si="33"/>
        <v>1.9023696048593024</v>
      </c>
      <c r="K392" s="7" cm="1">
        <f t="array" ref="K392">INDEX(Sm,G392)</f>
        <v>0.69421564520236412</v>
      </c>
      <c r="L392" s="7">
        <f t="shared" si="34"/>
        <v>354.54184604034305</v>
      </c>
      <c r="M392" s="7">
        <f t="shared" si="35"/>
        <v>1.2081539596569542</v>
      </c>
    </row>
    <row r="393" spans="6:13" ht="18.75" customHeight="1">
      <c r="F393" s="1">
        <v>33298</v>
      </c>
      <c r="G393">
        <f t="shared" si="32"/>
        <v>3</v>
      </c>
      <c r="H393" s="7">
        <v>357.16</v>
      </c>
      <c r="I393" s="7">
        <f t="shared" si="31"/>
        <v>353.97208031352068</v>
      </c>
      <c r="J393" s="7">
        <f t="shared" si="33"/>
        <v>3.1879196864793471</v>
      </c>
      <c r="K393" s="7" cm="1">
        <f t="array" ref="K393">INDEX(Sm,G393)</f>
        <v>1.3733706304072995</v>
      </c>
      <c r="L393" s="7">
        <f t="shared" si="34"/>
        <v>355.34545094392797</v>
      </c>
      <c r="M393" s="7">
        <f t="shared" si="35"/>
        <v>1.8145490560720532</v>
      </c>
    </row>
    <row r="394" spans="6:13" ht="18.75" customHeight="1">
      <c r="F394" s="1">
        <v>33329</v>
      </c>
      <c r="G394">
        <f t="shared" si="32"/>
        <v>4</v>
      </c>
      <c r="H394" s="7">
        <v>358.6</v>
      </c>
      <c r="I394" s="7">
        <f t="shared" si="31"/>
        <v>354.11004348025847</v>
      </c>
      <c r="J394" s="7">
        <f t="shared" si="33"/>
        <v>4.4899565197415541</v>
      </c>
      <c r="K394" s="7" cm="1">
        <f t="array" ref="K394">INDEX(Sm,G394)</f>
        <v>2.6099183412742755</v>
      </c>
      <c r="L394" s="7">
        <f t="shared" si="34"/>
        <v>356.71996182153276</v>
      </c>
      <c r="M394" s="7">
        <f t="shared" si="35"/>
        <v>1.8800381784672595</v>
      </c>
    </row>
    <row r="395" spans="6:13" ht="18.75" customHeight="1">
      <c r="F395" s="1">
        <v>33359</v>
      </c>
      <c r="G395">
        <f t="shared" si="32"/>
        <v>5</v>
      </c>
      <c r="H395" s="7">
        <v>359.34</v>
      </c>
      <c r="I395" s="7">
        <f t="shared" si="31"/>
        <v>354.24373564884149</v>
      </c>
      <c r="J395" s="7">
        <f t="shared" si="33"/>
        <v>5.0962643511584815</v>
      </c>
      <c r="K395" s="7" cm="1">
        <f t="array" ref="K395">INDEX(Sm,G395)</f>
        <v>3.065291801195754</v>
      </c>
      <c r="L395" s="7">
        <f t="shared" si="34"/>
        <v>357.30902745003726</v>
      </c>
      <c r="M395" s="7">
        <f t="shared" si="35"/>
        <v>2.030972549962712</v>
      </c>
    </row>
    <row r="396" spans="6:13" ht="18.75" customHeight="1">
      <c r="F396" s="1">
        <v>33390</v>
      </c>
      <c r="G396">
        <f t="shared" si="32"/>
        <v>6</v>
      </c>
      <c r="H396" s="7">
        <v>358.24</v>
      </c>
      <c r="I396" s="7">
        <f t="shared" si="31"/>
        <v>354.38206963050868</v>
      </c>
      <c r="J396" s="7">
        <f t="shared" si="33"/>
        <v>3.8579303694913278</v>
      </c>
      <c r="K396" s="7" cm="1">
        <f t="array" ref="K396">INDEX(Sm,G396)</f>
        <v>2.3463851222642056</v>
      </c>
      <c r="L396" s="7">
        <f t="shared" si="34"/>
        <v>356.7284547527729</v>
      </c>
      <c r="M396" s="7">
        <f t="shared" si="35"/>
        <v>1.5115452472271045</v>
      </c>
    </row>
    <row r="397" spans="6:13" ht="18.75" customHeight="1">
      <c r="F397" s="1">
        <v>33420</v>
      </c>
      <c r="G397">
        <f t="shared" si="32"/>
        <v>7</v>
      </c>
      <c r="H397" s="7">
        <v>356.17</v>
      </c>
      <c r="I397" s="7">
        <f t="shared" si="31"/>
        <v>354.51612065224913</v>
      </c>
      <c r="J397" s="7">
        <f t="shared" si="33"/>
        <v>1.6538793477508875</v>
      </c>
      <c r="K397" s="7" cm="1">
        <f t="array" ref="K397">INDEX(Sm,G397)</f>
        <v>0.72334113060077332</v>
      </c>
      <c r="L397" s="7">
        <f t="shared" si="34"/>
        <v>355.2394617828499</v>
      </c>
      <c r="M397" s="7">
        <f t="shared" si="35"/>
        <v>0.93053821715011509</v>
      </c>
    </row>
    <row r="398" spans="6:13" ht="18.75" customHeight="1">
      <c r="F398" s="1">
        <v>33451</v>
      </c>
      <c r="G398">
        <f t="shared" si="32"/>
        <v>8</v>
      </c>
      <c r="H398" s="7">
        <v>354.01</v>
      </c>
      <c r="I398" s="7">
        <f t="shared" si="31"/>
        <v>354.6548254488456</v>
      </c>
      <c r="J398" s="7">
        <f t="shared" si="33"/>
        <v>-0.64482544884560866</v>
      </c>
      <c r="K398" s="7" cm="1">
        <f t="array" ref="K398">INDEX(Sm,G398)</f>
        <v>-1.3975570061157723</v>
      </c>
      <c r="L398" s="7">
        <f t="shared" si="34"/>
        <v>353.25726844272981</v>
      </c>
      <c r="M398" s="7">
        <f t="shared" si="35"/>
        <v>0.75273155727018093</v>
      </c>
    </row>
    <row r="399" spans="6:13" ht="18.75" customHeight="1">
      <c r="F399" s="1">
        <v>33482</v>
      </c>
      <c r="G399">
        <f t="shared" si="32"/>
        <v>9</v>
      </c>
      <c r="H399" s="7">
        <v>352.15</v>
      </c>
      <c r="I399" s="7">
        <f t="shared" si="31"/>
        <v>354.79371869237337</v>
      </c>
      <c r="J399" s="7">
        <f t="shared" si="33"/>
        <v>-2.6437186923733975</v>
      </c>
      <c r="K399" s="7" cm="1">
        <f t="array" ref="K399">INDEX(Sm,G399)</f>
        <v>-3.1934822994410497</v>
      </c>
      <c r="L399" s="7">
        <f t="shared" si="34"/>
        <v>351.60023639293235</v>
      </c>
      <c r="M399" s="7">
        <f t="shared" si="35"/>
        <v>0.54976360706763217</v>
      </c>
    </row>
    <row r="400" spans="6:13" ht="18.75" customHeight="1">
      <c r="F400" s="1">
        <v>33512</v>
      </c>
      <c r="G400">
        <f t="shared" si="32"/>
        <v>10</v>
      </c>
      <c r="H400" s="7">
        <v>352.21</v>
      </c>
      <c r="I400" s="7">
        <f t="shared" si="31"/>
        <v>354.92831093526928</v>
      </c>
      <c r="J400" s="7">
        <f t="shared" si="33"/>
        <v>-2.7183109352693009</v>
      </c>
      <c r="K400" s="7" cm="1">
        <f t="array" ref="K400">INDEX(Sm,G400)</f>
        <v>-3.3368150874962788</v>
      </c>
      <c r="L400" s="7">
        <f t="shared" si="34"/>
        <v>351.59149584777299</v>
      </c>
      <c r="M400" s="7">
        <f t="shared" si="35"/>
        <v>0.61850415222698985</v>
      </c>
    </row>
    <row r="401" spans="6:13" ht="18.75" customHeight="1">
      <c r="F401" s="1">
        <v>33543</v>
      </c>
      <c r="G401">
        <f t="shared" si="32"/>
        <v>11</v>
      </c>
      <c r="H401" s="7">
        <v>353.75</v>
      </c>
      <c r="I401" s="7">
        <f t="shared" si="31"/>
        <v>355.0675749937264</v>
      </c>
      <c r="J401" s="7">
        <f t="shared" si="33"/>
        <v>-1.3175749937263959</v>
      </c>
      <c r="K401" s="7" cm="1">
        <f t="array" ref="K401">INDEX(Sm,G401)</f>
        <v>-2.0591623324975612</v>
      </c>
      <c r="L401" s="7">
        <f t="shared" si="34"/>
        <v>353.00841266122882</v>
      </c>
      <c r="M401" s="7">
        <f t="shared" si="35"/>
        <v>0.74158733877118266</v>
      </c>
    </row>
    <row r="402" spans="6:13" ht="18.75" customHeight="1">
      <c r="F402" s="1">
        <v>33573</v>
      </c>
      <c r="G402">
        <f t="shared" si="32"/>
        <v>12</v>
      </c>
      <c r="H402" s="7">
        <v>354.99</v>
      </c>
      <c r="I402" s="7">
        <f t="shared" si="31"/>
        <v>355.20252608977972</v>
      </c>
      <c r="J402" s="7">
        <f t="shared" si="33"/>
        <v>-0.21252608977971477</v>
      </c>
      <c r="K402" s="7" cm="1">
        <f t="array" ref="K402">INDEX(Sm,G402)</f>
        <v>-0.89132446529561371</v>
      </c>
      <c r="L402" s="7">
        <f t="shared" si="34"/>
        <v>354.31120162448411</v>
      </c>
      <c r="M402" s="7">
        <f t="shared" si="35"/>
        <v>0.67879837551589617</v>
      </c>
    </row>
    <row r="403" spans="6:13" ht="18.75" customHeight="1">
      <c r="F403" s="1">
        <v>33604</v>
      </c>
      <c r="G403">
        <f t="shared" si="32"/>
        <v>1</v>
      </c>
      <c r="H403" s="7">
        <v>355.99</v>
      </c>
      <c r="I403" s="7">
        <f t="shared" si="31"/>
        <v>355.34216096316618</v>
      </c>
      <c r="J403" s="7">
        <f t="shared" si="33"/>
        <v>0.6478390368338296</v>
      </c>
      <c r="K403" s="7" cm="1">
        <f t="array" ref="K403">INDEX(Sm,G403)</f>
        <v>6.1040869584970889E-2</v>
      </c>
      <c r="L403" s="7">
        <f t="shared" si="34"/>
        <v>355.40320183275117</v>
      </c>
      <c r="M403" s="7">
        <f t="shared" si="35"/>
        <v>0.58679816724884404</v>
      </c>
    </row>
    <row r="404" spans="6:13" ht="18.75" customHeight="1">
      <c r="F404" s="1">
        <v>33635</v>
      </c>
      <c r="G404">
        <f t="shared" si="32"/>
        <v>2</v>
      </c>
      <c r="H404" s="7">
        <v>356.72</v>
      </c>
      <c r="I404" s="7">
        <f t="shared" si="31"/>
        <v>355.48198428348394</v>
      </c>
      <c r="J404" s="7">
        <f t="shared" si="33"/>
        <v>1.2380157165160881</v>
      </c>
      <c r="K404" s="7" cm="1">
        <f t="array" ref="K404">INDEX(Sm,G404)</f>
        <v>0.69421564520236412</v>
      </c>
      <c r="L404" s="7">
        <f t="shared" si="34"/>
        <v>356.17619992868629</v>
      </c>
      <c r="M404" s="7">
        <f t="shared" si="35"/>
        <v>0.54380007131373986</v>
      </c>
    </row>
    <row r="405" spans="6:13" ht="18.75" customHeight="1">
      <c r="F405" s="1">
        <v>33664</v>
      </c>
      <c r="G405">
        <f t="shared" si="32"/>
        <v>3</v>
      </c>
      <c r="H405" s="7">
        <v>357.81</v>
      </c>
      <c r="I405" s="7">
        <f t="shared" si="31"/>
        <v>355.61295734674707</v>
      </c>
      <c r="J405" s="7">
        <f t="shared" si="33"/>
        <v>2.1970426532529359</v>
      </c>
      <c r="K405" s="7" cm="1">
        <f t="array" ref="K405">INDEX(Sm,G405)</f>
        <v>1.3733706304072995</v>
      </c>
      <c r="L405" s="7">
        <f t="shared" si="34"/>
        <v>356.98632797715436</v>
      </c>
      <c r="M405" s="7">
        <f t="shared" si="35"/>
        <v>0.823672022845642</v>
      </c>
    </row>
    <row r="406" spans="6:13" ht="18.75" customHeight="1">
      <c r="F406" s="1">
        <v>33695</v>
      </c>
      <c r="G406">
        <f t="shared" si="32"/>
        <v>4</v>
      </c>
      <c r="H406" s="7">
        <v>359.15</v>
      </c>
      <c r="I406" s="7">
        <f t="shared" si="31"/>
        <v>355.75314540306084</v>
      </c>
      <c r="J406" s="7">
        <f t="shared" si="33"/>
        <v>3.3968545969391357</v>
      </c>
      <c r="K406" s="7" cm="1">
        <f t="array" ref="K406">INDEX(Sm,G406)</f>
        <v>2.6099183412742755</v>
      </c>
      <c r="L406" s="7">
        <f t="shared" si="34"/>
        <v>358.36306374433514</v>
      </c>
      <c r="M406" s="7">
        <f t="shared" si="35"/>
        <v>0.78693625566484116</v>
      </c>
    </row>
    <row r="407" spans="6:13" ht="18.75" customHeight="1">
      <c r="F407" s="1">
        <v>33725</v>
      </c>
      <c r="G407">
        <f t="shared" si="32"/>
        <v>5</v>
      </c>
      <c r="H407" s="7">
        <v>359.66</v>
      </c>
      <c r="I407" s="7">
        <f t="shared" si="31"/>
        <v>355.8889906905884</v>
      </c>
      <c r="J407" s="7">
        <f t="shared" si="33"/>
        <v>3.7710093094116246</v>
      </c>
      <c r="K407" s="7" cm="1">
        <f t="array" ref="K407">INDEX(Sm,G407)</f>
        <v>3.065291801195754</v>
      </c>
      <c r="L407" s="7">
        <f t="shared" si="34"/>
        <v>358.95428249178417</v>
      </c>
      <c r="M407" s="7">
        <f t="shared" si="35"/>
        <v>0.7057175082158551</v>
      </c>
    </row>
    <row r="408" spans="6:13" ht="18.75" customHeight="1">
      <c r="F408" s="1">
        <v>33756</v>
      </c>
      <c r="G408">
        <f t="shared" si="32"/>
        <v>6</v>
      </c>
      <c r="H408" s="7">
        <v>359.25</v>
      </c>
      <c r="I408" s="7">
        <f t="shared" si="31"/>
        <v>356.02954956183157</v>
      </c>
      <c r="J408" s="7">
        <f t="shared" si="33"/>
        <v>3.2204504381684274</v>
      </c>
      <c r="K408" s="7" cm="1">
        <f t="array" ref="K408">INDEX(Sm,G408)</f>
        <v>2.3463851222642056</v>
      </c>
      <c r="L408" s="7">
        <f t="shared" si="34"/>
        <v>358.3759346840958</v>
      </c>
      <c r="M408" s="7">
        <f t="shared" si="35"/>
        <v>0.874065315904204</v>
      </c>
    </row>
    <row r="409" spans="6:13" ht="18.75" customHeight="1">
      <c r="F409" s="1">
        <v>33786</v>
      </c>
      <c r="G409">
        <f t="shared" si="32"/>
        <v>7</v>
      </c>
      <c r="H409" s="7">
        <v>357.02</v>
      </c>
      <c r="I409" s="7">
        <f t="shared" si="31"/>
        <v>356.16575370251655</v>
      </c>
      <c r="J409" s="7">
        <f t="shared" si="33"/>
        <v>0.85424629748342795</v>
      </c>
      <c r="K409" s="7" cm="1">
        <f t="array" ref="K409">INDEX(Sm,G409)</f>
        <v>0.72334113060077332</v>
      </c>
      <c r="L409" s="7">
        <f t="shared" si="34"/>
        <v>356.88909483311733</v>
      </c>
      <c r="M409" s="7">
        <f t="shared" si="35"/>
        <v>0.13090516688265552</v>
      </c>
    </row>
    <row r="410" spans="6:13" ht="18.75" customHeight="1">
      <c r="F410" s="1">
        <v>33817</v>
      </c>
      <c r="G410">
        <f t="shared" si="32"/>
        <v>8</v>
      </c>
      <c r="H410" s="7">
        <v>355</v>
      </c>
      <c r="I410" s="7">
        <f t="shared" si="31"/>
        <v>356.30668338868901</v>
      </c>
      <c r="J410" s="7">
        <f t="shared" si="33"/>
        <v>-1.3066833886890095</v>
      </c>
      <c r="K410" s="7" cm="1">
        <f t="array" ref="K410">INDEX(Sm,G410)</f>
        <v>-1.3975570061157723</v>
      </c>
      <c r="L410" s="7">
        <f t="shared" si="34"/>
        <v>354.90912638257322</v>
      </c>
      <c r="M410" s="7">
        <f t="shared" si="35"/>
        <v>9.0873617426780129E-2</v>
      </c>
    </row>
    <row r="411" spans="6:13" ht="18.75" customHeight="1">
      <c r="F411" s="1">
        <v>33848</v>
      </c>
      <c r="G411">
        <f t="shared" si="32"/>
        <v>9</v>
      </c>
      <c r="H411" s="7">
        <v>353.01</v>
      </c>
      <c r="I411" s="7">
        <f t="shared" si="31"/>
        <v>356.44780152179277</v>
      </c>
      <c r="J411" s="7">
        <f t="shared" si="33"/>
        <v>-3.4378015217927782</v>
      </c>
      <c r="K411" s="7" cm="1">
        <f t="array" ref="K411">INDEX(Sm,G411)</f>
        <v>-3.1934822994410497</v>
      </c>
      <c r="L411" s="7">
        <f t="shared" si="34"/>
        <v>353.25431922235174</v>
      </c>
      <c r="M411" s="7">
        <f t="shared" si="35"/>
        <v>-0.24431922235174852</v>
      </c>
    </row>
    <row r="412" spans="6:13" ht="18.75" customHeight="1">
      <c r="F412" s="1">
        <v>33878</v>
      </c>
      <c r="G412">
        <f t="shared" si="32"/>
        <v>10</v>
      </c>
      <c r="H412" s="7">
        <v>353.31</v>
      </c>
      <c r="I412" s="7">
        <f t="shared" si="31"/>
        <v>356.58454688363321</v>
      </c>
      <c r="J412" s="7">
        <f t="shared" si="33"/>
        <v>-3.2745468836332066</v>
      </c>
      <c r="K412" s="7" cm="1">
        <f t="array" ref="K412">INDEX(Sm,G412)</f>
        <v>-3.3368150874962788</v>
      </c>
      <c r="L412" s="7">
        <f t="shared" si="34"/>
        <v>353.24773179613692</v>
      </c>
      <c r="M412" s="7">
        <f t="shared" si="35"/>
        <v>6.2268203863084182E-2</v>
      </c>
    </row>
    <row r="413" spans="6:13" ht="18.75" customHeight="1">
      <c r="F413" s="1">
        <v>33909</v>
      </c>
      <c r="G413">
        <f t="shared" si="32"/>
        <v>11</v>
      </c>
      <c r="H413" s="7">
        <v>354.16</v>
      </c>
      <c r="I413" s="7">
        <f t="shared" si="31"/>
        <v>356.72603583166631</v>
      </c>
      <c r="J413" s="7">
        <f t="shared" si="33"/>
        <v>-2.5660358316662837</v>
      </c>
      <c r="K413" s="7" cm="1">
        <f t="array" ref="K413">INDEX(Sm,G413)</f>
        <v>-2.0591623324975612</v>
      </c>
      <c r="L413" s="7">
        <f t="shared" si="34"/>
        <v>354.66687349916873</v>
      </c>
      <c r="M413" s="7">
        <f t="shared" si="35"/>
        <v>-0.50687349916870517</v>
      </c>
    </row>
    <row r="414" spans="6:13" ht="18.75" customHeight="1">
      <c r="F414" s="1">
        <v>33939</v>
      </c>
      <c r="G414">
        <f t="shared" si="32"/>
        <v>12</v>
      </c>
      <c r="H414" s="7">
        <v>355.4</v>
      </c>
      <c r="I414" s="7">
        <f t="shared" si="31"/>
        <v>356.86314004666417</v>
      </c>
      <c r="J414" s="7">
        <f t="shared" si="33"/>
        <v>-1.4631400466641935</v>
      </c>
      <c r="K414" s="7" cm="1">
        <f t="array" ref="K414">INDEX(Sm,G414)</f>
        <v>-0.89132446529561371</v>
      </c>
      <c r="L414" s="7">
        <f t="shared" si="34"/>
        <v>355.97181558136856</v>
      </c>
      <c r="M414" s="7">
        <f t="shared" si="35"/>
        <v>-0.57181558136858257</v>
      </c>
    </row>
    <row r="415" spans="6:13" ht="18.75" customHeight="1">
      <c r="F415" s="1">
        <v>33970</v>
      </c>
      <c r="G415">
        <f t="shared" si="32"/>
        <v>1</v>
      </c>
      <c r="H415" s="7">
        <v>356.7</v>
      </c>
      <c r="I415" s="7">
        <f t="shared" si="31"/>
        <v>357.00499980962661</v>
      </c>
      <c r="J415" s="7">
        <f t="shared" si="33"/>
        <v>-0.30499980962662221</v>
      </c>
      <c r="K415" s="7" cm="1">
        <f t="array" ref="K415">INDEX(Sm,G415)</f>
        <v>6.1040869584970889E-2</v>
      </c>
      <c r="L415" s="7">
        <f t="shared" si="34"/>
        <v>357.0660406792116</v>
      </c>
      <c r="M415" s="7">
        <f t="shared" si="35"/>
        <v>-0.36604067921160777</v>
      </c>
    </row>
    <row r="416" spans="6:13" ht="18.75" customHeight="1">
      <c r="F416" s="1">
        <v>34001</v>
      </c>
      <c r="G416">
        <f t="shared" si="32"/>
        <v>2</v>
      </c>
      <c r="H416" s="7">
        <v>357.17</v>
      </c>
      <c r="I416" s="7">
        <f t="shared" si="31"/>
        <v>357.1470480195203</v>
      </c>
      <c r="J416" s="7">
        <f t="shared" si="33"/>
        <v>2.2951980479717804E-2</v>
      </c>
      <c r="K416" s="7" cm="1">
        <f t="array" ref="K416">INDEX(Sm,G416)</f>
        <v>0.69421564520236412</v>
      </c>
      <c r="L416" s="7">
        <f t="shared" si="34"/>
        <v>357.84126366472265</v>
      </c>
      <c r="M416" s="7">
        <f t="shared" si="35"/>
        <v>-0.67126366472263044</v>
      </c>
    </row>
    <row r="417" spans="6:13" ht="18.75" customHeight="1">
      <c r="F417" s="1">
        <v>34029</v>
      </c>
      <c r="G417">
        <f t="shared" si="32"/>
        <v>3</v>
      </c>
      <c r="H417" s="7">
        <v>358.38</v>
      </c>
      <c r="I417" s="7">
        <f t="shared" si="31"/>
        <v>357.27551160261402</v>
      </c>
      <c r="J417" s="7">
        <f t="shared" si="33"/>
        <v>1.1044883973859783</v>
      </c>
      <c r="K417" s="7" cm="1">
        <f t="array" ref="K417">INDEX(Sm,G417)</f>
        <v>1.3733706304072995</v>
      </c>
      <c r="L417" s="7">
        <f t="shared" si="34"/>
        <v>358.64888223302131</v>
      </c>
      <c r="M417" s="7">
        <f t="shared" si="35"/>
        <v>-0.26888223302131564</v>
      </c>
    </row>
    <row r="418" spans="6:13" ht="18.75" customHeight="1">
      <c r="F418" s="1">
        <v>34060</v>
      </c>
      <c r="G418">
        <f t="shared" si="32"/>
        <v>4</v>
      </c>
      <c r="H418" s="7">
        <v>359.46</v>
      </c>
      <c r="I418" s="7">
        <f t="shared" si="31"/>
        <v>357.41791846957051</v>
      </c>
      <c r="J418" s="7">
        <f t="shared" si="33"/>
        <v>2.0420815304294706</v>
      </c>
      <c r="K418" s="7" cm="1">
        <f t="array" ref="K418">INDEX(Sm,G418)</f>
        <v>2.6099183412742755</v>
      </c>
      <c r="L418" s="7">
        <f t="shared" si="34"/>
        <v>360.0278368108448</v>
      </c>
      <c r="M418" s="7">
        <f t="shared" si="35"/>
        <v>-0.56783681084482396</v>
      </c>
    </row>
    <row r="419" spans="6:13" ht="18.75" customHeight="1">
      <c r="F419" s="1">
        <v>34090</v>
      </c>
      <c r="G419">
        <f t="shared" si="32"/>
        <v>5</v>
      </c>
      <c r="H419" s="7">
        <v>360.28</v>
      </c>
      <c r="I419" s="7">
        <f t="shared" si="31"/>
        <v>357.55591099320395</v>
      </c>
      <c r="J419" s="7">
        <f t="shared" si="33"/>
        <v>2.7240890067960208</v>
      </c>
      <c r="K419" s="7" cm="1">
        <f t="array" ref="K419">INDEX(Sm,G419)</f>
        <v>3.065291801195754</v>
      </c>
      <c r="L419" s="7">
        <f t="shared" si="34"/>
        <v>360.62120279439972</v>
      </c>
      <c r="M419" s="7">
        <f t="shared" si="35"/>
        <v>-0.34120279439974865</v>
      </c>
    </row>
    <row r="420" spans="6:13" ht="18.75" customHeight="1">
      <c r="F420" s="1">
        <v>34121</v>
      </c>
      <c r="G420">
        <f t="shared" si="32"/>
        <v>6</v>
      </c>
      <c r="H420" s="7">
        <v>359.6</v>
      </c>
      <c r="I420" s="7">
        <f t="shared" si="31"/>
        <v>357.69868867508984</v>
      </c>
      <c r="J420" s="7">
        <f t="shared" si="33"/>
        <v>1.9013113249101821</v>
      </c>
      <c r="K420" s="7" cm="1">
        <f t="array" ref="K420">INDEX(Sm,G420)</f>
        <v>2.3463851222642056</v>
      </c>
      <c r="L420" s="7">
        <f t="shared" si="34"/>
        <v>360.04507379735406</v>
      </c>
      <c r="M420" s="7">
        <f t="shared" si="35"/>
        <v>-0.44507379735404129</v>
      </c>
    </row>
    <row r="421" spans="6:13" ht="18.75" customHeight="1">
      <c r="F421" s="1">
        <v>34151</v>
      </c>
      <c r="G421">
        <f t="shared" si="32"/>
        <v>7</v>
      </c>
      <c r="H421" s="7">
        <v>357.57</v>
      </c>
      <c r="I421" s="7">
        <f t="shared" si="31"/>
        <v>357.83704005188065</v>
      </c>
      <c r="J421" s="7">
        <f t="shared" si="33"/>
        <v>-0.26704005188065594</v>
      </c>
      <c r="K421" s="7" cm="1">
        <f t="array" ref="K421">INDEX(Sm,G421)</f>
        <v>0.72334113060077332</v>
      </c>
      <c r="L421" s="7">
        <f t="shared" si="34"/>
        <v>358.56038118248142</v>
      </c>
      <c r="M421" s="7">
        <f t="shared" si="35"/>
        <v>-0.99038118248142837</v>
      </c>
    </row>
    <row r="422" spans="6:13" ht="18.75" customHeight="1">
      <c r="F422" s="1">
        <v>34182</v>
      </c>
      <c r="G422">
        <f t="shared" si="32"/>
        <v>8</v>
      </c>
      <c r="H422" s="7">
        <v>355.52</v>
      </c>
      <c r="I422" s="7">
        <f t="shared" si="31"/>
        <v>357.98018854869588</v>
      </c>
      <c r="J422" s="7">
        <f t="shared" si="33"/>
        <v>-2.4601885486958963</v>
      </c>
      <c r="K422" s="7" cm="1">
        <f t="array" ref="K422">INDEX(Sm,G422)</f>
        <v>-1.3975570061157723</v>
      </c>
      <c r="L422" s="7">
        <f t="shared" si="34"/>
        <v>356.58263154258009</v>
      </c>
      <c r="M422" s="7">
        <f t="shared" si="35"/>
        <v>-1.0626315425801067</v>
      </c>
    </row>
    <row r="423" spans="6:13" ht="18.75" customHeight="1">
      <c r="F423" s="1">
        <v>34213</v>
      </c>
      <c r="G423">
        <f t="shared" si="32"/>
        <v>9</v>
      </c>
      <c r="H423" s="7">
        <v>353.69</v>
      </c>
      <c r="I423" s="7">
        <f t="shared" si="31"/>
        <v>358.12352549244235</v>
      </c>
      <c r="J423" s="7">
        <f t="shared" si="33"/>
        <v>-4.4335254924423566</v>
      </c>
      <c r="K423" s="7" cm="1">
        <f t="array" ref="K423">INDEX(Sm,G423)</f>
        <v>-3.1934822994410497</v>
      </c>
      <c r="L423" s="7">
        <f t="shared" si="34"/>
        <v>354.93004319300132</v>
      </c>
      <c r="M423" s="7">
        <f t="shared" si="35"/>
        <v>-1.2400431930013269</v>
      </c>
    </row>
    <row r="424" spans="6:13" ht="18.75" customHeight="1">
      <c r="F424" s="1">
        <v>34243</v>
      </c>
      <c r="G424">
        <f t="shared" si="32"/>
        <v>10</v>
      </c>
      <c r="H424" s="7">
        <v>353.99</v>
      </c>
      <c r="I424" s="7">
        <f t="shared" si="31"/>
        <v>358.26241809038868</v>
      </c>
      <c r="J424" s="7">
        <f t="shared" si="33"/>
        <v>-4.272418090388669</v>
      </c>
      <c r="K424" s="7" cm="1">
        <f t="array" ref="K424">INDEX(Sm,G424)</f>
        <v>-3.3368150874962788</v>
      </c>
      <c r="L424" s="7">
        <f t="shared" si="34"/>
        <v>354.92560300289239</v>
      </c>
      <c r="M424" s="7">
        <f t="shared" si="35"/>
        <v>-0.9356030028923783</v>
      </c>
    </row>
    <row r="425" spans="6:13" ht="18.75" customHeight="1">
      <c r="F425" s="1">
        <v>34274</v>
      </c>
      <c r="G425">
        <f t="shared" si="32"/>
        <v>11</v>
      </c>
      <c r="H425" s="7">
        <v>355.34</v>
      </c>
      <c r="I425" s="7">
        <f t="shared" si="31"/>
        <v>358.40612584906449</v>
      </c>
      <c r="J425" s="7">
        <f t="shared" si="33"/>
        <v>-3.0661258490645196</v>
      </c>
      <c r="K425" s="7" cm="1">
        <f t="array" ref="K425">INDEX(Sm,G425)</f>
        <v>-2.0591623324975612</v>
      </c>
      <c r="L425" s="7">
        <f t="shared" si="34"/>
        <v>356.34696351656692</v>
      </c>
      <c r="M425" s="7">
        <f t="shared" si="35"/>
        <v>-1.0069635165669411</v>
      </c>
    </row>
    <row r="426" spans="6:13" ht="18.75" customHeight="1">
      <c r="F426" s="1">
        <v>34304</v>
      </c>
      <c r="G426">
        <f t="shared" si="32"/>
        <v>12</v>
      </c>
      <c r="H426" s="7">
        <v>356.8</v>
      </c>
      <c r="I426" s="7">
        <f t="shared" si="31"/>
        <v>358.54537730016818</v>
      </c>
      <c r="J426" s="7">
        <f t="shared" si="33"/>
        <v>-1.7453773001681725</v>
      </c>
      <c r="K426" s="7" cm="1">
        <f t="array" ref="K426">INDEX(Sm,G426)</f>
        <v>-0.89132446529561371</v>
      </c>
      <c r="L426" s="7">
        <f t="shared" si="34"/>
        <v>357.65405283487257</v>
      </c>
      <c r="M426" s="7">
        <f t="shared" si="35"/>
        <v>-0.85405283487256156</v>
      </c>
    </row>
    <row r="427" spans="6:13" ht="18.75" customHeight="1">
      <c r="F427" s="1">
        <v>34335</v>
      </c>
      <c r="G427">
        <f t="shared" si="32"/>
        <v>1</v>
      </c>
      <c r="H427" s="7">
        <v>358.37</v>
      </c>
      <c r="I427" s="7">
        <f t="shared" si="31"/>
        <v>358.6894558737734</v>
      </c>
      <c r="J427" s="7">
        <f t="shared" si="33"/>
        <v>-0.3194558737733928</v>
      </c>
      <c r="K427" s="7" cm="1">
        <f t="array" ref="K427">INDEX(Sm,G427)</f>
        <v>6.1040869584970889E-2</v>
      </c>
      <c r="L427" s="7">
        <f t="shared" si="34"/>
        <v>358.75049674335838</v>
      </c>
      <c r="M427" s="7">
        <f t="shared" si="35"/>
        <v>-0.38049674335837835</v>
      </c>
    </row>
    <row r="428" spans="6:13" ht="18.75" customHeight="1">
      <c r="F428" s="1">
        <v>34366</v>
      </c>
      <c r="G428">
        <f t="shared" si="32"/>
        <v>2</v>
      </c>
      <c r="H428" s="7">
        <v>358.91</v>
      </c>
      <c r="I428" s="7">
        <f t="shared" si="31"/>
        <v>358.83372289430986</v>
      </c>
      <c r="J428" s="7">
        <f t="shared" si="33"/>
        <v>7.6277105690166991E-2</v>
      </c>
      <c r="K428" s="7" cm="1">
        <f t="array" ref="K428">INDEX(Sm,G428)</f>
        <v>0.69421564520236412</v>
      </c>
      <c r="L428" s="7">
        <f t="shared" si="34"/>
        <v>359.52793853951221</v>
      </c>
      <c r="M428" s="7">
        <f t="shared" si="35"/>
        <v>-0.61793853951218125</v>
      </c>
    </row>
    <row r="429" spans="6:13" ht="18.75" customHeight="1">
      <c r="F429" s="1">
        <v>34394</v>
      </c>
      <c r="G429">
        <f t="shared" si="32"/>
        <v>3</v>
      </c>
      <c r="H429" s="7">
        <v>359.97</v>
      </c>
      <c r="I429" s="7">
        <f t="shared" si="31"/>
        <v>358.96419056443563</v>
      </c>
      <c r="J429" s="7">
        <f t="shared" si="33"/>
        <v>1.0058094355644016</v>
      </c>
      <c r="K429" s="7" cm="1">
        <f t="array" ref="K429">INDEX(Sm,G429)</f>
        <v>1.3733706304072995</v>
      </c>
      <c r="L429" s="7">
        <f t="shared" si="34"/>
        <v>360.33756119484292</v>
      </c>
      <c r="M429" s="7">
        <f t="shared" si="35"/>
        <v>-0.36756119484289229</v>
      </c>
    </row>
    <row r="430" spans="6:13" ht="18.75" customHeight="1">
      <c r="F430" s="1">
        <v>34425</v>
      </c>
      <c r="G430">
        <f t="shared" si="32"/>
        <v>4</v>
      </c>
      <c r="H430" s="7">
        <v>361.26</v>
      </c>
      <c r="I430" s="7">
        <f t="shared" si="31"/>
        <v>359.10881624203489</v>
      </c>
      <c r="J430" s="7">
        <f t="shared" si="33"/>
        <v>2.1511837579651001</v>
      </c>
      <c r="K430" s="7" cm="1">
        <f t="array" ref="K430">INDEX(Sm,G430)</f>
        <v>2.6099183412742755</v>
      </c>
      <c r="L430" s="7">
        <f t="shared" si="34"/>
        <v>361.71873458330919</v>
      </c>
      <c r="M430" s="7">
        <f t="shared" si="35"/>
        <v>-0.45873458330919448</v>
      </c>
    </row>
    <row r="431" spans="6:13" ht="18.75" customHeight="1">
      <c r="F431" s="1">
        <v>34455</v>
      </c>
      <c r="G431">
        <f t="shared" si="32"/>
        <v>5</v>
      </c>
      <c r="H431" s="7">
        <v>361.69</v>
      </c>
      <c r="I431" s="7">
        <f t="shared" si="31"/>
        <v>359.24895600177422</v>
      </c>
      <c r="J431" s="7">
        <f t="shared" si="33"/>
        <v>2.4410439982257799</v>
      </c>
      <c r="K431" s="7" cm="1">
        <f t="array" ref="K431">INDEX(Sm,G431)</f>
        <v>3.065291801195754</v>
      </c>
      <c r="L431" s="7">
        <f t="shared" si="34"/>
        <v>362.31424780296999</v>
      </c>
      <c r="M431" s="7">
        <f t="shared" si="35"/>
        <v>-0.62424780296998961</v>
      </c>
    </row>
    <row r="432" spans="6:13" ht="18.75" customHeight="1">
      <c r="F432" s="1">
        <v>34486</v>
      </c>
      <c r="G432">
        <f t="shared" si="32"/>
        <v>6</v>
      </c>
      <c r="H432" s="7">
        <v>360.94</v>
      </c>
      <c r="I432" s="7">
        <f t="shared" si="31"/>
        <v>359.39395249430282</v>
      </c>
      <c r="J432" s="7">
        <f t="shared" si="33"/>
        <v>1.5460475056971745</v>
      </c>
      <c r="K432" s="7" cm="1">
        <f t="array" ref="K432">INDEX(Sm,G432)</f>
        <v>2.3463851222642056</v>
      </c>
      <c r="L432" s="7">
        <f t="shared" si="34"/>
        <v>361.74033761656705</v>
      </c>
      <c r="M432" s="7">
        <f t="shared" si="35"/>
        <v>-0.80033761656704883</v>
      </c>
    </row>
    <row r="433" spans="6:13" ht="18.75" customHeight="1">
      <c r="F433" s="1">
        <v>34516</v>
      </c>
      <c r="G433">
        <f t="shared" si="32"/>
        <v>7</v>
      </c>
      <c r="H433" s="7">
        <v>359.55</v>
      </c>
      <c r="I433" s="7">
        <f t="shared" si="31"/>
        <v>359.53445110719952</v>
      </c>
      <c r="J433" s="7">
        <f t="shared" si="33"/>
        <v>1.5548892800495651E-2</v>
      </c>
      <c r="K433" s="7" cm="1">
        <f t="array" ref="K433">INDEX(Sm,G433)</f>
        <v>0.72334113060077332</v>
      </c>
      <c r="L433" s="7">
        <f t="shared" si="34"/>
        <v>360.25779223780029</v>
      </c>
      <c r="M433" s="7">
        <f t="shared" si="35"/>
        <v>-0.70779223780027678</v>
      </c>
    </row>
    <row r="434" spans="6:13" ht="18.75" customHeight="1">
      <c r="F434" s="1">
        <v>34547</v>
      </c>
      <c r="G434">
        <f t="shared" si="32"/>
        <v>8</v>
      </c>
      <c r="H434" s="7">
        <v>357.48</v>
      </c>
      <c r="I434" s="7">
        <f t="shared" si="31"/>
        <v>359.67981841465746</v>
      </c>
      <c r="J434" s="7">
        <f t="shared" si="33"/>
        <v>-2.1998184146574431</v>
      </c>
      <c r="K434" s="7" cm="1">
        <f t="array" ref="K434">INDEX(Sm,G434)</f>
        <v>-1.3975570061157723</v>
      </c>
      <c r="L434" s="7">
        <f t="shared" si="34"/>
        <v>358.28226140854167</v>
      </c>
      <c r="M434" s="7">
        <f t="shared" si="35"/>
        <v>-0.80226140854165351</v>
      </c>
    </row>
    <row r="435" spans="6:13" ht="18.75" customHeight="1">
      <c r="F435" s="1">
        <v>34578</v>
      </c>
      <c r="G435">
        <f t="shared" si="32"/>
        <v>9</v>
      </c>
      <c r="H435" s="7">
        <v>355.84</v>
      </c>
      <c r="I435" s="7">
        <f t="shared" si="31"/>
        <v>359.82537416904665</v>
      </c>
      <c r="J435" s="7">
        <f t="shared" si="33"/>
        <v>-3.9853741690466791</v>
      </c>
      <c r="K435" s="7" cm="1">
        <f t="array" ref="K435">INDEX(Sm,G435)</f>
        <v>-3.1934822994410497</v>
      </c>
      <c r="L435" s="7">
        <f t="shared" si="34"/>
        <v>356.63189186960562</v>
      </c>
      <c r="M435" s="7">
        <f t="shared" si="35"/>
        <v>-0.79189186960564939</v>
      </c>
    </row>
    <row r="436" spans="6:13" ht="18.75" customHeight="1">
      <c r="F436" s="1">
        <v>34608</v>
      </c>
      <c r="G436">
        <f t="shared" si="32"/>
        <v>10</v>
      </c>
      <c r="H436" s="7">
        <v>356</v>
      </c>
      <c r="I436" s="7">
        <f t="shared" si="31"/>
        <v>359.96641400309886</v>
      </c>
      <c r="J436" s="7">
        <f t="shared" si="33"/>
        <v>-3.9664140030988619</v>
      </c>
      <c r="K436" s="7" cm="1">
        <f t="array" ref="K436">INDEX(Sm,G436)</f>
        <v>-3.3368150874962788</v>
      </c>
      <c r="L436" s="7">
        <f t="shared" si="34"/>
        <v>356.62959891560257</v>
      </c>
      <c r="M436" s="7">
        <f t="shared" si="35"/>
        <v>-0.6295989156025712</v>
      </c>
    </row>
    <row r="437" spans="6:13" ht="18.75" customHeight="1">
      <c r="F437" s="1">
        <v>34639</v>
      </c>
      <c r="G437">
        <f t="shared" si="32"/>
        <v>11</v>
      </c>
      <c r="H437" s="7">
        <v>357.58</v>
      </c>
      <c r="I437" s="7">
        <f t="shared" si="31"/>
        <v>360.11234057241739</v>
      </c>
      <c r="J437" s="7">
        <f t="shared" si="33"/>
        <v>-2.5323405724174108</v>
      </c>
      <c r="K437" s="7" cm="1">
        <f t="array" ref="K437">INDEX(Sm,G437)</f>
        <v>-2.0591623324975612</v>
      </c>
      <c r="L437" s="7">
        <f t="shared" si="34"/>
        <v>358.05317823991982</v>
      </c>
      <c r="M437" s="7">
        <f t="shared" si="35"/>
        <v>-0.47317823991983232</v>
      </c>
    </row>
    <row r="438" spans="6:13" ht="18.75" customHeight="1">
      <c r="F438" s="1">
        <v>34669</v>
      </c>
      <c r="G438">
        <f t="shared" si="32"/>
        <v>12</v>
      </c>
      <c r="H438" s="7">
        <v>359.04</v>
      </c>
      <c r="I438" s="7">
        <f t="shared" si="31"/>
        <v>360.25373925962697</v>
      </c>
      <c r="J438" s="7">
        <f t="shared" si="33"/>
        <v>-1.2137392596269478</v>
      </c>
      <c r="K438" s="7" cm="1">
        <f t="array" ref="K438">INDEX(Sm,G438)</f>
        <v>-0.89132446529561371</v>
      </c>
      <c r="L438" s="7">
        <f t="shared" si="34"/>
        <v>359.36241479433136</v>
      </c>
      <c r="M438" s="7">
        <f t="shared" si="35"/>
        <v>-0.32241479433133691</v>
      </c>
    </row>
    <row r="439" spans="6:13" ht="18.75" customHeight="1">
      <c r="F439" s="1">
        <v>34700</v>
      </c>
      <c r="G439">
        <f t="shared" si="32"/>
        <v>1</v>
      </c>
      <c r="H439" s="7">
        <v>359.97</v>
      </c>
      <c r="I439" s="7">
        <f t="shared" si="31"/>
        <v>360.4000366438749</v>
      </c>
      <c r="J439" s="7">
        <f t="shared" si="33"/>
        <v>-0.43003664387487106</v>
      </c>
      <c r="K439" s="7" cm="1">
        <f t="array" ref="K439">INDEX(Sm,G439)</f>
        <v>6.1040869584970889E-2</v>
      </c>
      <c r="L439" s="7">
        <f t="shared" si="34"/>
        <v>360.46107751345988</v>
      </c>
      <c r="M439" s="7">
        <f t="shared" si="35"/>
        <v>-0.49107751345985662</v>
      </c>
    </row>
    <row r="440" spans="6:13" ht="18.75" customHeight="1">
      <c r="F440" s="1">
        <v>34731</v>
      </c>
      <c r="G440">
        <f t="shared" si="32"/>
        <v>2</v>
      </c>
      <c r="H440" s="7">
        <v>361</v>
      </c>
      <c r="I440" s="7">
        <f t="shared" si="31"/>
        <v>360.54652247505408</v>
      </c>
      <c r="J440" s="7">
        <f t="shared" si="33"/>
        <v>0.45347752494592442</v>
      </c>
      <c r="K440" s="7" cm="1">
        <f t="array" ref="K440">INDEX(Sm,G440)</f>
        <v>0.69421564520236412</v>
      </c>
      <c r="L440" s="7">
        <f t="shared" si="34"/>
        <v>361.24073812025642</v>
      </c>
      <c r="M440" s="7">
        <f t="shared" si="35"/>
        <v>-0.24073812025642383</v>
      </c>
    </row>
    <row r="441" spans="6:13" ht="18.75" customHeight="1">
      <c r="F441" s="1">
        <v>34759</v>
      </c>
      <c r="G441">
        <f t="shared" si="32"/>
        <v>3</v>
      </c>
      <c r="H441" s="7">
        <v>361.63</v>
      </c>
      <c r="I441" s="7">
        <f t="shared" si="31"/>
        <v>360.67899423221206</v>
      </c>
      <c r="J441" s="7">
        <f t="shared" si="33"/>
        <v>0.95100576778793311</v>
      </c>
      <c r="K441" s="7" cm="1">
        <f t="array" ref="K441">INDEX(Sm,G441)</f>
        <v>1.3733706304072995</v>
      </c>
      <c r="L441" s="7">
        <f t="shared" si="34"/>
        <v>362.05236486261936</v>
      </c>
      <c r="M441" s="7">
        <f t="shared" si="35"/>
        <v>-0.42236486261936079</v>
      </c>
    </row>
    <row r="442" spans="6:13" ht="18.75" customHeight="1">
      <c r="F442" s="1">
        <v>34790</v>
      </c>
      <c r="G442">
        <f t="shared" si="32"/>
        <v>4</v>
      </c>
      <c r="H442" s="7">
        <v>363.45</v>
      </c>
      <c r="I442" s="7">
        <f t="shared" si="31"/>
        <v>360.82583872045404</v>
      </c>
      <c r="J442" s="7">
        <f t="shared" si="33"/>
        <v>2.6241612795459446</v>
      </c>
      <c r="K442" s="7" cm="1">
        <f t="array" ref="K442">INDEX(Sm,G442)</f>
        <v>2.6099183412742755</v>
      </c>
      <c r="L442" s="7">
        <f t="shared" si="34"/>
        <v>363.43575706172834</v>
      </c>
      <c r="M442" s="7">
        <f t="shared" si="35"/>
        <v>1.4242938271650019E-2</v>
      </c>
    </row>
    <row r="443" spans="6:13" ht="18.75" customHeight="1">
      <c r="F443" s="1">
        <v>34820</v>
      </c>
      <c r="G443">
        <f t="shared" si="32"/>
        <v>5</v>
      </c>
      <c r="H443" s="7">
        <v>363.8</v>
      </c>
      <c r="I443" s="7">
        <f t="shared" si="31"/>
        <v>360.9681257162992</v>
      </c>
      <c r="J443" s="7">
        <f t="shared" si="33"/>
        <v>2.8318742837008131</v>
      </c>
      <c r="K443" s="7" cm="1">
        <f t="array" ref="K443">INDEX(Sm,G443)</f>
        <v>3.065291801195754</v>
      </c>
      <c r="L443" s="7">
        <f t="shared" si="34"/>
        <v>364.03341751749497</v>
      </c>
      <c r="M443" s="7">
        <f t="shared" si="35"/>
        <v>-0.23341751749495643</v>
      </c>
    </row>
    <row r="444" spans="6:13" ht="18.75" customHeight="1">
      <c r="F444" s="1">
        <v>34851</v>
      </c>
      <c r="G444">
        <f t="shared" si="32"/>
        <v>6</v>
      </c>
      <c r="H444" s="7">
        <v>363.26</v>
      </c>
      <c r="I444" s="7">
        <f t="shared" si="31"/>
        <v>361.11534101947052</v>
      </c>
      <c r="J444" s="7">
        <f t="shared" si="33"/>
        <v>2.1446589805294707</v>
      </c>
      <c r="K444" s="7" cm="1">
        <f t="array" ref="K444">INDEX(Sm,G444)</f>
        <v>2.3463851222642056</v>
      </c>
      <c r="L444" s="7">
        <f t="shared" si="34"/>
        <v>363.46172614173474</v>
      </c>
      <c r="M444" s="7">
        <f t="shared" si="35"/>
        <v>-0.20172614173475267</v>
      </c>
    </row>
    <row r="445" spans="6:13" ht="18.75" customHeight="1">
      <c r="F445" s="1">
        <v>34881</v>
      </c>
      <c r="G445">
        <f t="shared" si="32"/>
        <v>7</v>
      </c>
      <c r="H445" s="7">
        <v>361.89</v>
      </c>
      <c r="I445" s="7">
        <f t="shared" si="31"/>
        <v>361.2579868684731</v>
      </c>
      <c r="J445" s="7">
        <f t="shared" si="33"/>
        <v>0.63201313152688954</v>
      </c>
      <c r="K445" s="7" cm="1">
        <f t="array" ref="K445">INDEX(Sm,G445)</f>
        <v>0.72334113060077332</v>
      </c>
      <c r="L445" s="7">
        <f t="shared" si="34"/>
        <v>361.98132799907387</v>
      </c>
      <c r="M445" s="7">
        <f t="shared" si="35"/>
        <v>-9.1327999073882893E-2</v>
      </c>
    </row>
    <row r="446" spans="6:13" ht="18.75" customHeight="1">
      <c r="F446" s="1">
        <v>34912</v>
      </c>
      <c r="G446">
        <f t="shared" si="32"/>
        <v>8</v>
      </c>
      <c r="H446" s="7">
        <v>359.45</v>
      </c>
      <c r="I446" s="7">
        <f t="shared" si="31"/>
        <v>361.40557298657376</v>
      </c>
      <c r="J446" s="7">
        <f t="shared" si="33"/>
        <v>-1.9555729865737703</v>
      </c>
      <c r="K446" s="7" cm="1">
        <f t="array" ref="K446">INDEX(Sm,G446)</f>
        <v>-1.3975570061157723</v>
      </c>
      <c r="L446" s="7">
        <f t="shared" si="34"/>
        <v>360.00801598045797</v>
      </c>
      <c r="M446" s="7">
        <f t="shared" si="35"/>
        <v>-0.55801598045798073</v>
      </c>
    </row>
    <row r="447" spans="6:13" ht="18.75" customHeight="1">
      <c r="F447" s="1">
        <v>34943</v>
      </c>
      <c r="G447">
        <f t="shared" si="32"/>
        <v>9</v>
      </c>
      <c r="H447" s="7">
        <v>358.05</v>
      </c>
      <c r="I447" s="7">
        <f t="shared" si="31"/>
        <v>361.55334755160573</v>
      </c>
      <c r="J447" s="7">
        <f t="shared" si="33"/>
        <v>-3.5033475516057138</v>
      </c>
      <c r="K447" s="7" cm="1">
        <f t="array" ref="K447">INDEX(Sm,G447)</f>
        <v>-3.1934822994410497</v>
      </c>
      <c r="L447" s="7">
        <f t="shared" si="34"/>
        <v>358.3598652521647</v>
      </c>
      <c r="M447" s="7">
        <f t="shared" si="35"/>
        <v>-0.30986525216468408</v>
      </c>
    </row>
    <row r="448" spans="6:13" ht="18.75" customHeight="1">
      <c r="F448" s="1">
        <v>34973</v>
      </c>
      <c r="G448">
        <f t="shared" si="32"/>
        <v>10</v>
      </c>
      <c r="H448" s="7">
        <v>357.75</v>
      </c>
      <c r="I448" s="7">
        <f t="shared" si="31"/>
        <v>361.69653462176376</v>
      </c>
      <c r="J448" s="7">
        <f t="shared" si="33"/>
        <v>-3.9465346217637602</v>
      </c>
      <c r="K448" s="7" cm="1">
        <f t="array" ref="K448">INDEX(Sm,G448)</f>
        <v>-3.3368150874962788</v>
      </c>
      <c r="L448" s="7">
        <f t="shared" si="34"/>
        <v>358.35971953426747</v>
      </c>
      <c r="M448" s="7">
        <f t="shared" si="35"/>
        <v>-0.6097195342674695</v>
      </c>
    </row>
    <row r="449" spans="6:13" ht="18.75" customHeight="1">
      <c r="F449" s="1">
        <v>35004</v>
      </c>
      <c r="G449">
        <f t="shared" si="32"/>
        <v>11</v>
      </c>
      <c r="H449" s="7">
        <v>359.56</v>
      </c>
      <c r="I449" s="7">
        <f t="shared" si="31"/>
        <v>361.84468000172507</v>
      </c>
      <c r="J449" s="7">
        <f t="shared" si="33"/>
        <v>-2.2846800017250644</v>
      </c>
      <c r="K449" s="7" cm="1">
        <f t="array" ref="K449">INDEX(Sm,G449)</f>
        <v>-2.0591623324975612</v>
      </c>
      <c r="L449" s="7">
        <f t="shared" si="34"/>
        <v>359.78551766922749</v>
      </c>
      <c r="M449" s="7">
        <f t="shared" si="35"/>
        <v>-0.22551766922748584</v>
      </c>
    </row>
    <row r="450" spans="6:13" ht="18.75" customHeight="1">
      <c r="F450" s="1">
        <v>35034</v>
      </c>
      <c r="G450">
        <f t="shared" si="32"/>
        <v>12</v>
      </c>
      <c r="H450" s="7">
        <v>360.7</v>
      </c>
      <c r="I450" s="7">
        <f t="shared" ref="I450:I513" si="36">_A*F450*F450+_B*F450+_C</f>
        <v>361.98822592504047</v>
      </c>
      <c r="J450" s="7">
        <f t="shared" si="33"/>
        <v>-1.2882259250404786</v>
      </c>
      <c r="K450" s="7" cm="1">
        <f t="array" ref="K450">INDEX(Sm,G450)</f>
        <v>-0.89132446529561371</v>
      </c>
      <c r="L450" s="7">
        <f t="shared" si="34"/>
        <v>361.09690145974486</v>
      </c>
      <c r="M450" s="7">
        <f t="shared" si="35"/>
        <v>-0.39690145974486768</v>
      </c>
    </row>
    <row r="451" spans="6:13" ht="18.75" customHeight="1">
      <c r="F451" s="1">
        <v>35065</v>
      </c>
      <c r="G451">
        <f t="shared" ref="G451:G514" si="37">MONTH(F451)</f>
        <v>1</v>
      </c>
      <c r="H451" s="7">
        <v>362.05</v>
      </c>
      <c r="I451" s="7">
        <f t="shared" si="36"/>
        <v>362.13674211993111</v>
      </c>
      <c r="J451" s="7">
        <f t="shared" ref="J451:J514" si="38">H451-I451</f>
        <v>-8.6742119931102479E-2</v>
      </c>
      <c r="K451" s="7" cm="1">
        <f t="array" ref="K451">INDEX(Sm,G451)</f>
        <v>6.1040869584970889E-2</v>
      </c>
      <c r="L451" s="7">
        <f t="shared" ref="L451:L514" si="39">I451+K451</f>
        <v>362.1977829895161</v>
      </c>
      <c r="M451" s="7">
        <f t="shared" ref="M451:M514" si="40">H451-L451</f>
        <v>-0.14778298951608804</v>
      </c>
    </row>
    <row r="452" spans="6:13" ht="18.75" customHeight="1">
      <c r="F452" s="1">
        <v>35096</v>
      </c>
      <c r="G452">
        <f t="shared" si="37"/>
        <v>2</v>
      </c>
      <c r="H452" s="7">
        <v>363.24</v>
      </c>
      <c r="I452" s="7">
        <f t="shared" si="36"/>
        <v>362.28544676175306</v>
      </c>
      <c r="J452" s="7">
        <f t="shared" si="38"/>
        <v>0.9545532382469446</v>
      </c>
      <c r="K452" s="7" cm="1">
        <f t="array" ref="K452">INDEX(Sm,G452)</f>
        <v>0.69421564520236412</v>
      </c>
      <c r="L452" s="7">
        <f t="shared" si="39"/>
        <v>362.97966240695541</v>
      </c>
      <c r="M452" s="7">
        <f t="shared" si="40"/>
        <v>0.26033759304459636</v>
      </c>
    </row>
    <row r="453" spans="6:13" ht="18.75" customHeight="1">
      <c r="F453" s="1">
        <v>35125</v>
      </c>
      <c r="G453">
        <f t="shared" si="37"/>
        <v>3</v>
      </c>
      <c r="H453" s="7">
        <v>364.02</v>
      </c>
      <c r="I453" s="7">
        <f t="shared" si="36"/>
        <v>362.42472815803626</v>
      </c>
      <c r="J453" s="7">
        <f t="shared" si="38"/>
        <v>1.5952718419637222</v>
      </c>
      <c r="K453" s="7" cm="1">
        <f t="array" ref="K453">INDEX(Sm,G453)</f>
        <v>1.3733706304072995</v>
      </c>
      <c r="L453" s="7">
        <f t="shared" si="39"/>
        <v>363.79809878844355</v>
      </c>
      <c r="M453" s="7">
        <f t="shared" si="40"/>
        <v>0.22190121155642828</v>
      </c>
    </row>
    <row r="454" spans="6:13" ht="18.75" customHeight="1">
      <c r="F454" s="1">
        <v>35156</v>
      </c>
      <c r="G454">
        <f t="shared" si="37"/>
        <v>4</v>
      </c>
      <c r="H454" s="7">
        <v>364.71</v>
      </c>
      <c r="I454" s="7">
        <f t="shared" si="36"/>
        <v>362.57379753585423</v>
      </c>
      <c r="J454" s="7">
        <f t="shared" si="38"/>
        <v>2.1362024641457538</v>
      </c>
      <c r="K454" s="7" cm="1">
        <f t="array" ref="K454">INDEX(Sm,G454)</f>
        <v>2.6099183412742755</v>
      </c>
      <c r="L454" s="7">
        <f t="shared" si="39"/>
        <v>365.18371587712852</v>
      </c>
      <c r="M454" s="7">
        <f t="shared" si="40"/>
        <v>-0.4737158771285408</v>
      </c>
    </row>
    <row r="455" spans="6:13" ht="18.75" customHeight="1">
      <c r="F455" s="1">
        <v>35186</v>
      </c>
      <c r="G455">
        <f t="shared" si="37"/>
        <v>5</v>
      </c>
      <c r="H455" s="7">
        <v>365.42</v>
      </c>
      <c r="I455" s="7">
        <f t="shared" si="36"/>
        <v>362.71823765064391</v>
      </c>
      <c r="J455" s="7">
        <f t="shared" si="38"/>
        <v>2.7017623493561018</v>
      </c>
      <c r="K455" s="7" cm="1">
        <f t="array" ref="K455">INDEX(Sm,G455)</f>
        <v>3.065291801195754</v>
      </c>
      <c r="L455" s="7">
        <f t="shared" si="39"/>
        <v>365.78352945183968</v>
      </c>
      <c r="M455" s="7">
        <f t="shared" si="40"/>
        <v>-0.36352945183966767</v>
      </c>
    </row>
    <row r="456" spans="6:13" ht="18.75" customHeight="1">
      <c r="F456" s="1">
        <v>35217</v>
      </c>
      <c r="G456">
        <f t="shared" si="37"/>
        <v>6</v>
      </c>
      <c r="H456" s="7">
        <v>364.97</v>
      </c>
      <c r="I456" s="7">
        <f t="shared" si="36"/>
        <v>362.86767784339122</v>
      </c>
      <c r="J456" s="7">
        <f t="shared" si="38"/>
        <v>2.1023221566088068</v>
      </c>
      <c r="K456" s="7" cm="1">
        <f t="array" ref="K456">INDEX(Sm,G456)</f>
        <v>2.3463851222642056</v>
      </c>
      <c r="L456" s="7">
        <f t="shared" si="39"/>
        <v>365.21406296565544</v>
      </c>
      <c r="M456" s="7">
        <f t="shared" si="40"/>
        <v>-0.24406296565541652</v>
      </c>
    </row>
    <row r="457" spans="6:13" ht="18.75" customHeight="1">
      <c r="F457" s="1">
        <v>35247</v>
      </c>
      <c r="G457">
        <f t="shared" si="37"/>
        <v>7</v>
      </c>
      <c r="H457" s="7">
        <v>363.65</v>
      </c>
      <c r="I457" s="7">
        <f t="shared" si="36"/>
        <v>363.01247681133827</v>
      </c>
      <c r="J457" s="7">
        <f t="shared" si="38"/>
        <v>0.63752318866170299</v>
      </c>
      <c r="K457" s="7" cm="1">
        <f t="array" ref="K457">INDEX(Sm,G457)</f>
        <v>0.72334113060077332</v>
      </c>
      <c r="L457" s="7">
        <f t="shared" si="39"/>
        <v>363.73581794193905</v>
      </c>
      <c r="M457" s="7">
        <f t="shared" si="40"/>
        <v>-8.5817941939069442E-2</v>
      </c>
    </row>
    <row r="458" spans="6:13" ht="18.75" customHeight="1">
      <c r="F458" s="1">
        <v>35278</v>
      </c>
      <c r="G458">
        <f t="shared" si="37"/>
        <v>8</v>
      </c>
      <c r="H458" s="7">
        <v>361.48</v>
      </c>
      <c r="I458" s="7">
        <f t="shared" si="36"/>
        <v>363.16228781901498</v>
      </c>
      <c r="J458" s="7">
        <f t="shared" si="38"/>
        <v>-1.6822878190149595</v>
      </c>
      <c r="K458" s="7" cm="1">
        <f t="array" ref="K458">INDEX(Sm,G458)</f>
        <v>-1.3975570061157723</v>
      </c>
      <c r="L458" s="7">
        <f t="shared" si="39"/>
        <v>361.76473081289919</v>
      </c>
      <c r="M458" s="7">
        <f t="shared" si="40"/>
        <v>-0.2847308128991699</v>
      </c>
    </row>
    <row r="459" spans="6:13" ht="18.75" customHeight="1">
      <c r="F459" s="1">
        <v>35309</v>
      </c>
      <c r="G459">
        <f t="shared" si="37"/>
        <v>9</v>
      </c>
      <c r="H459" s="7">
        <v>359.45</v>
      </c>
      <c r="I459" s="7">
        <f t="shared" si="36"/>
        <v>363.31228727362293</v>
      </c>
      <c r="J459" s="7">
        <f t="shared" si="38"/>
        <v>-3.8622872736229397</v>
      </c>
      <c r="K459" s="7" cm="1">
        <f t="array" ref="K459">INDEX(Sm,G459)</f>
        <v>-3.1934822994410497</v>
      </c>
      <c r="L459" s="7">
        <f t="shared" si="39"/>
        <v>360.1188049741819</v>
      </c>
      <c r="M459" s="7">
        <f t="shared" si="40"/>
        <v>-0.66880497418190998</v>
      </c>
    </row>
    <row r="460" spans="6:13" ht="18.75" customHeight="1">
      <c r="F460" s="1">
        <v>35339</v>
      </c>
      <c r="G460">
        <f t="shared" si="37"/>
        <v>10</v>
      </c>
      <c r="H460" s="7">
        <v>359.61</v>
      </c>
      <c r="I460" s="7">
        <f t="shared" si="36"/>
        <v>363.45762746272544</v>
      </c>
      <c r="J460" s="7">
        <f t="shared" si="38"/>
        <v>-3.847627462725427</v>
      </c>
      <c r="K460" s="7" cm="1">
        <f t="array" ref="K460">INDEX(Sm,G460)</f>
        <v>-3.3368150874962788</v>
      </c>
      <c r="L460" s="7">
        <f t="shared" si="39"/>
        <v>360.12081237522915</v>
      </c>
      <c r="M460" s="7">
        <f t="shared" si="40"/>
        <v>-0.51081237522913625</v>
      </c>
    </row>
    <row r="461" spans="6:13" ht="18.75" customHeight="1">
      <c r="F461" s="1">
        <v>35370</v>
      </c>
      <c r="G461">
        <f t="shared" si="37"/>
        <v>11</v>
      </c>
      <c r="H461" s="7">
        <v>360.76</v>
      </c>
      <c r="I461" s="7">
        <f t="shared" si="36"/>
        <v>363.60799773226273</v>
      </c>
      <c r="J461" s="7">
        <f t="shared" si="38"/>
        <v>-2.8479977322627406</v>
      </c>
      <c r="K461" s="7" cm="1">
        <f t="array" ref="K461">INDEX(Sm,G461)</f>
        <v>-2.0591623324975612</v>
      </c>
      <c r="L461" s="7">
        <f t="shared" si="39"/>
        <v>361.54883539976515</v>
      </c>
      <c r="M461" s="7">
        <f t="shared" si="40"/>
        <v>-0.78883539976516204</v>
      </c>
    </row>
    <row r="462" spans="6:13" ht="18.75" customHeight="1">
      <c r="F462" s="1">
        <v>35400</v>
      </c>
      <c r="G462">
        <f t="shared" si="37"/>
        <v>12</v>
      </c>
      <c r="H462" s="7">
        <v>362.33</v>
      </c>
      <c r="I462" s="7">
        <f t="shared" si="36"/>
        <v>363.75369677452272</v>
      </c>
      <c r="J462" s="7">
        <f t="shared" si="38"/>
        <v>-1.4236967745227389</v>
      </c>
      <c r="K462" s="7" cm="1">
        <f t="array" ref="K462">INDEX(Sm,G462)</f>
        <v>-0.89132446529561371</v>
      </c>
      <c r="L462" s="7">
        <f t="shared" si="39"/>
        <v>362.86237230922711</v>
      </c>
      <c r="M462" s="7">
        <f t="shared" si="40"/>
        <v>-0.53237230922712797</v>
      </c>
    </row>
    <row r="463" spans="6:13" ht="18.75" customHeight="1">
      <c r="F463" s="1">
        <v>35431</v>
      </c>
      <c r="G463">
        <f t="shared" si="37"/>
        <v>1</v>
      </c>
      <c r="H463" s="7">
        <v>363.19</v>
      </c>
      <c r="I463" s="7">
        <f t="shared" si="36"/>
        <v>363.90443785898935</v>
      </c>
      <c r="J463" s="7">
        <f t="shared" si="38"/>
        <v>-0.7144378589893563</v>
      </c>
      <c r="K463" s="7" cm="1">
        <f t="array" ref="K463">INDEX(Sm,G463)</f>
        <v>6.1040869584970889E-2</v>
      </c>
      <c r="L463" s="7">
        <f t="shared" si="39"/>
        <v>363.96547872857434</v>
      </c>
      <c r="M463" s="7">
        <f t="shared" si="40"/>
        <v>-0.77547872857434186</v>
      </c>
    </row>
    <row r="464" spans="6:13" ht="18.75" customHeight="1">
      <c r="F464" s="1">
        <v>35462</v>
      </c>
      <c r="G464">
        <f t="shared" si="37"/>
        <v>2</v>
      </c>
      <c r="H464" s="7">
        <v>363.99</v>
      </c>
      <c r="I464" s="7">
        <f t="shared" si="36"/>
        <v>364.05536739038723</v>
      </c>
      <c r="J464" s="7">
        <f t="shared" si="38"/>
        <v>-6.5367390387223168E-2</v>
      </c>
      <c r="K464" s="7" cm="1">
        <f t="array" ref="K464">INDEX(Sm,G464)</f>
        <v>0.69421564520236412</v>
      </c>
      <c r="L464" s="7">
        <f t="shared" si="39"/>
        <v>364.74958303558958</v>
      </c>
      <c r="M464" s="7">
        <f t="shared" si="40"/>
        <v>-0.75958303558957141</v>
      </c>
    </row>
    <row r="465" spans="6:13" ht="18.75" customHeight="1">
      <c r="F465" s="1">
        <v>35490</v>
      </c>
      <c r="G465">
        <f t="shared" si="37"/>
        <v>3</v>
      </c>
      <c r="H465" s="7">
        <v>364.56</v>
      </c>
      <c r="I465" s="7">
        <f t="shared" si="36"/>
        <v>364.1918528122589</v>
      </c>
      <c r="J465" s="7">
        <f t="shared" si="38"/>
        <v>0.36814718774110133</v>
      </c>
      <c r="K465" s="7" cm="1">
        <f t="array" ref="K465">INDEX(Sm,G465)</f>
        <v>1.3733706304072995</v>
      </c>
      <c r="L465" s="7">
        <f t="shared" si="39"/>
        <v>365.56522344266619</v>
      </c>
      <c r="M465" s="7">
        <f t="shared" si="40"/>
        <v>-1.0052234426661926</v>
      </c>
    </row>
    <row r="466" spans="6:13" ht="18.75" customHeight="1">
      <c r="F466" s="1">
        <v>35521</v>
      </c>
      <c r="G466">
        <f t="shared" si="37"/>
        <v>4</v>
      </c>
      <c r="H466" s="7">
        <v>366.36</v>
      </c>
      <c r="I466" s="7">
        <f t="shared" si="36"/>
        <v>364.34314100071964</v>
      </c>
      <c r="J466" s="7">
        <f t="shared" si="38"/>
        <v>2.0168589992803732</v>
      </c>
      <c r="K466" s="7" cm="1">
        <f t="array" ref="K466">INDEX(Sm,G466)</f>
        <v>2.6099183412742755</v>
      </c>
      <c r="L466" s="7">
        <f t="shared" si="39"/>
        <v>366.95305934199394</v>
      </c>
      <c r="M466" s="7">
        <f t="shared" si="40"/>
        <v>-0.59305934199392141</v>
      </c>
    </row>
    <row r="467" spans="6:13" ht="18.75" customHeight="1">
      <c r="F467" s="1">
        <v>35551</v>
      </c>
      <c r="G467">
        <f t="shared" si="37"/>
        <v>5</v>
      </c>
      <c r="H467" s="7">
        <v>366.8</v>
      </c>
      <c r="I467" s="7">
        <f t="shared" si="36"/>
        <v>364.48972835161516</v>
      </c>
      <c r="J467" s="7">
        <f t="shared" si="38"/>
        <v>2.3102716483848553</v>
      </c>
      <c r="K467" s="7" cm="1">
        <f t="array" ref="K467">INDEX(Sm,G467)</f>
        <v>3.065291801195754</v>
      </c>
      <c r="L467" s="7">
        <f t="shared" si="39"/>
        <v>367.55502015281093</v>
      </c>
      <c r="M467" s="7">
        <f t="shared" si="40"/>
        <v>-0.75502015281091417</v>
      </c>
    </row>
    <row r="468" spans="6:13" ht="18.75" customHeight="1">
      <c r="F468" s="1">
        <v>35582</v>
      </c>
      <c r="G468">
        <f t="shared" si="37"/>
        <v>6</v>
      </c>
      <c r="H468" s="7">
        <v>365.63</v>
      </c>
      <c r="I468" s="7">
        <f t="shared" si="36"/>
        <v>364.64138735500524</v>
      </c>
      <c r="J468" s="7">
        <f t="shared" si="38"/>
        <v>0.98861264499475965</v>
      </c>
      <c r="K468" s="7" cm="1">
        <f t="array" ref="K468">INDEX(Sm,G468)</f>
        <v>2.3463851222642056</v>
      </c>
      <c r="L468" s="7">
        <f t="shared" si="39"/>
        <v>366.98777247726946</v>
      </c>
      <c r="M468" s="7">
        <f t="shared" si="40"/>
        <v>-1.3577724772694637</v>
      </c>
    </row>
    <row r="469" spans="6:13" ht="18.75" customHeight="1">
      <c r="F469" s="1">
        <v>35612</v>
      </c>
      <c r="G469">
        <f t="shared" si="37"/>
        <v>7</v>
      </c>
      <c r="H469" s="7">
        <v>364.47</v>
      </c>
      <c r="I469" s="7">
        <f t="shared" si="36"/>
        <v>364.78833355905817</v>
      </c>
      <c r="J469" s="7">
        <f t="shared" si="38"/>
        <v>-0.31833355905814642</v>
      </c>
      <c r="K469" s="7" cm="1">
        <f t="array" ref="K469">INDEX(Sm,G469)</f>
        <v>0.72334113060077332</v>
      </c>
      <c r="L469" s="7">
        <f t="shared" si="39"/>
        <v>365.51167468965895</v>
      </c>
      <c r="M469" s="7">
        <f t="shared" si="40"/>
        <v>-1.0416746896589189</v>
      </c>
    </row>
    <row r="470" spans="6:13" ht="18.75" customHeight="1">
      <c r="F470" s="1">
        <v>35643</v>
      </c>
      <c r="G470">
        <f t="shared" si="37"/>
        <v>8</v>
      </c>
      <c r="H470" s="7">
        <v>362.5</v>
      </c>
      <c r="I470" s="7">
        <f t="shared" si="36"/>
        <v>364.94036337737754</v>
      </c>
      <c r="J470" s="7">
        <f t="shared" si="38"/>
        <v>-2.4403633773775368</v>
      </c>
      <c r="K470" s="7" cm="1">
        <f t="array" ref="K470">INDEX(Sm,G470)</f>
        <v>-1.3975570061157723</v>
      </c>
      <c r="L470" s="7">
        <f t="shared" si="39"/>
        <v>363.54280637126175</v>
      </c>
      <c r="M470" s="7">
        <f t="shared" si="40"/>
        <v>-1.0428063712617472</v>
      </c>
    </row>
    <row r="471" spans="6:13" ht="18.75" customHeight="1">
      <c r="F471" s="1">
        <v>35674</v>
      </c>
      <c r="G471">
        <f t="shared" si="37"/>
        <v>9</v>
      </c>
      <c r="H471" s="7">
        <v>360.19</v>
      </c>
      <c r="I471" s="7">
        <f t="shared" si="36"/>
        <v>365.09258164262826</v>
      </c>
      <c r="J471" s="7">
        <f t="shared" si="38"/>
        <v>-4.9025816426282631</v>
      </c>
      <c r="K471" s="7" cm="1">
        <f t="array" ref="K471">INDEX(Sm,G471)</f>
        <v>-3.1934822994410497</v>
      </c>
      <c r="L471" s="7">
        <f t="shared" si="39"/>
        <v>361.89909934318723</v>
      </c>
      <c r="M471" s="7">
        <f t="shared" si="40"/>
        <v>-1.7090993431872334</v>
      </c>
    </row>
    <row r="472" spans="6:13" ht="18.75" customHeight="1">
      <c r="F472" s="1">
        <v>35704</v>
      </c>
      <c r="G472">
        <f t="shared" si="37"/>
        <v>10</v>
      </c>
      <c r="H472" s="7">
        <v>360.78</v>
      </c>
      <c r="I472" s="7">
        <f t="shared" si="36"/>
        <v>365.24006906783666</v>
      </c>
      <c r="J472" s="7">
        <f t="shared" si="38"/>
        <v>-4.4600690678366846</v>
      </c>
      <c r="K472" s="7" cm="1">
        <f t="array" ref="K472">INDEX(Sm,G472)</f>
        <v>-3.3368150874962788</v>
      </c>
      <c r="L472" s="7">
        <f t="shared" si="39"/>
        <v>361.90325398034037</v>
      </c>
      <c r="M472" s="7">
        <f t="shared" si="40"/>
        <v>-1.1232539803403938</v>
      </c>
    </row>
    <row r="473" spans="6:13" ht="18.75" customHeight="1">
      <c r="F473" s="1">
        <v>35735</v>
      </c>
      <c r="G473">
        <f t="shared" si="37"/>
        <v>11</v>
      </c>
      <c r="H473" s="7">
        <v>362.43</v>
      </c>
      <c r="I473" s="7">
        <f t="shared" si="36"/>
        <v>365.39265814801666</v>
      </c>
      <c r="J473" s="7">
        <f t="shared" si="38"/>
        <v>-2.9626581480166578</v>
      </c>
      <c r="K473" s="7" cm="1">
        <f t="array" ref="K473">INDEX(Sm,G473)</f>
        <v>-2.0591623324975612</v>
      </c>
      <c r="L473" s="7">
        <f t="shared" si="39"/>
        <v>363.33349581551909</v>
      </c>
      <c r="M473" s="7">
        <f t="shared" si="40"/>
        <v>-0.90349581551907931</v>
      </c>
    </row>
    <row r="474" spans="6:13" ht="18.75" customHeight="1">
      <c r="F474" s="1">
        <v>35765</v>
      </c>
      <c r="G474">
        <f t="shared" si="37"/>
        <v>12</v>
      </c>
      <c r="H474" s="7">
        <v>364.28</v>
      </c>
      <c r="I474" s="7">
        <f t="shared" si="36"/>
        <v>365.54050442638254</v>
      </c>
      <c r="J474" s="7">
        <f t="shared" si="38"/>
        <v>-1.2605044263825675</v>
      </c>
      <c r="K474" s="7" cm="1">
        <f t="array" ref="K474">INDEX(Sm,G474)</f>
        <v>-0.89132446529561371</v>
      </c>
      <c r="L474" s="7">
        <f t="shared" si="39"/>
        <v>364.64917996108693</v>
      </c>
      <c r="M474" s="7">
        <f t="shared" si="40"/>
        <v>-0.36917996108695661</v>
      </c>
    </row>
    <row r="475" spans="6:13" ht="18.75" customHeight="1">
      <c r="F475" s="1">
        <v>35796</v>
      </c>
      <c r="G475">
        <f t="shared" si="37"/>
        <v>1</v>
      </c>
      <c r="H475" s="7">
        <v>365.33</v>
      </c>
      <c r="I475" s="7">
        <f t="shared" si="36"/>
        <v>365.69346432149183</v>
      </c>
      <c r="J475" s="7">
        <f t="shared" si="38"/>
        <v>-0.36346432149184693</v>
      </c>
      <c r="K475" s="7" cm="1">
        <f t="array" ref="K475">INDEX(Sm,G475)</f>
        <v>6.1040869584970889E-2</v>
      </c>
      <c r="L475" s="7">
        <f t="shared" si="39"/>
        <v>365.75450519107682</v>
      </c>
      <c r="M475" s="7">
        <f t="shared" si="40"/>
        <v>-0.42450519107683249</v>
      </c>
    </row>
    <row r="476" spans="6:13" ht="18.75" customHeight="1">
      <c r="F476" s="1">
        <v>35827</v>
      </c>
      <c r="G476">
        <f t="shared" si="37"/>
        <v>2</v>
      </c>
      <c r="H476" s="7">
        <v>366.15</v>
      </c>
      <c r="I476" s="7">
        <f t="shared" si="36"/>
        <v>365.84661266353248</v>
      </c>
      <c r="J476" s="7">
        <f t="shared" si="38"/>
        <v>0.30338733646749461</v>
      </c>
      <c r="K476" s="7" cm="1">
        <f t="array" ref="K476">INDEX(Sm,G476)</f>
        <v>0.69421564520236412</v>
      </c>
      <c r="L476" s="7">
        <f t="shared" si="39"/>
        <v>366.54082830873483</v>
      </c>
      <c r="M476" s="7">
        <f t="shared" si="40"/>
        <v>-0.39082830873485364</v>
      </c>
    </row>
    <row r="477" spans="6:13" ht="18.75" customHeight="1">
      <c r="F477" s="1">
        <v>35855</v>
      </c>
      <c r="G477">
        <f t="shared" si="37"/>
        <v>3</v>
      </c>
      <c r="H477" s="7">
        <v>367.31</v>
      </c>
      <c r="I477" s="7">
        <f t="shared" si="36"/>
        <v>365.98510217243631</v>
      </c>
      <c r="J477" s="7">
        <f t="shared" si="38"/>
        <v>1.3248978275636887</v>
      </c>
      <c r="K477" s="7" cm="1">
        <f t="array" ref="K477">INDEX(Sm,G477)</f>
        <v>1.3733706304072995</v>
      </c>
      <c r="L477" s="7">
        <f t="shared" si="39"/>
        <v>367.35847280284361</v>
      </c>
      <c r="M477" s="7">
        <f t="shared" si="40"/>
        <v>-4.8472802843605223E-2</v>
      </c>
    </row>
    <row r="478" spans="6:13" ht="18.75" customHeight="1">
      <c r="F478" s="1">
        <v>35886</v>
      </c>
      <c r="G478">
        <f t="shared" si="37"/>
        <v>4</v>
      </c>
      <c r="H478" s="7">
        <v>368.61</v>
      </c>
      <c r="I478" s="7">
        <f t="shared" si="36"/>
        <v>366.13860917153977</v>
      </c>
      <c r="J478" s="7">
        <f t="shared" si="38"/>
        <v>2.4713908284602439</v>
      </c>
      <c r="K478" s="7" cm="1">
        <f t="array" ref="K478">INDEX(Sm,G478)</f>
        <v>2.6099183412742755</v>
      </c>
      <c r="L478" s="7">
        <f t="shared" si="39"/>
        <v>368.74852751281406</v>
      </c>
      <c r="M478" s="7">
        <f t="shared" si="40"/>
        <v>-0.13852751281405062</v>
      </c>
    </row>
    <row r="479" spans="6:13" ht="18.75" customHeight="1">
      <c r="F479" s="1">
        <v>35916</v>
      </c>
      <c r="G479">
        <f t="shared" si="37"/>
        <v>5</v>
      </c>
      <c r="H479" s="7">
        <v>369.3</v>
      </c>
      <c r="I479" s="7">
        <f t="shared" si="36"/>
        <v>366.28734375854117</v>
      </c>
      <c r="J479" s="7">
        <f t="shared" si="38"/>
        <v>3.012656241458842</v>
      </c>
      <c r="K479" s="7" cm="1">
        <f t="array" ref="K479">INDEX(Sm,G479)</f>
        <v>3.065291801195754</v>
      </c>
      <c r="L479" s="7">
        <f t="shared" si="39"/>
        <v>369.35263555973694</v>
      </c>
      <c r="M479" s="7">
        <f t="shared" si="40"/>
        <v>-5.2635559736927462E-2</v>
      </c>
    </row>
    <row r="480" spans="6:13" ht="18.75" customHeight="1">
      <c r="F480" s="1">
        <v>35947</v>
      </c>
      <c r="G480">
        <f t="shared" si="37"/>
        <v>6</v>
      </c>
      <c r="H480" s="7">
        <v>368.88</v>
      </c>
      <c r="I480" s="7">
        <f t="shared" si="36"/>
        <v>366.44122157257391</v>
      </c>
      <c r="J480" s="7">
        <f t="shared" si="38"/>
        <v>2.4387784274260866</v>
      </c>
      <c r="K480" s="7" cm="1">
        <f t="array" ref="K480">INDEX(Sm,G480)</f>
        <v>2.3463851222642056</v>
      </c>
      <c r="L480" s="7">
        <f t="shared" si="39"/>
        <v>368.78760669483813</v>
      </c>
      <c r="M480" s="7">
        <f t="shared" si="40"/>
        <v>9.2393305161863282E-2</v>
      </c>
    </row>
    <row r="481" spans="6:13" ht="18.75" customHeight="1">
      <c r="F481" s="1">
        <v>35977</v>
      </c>
      <c r="G481">
        <f t="shared" si="37"/>
        <v>7</v>
      </c>
      <c r="H481" s="7">
        <v>367.64</v>
      </c>
      <c r="I481" s="7">
        <f t="shared" si="36"/>
        <v>366.59031501273273</v>
      </c>
      <c r="J481" s="7">
        <f t="shared" si="38"/>
        <v>1.0496849872672556</v>
      </c>
      <c r="K481" s="7" cm="1">
        <f t="array" ref="K481">INDEX(Sm,G481)</f>
        <v>0.72334113060077332</v>
      </c>
      <c r="L481" s="7">
        <f t="shared" si="39"/>
        <v>367.3136561433335</v>
      </c>
      <c r="M481" s="7">
        <f t="shared" si="40"/>
        <v>0.32634385666648313</v>
      </c>
    </row>
    <row r="482" spans="6:13" ht="18.75" customHeight="1">
      <c r="F482" s="1">
        <v>36008</v>
      </c>
      <c r="G482">
        <f t="shared" si="37"/>
        <v>8</v>
      </c>
      <c r="H482" s="7">
        <v>365.78</v>
      </c>
      <c r="I482" s="7">
        <f t="shared" si="36"/>
        <v>366.74456364169487</v>
      </c>
      <c r="J482" s="7">
        <f t="shared" si="38"/>
        <v>-0.96456364169489461</v>
      </c>
      <c r="K482" s="7" cm="1">
        <f t="array" ref="K482">INDEX(Sm,G482)</f>
        <v>-1.3975570061157723</v>
      </c>
      <c r="L482" s="7">
        <f t="shared" si="39"/>
        <v>365.34700663557908</v>
      </c>
      <c r="M482" s="7">
        <f t="shared" si="40"/>
        <v>0.43299336442089498</v>
      </c>
    </row>
    <row r="483" spans="6:13" ht="18.75" customHeight="1">
      <c r="F483" s="1">
        <v>36039</v>
      </c>
      <c r="G483">
        <f t="shared" si="37"/>
        <v>9</v>
      </c>
      <c r="H483" s="7">
        <v>363.9</v>
      </c>
      <c r="I483" s="7">
        <f t="shared" si="36"/>
        <v>366.89900071758831</v>
      </c>
      <c r="J483" s="7">
        <f t="shared" si="38"/>
        <v>-2.9990007175883306</v>
      </c>
      <c r="K483" s="7" cm="1">
        <f t="array" ref="K483">INDEX(Sm,G483)</f>
        <v>-3.1934822994410497</v>
      </c>
      <c r="L483" s="7">
        <f t="shared" si="39"/>
        <v>363.70551841814728</v>
      </c>
      <c r="M483" s="7">
        <f t="shared" si="40"/>
        <v>0.19448158185269904</v>
      </c>
    </row>
    <row r="484" spans="6:13" ht="18.75" customHeight="1">
      <c r="F484" s="1">
        <v>36069</v>
      </c>
      <c r="G484">
        <f t="shared" si="37"/>
        <v>10</v>
      </c>
      <c r="H484" s="7">
        <v>364.23</v>
      </c>
      <c r="I484" s="7">
        <f t="shared" si="36"/>
        <v>367.04863537890253</v>
      </c>
      <c r="J484" s="7">
        <f t="shared" si="38"/>
        <v>-2.8186353789025134</v>
      </c>
      <c r="K484" s="7" cm="1">
        <f t="array" ref="K484">INDEX(Sm,G484)</f>
        <v>-3.3368150874962788</v>
      </c>
      <c r="L484" s="7">
        <f t="shared" si="39"/>
        <v>363.71182029140624</v>
      </c>
      <c r="M484" s="7">
        <f t="shared" si="40"/>
        <v>0.51817970859377738</v>
      </c>
    </row>
    <row r="485" spans="6:13" ht="18.75" customHeight="1">
      <c r="F485" s="1">
        <v>36100</v>
      </c>
      <c r="G485">
        <f t="shared" si="37"/>
        <v>11</v>
      </c>
      <c r="H485" s="7">
        <v>365.46</v>
      </c>
      <c r="I485" s="7">
        <f t="shared" si="36"/>
        <v>367.20344326972531</v>
      </c>
      <c r="J485" s="7">
        <f t="shared" si="38"/>
        <v>-1.7434432697253328</v>
      </c>
      <c r="K485" s="7" cm="1">
        <f t="array" ref="K485">INDEX(Sm,G485)</f>
        <v>-2.0591623324975612</v>
      </c>
      <c r="L485" s="7">
        <f t="shared" si="39"/>
        <v>365.14428093722773</v>
      </c>
      <c r="M485" s="7">
        <f t="shared" si="40"/>
        <v>0.31571906277224571</v>
      </c>
    </row>
    <row r="486" spans="6:13" ht="18.75" customHeight="1">
      <c r="F486" s="1">
        <v>36130</v>
      </c>
      <c r="G486">
        <f t="shared" si="37"/>
        <v>12</v>
      </c>
      <c r="H486" s="7">
        <v>366.97</v>
      </c>
      <c r="I486" s="7">
        <f t="shared" si="36"/>
        <v>367.35343678419702</v>
      </c>
      <c r="J486" s="7">
        <f t="shared" si="38"/>
        <v>-0.3834367841969879</v>
      </c>
      <c r="K486" s="7" cm="1">
        <f t="array" ref="K486">INDEX(Sm,G486)</f>
        <v>-0.89132446529561371</v>
      </c>
      <c r="L486" s="7">
        <f t="shared" si="39"/>
        <v>366.4621123189014</v>
      </c>
      <c r="M486" s="7">
        <f t="shared" si="40"/>
        <v>0.50788768109862303</v>
      </c>
    </row>
    <row r="487" spans="6:13" ht="18.75" customHeight="1">
      <c r="F487" s="1">
        <v>36161</v>
      </c>
      <c r="G487">
        <f t="shared" si="37"/>
        <v>1</v>
      </c>
      <c r="H487" s="7">
        <v>368.15</v>
      </c>
      <c r="I487" s="7">
        <f t="shared" si="36"/>
        <v>367.50861548994908</v>
      </c>
      <c r="J487" s="7">
        <f t="shared" si="38"/>
        <v>0.64138451005089792</v>
      </c>
      <c r="K487" s="7" cm="1">
        <f t="array" ref="K487">INDEX(Sm,G487)</f>
        <v>6.1040869584970889E-2</v>
      </c>
      <c r="L487" s="7">
        <f t="shared" si="39"/>
        <v>367.56965635953406</v>
      </c>
      <c r="M487" s="7">
        <f t="shared" si="40"/>
        <v>0.58034364046591236</v>
      </c>
    </row>
    <row r="488" spans="6:13" ht="18.75" customHeight="1">
      <c r="F488" s="1">
        <v>36192</v>
      </c>
      <c r="G488">
        <f t="shared" si="37"/>
        <v>2</v>
      </c>
      <c r="H488" s="7">
        <v>368.87</v>
      </c>
      <c r="I488" s="7">
        <f t="shared" si="36"/>
        <v>367.66398264263245</v>
      </c>
      <c r="J488" s="7">
        <f t="shared" si="38"/>
        <v>1.206017357367557</v>
      </c>
      <c r="K488" s="7" cm="1">
        <f t="array" ref="K488">INDEX(Sm,G488)</f>
        <v>0.69421564520236412</v>
      </c>
      <c r="L488" s="7">
        <f t="shared" si="39"/>
        <v>368.3581982878348</v>
      </c>
      <c r="M488" s="7">
        <f t="shared" si="40"/>
        <v>0.51180171216520876</v>
      </c>
    </row>
    <row r="489" spans="6:13" ht="18.75" customHeight="1">
      <c r="F489" s="1">
        <v>36220</v>
      </c>
      <c r="G489">
        <f t="shared" si="37"/>
        <v>3</v>
      </c>
      <c r="H489" s="7">
        <v>369.59</v>
      </c>
      <c r="I489" s="7">
        <f t="shared" si="36"/>
        <v>367.80447623856844</v>
      </c>
      <c r="J489" s="7">
        <f t="shared" si="38"/>
        <v>1.7855237614315342</v>
      </c>
      <c r="K489" s="7" cm="1">
        <f t="array" ref="K489">INDEX(Sm,G489)</f>
        <v>1.3733706304072995</v>
      </c>
      <c r="L489" s="7">
        <f t="shared" si="39"/>
        <v>369.17784686897573</v>
      </c>
      <c r="M489" s="7">
        <f t="shared" si="40"/>
        <v>0.41215313102424034</v>
      </c>
    </row>
    <row r="490" spans="6:13" ht="18.75" customHeight="1">
      <c r="F490" s="1">
        <v>36251</v>
      </c>
      <c r="G490">
        <f t="shared" si="37"/>
        <v>4</v>
      </c>
      <c r="H490" s="7">
        <v>371.14</v>
      </c>
      <c r="I490" s="7">
        <f t="shared" si="36"/>
        <v>367.96020204831461</v>
      </c>
      <c r="J490" s="7">
        <f t="shared" si="38"/>
        <v>3.1797979516853729</v>
      </c>
      <c r="K490" s="7" cm="1">
        <f t="array" ref="K490">INDEX(Sm,G490)</f>
        <v>2.6099183412742755</v>
      </c>
      <c r="L490" s="7">
        <f t="shared" si="39"/>
        <v>370.57012038958891</v>
      </c>
      <c r="M490" s="7">
        <f t="shared" si="40"/>
        <v>0.56987961041107837</v>
      </c>
    </row>
    <row r="491" spans="6:13" ht="18.75" customHeight="1">
      <c r="F491" s="1">
        <v>36281</v>
      </c>
      <c r="G491">
        <f t="shared" si="37"/>
        <v>5</v>
      </c>
      <c r="H491" s="7">
        <v>371</v>
      </c>
      <c r="I491" s="7">
        <f t="shared" si="36"/>
        <v>368.11108387142184</v>
      </c>
      <c r="J491" s="7">
        <f t="shared" si="38"/>
        <v>2.8889161285781597</v>
      </c>
      <c r="K491" s="7" cm="1">
        <f t="array" ref="K491">INDEX(Sm,G491)</f>
        <v>3.065291801195754</v>
      </c>
      <c r="L491" s="7">
        <f t="shared" si="39"/>
        <v>371.17637567261761</v>
      </c>
      <c r="M491" s="7">
        <f t="shared" si="40"/>
        <v>-0.17637567261760978</v>
      </c>
    </row>
    <row r="492" spans="6:13" ht="18.75" customHeight="1">
      <c r="F492" s="1">
        <v>36312</v>
      </c>
      <c r="G492">
        <f t="shared" si="37"/>
        <v>6</v>
      </c>
      <c r="H492" s="7">
        <v>370.35</v>
      </c>
      <c r="I492" s="7">
        <f t="shared" si="36"/>
        <v>368.26718049609741</v>
      </c>
      <c r="J492" s="7">
        <f t="shared" si="38"/>
        <v>2.0828195039026127</v>
      </c>
      <c r="K492" s="7" cm="1">
        <f t="array" ref="K492">INDEX(Sm,G492)</f>
        <v>2.3463851222642056</v>
      </c>
      <c r="L492" s="7">
        <f t="shared" si="39"/>
        <v>370.61356561836163</v>
      </c>
      <c r="M492" s="7">
        <f t="shared" si="40"/>
        <v>-0.26356561836161063</v>
      </c>
    </row>
    <row r="493" spans="6:13" ht="18.75" customHeight="1">
      <c r="F493" s="1">
        <v>36342</v>
      </c>
      <c r="G493">
        <f t="shared" si="37"/>
        <v>7</v>
      </c>
      <c r="H493" s="7">
        <v>369.27</v>
      </c>
      <c r="I493" s="7">
        <f t="shared" si="36"/>
        <v>368.41842117236206</v>
      </c>
      <c r="J493" s="7">
        <f t="shared" si="38"/>
        <v>0.85157882763792259</v>
      </c>
      <c r="K493" s="7" cm="1">
        <f t="array" ref="K493">INDEX(Sm,G493)</f>
        <v>0.72334113060077332</v>
      </c>
      <c r="L493" s="7">
        <f t="shared" si="39"/>
        <v>369.14176230296283</v>
      </c>
      <c r="M493" s="7">
        <f t="shared" si="40"/>
        <v>0.12823769703715016</v>
      </c>
    </row>
    <row r="494" spans="6:13" ht="18.75" customHeight="1">
      <c r="F494" s="1">
        <v>36373</v>
      </c>
      <c r="G494">
        <f t="shared" si="37"/>
        <v>8</v>
      </c>
      <c r="H494" s="7">
        <v>366.93</v>
      </c>
      <c r="I494" s="7">
        <f t="shared" si="36"/>
        <v>368.57488861196691</v>
      </c>
      <c r="J494" s="7">
        <f t="shared" si="38"/>
        <v>-1.6448886119669055</v>
      </c>
      <c r="K494" s="7" cm="1">
        <f t="array" ref="K494">INDEX(Sm,G494)</f>
        <v>-1.3975570061157723</v>
      </c>
      <c r="L494" s="7">
        <f t="shared" si="39"/>
        <v>367.17733160585112</v>
      </c>
      <c r="M494" s="7">
        <f t="shared" si="40"/>
        <v>-0.24733160585111591</v>
      </c>
    </row>
    <row r="495" spans="6:13" ht="18.75" customHeight="1">
      <c r="F495" s="1">
        <v>36404</v>
      </c>
      <c r="G495">
        <f t="shared" si="37"/>
        <v>9</v>
      </c>
      <c r="H495" s="7">
        <v>364.64</v>
      </c>
      <c r="I495" s="7">
        <f t="shared" si="36"/>
        <v>368.73154449850307</v>
      </c>
      <c r="J495" s="7">
        <f t="shared" si="38"/>
        <v>-4.0915444985030831</v>
      </c>
      <c r="K495" s="7" cm="1">
        <f t="array" ref="K495">INDEX(Sm,G495)</f>
        <v>-3.1934822994410497</v>
      </c>
      <c r="L495" s="7">
        <f t="shared" si="39"/>
        <v>365.53806219906204</v>
      </c>
      <c r="M495" s="7">
        <f t="shared" si="40"/>
        <v>-0.89806219906205342</v>
      </c>
    </row>
    <row r="496" spans="6:13" ht="18.75" customHeight="1">
      <c r="F496" s="1">
        <v>36434</v>
      </c>
      <c r="G496">
        <f t="shared" si="37"/>
        <v>10</v>
      </c>
      <c r="H496" s="7">
        <v>365.13</v>
      </c>
      <c r="I496" s="7">
        <f t="shared" si="36"/>
        <v>368.88332639592323</v>
      </c>
      <c r="J496" s="7">
        <f t="shared" si="38"/>
        <v>-3.7533263959232386</v>
      </c>
      <c r="K496" s="7" cm="1">
        <f t="array" ref="K496">INDEX(Sm,G496)</f>
        <v>-3.3368150874962788</v>
      </c>
      <c r="L496" s="7">
        <f t="shared" si="39"/>
        <v>365.54651130842694</v>
      </c>
      <c r="M496" s="7">
        <f t="shared" si="40"/>
        <v>-0.41651130842694783</v>
      </c>
    </row>
    <row r="497" spans="6:13" ht="18.75" customHeight="1">
      <c r="F497" s="1">
        <v>36465</v>
      </c>
      <c r="G497">
        <f t="shared" si="37"/>
        <v>11</v>
      </c>
      <c r="H497" s="7">
        <v>366.68</v>
      </c>
      <c r="I497" s="7">
        <f t="shared" si="36"/>
        <v>369.04035309738867</v>
      </c>
      <c r="J497" s="7">
        <f t="shared" si="38"/>
        <v>-2.3603530973886677</v>
      </c>
      <c r="K497" s="7" cm="1">
        <f t="array" ref="K497">INDEX(Sm,G497)</f>
        <v>-2.0591623324975612</v>
      </c>
      <c r="L497" s="7">
        <f t="shared" si="39"/>
        <v>366.9811907648911</v>
      </c>
      <c r="M497" s="7">
        <f t="shared" si="40"/>
        <v>-0.3011907648910892</v>
      </c>
    </row>
    <row r="498" spans="6:13" ht="18.75" customHeight="1">
      <c r="F498" s="1">
        <v>36495</v>
      </c>
      <c r="G498">
        <f t="shared" si="37"/>
        <v>12</v>
      </c>
      <c r="H498" s="7">
        <v>368</v>
      </c>
      <c r="I498" s="7">
        <f t="shared" si="36"/>
        <v>369.19249384796626</v>
      </c>
      <c r="J498" s="7">
        <f t="shared" si="38"/>
        <v>-1.1924938479662615</v>
      </c>
      <c r="K498" s="7" cm="1">
        <f t="array" ref="K498">INDEX(Sm,G498)</f>
        <v>-0.89132446529561371</v>
      </c>
      <c r="L498" s="7">
        <f t="shared" si="39"/>
        <v>368.30116938267065</v>
      </c>
      <c r="M498" s="7">
        <f t="shared" si="40"/>
        <v>-0.30116938267065052</v>
      </c>
    </row>
    <row r="499" spans="6:13" ht="18.75" customHeight="1">
      <c r="F499" s="1">
        <v>36526</v>
      </c>
      <c r="G499">
        <f t="shared" si="37"/>
        <v>1</v>
      </c>
      <c r="H499" s="7">
        <v>369.14</v>
      </c>
      <c r="I499" s="7">
        <f t="shared" si="36"/>
        <v>369.34989136436104</v>
      </c>
      <c r="J499" s="7">
        <f t="shared" si="38"/>
        <v>-0.20989136436105582</v>
      </c>
      <c r="K499" s="7" cm="1">
        <f t="array" ref="K499">INDEX(Sm,G499)</f>
        <v>6.1040869584970889E-2</v>
      </c>
      <c r="L499" s="7">
        <f t="shared" si="39"/>
        <v>369.41093223394603</v>
      </c>
      <c r="M499" s="7">
        <f t="shared" si="40"/>
        <v>-0.27093223394604138</v>
      </c>
    </row>
    <row r="500" spans="6:13" ht="18.75" customHeight="1">
      <c r="F500" s="1">
        <v>36557</v>
      </c>
      <c r="G500">
        <f t="shared" si="37"/>
        <v>2</v>
      </c>
      <c r="H500" s="7">
        <v>369.46</v>
      </c>
      <c r="I500" s="7">
        <f t="shared" si="36"/>
        <v>369.50747732768718</v>
      </c>
      <c r="J500" s="7">
        <f t="shared" si="38"/>
        <v>-4.7477327687204252E-2</v>
      </c>
      <c r="K500" s="7" cm="1">
        <f t="array" ref="K500">INDEX(Sm,G500)</f>
        <v>0.69421564520236412</v>
      </c>
      <c r="L500" s="7">
        <f t="shared" si="39"/>
        <v>370.20169297288953</v>
      </c>
      <c r="M500" s="7">
        <f t="shared" si="40"/>
        <v>-0.74169297288955249</v>
      </c>
    </row>
    <row r="501" spans="6:13" ht="18.75" customHeight="1">
      <c r="F501" s="1">
        <v>36586</v>
      </c>
      <c r="G501">
        <f t="shared" si="37"/>
        <v>3</v>
      </c>
      <c r="H501" s="7">
        <v>370.51</v>
      </c>
      <c r="I501" s="7">
        <f t="shared" si="36"/>
        <v>369.65506705699039</v>
      </c>
      <c r="J501" s="7">
        <f t="shared" si="38"/>
        <v>0.85493294300960088</v>
      </c>
      <c r="K501" s="7" cm="1">
        <f t="array" ref="K501">INDEX(Sm,G501)</f>
        <v>1.3733706304072995</v>
      </c>
      <c r="L501" s="7">
        <f t="shared" si="39"/>
        <v>371.02843768739768</v>
      </c>
      <c r="M501" s="7">
        <f t="shared" si="40"/>
        <v>-0.51843768739769303</v>
      </c>
    </row>
    <row r="502" spans="6:13" ht="18.75" customHeight="1">
      <c r="F502" s="16">
        <v>36617</v>
      </c>
      <c r="G502" s="17">
        <f t="shared" si="37"/>
        <v>4</v>
      </c>
      <c r="H502" s="18">
        <v>371.66</v>
      </c>
      <c r="I502" s="7">
        <f t="shared" si="36"/>
        <v>369.81301775631255</v>
      </c>
      <c r="J502" s="7">
        <f t="shared" si="38"/>
        <v>1.8469822436874779</v>
      </c>
      <c r="K502" s="7" cm="1">
        <f t="array" ref="K502">INDEX(Sm,G502)</f>
        <v>2.6099183412742755</v>
      </c>
      <c r="L502" s="7">
        <f t="shared" si="39"/>
        <v>372.42293609758684</v>
      </c>
      <c r="M502" s="7">
        <f t="shared" si="40"/>
        <v>-0.76293609758681669</v>
      </c>
    </row>
    <row r="503" spans="6:13" ht="18.75" customHeight="1">
      <c r="F503" s="1">
        <v>36647</v>
      </c>
      <c r="G503">
        <f t="shared" si="37"/>
        <v>5</v>
      </c>
      <c r="H503" s="7">
        <v>371.83</v>
      </c>
      <c r="I503" s="7">
        <f t="shared" si="36"/>
        <v>369.96605269836436</v>
      </c>
      <c r="J503" s="7">
        <f t="shared" si="38"/>
        <v>1.8639473016356192</v>
      </c>
      <c r="K503" s="7" cm="1">
        <f t="array" ref="K503">INDEX(Sm,G503)</f>
        <v>3.065291801195754</v>
      </c>
      <c r="L503" s="7">
        <f t="shared" si="39"/>
        <v>373.03134449956013</v>
      </c>
      <c r="M503" s="7">
        <f t="shared" si="40"/>
        <v>-1.2013444995601503</v>
      </c>
    </row>
    <row r="504" spans="6:13" ht="18.75" customHeight="1">
      <c r="F504" s="1">
        <v>36678</v>
      </c>
      <c r="G504">
        <f t="shared" si="37"/>
        <v>6</v>
      </c>
      <c r="H504" s="7">
        <v>371.69</v>
      </c>
      <c r="I504" s="7">
        <f t="shared" si="36"/>
        <v>370.12437421261586</v>
      </c>
      <c r="J504" s="7">
        <f t="shared" si="38"/>
        <v>1.5656257873841355</v>
      </c>
      <c r="K504" s="7" cm="1">
        <f t="array" ref="K504">INDEX(Sm,G504)</f>
        <v>2.3463851222642056</v>
      </c>
      <c r="L504" s="7">
        <f t="shared" si="39"/>
        <v>372.47075933488009</v>
      </c>
      <c r="M504" s="7">
        <f t="shared" si="40"/>
        <v>-0.78075933488008786</v>
      </c>
    </row>
    <row r="505" spans="6:13" ht="18.75" customHeight="1">
      <c r="F505" s="1">
        <v>36708</v>
      </c>
      <c r="G505">
        <f t="shared" si="37"/>
        <v>7</v>
      </c>
      <c r="H505" s="7">
        <v>370.12</v>
      </c>
      <c r="I505" s="7">
        <f t="shared" si="36"/>
        <v>370.2777680078251</v>
      </c>
      <c r="J505" s="7">
        <f t="shared" si="38"/>
        <v>-0.15776800782509781</v>
      </c>
      <c r="K505" s="7" cm="1">
        <f t="array" ref="K505">INDEX(Sm,G505)</f>
        <v>0.72334113060077332</v>
      </c>
      <c r="L505" s="7">
        <f t="shared" si="39"/>
        <v>371.00110913842587</v>
      </c>
      <c r="M505" s="7">
        <f t="shared" si="40"/>
        <v>-0.88110913842587024</v>
      </c>
    </row>
    <row r="506" spans="6:13" ht="18.75" customHeight="1">
      <c r="F506" s="1">
        <v>36739</v>
      </c>
      <c r="G506">
        <f t="shared" si="37"/>
        <v>8</v>
      </c>
      <c r="H506" s="7">
        <v>368.12</v>
      </c>
      <c r="I506" s="7">
        <f t="shared" si="36"/>
        <v>370.43646033700594</v>
      </c>
      <c r="J506" s="7">
        <f t="shared" si="38"/>
        <v>-2.3164603370059353</v>
      </c>
      <c r="K506" s="7" cm="1">
        <f t="array" ref="K506">INDEX(Sm,G506)</f>
        <v>-1.3975570061157723</v>
      </c>
      <c r="L506" s="7">
        <f t="shared" si="39"/>
        <v>369.03890333089015</v>
      </c>
      <c r="M506" s="7">
        <f t="shared" si="40"/>
        <v>-0.91890333089014575</v>
      </c>
    </row>
    <row r="507" spans="6:13" ht="18.75" customHeight="1">
      <c r="F507" s="1">
        <v>36770</v>
      </c>
      <c r="G507">
        <f t="shared" si="37"/>
        <v>9</v>
      </c>
      <c r="H507" s="7">
        <v>366.62</v>
      </c>
      <c r="I507" s="7">
        <f t="shared" si="36"/>
        <v>370.59534111311808</v>
      </c>
      <c r="J507" s="7">
        <f t="shared" si="38"/>
        <v>-3.9753411131180769</v>
      </c>
      <c r="K507" s="7" cm="1">
        <f t="array" ref="K507">INDEX(Sm,G507)</f>
        <v>-3.1934822994410497</v>
      </c>
      <c r="L507" s="7">
        <f t="shared" si="39"/>
        <v>367.40185881367705</v>
      </c>
      <c r="M507" s="7">
        <f t="shared" si="40"/>
        <v>-0.78185881367704724</v>
      </c>
    </row>
    <row r="508" spans="6:13" ht="18.75" customHeight="1">
      <c r="F508" s="1">
        <v>36800</v>
      </c>
      <c r="G508">
        <f t="shared" si="37"/>
        <v>10</v>
      </c>
      <c r="H508" s="7">
        <v>366.73</v>
      </c>
      <c r="I508" s="7">
        <f t="shared" si="36"/>
        <v>370.74927612948272</v>
      </c>
      <c r="J508" s="7">
        <f t="shared" si="38"/>
        <v>-4.0192761294827051</v>
      </c>
      <c r="K508" s="7" cm="1">
        <f t="array" ref="K508">INDEX(Sm,G508)</f>
        <v>-3.3368150874962788</v>
      </c>
      <c r="L508" s="7">
        <f t="shared" si="39"/>
        <v>367.41246104198643</v>
      </c>
      <c r="M508" s="7">
        <f t="shared" si="40"/>
        <v>-0.68246104198641433</v>
      </c>
    </row>
    <row r="509" spans="6:13" ht="18.75" customHeight="1">
      <c r="F509" s="1">
        <v>36831</v>
      </c>
      <c r="G509">
        <f t="shared" si="37"/>
        <v>11</v>
      </c>
      <c r="H509" s="7">
        <v>368.29</v>
      </c>
      <c r="I509" s="7">
        <f t="shared" si="36"/>
        <v>370.90852772052421</v>
      </c>
      <c r="J509" s="7">
        <f t="shared" si="38"/>
        <v>-2.6185277205241846</v>
      </c>
      <c r="K509" s="7" cm="1">
        <f t="array" ref="K509">INDEX(Sm,G509)</f>
        <v>-2.0591623324975612</v>
      </c>
      <c r="L509" s="7">
        <f t="shared" si="39"/>
        <v>368.84936538802663</v>
      </c>
      <c r="M509" s="7">
        <f t="shared" si="40"/>
        <v>-0.55936538802660607</v>
      </c>
    </row>
    <row r="510" spans="6:13" ht="18.75" customHeight="1">
      <c r="F510" s="1">
        <v>36861</v>
      </c>
      <c r="G510">
        <f t="shared" si="37"/>
        <v>12</v>
      </c>
      <c r="H510" s="7">
        <v>369.52</v>
      </c>
      <c r="I510" s="7">
        <f t="shared" si="36"/>
        <v>371.06282159004627</v>
      </c>
      <c r="J510" s="7">
        <f t="shared" si="38"/>
        <v>-1.5428215900462874</v>
      </c>
      <c r="K510" s="7" cm="1">
        <f t="array" ref="K510">INDEX(Sm,G510)</f>
        <v>-0.89132446529561371</v>
      </c>
      <c r="L510" s="7">
        <f t="shared" si="39"/>
        <v>370.17149712475066</v>
      </c>
      <c r="M510" s="7">
        <f t="shared" si="40"/>
        <v>-0.65149712475067645</v>
      </c>
    </row>
    <row r="511" spans="6:13" ht="18.75" customHeight="1">
      <c r="F511" s="1">
        <v>36892</v>
      </c>
      <c r="G511">
        <f t="shared" si="37"/>
        <v>1</v>
      </c>
      <c r="H511" s="7">
        <v>370.28</v>
      </c>
      <c r="I511" s="7">
        <f t="shared" si="36"/>
        <v>371.22244399601709</v>
      </c>
      <c r="J511" s="7">
        <f t="shared" si="38"/>
        <v>-0.94244399601711848</v>
      </c>
      <c r="K511" s="7" cm="1">
        <f t="array" ref="K511">INDEX(Sm,G511)</f>
        <v>6.1040869584970889E-2</v>
      </c>
      <c r="L511" s="7">
        <f t="shared" si="39"/>
        <v>371.28348486560208</v>
      </c>
      <c r="M511" s="7">
        <f t="shared" si="40"/>
        <v>-1.003484865602104</v>
      </c>
    </row>
    <row r="512" spans="6:13" ht="18.75" customHeight="1">
      <c r="F512" s="1">
        <v>36923</v>
      </c>
      <c r="G512">
        <f t="shared" si="37"/>
        <v>2</v>
      </c>
      <c r="H512" s="7">
        <v>371.5</v>
      </c>
      <c r="I512" s="7">
        <f t="shared" si="36"/>
        <v>371.38225484891916</v>
      </c>
      <c r="J512" s="7">
        <f t="shared" si="38"/>
        <v>0.11774515108083961</v>
      </c>
      <c r="K512" s="7" cm="1">
        <f t="array" ref="K512">INDEX(Sm,G512)</f>
        <v>0.69421564520236412</v>
      </c>
      <c r="L512" s="7">
        <f t="shared" si="39"/>
        <v>372.07647049412151</v>
      </c>
      <c r="M512" s="7">
        <f t="shared" si="40"/>
        <v>-0.57647049412150864</v>
      </c>
    </row>
    <row r="513" spans="6:13" ht="18.75" customHeight="1">
      <c r="F513" s="1">
        <v>36951</v>
      </c>
      <c r="G513">
        <f t="shared" si="37"/>
        <v>3</v>
      </c>
      <c r="H513" s="7">
        <v>372.12</v>
      </c>
      <c r="I513" s="7">
        <f t="shared" si="36"/>
        <v>371.52676210956878</v>
      </c>
      <c r="J513" s="7">
        <f t="shared" si="38"/>
        <v>0.59323789043122588</v>
      </c>
      <c r="K513" s="7" cm="1">
        <f t="array" ref="K513">INDEX(Sm,G513)</f>
        <v>1.3733706304072995</v>
      </c>
      <c r="L513" s="7">
        <f t="shared" si="39"/>
        <v>372.90013273997607</v>
      </c>
      <c r="M513" s="7">
        <f t="shared" si="40"/>
        <v>-0.78013273997606802</v>
      </c>
    </row>
    <row r="514" spans="6:13" ht="18.75" customHeight="1">
      <c r="F514" s="1">
        <v>36982</v>
      </c>
      <c r="G514">
        <f t="shared" si="37"/>
        <v>4</v>
      </c>
      <c r="H514" s="7">
        <v>372.86</v>
      </c>
      <c r="I514" s="7">
        <f t="shared" ref="I514:I577" si="41">_A*F514*F514+_B*F514+_C</f>
        <v>371.68693161953371</v>
      </c>
      <c r="J514" s="7">
        <f t="shared" si="38"/>
        <v>1.1730683804663045</v>
      </c>
      <c r="K514" s="7" cm="1">
        <f t="array" ref="K514">INDEX(Sm,G514)</f>
        <v>2.6099183412742755</v>
      </c>
      <c r="L514" s="7">
        <f t="shared" si="39"/>
        <v>374.296849960808</v>
      </c>
      <c r="M514" s="7">
        <f t="shared" si="40"/>
        <v>-1.4368499608079901</v>
      </c>
    </row>
    <row r="515" spans="6:13" ht="18.75" customHeight="1">
      <c r="F515" s="1">
        <v>37012</v>
      </c>
      <c r="G515">
        <f t="shared" ref="G515:G578" si="42">MONTH(F515)</f>
        <v>5</v>
      </c>
      <c r="H515" s="7">
        <v>374.02</v>
      </c>
      <c r="I515" s="7">
        <f t="shared" si="41"/>
        <v>371.84211379769135</v>
      </c>
      <c r="J515" s="7">
        <f t="shared" ref="J515:J578" si="43">H515-I515</f>
        <v>2.1778862023086276</v>
      </c>
      <c r="K515" s="7" cm="1">
        <f t="array" ref="K515">INDEX(Sm,G515)</f>
        <v>3.065291801195754</v>
      </c>
      <c r="L515" s="7">
        <f t="shared" ref="L515:L578" si="44">I515+K515</f>
        <v>374.90740559888712</v>
      </c>
      <c r="M515" s="7">
        <f t="shared" ref="M515:M578" si="45">H515-L515</f>
        <v>-0.88740559888714188</v>
      </c>
    </row>
    <row r="516" spans="6:13" ht="18.75" customHeight="1">
      <c r="F516" s="1">
        <v>37043</v>
      </c>
      <c r="G516">
        <f t="shared" si="42"/>
        <v>6</v>
      </c>
      <c r="H516" s="7">
        <v>373.31</v>
      </c>
      <c r="I516" s="7">
        <f t="shared" si="41"/>
        <v>372.00265412258562</v>
      </c>
      <c r="J516" s="7">
        <f t="shared" si="43"/>
        <v>1.3073458774143774</v>
      </c>
      <c r="K516" s="7" cm="1">
        <f t="array" ref="K516">INDEX(Sm,G516)</f>
        <v>2.3463851222642056</v>
      </c>
      <c r="L516" s="7">
        <f t="shared" si="44"/>
        <v>374.34903924484985</v>
      </c>
      <c r="M516" s="7">
        <f t="shared" si="45"/>
        <v>-1.039039244849846</v>
      </c>
    </row>
    <row r="517" spans="6:13" ht="18.75" customHeight="1">
      <c r="F517" s="1">
        <v>37073</v>
      </c>
      <c r="G517">
        <f t="shared" si="42"/>
        <v>7</v>
      </c>
      <c r="H517" s="7">
        <v>371.62</v>
      </c>
      <c r="I517" s="7">
        <f t="shared" si="41"/>
        <v>372.15819515390069</v>
      </c>
      <c r="J517" s="7">
        <f t="shared" si="43"/>
        <v>-0.53819515390068773</v>
      </c>
      <c r="K517" s="7" cm="1">
        <f t="array" ref="K517">INDEX(Sm,G517)</f>
        <v>0.72334113060077332</v>
      </c>
      <c r="L517" s="7">
        <f t="shared" si="44"/>
        <v>372.88153628450146</v>
      </c>
      <c r="M517" s="7">
        <f t="shared" si="45"/>
        <v>-1.2615362845014602</v>
      </c>
    </row>
    <row r="518" spans="6:13" ht="18.75" customHeight="1">
      <c r="F518" s="1">
        <v>37104</v>
      </c>
      <c r="G518">
        <f t="shared" si="42"/>
        <v>8</v>
      </c>
      <c r="H518" s="7">
        <v>369.55</v>
      </c>
      <c r="I518" s="7">
        <f t="shared" si="41"/>
        <v>372.31910629372425</v>
      </c>
      <c r="J518" s="7">
        <f t="shared" si="43"/>
        <v>-2.769106293724235</v>
      </c>
      <c r="K518" s="7" cm="1">
        <f t="array" ref="K518">INDEX(Sm,G518)</f>
        <v>-1.3975570061157723</v>
      </c>
      <c r="L518" s="7">
        <f t="shared" si="44"/>
        <v>370.92154928760846</v>
      </c>
      <c r="M518" s="7">
        <f t="shared" si="45"/>
        <v>-1.3715492876084454</v>
      </c>
    </row>
    <row r="519" spans="6:13" ht="18.75" customHeight="1">
      <c r="F519" s="1">
        <v>37135</v>
      </c>
      <c r="G519">
        <f t="shared" si="42"/>
        <v>9</v>
      </c>
      <c r="H519" s="7">
        <v>367.96</v>
      </c>
      <c r="I519" s="7">
        <f t="shared" si="41"/>
        <v>372.48020588047916</v>
      </c>
      <c r="J519" s="7">
        <f t="shared" si="43"/>
        <v>-4.5202058804791818</v>
      </c>
      <c r="K519" s="7" cm="1">
        <f t="array" ref="K519">INDEX(Sm,G519)</f>
        <v>-3.1934822994410497</v>
      </c>
      <c r="L519" s="7">
        <f t="shared" si="44"/>
        <v>369.28672358103813</v>
      </c>
      <c r="M519" s="7">
        <f t="shared" si="45"/>
        <v>-1.3267235810381521</v>
      </c>
    </row>
    <row r="520" spans="6:13" ht="18.75" customHeight="1">
      <c r="F520" s="1">
        <v>37165</v>
      </c>
      <c r="G520">
        <f t="shared" si="42"/>
        <v>10</v>
      </c>
      <c r="H520" s="7">
        <v>368.09</v>
      </c>
      <c r="I520" s="7">
        <f t="shared" si="41"/>
        <v>372.63628813294963</v>
      </c>
      <c r="J520" s="7">
        <f t="shared" si="43"/>
        <v>-4.5462881329496554</v>
      </c>
      <c r="K520" s="7" cm="1">
        <f t="array" ref="K520">INDEX(Sm,G520)</f>
        <v>-3.3368150874962788</v>
      </c>
      <c r="L520" s="7">
        <f t="shared" si="44"/>
        <v>369.29947304545334</v>
      </c>
      <c r="M520" s="7">
        <f t="shared" si="45"/>
        <v>-1.2094730454533646</v>
      </c>
    </row>
    <row r="521" spans="6:13" ht="18.75" customHeight="1">
      <c r="F521" s="1">
        <v>37196</v>
      </c>
      <c r="G521">
        <f t="shared" si="42"/>
        <v>11</v>
      </c>
      <c r="H521" s="7">
        <v>369.68</v>
      </c>
      <c r="I521" s="7">
        <f t="shared" si="41"/>
        <v>372.79775853463389</v>
      </c>
      <c r="J521" s="7">
        <f t="shared" si="43"/>
        <v>-3.1177585346338788</v>
      </c>
      <c r="K521" s="7" cm="1">
        <f t="array" ref="K521">INDEX(Sm,G521)</f>
        <v>-2.0591623324975612</v>
      </c>
      <c r="L521" s="7">
        <f t="shared" si="44"/>
        <v>370.73859620213631</v>
      </c>
      <c r="M521" s="7">
        <f t="shared" si="45"/>
        <v>-1.0585962021363002</v>
      </c>
    </row>
    <row r="522" spans="6:13" ht="18.75" customHeight="1">
      <c r="F522" s="1">
        <v>37226</v>
      </c>
      <c r="G522">
        <f t="shared" si="42"/>
        <v>12</v>
      </c>
      <c r="H522" s="7">
        <v>371.24</v>
      </c>
      <c r="I522" s="7">
        <f t="shared" si="41"/>
        <v>372.95419964026178</v>
      </c>
      <c r="J522" s="7">
        <f t="shared" si="43"/>
        <v>-1.7141996402617679</v>
      </c>
      <c r="K522" s="7" cm="1">
        <f t="array" ref="K522">INDEX(Sm,G522)</f>
        <v>-0.89132446529561371</v>
      </c>
      <c r="L522" s="7">
        <f t="shared" si="44"/>
        <v>372.06287517496617</v>
      </c>
      <c r="M522" s="7">
        <f t="shared" si="45"/>
        <v>-0.82287517496615692</v>
      </c>
    </row>
    <row r="523" spans="6:13" ht="18.75" customHeight="1">
      <c r="F523" s="1">
        <v>37257</v>
      </c>
      <c r="G523">
        <f t="shared" si="42"/>
        <v>1</v>
      </c>
      <c r="H523" s="7">
        <v>372.44</v>
      </c>
      <c r="I523" s="7">
        <f t="shared" si="41"/>
        <v>373.11604085687532</v>
      </c>
      <c r="J523" s="7">
        <f t="shared" si="43"/>
        <v>-0.67604085687531779</v>
      </c>
      <c r="K523" s="7" cm="1">
        <f t="array" ref="K523">INDEX(Sm,G523)</f>
        <v>6.1040869584970889E-2</v>
      </c>
      <c r="L523" s="7">
        <f t="shared" si="44"/>
        <v>373.1770817264603</v>
      </c>
      <c r="M523" s="7">
        <f t="shared" si="45"/>
        <v>-0.73708172646030334</v>
      </c>
    </row>
    <row r="524" spans="6:13" ht="18.75" customHeight="1">
      <c r="F524" s="1">
        <v>37288</v>
      </c>
      <c r="G524">
        <f t="shared" si="42"/>
        <v>2</v>
      </c>
      <c r="H524" s="7">
        <v>373.08</v>
      </c>
      <c r="I524" s="7">
        <f t="shared" si="41"/>
        <v>373.27807052042016</v>
      </c>
      <c r="J524" s="7">
        <f t="shared" si="43"/>
        <v>-0.19807052042017403</v>
      </c>
      <c r="K524" s="7" cm="1">
        <f t="array" ref="K524">INDEX(Sm,G524)</f>
        <v>0.69421564520236412</v>
      </c>
      <c r="L524" s="7">
        <f t="shared" si="44"/>
        <v>373.97228616562251</v>
      </c>
      <c r="M524" s="7">
        <f t="shared" si="45"/>
        <v>-0.89228616562252228</v>
      </c>
    </row>
    <row r="525" spans="6:13" ht="18.75" customHeight="1">
      <c r="F525" s="1">
        <v>37316</v>
      </c>
      <c r="G525">
        <f t="shared" si="42"/>
        <v>3</v>
      </c>
      <c r="H525" s="7">
        <v>373.52</v>
      </c>
      <c r="I525" s="7">
        <f t="shared" si="41"/>
        <v>373.42458186810194</v>
      </c>
      <c r="J525" s="7">
        <f t="shared" si="43"/>
        <v>9.5418131898043157E-2</v>
      </c>
      <c r="K525" s="7" cm="1">
        <f t="array" ref="K525">INDEX(Sm,G525)</f>
        <v>1.3733706304072995</v>
      </c>
      <c r="L525" s="7">
        <f t="shared" si="44"/>
        <v>374.79795249850923</v>
      </c>
      <c r="M525" s="7">
        <f t="shared" si="45"/>
        <v>-1.2779524985092507</v>
      </c>
    </row>
    <row r="526" spans="6:13" ht="18.75" customHeight="1">
      <c r="F526" s="1">
        <v>37347</v>
      </c>
      <c r="G526">
        <f t="shared" si="42"/>
        <v>4</v>
      </c>
      <c r="H526" s="7">
        <v>374.85</v>
      </c>
      <c r="I526" s="7">
        <f t="shared" si="41"/>
        <v>373.58697018870953</v>
      </c>
      <c r="J526" s="7">
        <f t="shared" si="43"/>
        <v>1.2630298112904939</v>
      </c>
      <c r="K526" s="7" cm="1">
        <f t="array" ref="K526">INDEX(Sm,G526)</f>
        <v>2.6099183412742755</v>
      </c>
      <c r="L526" s="7">
        <f t="shared" si="44"/>
        <v>376.19688852998382</v>
      </c>
      <c r="M526" s="7">
        <f t="shared" si="45"/>
        <v>-1.3468885299838007</v>
      </c>
    </row>
    <row r="527" spans="6:13" ht="18.75" customHeight="1">
      <c r="F527" s="1">
        <v>37377</v>
      </c>
      <c r="G527">
        <f t="shared" si="42"/>
        <v>5</v>
      </c>
      <c r="H527" s="7">
        <v>375.55</v>
      </c>
      <c r="I527" s="7">
        <f t="shared" si="41"/>
        <v>373.74429960297311</v>
      </c>
      <c r="J527" s="7">
        <f t="shared" si="43"/>
        <v>1.8057003970268966</v>
      </c>
      <c r="K527" s="7" cm="1">
        <f t="array" ref="K527">INDEX(Sm,G527)</f>
        <v>3.065291801195754</v>
      </c>
      <c r="L527" s="7">
        <f t="shared" si="44"/>
        <v>376.80959140416888</v>
      </c>
      <c r="M527" s="7">
        <f t="shared" si="45"/>
        <v>-1.2595914041688729</v>
      </c>
    </row>
    <row r="528" spans="6:13" ht="18.75" customHeight="1">
      <c r="F528" s="1">
        <v>37408</v>
      </c>
      <c r="G528">
        <f t="shared" si="42"/>
        <v>6</v>
      </c>
      <c r="H528" s="7">
        <v>375.4</v>
      </c>
      <c r="I528" s="7">
        <f t="shared" si="41"/>
        <v>373.90705873851005</v>
      </c>
      <c r="J528" s="7">
        <f t="shared" si="43"/>
        <v>1.492941261489932</v>
      </c>
      <c r="K528" s="7" cm="1">
        <f t="array" ref="K528">INDEX(Sm,G528)</f>
        <v>2.3463851222642056</v>
      </c>
      <c r="L528" s="7">
        <f t="shared" si="44"/>
        <v>376.25344386077427</v>
      </c>
      <c r="M528" s="7">
        <f t="shared" si="45"/>
        <v>-0.85344386077429135</v>
      </c>
    </row>
    <row r="529" spans="6:13" ht="18.75" customHeight="1">
      <c r="F529" s="1">
        <v>37438</v>
      </c>
      <c r="G529">
        <f t="shared" si="42"/>
        <v>7</v>
      </c>
      <c r="H529" s="7">
        <v>374.02</v>
      </c>
      <c r="I529" s="7">
        <f t="shared" si="41"/>
        <v>374.064747005931</v>
      </c>
      <c r="J529" s="7">
        <f t="shared" si="43"/>
        <v>-4.4747005931014883E-2</v>
      </c>
      <c r="K529" s="7" cm="1">
        <f t="array" ref="K529">INDEX(Sm,G529)</f>
        <v>0.72334113060077332</v>
      </c>
      <c r="L529" s="7">
        <f t="shared" si="44"/>
        <v>374.78808813653177</v>
      </c>
      <c r="M529" s="7">
        <f t="shared" si="45"/>
        <v>-0.76808813653178731</v>
      </c>
    </row>
    <row r="530" spans="6:13" ht="18.75" customHeight="1">
      <c r="F530" s="1">
        <v>37469</v>
      </c>
      <c r="G530">
        <f t="shared" si="42"/>
        <v>8</v>
      </c>
      <c r="H530" s="7">
        <v>371.48</v>
      </c>
      <c r="I530" s="7">
        <f t="shared" si="41"/>
        <v>374.22787695639732</v>
      </c>
      <c r="J530" s="7">
        <f t="shared" si="43"/>
        <v>-2.747876956397306</v>
      </c>
      <c r="K530" s="7" cm="1">
        <f t="array" ref="K530">INDEX(Sm,G530)</f>
        <v>-1.3975570061157723</v>
      </c>
      <c r="L530" s="7">
        <f t="shared" si="44"/>
        <v>372.83031995028153</v>
      </c>
      <c r="M530" s="7">
        <f t="shared" si="45"/>
        <v>-1.3503199502815164</v>
      </c>
    </row>
    <row r="531" spans="6:13" ht="18.75" customHeight="1">
      <c r="F531" s="1">
        <v>37500</v>
      </c>
      <c r="G531">
        <f t="shared" si="42"/>
        <v>9</v>
      </c>
      <c r="H531" s="7">
        <v>370.7</v>
      </c>
      <c r="I531" s="7">
        <f t="shared" si="41"/>
        <v>374.3911953537949</v>
      </c>
      <c r="J531" s="7">
        <f t="shared" si="43"/>
        <v>-3.6911953537949103</v>
      </c>
      <c r="K531" s="7" cm="1">
        <f t="array" ref="K531">INDEX(Sm,G531)</f>
        <v>-3.1934822994410497</v>
      </c>
      <c r="L531" s="7">
        <f t="shared" si="44"/>
        <v>371.19771305435387</v>
      </c>
      <c r="M531" s="7">
        <f t="shared" si="45"/>
        <v>-0.49771305435388058</v>
      </c>
    </row>
    <row r="532" spans="6:13" ht="18.75" customHeight="1">
      <c r="F532" s="1">
        <v>37530</v>
      </c>
      <c r="G532">
        <f t="shared" si="42"/>
        <v>10</v>
      </c>
      <c r="H532" s="7">
        <v>370.25</v>
      </c>
      <c r="I532" s="7">
        <f t="shared" si="41"/>
        <v>374.54942484237131</v>
      </c>
      <c r="J532" s="7">
        <f t="shared" si="43"/>
        <v>-4.2994248423713088</v>
      </c>
      <c r="K532" s="7" cm="1">
        <f t="array" ref="K532">INDEX(Sm,G532)</f>
        <v>-3.3368150874962788</v>
      </c>
      <c r="L532" s="7">
        <f t="shared" si="44"/>
        <v>371.21260975487502</v>
      </c>
      <c r="M532" s="7">
        <f t="shared" si="45"/>
        <v>-0.9626097548750181</v>
      </c>
    </row>
    <row r="533" spans="6:13" ht="18.75" customHeight="1">
      <c r="F533" s="1">
        <v>37561</v>
      </c>
      <c r="G533">
        <f t="shared" si="42"/>
        <v>11</v>
      </c>
      <c r="H533" s="7">
        <v>372.08</v>
      </c>
      <c r="I533" s="7">
        <f t="shared" si="41"/>
        <v>374.71311405469822</v>
      </c>
      <c r="J533" s="7">
        <f t="shared" si="43"/>
        <v>-2.6331140546982397</v>
      </c>
      <c r="K533" s="7" cm="1">
        <f t="array" ref="K533">INDEX(Sm,G533)</f>
        <v>-2.0591623324975612</v>
      </c>
      <c r="L533" s="7">
        <f t="shared" si="44"/>
        <v>372.65395172220065</v>
      </c>
      <c r="M533" s="7">
        <f t="shared" si="45"/>
        <v>-0.57395172220066115</v>
      </c>
    </row>
    <row r="534" spans="6:13" ht="18.75" customHeight="1">
      <c r="F534" s="1">
        <v>37591</v>
      </c>
      <c r="G534">
        <f t="shared" si="42"/>
        <v>12</v>
      </c>
      <c r="H534" s="7">
        <v>373.78</v>
      </c>
      <c r="I534" s="7">
        <f t="shared" si="41"/>
        <v>374.87170239643206</v>
      </c>
      <c r="J534" s="7">
        <f t="shared" si="43"/>
        <v>-1.0917023964320833</v>
      </c>
      <c r="K534" s="7" cm="1">
        <f t="array" ref="K534">INDEX(Sm,G534)</f>
        <v>-0.89132446529561371</v>
      </c>
      <c r="L534" s="7">
        <f t="shared" si="44"/>
        <v>373.98037793113645</v>
      </c>
      <c r="M534" s="7">
        <f t="shared" si="45"/>
        <v>-0.2003779311364724</v>
      </c>
    </row>
    <row r="535" spans="6:13" ht="18.75" customHeight="1">
      <c r="F535" s="1">
        <v>37622</v>
      </c>
      <c r="G535">
        <f t="shared" si="42"/>
        <v>1</v>
      </c>
      <c r="H535" s="7">
        <v>374.68</v>
      </c>
      <c r="I535" s="7">
        <f t="shared" si="41"/>
        <v>375.03576242368831</v>
      </c>
      <c r="J535" s="7">
        <f t="shared" si="43"/>
        <v>-0.35576242368830435</v>
      </c>
      <c r="K535" s="7" cm="1">
        <f t="array" ref="K535">INDEX(Sm,G535)</f>
        <v>6.1040869584970889E-2</v>
      </c>
      <c r="L535" s="7">
        <f t="shared" si="44"/>
        <v>375.0968032932733</v>
      </c>
      <c r="M535" s="7">
        <f t="shared" si="45"/>
        <v>-0.41680329327328991</v>
      </c>
    </row>
    <row r="536" spans="6:13" ht="18.75" customHeight="1">
      <c r="F536" s="1">
        <v>37653</v>
      </c>
      <c r="G536">
        <f t="shared" si="42"/>
        <v>2</v>
      </c>
      <c r="H536" s="7">
        <v>375.62</v>
      </c>
      <c r="I536" s="7">
        <f t="shared" si="41"/>
        <v>375.20001089787587</v>
      </c>
      <c r="J536" s="7">
        <f t="shared" si="43"/>
        <v>0.41998910212413421</v>
      </c>
      <c r="K536" s="7" cm="1">
        <f t="array" ref="K536">INDEX(Sm,G536)</f>
        <v>0.69421564520236412</v>
      </c>
      <c r="L536" s="7">
        <f t="shared" si="44"/>
        <v>375.89422654307822</v>
      </c>
      <c r="M536" s="7">
        <f t="shared" si="45"/>
        <v>-0.27422654307821404</v>
      </c>
    </row>
    <row r="537" spans="6:13" ht="18.75" customHeight="1">
      <c r="F537" s="1">
        <v>37681</v>
      </c>
      <c r="G537">
        <f t="shared" si="42"/>
        <v>3</v>
      </c>
      <c r="H537" s="7">
        <v>376.11</v>
      </c>
      <c r="I537" s="7">
        <f t="shared" si="41"/>
        <v>375.34852633258981</v>
      </c>
      <c r="J537" s="7">
        <f t="shared" si="43"/>
        <v>0.76147366741020051</v>
      </c>
      <c r="K537" s="7" cm="1">
        <f t="array" ref="K537">INDEX(Sm,G537)</f>
        <v>1.3733706304072995</v>
      </c>
      <c r="L537" s="7">
        <f t="shared" si="44"/>
        <v>376.72189696299711</v>
      </c>
      <c r="M537" s="7">
        <f t="shared" si="45"/>
        <v>-0.6118969629970934</v>
      </c>
    </row>
    <row r="538" spans="6:13" ht="18.75" customHeight="1">
      <c r="F538" s="1">
        <v>37712</v>
      </c>
      <c r="G538">
        <f t="shared" si="42"/>
        <v>4</v>
      </c>
      <c r="H538" s="7">
        <v>377.65</v>
      </c>
      <c r="I538" s="7">
        <f t="shared" si="41"/>
        <v>375.51313346384018</v>
      </c>
      <c r="J538" s="7">
        <f t="shared" si="43"/>
        <v>2.1368665361598005</v>
      </c>
      <c r="K538" s="7" cm="1">
        <f t="array" ref="K538">INDEX(Sm,G538)</f>
        <v>2.6099183412742755</v>
      </c>
      <c r="L538" s="7">
        <f t="shared" si="44"/>
        <v>378.12305180511447</v>
      </c>
      <c r="M538" s="7">
        <f t="shared" si="45"/>
        <v>-0.47305180511449407</v>
      </c>
    </row>
    <row r="539" spans="6:13" ht="18.75" customHeight="1">
      <c r="F539" s="1">
        <v>37742</v>
      </c>
      <c r="G539">
        <f t="shared" si="42"/>
        <v>5</v>
      </c>
      <c r="H539" s="7">
        <v>378.35</v>
      </c>
      <c r="I539" s="7">
        <f t="shared" si="41"/>
        <v>375.67261011420953</v>
      </c>
      <c r="J539" s="7">
        <f t="shared" si="43"/>
        <v>2.6773898857904896</v>
      </c>
      <c r="K539" s="7" cm="1">
        <f t="array" ref="K539">INDEX(Sm,G539)</f>
        <v>3.065291801195754</v>
      </c>
      <c r="L539" s="7">
        <f t="shared" si="44"/>
        <v>378.7379019154053</v>
      </c>
      <c r="M539" s="7">
        <f t="shared" si="45"/>
        <v>-0.38790191540527985</v>
      </c>
    </row>
    <row r="540" spans="6:13" ht="18.75" customHeight="1">
      <c r="F540" s="1">
        <v>37773</v>
      </c>
      <c r="G540">
        <f t="shared" si="42"/>
        <v>6</v>
      </c>
      <c r="H540" s="7">
        <v>378.13</v>
      </c>
      <c r="I540" s="7">
        <f t="shared" si="41"/>
        <v>375.83758806038924</v>
      </c>
      <c r="J540" s="7">
        <f t="shared" si="43"/>
        <v>2.2924119396107585</v>
      </c>
      <c r="K540" s="7" cm="1">
        <f t="array" ref="K540">INDEX(Sm,G540)</f>
        <v>2.3463851222642056</v>
      </c>
      <c r="L540" s="7">
        <f t="shared" si="44"/>
        <v>378.18397318265346</v>
      </c>
      <c r="M540" s="7">
        <f t="shared" si="45"/>
        <v>-5.3973182653464846E-2</v>
      </c>
    </row>
    <row r="541" spans="6:13" ht="18.75" customHeight="1">
      <c r="F541" s="1">
        <v>37803</v>
      </c>
      <c r="G541">
        <f t="shared" si="42"/>
        <v>7</v>
      </c>
      <c r="H541" s="7">
        <v>376.6</v>
      </c>
      <c r="I541" s="7">
        <f t="shared" si="41"/>
        <v>375.99742356391607</v>
      </c>
      <c r="J541" s="7">
        <f t="shared" si="43"/>
        <v>0.60257643608395028</v>
      </c>
      <c r="K541" s="7" cm="1">
        <f t="array" ref="K541">INDEX(Sm,G541)</f>
        <v>0.72334113060077332</v>
      </c>
      <c r="L541" s="7">
        <f t="shared" si="44"/>
        <v>376.72076469451684</v>
      </c>
      <c r="M541" s="7">
        <f t="shared" si="45"/>
        <v>-0.12076469451682215</v>
      </c>
    </row>
    <row r="542" spans="6:13" ht="18.75" customHeight="1">
      <c r="F542" s="1">
        <v>37834</v>
      </c>
      <c r="G542">
        <f t="shared" si="42"/>
        <v>8</v>
      </c>
      <c r="H542" s="7">
        <v>374.48</v>
      </c>
      <c r="I542" s="7">
        <f t="shared" si="41"/>
        <v>376.16277232502506</v>
      </c>
      <c r="J542" s="7">
        <f t="shared" si="43"/>
        <v>-1.6827723250250415</v>
      </c>
      <c r="K542" s="7" cm="1">
        <f t="array" ref="K542">INDEX(Sm,G542)</f>
        <v>-1.3975570061157723</v>
      </c>
      <c r="L542" s="7">
        <f t="shared" si="44"/>
        <v>374.76521531890927</v>
      </c>
      <c r="M542" s="7">
        <f t="shared" si="45"/>
        <v>-0.28521531890925189</v>
      </c>
    </row>
    <row r="543" spans="6:13" ht="18.75" customHeight="1">
      <c r="F543" s="1">
        <v>37865</v>
      </c>
      <c r="G543">
        <f t="shared" si="42"/>
        <v>9</v>
      </c>
      <c r="H543" s="7">
        <v>372.98</v>
      </c>
      <c r="I543" s="7">
        <f t="shared" si="41"/>
        <v>376.32830953306541</v>
      </c>
      <c r="J543" s="7">
        <f t="shared" si="43"/>
        <v>-3.3483095330653896</v>
      </c>
      <c r="K543" s="7" cm="1">
        <f t="array" ref="K543">INDEX(Sm,G543)</f>
        <v>-3.1934822994410497</v>
      </c>
      <c r="L543" s="7">
        <f t="shared" si="44"/>
        <v>373.13482723362438</v>
      </c>
      <c r="M543" s="7">
        <f t="shared" si="45"/>
        <v>-0.15482723362435991</v>
      </c>
    </row>
    <row r="544" spans="6:13" ht="18.75" customHeight="1">
      <c r="F544" s="1">
        <v>37895</v>
      </c>
      <c r="G544">
        <f t="shared" si="42"/>
        <v>10</v>
      </c>
      <c r="H544" s="7">
        <v>373</v>
      </c>
      <c r="I544" s="7">
        <f t="shared" si="41"/>
        <v>376.48868625774764</v>
      </c>
      <c r="J544" s="7">
        <f t="shared" si="43"/>
        <v>-3.488686257747645</v>
      </c>
      <c r="K544" s="7" cm="1">
        <f t="array" ref="K544">INDEX(Sm,G544)</f>
        <v>-3.3368150874962788</v>
      </c>
      <c r="L544" s="7">
        <f t="shared" si="44"/>
        <v>373.15187117025135</v>
      </c>
      <c r="M544" s="7">
        <f t="shared" si="45"/>
        <v>-0.15187117025135421</v>
      </c>
    </row>
    <row r="545" spans="6:13" ht="18.75" customHeight="1">
      <c r="F545" s="1">
        <v>37926</v>
      </c>
      <c r="G545">
        <f t="shared" si="42"/>
        <v>11</v>
      </c>
      <c r="H545" s="7">
        <v>374.35</v>
      </c>
      <c r="I545" s="7">
        <f t="shared" si="41"/>
        <v>376.65459428071733</v>
      </c>
      <c r="J545" s="7">
        <f t="shared" si="43"/>
        <v>-2.3045942807173105</v>
      </c>
      <c r="K545" s="7" cm="1">
        <f t="array" ref="K545">INDEX(Sm,G545)</f>
        <v>-2.0591623324975612</v>
      </c>
      <c r="L545" s="7">
        <f t="shared" si="44"/>
        <v>374.59543194821975</v>
      </c>
      <c r="M545" s="7">
        <f t="shared" si="45"/>
        <v>-0.24543194821973202</v>
      </c>
    </row>
    <row r="546" spans="6:13" ht="18.75" customHeight="1">
      <c r="F546" s="1">
        <v>37956</v>
      </c>
      <c r="G546">
        <f t="shared" si="42"/>
        <v>12</v>
      </c>
      <c r="H546" s="7">
        <v>375.69</v>
      </c>
      <c r="I546" s="7">
        <f t="shared" si="41"/>
        <v>376.81532985855699</v>
      </c>
      <c r="J546" s="7">
        <f t="shared" si="43"/>
        <v>-1.1253298585569951</v>
      </c>
      <c r="K546" s="7" cm="1">
        <f t="array" ref="K546">INDEX(Sm,G546)</f>
        <v>-0.89132446529561371</v>
      </c>
      <c r="L546" s="7">
        <f t="shared" si="44"/>
        <v>375.92400539326138</v>
      </c>
      <c r="M546" s="7">
        <f t="shared" si="45"/>
        <v>-0.23400539326138414</v>
      </c>
    </row>
    <row r="547" spans="6:13" ht="18.75" customHeight="1">
      <c r="F547" s="1">
        <v>37987</v>
      </c>
      <c r="G547">
        <f t="shared" si="42"/>
        <v>1</v>
      </c>
      <c r="H547" s="7">
        <v>376.79</v>
      </c>
      <c r="I547" s="7">
        <f t="shared" si="41"/>
        <v>376.98160869645602</v>
      </c>
      <c r="J547" s="7">
        <f t="shared" si="43"/>
        <v>-0.19160869645600087</v>
      </c>
      <c r="K547" s="7" cm="1">
        <f t="array" ref="K547">INDEX(Sm,G547)</f>
        <v>6.1040869584970889E-2</v>
      </c>
      <c r="L547" s="7">
        <f t="shared" si="44"/>
        <v>377.04264956604101</v>
      </c>
      <c r="M547" s="7">
        <f t="shared" si="45"/>
        <v>-0.25264956604098643</v>
      </c>
    </row>
    <row r="548" spans="6:13" ht="18.75" customHeight="1">
      <c r="F548" s="1">
        <v>38018</v>
      </c>
      <c r="G548">
        <f t="shared" si="42"/>
        <v>2</v>
      </c>
      <c r="H548" s="7">
        <v>377.37</v>
      </c>
      <c r="I548" s="7">
        <f t="shared" si="41"/>
        <v>377.1480759812863</v>
      </c>
      <c r="J548" s="7">
        <f t="shared" si="43"/>
        <v>0.22192401871370748</v>
      </c>
      <c r="K548" s="7" cm="1">
        <f t="array" ref="K548">INDEX(Sm,G548)</f>
        <v>0.69421564520236412</v>
      </c>
      <c r="L548" s="7">
        <f t="shared" si="44"/>
        <v>377.84229162648865</v>
      </c>
      <c r="M548" s="7">
        <f t="shared" si="45"/>
        <v>-0.47229162648864076</v>
      </c>
    </row>
    <row r="549" spans="6:13" ht="18.75" customHeight="1">
      <c r="F549" s="1">
        <v>38047</v>
      </c>
      <c r="G549">
        <f t="shared" si="42"/>
        <v>3</v>
      </c>
      <c r="H549" s="7">
        <v>378.39</v>
      </c>
      <c r="I549" s="7">
        <f t="shared" si="41"/>
        <v>377.30397404360957</v>
      </c>
      <c r="J549" s="7">
        <f t="shared" si="43"/>
        <v>1.0860259563904151</v>
      </c>
      <c r="K549" s="7" cm="1">
        <f t="array" ref="K549">INDEX(Sm,G549)</f>
        <v>1.3733706304072995</v>
      </c>
      <c r="L549" s="7">
        <f t="shared" si="44"/>
        <v>378.67734467401687</v>
      </c>
      <c r="M549" s="7">
        <f t="shared" si="45"/>
        <v>-0.2873446740168788</v>
      </c>
    </row>
    <row r="550" spans="6:13" ht="18.75" customHeight="1">
      <c r="F550" s="1">
        <v>38078</v>
      </c>
      <c r="G550">
        <f t="shared" si="42"/>
        <v>4</v>
      </c>
      <c r="H550" s="7">
        <v>380.5</v>
      </c>
      <c r="I550" s="7">
        <f t="shared" si="41"/>
        <v>377.47080606443592</v>
      </c>
      <c r="J550" s="7">
        <f t="shared" si="43"/>
        <v>3.0291939355640807</v>
      </c>
      <c r="K550" s="7" cm="1">
        <f t="array" ref="K550">INDEX(Sm,G550)</f>
        <v>2.6099183412742755</v>
      </c>
      <c r="L550" s="7">
        <f t="shared" si="44"/>
        <v>380.08072440571021</v>
      </c>
      <c r="M550" s="7">
        <f t="shared" si="45"/>
        <v>0.41927559428978611</v>
      </c>
    </row>
    <row r="551" spans="6:13" ht="18.75" customHeight="1">
      <c r="F551" s="1">
        <v>38108</v>
      </c>
      <c r="G551">
        <f t="shared" si="42"/>
        <v>5</v>
      </c>
      <c r="H551" s="7">
        <v>380.62</v>
      </c>
      <c r="I551" s="7">
        <f t="shared" si="41"/>
        <v>377.63243583374981</v>
      </c>
      <c r="J551" s="7">
        <f t="shared" si="43"/>
        <v>2.9875641662501948</v>
      </c>
      <c r="K551" s="7" cm="1">
        <f t="array" ref="K551">INDEX(Sm,G551)</f>
        <v>3.065291801195754</v>
      </c>
      <c r="L551" s="7">
        <f t="shared" si="44"/>
        <v>380.69772763494558</v>
      </c>
      <c r="M551" s="7">
        <f t="shared" si="45"/>
        <v>-7.7727634945574664E-2</v>
      </c>
    </row>
    <row r="552" spans="6:13" ht="18.75" customHeight="1">
      <c r="F552" s="1">
        <v>38139</v>
      </c>
      <c r="G552">
        <f t="shared" si="42"/>
        <v>6</v>
      </c>
      <c r="H552" s="7">
        <v>379.55</v>
      </c>
      <c r="I552" s="7">
        <f t="shared" si="41"/>
        <v>377.79963866950555</v>
      </c>
      <c r="J552" s="7">
        <f t="shared" si="43"/>
        <v>1.7503613304944565</v>
      </c>
      <c r="K552" s="7" cm="1">
        <f t="array" ref="K552">INDEX(Sm,G552)</f>
        <v>2.3463851222642056</v>
      </c>
      <c r="L552" s="7">
        <f t="shared" si="44"/>
        <v>380.14602379176978</v>
      </c>
      <c r="M552" s="7">
        <f t="shared" si="45"/>
        <v>-0.59602379176976683</v>
      </c>
    </row>
    <row r="553" spans="6:13" ht="18.75" customHeight="1">
      <c r="F553" s="1">
        <v>38169</v>
      </c>
      <c r="G553">
        <f t="shared" si="42"/>
        <v>7</v>
      </c>
      <c r="H553" s="7">
        <v>377.76</v>
      </c>
      <c r="I553" s="7">
        <f t="shared" si="41"/>
        <v>377.96162729197687</v>
      </c>
      <c r="J553" s="7">
        <f t="shared" si="43"/>
        <v>-0.20162729197687668</v>
      </c>
      <c r="K553" s="7" cm="1">
        <f t="array" ref="K553">INDEX(Sm,G553)</f>
        <v>0.72334113060077332</v>
      </c>
      <c r="L553" s="7">
        <f t="shared" si="44"/>
        <v>378.68496842257764</v>
      </c>
      <c r="M553" s="7">
        <f t="shared" si="45"/>
        <v>-0.92496842257764911</v>
      </c>
    </row>
    <row r="554" spans="6:13" ht="18.75" customHeight="1">
      <c r="F554" s="1">
        <v>38200</v>
      </c>
      <c r="G554">
        <f t="shared" si="42"/>
        <v>8</v>
      </c>
      <c r="H554" s="7">
        <v>375.83</v>
      </c>
      <c r="I554" s="7">
        <f t="shared" si="41"/>
        <v>378.1292009426619</v>
      </c>
      <c r="J554" s="7">
        <f t="shared" si="43"/>
        <v>-2.299200942661912</v>
      </c>
      <c r="K554" s="7" cm="1">
        <f t="array" ref="K554">INDEX(Sm,G554)</f>
        <v>-1.3975570061157723</v>
      </c>
      <c r="L554" s="7">
        <f t="shared" si="44"/>
        <v>376.73164393654611</v>
      </c>
      <c r="M554" s="7">
        <f t="shared" si="45"/>
        <v>-0.9016439365461224</v>
      </c>
    </row>
    <row r="555" spans="6:13" ht="18.75" customHeight="1">
      <c r="F555" s="1">
        <v>38231</v>
      </c>
      <c r="G555">
        <f t="shared" si="42"/>
        <v>9</v>
      </c>
      <c r="H555" s="7">
        <v>374.05</v>
      </c>
      <c r="I555" s="7">
        <f t="shared" si="41"/>
        <v>378.29696304027823</v>
      </c>
      <c r="J555" s="7">
        <f t="shared" si="43"/>
        <v>-4.2469630402782172</v>
      </c>
      <c r="K555" s="7" cm="1">
        <f t="array" ref="K555">INDEX(Sm,G555)</f>
        <v>-3.1934822994410497</v>
      </c>
      <c r="L555" s="7">
        <f t="shared" si="44"/>
        <v>375.1034807408372</v>
      </c>
      <c r="M555" s="7">
        <f t="shared" si="45"/>
        <v>-1.0534807408371876</v>
      </c>
    </row>
    <row r="556" spans="6:13" ht="18.75" customHeight="1">
      <c r="F556" s="1">
        <v>38261</v>
      </c>
      <c r="G556">
        <f t="shared" si="42"/>
        <v>10</v>
      </c>
      <c r="H556" s="7">
        <v>374.22</v>
      </c>
      <c r="I556" s="7">
        <f t="shared" si="41"/>
        <v>378.459492883905</v>
      </c>
      <c r="J556" s="7">
        <f t="shared" si="43"/>
        <v>-4.2394928839049726</v>
      </c>
      <c r="K556" s="7" cm="1">
        <f t="array" ref="K556">INDEX(Sm,G556)</f>
        <v>-3.3368150874962788</v>
      </c>
      <c r="L556" s="7">
        <f t="shared" si="44"/>
        <v>375.12267779640871</v>
      </c>
      <c r="M556" s="7">
        <f t="shared" si="45"/>
        <v>-0.90267779640868184</v>
      </c>
    </row>
    <row r="557" spans="6:13" ht="18.75" customHeight="1">
      <c r="F557" s="1">
        <v>38292</v>
      </c>
      <c r="G557">
        <f t="shared" si="42"/>
        <v>11</v>
      </c>
      <c r="H557" s="7">
        <v>375.84</v>
      </c>
      <c r="I557" s="7">
        <f t="shared" si="41"/>
        <v>378.62762579645062</v>
      </c>
      <c r="J557" s="7">
        <f t="shared" si="43"/>
        <v>-2.7876257964506408</v>
      </c>
      <c r="K557" s="7" cm="1">
        <f t="array" ref="K557">INDEX(Sm,G557)</f>
        <v>-2.0591623324975612</v>
      </c>
      <c r="L557" s="7">
        <f t="shared" si="44"/>
        <v>376.56846346395304</v>
      </c>
      <c r="M557" s="7">
        <f t="shared" si="45"/>
        <v>-0.72846346395306227</v>
      </c>
    </row>
    <row r="558" spans="6:13" ht="18.75" customHeight="1">
      <c r="F558" s="1">
        <v>38322</v>
      </c>
      <c r="G558">
        <f t="shared" si="42"/>
        <v>12</v>
      </c>
      <c r="H558" s="7">
        <v>377.44</v>
      </c>
      <c r="I558" s="7">
        <f t="shared" si="41"/>
        <v>378.79051449323487</v>
      </c>
      <c r="J558" s="7">
        <f t="shared" si="43"/>
        <v>-1.3505144932348685</v>
      </c>
      <c r="K558" s="7" cm="1">
        <f t="array" ref="K558">INDEX(Sm,G558)</f>
        <v>-0.89132446529561371</v>
      </c>
      <c r="L558" s="7">
        <f t="shared" si="44"/>
        <v>377.89919002793926</v>
      </c>
      <c r="M558" s="7">
        <f t="shared" si="45"/>
        <v>-0.45919002793925756</v>
      </c>
    </row>
    <row r="559" spans="6:13" ht="18.75" customHeight="1">
      <c r="F559" s="1">
        <v>38353</v>
      </c>
      <c r="G559">
        <f t="shared" si="42"/>
        <v>1</v>
      </c>
      <c r="H559" s="7">
        <v>378.34</v>
      </c>
      <c r="I559" s="7">
        <f t="shared" si="41"/>
        <v>378.95901822070982</v>
      </c>
      <c r="J559" s="7">
        <f t="shared" si="43"/>
        <v>-0.61901822070984736</v>
      </c>
      <c r="K559" s="7" cm="1">
        <f t="array" ref="K559">INDEX(Sm,G559)</f>
        <v>6.1040869584970889E-2</v>
      </c>
      <c r="L559" s="7">
        <f t="shared" si="44"/>
        <v>379.02005909029481</v>
      </c>
      <c r="M559" s="7">
        <f t="shared" si="45"/>
        <v>-0.68005909029483291</v>
      </c>
    </row>
    <row r="560" spans="6:13" ht="18.75" customHeight="1">
      <c r="F560" s="1">
        <v>38384</v>
      </c>
      <c r="G560">
        <f t="shared" si="42"/>
        <v>2</v>
      </c>
      <c r="H560" s="7">
        <v>379.61</v>
      </c>
      <c r="I560" s="7">
        <f t="shared" si="41"/>
        <v>379.12771039511614</v>
      </c>
      <c r="J560" s="7">
        <f t="shared" si="43"/>
        <v>0.48228960488387429</v>
      </c>
      <c r="K560" s="7" cm="1">
        <f t="array" ref="K560">INDEX(Sm,G560)</f>
        <v>0.69421564520236412</v>
      </c>
      <c r="L560" s="7">
        <f t="shared" si="44"/>
        <v>379.82192604031849</v>
      </c>
      <c r="M560" s="7">
        <f t="shared" si="45"/>
        <v>-0.21192604031847395</v>
      </c>
    </row>
    <row r="561" spans="6:13" ht="18.75" customHeight="1">
      <c r="F561" s="1">
        <v>38412</v>
      </c>
      <c r="G561">
        <f t="shared" si="42"/>
        <v>3</v>
      </c>
      <c r="H561" s="7">
        <v>380.08</v>
      </c>
      <c r="I561" s="7">
        <f t="shared" si="41"/>
        <v>379.28023949454371</v>
      </c>
      <c r="J561" s="7">
        <f t="shared" si="43"/>
        <v>0.79976050545627686</v>
      </c>
      <c r="K561" s="7" cm="1">
        <f t="array" ref="K561">INDEX(Sm,G561)</f>
        <v>1.3733706304072995</v>
      </c>
      <c r="L561" s="7">
        <f t="shared" si="44"/>
        <v>380.653610124951</v>
      </c>
      <c r="M561" s="7">
        <f t="shared" si="45"/>
        <v>-0.57361012495101704</v>
      </c>
    </row>
    <row r="562" spans="6:13" ht="18.75" customHeight="1">
      <c r="F562" s="1">
        <v>38443</v>
      </c>
      <c r="G562">
        <f t="shared" si="42"/>
        <v>4</v>
      </c>
      <c r="H562" s="7">
        <v>382.05</v>
      </c>
      <c r="I562" s="7">
        <f t="shared" si="41"/>
        <v>379.44929032601283</v>
      </c>
      <c r="J562" s="7">
        <f t="shared" si="43"/>
        <v>2.6007096739871827</v>
      </c>
      <c r="K562" s="7" cm="1">
        <f t="array" ref="K562">INDEX(Sm,G562)</f>
        <v>2.6099183412742755</v>
      </c>
      <c r="L562" s="7">
        <f t="shared" si="44"/>
        <v>382.05920866728712</v>
      </c>
      <c r="M562" s="7">
        <f t="shared" si="45"/>
        <v>-9.2086672871118935E-3</v>
      </c>
    </row>
    <row r="563" spans="6:13" ht="18.75" customHeight="1">
      <c r="F563" s="1">
        <v>38473</v>
      </c>
      <c r="G563">
        <f t="shared" si="42"/>
        <v>5</v>
      </c>
      <c r="H563" s="7">
        <v>382.24</v>
      </c>
      <c r="I563" s="7">
        <f t="shared" si="41"/>
        <v>379.6130673314326</v>
      </c>
      <c r="J563" s="7">
        <f t="shared" si="43"/>
        <v>2.6269326685674059</v>
      </c>
      <c r="K563" s="7" cm="1">
        <f t="array" ref="K563">INDEX(Sm,G563)</f>
        <v>3.065291801195754</v>
      </c>
      <c r="L563" s="7">
        <f t="shared" si="44"/>
        <v>382.67835913262837</v>
      </c>
      <c r="M563" s="7">
        <f t="shared" si="45"/>
        <v>-0.43835913262836357</v>
      </c>
    </row>
    <row r="564" spans="6:13" ht="18.75" customHeight="1">
      <c r="F564" s="1">
        <v>38504</v>
      </c>
      <c r="G564">
        <f t="shared" si="42"/>
        <v>6</v>
      </c>
      <c r="H564" s="7">
        <v>382.08</v>
      </c>
      <c r="I564" s="7">
        <f t="shared" si="41"/>
        <v>379.78248897783101</v>
      </c>
      <c r="J564" s="7">
        <f t="shared" si="43"/>
        <v>2.2975110221689761</v>
      </c>
      <c r="K564" s="7" cm="1">
        <f t="array" ref="K564">INDEX(Sm,G564)</f>
        <v>2.3463851222642056</v>
      </c>
      <c r="L564" s="7">
        <f t="shared" si="44"/>
        <v>382.12887410009523</v>
      </c>
      <c r="M564" s="7">
        <f t="shared" si="45"/>
        <v>-4.8874100095247286E-2</v>
      </c>
    </row>
    <row r="565" spans="6:13" ht="18.75" customHeight="1">
      <c r="F565" s="1">
        <v>38534</v>
      </c>
      <c r="G565">
        <f t="shared" si="42"/>
        <v>7</v>
      </c>
      <c r="H565" s="7">
        <v>380.66</v>
      </c>
      <c r="I565" s="7">
        <f t="shared" si="41"/>
        <v>379.9466248364082</v>
      </c>
      <c r="J565" s="7">
        <f t="shared" si="43"/>
        <v>0.71337516359182018</v>
      </c>
      <c r="K565" s="7" cm="1">
        <f t="array" ref="K565">INDEX(Sm,G565)</f>
        <v>0.72334113060077332</v>
      </c>
      <c r="L565" s="7">
        <f t="shared" si="44"/>
        <v>380.66996596700898</v>
      </c>
      <c r="M565" s="7">
        <f t="shared" si="45"/>
        <v>-9.9659670089522479E-3</v>
      </c>
    </row>
    <row r="566" spans="6:13" ht="18.75" customHeight="1">
      <c r="F566" s="1">
        <v>38565</v>
      </c>
      <c r="G566">
        <f t="shared" si="42"/>
        <v>8</v>
      </c>
      <c r="H566" s="7">
        <v>378.67</v>
      </c>
      <c r="I566" s="7">
        <f t="shared" si="41"/>
        <v>380.11641729773595</v>
      </c>
      <c r="J566" s="7">
        <f t="shared" si="43"/>
        <v>-1.446417297735934</v>
      </c>
      <c r="K566" s="7" cm="1">
        <f t="array" ref="K566">INDEX(Sm,G566)</f>
        <v>-1.3975570061157723</v>
      </c>
      <c r="L566" s="7">
        <f t="shared" si="44"/>
        <v>378.71886029162016</v>
      </c>
      <c r="M566" s="7">
        <f t="shared" si="45"/>
        <v>-4.886029162014438E-2</v>
      </c>
    </row>
    <row r="567" spans="6:13" ht="18.75" customHeight="1">
      <c r="F567" s="1">
        <v>38596</v>
      </c>
      <c r="G567">
        <f t="shared" si="42"/>
        <v>9</v>
      </c>
      <c r="H567" s="7">
        <v>376.42</v>
      </c>
      <c r="I567" s="7">
        <f t="shared" si="41"/>
        <v>380.28639820599506</v>
      </c>
      <c r="J567" s="7">
        <f t="shared" si="43"/>
        <v>-3.8663982059950399</v>
      </c>
      <c r="K567" s="7" cm="1">
        <f t="array" ref="K567">INDEX(Sm,G567)</f>
        <v>-3.1934822994410497</v>
      </c>
      <c r="L567" s="7">
        <f t="shared" si="44"/>
        <v>377.09291590655403</v>
      </c>
      <c r="M567" s="7">
        <f t="shared" si="45"/>
        <v>-0.67291590655401023</v>
      </c>
    </row>
    <row r="568" spans="6:13" ht="18.75" customHeight="1">
      <c r="F568" s="1">
        <v>38626</v>
      </c>
      <c r="G568">
        <f t="shared" si="42"/>
        <v>10</v>
      </c>
      <c r="H568" s="7">
        <v>376.8</v>
      </c>
      <c r="I568" s="7">
        <f t="shared" si="41"/>
        <v>380.45107528572765</v>
      </c>
      <c r="J568" s="7">
        <f t="shared" si="43"/>
        <v>-3.6510752857276429</v>
      </c>
      <c r="K568" s="7" cm="1">
        <f t="array" ref="K568">INDEX(Sm,G568)</f>
        <v>-3.3368150874962788</v>
      </c>
      <c r="L568" s="7">
        <f t="shared" si="44"/>
        <v>377.11426019823136</v>
      </c>
      <c r="M568" s="7">
        <f t="shared" si="45"/>
        <v>-0.31426019823135221</v>
      </c>
    </row>
    <row r="569" spans="6:13" ht="18.75" customHeight="1">
      <c r="F569" s="1">
        <v>38657</v>
      </c>
      <c r="G569">
        <f t="shared" si="42"/>
        <v>11</v>
      </c>
      <c r="H569" s="7">
        <v>378.31</v>
      </c>
      <c r="I569" s="7">
        <f t="shared" si="41"/>
        <v>380.62142700891604</v>
      </c>
      <c r="J569" s="7">
        <f t="shared" si="43"/>
        <v>-2.3114270089160414</v>
      </c>
      <c r="K569" s="7" cm="1">
        <f t="array" ref="K569">INDEX(Sm,G569)</f>
        <v>-2.0591623324975612</v>
      </c>
      <c r="L569" s="7">
        <f t="shared" si="44"/>
        <v>378.56226467641847</v>
      </c>
      <c r="M569" s="7">
        <f t="shared" si="45"/>
        <v>-0.25226467641846284</v>
      </c>
    </row>
    <row r="570" spans="6:13" ht="18.75" customHeight="1">
      <c r="F570" s="1">
        <v>38687</v>
      </c>
      <c r="G570">
        <f t="shared" si="42"/>
        <v>12</v>
      </c>
      <c r="H570" s="7">
        <v>379.96</v>
      </c>
      <c r="I570" s="7">
        <f t="shared" si="41"/>
        <v>380.78646294180612</v>
      </c>
      <c r="J570" s="7">
        <f t="shared" si="43"/>
        <v>-0.82646294180614177</v>
      </c>
      <c r="K570" s="7" cm="1">
        <f t="array" ref="K570">INDEX(Sm,G570)</f>
        <v>-0.89132446529561371</v>
      </c>
      <c r="L570" s="7">
        <f t="shared" si="44"/>
        <v>379.89513847651051</v>
      </c>
      <c r="M570" s="7">
        <f t="shared" si="45"/>
        <v>6.4861523489469164E-2</v>
      </c>
    </row>
    <row r="571" spans="6:13" ht="18.75" customHeight="1">
      <c r="F571" s="1">
        <v>38718</v>
      </c>
      <c r="G571">
        <f t="shared" si="42"/>
        <v>1</v>
      </c>
      <c r="H571" s="7">
        <v>381.37</v>
      </c>
      <c r="I571" s="7">
        <f t="shared" si="41"/>
        <v>380.95718547992385</v>
      </c>
      <c r="J571" s="7">
        <f t="shared" si="43"/>
        <v>0.41281452007615371</v>
      </c>
      <c r="K571" s="7" cm="1">
        <f t="array" ref="K571">INDEX(Sm,G571)</f>
        <v>6.1040869584970889E-2</v>
      </c>
      <c r="L571" s="7">
        <f t="shared" si="44"/>
        <v>381.01822634950884</v>
      </c>
      <c r="M571" s="7">
        <f t="shared" si="45"/>
        <v>0.35177365049116815</v>
      </c>
    </row>
    <row r="572" spans="6:13" ht="18.75" customHeight="1">
      <c r="F572" s="1">
        <v>38749</v>
      </c>
      <c r="G572">
        <f t="shared" si="42"/>
        <v>2</v>
      </c>
      <c r="H572" s="7">
        <v>382.02</v>
      </c>
      <c r="I572" s="7">
        <f t="shared" si="41"/>
        <v>381.12809646497283</v>
      </c>
      <c r="J572" s="7">
        <f t="shared" si="43"/>
        <v>0.89190353502715425</v>
      </c>
      <c r="K572" s="7" cm="1">
        <f t="array" ref="K572">INDEX(Sm,G572)</f>
        <v>0.69421564520236412</v>
      </c>
      <c r="L572" s="7">
        <f t="shared" si="44"/>
        <v>381.82231211017518</v>
      </c>
      <c r="M572" s="7">
        <f t="shared" si="45"/>
        <v>0.19768788982480601</v>
      </c>
    </row>
    <row r="573" spans="6:13" ht="18.75" customHeight="1">
      <c r="F573" s="1">
        <v>38777</v>
      </c>
      <c r="G573">
        <f t="shared" si="42"/>
        <v>3</v>
      </c>
      <c r="H573" s="7">
        <v>382.56</v>
      </c>
      <c r="I573" s="7">
        <f t="shared" si="41"/>
        <v>381.28262965143256</v>
      </c>
      <c r="J573" s="7">
        <f t="shared" si="43"/>
        <v>1.2773703485674446</v>
      </c>
      <c r="K573" s="7" cm="1">
        <f t="array" ref="K573">INDEX(Sm,G573)</f>
        <v>1.3733706304072995</v>
      </c>
      <c r="L573" s="7">
        <f t="shared" si="44"/>
        <v>382.65600028183985</v>
      </c>
      <c r="M573" s="7">
        <f t="shared" si="45"/>
        <v>-9.6000281839849322E-2</v>
      </c>
    </row>
    <row r="574" spans="6:13" ht="18.75" customHeight="1">
      <c r="F574" s="1">
        <v>38808</v>
      </c>
      <c r="G574">
        <f t="shared" si="42"/>
        <v>4</v>
      </c>
      <c r="H574" s="7">
        <v>384.36</v>
      </c>
      <c r="I574" s="7">
        <f t="shared" si="41"/>
        <v>381.4538992935444</v>
      </c>
      <c r="J574" s="7">
        <f t="shared" si="43"/>
        <v>2.9061007064556179</v>
      </c>
      <c r="K574" s="7" cm="1">
        <f t="array" ref="K574">INDEX(Sm,G574)</f>
        <v>2.6099183412742755</v>
      </c>
      <c r="L574" s="7">
        <f t="shared" si="44"/>
        <v>384.06381763481869</v>
      </c>
      <c r="M574" s="7">
        <f t="shared" si="45"/>
        <v>0.29618236518132335</v>
      </c>
    </row>
    <row r="575" spans="6:13" ht="18.75" customHeight="1">
      <c r="F575" s="1">
        <v>38838</v>
      </c>
      <c r="G575">
        <f t="shared" si="42"/>
        <v>5</v>
      </c>
      <c r="H575" s="7">
        <v>384.92</v>
      </c>
      <c r="I575" s="7">
        <f t="shared" si="41"/>
        <v>381.61982353507005</v>
      </c>
      <c r="J575" s="7">
        <f t="shared" si="43"/>
        <v>3.3001764649299616</v>
      </c>
      <c r="K575" s="7" cm="1">
        <f t="array" ref="K575">INDEX(Sm,G575)</f>
        <v>3.065291801195754</v>
      </c>
      <c r="L575" s="7">
        <f t="shared" si="44"/>
        <v>384.68511533626582</v>
      </c>
      <c r="M575" s="7">
        <f t="shared" si="45"/>
        <v>0.23488466373419215</v>
      </c>
    </row>
    <row r="576" spans="6:13" ht="18.75" customHeight="1">
      <c r="F576" s="1">
        <v>38869</v>
      </c>
      <c r="G576">
        <f t="shared" si="42"/>
        <v>6</v>
      </c>
      <c r="H576" s="7">
        <v>384.03</v>
      </c>
      <c r="I576" s="7">
        <f t="shared" si="41"/>
        <v>381.79146399211123</v>
      </c>
      <c r="J576" s="7">
        <f t="shared" si="43"/>
        <v>2.2385360078887402</v>
      </c>
      <c r="K576" s="7" cm="1">
        <f t="array" ref="K576">INDEX(Sm,G576)</f>
        <v>2.3463851222642056</v>
      </c>
      <c r="L576" s="7">
        <f t="shared" si="44"/>
        <v>384.13784911437546</v>
      </c>
      <c r="M576" s="7">
        <f t="shared" si="45"/>
        <v>-0.10784911437548317</v>
      </c>
    </row>
    <row r="577" spans="6:13" ht="18.75" customHeight="1">
      <c r="F577" s="1">
        <v>38899</v>
      </c>
      <c r="G577">
        <f t="shared" si="42"/>
        <v>7</v>
      </c>
      <c r="H577" s="7">
        <v>382.28</v>
      </c>
      <c r="I577" s="7">
        <f t="shared" si="41"/>
        <v>381.95774708679426</v>
      </c>
      <c r="J577" s="7">
        <f t="shared" si="43"/>
        <v>0.32225291320571614</v>
      </c>
      <c r="K577" s="7" cm="1">
        <f t="array" ref="K577">INDEX(Sm,G577)</f>
        <v>0.72334113060077332</v>
      </c>
      <c r="L577" s="7">
        <f t="shared" si="44"/>
        <v>382.68108821739503</v>
      </c>
      <c r="M577" s="7">
        <f t="shared" si="45"/>
        <v>-0.40108821739505629</v>
      </c>
    </row>
    <row r="578" spans="6:13" ht="18.75" customHeight="1">
      <c r="F578" s="1">
        <v>38930</v>
      </c>
      <c r="G578">
        <f t="shared" si="42"/>
        <v>8</v>
      </c>
      <c r="H578" s="7">
        <v>380.48</v>
      </c>
      <c r="I578" s="7">
        <f t="shared" ref="I578:I641" si="46">_A*F578*F578+_B*F578+_C</f>
        <v>382.12975835876478</v>
      </c>
      <c r="J578" s="7">
        <f t="shared" si="43"/>
        <v>-1.6497583587647568</v>
      </c>
      <c r="K578" s="7" cm="1">
        <f t="array" ref="K578">INDEX(Sm,G578)</f>
        <v>-1.3975570061157723</v>
      </c>
      <c r="L578" s="7">
        <f t="shared" si="44"/>
        <v>380.73220135264899</v>
      </c>
      <c r="M578" s="7">
        <f t="shared" si="45"/>
        <v>-0.25220135264896726</v>
      </c>
    </row>
    <row r="579" spans="6:13" ht="18.75" customHeight="1">
      <c r="F579" s="1">
        <v>38961</v>
      </c>
      <c r="G579">
        <f t="shared" ref="G579:G642" si="47">MONTH(F579)</f>
        <v>9</v>
      </c>
      <c r="H579" s="7">
        <v>378.81</v>
      </c>
      <c r="I579" s="7">
        <f t="shared" si="46"/>
        <v>382.30195807766654</v>
      </c>
      <c r="J579" s="7">
        <f t="shared" ref="J579:J642" si="48">H579-I579</f>
        <v>-3.4919580776665384</v>
      </c>
      <c r="K579" s="7" cm="1">
        <f t="array" ref="K579">INDEX(Sm,G579)</f>
        <v>-3.1934822994410497</v>
      </c>
      <c r="L579" s="7">
        <f t="shared" ref="L579:L642" si="49">I579+K579</f>
        <v>379.10847577822551</v>
      </c>
      <c r="M579" s="7">
        <f t="shared" ref="M579:M642" si="50">H579-L579</f>
        <v>-0.29847577822550875</v>
      </c>
    </row>
    <row r="580" spans="6:13" ht="18.75" customHeight="1">
      <c r="F580" s="1">
        <v>38991</v>
      </c>
      <c r="G580">
        <f t="shared" si="47"/>
        <v>10</v>
      </c>
      <c r="H580" s="7">
        <v>379.06</v>
      </c>
      <c r="I580" s="7">
        <f t="shared" si="46"/>
        <v>382.46878239350502</v>
      </c>
      <c r="J580" s="7">
        <f t="shared" si="48"/>
        <v>-3.408782393505021</v>
      </c>
      <c r="K580" s="7" cm="1">
        <f t="array" ref="K580">INDEX(Sm,G580)</f>
        <v>-3.3368150874962788</v>
      </c>
      <c r="L580" s="7">
        <f t="shared" si="49"/>
        <v>379.13196730600873</v>
      </c>
      <c r="M580" s="7">
        <f t="shared" si="50"/>
        <v>-7.1967306008730247E-2</v>
      </c>
    </row>
    <row r="581" spans="6:13" ht="18.75" customHeight="1">
      <c r="F581" s="1">
        <v>39022</v>
      </c>
      <c r="G581">
        <f t="shared" si="47"/>
        <v>11</v>
      </c>
      <c r="H581" s="7">
        <v>380.14</v>
      </c>
      <c r="I581" s="7">
        <f t="shared" si="46"/>
        <v>382.64135292733613</v>
      </c>
      <c r="J581" s="7">
        <f t="shared" si="48"/>
        <v>-2.5013529273361428</v>
      </c>
      <c r="K581" s="7" cm="1">
        <f t="array" ref="K581">INDEX(Sm,G581)</f>
        <v>-2.0591623324975612</v>
      </c>
      <c r="L581" s="7">
        <f t="shared" si="49"/>
        <v>380.58219059483855</v>
      </c>
      <c r="M581" s="7">
        <f t="shared" si="50"/>
        <v>-0.44219059483856427</v>
      </c>
    </row>
    <row r="582" spans="6:13" ht="18.75" customHeight="1">
      <c r="F582" s="1">
        <v>39052</v>
      </c>
      <c r="G582">
        <f t="shared" si="47"/>
        <v>12</v>
      </c>
      <c r="H582" s="7">
        <v>381.66</v>
      </c>
      <c r="I582" s="7">
        <f t="shared" si="46"/>
        <v>382.80853609633209</v>
      </c>
      <c r="J582" s="7">
        <f t="shared" si="48"/>
        <v>-1.1485360963320659</v>
      </c>
      <c r="K582" s="7" cm="1">
        <f t="array" ref="K582">INDEX(Sm,G582)</f>
        <v>-0.89132446529561371</v>
      </c>
      <c r="L582" s="7">
        <f t="shared" si="49"/>
        <v>381.91721163103648</v>
      </c>
      <c r="M582" s="7">
        <f t="shared" si="50"/>
        <v>-0.25721163103645495</v>
      </c>
    </row>
    <row r="583" spans="6:13" ht="18.75" customHeight="1">
      <c r="F583" s="1">
        <v>39083</v>
      </c>
      <c r="G583">
        <f t="shared" si="47"/>
        <v>1</v>
      </c>
      <c r="H583" s="7">
        <v>382.58</v>
      </c>
      <c r="I583" s="7">
        <f t="shared" si="46"/>
        <v>382.98147744509254</v>
      </c>
      <c r="J583" s="7">
        <f t="shared" si="48"/>
        <v>-0.4014774450925529</v>
      </c>
      <c r="K583" s="7" cm="1">
        <f t="array" ref="K583">INDEX(Sm,G583)</f>
        <v>6.1040869584970889E-2</v>
      </c>
      <c r="L583" s="7">
        <f t="shared" si="49"/>
        <v>383.04251831467752</v>
      </c>
      <c r="M583" s="7">
        <f t="shared" si="50"/>
        <v>-0.46251831467753846</v>
      </c>
    </row>
    <row r="584" spans="6:13" ht="18.75" customHeight="1">
      <c r="F584" s="1">
        <v>39114</v>
      </c>
      <c r="G584">
        <f t="shared" si="47"/>
        <v>2</v>
      </c>
      <c r="H584" s="7">
        <v>383.71</v>
      </c>
      <c r="I584" s="7">
        <f t="shared" si="46"/>
        <v>383.15460724078429</v>
      </c>
      <c r="J584" s="7">
        <f t="shared" si="48"/>
        <v>0.55539275921569242</v>
      </c>
      <c r="K584" s="7" cm="1">
        <f t="array" ref="K584">INDEX(Sm,G584)</f>
        <v>0.69421564520236412</v>
      </c>
      <c r="L584" s="7">
        <f t="shared" si="49"/>
        <v>383.84882288598664</v>
      </c>
      <c r="M584" s="7">
        <f t="shared" si="50"/>
        <v>-0.13882288598665582</v>
      </c>
    </row>
    <row r="585" spans="6:13" ht="18.75" customHeight="1">
      <c r="F585" s="1">
        <v>39142</v>
      </c>
      <c r="G585">
        <f t="shared" si="47"/>
        <v>3</v>
      </c>
      <c r="H585" s="7">
        <v>384.34</v>
      </c>
      <c r="I585" s="7">
        <f t="shared" si="46"/>
        <v>383.31114451427618</v>
      </c>
      <c r="J585" s="7">
        <f t="shared" si="48"/>
        <v>1.0288554857237955</v>
      </c>
      <c r="K585" s="7" cm="1">
        <f t="array" ref="K585">INDEX(Sm,G585)</f>
        <v>1.3733706304072995</v>
      </c>
      <c r="L585" s="7">
        <f t="shared" si="49"/>
        <v>384.68451514468347</v>
      </c>
      <c r="M585" s="7">
        <f t="shared" si="50"/>
        <v>-0.34451514468349842</v>
      </c>
    </row>
    <row r="586" spans="6:13" ht="18.75" customHeight="1">
      <c r="F586" s="1">
        <v>39173</v>
      </c>
      <c r="G586">
        <f t="shared" si="47"/>
        <v>4</v>
      </c>
      <c r="H586" s="7">
        <v>386.23</v>
      </c>
      <c r="I586" s="7">
        <f t="shared" si="46"/>
        <v>383.48463296703073</v>
      </c>
      <c r="J586" s="7">
        <f t="shared" si="48"/>
        <v>2.7453670329692841</v>
      </c>
      <c r="K586" s="7" cm="1">
        <f t="array" ref="K586">INDEX(Sm,G586)</f>
        <v>2.6099183412742755</v>
      </c>
      <c r="L586" s="7">
        <f t="shared" si="49"/>
        <v>386.09455130830503</v>
      </c>
      <c r="M586" s="7">
        <f t="shared" si="50"/>
        <v>0.13544869169498952</v>
      </c>
    </row>
    <row r="587" spans="6:13" ht="18.75" customHeight="1">
      <c r="F587" s="1">
        <v>39203</v>
      </c>
      <c r="G587">
        <f t="shared" si="47"/>
        <v>5</v>
      </c>
      <c r="H587" s="7">
        <v>386.41</v>
      </c>
      <c r="I587" s="7">
        <f t="shared" si="46"/>
        <v>383.65270444466222</v>
      </c>
      <c r="J587" s="7">
        <f t="shared" si="48"/>
        <v>2.7572955553378051</v>
      </c>
      <c r="K587" s="7" cm="1">
        <f t="array" ref="K587">INDEX(Sm,G587)</f>
        <v>3.065291801195754</v>
      </c>
      <c r="L587" s="7">
        <f t="shared" si="49"/>
        <v>386.71799624585799</v>
      </c>
      <c r="M587" s="7">
        <f t="shared" si="50"/>
        <v>-0.30799624585796437</v>
      </c>
    </row>
    <row r="588" spans="6:13" ht="18.75" customHeight="1">
      <c r="F588" s="1">
        <v>39234</v>
      </c>
      <c r="G588">
        <f t="shared" si="47"/>
        <v>6</v>
      </c>
      <c r="H588" s="7">
        <v>385.87</v>
      </c>
      <c r="I588" s="7">
        <f t="shared" si="46"/>
        <v>383.82656371234611</v>
      </c>
      <c r="J588" s="7">
        <f t="shared" si="48"/>
        <v>2.0434362876538898</v>
      </c>
      <c r="K588" s="7" cm="1">
        <f t="array" ref="K588">INDEX(Sm,G588)</f>
        <v>2.3463851222642056</v>
      </c>
      <c r="L588" s="7">
        <f t="shared" si="49"/>
        <v>386.17294883461034</v>
      </c>
      <c r="M588" s="7">
        <f t="shared" si="50"/>
        <v>-0.30294883461033351</v>
      </c>
    </row>
    <row r="589" spans="6:13" ht="18.75" customHeight="1">
      <c r="F589" s="1">
        <v>39264</v>
      </c>
      <c r="G589">
        <f t="shared" si="47"/>
        <v>7</v>
      </c>
      <c r="H589" s="7">
        <v>384.44</v>
      </c>
      <c r="I589" s="7">
        <f t="shared" si="46"/>
        <v>383.99499404313502</v>
      </c>
      <c r="J589" s="7">
        <f t="shared" si="48"/>
        <v>0.44500595686497491</v>
      </c>
      <c r="K589" s="7" cm="1">
        <f t="array" ref="K589">INDEX(Sm,G589)</f>
        <v>0.72334113060077332</v>
      </c>
      <c r="L589" s="7">
        <f t="shared" si="49"/>
        <v>384.7183351737358</v>
      </c>
      <c r="M589" s="7">
        <f t="shared" si="50"/>
        <v>-0.27833517373579753</v>
      </c>
    </row>
    <row r="590" spans="6:13" ht="18.75" customHeight="1">
      <c r="F590" s="1">
        <v>39295</v>
      </c>
      <c r="G590">
        <f t="shared" si="47"/>
        <v>8</v>
      </c>
      <c r="H590" s="7">
        <v>381.84</v>
      </c>
      <c r="I590" s="7">
        <f t="shared" si="46"/>
        <v>384.16922412574826</v>
      </c>
      <c r="J590" s="7">
        <f t="shared" si="48"/>
        <v>-2.3292241257482829</v>
      </c>
      <c r="K590" s="7" cm="1">
        <f t="array" ref="K590">INDEX(Sm,G590)</f>
        <v>-1.3975570061157723</v>
      </c>
      <c r="L590" s="7">
        <f t="shared" si="49"/>
        <v>382.77166711963247</v>
      </c>
      <c r="M590" s="7">
        <f t="shared" si="50"/>
        <v>-0.93166711963249327</v>
      </c>
    </row>
    <row r="591" spans="6:13" ht="18.75" customHeight="1">
      <c r="F591" s="1">
        <v>39326</v>
      </c>
      <c r="G591">
        <f t="shared" si="47"/>
        <v>9</v>
      </c>
      <c r="H591" s="7">
        <v>380.86</v>
      </c>
      <c r="I591" s="7">
        <f t="shared" si="46"/>
        <v>384.34364265529274</v>
      </c>
      <c r="J591" s="7">
        <f t="shared" si="48"/>
        <v>-3.4836426552927264</v>
      </c>
      <c r="K591" s="7" cm="1">
        <f t="array" ref="K591">INDEX(Sm,G591)</f>
        <v>-3.1934822994410497</v>
      </c>
      <c r="L591" s="7">
        <f t="shared" si="49"/>
        <v>381.15016035585171</v>
      </c>
      <c r="M591" s="7">
        <f t="shared" si="50"/>
        <v>-0.29016035585169675</v>
      </c>
    </row>
    <row r="592" spans="6:13" ht="18.75" customHeight="1">
      <c r="F592" s="1">
        <v>39356</v>
      </c>
      <c r="G592">
        <f t="shared" si="47"/>
        <v>10</v>
      </c>
      <c r="H592" s="7">
        <v>380.86</v>
      </c>
      <c r="I592" s="7">
        <f t="shared" si="46"/>
        <v>384.51261420723711</v>
      </c>
      <c r="J592" s="7">
        <f t="shared" si="48"/>
        <v>-3.6526142072370931</v>
      </c>
      <c r="K592" s="7" cm="1">
        <f t="array" ref="K592">INDEX(Sm,G592)</f>
        <v>-3.3368150874962788</v>
      </c>
      <c r="L592" s="7">
        <f t="shared" si="49"/>
        <v>381.17579911974082</v>
      </c>
      <c r="M592" s="7">
        <f t="shared" si="50"/>
        <v>-0.31579911974080233</v>
      </c>
    </row>
    <row r="593" spans="6:13" ht="18.75" customHeight="1">
      <c r="F593" s="1">
        <v>39387</v>
      </c>
      <c r="G593">
        <f t="shared" si="47"/>
        <v>11</v>
      </c>
      <c r="H593" s="7">
        <v>382.36</v>
      </c>
      <c r="I593" s="7">
        <f t="shared" si="46"/>
        <v>384.68740355171099</v>
      </c>
      <c r="J593" s="7">
        <f t="shared" si="48"/>
        <v>-2.3274035517109724</v>
      </c>
      <c r="K593" s="7" cm="1">
        <f t="array" ref="K593">INDEX(Sm,G593)</f>
        <v>-2.0591623324975612</v>
      </c>
      <c r="L593" s="7">
        <f t="shared" si="49"/>
        <v>382.62824121921341</v>
      </c>
      <c r="M593" s="7">
        <f t="shared" si="50"/>
        <v>-0.26824121921339383</v>
      </c>
    </row>
    <row r="594" spans="6:13" ht="18.75" customHeight="1">
      <c r="F594" s="1">
        <v>39417</v>
      </c>
      <c r="G594">
        <f t="shared" si="47"/>
        <v>12</v>
      </c>
      <c r="H594" s="7">
        <v>383.61</v>
      </c>
      <c r="I594" s="7">
        <f t="shared" si="46"/>
        <v>384.85673395681277</v>
      </c>
      <c r="J594" s="7">
        <f t="shared" si="48"/>
        <v>-1.2467339568127613</v>
      </c>
      <c r="K594" s="7" cm="1">
        <f t="array" ref="K594">INDEX(Sm,G594)</f>
        <v>-0.89132446529561371</v>
      </c>
      <c r="L594" s="7">
        <f t="shared" si="49"/>
        <v>383.96540949151716</v>
      </c>
      <c r="M594" s="7">
        <f t="shared" si="50"/>
        <v>-0.3554094915171504</v>
      </c>
    </row>
    <row r="595" spans="6:13" ht="18.75" customHeight="1">
      <c r="F595" s="1">
        <v>39448</v>
      </c>
      <c r="G595">
        <f t="shared" si="47"/>
        <v>1</v>
      </c>
      <c r="H595" s="7">
        <v>385.07</v>
      </c>
      <c r="I595" s="7">
        <f t="shared" si="46"/>
        <v>385.03189411621599</v>
      </c>
      <c r="J595" s="7">
        <f t="shared" si="48"/>
        <v>3.8105883783998706E-2</v>
      </c>
      <c r="K595" s="7" cm="1">
        <f t="array" ref="K595">INDEX(Sm,G595)</f>
        <v>6.1040869584970889E-2</v>
      </c>
      <c r="L595" s="7">
        <f t="shared" si="49"/>
        <v>385.09293498580098</v>
      </c>
      <c r="M595" s="7">
        <f t="shared" si="50"/>
        <v>-2.2934985800986851E-2</v>
      </c>
    </row>
    <row r="596" spans="6:13" ht="18.75" customHeight="1">
      <c r="F596" s="1">
        <v>39479</v>
      </c>
      <c r="G596">
        <f t="shared" si="47"/>
        <v>2</v>
      </c>
      <c r="H596" s="7">
        <v>385.84</v>
      </c>
      <c r="I596" s="7">
        <f t="shared" si="46"/>
        <v>385.2072427225504</v>
      </c>
      <c r="J596" s="7">
        <f t="shared" si="48"/>
        <v>0.63275727744957067</v>
      </c>
      <c r="K596" s="7" cm="1">
        <f t="array" ref="K596">INDEX(Sm,G596)</f>
        <v>0.69421564520236412</v>
      </c>
      <c r="L596" s="7">
        <f t="shared" si="49"/>
        <v>385.90145836775275</v>
      </c>
      <c r="M596" s="7">
        <f t="shared" si="50"/>
        <v>-6.1458367752777576E-2</v>
      </c>
    </row>
    <row r="597" spans="6:13" ht="18.75" customHeight="1">
      <c r="F597" s="1">
        <v>39508</v>
      </c>
      <c r="G597">
        <f t="shared" si="47"/>
        <v>3</v>
      </c>
      <c r="H597" s="7">
        <v>385.83</v>
      </c>
      <c r="I597" s="7">
        <f t="shared" si="46"/>
        <v>385.37144911789375</v>
      </c>
      <c r="J597" s="7">
        <f t="shared" si="48"/>
        <v>0.45855088210623762</v>
      </c>
      <c r="K597" s="7" cm="1">
        <f t="array" ref="K597">INDEX(Sm,G597)</f>
        <v>1.3733706304072995</v>
      </c>
      <c r="L597" s="7">
        <f t="shared" si="49"/>
        <v>386.74481974830104</v>
      </c>
      <c r="M597" s="7">
        <f t="shared" si="50"/>
        <v>-0.91481974830105628</v>
      </c>
    </row>
    <row r="598" spans="6:13" ht="18.75" customHeight="1">
      <c r="F598" s="1">
        <v>39539</v>
      </c>
      <c r="G598">
        <f t="shared" si="47"/>
        <v>4</v>
      </c>
      <c r="H598" s="7">
        <v>386.77</v>
      </c>
      <c r="I598" s="7">
        <f t="shared" si="46"/>
        <v>385.54716246022434</v>
      </c>
      <c r="J598" s="7">
        <f t="shared" si="48"/>
        <v>1.2228375397756395</v>
      </c>
      <c r="K598" s="7" cm="1">
        <f t="array" ref="K598">INDEX(Sm,G598)</f>
        <v>2.6099183412742755</v>
      </c>
      <c r="L598" s="7">
        <f t="shared" si="49"/>
        <v>388.15708080149864</v>
      </c>
      <c r="M598" s="7">
        <f t="shared" si="50"/>
        <v>-1.3870808014986551</v>
      </c>
    </row>
    <row r="599" spans="6:13" ht="18.75" customHeight="1">
      <c r="F599" s="1">
        <v>39569</v>
      </c>
      <c r="G599">
        <f t="shared" si="47"/>
        <v>5</v>
      </c>
      <c r="H599" s="7">
        <v>388.51</v>
      </c>
      <c r="I599" s="7">
        <f t="shared" si="46"/>
        <v>385.71738705680036</v>
      </c>
      <c r="J599" s="7">
        <f t="shared" si="48"/>
        <v>2.7926129431996287</v>
      </c>
      <c r="K599" s="7" cm="1">
        <f t="array" ref="K599">INDEX(Sm,G599)</f>
        <v>3.065291801195754</v>
      </c>
      <c r="L599" s="7">
        <f t="shared" si="49"/>
        <v>388.78267885799613</v>
      </c>
      <c r="M599" s="7">
        <f t="shared" si="50"/>
        <v>-0.27267885799614078</v>
      </c>
    </row>
    <row r="600" spans="6:13" ht="18.75" customHeight="1">
      <c r="F600" s="1">
        <v>39600</v>
      </c>
      <c r="G600">
        <f t="shared" si="47"/>
        <v>6</v>
      </c>
      <c r="H600" s="7">
        <v>388.05</v>
      </c>
      <c r="I600" s="7">
        <f t="shared" si="46"/>
        <v>385.89347121406024</v>
      </c>
      <c r="J600" s="7">
        <f t="shared" si="48"/>
        <v>2.1565287859397699</v>
      </c>
      <c r="K600" s="7" cm="1">
        <f t="array" ref="K600">INDEX(Sm,G600)</f>
        <v>2.3463851222642056</v>
      </c>
      <c r="L600" s="7">
        <f t="shared" si="49"/>
        <v>388.23985633632446</v>
      </c>
      <c r="M600" s="7">
        <f t="shared" si="50"/>
        <v>-0.18985633632445342</v>
      </c>
    </row>
    <row r="601" spans="6:13" ht="18.75" customHeight="1">
      <c r="F601" s="1">
        <v>39630</v>
      </c>
      <c r="G601">
        <f t="shared" si="47"/>
        <v>7</v>
      </c>
      <c r="H601" s="7">
        <v>386.25</v>
      </c>
      <c r="I601" s="7">
        <f t="shared" si="46"/>
        <v>386.06405466379363</v>
      </c>
      <c r="J601" s="7">
        <f t="shared" si="48"/>
        <v>0.18594533620637321</v>
      </c>
      <c r="K601" s="7" cm="1">
        <f t="array" ref="K601">INDEX(Sm,G601)</f>
        <v>0.72334113060077332</v>
      </c>
      <c r="L601" s="7">
        <f t="shared" si="49"/>
        <v>386.7873957943944</v>
      </c>
      <c r="M601" s="7">
        <f t="shared" si="50"/>
        <v>-0.53739579439439922</v>
      </c>
    </row>
    <row r="602" spans="6:13" ht="18.75" customHeight="1">
      <c r="F602" s="1">
        <v>39661</v>
      </c>
      <c r="G602">
        <f t="shared" si="47"/>
        <v>8</v>
      </c>
      <c r="H602" s="7">
        <v>384.08</v>
      </c>
      <c r="I602" s="7">
        <f t="shared" si="46"/>
        <v>386.24050963598285</v>
      </c>
      <c r="J602" s="7">
        <f t="shared" si="48"/>
        <v>-2.1605096359828622</v>
      </c>
      <c r="K602" s="7" cm="1">
        <f t="array" ref="K602">INDEX(Sm,G602)</f>
        <v>-1.3975570061157723</v>
      </c>
      <c r="L602" s="7">
        <f t="shared" si="49"/>
        <v>384.84295262986706</v>
      </c>
      <c r="M602" s="7">
        <f t="shared" si="50"/>
        <v>-0.76295262986707257</v>
      </c>
    </row>
    <row r="603" spans="6:13" ht="18.75" customHeight="1">
      <c r="F603" s="1">
        <v>39692</v>
      </c>
      <c r="G603">
        <f t="shared" si="47"/>
        <v>9</v>
      </c>
      <c r="H603" s="7">
        <v>383.09</v>
      </c>
      <c r="I603" s="7">
        <f t="shared" si="46"/>
        <v>386.41715305510337</v>
      </c>
      <c r="J603" s="7">
        <f t="shared" si="48"/>
        <v>-3.3271530551033948</v>
      </c>
      <c r="K603" s="7" cm="1">
        <f t="array" ref="K603">INDEX(Sm,G603)</f>
        <v>-3.1934822994410497</v>
      </c>
      <c r="L603" s="7">
        <f t="shared" si="49"/>
        <v>383.22367075566234</v>
      </c>
      <c r="M603" s="7">
        <f t="shared" si="50"/>
        <v>-0.13367075566236508</v>
      </c>
    </row>
    <row r="604" spans="6:13" ht="18.75" customHeight="1">
      <c r="F604" s="1">
        <v>39722</v>
      </c>
      <c r="G604">
        <f t="shared" si="47"/>
        <v>10</v>
      </c>
      <c r="H604" s="7">
        <v>382.78</v>
      </c>
      <c r="I604" s="7">
        <f t="shared" si="46"/>
        <v>386.58827772599227</v>
      </c>
      <c r="J604" s="7">
        <f t="shared" si="48"/>
        <v>-3.8082777259922977</v>
      </c>
      <c r="K604" s="7" cm="1">
        <f t="array" ref="K604">INDEX(Sm,G604)</f>
        <v>-3.3368150874962788</v>
      </c>
      <c r="L604" s="7">
        <f t="shared" si="49"/>
        <v>383.25146263849598</v>
      </c>
      <c r="M604" s="7">
        <f t="shared" si="50"/>
        <v>-0.471462638496007</v>
      </c>
    </row>
    <row r="605" spans="6:13" ht="18.75" customHeight="1">
      <c r="F605" s="1">
        <v>39753</v>
      </c>
      <c r="G605">
        <f t="shared" si="47"/>
        <v>11</v>
      </c>
      <c r="H605" s="7">
        <v>384.01</v>
      </c>
      <c r="I605" s="7">
        <f t="shared" si="46"/>
        <v>386.76529196004213</v>
      </c>
      <c r="J605" s="7">
        <f t="shared" si="48"/>
        <v>-2.7552919600421433</v>
      </c>
      <c r="K605" s="7" cm="1">
        <f t="array" ref="K605">INDEX(Sm,G605)</f>
        <v>-2.0591623324975612</v>
      </c>
      <c r="L605" s="7">
        <f t="shared" si="49"/>
        <v>384.70612962754456</v>
      </c>
      <c r="M605" s="7">
        <f t="shared" si="50"/>
        <v>-0.69612962754456476</v>
      </c>
    </row>
    <row r="606" spans="6:13" ht="18.75" customHeight="1">
      <c r="F606" s="1">
        <v>39783</v>
      </c>
      <c r="G606">
        <f t="shared" si="47"/>
        <v>12</v>
      </c>
      <c r="H606" s="7">
        <v>385.11</v>
      </c>
      <c r="I606" s="7">
        <f t="shared" si="46"/>
        <v>386.9367754840884</v>
      </c>
      <c r="J606" s="7">
        <f t="shared" si="48"/>
        <v>-1.8267754840883867</v>
      </c>
      <c r="K606" s="7" cm="1">
        <f t="array" ref="K606">INDEX(Sm,G606)</f>
        <v>-0.89132446529561371</v>
      </c>
      <c r="L606" s="7">
        <f t="shared" si="49"/>
        <v>386.04545101879279</v>
      </c>
      <c r="M606" s="7">
        <f t="shared" si="50"/>
        <v>-0.93545101879277581</v>
      </c>
    </row>
    <row r="607" spans="6:13" ht="18.75" customHeight="1">
      <c r="F607" s="1">
        <v>39814</v>
      </c>
      <c r="G607">
        <f t="shared" si="47"/>
        <v>1</v>
      </c>
      <c r="H607" s="7">
        <v>386.65</v>
      </c>
      <c r="I607" s="7">
        <f t="shared" si="46"/>
        <v>387.1141605330676</v>
      </c>
      <c r="J607" s="7">
        <f t="shared" si="48"/>
        <v>-0.46416053306762706</v>
      </c>
      <c r="K607" s="7" cm="1">
        <f t="array" ref="K607">INDEX(Sm,G607)</f>
        <v>6.1040869584970889E-2</v>
      </c>
      <c r="L607" s="7">
        <f t="shared" si="49"/>
        <v>387.17520140265259</v>
      </c>
      <c r="M607" s="7">
        <f t="shared" si="50"/>
        <v>-0.52520140265261261</v>
      </c>
    </row>
    <row r="608" spans="6:13" ht="18.75" customHeight="1">
      <c r="F608" s="1">
        <v>39845</v>
      </c>
      <c r="G608">
        <f t="shared" si="47"/>
        <v>2</v>
      </c>
      <c r="H608" s="7">
        <v>387.12</v>
      </c>
      <c r="I608" s="7">
        <f t="shared" si="46"/>
        <v>387.29173402897806</v>
      </c>
      <c r="J608" s="7">
        <f t="shared" si="48"/>
        <v>-0.1717340289780509</v>
      </c>
      <c r="K608" s="7" cm="1">
        <f t="array" ref="K608">INDEX(Sm,G608)</f>
        <v>0.69421564520236412</v>
      </c>
      <c r="L608" s="7">
        <f t="shared" si="49"/>
        <v>387.9859496741804</v>
      </c>
      <c r="M608" s="7">
        <f t="shared" si="50"/>
        <v>-0.86594967418039914</v>
      </c>
    </row>
    <row r="609" spans="6:13" ht="18.75" customHeight="1">
      <c r="F609" s="1">
        <v>39873</v>
      </c>
      <c r="G609">
        <f t="shared" si="47"/>
        <v>3</v>
      </c>
      <c r="H609" s="7">
        <v>388.52</v>
      </c>
      <c r="I609" s="7">
        <f t="shared" si="46"/>
        <v>387.45228496718363</v>
      </c>
      <c r="J609" s="7">
        <f t="shared" si="48"/>
        <v>1.067715032816352</v>
      </c>
      <c r="K609" s="7" cm="1">
        <f t="array" ref="K609">INDEX(Sm,G609)</f>
        <v>1.3733706304072995</v>
      </c>
      <c r="L609" s="7">
        <f t="shared" si="49"/>
        <v>388.82565559759092</v>
      </c>
      <c r="M609" s="7">
        <f t="shared" si="50"/>
        <v>-0.30565559759094185</v>
      </c>
    </row>
    <row r="610" spans="6:13" ht="18.75" customHeight="1">
      <c r="F610" s="1">
        <v>39904</v>
      </c>
      <c r="G610">
        <f t="shared" si="47"/>
        <v>4</v>
      </c>
      <c r="H610" s="7">
        <v>389.57</v>
      </c>
      <c r="I610" s="7">
        <f t="shared" si="46"/>
        <v>387.63021712015694</v>
      </c>
      <c r="J610" s="7">
        <f t="shared" si="48"/>
        <v>1.939782879843051</v>
      </c>
      <c r="K610" s="7" cm="1">
        <f t="array" ref="K610">INDEX(Sm,G610)</f>
        <v>2.6099183412742755</v>
      </c>
      <c r="L610" s="7">
        <f t="shared" si="49"/>
        <v>390.24013546143124</v>
      </c>
      <c r="M610" s="7">
        <f t="shared" si="50"/>
        <v>-0.67013546143124358</v>
      </c>
    </row>
    <row r="611" spans="6:13" ht="18.75" customHeight="1">
      <c r="F611" s="1">
        <v>39934</v>
      </c>
      <c r="G611">
        <f t="shared" si="47"/>
        <v>5</v>
      </c>
      <c r="H611" s="7">
        <v>390.17</v>
      </c>
      <c r="I611" s="7">
        <f t="shared" si="46"/>
        <v>387.80258895283879</v>
      </c>
      <c r="J611" s="7">
        <f t="shared" si="48"/>
        <v>2.3674110471612266</v>
      </c>
      <c r="K611" s="7" cm="1">
        <f t="array" ref="K611">INDEX(Sm,G611)</f>
        <v>3.065291801195754</v>
      </c>
      <c r="L611" s="7">
        <f t="shared" si="49"/>
        <v>390.86788075403456</v>
      </c>
      <c r="M611" s="7">
        <f t="shared" si="50"/>
        <v>-0.69788075403454286</v>
      </c>
    </row>
    <row r="612" spans="6:13" ht="18.75" customHeight="1">
      <c r="F612" s="1">
        <v>39965</v>
      </c>
      <c r="G612">
        <f t="shared" si="47"/>
        <v>6</v>
      </c>
      <c r="H612" s="7">
        <v>389.62</v>
      </c>
      <c r="I612" s="7">
        <f t="shared" si="46"/>
        <v>387.98089192074144</v>
      </c>
      <c r="J612" s="7">
        <f t="shared" si="48"/>
        <v>1.6391080792585626</v>
      </c>
      <c r="K612" s="7" cm="1">
        <f t="array" ref="K612">INDEX(Sm,G612)</f>
        <v>2.3463851222642056</v>
      </c>
      <c r="L612" s="7">
        <f t="shared" si="49"/>
        <v>390.32727704300567</v>
      </c>
      <c r="M612" s="7">
        <f t="shared" si="50"/>
        <v>-0.70727704300566074</v>
      </c>
    </row>
    <row r="613" spans="6:13" ht="18.75" customHeight="1">
      <c r="F613" s="1">
        <v>39995</v>
      </c>
      <c r="G613">
        <f t="shared" si="47"/>
        <v>7</v>
      </c>
      <c r="H613" s="7">
        <v>388.07</v>
      </c>
      <c r="I613" s="7">
        <f t="shared" si="46"/>
        <v>388.15362260658071</v>
      </c>
      <c r="J613" s="7">
        <f t="shared" si="48"/>
        <v>-8.3622606580718184E-2</v>
      </c>
      <c r="K613" s="7" cm="1">
        <f t="array" ref="K613">INDEX(Sm,G613)</f>
        <v>0.72334113060077332</v>
      </c>
      <c r="L613" s="7">
        <f t="shared" si="49"/>
        <v>388.87696373718148</v>
      </c>
      <c r="M613" s="7">
        <f t="shared" si="50"/>
        <v>-0.80696373718149061</v>
      </c>
    </row>
    <row r="614" spans="6:13" ht="18.75" customHeight="1">
      <c r="F614" s="1">
        <v>40026</v>
      </c>
      <c r="G614">
        <f t="shared" si="47"/>
        <v>8</v>
      </c>
      <c r="H614" s="7">
        <v>386.08</v>
      </c>
      <c r="I614" s="7">
        <f t="shared" si="46"/>
        <v>388.33229638941265</v>
      </c>
      <c r="J614" s="7">
        <f t="shared" si="48"/>
        <v>-2.2522963894126633</v>
      </c>
      <c r="K614" s="7" cm="1">
        <f t="array" ref="K614">INDEX(Sm,G614)</f>
        <v>-1.3975570061157723</v>
      </c>
      <c r="L614" s="7">
        <f t="shared" si="49"/>
        <v>386.93473938329686</v>
      </c>
      <c r="M614" s="7">
        <f t="shared" si="50"/>
        <v>-0.85473938329687371</v>
      </c>
    </row>
    <row r="615" spans="6:13" ht="18.75" customHeight="1">
      <c r="F615" s="1">
        <v>40057</v>
      </c>
      <c r="G615">
        <f t="shared" si="47"/>
        <v>9</v>
      </c>
      <c r="H615" s="7">
        <v>384.65</v>
      </c>
      <c r="I615" s="7">
        <f t="shared" si="46"/>
        <v>388.51115861917589</v>
      </c>
      <c r="J615" s="7">
        <f t="shared" si="48"/>
        <v>-3.8611586191759102</v>
      </c>
      <c r="K615" s="7" cm="1">
        <f t="array" ref="K615">INDEX(Sm,G615)</f>
        <v>-3.1934822994410497</v>
      </c>
      <c r="L615" s="7">
        <f t="shared" si="49"/>
        <v>385.31767631973486</v>
      </c>
      <c r="M615" s="7">
        <f t="shared" si="50"/>
        <v>-0.66767631973488051</v>
      </c>
    </row>
    <row r="616" spans="6:13" ht="18.75" customHeight="1">
      <c r="F616" s="1">
        <v>40087</v>
      </c>
      <c r="G616">
        <f t="shared" si="47"/>
        <v>10</v>
      </c>
      <c r="H616" s="7">
        <v>384.33</v>
      </c>
      <c r="I616" s="7">
        <f t="shared" si="46"/>
        <v>388.68443052617067</v>
      </c>
      <c r="J616" s="7">
        <f t="shared" si="48"/>
        <v>-4.3544305261706882</v>
      </c>
      <c r="K616" s="7" cm="1">
        <f t="array" ref="K616">INDEX(Sm,G616)</f>
        <v>-3.3368150874962788</v>
      </c>
      <c r="L616" s="7">
        <f t="shared" si="49"/>
        <v>385.34761543867438</v>
      </c>
      <c r="M616" s="7">
        <f t="shared" si="50"/>
        <v>-1.0176154386743974</v>
      </c>
    </row>
    <row r="617" spans="6:13" ht="18.75" customHeight="1">
      <c r="F617" s="1">
        <v>40118</v>
      </c>
      <c r="G617">
        <f t="shared" si="47"/>
        <v>11</v>
      </c>
      <c r="H617" s="7">
        <v>386.05</v>
      </c>
      <c r="I617" s="7">
        <f t="shared" si="46"/>
        <v>388.8636635708632</v>
      </c>
      <c r="J617" s="7">
        <f t="shared" si="48"/>
        <v>-2.8136635708631843</v>
      </c>
      <c r="K617" s="7" cm="1">
        <f t="array" ref="K617">INDEX(Sm,G617)</f>
        <v>-2.0591623324975612</v>
      </c>
      <c r="L617" s="7">
        <f t="shared" si="49"/>
        <v>386.80450123836562</v>
      </c>
      <c r="M617" s="7">
        <f t="shared" si="50"/>
        <v>-0.75450123836560579</v>
      </c>
    </row>
    <row r="618" spans="6:13" ht="18.75" customHeight="1">
      <c r="F618" s="1">
        <v>40148</v>
      </c>
      <c r="G618">
        <f t="shared" si="47"/>
        <v>12</v>
      </c>
      <c r="H618" s="7">
        <v>387.49</v>
      </c>
      <c r="I618" s="7">
        <f t="shared" si="46"/>
        <v>389.0372943310154</v>
      </c>
      <c r="J618" s="7">
        <f t="shared" si="48"/>
        <v>-1.5472943310153937</v>
      </c>
      <c r="K618" s="7" cm="1">
        <f t="array" ref="K618">INDEX(Sm,G618)</f>
        <v>-0.89132446529561371</v>
      </c>
      <c r="L618" s="7">
        <f t="shared" si="49"/>
        <v>388.14596986571979</v>
      </c>
      <c r="M618" s="7">
        <f t="shared" si="50"/>
        <v>-0.65596986571978277</v>
      </c>
    </row>
    <row r="619" spans="6:13" ht="18.75" customHeight="1">
      <c r="F619" s="1">
        <v>40179</v>
      </c>
      <c r="G619">
        <f t="shared" si="47"/>
        <v>1</v>
      </c>
      <c r="H619" s="7">
        <v>388.55</v>
      </c>
      <c r="I619" s="7">
        <f t="shared" si="46"/>
        <v>389.21689819063732</v>
      </c>
      <c r="J619" s="7">
        <f t="shared" si="48"/>
        <v>-0.66689819063731193</v>
      </c>
      <c r="K619" s="7" cm="1">
        <f t="array" ref="K619">INDEX(Sm,G619)</f>
        <v>6.1040869584970889E-2</v>
      </c>
      <c r="L619" s="7">
        <f t="shared" si="49"/>
        <v>389.27793906022231</v>
      </c>
      <c r="M619" s="7">
        <f t="shared" si="50"/>
        <v>-0.72793906022229748</v>
      </c>
    </row>
    <row r="620" spans="6:13" ht="18.75" customHeight="1">
      <c r="F620" s="1">
        <v>40210</v>
      </c>
      <c r="G620">
        <f t="shared" si="47"/>
        <v>2</v>
      </c>
      <c r="H620" s="7">
        <v>390.08</v>
      </c>
      <c r="I620" s="7">
        <f t="shared" si="46"/>
        <v>389.39669049719055</v>
      </c>
      <c r="J620" s="7">
        <f t="shared" si="48"/>
        <v>0.68330950280943625</v>
      </c>
      <c r="K620" s="7" cm="1">
        <f t="array" ref="K620">INDEX(Sm,G620)</f>
        <v>0.69421564520236412</v>
      </c>
      <c r="L620" s="7">
        <f t="shared" si="49"/>
        <v>390.0909061423929</v>
      </c>
      <c r="M620" s="7">
        <f t="shared" si="50"/>
        <v>-1.0906142392911988E-2</v>
      </c>
    </row>
    <row r="621" spans="6:13" ht="18.75" customHeight="1">
      <c r="F621" s="1">
        <v>40238</v>
      </c>
      <c r="G621">
        <f t="shared" si="47"/>
        <v>3</v>
      </c>
      <c r="H621" s="7">
        <v>391.01</v>
      </c>
      <c r="I621" s="7">
        <f t="shared" si="46"/>
        <v>389.55924552242823</v>
      </c>
      <c r="J621" s="7">
        <f t="shared" si="48"/>
        <v>1.4507544775717633</v>
      </c>
      <c r="K621" s="7" cm="1">
        <f t="array" ref="K621">INDEX(Sm,G621)</f>
        <v>1.3733706304072995</v>
      </c>
      <c r="L621" s="7">
        <f t="shared" si="49"/>
        <v>390.93261615283552</v>
      </c>
      <c r="M621" s="7">
        <f t="shared" si="50"/>
        <v>7.7383847164469444E-2</v>
      </c>
    </row>
    <row r="622" spans="6:13" ht="18.75" customHeight="1">
      <c r="F622" s="1">
        <v>40269</v>
      </c>
      <c r="G622">
        <f t="shared" si="47"/>
        <v>4</v>
      </c>
      <c r="H622" s="7">
        <v>392.38</v>
      </c>
      <c r="I622" s="7">
        <f t="shared" si="46"/>
        <v>389.73939648604426</v>
      </c>
      <c r="J622" s="7">
        <f t="shared" si="48"/>
        <v>2.6406035139557389</v>
      </c>
      <c r="K622" s="7" cm="1">
        <f t="array" ref="K622">INDEX(Sm,G622)</f>
        <v>2.6099183412742755</v>
      </c>
      <c r="L622" s="7">
        <f t="shared" si="49"/>
        <v>392.34931482731855</v>
      </c>
      <c r="M622" s="7">
        <f t="shared" si="50"/>
        <v>3.0685172681444328E-2</v>
      </c>
    </row>
    <row r="623" spans="6:13" ht="18.75" customHeight="1">
      <c r="F623" s="1">
        <v>40299</v>
      </c>
      <c r="G623">
        <f t="shared" si="47"/>
        <v>5</v>
      </c>
      <c r="H623" s="7">
        <v>393.22</v>
      </c>
      <c r="I623" s="7">
        <f t="shared" si="46"/>
        <v>389.91391555483199</v>
      </c>
      <c r="J623" s="7">
        <f t="shared" si="48"/>
        <v>3.3060844451680396</v>
      </c>
      <c r="K623" s="7" cm="1">
        <f t="array" ref="K623">INDEX(Sm,G623)</f>
        <v>3.065291801195754</v>
      </c>
      <c r="L623" s="7">
        <f t="shared" si="49"/>
        <v>392.97920735602776</v>
      </c>
      <c r="M623" s="7">
        <f t="shared" si="50"/>
        <v>0.24079264397227007</v>
      </c>
    </row>
    <row r="624" spans="6:13" ht="18.75" customHeight="1">
      <c r="F624" s="1">
        <v>40330</v>
      </c>
      <c r="G624">
        <f t="shared" si="47"/>
        <v>6</v>
      </c>
      <c r="H624" s="7">
        <v>392.24</v>
      </c>
      <c r="I624" s="7">
        <f t="shared" si="46"/>
        <v>390.09443733337736</v>
      </c>
      <c r="J624" s="7">
        <f t="shared" si="48"/>
        <v>2.1455626666226522</v>
      </c>
      <c r="K624" s="7" cm="1">
        <f t="array" ref="K624">INDEX(Sm,G624)</f>
        <v>2.3463851222642056</v>
      </c>
      <c r="L624" s="7">
        <f t="shared" si="49"/>
        <v>392.44082245564158</v>
      </c>
      <c r="M624" s="7">
        <f t="shared" si="50"/>
        <v>-0.2008224556415712</v>
      </c>
    </row>
    <row r="625" spans="6:13" ht="18.75" customHeight="1">
      <c r="F625" s="1">
        <v>40360</v>
      </c>
      <c r="G625">
        <f t="shared" si="47"/>
        <v>7</v>
      </c>
      <c r="H625" s="7">
        <v>390.33</v>
      </c>
      <c r="I625" s="7">
        <f t="shared" si="46"/>
        <v>390.26931525532251</v>
      </c>
      <c r="J625" s="7">
        <f t="shared" si="48"/>
        <v>6.0684744677473645E-2</v>
      </c>
      <c r="K625" s="7" cm="1">
        <f t="array" ref="K625">INDEX(Sm,G625)</f>
        <v>0.72334113060077332</v>
      </c>
      <c r="L625" s="7">
        <f t="shared" si="49"/>
        <v>390.99265638592328</v>
      </c>
      <c r="M625" s="7">
        <f t="shared" si="50"/>
        <v>-0.66265638592329879</v>
      </c>
    </row>
    <row r="626" spans="6:13" ht="18.75" customHeight="1">
      <c r="F626" s="1">
        <v>40391</v>
      </c>
      <c r="G626">
        <f t="shared" si="47"/>
        <v>8</v>
      </c>
      <c r="H626" s="7">
        <v>388.52</v>
      </c>
      <c r="I626" s="7">
        <f t="shared" si="46"/>
        <v>390.45020784879716</v>
      </c>
      <c r="J626" s="7">
        <f t="shared" si="48"/>
        <v>-1.9302078487971812</v>
      </c>
      <c r="K626" s="7" cm="1">
        <f t="array" ref="K626">INDEX(Sm,G626)</f>
        <v>-1.3975570061157723</v>
      </c>
      <c r="L626" s="7">
        <f t="shared" si="49"/>
        <v>389.05265084268137</v>
      </c>
      <c r="M626" s="7">
        <f t="shared" si="50"/>
        <v>-0.53265084268139162</v>
      </c>
    </row>
    <row r="627" spans="6:13" ht="18.75" customHeight="1">
      <c r="F627" s="1">
        <v>40422</v>
      </c>
      <c r="G627">
        <f t="shared" si="47"/>
        <v>9</v>
      </c>
      <c r="H627" s="7">
        <v>386.84</v>
      </c>
      <c r="I627" s="7">
        <f t="shared" si="46"/>
        <v>390.63128888920318</v>
      </c>
      <c r="J627" s="7">
        <f t="shared" si="48"/>
        <v>-3.7912888892032015</v>
      </c>
      <c r="K627" s="7" cm="1">
        <f t="array" ref="K627">INDEX(Sm,G627)</f>
        <v>-3.1934822994410497</v>
      </c>
      <c r="L627" s="7">
        <f t="shared" si="49"/>
        <v>387.43780658976215</v>
      </c>
      <c r="M627" s="7">
        <f t="shared" si="50"/>
        <v>-0.59780658976217182</v>
      </c>
    </row>
    <row r="628" spans="6:13" ht="18.75" customHeight="1">
      <c r="F628" s="1">
        <v>40452</v>
      </c>
      <c r="G628">
        <f t="shared" si="47"/>
        <v>10</v>
      </c>
      <c r="H628" s="7">
        <v>387.16</v>
      </c>
      <c r="I628" s="7">
        <f t="shared" si="46"/>
        <v>390.80670803230373</v>
      </c>
      <c r="J628" s="7">
        <f t="shared" si="48"/>
        <v>-3.6467080323037067</v>
      </c>
      <c r="K628" s="7" cm="1">
        <f t="array" ref="K628">INDEX(Sm,G628)</f>
        <v>-3.3368150874962788</v>
      </c>
      <c r="L628" s="7">
        <f t="shared" si="49"/>
        <v>387.46989294480744</v>
      </c>
      <c r="M628" s="7">
        <f t="shared" si="50"/>
        <v>-0.30989294480741592</v>
      </c>
    </row>
    <row r="629" spans="6:13" ht="18.75" customHeight="1">
      <c r="F629" s="1">
        <v>40483</v>
      </c>
      <c r="G629">
        <f t="shared" si="47"/>
        <v>11</v>
      </c>
      <c r="H629" s="7">
        <v>388.67</v>
      </c>
      <c r="I629" s="7">
        <f t="shared" si="46"/>
        <v>390.98815988763909</v>
      </c>
      <c r="J629" s="7">
        <f t="shared" si="48"/>
        <v>-2.3181598876390694</v>
      </c>
      <c r="K629" s="7" cm="1">
        <f t="array" ref="K629">INDEX(Sm,G629)</f>
        <v>-2.0591623324975612</v>
      </c>
      <c r="L629" s="7">
        <f t="shared" si="49"/>
        <v>388.92899755514151</v>
      </c>
      <c r="M629" s="7">
        <f t="shared" si="50"/>
        <v>-0.25899755514149092</v>
      </c>
    </row>
    <row r="630" spans="6:13" ht="18.75" customHeight="1">
      <c r="F630" s="1">
        <v>40513</v>
      </c>
      <c r="G630">
        <f t="shared" si="47"/>
        <v>12</v>
      </c>
      <c r="H630" s="7">
        <v>389.81</v>
      </c>
      <c r="I630" s="7">
        <f t="shared" si="46"/>
        <v>391.16393788389712</v>
      </c>
      <c r="J630" s="7">
        <f t="shared" si="48"/>
        <v>-1.3539378838971174</v>
      </c>
      <c r="K630" s="7" cm="1">
        <f t="array" ref="K630">INDEX(Sm,G630)</f>
        <v>-0.89132446529561371</v>
      </c>
      <c r="L630" s="7">
        <f t="shared" si="49"/>
        <v>390.27261341860151</v>
      </c>
      <c r="M630" s="7">
        <f t="shared" si="50"/>
        <v>-0.46261341860150651</v>
      </c>
    </row>
    <row r="631" spans="6:13" ht="18.75" customHeight="1">
      <c r="F631" s="1">
        <v>40544</v>
      </c>
      <c r="G631">
        <f t="shared" si="47"/>
        <v>1</v>
      </c>
      <c r="H631" s="7">
        <v>391.3</v>
      </c>
      <c r="I631" s="7">
        <f t="shared" si="46"/>
        <v>391.34576055416176</v>
      </c>
      <c r="J631" s="7">
        <f t="shared" si="48"/>
        <v>-4.5760554161745404E-2</v>
      </c>
      <c r="K631" s="7" cm="1">
        <f t="array" ref="K631">INDEX(Sm,G631)</f>
        <v>6.1040869584970889E-2</v>
      </c>
      <c r="L631" s="7">
        <f t="shared" si="49"/>
        <v>391.40680142374674</v>
      </c>
      <c r="M631" s="7">
        <f t="shared" si="50"/>
        <v>-0.10680142374673096</v>
      </c>
    </row>
    <row r="632" spans="6:13" ht="18.75" customHeight="1">
      <c r="F632" s="1">
        <v>40575</v>
      </c>
      <c r="G632">
        <f t="shared" si="47"/>
        <v>2</v>
      </c>
      <c r="H632" s="7">
        <v>391.92</v>
      </c>
      <c r="I632" s="7">
        <f t="shared" si="46"/>
        <v>391.5277716713577</v>
      </c>
      <c r="J632" s="7">
        <f t="shared" si="48"/>
        <v>0.39222832864231805</v>
      </c>
      <c r="K632" s="7" cm="1">
        <f t="array" ref="K632">INDEX(Sm,G632)</f>
        <v>0.69421564520236412</v>
      </c>
      <c r="L632" s="7">
        <f t="shared" si="49"/>
        <v>392.22198731656005</v>
      </c>
      <c r="M632" s="7">
        <f t="shared" si="50"/>
        <v>-0.30198731656003019</v>
      </c>
    </row>
    <row r="633" spans="6:13" ht="18.75" customHeight="1">
      <c r="F633" s="1">
        <v>40603</v>
      </c>
      <c r="G633">
        <f t="shared" si="47"/>
        <v>3</v>
      </c>
      <c r="H633" s="7">
        <v>392.45</v>
      </c>
      <c r="I633" s="7">
        <f t="shared" si="46"/>
        <v>391.69233078362754</v>
      </c>
      <c r="J633" s="7">
        <f t="shared" si="48"/>
        <v>0.75766921637244877</v>
      </c>
      <c r="K633" s="7" cm="1">
        <f t="array" ref="K633">INDEX(Sm,G633)</f>
        <v>1.3733706304072995</v>
      </c>
      <c r="L633" s="7">
        <f t="shared" si="49"/>
        <v>393.06570141403483</v>
      </c>
      <c r="M633" s="7">
        <f t="shared" si="50"/>
        <v>-0.61570141403484513</v>
      </c>
    </row>
    <row r="634" spans="6:13" ht="18.75" customHeight="1">
      <c r="F634" s="1">
        <v>40634</v>
      </c>
      <c r="G634">
        <f t="shared" si="47"/>
        <v>4</v>
      </c>
      <c r="H634" s="7">
        <v>393.37</v>
      </c>
      <c r="I634" s="7">
        <f t="shared" si="46"/>
        <v>391.87470055788629</v>
      </c>
      <c r="J634" s="7">
        <f t="shared" si="48"/>
        <v>1.4952994421137191</v>
      </c>
      <c r="K634" s="7" cm="1">
        <f t="array" ref="K634">INDEX(Sm,G634)</f>
        <v>2.6099183412742755</v>
      </c>
      <c r="L634" s="7">
        <f t="shared" si="49"/>
        <v>394.48461889916058</v>
      </c>
      <c r="M634" s="7">
        <f t="shared" si="50"/>
        <v>-1.1146188991605754</v>
      </c>
    </row>
    <row r="635" spans="6:13" ht="18.75" customHeight="1">
      <c r="F635" s="1">
        <v>40664</v>
      </c>
      <c r="G635">
        <f t="shared" si="47"/>
        <v>5</v>
      </c>
      <c r="H635" s="7">
        <v>394.28</v>
      </c>
      <c r="I635" s="7">
        <f t="shared" si="46"/>
        <v>392.0513668627799</v>
      </c>
      <c r="J635" s="7">
        <f t="shared" si="48"/>
        <v>2.2286331372200721</v>
      </c>
      <c r="K635" s="7" cm="1">
        <f t="array" ref="K635">INDEX(Sm,G635)</f>
        <v>3.065291801195754</v>
      </c>
      <c r="L635" s="7">
        <f t="shared" si="49"/>
        <v>395.11665866397567</v>
      </c>
      <c r="M635" s="7">
        <f t="shared" si="50"/>
        <v>-0.83665866397569744</v>
      </c>
    </row>
    <row r="636" spans="6:13" ht="18.75" customHeight="1">
      <c r="F636" s="1">
        <v>40695</v>
      </c>
      <c r="G636">
        <f t="shared" si="47"/>
        <v>6</v>
      </c>
      <c r="H636" s="7">
        <v>393.69</v>
      </c>
      <c r="I636" s="7">
        <f t="shared" si="46"/>
        <v>392.23410745196799</v>
      </c>
      <c r="J636" s="7">
        <f t="shared" si="48"/>
        <v>1.4558925480320113</v>
      </c>
      <c r="K636" s="7" cm="1">
        <f t="array" ref="K636">INDEX(Sm,G636)</f>
        <v>2.3463851222642056</v>
      </c>
      <c r="L636" s="7">
        <f t="shared" si="49"/>
        <v>394.58049257423221</v>
      </c>
      <c r="M636" s="7">
        <f t="shared" si="50"/>
        <v>-0.89049257423221206</v>
      </c>
    </row>
    <row r="637" spans="6:13" ht="18.75" customHeight="1">
      <c r="F637" s="1">
        <v>40725</v>
      </c>
      <c r="G637">
        <f t="shared" si="47"/>
        <v>7</v>
      </c>
      <c r="H637" s="7">
        <v>392.59</v>
      </c>
      <c r="I637" s="7">
        <f t="shared" si="46"/>
        <v>392.41113261001902</v>
      </c>
      <c r="J637" s="7">
        <f t="shared" si="48"/>
        <v>0.17886738998095097</v>
      </c>
      <c r="K637" s="7" cm="1">
        <f t="array" ref="K637">INDEX(Sm,G637)</f>
        <v>0.72334113060077332</v>
      </c>
      <c r="L637" s="7">
        <f t="shared" si="49"/>
        <v>393.1344737406198</v>
      </c>
      <c r="M637" s="7">
        <f t="shared" si="50"/>
        <v>-0.54447374061982146</v>
      </c>
    </row>
    <row r="638" spans="6:13" ht="18.75" customHeight="1">
      <c r="F638" s="1">
        <v>40756</v>
      </c>
      <c r="G638">
        <f t="shared" si="47"/>
        <v>8</v>
      </c>
      <c r="H638" s="7">
        <v>390.21</v>
      </c>
      <c r="I638" s="7">
        <f t="shared" si="46"/>
        <v>392.59424401413639</v>
      </c>
      <c r="J638" s="7">
        <f t="shared" si="48"/>
        <v>-2.3842440141364136</v>
      </c>
      <c r="K638" s="7" cm="1">
        <f t="array" ref="K638">INDEX(Sm,G638)</f>
        <v>-1.3975570061157723</v>
      </c>
      <c r="L638" s="7">
        <f t="shared" si="49"/>
        <v>391.1966870080206</v>
      </c>
      <c r="M638" s="7">
        <f t="shared" si="50"/>
        <v>-0.98668700802062403</v>
      </c>
    </row>
    <row r="639" spans="6:13" ht="18.75" customHeight="1">
      <c r="F639" s="1">
        <v>40787</v>
      </c>
      <c r="G639">
        <f t="shared" si="47"/>
        <v>9</v>
      </c>
      <c r="H639" s="7">
        <v>389</v>
      </c>
      <c r="I639" s="7">
        <f t="shared" si="46"/>
        <v>392.77754386518512</v>
      </c>
      <c r="J639" s="7">
        <f t="shared" si="48"/>
        <v>-3.7775438651851232</v>
      </c>
      <c r="K639" s="7" cm="1">
        <f t="array" ref="K639">INDEX(Sm,G639)</f>
        <v>-3.1934822994410497</v>
      </c>
      <c r="L639" s="7">
        <f t="shared" si="49"/>
        <v>389.58406156574409</v>
      </c>
      <c r="M639" s="7">
        <f t="shared" si="50"/>
        <v>-0.58406156574409351</v>
      </c>
    </row>
    <row r="640" spans="6:13" ht="18.75" customHeight="1">
      <c r="F640" s="1">
        <v>40817</v>
      </c>
      <c r="G640">
        <f t="shared" si="47"/>
        <v>10</v>
      </c>
      <c r="H640" s="7">
        <v>388.93</v>
      </c>
      <c r="I640" s="7">
        <f t="shared" si="46"/>
        <v>392.95511024439162</v>
      </c>
      <c r="J640" s="7">
        <f t="shared" si="48"/>
        <v>-4.0251102443916125</v>
      </c>
      <c r="K640" s="7" cm="1">
        <f t="array" ref="K640">INDEX(Sm,G640)</f>
        <v>-3.3368150874962788</v>
      </c>
      <c r="L640" s="7">
        <f t="shared" si="49"/>
        <v>389.61829515689533</v>
      </c>
      <c r="M640" s="7">
        <f t="shared" si="50"/>
        <v>-0.68829515689532172</v>
      </c>
    </row>
    <row r="641" spans="6:13" ht="18.75" customHeight="1">
      <c r="F641" s="1">
        <v>40848</v>
      </c>
      <c r="G641">
        <f t="shared" si="47"/>
        <v>11</v>
      </c>
      <c r="H641" s="7">
        <v>390.24</v>
      </c>
      <c r="I641" s="7">
        <f t="shared" si="46"/>
        <v>393.13878091036963</v>
      </c>
      <c r="J641" s="7">
        <f t="shared" si="48"/>
        <v>-2.8987809103696236</v>
      </c>
      <c r="K641" s="7" cm="1">
        <f t="array" ref="K641">INDEX(Sm,G641)</f>
        <v>-2.0591623324975612</v>
      </c>
      <c r="L641" s="7">
        <f t="shared" si="49"/>
        <v>391.07961857787205</v>
      </c>
      <c r="M641" s="7">
        <f t="shared" si="50"/>
        <v>-0.83961857787204508</v>
      </c>
    </row>
    <row r="642" spans="6:13" ht="18.75" customHeight="1">
      <c r="F642" s="1">
        <v>40878</v>
      </c>
      <c r="G642">
        <f t="shared" si="47"/>
        <v>12</v>
      </c>
      <c r="H642" s="7">
        <v>391.8</v>
      </c>
      <c r="I642" s="7">
        <f t="shared" ref="I642:I705" si="51">_A*F642*F642+_B*F642+_C</f>
        <v>393.31670614273355</v>
      </c>
      <c r="J642" s="7">
        <f t="shared" si="48"/>
        <v>-1.5167061427335398</v>
      </c>
      <c r="K642" s="7" cm="1">
        <f t="array" ref="K642">INDEX(Sm,G642)</f>
        <v>-0.89132446529561371</v>
      </c>
      <c r="L642" s="7">
        <f t="shared" si="49"/>
        <v>392.42538167743794</v>
      </c>
      <c r="M642" s="7">
        <f t="shared" si="50"/>
        <v>-0.62538167743792883</v>
      </c>
    </row>
    <row r="643" spans="6:13" ht="18.75" customHeight="1">
      <c r="F643" s="1">
        <v>40909</v>
      </c>
      <c r="G643">
        <f t="shared" ref="G643:G706" si="52">MONTH(F643)</f>
        <v>1</v>
      </c>
      <c r="H643" s="7">
        <v>393.07</v>
      </c>
      <c r="I643" s="7">
        <f t="shared" si="51"/>
        <v>393.5007476236409</v>
      </c>
      <c r="J643" s="7">
        <f t="shared" ref="J643:J706" si="53">H643-I643</f>
        <v>-0.43074762364091157</v>
      </c>
      <c r="K643" s="7" cm="1">
        <f t="array" ref="K643">INDEX(Sm,G643)</f>
        <v>6.1040869584970889E-2</v>
      </c>
      <c r="L643" s="7">
        <f t="shared" ref="L643:L706" si="54">I643+K643</f>
        <v>393.56178849322589</v>
      </c>
      <c r="M643" s="7">
        <f t="shared" ref="M643:M706" si="55">H643-L643</f>
        <v>-0.49178849322589713</v>
      </c>
    </row>
    <row r="644" spans="6:13" ht="18.75" customHeight="1">
      <c r="F644" s="1">
        <v>40940</v>
      </c>
      <c r="G644">
        <f t="shared" si="52"/>
        <v>2</v>
      </c>
      <c r="H644" s="7">
        <v>393.35</v>
      </c>
      <c r="I644" s="7">
        <f t="shared" si="51"/>
        <v>393.68497755147956</v>
      </c>
      <c r="J644" s="7">
        <f t="shared" si="53"/>
        <v>-0.33497755147953967</v>
      </c>
      <c r="K644" s="7" cm="1">
        <f t="array" ref="K644">INDEX(Sm,G644)</f>
        <v>0.69421564520236412</v>
      </c>
      <c r="L644" s="7">
        <f t="shared" si="54"/>
        <v>394.37919319668191</v>
      </c>
      <c r="M644" s="7">
        <f t="shared" si="55"/>
        <v>-1.0291931966818879</v>
      </c>
    </row>
    <row r="645" spans="6:13" ht="18.75" customHeight="1">
      <c r="F645" s="1">
        <v>40969</v>
      </c>
      <c r="G645">
        <f t="shared" si="52"/>
        <v>3</v>
      </c>
      <c r="H645" s="7">
        <v>394.36</v>
      </c>
      <c r="I645" s="7">
        <f t="shared" si="51"/>
        <v>393.85749227984297</v>
      </c>
      <c r="J645" s="7">
        <f t="shared" si="53"/>
        <v>0.50250772015704115</v>
      </c>
      <c r="K645" s="7" cm="1">
        <f t="array" ref="K645">INDEX(Sm,G645)</f>
        <v>1.3733706304072995</v>
      </c>
      <c r="L645" s="7">
        <f t="shared" si="54"/>
        <v>395.23086291025027</v>
      </c>
      <c r="M645" s="7">
        <f t="shared" si="55"/>
        <v>-0.87086291025025275</v>
      </c>
    </row>
    <row r="646" spans="6:13" ht="18.75" customHeight="1">
      <c r="F646" s="1">
        <v>41000</v>
      </c>
      <c r="G646">
        <f t="shared" si="52"/>
        <v>4</v>
      </c>
      <c r="H646" s="7">
        <v>396.43</v>
      </c>
      <c r="I646" s="7">
        <f t="shared" si="51"/>
        <v>394.0420869436777</v>
      </c>
      <c r="J646" s="7">
        <f t="shared" si="53"/>
        <v>2.3879130563223043</v>
      </c>
      <c r="K646" s="7" cm="1">
        <f t="array" ref="K646">INDEX(Sm,G646)</f>
        <v>2.6099183412742755</v>
      </c>
      <c r="L646" s="7">
        <f t="shared" si="54"/>
        <v>396.652005284952</v>
      </c>
      <c r="M646" s="7">
        <f t="shared" si="55"/>
        <v>-0.22200528495199023</v>
      </c>
    </row>
    <row r="647" spans="6:13" ht="18.75" customHeight="1">
      <c r="F647" s="1">
        <v>41030</v>
      </c>
      <c r="G647">
        <f t="shared" si="52"/>
        <v>5</v>
      </c>
      <c r="H647" s="7">
        <v>396.87</v>
      </c>
      <c r="I647" s="7">
        <f t="shared" si="51"/>
        <v>394.22090636751585</v>
      </c>
      <c r="J647" s="7">
        <f t="shared" si="53"/>
        <v>2.6490936324841527</v>
      </c>
      <c r="K647" s="7" cm="1">
        <f t="array" ref="K647">INDEX(Sm,G647)</f>
        <v>3.065291801195754</v>
      </c>
      <c r="L647" s="7">
        <f t="shared" si="54"/>
        <v>397.28619816871162</v>
      </c>
      <c r="M647" s="7">
        <f t="shared" si="55"/>
        <v>-0.41619816871161674</v>
      </c>
    </row>
    <row r="648" spans="6:13" ht="18.75" customHeight="1">
      <c r="F648" s="1">
        <v>41061</v>
      </c>
      <c r="G648">
        <f t="shared" si="52"/>
        <v>6</v>
      </c>
      <c r="H648" s="7">
        <v>395.88</v>
      </c>
      <c r="I648" s="7">
        <f t="shared" si="51"/>
        <v>394.40587184627987</v>
      </c>
      <c r="J648" s="7">
        <f t="shared" si="53"/>
        <v>1.4741281537201303</v>
      </c>
      <c r="K648" s="7" cm="1">
        <f t="array" ref="K648">INDEX(Sm,G648)</f>
        <v>2.3463851222642056</v>
      </c>
      <c r="L648" s="7">
        <f t="shared" si="54"/>
        <v>396.75225696854409</v>
      </c>
      <c r="M648" s="7">
        <f t="shared" si="55"/>
        <v>-0.87225696854409307</v>
      </c>
    </row>
    <row r="649" spans="6:13" ht="18.75" customHeight="1">
      <c r="F649" s="1">
        <v>41091</v>
      </c>
      <c r="G649">
        <f t="shared" si="52"/>
        <v>7</v>
      </c>
      <c r="H649" s="7">
        <v>394.52</v>
      </c>
      <c r="I649" s="7">
        <f t="shared" si="51"/>
        <v>394.58505012327544</v>
      </c>
      <c r="J649" s="7">
        <f t="shared" si="53"/>
        <v>-6.5050123275455007E-2</v>
      </c>
      <c r="K649" s="7" cm="1">
        <f t="array" ref="K649">INDEX(Sm,G649)</f>
        <v>0.72334113060077332</v>
      </c>
      <c r="L649" s="7">
        <f t="shared" si="54"/>
        <v>395.30839125387621</v>
      </c>
      <c r="M649" s="7">
        <f t="shared" si="55"/>
        <v>-0.78839125387622744</v>
      </c>
    </row>
    <row r="650" spans="6:13" ht="18.75" customHeight="1">
      <c r="F650" s="1">
        <v>41122</v>
      </c>
      <c r="G650">
        <f t="shared" si="52"/>
        <v>8</v>
      </c>
      <c r="H650" s="7">
        <v>392.54</v>
      </c>
      <c r="I650" s="7">
        <f t="shared" si="51"/>
        <v>394.77038641696885</v>
      </c>
      <c r="J650" s="7">
        <f t="shared" si="53"/>
        <v>-2.2303864169688268</v>
      </c>
      <c r="K650" s="7" cm="1">
        <f t="array" ref="K650">INDEX(Sm,G650)</f>
        <v>-1.3975570061157723</v>
      </c>
      <c r="L650" s="7">
        <f t="shared" si="54"/>
        <v>393.37282941085306</v>
      </c>
      <c r="M650" s="7">
        <f t="shared" si="55"/>
        <v>-0.83282941085303719</v>
      </c>
    </row>
    <row r="651" spans="6:13" ht="18.75" customHeight="1">
      <c r="F651" s="1">
        <v>41153</v>
      </c>
      <c r="G651">
        <f t="shared" si="52"/>
        <v>9</v>
      </c>
      <c r="H651" s="7">
        <v>391.13</v>
      </c>
      <c r="I651" s="7">
        <f t="shared" si="51"/>
        <v>394.9559111575935</v>
      </c>
      <c r="J651" s="7">
        <f t="shared" si="53"/>
        <v>-3.8259111575935094</v>
      </c>
      <c r="K651" s="7" cm="1">
        <f t="array" ref="K651">INDEX(Sm,G651)</f>
        <v>-3.1934822994410497</v>
      </c>
      <c r="L651" s="7">
        <f t="shared" si="54"/>
        <v>391.76242885815248</v>
      </c>
      <c r="M651" s="7">
        <f t="shared" si="55"/>
        <v>-0.63242885815247973</v>
      </c>
    </row>
    <row r="652" spans="6:13" ht="18.75" customHeight="1">
      <c r="F652" s="1">
        <v>41183</v>
      </c>
      <c r="G652">
        <f t="shared" si="52"/>
        <v>10</v>
      </c>
      <c r="H652" s="7">
        <v>391.01</v>
      </c>
      <c r="I652" s="7">
        <f t="shared" si="51"/>
        <v>395.13563065574454</v>
      </c>
      <c r="J652" s="7">
        <f t="shared" si="53"/>
        <v>-4.1256306557445441</v>
      </c>
      <c r="K652" s="7" cm="1">
        <f t="array" ref="K652">INDEX(Sm,G652)</f>
        <v>-3.3368150874962788</v>
      </c>
      <c r="L652" s="7">
        <f t="shared" si="54"/>
        <v>391.79881556824824</v>
      </c>
      <c r="M652" s="7">
        <f t="shared" si="55"/>
        <v>-0.78881556824825338</v>
      </c>
    </row>
    <row r="653" spans="6:13" ht="18.75" customHeight="1">
      <c r="F653" s="1">
        <v>41214</v>
      </c>
      <c r="G653">
        <f t="shared" si="52"/>
        <v>11</v>
      </c>
      <c r="H653" s="7">
        <v>392.95</v>
      </c>
      <c r="I653" s="7">
        <f t="shared" si="51"/>
        <v>395.32152621129859</v>
      </c>
      <c r="J653" s="7">
        <f t="shared" si="53"/>
        <v>-2.3715262112986011</v>
      </c>
      <c r="K653" s="7" cm="1">
        <f t="array" ref="K653">INDEX(Sm,G653)</f>
        <v>-2.0591623324975612</v>
      </c>
      <c r="L653" s="7">
        <f t="shared" si="54"/>
        <v>393.26236387880101</v>
      </c>
      <c r="M653" s="7">
        <f t="shared" si="55"/>
        <v>-0.31236387880102257</v>
      </c>
    </row>
    <row r="654" spans="6:13" ht="18.75" customHeight="1">
      <c r="F654" s="1">
        <v>41244</v>
      </c>
      <c r="G654">
        <f t="shared" si="52"/>
        <v>12</v>
      </c>
      <c r="H654" s="7">
        <v>394.33</v>
      </c>
      <c r="I654" s="7">
        <f t="shared" si="51"/>
        <v>395.50160456260699</v>
      </c>
      <c r="J654" s="7">
        <f t="shared" si="53"/>
        <v>-1.1716045626070013</v>
      </c>
      <c r="K654" s="7" cm="1">
        <f t="array" ref="K654">INDEX(Sm,G654)</f>
        <v>-0.89132446529561371</v>
      </c>
      <c r="L654" s="7">
        <f t="shared" si="54"/>
        <v>394.61028009731137</v>
      </c>
      <c r="M654" s="7">
        <f t="shared" si="55"/>
        <v>-0.28028009731139036</v>
      </c>
    </row>
    <row r="655" spans="6:13" ht="18.75" customHeight="1">
      <c r="F655" s="1">
        <v>41275</v>
      </c>
      <c r="G655">
        <f t="shared" si="52"/>
        <v>1</v>
      </c>
      <c r="H655" s="7">
        <v>395.61</v>
      </c>
      <c r="I655" s="7">
        <f t="shared" si="51"/>
        <v>395.68787093309038</v>
      </c>
      <c r="J655" s="7">
        <f t="shared" si="53"/>
        <v>-7.7870933090366634E-2</v>
      </c>
      <c r="K655" s="7" cm="1">
        <f t="array" ref="K655">INDEX(Sm,G655)</f>
        <v>6.1040869584970889E-2</v>
      </c>
      <c r="L655" s="7">
        <f t="shared" si="54"/>
        <v>395.74891180267537</v>
      </c>
      <c r="M655" s="7">
        <f t="shared" si="55"/>
        <v>-0.13891180267535219</v>
      </c>
    </row>
    <row r="656" spans="6:13" ht="18.75" customHeight="1">
      <c r="F656" s="1">
        <v>41306</v>
      </c>
      <c r="G656">
        <f t="shared" si="52"/>
        <v>2</v>
      </c>
      <c r="H656" s="7">
        <v>396.85</v>
      </c>
      <c r="I656" s="7">
        <f t="shared" si="51"/>
        <v>395.87432575050502</v>
      </c>
      <c r="J656" s="7">
        <f t="shared" si="53"/>
        <v>0.97567424949500037</v>
      </c>
      <c r="K656" s="7" cm="1">
        <f t="array" ref="K656">INDEX(Sm,G656)</f>
        <v>0.69421564520236412</v>
      </c>
      <c r="L656" s="7">
        <f t="shared" si="54"/>
        <v>396.56854139570737</v>
      </c>
      <c r="M656" s="7">
        <f t="shared" si="55"/>
        <v>0.28145860429265213</v>
      </c>
    </row>
    <row r="657" spans="6:13" ht="18.75" customHeight="1">
      <c r="F657" s="1">
        <v>41334</v>
      </c>
      <c r="G657">
        <f t="shared" si="52"/>
        <v>3</v>
      </c>
      <c r="H657" s="7">
        <v>397.26</v>
      </c>
      <c r="I657" s="7">
        <f t="shared" si="51"/>
        <v>396.04289852748855</v>
      </c>
      <c r="J657" s="7">
        <f t="shared" si="53"/>
        <v>1.2171014725114446</v>
      </c>
      <c r="K657" s="7" cm="1">
        <f t="array" ref="K657">INDEX(Sm,G657)</f>
        <v>1.3733706304072995</v>
      </c>
      <c r="L657" s="7">
        <f t="shared" si="54"/>
        <v>397.41626915789584</v>
      </c>
      <c r="M657" s="7">
        <f t="shared" si="55"/>
        <v>-0.15626915789584928</v>
      </c>
    </row>
    <row r="658" spans="6:13" ht="18.75" customHeight="1">
      <c r="F658" s="1">
        <v>41365</v>
      </c>
      <c r="G658">
        <f t="shared" si="52"/>
        <v>4</v>
      </c>
      <c r="H658" s="7">
        <v>398.35</v>
      </c>
      <c r="I658" s="7">
        <f t="shared" si="51"/>
        <v>396.22971200196605</v>
      </c>
      <c r="J658" s="7">
        <f t="shared" si="53"/>
        <v>2.1202879980339731</v>
      </c>
      <c r="K658" s="7" cm="1">
        <f t="array" ref="K658">INDEX(Sm,G658)</f>
        <v>2.6099183412742755</v>
      </c>
      <c r="L658" s="7">
        <f t="shared" si="54"/>
        <v>398.83963034324034</v>
      </c>
      <c r="M658" s="7">
        <f t="shared" si="55"/>
        <v>-0.48963034324032151</v>
      </c>
    </row>
    <row r="659" spans="6:13" ht="18.75" customHeight="1">
      <c r="F659" s="1">
        <v>41395</v>
      </c>
      <c r="G659">
        <f t="shared" si="52"/>
        <v>5</v>
      </c>
      <c r="H659" s="7">
        <v>399.98</v>
      </c>
      <c r="I659" s="7">
        <f t="shared" si="51"/>
        <v>396.41067866191003</v>
      </c>
      <c r="J659" s="7">
        <f t="shared" si="53"/>
        <v>3.569321338089992</v>
      </c>
      <c r="K659" s="7" cm="1">
        <f t="array" ref="K659">INDEX(Sm,G659)</f>
        <v>3.065291801195754</v>
      </c>
      <c r="L659" s="7">
        <f t="shared" si="54"/>
        <v>399.4759704631058</v>
      </c>
      <c r="M659" s="7">
        <f t="shared" si="55"/>
        <v>0.50402953689422247</v>
      </c>
    </row>
    <row r="660" spans="6:13" ht="18.75" customHeight="1">
      <c r="F660" s="1">
        <v>41426</v>
      </c>
      <c r="G660">
        <f t="shared" si="52"/>
        <v>6</v>
      </c>
      <c r="H660" s="7">
        <v>398.87</v>
      </c>
      <c r="I660" s="7">
        <f t="shared" si="51"/>
        <v>396.59786295131687</v>
      </c>
      <c r="J660" s="7">
        <f t="shared" si="53"/>
        <v>2.2721370486831347</v>
      </c>
      <c r="K660" s="7" cm="1">
        <f t="array" ref="K660">INDEX(Sm,G660)</f>
        <v>2.3463851222642056</v>
      </c>
      <c r="L660" s="7">
        <f t="shared" si="54"/>
        <v>398.94424807358109</v>
      </c>
      <c r="M660" s="7">
        <f t="shared" si="55"/>
        <v>-7.4248073581088647E-2</v>
      </c>
    </row>
    <row r="661" spans="6:13" ht="18.75" customHeight="1">
      <c r="F661" s="1">
        <v>41456</v>
      </c>
      <c r="G661">
        <f t="shared" si="52"/>
        <v>7</v>
      </c>
      <c r="H661" s="7">
        <v>397.37</v>
      </c>
      <c r="I661" s="7">
        <f t="shared" si="51"/>
        <v>396.77918846441827</v>
      </c>
      <c r="J661" s="7">
        <f t="shared" si="53"/>
        <v>0.59081153558173582</v>
      </c>
      <c r="K661" s="7" cm="1">
        <f t="array" ref="K661">INDEX(Sm,G661)</f>
        <v>0.72334113060077332</v>
      </c>
      <c r="L661" s="7">
        <f t="shared" si="54"/>
        <v>397.50252959501904</v>
      </c>
      <c r="M661" s="7">
        <f t="shared" si="55"/>
        <v>-0.13252959501903661</v>
      </c>
    </row>
    <row r="662" spans="6:13" ht="18.75" customHeight="1">
      <c r="F662" s="1">
        <v>41487</v>
      </c>
      <c r="G662">
        <f t="shared" si="52"/>
        <v>8</v>
      </c>
      <c r="H662" s="7">
        <v>395.41</v>
      </c>
      <c r="I662" s="7">
        <f t="shared" si="51"/>
        <v>396.96674356875434</v>
      </c>
      <c r="J662" s="7">
        <f t="shared" si="53"/>
        <v>-1.5567435687543139</v>
      </c>
      <c r="K662" s="7" cm="1">
        <f t="array" ref="K662">INDEX(Sm,G662)</f>
        <v>-1.3975570061157723</v>
      </c>
      <c r="L662" s="7">
        <f t="shared" si="54"/>
        <v>395.56918656263855</v>
      </c>
      <c r="M662" s="7">
        <f t="shared" si="55"/>
        <v>-0.15918656263852426</v>
      </c>
    </row>
    <row r="663" spans="6:13" ht="18.75" customHeight="1">
      <c r="F663" s="1">
        <v>41518</v>
      </c>
      <c r="G663">
        <f t="shared" si="52"/>
        <v>9</v>
      </c>
      <c r="H663" s="7">
        <v>393.39</v>
      </c>
      <c r="I663" s="7">
        <f t="shared" si="51"/>
        <v>397.15448712002183</v>
      </c>
      <c r="J663" s="7">
        <f t="shared" si="53"/>
        <v>-3.7644871200218404</v>
      </c>
      <c r="K663" s="7" cm="1">
        <f t="array" ref="K663">INDEX(Sm,G663)</f>
        <v>-3.1934822994410497</v>
      </c>
      <c r="L663" s="7">
        <f t="shared" si="54"/>
        <v>393.9610048205808</v>
      </c>
      <c r="M663" s="7">
        <f t="shared" si="55"/>
        <v>-0.5710048205808107</v>
      </c>
    </row>
    <row r="664" spans="6:13" ht="18.75" customHeight="1">
      <c r="F664" s="1">
        <v>41548</v>
      </c>
      <c r="G664">
        <f t="shared" si="52"/>
        <v>10</v>
      </c>
      <c r="H664" s="7">
        <v>393.7</v>
      </c>
      <c r="I664" s="7">
        <f t="shared" si="51"/>
        <v>397.33635385427868</v>
      </c>
      <c r="J664" s="7">
        <f t="shared" si="53"/>
        <v>-3.6363538542786955</v>
      </c>
      <c r="K664" s="7" cm="1">
        <f t="array" ref="K664">INDEX(Sm,G664)</f>
        <v>-3.3368150874962788</v>
      </c>
      <c r="L664" s="7">
        <f t="shared" si="54"/>
        <v>393.99953876678239</v>
      </c>
      <c r="M664" s="7">
        <f t="shared" si="55"/>
        <v>-0.29953876678240476</v>
      </c>
    </row>
    <row r="665" spans="6:13" ht="18.75" customHeight="1">
      <c r="F665" s="1">
        <v>41579</v>
      </c>
      <c r="G665">
        <f t="shared" si="52"/>
        <v>11</v>
      </c>
      <c r="H665" s="7">
        <v>395.19</v>
      </c>
      <c r="I665" s="7">
        <f t="shared" si="51"/>
        <v>397.52446822047546</v>
      </c>
      <c r="J665" s="7">
        <f t="shared" si="53"/>
        <v>-2.3344682204754577</v>
      </c>
      <c r="K665" s="7" cm="1">
        <f t="array" ref="K665">INDEX(Sm,G665)</f>
        <v>-2.0591623324975612</v>
      </c>
      <c r="L665" s="7">
        <f t="shared" si="54"/>
        <v>395.46530588797788</v>
      </c>
      <c r="M665" s="7">
        <f t="shared" si="55"/>
        <v>-0.27530588797787914</v>
      </c>
    </row>
    <row r="666" spans="6:13" ht="18.75" customHeight="1">
      <c r="F666" s="1">
        <v>41609</v>
      </c>
      <c r="G666">
        <f t="shared" si="52"/>
        <v>12</v>
      </c>
      <c r="H666" s="7">
        <v>396.82</v>
      </c>
      <c r="I666" s="7">
        <f t="shared" si="51"/>
        <v>397.70669380788974</v>
      </c>
      <c r="J666" s="7">
        <f t="shared" si="53"/>
        <v>-0.88669380788974195</v>
      </c>
      <c r="K666" s="7" cm="1">
        <f t="array" ref="K666">INDEX(Sm,G666)</f>
        <v>-0.89132446529561371</v>
      </c>
      <c r="L666" s="7">
        <f t="shared" si="54"/>
        <v>396.81536934259412</v>
      </c>
      <c r="M666" s="7">
        <f t="shared" si="55"/>
        <v>4.6306574058689876E-3</v>
      </c>
    </row>
    <row r="667" spans="6:13" ht="18.75" customHeight="1">
      <c r="F667" s="1">
        <v>41640</v>
      </c>
      <c r="G667">
        <f t="shared" si="52"/>
        <v>1</v>
      </c>
      <c r="H667" s="7">
        <v>397.93</v>
      </c>
      <c r="I667" s="7">
        <f t="shared" si="51"/>
        <v>397.89517898901585</v>
      </c>
      <c r="J667" s="7">
        <f t="shared" si="53"/>
        <v>3.4821010984160239E-2</v>
      </c>
      <c r="K667" s="7" cm="1">
        <f t="array" ref="K667">INDEX(Sm,G667)</f>
        <v>6.1040869584970889E-2</v>
      </c>
      <c r="L667" s="7">
        <f t="shared" si="54"/>
        <v>397.95621985860083</v>
      </c>
      <c r="M667" s="7">
        <f t="shared" si="55"/>
        <v>-2.6219858600825319E-2</v>
      </c>
    </row>
    <row r="668" spans="6:13" ht="18.75" customHeight="1">
      <c r="F668" s="1">
        <v>41671</v>
      </c>
      <c r="G668">
        <f t="shared" si="52"/>
        <v>2</v>
      </c>
      <c r="H668" s="7">
        <v>398.1</v>
      </c>
      <c r="I668" s="7">
        <f t="shared" si="51"/>
        <v>398.08385261707321</v>
      </c>
      <c r="J668" s="7">
        <f t="shared" si="53"/>
        <v>1.61473829268175E-2</v>
      </c>
      <c r="K668" s="7" cm="1">
        <f t="array" ref="K668">INDEX(Sm,G668)</f>
        <v>0.69421564520236412</v>
      </c>
      <c r="L668" s="7">
        <f t="shared" si="54"/>
        <v>398.77806826227555</v>
      </c>
      <c r="M668" s="7">
        <f t="shared" si="55"/>
        <v>-0.67806826227553074</v>
      </c>
    </row>
    <row r="669" spans="6:13" ht="18.75" customHeight="1">
      <c r="F669" s="1">
        <v>41699</v>
      </c>
      <c r="G669">
        <f t="shared" si="52"/>
        <v>3</v>
      </c>
      <c r="H669" s="7">
        <v>399.47</v>
      </c>
      <c r="I669" s="7">
        <f t="shared" si="51"/>
        <v>398.25442948108889</v>
      </c>
      <c r="J669" s="7">
        <f t="shared" si="53"/>
        <v>1.2155705189111359</v>
      </c>
      <c r="K669" s="7" cm="1">
        <f t="array" ref="K669">INDEX(Sm,G669)</f>
        <v>1.3733706304072995</v>
      </c>
      <c r="L669" s="7">
        <f t="shared" si="54"/>
        <v>399.62780011149619</v>
      </c>
      <c r="M669" s="7">
        <f t="shared" si="55"/>
        <v>-0.15780011149615802</v>
      </c>
    </row>
    <row r="670" spans="6:13" ht="18.75" customHeight="1">
      <c r="F670" s="1">
        <v>41730</v>
      </c>
      <c r="G670">
        <f t="shared" si="52"/>
        <v>4</v>
      </c>
      <c r="H670" s="7">
        <v>401.33</v>
      </c>
      <c r="I670" s="7">
        <f t="shared" si="51"/>
        <v>398.44346176620911</v>
      </c>
      <c r="J670" s="7">
        <f t="shared" si="53"/>
        <v>2.8865382337908727</v>
      </c>
      <c r="K670" s="7" cm="1">
        <f t="array" ref="K670">INDEX(Sm,G670)</f>
        <v>2.6099183412742755</v>
      </c>
      <c r="L670" s="7">
        <f t="shared" si="54"/>
        <v>401.05338010748341</v>
      </c>
      <c r="M670" s="7">
        <f t="shared" si="55"/>
        <v>0.27661989251657815</v>
      </c>
    </row>
    <row r="671" spans="6:13" ht="18.75" customHeight="1">
      <c r="F671" s="1">
        <v>41760</v>
      </c>
      <c r="G671">
        <f t="shared" si="52"/>
        <v>5</v>
      </c>
      <c r="H671" s="7">
        <v>401.88</v>
      </c>
      <c r="I671" s="7">
        <f t="shared" si="51"/>
        <v>398.62657566225897</v>
      </c>
      <c r="J671" s="7">
        <f t="shared" si="53"/>
        <v>3.2534243377410235</v>
      </c>
      <c r="K671" s="7" cm="1">
        <f t="array" ref="K671">INDEX(Sm,G671)</f>
        <v>3.065291801195754</v>
      </c>
      <c r="L671" s="7">
        <f t="shared" si="54"/>
        <v>401.69186746345474</v>
      </c>
      <c r="M671" s="7">
        <f t="shared" si="55"/>
        <v>0.18813253654525397</v>
      </c>
    </row>
    <row r="672" spans="6:13" ht="18.75" customHeight="1">
      <c r="F672" s="1">
        <v>41791</v>
      </c>
      <c r="G672">
        <f t="shared" si="52"/>
        <v>6</v>
      </c>
      <c r="H672" s="7">
        <v>401.31</v>
      </c>
      <c r="I672" s="7">
        <f t="shared" si="51"/>
        <v>398.81597876230848</v>
      </c>
      <c r="J672" s="7">
        <f t="shared" si="53"/>
        <v>2.4940212376915269</v>
      </c>
      <c r="K672" s="7" cm="1">
        <f t="array" ref="K672">INDEX(Sm,G672)</f>
        <v>2.3463851222642056</v>
      </c>
      <c r="L672" s="7">
        <f t="shared" si="54"/>
        <v>401.1623638845727</v>
      </c>
      <c r="M672" s="7">
        <f t="shared" si="55"/>
        <v>0.14763611542730359</v>
      </c>
    </row>
    <row r="673" spans="6:13" ht="18.75" customHeight="1">
      <c r="F673" s="1">
        <v>41821</v>
      </c>
      <c r="G673">
        <f t="shared" si="52"/>
        <v>7</v>
      </c>
      <c r="H673" s="7">
        <v>399.07</v>
      </c>
      <c r="I673" s="7">
        <f t="shared" si="51"/>
        <v>398.99945151151576</v>
      </c>
      <c r="J673" s="7">
        <f t="shared" si="53"/>
        <v>7.0548488484234895E-2</v>
      </c>
      <c r="K673" s="7" cm="1">
        <f t="array" ref="K673">INDEX(Sm,G673)</f>
        <v>0.72334113060077332</v>
      </c>
      <c r="L673" s="7">
        <f t="shared" si="54"/>
        <v>399.72279264211653</v>
      </c>
      <c r="M673" s="7">
        <f t="shared" si="55"/>
        <v>-0.65279264211653754</v>
      </c>
    </row>
    <row r="674" spans="6:13" ht="18.75" customHeight="1">
      <c r="F674" s="1">
        <v>41852</v>
      </c>
      <c r="G674">
        <f t="shared" si="52"/>
        <v>8</v>
      </c>
      <c r="H674" s="7">
        <v>397.21</v>
      </c>
      <c r="I674" s="7">
        <f t="shared" si="51"/>
        <v>399.18922542649466</v>
      </c>
      <c r="J674" s="7">
        <f t="shared" si="53"/>
        <v>-1.9792254264946791</v>
      </c>
      <c r="K674" s="7" cm="1">
        <f t="array" ref="K674">INDEX(Sm,G674)</f>
        <v>-1.3975570061157723</v>
      </c>
      <c r="L674" s="7">
        <f t="shared" si="54"/>
        <v>397.79166842037887</v>
      </c>
      <c r="M674" s="7">
        <f t="shared" si="55"/>
        <v>-0.58166842037888955</v>
      </c>
    </row>
    <row r="675" spans="6:13" ht="18.75" customHeight="1">
      <c r="F675" s="1">
        <v>41883</v>
      </c>
      <c r="G675">
        <f t="shared" si="52"/>
        <v>9</v>
      </c>
      <c r="H675" s="7">
        <v>395.4</v>
      </c>
      <c r="I675" s="7">
        <f t="shared" si="51"/>
        <v>399.37918778840481</v>
      </c>
      <c r="J675" s="7">
        <f t="shared" si="53"/>
        <v>-3.979187788404829</v>
      </c>
      <c r="K675" s="7" cm="1">
        <f t="array" ref="K675">INDEX(Sm,G675)</f>
        <v>-3.1934822994410497</v>
      </c>
      <c r="L675" s="7">
        <f t="shared" si="54"/>
        <v>396.18570548896378</v>
      </c>
      <c r="M675" s="7">
        <f t="shared" si="55"/>
        <v>-0.78570548896379933</v>
      </c>
    </row>
    <row r="676" spans="6:13" ht="18.75" customHeight="1">
      <c r="F676" s="1">
        <v>41913</v>
      </c>
      <c r="G676">
        <f t="shared" si="52"/>
        <v>10</v>
      </c>
      <c r="H676" s="7">
        <v>395.65</v>
      </c>
      <c r="I676" s="7">
        <f t="shared" si="51"/>
        <v>399.56320175876749</v>
      </c>
      <c r="J676" s="7">
        <f t="shared" si="53"/>
        <v>-3.9132017587675136</v>
      </c>
      <c r="K676" s="7" cm="1">
        <f t="array" ref="K676">INDEX(Sm,G676)</f>
        <v>-3.3368150874962788</v>
      </c>
      <c r="L676" s="7">
        <f t="shared" si="54"/>
        <v>396.2263866712712</v>
      </c>
      <c r="M676" s="7">
        <f t="shared" si="55"/>
        <v>-0.57638667127122289</v>
      </c>
    </row>
    <row r="677" spans="6:13" ht="18.75" customHeight="1">
      <c r="F677" s="1">
        <v>41944</v>
      </c>
      <c r="G677">
        <f t="shared" si="52"/>
        <v>11</v>
      </c>
      <c r="H677" s="7">
        <v>397.23</v>
      </c>
      <c r="I677" s="7">
        <f t="shared" si="51"/>
        <v>399.75353493560704</v>
      </c>
      <c r="J677" s="7">
        <f t="shared" si="53"/>
        <v>-2.5235349356070174</v>
      </c>
      <c r="K677" s="7" cm="1">
        <f t="array" ref="K677">INDEX(Sm,G677)</f>
        <v>-2.0591623324975612</v>
      </c>
      <c r="L677" s="7">
        <f t="shared" si="54"/>
        <v>397.69437260310946</v>
      </c>
      <c r="M677" s="7">
        <f t="shared" si="55"/>
        <v>-0.46437260310943884</v>
      </c>
    </row>
    <row r="678" spans="6:13" ht="18.75" customHeight="1">
      <c r="F678" s="1">
        <v>41974</v>
      </c>
      <c r="G678">
        <f t="shared" si="52"/>
        <v>12</v>
      </c>
      <c r="H678" s="7">
        <v>398.79</v>
      </c>
      <c r="I678" s="7">
        <f t="shared" si="51"/>
        <v>399.93790775912714</v>
      </c>
      <c r="J678" s="7">
        <f t="shared" si="53"/>
        <v>-1.1479077591271221</v>
      </c>
      <c r="K678" s="7" cm="1">
        <f t="array" ref="K678">INDEX(Sm,G678)</f>
        <v>-0.89132446529561371</v>
      </c>
      <c r="L678" s="7">
        <f t="shared" si="54"/>
        <v>399.04658329383153</v>
      </c>
      <c r="M678" s="7">
        <f t="shared" si="55"/>
        <v>-0.25658329383151113</v>
      </c>
    </row>
    <row r="679" spans="6:13" ht="18.75" customHeight="1">
      <c r="F679" s="1">
        <v>42005</v>
      </c>
      <c r="G679">
        <f t="shared" si="52"/>
        <v>1</v>
      </c>
      <c r="H679" s="7">
        <v>399.85</v>
      </c>
      <c r="I679" s="7">
        <f t="shared" si="51"/>
        <v>400.12861175089597</v>
      </c>
      <c r="J679" s="7">
        <f t="shared" si="53"/>
        <v>-0.27861175089594781</v>
      </c>
      <c r="K679" s="7" cm="1">
        <f t="array" ref="K679">INDEX(Sm,G679)</f>
        <v>6.1040869584970889E-2</v>
      </c>
      <c r="L679" s="7">
        <f t="shared" si="54"/>
        <v>400.18965262048096</v>
      </c>
      <c r="M679" s="7">
        <f t="shared" si="55"/>
        <v>-0.33965262048093336</v>
      </c>
    </row>
    <row r="680" spans="6:13" ht="18.75" customHeight="1">
      <c r="F680" s="1">
        <v>42036</v>
      </c>
      <c r="G680">
        <f t="shared" si="52"/>
        <v>2</v>
      </c>
      <c r="H680" s="7">
        <v>400.31</v>
      </c>
      <c r="I680" s="7">
        <f t="shared" si="51"/>
        <v>400.31950418959616</v>
      </c>
      <c r="J680" s="7">
        <f t="shared" si="53"/>
        <v>-9.5041895961571754E-3</v>
      </c>
      <c r="K680" s="7" cm="1">
        <f t="array" ref="K680">INDEX(Sm,G680)</f>
        <v>0.69421564520236412</v>
      </c>
      <c r="L680" s="7">
        <f t="shared" si="54"/>
        <v>401.01371983479851</v>
      </c>
      <c r="M680" s="7">
        <f t="shared" si="55"/>
        <v>-0.70371983479850542</v>
      </c>
    </row>
    <row r="681" spans="6:13" ht="18.75" customHeight="1">
      <c r="F681" s="1">
        <v>42064</v>
      </c>
      <c r="G681">
        <f t="shared" si="52"/>
        <v>3</v>
      </c>
      <c r="H681" s="7">
        <v>401.51</v>
      </c>
      <c r="I681" s="7">
        <f t="shared" si="51"/>
        <v>400.49208514064395</v>
      </c>
      <c r="J681" s="7">
        <f t="shared" si="53"/>
        <v>1.0179148593560399</v>
      </c>
      <c r="K681" s="7" cm="1">
        <f t="array" ref="K681">INDEX(Sm,G681)</f>
        <v>1.3733706304072995</v>
      </c>
      <c r="L681" s="7">
        <f t="shared" si="54"/>
        <v>401.86545577105124</v>
      </c>
      <c r="M681" s="7">
        <f t="shared" si="55"/>
        <v>-0.35545577105125403</v>
      </c>
    </row>
    <row r="682" spans="6:13" ht="18.75" customHeight="1">
      <c r="F682" s="1">
        <v>42095</v>
      </c>
      <c r="G682">
        <f t="shared" si="52"/>
        <v>4</v>
      </c>
      <c r="H682" s="7">
        <v>403.45</v>
      </c>
      <c r="I682" s="7">
        <f t="shared" si="51"/>
        <v>400.68333623640683</v>
      </c>
      <c r="J682" s="7">
        <f t="shared" si="53"/>
        <v>2.7666637635931579</v>
      </c>
      <c r="K682" s="7" cm="1">
        <f t="array" ref="K682">INDEX(Sm,G682)</f>
        <v>2.6099183412742755</v>
      </c>
      <c r="L682" s="7">
        <f t="shared" si="54"/>
        <v>403.29325457768113</v>
      </c>
      <c r="M682" s="7">
        <f t="shared" si="55"/>
        <v>0.15674542231886335</v>
      </c>
    </row>
    <row r="683" spans="6:13" ht="18.75" customHeight="1">
      <c r="F683" s="1">
        <v>42125</v>
      </c>
      <c r="G683">
        <f t="shared" si="52"/>
        <v>5</v>
      </c>
      <c r="H683" s="7">
        <v>404.1</v>
      </c>
      <c r="I683" s="7">
        <f t="shared" si="51"/>
        <v>400.86859736856263</v>
      </c>
      <c r="J683" s="7">
        <f t="shared" si="53"/>
        <v>3.2314026314373905</v>
      </c>
      <c r="K683" s="7" cm="1">
        <f t="array" ref="K683">INDEX(Sm,G683)</f>
        <v>3.065291801195754</v>
      </c>
      <c r="L683" s="7">
        <f t="shared" si="54"/>
        <v>403.9338891697584</v>
      </c>
      <c r="M683" s="7">
        <f t="shared" si="55"/>
        <v>0.16611083024162099</v>
      </c>
    </row>
    <row r="684" spans="6:13" ht="18.75" customHeight="1">
      <c r="F684" s="1">
        <v>42156</v>
      </c>
      <c r="G684">
        <f t="shared" si="52"/>
        <v>6</v>
      </c>
      <c r="H684" s="7">
        <v>402.88</v>
      </c>
      <c r="I684" s="7">
        <f t="shared" si="51"/>
        <v>401.06021927925485</v>
      </c>
      <c r="J684" s="7">
        <f t="shared" si="53"/>
        <v>1.8197807207451433</v>
      </c>
      <c r="K684" s="7" cm="1">
        <f t="array" ref="K684">INDEX(Sm,G684)</f>
        <v>2.3463851222642056</v>
      </c>
      <c r="L684" s="7">
        <f t="shared" si="54"/>
        <v>403.40660440151908</v>
      </c>
      <c r="M684" s="7">
        <f t="shared" si="55"/>
        <v>-0.52660440151908006</v>
      </c>
    </row>
    <row r="685" spans="6:13" ht="18.75" customHeight="1">
      <c r="F685" s="1">
        <v>42186</v>
      </c>
      <c r="G685">
        <f t="shared" si="52"/>
        <v>7</v>
      </c>
      <c r="H685" s="7">
        <v>401.61</v>
      </c>
      <c r="I685" s="7">
        <f t="shared" si="51"/>
        <v>401.24583926456802</v>
      </c>
      <c r="J685" s="7">
        <f t="shared" si="53"/>
        <v>0.36416073543199445</v>
      </c>
      <c r="K685" s="7" cm="1">
        <f t="array" ref="K685">INDEX(Sm,G685)</f>
        <v>0.72334113060077332</v>
      </c>
      <c r="L685" s="7">
        <f t="shared" si="54"/>
        <v>401.96918039516879</v>
      </c>
      <c r="M685" s="7">
        <f t="shared" si="55"/>
        <v>-0.35918039516877798</v>
      </c>
    </row>
    <row r="686" spans="6:13" ht="18.75" customHeight="1">
      <c r="F686" s="1">
        <v>42217</v>
      </c>
      <c r="G686">
        <f t="shared" si="52"/>
        <v>8</v>
      </c>
      <c r="H686" s="7">
        <v>399</v>
      </c>
      <c r="I686" s="7">
        <f t="shared" si="51"/>
        <v>401.43783199018958</v>
      </c>
      <c r="J686" s="7">
        <f t="shared" si="53"/>
        <v>-2.4378319901895793</v>
      </c>
      <c r="K686" s="7" cm="1">
        <f t="array" ref="K686">INDEX(Sm,G686)</f>
        <v>-1.3975570061157723</v>
      </c>
      <c r="L686" s="7">
        <f t="shared" si="54"/>
        <v>400.04027498407379</v>
      </c>
      <c r="M686" s="7">
        <f t="shared" si="55"/>
        <v>-1.0402749840737897</v>
      </c>
    </row>
    <row r="687" spans="6:13" ht="18.75" customHeight="1">
      <c r="F687" s="1">
        <v>42248</v>
      </c>
      <c r="G687">
        <f t="shared" si="52"/>
        <v>9</v>
      </c>
      <c r="H687" s="7">
        <v>397.5</v>
      </c>
      <c r="I687" s="7">
        <f t="shared" si="51"/>
        <v>401.6300131627425</v>
      </c>
      <c r="J687" s="7">
        <f t="shared" si="53"/>
        <v>-4.1300131627425003</v>
      </c>
      <c r="K687" s="7" cm="1">
        <f t="array" ref="K687">INDEX(Sm,G687)</f>
        <v>-3.1934822994410497</v>
      </c>
      <c r="L687" s="7">
        <f t="shared" si="54"/>
        <v>398.43653086330147</v>
      </c>
      <c r="M687" s="7">
        <f t="shared" si="55"/>
        <v>-0.93653086330147062</v>
      </c>
    </row>
    <row r="688" spans="6:13" ht="18.75" customHeight="1">
      <c r="F688" s="1">
        <v>42278</v>
      </c>
      <c r="G688">
        <f t="shared" si="52"/>
        <v>10</v>
      </c>
      <c r="H688" s="7">
        <v>398.28</v>
      </c>
      <c r="I688" s="7">
        <f t="shared" si="51"/>
        <v>401.81617436921113</v>
      </c>
      <c r="J688" s="7">
        <f t="shared" si="53"/>
        <v>-3.5361743692111531</v>
      </c>
      <c r="K688" s="7" cm="1">
        <f t="array" ref="K688">INDEX(Sm,G688)</f>
        <v>-3.3368150874962788</v>
      </c>
      <c r="L688" s="7">
        <f t="shared" si="54"/>
        <v>398.47935928171484</v>
      </c>
      <c r="M688" s="7">
        <f t="shared" si="55"/>
        <v>-0.19935928171486239</v>
      </c>
    </row>
    <row r="689" spans="6:13" ht="18.75" customHeight="1">
      <c r="F689" s="1">
        <v>42309</v>
      </c>
      <c r="G689">
        <f t="shared" si="52"/>
        <v>11</v>
      </c>
      <c r="H689" s="7">
        <v>400.24</v>
      </c>
      <c r="I689" s="7">
        <f t="shared" si="51"/>
        <v>402.00872635669333</v>
      </c>
      <c r="J689" s="7">
        <f t="shared" si="53"/>
        <v>-1.7687263566933211</v>
      </c>
      <c r="K689" s="7" cm="1">
        <f t="array" ref="K689">INDEX(Sm,G689)</f>
        <v>-2.0591623324975612</v>
      </c>
      <c r="L689" s="7">
        <f t="shared" si="54"/>
        <v>399.94956402419575</v>
      </c>
      <c r="M689" s="7">
        <f t="shared" si="55"/>
        <v>0.2904359758042574</v>
      </c>
    </row>
    <row r="690" spans="6:13" ht="18.75" customHeight="1">
      <c r="F690" s="1">
        <v>42339</v>
      </c>
      <c r="G690">
        <f t="shared" si="52"/>
        <v>12</v>
      </c>
      <c r="H690" s="7">
        <v>401.89</v>
      </c>
      <c r="I690" s="7">
        <f t="shared" si="51"/>
        <v>402.19524641631938</v>
      </c>
      <c r="J690" s="7">
        <f t="shared" si="53"/>
        <v>-0.30524641631939176</v>
      </c>
      <c r="K690" s="7" cm="1">
        <f t="array" ref="K690">INDEX(Sm,G690)</f>
        <v>-0.89132446529561371</v>
      </c>
      <c r="L690" s="7">
        <f t="shared" si="54"/>
        <v>401.30392195102377</v>
      </c>
      <c r="M690" s="7">
        <f t="shared" si="55"/>
        <v>0.58607804897621918</v>
      </c>
    </row>
    <row r="691" spans="6:13" ht="18.75" customHeight="1">
      <c r="F691" s="1">
        <v>42370</v>
      </c>
      <c r="G691">
        <f t="shared" si="52"/>
        <v>1</v>
      </c>
      <c r="H691" s="7">
        <v>402.65</v>
      </c>
      <c r="I691" s="7">
        <f t="shared" si="51"/>
        <v>402.38816921873087</v>
      </c>
      <c r="J691" s="7">
        <f t="shared" si="53"/>
        <v>0.26183078126911141</v>
      </c>
      <c r="K691" s="7" cm="1">
        <f t="array" ref="K691">INDEX(Sm,G691)</f>
        <v>6.1040869584970889E-2</v>
      </c>
      <c r="L691" s="7">
        <f t="shared" si="54"/>
        <v>402.44921008831585</v>
      </c>
      <c r="M691" s="7">
        <f t="shared" si="55"/>
        <v>0.20078991168412585</v>
      </c>
    </row>
    <row r="692" spans="6:13" ht="18.75" customHeight="1">
      <c r="F692" s="1">
        <v>42401</v>
      </c>
      <c r="G692">
        <f t="shared" si="52"/>
        <v>2</v>
      </c>
      <c r="H692" s="7">
        <v>404.16</v>
      </c>
      <c r="I692" s="7">
        <f t="shared" si="51"/>
        <v>402.58128046807371</v>
      </c>
      <c r="J692" s="7">
        <f t="shared" si="53"/>
        <v>1.5787195319263105</v>
      </c>
      <c r="K692" s="7" cm="1">
        <f t="array" ref="K692">INDEX(Sm,G692)</f>
        <v>0.69421564520236412</v>
      </c>
      <c r="L692" s="7">
        <f t="shared" si="54"/>
        <v>403.27549611327606</v>
      </c>
      <c r="M692" s="7">
        <f t="shared" si="55"/>
        <v>0.8845038867239623</v>
      </c>
    </row>
    <row r="693" spans="6:13" ht="18.75" customHeight="1">
      <c r="F693" s="1">
        <v>42430</v>
      </c>
      <c r="G693">
        <f t="shared" si="52"/>
        <v>3</v>
      </c>
      <c r="H693" s="7">
        <v>404.85</v>
      </c>
      <c r="I693" s="7">
        <f t="shared" si="51"/>
        <v>402.76210352945714</v>
      </c>
      <c r="J693" s="7">
        <f t="shared" si="53"/>
        <v>2.0878964705428871</v>
      </c>
      <c r="K693" s="7" cm="1">
        <f t="array" ref="K693">INDEX(Sm,G693)</f>
        <v>1.3733706304072995</v>
      </c>
      <c r="L693" s="7">
        <f t="shared" si="54"/>
        <v>404.13547415986443</v>
      </c>
      <c r="M693" s="7">
        <f t="shared" si="55"/>
        <v>0.71452584013559317</v>
      </c>
    </row>
    <row r="694" spans="6:13" ht="18.75" customHeight="1">
      <c r="F694" s="1">
        <v>42461</v>
      </c>
      <c r="G694">
        <f t="shared" si="52"/>
        <v>4</v>
      </c>
      <c r="H694" s="7">
        <v>407.57</v>
      </c>
      <c r="I694" s="7">
        <f t="shared" si="51"/>
        <v>402.95557951479611</v>
      </c>
      <c r="J694" s="7">
        <f t="shared" si="53"/>
        <v>4.6144204852038797</v>
      </c>
      <c r="K694" s="7" cm="1">
        <f t="array" ref="K694">INDEX(Sm,G694)</f>
        <v>2.6099183412742755</v>
      </c>
      <c r="L694" s="7">
        <f t="shared" si="54"/>
        <v>405.56549785607041</v>
      </c>
      <c r="M694" s="7">
        <f t="shared" si="55"/>
        <v>2.0045021439295851</v>
      </c>
    </row>
    <row r="695" spans="6:13" ht="18.75" customHeight="1">
      <c r="F695" s="1">
        <v>42491</v>
      </c>
      <c r="G695">
        <f t="shared" si="52"/>
        <v>5</v>
      </c>
      <c r="H695" s="7">
        <v>407.66</v>
      </c>
      <c r="I695" s="7">
        <f t="shared" si="51"/>
        <v>403.14299376589628</v>
      </c>
      <c r="J695" s="7">
        <f t="shared" si="53"/>
        <v>4.5170062341037465</v>
      </c>
      <c r="K695" s="7" cm="1">
        <f t="array" ref="K695">INDEX(Sm,G695)</f>
        <v>3.065291801195754</v>
      </c>
      <c r="L695" s="7">
        <f t="shared" si="54"/>
        <v>406.20828556709205</v>
      </c>
      <c r="M695" s="7">
        <f t="shared" si="55"/>
        <v>1.451714432907977</v>
      </c>
    </row>
    <row r="696" spans="6:13" ht="18.75" customHeight="1">
      <c r="F696" s="1">
        <v>42522</v>
      </c>
      <c r="G696">
        <f t="shared" si="52"/>
        <v>6</v>
      </c>
      <c r="H696" s="7">
        <v>407</v>
      </c>
      <c r="I696" s="7">
        <f t="shared" si="51"/>
        <v>403.3368405661646</v>
      </c>
      <c r="J696" s="7">
        <f t="shared" si="53"/>
        <v>3.6631594338354034</v>
      </c>
      <c r="K696" s="7" cm="1">
        <f t="array" ref="K696">INDEX(Sm,G696)</f>
        <v>2.3463851222642056</v>
      </c>
      <c r="L696" s="7">
        <f t="shared" si="54"/>
        <v>405.68322568842882</v>
      </c>
      <c r="M696" s="7">
        <f t="shared" si="55"/>
        <v>1.3167743115711801</v>
      </c>
    </row>
    <row r="697" spans="6:13" ht="18.75" customHeight="1">
      <c r="F697" s="1">
        <v>42552</v>
      </c>
      <c r="G697">
        <f t="shared" si="52"/>
        <v>7</v>
      </c>
      <c r="H697" s="7">
        <v>404.5</v>
      </c>
      <c r="I697" s="7">
        <f t="shared" si="51"/>
        <v>403.52461367042224</v>
      </c>
      <c r="J697" s="7">
        <f t="shared" si="53"/>
        <v>0.97538632957775917</v>
      </c>
      <c r="K697" s="7" cm="1">
        <f t="array" ref="K697">INDEX(Sm,G697)</f>
        <v>0.72334113060077332</v>
      </c>
      <c r="L697" s="7">
        <f t="shared" si="54"/>
        <v>404.24795480102301</v>
      </c>
      <c r="M697" s="7">
        <f t="shared" si="55"/>
        <v>0.25204519897698674</v>
      </c>
    </row>
    <row r="698" spans="6:13" ht="18.75" customHeight="1">
      <c r="F698" s="1">
        <v>42583</v>
      </c>
      <c r="G698">
        <f t="shared" si="52"/>
        <v>8</v>
      </c>
      <c r="H698" s="7">
        <v>402.24</v>
      </c>
      <c r="I698" s="7">
        <f t="shared" si="51"/>
        <v>403.71883128561979</v>
      </c>
      <c r="J698" s="7">
        <f t="shared" si="53"/>
        <v>-1.4788312856197763</v>
      </c>
      <c r="K698" s="7" cm="1">
        <f t="array" ref="K698">INDEX(Sm,G698)</f>
        <v>-1.3975570061157723</v>
      </c>
      <c r="L698" s="7">
        <f t="shared" si="54"/>
        <v>402.321274279504</v>
      </c>
      <c r="M698" s="7">
        <f t="shared" si="55"/>
        <v>-8.1274279503986691E-2</v>
      </c>
    </row>
    <row r="699" spans="6:13" ht="18.75" customHeight="1">
      <c r="F699" s="1">
        <v>42614</v>
      </c>
      <c r="G699">
        <f t="shared" si="52"/>
        <v>9</v>
      </c>
      <c r="H699" s="7">
        <v>401.01</v>
      </c>
      <c r="I699" s="7">
        <f t="shared" si="51"/>
        <v>403.91323734774869</v>
      </c>
      <c r="J699" s="7">
        <f t="shared" si="53"/>
        <v>-2.9032373477486999</v>
      </c>
      <c r="K699" s="7" cm="1">
        <f t="array" ref="K699">INDEX(Sm,G699)</f>
        <v>-3.1934822994410497</v>
      </c>
      <c r="L699" s="7">
        <f t="shared" si="54"/>
        <v>400.71975504830766</v>
      </c>
      <c r="M699" s="7">
        <f t="shared" si="55"/>
        <v>0.29024495169232978</v>
      </c>
    </row>
    <row r="700" spans="6:13" ht="18.75" customHeight="1">
      <c r="F700" s="1">
        <v>42644</v>
      </c>
      <c r="G700">
        <f t="shared" si="52"/>
        <v>10</v>
      </c>
      <c r="H700" s="7">
        <v>401.5</v>
      </c>
      <c r="I700" s="7">
        <f t="shared" si="51"/>
        <v>404.10155167316185</v>
      </c>
      <c r="J700" s="7">
        <f t="shared" si="53"/>
        <v>-2.6015516731618504</v>
      </c>
      <c r="K700" s="7" cm="1">
        <f t="array" ref="K700">INDEX(Sm,G700)</f>
        <v>-3.3368150874962788</v>
      </c>
      <c r="L700" s="7">
        <f t="shared" si="54"/>
        <v>400.76473658566556</v>
      </c>
      <c r="M700" s="7">
        <f t="shared" si="55"/>
        <v>0.73526341433444031</v>
      </c>
    </row>
    <row r="701" spans="6:13" ht="18.75" customHeight="1">
      <c r="F701" s="1">
        <v>42675</v>
      </c>
      <c r="G701">
        <f t="shared" si="52"/>
        <v>11</v>
      </c>
      <c r="H701" s="7">
        <v>403.64</v>
      </c>
      <c r="I701" s="7">
        <f t="shared" si="51"/>
        <v>404.29632855022004</v>
      </c>
      <c r="J701" s="7">
        <f t="shared" si="53"/>
        <v>-0.65632855022005288</v>
      </c>
      <c r="K701" s="7" cm="1">
        <f t="array" ref="K701">INDEX(Sm,G701)</f>
        <v>-2.0591623324975612</v>
      </c>
      <c r="L701" s="7">
        <f t="shared" si="54"/>
        <v>402.23716621772246</v>
      </c>
      <c r="M701" s="7">
        <f t="shared" si="55"/>
        <v>1.4028337822775256</v>
      </c>
    </row>
    <row r="702" spans="6:13" ht="18.75" customHeight="1">
      <c r="F702" s="1">
        <v>42705</v>
      </c>
      <c r="G702">
        <f t="shared" si="52"/>
        <v>12</v>
      </c>
      <c r="H702" s="7">
        <v>404.55</v>
      </c>
      <c r="I702" s="7">
        <f t="shared" si="51"/>
        <v>404.48500172879062</v>
      </c>
      <c r="J702" s="7">
        <f t="shared" si="53"/>
        <v>6.4998271209390168E-2</v>
      </c>
      <c r="K702" s="7" cm="1">
        <f t="array" ref="K702">INDEX(Sm,G702)</f>
        <v>-0.89132446529561371</v>
      </c>
      <c r="L702" s="7">
        <f t="shared" si="54"/>
        <v>403.59367726349501</v>
      </c>
      <c r="M702" s="7">
        <f t="shared" si="55"/>
        <v>0.9563227365050011</v>
      </c>
    </row>
    <row r="703" spans="6:13" ht="18.75" customHeight="1">
      <c r="F703" s="1">
        <v>42736</v>
      </c>
      <c r="G703">
        <f t="shared" si="52"/>
        <v>1</v>
      </c>
      <c r="H703" s="7">
        <v>406.07</v>
      </c>
      <c r="I703" s="7">
        <f t="shared" si="51"/>
        <v>404.68014942077815</v>
      </c>
      <c r="J703" s="7">
        <f t="shared" si="53"/>
        <v>1.389850579221843</v>
      </c>
      <c r="K703" s="7" cm="1">
        <f t="array" ref="K703">INDEX(Sm,G703)</f>
        <v>6.1040869584970889E-2</v>
      </c>
      <c r="L703" s="7">
        <f t="shared" si="54"/>
        <v>404.74119029036314</v>
      </c>
      <c r="M703" s="7">
        <f t="shared" si="55"/>
        <v>1.3288097096368574</v>
      </c>
    </row>
    <row r="704" spans="6:13" ht="18.75" customHeight="1">
      <c r="F704" s="1">
        <v>42767</v>
      </c>
      <c r="G704">
        <f t="shared" si="52"/>
        <v>2</v>
      </c>
      <c r="H704" s="7">
        <v>406.64</v>
      </c>
      <c r="I704" s="7">
        <f t="shared" si="51"/>
        <v>404.87548555969698</v>
      </c>
      <c r="J704" s="7">
        <f t="shared" si="53"/>
        <v>1.7645144403030031</v>
      </c>
      <c r="K704" s="7" cm="1">
        <f t="array" ref="K704">INDEX(Sm,G704)</f>
        <v>0.69421564520236412</v>
      </c>
      <c r="L704" s="7">
        <f t="shared" si="54"/>
        <v>405.56970120489933</v>
      </c>
      <c r="M704" s="7">
        <f t="shared" si="55"/>
        <v>1.0702987951006548</v>
      </c>
    </row>
    <row r="705" spans="6:13" ht="18.75" customHeight="1">
      <c r="F705" s="1">
        <v>42795</v>
      </c>
      <c r="G705">
        <f t="shared" si="52"/>
        <v>3</v>
      </c>
      <c r="H705" s="7">
        <v>407.05</v>
      </c>
      <c r="I705" s="7">
        <f t="shared" si="51"/>
        <v>405.05208017545851</v>
      </c>
      <c r="J705" s="7">
        <f t="shared" si="53"/>
        <v>1.9979198245414977</v>
      </c>
      <c r="K705" s="7" cm="1">
        <f t="array" ref="K705">INDEX(Sm,G705)</f>
        <v>1.3733706304072995</v>
      </c>
      <c r="L705" s="7">
        <f t="shared" si="54"/>
        <v>406.42545080586581</v>
      </c>
      <c r="M705" s="7">
        <f t="shared" si="55"/>
        <v>0.62454919413420384</v>
      </c>
    </row>
    <row r="706" spans="6:13" ht="18.75" customHeight="1">
      <c r="F706" s="1">
        <v>42826</v>
      </c>
      <c r="G706">
        <f t="shared" si="52"/>
        <v>4</v>
      </c>
      <c r="H706" s="7">
        <v>408.95</v>
      </c>
      <c r="I706" s="7">
        <f t="shared" ref="I706:I743" si="56">_A*F706*F706+_B*F706+_C</f>
        <v>405.24777497144015</v>
      </c>
      <c r="J706" s="7">
        <f t="shared" si="53"/>
        <v>3.7022250285598375</v>
      </c>
      <c r="K706" s="7" cm="1">
        <f t="array" ref="K706">INDEX(Sm,G706)</f>
        <v>2.6099183412742755</v>
      </c>
      <c r="L706" s="7">
        <f t="shared" si="54"/>
        <v>407.85769331271445</v>
      </c>
      <c r="M706" s="7">
        <f t="shared" si="55"/>
        <v>1.0923066872855429</v>
      </c>
    </row>
    <row r="707" spans="6:13" ht="18.75" customHeight="1">
      <c r="F707" s="1">
        <v>42856</v>
      </c>
      <c r="G707">
        <f t="shared" ref="G707:G770" si="57">MONTH(F707)</f>
        <v>5</v>
      </c>
      <c r="H707" s="7">
        <v>409.91</v>
      </c>
      <c r="I707" s="7">
        <f t="shared" si="56"/>
        <v>405.43733645864626</v>
      </c>
      <c r="J707" s="7">
        <f t="shared" ref="J707:J742" si="58">H707-I707</f>
        <v>4.4726635413537679</v>
      </c>
      <c r="K707" s="7" cm="1">
        <f t="array" ref="K707">INDEX(Sm,G707)</f>
        <v>3.065291801195754</v>
      </c>
      <c r="L707" s="7">
        <f t="shared" ref="L707:L742" si="59">I707+K707</f>
        <v>408.50262825984203</v>
      </c>
      <c r="M707" s="7">
        <f t="shared" ref="M707:M742" si="60">H707-L707</f>
        <v>1.4073717401579984</v>
      </c>
    </row>
    <row r="708" spans="6:13" ht="18.75" customHeight="1">
      <c r="F708" s="1">
        <v>42887</v>
      </c>
      <c r="G708">
        <f t="shared" si="57"/>
        <v>6</v>
      </c>
      <c r="H708" s="7">
        <v>409.12</v>
      </c>
      <c r="I708" s="7">
        <f t="shared" si="56"/>
        <v>405.63340206955729</v>
      </c>
      <c r="J708" s="7">
        <f t="shared" si="58"/>
        <v>3.4865979304427128</v>
      </c>
      <c r="K708" s="7" cm="1">
        <f t="array" ref="K708">INDEX(Sm,G708)</f>
        <v>2.3463851222642056</v>
      </c>
      <c r="L708" s="7">
        <f t="shared" si="59"/>
        <v>407.97978719182152</v>
      </c>
      <c r="M708" s="7">
        <f t="shared" si="60"/>
        <v>1.1402128081784895</v>
      </c>
    </row>
    <row r="709" spans="6:13" ht="18.75" customHeight="1">
      <c r="F709" s="1">
        <v>42917</v>
      </c>
      <c r="G709">
        <f t="shared" si="57"/>
        <v>7</v>
      </c>
      <c r="H709" s="7">
        <v>407.2</v>
      </c>
      <c r="I709" s="7">
        <f t="shared" si="56"/>
        <v>405.82332240992076</v>
      </c>
      <c r="J709" s="7">
        <f t="shared" si="58"/>
        <v>1.3766775900792254</v>
      </c>
      <c r="K709" s="7" cm="1">
        <f t="array" ref="K709">INDEX(Sm,G709)</f>
        <v>0.72334113060077332</v>
      </c>
      <c r="L709" s="7">
        <f t="shared" si="59"/>
        <v>406.54666354052154</v>
      </c>
      <c r="M709" s="7">
        <f t="shared" si="60"/>
        <v>0.65333645947845298</v>
      </c>
    </row>
    <row r="710" spans="6:13" ht="18.75" customHeight="1">
      <c r="F710" s="1">
        <v>42948</v>
      </c>
      <c r="G710">
        <f t="shared" si="57"/>
        <v>8</v>
      </c>
      <c r="H710" s="7">
        <v>405.24</v>
      </c>
      <c r="I710" s="7">
        <f t="shared" si="56"/>
        <v>406.01975883576108</v>
      </c>
      <c r="J710" s="7">
        <f t="shared" si="58"/>
        <v>-0.77975883576107208</v>
      </c>
      <c r="K710" s="7" cm="1">
        <f t="array" ref="K710">INDEX(Sm,G710)</f>
        <v>-1.3975570061157723</v>
      </c>
      <c r="L710" s="7">
        <f t="shared" si="59"/>
        <v>404.62220182964529</v>
      </c>
      <c r="M710" s="7">
        <f t="shared" si="60"/>
        <v>0.61779817035471751</v>
      </c>
    </row>
    <row r="711" spans="6:13" ht="18.75" customHeight="1">
      <c r="F711" s="1">
        <v>42979</v>
      </c>
      <c r="G711">
        <f t="shared" si="57"/>
        <v>9</v>
      </c>
      <c r="H711" s="7">
        <v>403.27</v>
      </c>
      <c r="I711" s="7">
        <f t="shared" si="56"/>
        <v>406.21638370853276</v>
      </c>
      <c r="J711" s="7">
        <f t="shared" si="58"/>
        <v>-2.9463837085327782</v>
      </c>
      <c r="K711" s="7" cm="1">
        <f t="array" ref="K711">INDEX(Sm,G711)</f>
        <v>-3.1934822994410497</v>
      </c>
      <c r="L711" s="7">
        <f t="shared" si="59"/>
        <v>403.02290140909173</v>
      </c>
      <c r="M711" s="7">
        <f t="shared" si="60"/>
        <v>0.24709859090825148</v>
      </c>
    </row>
    <row r="712" spans="6:13" ht="18.75" customHeight="1">
      <c r="F712" s="1">
        <v>43009</v>
      </c>
      <c r="G712">
        <f t="shared" si="57"/>
        <v>10</v>
      </c>
      <c r="H712" s="7">
        <v>403.64</v>
      </c>
      <c r="I712" s="7">
        <f t="shared" si="56"/>
        <v>406.40684527005169</v>
      </c>
      <c r="J712" s="7">
        <f t="shared" si="58"/>
        <v>-2.7668452700517037</v>
      </c>
      <c r="K712" s="7" cm="1">
        <f t="array" ref="K712">INDEX(Sm,G712)</f>
        <v>-3.3368150874962788</v>
      </c>
      <c r="L712" s="7">
        <f t="shared" si="59"/>
        <v>403.0700301825554</v>
      </c>
      <c r="M712" s="7">
        <f t="shared" si="60"/>
        <v>0.56996981744458708</v>
      </c>
    </row>
    <row r="713" spans="6:13" ht="18.75" customHeight="1">
      <c r="F713" s="1">
        <v>43040</v>
      </c>
      <c r="G713">
        <f t="shared" si="57"/>
        <v>11</v>
      </c>
      <c r="H713" s="7">
        <v>405.17</v>
      </c>
      <c r="I713" s="7">
        <f t="shared" si="56"/>
        <v>406.60384095775265</v>
      </c>
      <c r="J713" s="7">
        <f t="shared" si="58"/>
        <v>-1.4338409577526363</v>
      </c>
      <c r="K713" s="7" cm="1">
        <f t="array" ref="K713">INDEX(Sm,G713)</f>
        <v>-2.0591623324975612</v>
      </c>
      <c r="L713" s="7">
        <f t="shared" si="59"/>
        <v>404.54467862525507</v>
      </c>
      <c r="M713" s="7">
        <f t="shared" si="60"/>
        <v>0.6253213747449422</v>
      </c>
    </row>
    <row r="714" spans="6:13" ht="18.75" customHeight="1">
      <c r="F714" s="1">
        <v>43070</v>
      </c>
      <c r="G714">
        <f t="shared" si="57"/>
        <v>12</v>
      </c>
      <c r="H714" s="7">
        <v>406.75</v>
      </c>
      <c r="I714" s="7">
        <f t="shared" si="56"/>
        <v>406.79466137242906</v>
      </c>
      <c r="J714" s="7">
        <f t="shared" si="58"/>
        <v>-4.466137242906143E-2</v>
      </c>
      <c r="K714" s="7" cm="1">
        <f t="array" ref="K714">INDEX(Sm,G714)</f>
        <v>-0.89132446529561371</v>
      </c>
      <c r="L714" s="7">
        <f t="shared" si="59"/>
        <v>405.90333690713345</v>
      </c>
      <c r="M714" s="7">
        <f t="shared" si="60"/>
        <v>0.8466630928665495</v>
      </c>
    </row>
    <row r="715" spans="6:13" ht="18.75" customHeight="1">
      <c r="F715" s="1">
        <v>43101</v>
      </c>
      <c r="G715">
        <f t="shared" si="57"/>
        <v>1</v>
      </c>
      <c r="H715" s="7">
        <v>408.05</v>
      </c>
      <c r="I715" s="7">
        <f t="shared" si="56"/>
        <v>406.99202787505931</v>
      </c>
      <c r="J715" s="7">
        <f t="shared" si="58"/>
        <v>1.0579721249407044</v>
      </c>
      <c r="K715" s="7" cm="1">
        <f t="array" ref="K715">INDEX(Sm,G715)</f>
        <v>6.1040869584970889E-2</v>
      </c>
      <c r="L715" s="7">
        <f t="shared" si="59"/>
        <v>407.05306874464429</v>
      </c>
      <c r="M715" s="7">
        <f t="shared" si="60"/>
        <v>0.9969312553557188</v>
      </c>
    </row>
    <row r="716" spans="6:13" ht="18.75" customHeight="1">
      <c r="F716" s="1">
        <v>43132</v>
      </c>
      <c r="G716">
        <f t="shared" si="57"/>
        <v>2</v>
      </c>
      <c r="H716" s="7">
        <v>408.34</v>
      </c>
      <c r="I716" s="7">
        <f t="shared" si="56"/>
        <v>407.18958282462091</v>
      </c>
      <c r="J716" s="7">
        <f t="shared" si="58"/>
        <v>1.1504171753790615</v>
      </c>
      <c r="K716" s="7" cm="1">
        <f t="array" ref="K716">INDEX(Sm,G716)</f>
        <v>0.69421564520236412</v>
      </c>
      <c r="L716" s="7">
        <f t="shared" si="59"/>
        <v>407.88379846982326</v>
      </c>
      <c r="M716" s="7">
        <f t="shared" si="60"/>
        <v>0.45620153017671328</v>
      </c>
    </row>
    <row r="717" spans="6:13" ht="18.75" customHeight="1">
      <c r="F717" s="1">
        <v>43160</v>
      </c>
      <c r="G717">
        <f t="shared" si="57"/>
        <v>3</v>
      </c>
      <c r="H717" s="7">
        <v>409.25</v>
      </c>
      <c r="I717" s="7">
        <f t="shared" si="56"/>
        <v>407.36818152741455</v>
      </c>
      <c r="J717" s="7">
        <f t="shared" si="58"/>
        <v>1.8818184725854508</v>
      </c>
      <c r="K717" s="7" cm="1">
        <f t="array" ref="K717">INDEX(Sm,G717)</f>
        <v>1.3733706304072995</v>
      </c>
      <c r="L717" s="7">
        <f t="shared" si="59"/>
        <v>408.74155215782184</v>
      </c>
      <c r="M717" s="7">
        <f t="shared" si="60"/>
        <v>0.50844784217815686</v>
      </c>
    </row>
    <row r="718" spans="6:13" ht="18.75" customHeight="1">
      <c r="F718" s="1">
        <v>43191</v>
      </c>
      <c r="G718">
        <f t="shared" si="57"/>
        <v>4</v>
      </c>
      <c r="H718" s="7">
        <v>410.3</v>
      </c>
      <c r="I718" s="7">
        <f t="shared" si="56"/>
        <v>407.56609513403896</v>
      </c>
      <c r="J718" s="7">
        <f t="shared" si="58"/>
        <v>2.7339048659610512</v>
      </c>
      <c r="K718" s="7" cm="1">
        <f t="array" ref="K718">INDEX(Sm,G718)</f>
        <v>2.6099183412742755</v>
      </c>
      <c r="L718" s="7">
        <f t="shared" si="59"/>
        <v>410.17601347531325</v>
      </c>
      <c r="M718" s="7">
        <f t="shared" si="60"/>
        <v>0.12398652468675664</v>
      </c>
    </row>
    <row r="719" spans="6:13" ht="18.75" customHeight="1">
      <c r="F719" s="1">
        <v>43221</v>
      </c>
      <c r="G719">
        <f t="shared" si="57"/>
        <v>5</v>
      </c>
      <c r="H719" s="7">
        <v>411.3</v>
      </c>
      <c r="I719" s="7">
        <f t="shared" si="56"/>
        <v>407.75780385735095</v>
      </c>
      <c r="J719" s="7">
        <f t="shared" si="58"/>
        <v>3.5421961426490611</v>
      </c>
      <c r="K719" s="7" cm="1">
        <f t="array" ref="K719">INDEX(Sm,G719)</f>
        <v>3.065291801195754</v>
      </c>
      <c r="L719" s="7">
        <f t="shared" si="59"/>
        <v>410.82309565854672</v>
      </c>
      <c r="M719" s="7">
        <f t="shared" si="60"/>
        <v>0.47690434145329164</v>
      </c>
    </row>
    <row r="720" spans="6:13" ht="18.75" customHeight="1">
      <c r="F720" s="1">
        <v>43252</v>
      </c>
      <c r="G720">
        <f t="shared" si="57"/>
        <v>6</v>
      </c>
      <c r="H720" s="7">
        <v>410.88</v>
      </c>
      <c r="I720" s="7">
        <f t="shared" si="56"/>
        <v>407.95608827890464</v>
      </c>
      <c r="J720" s="7">
        <f t="shared" si="58"/>
        <v>2.9239117210953509</v>
      </c>
      <c r="K720" s="7" cm="1">
        <f t="array" ref="K720">INDEX(Sm,G720)</f>
        <v>2.3463851222642056</v>
      </c>
      <c r="L720" s="7">
        <f t="shared" si="59"/>
        <v>410.30247340116887</v>
      </c>
      <c r="M720" s="7">
        <f t="shared" si="60"/>
        <v>0.57752659883112756</v>
      </c>
    </row>
    <row r="721" spans="6:13" ht="18.75" customHeight="1">
      <c r="F721" s="1">
        <v>43282</v>
      </c>
      <c r="G721">
        <f t="shared" si="57"/>
        <v>7</v>
      </c>
      <c r="H721" s="7">
        <v>408.9</v>
      </c>
      <c r="I721" s="7">
        <f t="shared" si="56"/>
        <v>408.14815585537406</v>
      </c>
      <c r="J721" s="7">
        <f t="shared" si="58"/>
        <v>0.75184414462592031</v>
      </c>
      <c r="K721" s="7" cm="1">
        <f t="array" ref="K721">INDEX(Sm,G721)</f>
        <v>0.72334113060077332</v>
      </c>
      <c r="L721" s="7">
        <f t="shared" si="59"/>
        <v>408.87149698597483</v>
      </c>
      <c r="M721" s="7">
        <f t="shared" si="60"/>
        <v>2.8503014025147877E-2</v>
      </c>
    </row>
    <row r="722" spans="6:13" ht="18.75" customHeight="1">
      <c r="F722" s="1">
        <v>43313</v>
      </c>
      <c r="G722">
        <f t="shared" si="57"/>
        <v>8</v>
      </c>
      <c r="H722" s="7">
        <v>407.1</v>
      </c>
      <c r="I722" s="7">
        <f t="shared" si="56"/>
        <v>408.34681109185709</v>
      </c>
      <c r="J722" s="7">
        <f t="shared" si="58"/>
        <v>-1.2468110918570687</v>
      </c>
      <c r="K722" s="7" cm="1">
        <f t="array" ref="K722">INDEX(Sm,G722)</f>
        <v>-1.3975570061157723</v>
      </c>
      <c r="L722" s="7">
        <f t="shared" si="59"/>
        <v>406.9492540857413</v>
      </c>
      <c r="M722" s="7">
        <f t="shared" si="60"/>
        <v>0.15074591425872086</v>
      </c>
    </row>
    <row r="723" spans="6:13" ht="18.75" customHeight="1">
      <c r="F723" s="1">
        <v>43344</v>
      </c>
      <c r="G723">
        <f t="shared" si="57"/>
        <v>9</v>
      </c>
      <c r="H723" s="7">
        <v>405.59</v>
      </c>
      <c r="I723" s="7">
        <f t="shared" si="56"/>
        <v>408.54565477527143</v>
      </c>
      <c r="J723" s="7">
        <f t="shared" si="58"/>
        <v>-2.955654775271455</v>
      </c>
      <c r="K723" s="7" cm="1">
        <f t="array" ref="K723">INDEX(Sm,G723)</f>
        <v>-3.1934822994410497</v>
      </c>
      <c r="L723" s="7">
        <f t="shared" si="59"/>
        <v>405.3521724758304</v>
      </c>
      <c r="M723" s="7">
        <f t="shared" si="60"/>
        <v>0.23782752416957464</v>
      </c>
    </row>
    <row r="724" spans="6:13" ht="18.75" customHeight="1">
      <c r="F724" s="1">
        <v>43374</v>
      </c>
      <c r="G724">
        <f t="shared" si="57"/>
        <v>10</v>
      </c>
      <c r="H724" s="7">
        <v>405.99</v>
      </c>
      <c r="I724" s="7">
        <f t="shared" si="56"/>
        <v>408.7382635728963</v>
      </c>
      <c r="J724" s="7">
        <f t="shared" si="58"/>
        <v>-2.7482635728962919</v>
      </c>
      <c r="K724" s="7" cm="1">
        <f t="array" ref="K724">INDEX(Sm,G724)</f>
        <v>-3.3368150874962788</v>
      </c>
      <c r="L724" s="7">
        <f t="shared" si="59"/>
        <v>405.40144848540001</v>
      </c>
      <c r="M724" s="7">
        <f t="shared" si="60"/>
        <v>0.58855151459999888</v>
      </c>
    </row>
    <row r="725" spans="6:13" ht="18.75" customHeight="1">
      <c r="F725" s="1">
        <v>43405</v>
      </c>
      <c r="G725">
        <f t="shared" si="57"/>
        <v>11</v>
      </c>
      <c r="H725" s="7">
        <v>408.12</v>
      </c>
      <c r="I725" s="7">
        <f t="shared" si="56"/>
        <v>408.93747807123992</v>
      </c>
      <c r="J725" s="7">
        <f t="shared" si="58"/>
        <v>-0.81747807123991834</v>
      </c>
      <c r="K725" s="7" cm="1">
        <f t="array" ref="K725">INDEX(Sm,G725)</f>
        <v>-2.0591623324975612</v>
      </c>
      <c r="L725" s="7">
        <f t="shared" si="59"/>
        <v>406.87831573874234</v>
      </c>
      <c r="M725" s="7">
        <f t="shared" si="60"/>
        <v>1.2416842612576602</v>
      </c>
    </row>
    <row r="726" spans="6:13" ht="18.75" customHeight="1">
      <c r="F726" s="1">
        <v>43435</v>
      </c>
      <c r="G726">
        <f t="shared" si="57"/>
        <v>12</v>
      </c>
      <c r="H726" s="7">
        <v>409.23</v>
      </c>
      <c r="I726" s="7">
        <f t="shared" si="56"/>
        <v>409.13044572202222</v>
      </c>
      <c r="J726" s="7">
        <f t="shared" si="58"/>
        <v>9.955427797780203E-2</v>
      </c>
      <c r="K726" s="7" cm="1">
        <f t="array" ref="K726">INDEX(Sm,G726)</f>
        <v>-0.89132446529561371</v>
      </c>
      <c r="L726" s="7">
        <f t="shared" si="59"/>
        <v>408.23912125672661</v>
      </c>
      <c r="M726" s="7">
        <f t="shared" si="60"/>
        <v>0.99087874327341297</v>
      </c>
    </row>
    <row r="727" spans="6:13" ht="18.75" customHeight="1">
      <c r="F727" s="1">
        <v>43466</v>
      </c>
      <c r="G727">
        <f t="shared" si="57"/>
        <v>1</v>
      </c>
      <c r="H727" s="7">
        <v>410.92</v>
      </c>
      <c r="I727" s="7">
        <f t="shared" si="56"/>
        <v>409.33003103529524</v>
      </c>
      <c r="J727" s="7">
        <f t="shared" si="58"/>
        <v>1.5899689647047808</v>
      </c>
      <c r="K727" s="7" cm="1">
        <f t="array" ref="K727">INDEX(Sm,G727)</f>
        <v>6.1040869584970889E-2</v>
      </c>
      <c r="L727" s="7">
        <f t="shared" si="59"/>
        <v>409.39107190488022</v>
      </c>
      <c r="M727" s="7">
        <f t="shared" si="60"/>
        <v>1.5289280951197952</v>
      </c>
    </row>
    <row r="728" spans="6:13" ht="18.75" customHeight="1">
      <c r="F728" s="1">
        <v>43497</v>
      </c>
      <c r="G728">
        <f t="shared" si="57"/>
        <v>2</v>
      </c>
      <c r="H728" s="7">
        <v>411.66</v>
      </c>
      <c r="I728" s="7">
        <f t="shared" si="56"/>
        <v>409.52980479549956</v>
      </c>
      <c r="J728" s="7">
        <f t="shared" si="58"/>
        <v>2.1301952045004668</v>
      </c>
      <c r="K728" s="7" cm="1">
        <f t="array" ref="K728">INDEX(Sm,G728)</f>
        <v>0.69421564520236412</v>
      </c>
      <c r="L728" s="7">
        <f t="shared" si="59"/>
        <v>410.22402044070191</v>
      </c>
      <c r="M728" s="7">
        <f t="shared" si="60"/>
        <v>1.4359795592981186</v>
      </c>
    </row>
    <row r="729" spans="6:13" ht="18.75" customHeight="1">
      <c r="F729" s="1">
        <v>43525</v>
      </c>
      <c r="G729">
        <f t="shared" si="57"/>
        <v>3</v>
      </c>
      <c r="H729" s="7">
        <v>412</v>
      </c>
      <c r="I729" s="7">
        <f t="shared" si="56"/>
        <v>409.71040758532536</v>
      </c>
      <c r="J729" s="7">
        <f t="shared" si="58"/>
        <v>2.2895924146746438</v>
      </c>
      <c r="K729" s="7" cm="1">
        <f t="array" ref="K729">INDEX(Sm,G729)</f>
        <v>1.3733706304072995</v>
      </c>
      <c r="L729" s="7">
        <f t="shared" si="59"/>
        <v>411.08377821573265</v>
      </c>
      <c r="M729" s="7">
        <f t="shared" si="60"/>
        <v>0.9162217842673499</v>
      </c>
    </row>
    <row r="730" spans="6:13" ht="18.75" customHeight="1">
      <c r="F730" s="1">
        <v>43556</v>
      </c>
      <c r="G730">
        <f t="shared" si="57"/>
        <v>4</v>
      </c>
      <c r="H730" s="7">
        <v>413.52</v>
      </c>
      <c r="I730" s="7">
        <f t="shared" si="56"/>
        <v>409.91054000259248</v>
      </c>
      <c r="J730" s="7">
        <f t="shared" si="58"/>
        <v>3.6094599974074981</v>
      </c>
      <c r="K730" s="7" cm="1">
        <f t="array" ref="K730">INDEX(Sm,G730)</f>
        <v>2.6099183412742755</v>
      </c>
      <c r="L730" s="7">
        <f t="shared" si="59"/>
        <v>412.52045834386678</v>
      </c>
      <c r="M730" s="7">
        <f t="shared" si="60"/>
        <v>0.99954165613320356</v>
      </c>
    </row>
    <row r="731" spans="6:13" ht="18.75" customHeight="1">
      <c r="F731" s="1">
        <v>43586</v>
      </c>
      <c r="G731">
        <f t="shared" si="57"/>
        <v>5</v>
      </c>
      <c r="H731" s="7">
        <v>414.83</v>
      </c>
      <c r="I731" s="7">
        <f t="shared" si="56"/>
        <v>410.1043959620103</v>
      </c>
      <c r="J731" s="7">
        <f t="shared" si="58"/>
        <v>4.7256040379896831</v>
      </c>
      <c r="K731" s="7" cm="1">
        <f t="array" ref="K731">INDEX(Sm,G731)</f>
        <v>3.065291801195754</v>
      </c>
      <c r="L731" s="7">
        <f t="shared" si="59"/>
        <v>413.16968776320607</v>
      </c>
      <c r="M731" s="7">
        <f t="shared" si="60"/>
        <v>1.6603122367939136</v>
      </c>
    </row>
    <row r="732" spans="6:13" ht="18.75" customHeight="1">
      <c r="F732" s="1">
        <v>43617</v>
      </c>
      <c r="G732">
        <f t="shared" si="57"/>
        <v>6</v>
      </c>
      <c r="H732" s="7">
        <v>413.96</v>
      </c>
      <c r="I732" s="7">
        <f t="shared" si="56"/>
        <v>410.30489919420671</v>
      </c>
      <c r="J732" s="7">
        <f t="shared" si="58"/>
        <v>3.6551008057932677</v>
      </c>
      <c r="K732" s="7" cm="1">
        <f t="array" ref="K732">INDEX(Sm,G732)</f>
        <v>2.3463851222642056</v>
      </c>
      <c r="L732" s="7">
        <f t="shared" si="59"/>
        <v>412.65128431647094</v>
      </c>
      <c r="M732" s="7">
        <f t="shared" si="60"/>
        <v>1.3087156835290443</v>
      </c>
    </row>
    <row r="733" spans="6:13" ht="18.75" customHeight="1">
      <c r="F733" s="1">
        <v>43647</v>
      </c>
      <c r="G733">
        <f t="shared" si="57"/>
        <v>7</v>
      </c>
      <c r="H733" s="7">
        <v>411.85</v>
      </c>
      <c r="I733" s="7">
        <f t="shared" si="56"/>
        <v>410.49911400678201</v>
      </c>
      <c r="J733" s="7">
        <f t="shared" si="58"/>
        <v>1.3508859932180144</v>
      </c>
      <c r="K733" s="7" cm="1">
        <f t="array" ref="K733">INDEX(Sm,G733)</f>
        <v>0.72334113060077332</v>
      </c>
      <c r="L733" s="7">
        <f t="shared" si="59"/>
        <v>411.22245513738278</v>
      </c>
      <c r="M733" s="7">
        <f t="shared" si="60"/>
        <v>0.62754486261724196</v>
      </c>
    </row>
    <row r="734" spans="6:13" ht="18.75" customHeight="1">
      <c r="F734" s="1">
        <v>43678</v>
      </c>
      <c r="G734">
        <f t="shared" si="57"/>
        <v>8</v>
      </c>
      <c r="H734" s="7">
        <v>410.08</v>
      </c>
      <c r="I734" s="7">
        <f t="shared" si="56"/>
        <v>410.69998805390776</v>
      </c>
      <c r="J734" s="7">
        <f t="shared" si="58"/>
        <v>-0.61998805390777534</v>
      </c>
      <c r="K734" s="7" cm="1">
        <f t="array" ref="K734">INDEX(Sm,G734)</f>
        <v>-1.3975570061157723</v>
      </c>
      <c r="L734" s="7">
        <f t="shared" si="59"/>
        <v>409.30243104779197</v>
      </c>
      <c r="M734" s="7">
        <f t="shared" si="60"/>
        <v>0.77756895220801425</v>
      </c>
    </row>
    <row r="735" spans="6:13" ht="18.75" customHeight="1">
      <c r="F735" s="1">
        <v>43709</v>
      </c>
      <c r="G735">
        <f t="shared" si="57"/>
        <v>9</v>
      </c>
      <c r="H735" s="7">
        <v>408.55</v>
      </c>
      <c r="I735" s="7">
        <f t="shared" si="56"/>
        <v>410.90105054796481</v>
      </c>
      <c r="J735" s="7">
        <f t="shared" si="58"/>
        <v>-2.3510505479648032</v>
      </c>
      <c r="K735" s="7" cm="1">
        <f t="array" ref="K735">INDEX(Sm,G735)</f>
        <v>-3.1934822994410497</v>
      </c>
      <c r="L735" s="7">
        <f t="shared" si="59"/>
        <v>407.70756824852378</v>
      </c>
      <c r="M735" s="7">
        <f t="shared" si="60"/>
        <v>0.84243175147622651</v>
      </c>
    </row>
    <row r="736" spans="6:13" ht="18.75" customHeight="1">
      <c r="F736" s="1">
        <v>43739</v>
      </c>
      <c r="G736">
        <f t="shared" si="57"/>
        <v>10</v>
      </c>
      <c r="H736" s="7">
        <v>408.43</v>
      </c>
      <c r="I736" s="7">
        <f t="shared" si="56"/>
        <v>411.09580658169557</v>
      </c>
      <c r="J736" s="7">
        <f t="shared" si="58"/>
        <v>-2.6658065816955627</v>
      </c>
      <c r="K736" s="7" cm="1">
        <f t="array" ref="K736">INDEX(Sm,G736)</f>
        <v>-3.3368150874962788</v>
      </c>
      <c r="L736" s="7">
        <f t="shared" si="59"/>
        <v>407.75899149419928</v>
      </c>
      <c r="M736" s="7">
        <f t="shared" si="60"/>
        <v>0.67100850580072802</v>
      </c>
    </row>
    <row r="737" spans="6:13" ht="18.75" customHeight="1">
      <c r="F737" s="1">
        <v>43770</v>
      </c>
      <c r="G737">
        <f t="shared" si="57"/>
        <v>11</v>
      </c>
      <c r="H737" s="7">
        <v>410.29</v>
      </c>
      <c r="I737" s="7">
        <f t="shared" si="56"/>
        <v>411.29723989068202</v>
      </c>
      <c r="J737" s="7">
        <f t="shared" si="58"/>
        <v>-1.0072398906820013</v>
      </c>
      <c r="K737" s="7" cm="1">
        <f t="array" ref="K737">INDEX(Sm,G737)</f>
        <v>-2.0591623324975612</v>
      </c>
      <c r="L737" s="7">
        <f t="shared" si="59"/>
        <v>409.23807755818444</v>
      </c>
      <c r="M737" s="7">
        <f t="shared" si="60"/>
        <v>1.0519224418155773</v>
      </c>
    </row>
    <row r="738" spans="6:13" ht="18.75" customHeight="1">
      <c r="F738" s="1">
        <v>43800</v>
      </c>
      <c r="G738">
        <f t="shared" si="57"/>
        <v>12</v>
      </c>
      <c r="H738" s="7">
        <v>411.85</v>
      </c>
      <c r="I738" s="7">
        <f t="shared" si="56"/>
        <v>411.49235477757014</v>
      </c>
      <c r="J738" s="7">
        <f t="shared" si="58"/>
        <v>0.3576452224298805</v>
      </c>
      <c r="K738" s="7" cm="1">
        <f t="array" ref="K738">INDEX(Sm,G738)</f>
        <v>-0.89132446529561371</v>
      </c>
      <c r="L738" s="7">
        <f t="shared" si="59"/>
        <v>410.60103031227453</v>
      </c>
      <c r="M738" s="7">
        <f t="shared" si="60"/>
        <v>1.2489696877254914</v>
      </c>
    </row>
    <row r="739" spans="6:13" ht="18.75" customHeight="1">
      <c r="F739" s="1">
        <v>43831</v>
      </c>
      <c r="G739">
        <f t="shared" si="57"/>
        <v>1</v>
      </c>
      <c r="H739" s="7">
        <v>413.37</v>
      </c>
      <c r="I739" s="7">
        <f t="shared" si="56"/>
        <v>411.69415890148588</v>
      </c>
      <c r="J739" s="7">
        <f t="shared" si="58"/>
        <v>1.6758410985141268</v>
      </c>
      <c r="K739" s="7" cm="1">
        <f t="array" ref="K739">INDEX(Sm,G739)</f>
        <v>6.1040869584970889E-2</v>
      </c>
      <c r="L739" s="7">
        <f t="shared" si="59"/>
        <v>411.75519977107086</v>
      </c>
      <c r="M739" s="7">
        <f t="shared" si="60"/>
        <v>1.6148002289291412</v>
      </c>
    </row>
    <row r="740" spans="6:13" ht="18.75" customHeight="1">
      <c r="F740" s="1">
        <v>43862</v>
      </c>
      <c r="G740">
        <f t="shared" si="57"/>
        <v>2</v>
      </c>
      <c r="H740" s="7">
        <v>414.09</v>
      </c>
      <c r="I740" s="7">
        <f t="shared" si="56"/>
        <v>411.89615147233292</v>
      </c>
      <c r="J740" s="7">
        <f t="shared" si="58"/>
        <v>2.1938485276670576</v>
      </c>
      <c r="K740" s="7" cm="1">
        <f t="array" ref="K740">INDEX(Sm,G740)</f>
        <v>0.69421564520236412</v>
      </c>
      <c r="L740" s="7">
        <f t="shared" si="59"/>
        <v>412.59036711753527</v>
      </c>
      <c r="M740" s="7">
        <f t="shared" si="60"/>
        <v>1.4996328824647094</v>
      </c>
    </row>
    <row r="741" spans="6:13" ht="18.75" customHeight="1">
      <c r="F741" s="1">
        <v>43891</v>
      </c>
      <c r="G741">
        <f t="shared" si="57"/>
        <v>3</v>
      </c>
      <c r="H741" s="7">
        <v>414.51</v>
      </c>
      <c r="I741" s="7">
        <f t="shared" si="56"/>
        <v>412.08528286673641</v>
      </c>
      <c r="J741" s="7">
        <f t="shared" si="58"/>
        <v>2.4247171332635844</v>
      </c>
      <c r="K741" s="7" cm="1">
        <f t="array" ref="K741">INDEX(Sm,G741)</f>
        <v>1.3733706304072995</v>
      </c>
      <c r="L741" s="7">
        <f t="shared" si="59"/>
        <v>413.4586534971437</v>
      </c>
      <c r="M741" s="7">
        <f t="shared" si="60"/>
        <v>1.0513465028562905</v>
      </c>
    </row>
    <row r="742" spans="6:13" ht="18.75" customHeight="1">
      <c r="F742" s="16">
        <v>43922</v>
      </c>
      <c r="G742" s="17">
        <f t="shared" si="57"/>
        <v>4</v>
      </c>
      <c r="H742" s="18">
        <v>416.18</v>
      </c>
      <c r="I742" s="7">
        <f t="shared" si="56"/>
        <v>412.28764017357946</v>
      </c>
      <c r="J742" s="7">
        <f t="shared" si="58"/>
        <v>3.8923598264205452</v>
      </c>
      <c r="K742" s="7" cm="1">
        <f t="array" ref="K742">INDEX(Sm,G742)</f>
        <v>2.6099183412742755</v>
      </c>
      <c r="L742" s="7">
        <f t="shared" si="59"/>
        <v>414.89755851485376</v>
      </c>
      <c r="M742" s="7">
        <f t="shared" si="60"/>
        <v>1.2824414851462507</v>
      </c>
    </row>
    <row r="743" spans="6:13" ht="18.75" customHeight="1">
      <c r="F743" s="1">
        <v>43952</v>
      </c>
      <c r="G743">
        <f t="shared" si="57"/>
        <v>5</v>
      </c>
      <c r="I743" s="7">
        <f t="shared" si="56"/>
        <v>412.48364925194181</v>
      </c>
      <c r="J743" s="7"/>
      <c r="K743" s="7" cm="1">
        <f t="array" ref="K743">INDEX(Sm,G743)</f>
        <v>3.065291801195754</v>
      </c>
      <c r="L743" s="7">
        <f t="shared" ref="L743" si="61">I743+K743</f>
        <v>415.54894105313758</v>
      </c>
    </row>
    <row r="744" spans="6:13" ht="18.75" customHeight="1">
      <c r="F744" s="1">
        <v>43983</v>
      </c>
      <c r="G744">
        <f t="shared" si="57"/>
        <v>6</v>
      </c>
      <c r="I744" s="7">
        <f t="shared" ref="I744:I807" si="62">_A*F744*F744+_B*F744+_C</f>
        <v>412.68637737371427</v>
      </c>
      <c r="J744" s="7"/>
      <c r="K744" s="7" cm="1">
        <f t="array" ref="K744">INDEX(Sm,G744)</f>
        <v>2.3463851222642056</v>
      </c>
      <c r="L744" s="7">
        <f t="shared" ref="L744:L807" si="63">I744+K744</f>
        <v>415.03276249597849</v>
      </c>
    </row>
    <row r="745" spans="6:13" ht="18.75" customHeight="1">
      <c r="F745" s="1">
        <v>44013</v>
      </c>
      <c r="G745">
        <f t="shared" si="57"/>
        <v>7</v>
      </c>
      <c r="I745" s="7">
        <f t="shared" si="62"/>
        <v>412.88274530523404</v>
      </c>
      <c r="J745" s="7"/>
      <c r="K745" s="7" cm="1">
        <f t="array" ref="K745">INDEX(Sm,G745)</f>
        <v>0.72334113060077332</v>
      </c>
      <c r="L745" s="7">
        <f t="shared" si="63"/>
        <v>413.60608643583481</v>
      </c>
    </row>
    <row r="746" spans="6:13" ht="18.75" customHeight="1">
      <c r="F746" s="1">
        <v>44044</v>
      </c>
      <c r="G746">
        <f t="shared" si="57"/>
        <v>8</v>
      </c>
      <c r="I746" s="7">
        <f t="shared" si="62"/>
        <v>413.08584424193583</v>
      </c>
      <c r="J746" s="7"/>
      <c r="K746" s="7" cm="1">
        <f t="array" ref="K746">INDEX(Sm,G746)</f>
        <v>-1.3975570061157723</v>
      </c>
      <c r="L746" s="7">
        <f t="shared" si="63"/>
        <v>411.68828723582004</v>
      </c>
    </row>
    <row r="747" spans="6:13" ht="18.75" customHeight="1">
      <c r="F747" s="1">
        <v>44075</v>
      </c>
      <c r="G747">
        <f t="shared" si="57"/>
        <v>9</v>
      </c>
      <c r="I747" s="7">
        <f t="shared" si="62"/>
        <v>413.28913162556893</v>
      </c>
      <c r="J747" s="7"/>
      <c r="K747" s="7" cm="1">
        <f t="array" ref="K747">INDEX(Sm,G747)</f>
        <v>-3.1934822994410497</v>
      </c>
      <c r="L747" s="7">
        <f t="shared" si="63"/>
        <v>410.0956493261279</v>
      </c>
    </row>
    <row r="748" spans="6:13" ht="18.75" customHeight="1">
      <c r="F748" s="1">
        <v>44105</v>
      </c>
      <c r="G748">
        <f t="shared" si="57"/>
        <v>10</v>
      </c>
      <c r="I748" s="7">
        <f t="shared" si="62"/>
        <v>413.48604077824416</v>
      </c>
      <c r="J748" s="7"/>
      <c r="K748" s="7" cm="1">
        <f t="array" ref="K748">INDEX(Sm,G748)</f>
        <v>-3.3368150874962788</v>
      </c>
      <c r="L748" s="7">
        <f t="shared" si="63"/>
        <v>410.14922569074787</v>
      </c>
    </row>
    <row r="749" spans="6:13" ht="18.75" customHeight="1">
      <c r="F749" s="1">
        <v>44136</v>
      </c>
      <c r="G749">
        <f t="shared" si="57"/>
        <v>11</v>
      </c>
      <c r="I749" s="7">
        <f t="shared" si="62"/>
        <v>413.68969897680654</v>
      </c>
      <c r="J749" s="7"/>
      <c r="K749" s="7" cm="1">
        <f t="array" ref="K749">INDEX(Sm,G749)</f>
        <v>-2.0591623324975612</v>
      </c>
      <c r="L749" s="7">
        <f t="shared" si="63"/>
        <v>411.63053664430896</v>
      </c>
    </row>
    <row r="750" spans="6:13" ht="18.75" customHeight="1">
      <c r="F750" s="1">
        <v>44166</v>
      </c>
      <c r="G750">
        <f t="shared" si="57"/>
        <v>12</v>
      </c>
      <c r="I750" s="7">
        <f t="shared" si="62"/>
        <v>413.88696698263919</v>
      </c>
      <c r="J750" s="7"/>
      <c r="K750" s="7" cm="1">
        <f t="array" ref="K750">INDEX(Sm,G750)</f>
        <v>-0.89132446529561371</v>
      </c>
      <c r="L750" s="7">
        <f t="shared" si="63"/>
        <v>412.99564251734358</v>
      </c>
    </row>
    <row r="751" spans="6:13" ht="18.75" customHeight="1">
      <c r="F751" s="1">
        <v>44197</v>
      </c>
      <c r="G751">
        <f t="shared" si="57"/>
        <v>1</v>
      </c>
      <c r="I751" s="7">
        <f t="shared" si="62"/>
        <v>414.09099599613091</v>
      </c>
      <c r="J751" s="7"/>
      <c r="K751" s="7" cm="1">
        <f t="array" ref="K751">INDEX(Sm,G751)</f>
        <v>6.1040869584970889E-2</v>
      </c>
      <c r="L751" s="7">
        <f t="shared" si="63"/>
        <v>414.1520368657159</v>
      </c>
    </row>
    <row r="752" spans="6:13" ht="18.75" customHeight="1">
      <c r="F752" s="1">
        <v>44228</v>
      </c>
      <c r="G752">
        <f t="shared" si="57"/>
        <v>2</v>
      </c>
      <c r="I752" s="7">
        <f t="shared" si="62"/>
        <v>414.29521345655394</v>
      </c>
      <c r="J752" s="7"/>
      <c r="K752" s="7" cm="1">
        <f t="array" ref="K752">INDEX(Sm,G752)</f>
        <v>0.69421564520236412</v>
      </c>
      <c r="L752" s="7">
        <f t="shared" si="63"/>
        <v>414.98942910175629</v>
      </c>
    </row>
    <row r="753" spans="6:12" ht="18.75" customHeight="1">
      <c r="F753" s="1">
        <v>44256</v>
      </c>
      <c r="G753">
        <f t="shared" si="57"/>
        <v>3</v>
      </c>
      <c r="I753" s="7">
        <f t="shared" si="62"/>
        <v>414.47982991109342</v>
      </c>
      <c r="J753" s="7"/>
      <c r="K753" s="7" cm="1">
        <f t="array" ref="K753">INDEX(Sm,G753)</f>
        <v>1.3733706304072995</v>
      </c>
      <c r="L753" s="7">
        <f t="shared" si="63"/>
        <v>415.85320054150071</v>
      </c>
    </row>
    <row r="754" spans="6:12" ht="18.75" customHeight="1">
      <c r="F754" s="1">
        <v>44287</v>
      </c>
      <c r="G754">
        <f t="shared" si="57"/>
        <v>4</v>
      </c>
      <c r="I754" s="7">
        <f t="shared" si="62"/>
        <v>414.6844060285793</v>
      </c>
      <c r="J754" s="7"/>
      <c r="K754" s="7" cm="1">
        <f t="array" ref="K754">INDEX(Sm,G754)</f>
        <v>2.6099183412742755</v>
      </c>
      <c r="L754" s="7">
        <f t="shared" si="63"/>
        <v>417.2943243698536</v>
      </c>
    </row>
    <row r="755" spans="6:12" ht="18.75" customHeight="1">
      <c r="F755" s="1">
        <v>44317</v>
      </c>
      <c r="G755">
        <f t="shared" si="57"/>
        <v>5</v>
      </c>
      <c r="I755" s="7">
        <f t="shared" si="62"/>
        <v>414.88256234304754</v>
      </c>
      <c r="J755" s="7"/>
      <c r="K755" s="7" cm="1">
        <f t="array" ref="K755">INDEX(Sm,G755)</f>
        <v>3.065291801195754</v>
      </c>
      <c r="L755" s="7">
        <f t="shared" si="63"/>
        <v>417.94785414424331</v>
      </c>
    </row>
    <row r="756" spans="6:12" ht="18.75" customHeight="1">
      <c r="F756" s="1">
        <v>44348</v>
      </c>
      <c r="G756">
        <f t="shared" si="57"/>
        <v>6</v>
      </c>
      <c r="I756" s="7">
        <f t="shared" si="62"/>
        <v>415.08750927546271</v>
      </c>
      <c r="J756" s="7"/>
      <c r="K756" s="7" cm="1">
        <f t="array" ref="K756">INDEX(Sm,G756)</f>
        <v>2.3463851222642056</v>
      </c>
      <c r="L756" s="7">
        <f t="shared" si="63"/>
        <v>417.43389439772693</v>
      </c>
    </row>
    <row r="757" spans="6:12" ht="18.75" customHeight="1">
      <c r="F757" s="1">
        <v>44378</v>
      </c>
      <c r="G757">
        <f t="shared" si="57"/>
        <v>7</v>
      </c>
      <c r="I757" s="7">
        <f t="shared" si="62"/>
        <v>415.28602444308831</v>
      </c>
      <c r="J757" s="7"/>
      <c r="K757" s="7" cm="1">
        <f t="array" ref="K757">INDEX(Sm,G757)</f>
        <v>0.72334113060077332</v>
      </c>
      <c r="L757" s="7">
        <f t="shared" si="63"/>
        <v>416.00936557368908</v>
      </c>
    </row>
    <row r="758" spans="6:12" ht="18.75" customHeight="1">
      <c r="F758" s="1">
        <v>44409</v>
      </c>
      <c r="G758">
        <f t="shared" si="57"/>
        <v>8</v>
      </c>
      <c r="I758" s="7">
        <f t="shared" si="62"/>
        <v>415.49134219043282</v>
      </c>
      <c r="J758" s="7"/>
      <c r="K758" s="7" cm="1">
        <f t="array" ref="K758">INDEX(Sm,G758)</f>
        <v>-1.3975570061157723</v>
      </c>
      <c r="L758" s="7">
        <f t="shared" si="63"/>
        <v>414.09378518431703</v>
      </c>
    </row>
    <row r="759" spans="6:12" ht="18.75" customHeight="1">
      <c r="F759" s="1">
        <v>44440</v>
      </c>
      <c r="G759">
        <f t="shared" si="57"/>
        <v>9</v>
      </c>
      <c r="I759" s="7">
        <f t="shared" si="62"/>
        <v>415.69684838470857</v>
      </c>
      <c r="J759" s="7"/>
      <c r="K759" s="7" cm="1">
        <f t="array" ref="K759">INDEX(Sm,G759)</f>
        <v>-3.1934822994410497</v>
      </c>
      <c r="L759" s="7">
        <f t="shared" si="63"/>
        <v>412.50336608526754</v>
      </c>
    </row>
    <row r="760" spans="6:12" ht="18.75" customHeight="1">
      <c r="F760" s="1">
        <v>44470</v>
      </c>
      <c r="G760">
        <f t="shared" si="57"/>
        <v>10</v>
      </c>
      <c r="I760" s="7">
        <f t="shared" si="62"/>
        <v>415.89590477348975</v>
      </c>
      <c r="J760" s="7"/>
      <c r="K760" s="7" cm="1">
        <f t="array" ref="K760">INDEX(Sm,G760)</f>
        <v>-3.3368150874962788</v>
      </c>
      <c r="L760" s="7">
        <f t="shared" si="63"/>
        <v>412.55908968599346</v>
      </c>
    </row>
    <row r="761" spans="6:12" ht="18.75" customHeight="1">
      <c r="F761" s="1">
        <v>44501</v>
      </c>
      <c r="G761">
        <f t="shared" si="57"/>
        <v>11</v>
      </c>
      <c r="I761" s="7">
        <f t="shared" si="62"/>
        <v>416.10178178269484</v>
      </c>
      <c r="J761" s="7"/>
      <c r="K761" s="7" cm="1">
        <f t="array" ref="K761">INDEX(Sm,G761)</f>
        <v>-2.0591623324975612</v>
      </c>
      <c r="L761" s="7">
        <f t="shared" si="63"/>
        <v>414.04261945019726</v>
      </c>
    </row>
    <row r="762" spans="6:12" ht="18.75" customHeight="1">
      <c r="F762" s="1">
        <v>44531</v>
      </c>
      <c r="G762">
        <f t="shared" si="57"/>
        <v>12</v>
      </c>
      <c r="I762" s="7">
        <f t="shared" si="62"/>
        <v>416.30119702463338</v>
      </c>
      <c r="J762" s="7"/>
      <c r="K762" s="7" cm="1">
        <f t="array" ref="K762">INDEX(Sm,G762)</f>
        <v>-0.89132446529561371</v>
      </c>
      <c r="L762" s="7">
        <f t="shared" si="63"/>
        <v>415.40987255933777</v>
      </c>
    </row>
    <row r="763" spans="6:12" ht="18.75" customHeight="1">
      <c r="F763" s="1">
        <v>44562</v>
      </c>
      <c r="G763">
        <f t="shared" si="57"/>
        <v>1</v>
      </c>
      <c r="I763" s="7">
        <f t="shared" si="62"/>
        <v>416.50744484876782</v>
      </c>
      <c r="J763" s="7"/>
      <c r="K763" s="7" cm="1">
        <f t="array" ref="K763">INDEX(Sm,G763)</f>
        <v>6.1040869584970889E-2</v>
      </c>
      <c r="L763" s="7">
        <f t="shared" si="63"/>
        <v>416.5684857183528</v>
      </c>
    </row>
    <row r="764" spans="6:12" ht="18.75" customHeight="1">
      <c r="F764" s="1">
        <v>44593</v>
      </c>
      <c r="G764">
        <f t="shared" si="57"/>
        <v>2</v>
      </c>
      <c r="I764" s="7">
        <f t="shared" si="62"/>
        <v>416.71388111983362</v>
      </c>
      <c r="J764" s="7"/>
      <c r="K764" s="7" cm="1">
        <f t="array" ref="K764">INDEX(Sm,G764)</f>
        <v>0.69421564520236412</v>
      </c>
      <c r="L764" s="7">
        <f t="shared" si="63"/>
        <v>417.40809676503596</v>
      </c>
    </row>
    <row r="765" spans="6:12" ht="18.75" customHeight="1">
      <c r="F765" s="1">
        <v>44621</v>
      </c>
      <c r="G765">
        <f t="shared" si="57"/>
        <v>3</v>
      </c>
      <c r="I765" s="7">
        <f t="shared" si="62"/>
        <v>416.90050166140526</v>
      </c>
      <c r="J765" s="7"/>
      <c r="K765" s="7" cm="1">
        <f t="array" ref="K765">INDEX(Sm,G765)</f>
        <v>1.3733706304072995</v>
      </c>
      <c r="L765" s="7">
        <f t="shared" si="63"/>
        <v>418.27387229181255</v>
      </c>
    </row>
    <row r="766" spans="6:12" ht="18.75" customHeight="1">
      <c r="F766" s="1">
        <v>44652</v>
      </c>
      <c r="G766">
        <f t="shared" si="57"/>
        <v>4</v>
      </c>
      <c r="I766" s="7">
        <f t="shared" si="62"/>
        <v>417.1072965895338</v>
      </c>
      <c r="J766" s="7"/>
      <c r="K766" s="7" cm="1">
        <f t="array" ref="K766">INDEX(Sm,G766)</f>
        <v>2.6099183412742755</v>
      </c>
      <c r="L766" s="7">
        <f t="shared" si="63"/>
        <v>419.7172149308081</v>
      </c>
    </row>
    <row r="767" spans="6:12" ht="18.75" customHeight="1">
      <c r="F767" s="1">
        <v>44682</v>
      </c>
      <c r="G767">
        <f t="shared" si="57"/>
        <v>5</v>
      </c>
      <c r="I767" s="7">
        <f t="shared" si="62"/>
        <v>417.30760014010787</v>
      </c>
      <c r="J767" s="7"/>
      <c r="K767" s="7" cm="1">
        <f t="array" ref="K767">INDEX(Sm,G767)</f>
        <v>3.065291801195754</v>
      </c>
      <c r="L767" s="7">
        <f t="shared" si="63"/>
        <v>420.37289194130364</v>
      </c>
    </row>
    <row r="768" spans="6:12" ht="18.75" customHeight="1">
      <c r="F768" s="1">
        <v>44713</v>
      </c>
      <c r="G768">
        <f t="shared" si="57"/>
        <v>6</v>
      </c>
      <c r="I768" s="7">
        <f t="shared" si="62"/>
        <v>417.51476588316581</v>
      </c>
      <c r="J768" s="7"/>
      <c r="K768" s="7" cm="1">
        <f t="array" ref="K768">INDEX(Sm,G768)</f>
        <v>2.3463851222642056</v>
      </c>
      <c r="L768" s="7">
        <f t="shared" si="63"/>
        <v>419.86115100543003</v>
      </c>
    </row>
    <row r="769" spans="6:12" ht="18.75" customHeight="1">
      <c r="F769" s="1">
        <v>44743</v>
      </c>
      <c r="G769">
        <f t="shared" si="57"/>
        <v>7</v>
      </c>
      <c r="I769" s="7">
        <f t="shared" si="62"/>
        <v>417.71542828689735</v>
      </c>
      <c r="J769" s="7"/>
      <c r="K769" s="7" cm="1">
        <f t="array" ref="K769">INDEX(Sm,G769)</f>
        <v>0.72334113060077332</v>
      </c>
      <c r="L769" s="7">
        <f t="shared" si="63"/>
        <v>418.43876941749812</v>
      </c>
    </row>
    <row r="770" spans="6:12" ht="18.75" customHeight="1">
      <c r="F770" s="1">
        <v>44774</v>
      </c>
      <c r="G770">
        <f t="shared" si="57"/>
        <v>8</v>
      </c>
      <c r="I770" s="7">
        <f t="shared" si="62"/>
        <v>417.92296484488452</v>
      </c>
      <c r="J770" s="7"/>
      <c r="K770" s="7" cm="1">
        <f t="array" ref="K770">INDEX(Sm,G770)</f>
        <v>-1.3975570061157723</v>
      </c>
      <c r="L770" s="7">
        <f t="shared" si="63"/>
        <v>416.52540783876873</v>
      </c>
    </row>
    <row r="771" spans="6:12" ht="18.75" customHeight="1">
      <c r="F771" s="1">
        <v>44805</v>
      </c>
      <c r="G771">
        <f t="shared" ref="G771:G834" si="64">MONTH(F771)</f>
        <v>9</v>
      </c>
      <c r="I771" s="7">
        <f t="shared" si="62"/>
        <v>418.13068984980305</v>
      </c>
      <c r="J771" s="7"/>
      <c r="K771" s="7" cm="1">
        <f t="array" ref="K771">INDEX(Sm,G771)</f>
        <v>-3.1934822994410497</v>
      </c>
      <c r="L771" s="7">
        <f t="shared" si="63"/>
        <v>414.93720755036202</v>
      </c>
    </row>
    <row r="772" spans="6:12" ht="18.75" customHeight="1">
      <c r="F772" s="1">
        <v>44835</v>
      </c>
      <c r="G772">
        <f t="shared" si="64"/>
        <v>10</v>
      </c>
      <c r="I772" s="7">
        <f t="shared" si="62"/>
        <v>418.33189347469005</v>
      </c>
      <c r="J772" s="7"/>
      <c r="K772" s="7" cm="1">
        <f t="array" ref="K772">INDEX(Sm,G772)</f>
        <v>-3.3368150874962788</v>
      </c>
      <c r="L772" s="7">
        <f t="shared" si="63"/>
        <v>414.99507838719376</v>
      </c>
    </row>
    <row r="773" spans="6:12" ht="18.75" customHeight="1">
      <c r="F773" s="1">
        <v>44866</v>
      </c>
      <c r="G773">
        <f t="shared" si="64"/>
        <v>11</v>
      </c>
      <c r="I773" s="7">
        <f t="shared" si="62"/>
        <v>418.53998929453792</v>
      </c>
      <c r="J773" s="7"/>
      <c r="K773" s="7" cm="1">
        <f t="array" ref="K773">INDEX(Sm,G773)</f>
        <v>-2.0591623324975612</v>
      </c>
      <c r="L773" s="7">
        <f t="shared" si="63"/>
        <v>416.48082696204034</v>
      </c>
    </row>
    <row r="774" spans="6:12" ht="18.75" customHeight="1">
      <c r="F774" s="1">
        <v>44896</v>
      </c>
      <c r="G774">
        <f t="shared" si="64"/>
        <v>12</v>
      </c>
      <c r="I774" s="7">
        <f t="shared" si="62"/>
        <v>418.74155177258228</v>
      </c>
      <c r="J774" s="7"/>
      <c r="K774" s="7" cm="1">
        <f t="array" ref="K774">INDEX(Sm,G774)</f>
        <v>-0.89132446529561371</v>
      </c>
      <c r="L774" s="7">
        <f t="shared" si="63"/>
        <v>417.85022730728667</v>
      </c>
    </row>
    <row r="775" spans="6:12" ht="18.75" customHeight="1">
      <c r="F775" s="1">
        <v>44927</v>
      </c>
      <c r="G775">
        <f t="shared" si="64"/>
        <v>1</v>
      </c>
      <c r="I775" s="7">
        <f t="shared" si="62"/>
        <v>418.95001840735949</v>
      </c>
      <c r="J775" s="7"/>
      <c r="K775" s="7" cm="1">
        <f t="array" ref="K775">INDEX(Sm,G775)</f>
        <v>6.1040869584970889E-2</v>
      </c>
      <c r="L775" s="7">
        <f t="shared" si="63"/>
        <v>419.01105927694448</v>
      </c>
    </row>
    <row r="776" spans="6:12" ht="18.75" customHeight="1">
      <c r="F776" s="1">
        <v>44958</v>
      </c>
      <c r="G776">
        <f t="shared" si="64"/>
        <v>2</v>
      </c>
      <c r="I776" s="7">
        <f t="shared" si="62"/>
        <v>419.15867348906795</v>
      </c>
      <c r="J776" s="7"/>
      <c r="K776" s="7" cm="1">
        <f t="array" ref="K776">INDEX(Sm,G776)</f>
        <v>0.69421564520236412</v>
      </c>
      <c r="L776" s="7">
        <f t="shared" si="63"/>
        <v>419.8528891342703</v>
      </c>
    </row>
    <row r="777" spans="6:12" ht="18.75" customHeight="1">
      <c r="F777" s="1">
        <v>44986</v>
      </c>
      <c r="G777">
        <f t="shared" si="64"/>
        <v>3</v>
      </c>
      <c r="I777" s="7">
        <f t="shared" si="62"/>
        <v>419.34729811767176</v>
      </c>
      <c r="J777" s="7"/>
      <c r="K777" s="7" cm="1">
        <f t="array" ref="K777">INDEX(Sm,G777)</f>
        <v>1.3733706304072995</v>
      </c>
      <c r="L777" s="7">
        <f t="shared" si="63"/>
        <v>420.72066874807905</v>
      </c>
    </row>
    <row r="778" spans="6:12" ht="18.75" customHeight="1">
      <c r="F778" s="1">
        <v>45017</v>
      </c>
      <c r="G778">
        <f t="shared" si="64"/>
        <v>4</v>
      </c>
      <c r="I778" s="7">
        <f t="shared" si="62"/>
        <v>419.55631185644307</v>
      </c>
      <c r="J778" s="7"/>
      <c r="K778" s="7" cm="1">
        <f t="array" ref="K778">INDEX(Sm,G778)</f>
        <v>2.6099183412742755</v>
      </c>
      <c r="L778" s="7">
        <f t="shared" si="63"/>
        <v>422.16623019771737</v>
      </c>
    </row>
    <row r="779" spans="6:12" ht="18.75" customHeight="1">
      <c r="F779" s="1">
        <v>45047</v>
      </c>
      <c r="G779">
        <f t="shared" si="64"/>
        <v>5</v>
      </c>
      <c r="I779" s="7">
        <f t="shared" si="62"/>
        <v>419.75876264312302</v>
      </c>
      <c r="J779" s="7"/>
      <c r="K779" s="7" cm="1">
        <f t="array" ref="K779">INDEX(Sm,G779)</f>
        <v>3.065291801195754</v>
      </c>
      <c r="L779" s="7">
        <f t="shared" si="63"/>
        <v>422.82405444431879</v>
      </c>
    </row>
    <row r="780" spans="6:12" ht="18.75" customHeight="1">
      <c r="F780" s="1">
        <v>45078</v>
      </c>
      <c r="G780">
        <f t="shared" si="64"/>
        <v>6</v>
      </c>
      <c r="I780" s="7">
        <f t="shared" si="62"/>
        <v>419.96814719682362</v>
      </c>
      <c r="J780" s="7"/>
      <c r="K780" s="7" cm="1">
        <f t="array" ref="K780">INDEX(Sm,G780)</f>
        <v>2.3463851222642056</v>
      </c>
      <c r="L780" s="7">
        <f t="shared" si="63"/>
        <v>422.31453231908785</v>
      </c>
    </row>
    <row r="781" spans="6:12" ht="18.75" customHeight="1">
      <c r="F781" s="1">
        <v>45108</v>
      </c>
      <c r="G781">
        <f t="shared" si="64"/>
        <v>7</v>
      </c>
      <c r="I781" s="7">
        <f t="shared" si="62"/>
        <v>420.17095683666105</v>
      </c>
      <c r="J781" s="7"/>
      <c r="K781" s="7" cm="1">
        <f t="array" ref="K781">INDEX(Sm,G781)</f>
        <v>0.72334113060077332</v>
      </c>
      <c r="L781" s="7">
        <f t="shared" si="63"/>
        <v>420.89429796726182</v>
      </c>
    </row>
    <row r="782" spans="6:12" ht="18.75" customHeight="1">
      <c r="F782" s="1">
        <v>45139</v>
      </c>
      <c r="G782">
        <f t="shared" si="64"/>
        <v>8</v>
      </c>
      <c r="I782" s="7">
        <f t="shared" si="62"/>
        <v>420.38071220529099</v>
      </c>
      <c r="J782" s="7"/>
      <c r="K782" s="7" cm="1">
        <f t="array" ref="K782">INDEX(Sm,G782)</f>
        <v>-1.3975570061157723</v>
      </c>
      <c r="L782" s="7">
        <f t="shared" si="63"/>
        <v>418.9831551991752</v>
      </c>
    </row>
    <row r="783" spans="6:12" ht="18.75" customHeight="1">
      <c r="F783" s="1">
        <v>45170</v>
      </c>
      <c r="G783">
        <f t="shared" si="64"/>
        <v>9</v>
      </c>
      <c r="I783" s="7">
        <f t="shared" si="62"/>
        <v>420.59065602085224</v>
      </c>
      <c r="J783" s="7"/>
      <c r="K783" s="7" cm="1">
        <f t="array" ref="K783">INDEX(Sm,G783)</f>
        <v>-3.1934822994410497</v>
      </c>
      <c r="L783" s="7">
        <f t="shared" si="63"/>
        <v>417.39717372141121</v>
      </c>
    </row>
    <row r="784" spans="6:12" ht="18.75" customHeight="1">
      <c r="F784" s="1">
        <v>45200</v>
      </c>
      <c r="G784">
        <f t="shared" si="64"/>
        <v>10</v>
      </c>
      <c r="I784" s="7">
        <f t="shared" si="62"/>
        <v>420.79400688184506</v>
      </c>
      <c r="J784" s="7"/>
      <c r="K784" s="7" cm="1">
        <f t="array" ref="K784">INDEX(Sm,G784)</f>
        <v>-3.3368150874962788</v>
      </c>
      <c r="L784" s="7">
        <f t="shared" si="63"/>
        <v>417.45719179434877</v>
      </c>
    </row>
    <row r="785" spans="6:12" ht="18.75" customHeight="1">
      <c r="F785" s="1">
        <v>45231</v>
      </c>
      <c r="G785">
        <f t="shared" si="64"/>
        <v>11</v>
      </c>
      <c r="I785" s="7">
        <f t="shared" si="62"/>
        <v>421.00432151233565</v>
      </c>
      <c r="J785" s="7"/>
      <c r="K785" s="7" cm="1">
        <f t="array" ref="K785">INDEX(Sm,G785)</f>
        <v>-2.0591623324975612</v>
      </c>
      <c r="L785" s="7">
        <f t="shared" si="63"/>
        <v>418.94515917983807</v>
      </c>
    </row>
    <row r="786" spans="6:12" ht="18.75" customHeight="1">
      <c r="F786" s="1">
        <v>45261</v>
      </c>
      <c r="G786">
        <f t="shared" si="64"/>
        <v>12</v>
      </c>
      <c r="I786" s="7">
        <f t="shared" si="62"/>
        <v>421.2080312264859</v>
      </c>
      <c r="J786" s="7"/>
      <c r="K786" s="7" cm="1">
        <f t="array" ref="K786">INDEX(Sm,G786)</f>
        <v>-0.89132446529561371</v>
      </c>
      <c r="L786" s="7">
        <f t="shared" si="63"/>
        <v>420.31670676119029</v>
      </c>
    </row>
    <row r="787" spans="6:12" ht="18.75" customHeight="1">
      <c r="F787" s="1">
        <v>45292</v>
      </c>
      <c r="G787">
        <f t="shared" si="64"/>
        <v>1</v>
      </c>
      <c r="I787" s="7">
        <f t="shared" si="62"/>
        <v>421.41871667190583</v>
      </c>
      <c r="J787" s="7"/>
      <c r="K787" s="7" cm="1">
        <f t="array" ref="K787">INDEX(Sm,G787)</f>
        <v>6.1040869584970889E-2</v>
      </c>
      <c r="L787" s="7">
        <f t="shared" si="63"/>
        <v>421.47975754149081</v>
      </c>
    </row>
    <row r="788" spans="6:12" ht="18.75" customHeight="1">
      <c r="F788" s="1">
        <v>45323</v>
      </c>
      <c r="G788">
        <f t="shared" si="64"/>
        <v>2</v>
      </c>
      <c r="I788" s="7">
        <f t="shared" si="62"/>
        <v>421.62959056425711</v>
      </c>
      <c r="J788" s="7"/>
      <c r="K788" s="7" cm="1">
        <f t="array" ref="K788">INDEX(Sm,G788)</f>
        <v>0.69421564520236412</v>
      </c>
      <c r="L788" s="7">
        <f t="shared" si="63"/>
        <v>422.32380620945946</v>
      </c>
    </row>
    <row r="789" spans="6:12" ht="18.75" customHeight="1">
      <c r="F789" s="1">
        <v>45352</v>
      </c>
      <c r="G789">
        <f t="shared" si="64"/>
        <v>3</v>
      </c>
      <c r="I789" s="7">
        <f t="shared" si="62"/>
        <v>421.82703029168056</v>
      </c>
      <c r="J789" s="7"/>
      <c r="K789" s="7" cm="1">
        <f t="array" ref="K789">INDEX(Sm,G789)</f>
        <v>1.3733706304072995</v>
      </c>
      <c r="L789" s="7">
        <f t="shared" si="63"/>
        <v>423.20040092208785</v>
      </c>
    </row>
    <row r="790" spans="6:12" ht="18.75" customHeight="1">
      <c r="F790" s="1">
        <v>45383</v>
      </c>
      <c r="G790">
        <f t="shared" si="64"/>
        <v>4</v>
      </c>
      <c r="I790" s="7">
        <f t="shared" si="62"/>
        <v>422.03826892002786</v>
      </c>
      <c r="J790" s="7"/>
      <c r="K790" s="7" cm="1">
        <f t="array" ref="K790">INDEX(Sm,G790)</f>
        <v>2.6099183412742755</v>
      </c>
      <c r="L790" s="7">
        <f t="shared" si="63"/>
        <v>424.64818726130216</v>
      </c>
    </row>
    <row r="791" spans="6:12" ht="18.75" customHeight="1">
      <c r="F791" s="1">
        <v>45413</v>
      </c>
      <c r="G791">
        <f t="shared" si="64"/>
        <v>5</v>
      </c>
      <c r="I791" s="7">
        <f t="shared" si="62"/>
        <v>422.24287282565234</v>
      </c>
      <c r="J791" s="7"/>
      <c r="K791" s="7" cm="1">
        <f t="array" ref="K791">INDEX(Sm,G791)</f>
        <v>3.065291801195754</v>
      </c>
      <c r="L791" s="7">
        <f t="shared" si="63"/>
        <v>425.30816462684811</v>
      </c>
    </row>
    <row r="792" spans="6:12" ht="18.75" customHeight="1">
      <c r="F792" s="1">
        <v>45444</v>
      </c>
      <c r="G792">
        <f t="shared" si="64"/>
        <v>6</v>
      </c>
      <c r="I792" s="7">
        <f t="shared" si="62"/>
        <v>422.45448226892898</v>
      </c>
      <c r="J792" s="7"/>
      <c r="K792" s="7" cm="1">
        <f t="array" ref="K792">INDEX(Sm,G792)</f>
        <v>2.3463851222642056</v>
      </c>
      <c r="L792" s="7">
        <f t="shared" si="63"/>
        <v>424.80086739119321</v>
      </c>
    </row>
    <row r="793" spans="6:12" ht="18.75" customHeight="1">
      <c r="F793" s="1">
        <v>45474</v>
      </c>
      <c r="G793">
        <f t="shared" si="64"/>
        <v>7</v>
      </c>
      <c r="I793" s="7">
        <f t="shared" si="62"/>
        <v>422.65944502771083</v>
      </c>
      <c r="J793" s="7"/>
      <c r="K793" s="7" cm="1">
        <f t="array" ref="K793">INDEX(Sm,G793)</f>
        <v>0.72334113060077332</v>
      </c>
      <c r="L793" s="7">
        <f t="shared" si="63"/>
        <v>423.3827861583116</v>
      </c>
    </row>
    <row r="794" spans="6:12" ht="18.75" customHeight="1">
      <c r="F794" s="1">
        <v>45505</v>
      </c>
      <c r="G794">
        <f t="shared" si="64"/>
        <v>8</v>
      </c>
      <c r="I794" s="7">
        <f t="shared" si="62"/>
        <v>422.87142528591681</v>
      </c>
      <c r="J794" s="7"/>
      <c r="K794" s="7" cm="1">
        <f t="array" ref="K794">INDEX(Sm,G794)</f>
        <v>-1.3975570061157723</v>
      </c>
      <c r="L794" s="7">
        <f t="shared" si="63"/>
        <v>421.47386827980102</v>
      </c>
    </row>
    <row r="795" spans="6:12" ht="18.75" customHeight="1">
      <c r="F795" s="1">
        <v>45536</v>
      </c>
      <c r="G795">
        <f t="shared" si="64"/>
        <v>9</v>
      </c>
      <c r="I795" s="7">
        <f t="shared" si="62"/>
        <v>423.0835939910541</v>
      </c>
      <c r="J795" s="7"/>
      <c r="K795" s="7" cm="1">
        <f t="array" ref="K795">INDEX(Sm,G795)</f>
        <v>-3.1934822994410497</v>
      </c>
      <c r="L795" s="7">
        <f t="shared" si="63"/>
        <v>419.89011169161307</v>
      </c>
    </row>
    <row r="796" spans="6:12" ht="18.75" customHeight="1">
      <c r="F796" s="1">
        <v>45566</v>
      </c>
      <c r="G796">
        <f t="shared" si="64"/>
        <v>10</v>
      </c>
      <c r="I796" s="7">
        <f t="shared" si="62"/>
        <v>423.28909797099141</v>
      </c>
      <c r="J796" s="7"/>
      <c r="K796" s="7" cm="1">
        <f t="array" ref="K796">INDEX(Sm,G796)</f>
        <v>-3.3368150874962788</v>
      </c>
      <c r="L796" s="7">
        <f t="shared" si="63"/>
        <v>419.95228288349512</v>
      </c>
    </row>
    <row r="797" spans="6:12" ht="18.75" customHeight="1">
      <c r="F797" s="1">
        <v>45597</v>
      </c>
      <c r="G797">
        <f t="shared" si="64"/>
        <v>11</v>
      </c>
      <c r="I797" s="7">
        <f t="shared" si="62"/>
        <v>423.50163749105803</v>
      </c>
      <c r="J797" s="7"/>
      <c r="K797" s="7" cm="1">
        <f t="array" ref="K797">INDEX(Sm,G797)</f>
        <v>-2.0591623324975612</v>
      </c>
      <c r="L797" s="7">
        <f t="shared" si="63"/>
        <v>421.44247515856046</v>
      </c>
    </row>
    <row r="798" spans="6:12" ht="18.75" customHeight="1">
      <c r="F798" s="1">
        <v>45627</v>
      </c>
      <c r="G798">
        <f t="shared" si="64"/>
        <v>12</v>
      </c>
      <c r="I798" s="7">
        <f t="shared" si="62"/>
        <v>423.70750032415282</v>
      </c>
      <c r="J798" s="7"/>
      <c r="K798" s="7" cm="1">
        <f t="array" ref="K798">INDEX(Sm,G798)</f>
        <v>-0.89132446529561371</v>
      </c>
      <c r="L798" s="7">
        <f t="shared" si="63"/>
        <v>422.81617585885721</v>
      </c>
    </row>
    <row r="799" spans="6:12" ht="18.75" customHeight="1">
      <c r="F799" s="1">
        <v>45658</v>
      </c>
      <c r="G799">
        <f t="shared" si="64"/>
        <v>1</v>
      </c>
      <c r="I799" s="7">
        <f t="shared" si="62"/>
        <v>423.92041065914867</v>
      </c>
      <c r="J799" s="7"/>
      <c r="K799" s="7" cm="1">
        <f t="array" ref="K799">INDEX(Sm,G799)</f>
        <v>6.1040869584970889E-2</v>
      </c>
      <c r="L799" s="7">
        <f t="shared" si="63"/>
        <v>423.98145152873366</v>
      </c>
    </row>
    <row r="800" spans="6:12" ht="18.75" customHeight="1">
      <c r="F800" s="1">
        <v>45689</v>
      </c>
      <c r="G800">
        <f t="shared" si="64"/>
        <v>2</v>
      </c>
      <c r="I800" s="7">
        <f t="shared" si="62"/>
        <v>424.13350944107594</v>
      </c>
      <c r="J800" s="7"/>
      <c r="K800" s="7" cm="1">
        <f t="array" ref="K800">INDEX(Sm,G800)</f>
        <v>0.69421564520236412</v>
      </c>
      <c r="L800" s="7">
        <f t="shared" si="63"/>
        <v>424.82772508627829</v>
      </c>
    </row>
    <row r="801" spans="6:12" ht="18.75" customHeight="1">
      <c r="F801" s="1">
        <v>45717</v>
      </c>
      <c r="G801">
        <f t="shared" si="64"/>
        <v>3</v>
      </c>
      <c r="I801" s="7">
        <f t="shared" si="62"/>
        <v>424.32614773439337</v>
      </c>
      <c r="J801" s="7"/>
      <c r="K801" s="7" cm="1">
        <f t="array" ref="K801">INDEX(Sm,G801)</f>
        <v>1.3733706304072995</v>
      </c>
      <c r="L801" s="7">
        <f t="shared" si="63"/>
        <v>425.69951836480067</v>
      </c>
    </row>
    <row r="802" spans="6:12" ht="18.75" customHeight="1">
      <c r="F802" s="1">
        <v>45748</v>
      </c>
      <c r="G802">
        <f t="shared" si="64"/>
        <v>4</v>
      </c>
      <c r="I802" s="7">
        <f t="shared" si="62"/>
        <v>424.53960517338345</v>
      </c>
      <c r="J802" s="7"/>
      <c r="K802" s="7" cm="1">
        <f t="array" ref="K802">INDEX(Sm,G802)</f>
        <v>2.6099183412742755</v>
      </c>
      <c r="L802" s="7">
        <f t="shared" si="63"/>
        <v>427.14952351465774</v>
      </c>
    </row>
    <row r="803" spans="6:12" ht="18.75" customHeight="1">
      <c r="F803" s="1">
        <v>45778</v>
      </c>
      <c r="G803">
        <f t="shared" si="64"/>
        <v>5</v>
      </c>
      <c r="I803" s="7">
        <f t="shared" si="62"/>
        <v>424.74635631511376</v>
      </c>
      <c r="J803" s="7"/>
      <c r="K803" s="7" cm="1">
        <f t="array" ref="K803">INDEX(Sm,G803)</f>
        <v>3.065291801195754</v>
      </c>
      <c r="L803" s="7">
        <f t="shared" si="63"/>
        <v>427.81164811630953</v>
      </c>
    </row>
    <row r="804" spans="6:12" ht="18.75" customHeight="1">
      <c r="F804" s="1">
        <v>45809</v>
      </c>
      <c r="G804">
        <f t="shared" si="64"/>
        <v>6</v>
      </c>
      <c r="I804" s="7">
        <f t="shared" si="62"/>
        <v>424.96018456903312</v>
      </c>
      <c r="J804" s="7"/>
      <c r="K804" s="7" cm="1">
        <f t="array" ref="K804">INDEX(Sm,G804)</f>
        <v>2.3463851222642056</v>
      </c>
      <c r="L804" s="7">
        <f t="shared" si="63"/>
        <v>427.30656969129734</v>
      </c>
    </row>
    <row r="805" spans="6:12" ht="18.75" customHeight="1">
      <c r="F805" s="1">
        <v>45839</v>
      </c>
      <c r="G805">
        <f t="shared" si="64"/>
        <v>7</v>
      </c>
      <c r="I805" s="7">
        <f t="shared" si="62"/>
        <v>425.1672945639209</v>
      </c>
      <c r="J805" s="7"/>
      <c r="K805" s="7" cm="1">
        <f t="array" ref="K805">INDEX(Sm,G805)</f>
        <v>0.72334113060077332</v>
      </c>
      <c r="L805" s="7">
        <f t="shared" si="63"/>
        <v>425.89063569452168</v>
      </c>
    </row>
    <row r="806" spans="6:12" ht="18.75" customHeight="1">
      <c r="F806" s="1">
        <v>45870</v>
      </c>
      <c r="G806">
        <f t="shared" si="64"/>
        <v>8</v>
      </c>
      <c r="I806" s="7">
        <f t="shared" si="62"/>
        <v>425.38149363276955</v>
      </c>
      <c r="J806" s="7"/>
      <c r="K806" s="7" cm="1">
        <f t="array" ref="K806">INDEX(Sm,G806)</f>
        <v>-1.3975570061157723</v>
      </c>
      <c r="L806" s="7">
        <f t="shared" si="63"/>
        <v>423.98393662665376</v>
      </c>
    </row>
    <row r="807" spans="6:12" ht="18.75" customHeight="1">
      <c r="F807" s="1">
        <v>45901</v>
      </c>
      <c r="G807">
        <f t="shared" si="64"/>
        <v>9</v>
      </c>
      <c r="I807" s="7">
        <f t="shared" si="62"/>
        <v>425.59588114854955</v>
      </c>
      <c r="J807" s="7"/>
      <c r="K807" s="7" cm="1">
        <f t="array" ref="K807">INDEX(Sm,G807)</f>
        <v>-3.1934822994410497</v>
      </c>
      <c r="L807" s="7">
        <f t="shared" si="63"/>
        <v>422.40239884910852</v>
      </c>
    </row>
    <row r="808" spans="6:12" ht="18.75" customHeight="1">
      <c r="F808" s="1">
        <v>45931</v>
      </c>
      <c r="G808">
        <f t="shared" si="64"/>
        <v>10</v>
      </c>
      <c r="I808" s="7">
        <f t="shared" ref="I808:I871" si="65">_A*F808*F808+_B*F808+_C</f>
        <v>425.80353236459274</v>
      </c>
      <c r="J808" s="7"/>
      <c r="K808" s="7" cm="1">
        <f t="array" ref="K808">INDEX(Sm,G808)</f>
        <v>-3.3368150874962788</v>
      </c>
      <c r="L808" s="7">
        <f t="shared" ref="L808:L871" si="66">I808+K808</f>
        <v>422.46671727709645</v>
      </c>
    </row>
    <row r="809" spans="6:12" ht="18.75" customHeight="1">
      <c r="F809" s="1">
        <v>45962</v>
      </c>
      <c r="G809">
        <f t="shared" si="64"/>
        <v>11</v>
      </c>
      <c r="I809" s="7">
        <f t="shared" si="65"/>
        <v>426.01829069530208</v>
      </c>
      <c r="J809" s="7"/>
      <c r="K809" s="7" cm="1">
        <f t="array" ref="K809">INDEX(Sm,G809)</f>
        <v>-2.0591623324975612</v>
      </c>
      <c r="L809" s="7">
        <f t="shared" si="66"/>
        <v>423.95912836280451</v>
      </c>
    </row>
    <row r="810" spans="6:12" ht="18.75" customHeight="1">
      <c r="F810" s="1">
        <v>45992</v>
      </c>
      <c r="G810">
        <f t="shared" si="64"/>
        <v>12</v>
      </c>
      <c r="I810" s="7">
        <f t="shared" si="65"/>
        <v>426.2263007645027</v>
      </c>
      <c r="J810" s="7"/>
      <c r="K810" s="7" cm="1">
        <f t="array" ref="K810">INDEX(Sm,G810)</f>
        <v>-0.89132446529561371</v>
      </c>
      <c r="L810" s="7">
        <f t="shared" si="66"/>
        <v>425.33497629920709</v>
      </c>
    </row>
    <row r="811" spans="6:12" ht="18.75" customHeight="1">
      <c r="F811" s="1">
        <v>46023</v>
      </c>
      <c r="G811">
        <f t="shared" si="64"/>
        <v>1</v>
      </c>
      <c r="I811" s="7">
        <f t="shared" si="65"/>
        <v>426.44142991014138</v>
      </c>
      <c r="J811" s="7"/>
      <c r="K811" s="7" cm="1">
        <f t="array" ref="K811">INDEX(Sm,G811)</f>
        <v>6.1040869584970889E-2</v>
      </c>
      <c r="L811" s="7">
        <f t="shared" si="66"/>
        <v>426.50247077972637</v>
      </c>
    </row>
    <row r="812" spans="6:12" ht="18.75" customHeight="1">
      <c r="F812" s="1">
        <v>46054</v>
      </c>
      <c r="G812">
        <f t="shared" si="64"/>
        <v>2</v>
      </c>
      <c r="I812" s="7">
        <f t="shared" si="65"/>
        <v>426.65674750271131</v>
      </c>
      <c r="J812" s="7"/>
      <c r="K812" s="7" cm="1">
        <f t="array" ref="K812">INDEX(Sm,G812)</f>
        <v>0.69421564520236412</v>
      </c>
      <c r="L812" s="7">
        <f t="shared" si="66"/>
        <v>427.35096314791366</v>
      </c>
    </row>
    <row r="813" spans="6:12" ht="18.75" customHeight="1">
      <c r="F813" s="1">
        <v>46082</v>
      </c>
      <c r="G813">
        <f t="shared" si="64"/>
        <v>3</v>
      </c>
      <c r="I813" s="7">
        <f t="shared" si="65"/>
        <v>426.85138988306096</v>
      </c>
      <c r="J813" s="7"/>
      <c r="K813" s="7" cm="1">
        <f t="array" ref="K813">INDEX(Sm,G813)</f>
        <v>1.3733706304072995</v>
      </c>
      <c r="L813" s="7">
        <f t="shared" si="66"/>
        <v>428.22476051346825</v>
      </c>
    </row>
    <row r="814" spans="6:12" ht="18.75" customHeight="1">
      <c r="F814" s="1">
        <v>46113</v>
      </c>
      <c r="G814">
        <f t="shared" si="64"/>
        <v>4</v>
      </c>
      <c r="I814" s="7">
        <f t="shared" si="65"/>
        <v>427.06706613269364</v>
      </c>
      <c r="J814" s="7"/>
      <c r="K814" s="7" cm="1">
        <f t="array" ref="K814">INDEX(Sm,G814)</f>
        <v>2.6099183412742755</v>
      </c>
      <c r="L814" s="7">
        <f t="shared" si="66"/>
        <v>429.67698447396793</v>
      </c>
    </row>
    <row r="815" spans="6:12" ht="18.75" customHeight="1">
      <c r="F815" s="1">
        <v>46143</v>
      </c>
      <c r="G815">
        <f t="shared" si="64"/>
        <v>5</v>
      </c>
      <c r="I815" s="7">
        <f t="shared" si="65"/>
        <v>427.27596451052989</v>
      </c>
      <c r="J815" s="7"/>
      <c r="K815" s="7" cm="1">
        <f t="array" ref="K815">INDEX(Sm,G815)</f>
        <v>3.065291801195754</v>
      </c>
      <c r="L815" s="7">
        <f t="shared" si="66"/>
        <v>430.34125631172566</v>
      </c>
    </row>
    <row r="816" spans="6:12" ht="18.75" customHeight="1">
      <c r="F816" s="1">
        <v>46174</v>
      </c>
      <c r="G816">
        <f t="shared" si="64"/>
        <v>6</v>
      </c>
      <c r="I816" s="7">
        <f t="shared" si="65"/>
        <v>427.49201157509196</v>
      </c>
      <c r="J816" s="7"/>
      <c r="K816" s="7" cm="1">
        <f t="array" ref="K816">INDEX(Sm,G816)</f>
        <v>2.3463851222642056</v>
      </c>
      <c r="L816" s="7">
        <f t="shared" si="66"/>
        <v>429.83839669735619</v>
      </c>
    </row>
    <row r="817" spans="6:12" ht="18.75" customHeight="1">
      <c r="F817" s="1">
        <v>46204</v>
      </c>
      <c r="G817">
        <f t="shared" si="64"/>
        <v>7</v>
      </c>
      <c r="I817" s="7">
        <f t="shared" si="65"/>
        <v>427.70126880608558</v>
      </c>
      <c r="J817" s="7"/>
      <c r="K817" s="7" cm="1">
        <f t="array" ref="K817">INDEX(Sm,G817)</f>
        <v>0.72334113060077332</v>
      </c>
      <c r="L817" s="7">
        <f t="shared" si="66"/>
        <v>428.42460993668635</v>
      </c>
    </row>
    <row r="818" spans="6:12" ht="18.75" customHeight="1">
      <c r="F818" s="1">
        <v>46235</v>
      </c>
      <c r="G818">
        <f t="shared" si="64"/>
        <v>8</v>
      </c>
      <c r="I818" s="7">
        <f t="shared" si="65"/>
        <v>427.917686685577</v>
      </c>
      <c r="J818" s="7"/>
      <c r="K818" s="7" cm="1">
        <f t="array" ref="K818">INDEX(Sm,G818)</f>
        <v>-1.3975570061157723</v>
      </c>
      <c r="L818" s="7">
        <f t="shared" si="66"/>
        <v>426.52012967946121</v>
      </c>
    </row>
    <row r="819" spans="6:12" ht="18.75" customHeight="1">
      <c r="F819" s="1">
        <v>46266</v>
      </c>
      <c r="G819">
        <f t="shared" si="64"/>
        <v>9</v>
      </c>
      <c r="I819" s="7">
        <f t="shared" si="65"/>
        <v>428.13429301199972</v>
      </c>
      <c r="J819" s="7"/>
      <c r="K819" s="7" cm="1">
        <f t="array" ref="K819">INDEX(Sm,G819)</f>
        <v>-3.1934822994410497</v>
      </c>
      <c r="L819" s="7">
        <f t="shared" si="66"/>
        <v>424.94081071255869</v>
      </c>
    </row>
    <row r="820" spans="6:12" ht="18.75" customHeight="1">
      <c r="F820" s="1">
        <v>46296</v>
      </c>
      <c r="G820">
        <f t="shared" si="64"/>
        <v>10</v>
      </c>
      <c r="I820" s="7">
        <f t="shared" si="65"/>
        <v>428.34409146414879</v>
      </c>
      <c r="J820" s="7"/>
      <c r="K820" s="7" cm="1">
        <f t="array" ref="K820">INDEX(Sm,G820)</f>
        <v>-3.3368150874962788</v>
      </c>
      <c r="L820" s="7">
        <f t="shared" si="66"/>
        <v>425.0072763766525</v>
      </c>
    </row>
    <row r="821" spans="6:12" ht="18.75" customHeight="1">
      <c r="F821" s="1">
        <v>46327</v>
      </c>
      <c r="G821">
        <f t="shared" si="64"/>
        <v>11</v>
      </c>
      <c r="I821" s="7">
        <f t="shared" si="65"/>
        <v>428.56106860550085</v>
      </c>
      <c r="J821" s="7"/>
      <c r="K821" s="7" cm="1">
        <f t="array" ref="K821">INDEX(Sm,G821)</f>
        <v>-2.0591623324975612</v>
      </c>
      <c r="L821" s="7">
        <f t="shared" si="66"/>
        <v>426.50190627300327</v>
      </c>
    </row>
    <row r="822" spans="6:12" ht="18.75" customHeight="1">
      <c r="F822" s="1">
        <v>46357</v>
      </c>
      <c r="G822">
        <f t="shared" si="64"/>
        <v>12</v>
      </c>
      <c r="I822" s="7">
        <f t="shared" si="65"/>
        <v>428.7712259108074</v>
      </c>
      <c r="J822" s="7"/>
      <c r="K822" s="7" cm="1">
        <f t="array" ref="K822">INDEX(Sm,G822)</f>
        <v>-0.89132446529561371</v>
      </c>
      <c r="L822" s="7">
        <f t="shared" si="66"/>
        <v>427.87990144551179</v>
      </c>
    </row>
    <row r="823" spans="6:12" ht="18.75" customHeight="1">
      <c r="F823" s="1">
        <v>46388</v>
      </c>
      <c r="G823">
        <f t="shared" si="64"/>
        <v>1</v>
      </c>
      <c r="I823" s="7">
        <f t="shared" si="65"/>
        <v>428.98857386708875</v>
      </c>
      <c r="J823" s="7"/>
      <c r="K823" s="7" cm="1">
        <f t="array" ref="K823">INDEX(Sm,G823)</f>
        <v>6.1040869584970889E-2</v>
      </c>
      <c r="L823" s="7">
        <f t="shared" si="66"/>
        <v>429.04961473667373</v>
      </c>
    </row>
    <row r="824" spans="6:12" ht="18.75" customHeight="1">
      <c r="F824" s="1">
        <v>46419</v>
      </c>
      <c r="G824">
        <f t="shared" si="64"/>
        <v>2</v>
      </c>
      <c r="I824" s="7">
        <f t="shared" si="65"/>
        <v>429.20611027030145</v>
      </c>
      <c r="J824" s="7"/>
      <c r="K824" s="7" cm="1">
        <f t="array" ref="K824">INDEX(Sm,G824)</f>
        <v>0.69421564520236412</v>
      </c>
      <c r="L824" s="7">
        <f t="shared" si="66"/>
        <v>429.9003259155038</v>
      </c>
    </row>
    <row r="825" spans="6:12" ht="18.75" customHeight="1">
      <c r="F825" s="1">
        <v>46447</v>
      </c>
      <c r="G825">
        <f t="shared" si="64"/>
        <v>3</v>
      </c>
      <c r="I825" s="7">
        <f t="shared" si="65"/>
        <v>429.40275673768315</v>
      </c>
      <c r="J825" s="7"/>
      <c r="K825" s="7" cm="1">
        <f t="array" ref="K825">INDEX(Sm,G825)</f>
        <v>1.3733706304072995</v>
      </c>
      <c r="L825" s="7">
        <f t="shared" si="66"/>
        <v>430.77612736809044</v>
      </c>
    </row>
    <row r="826" spans="6:12" ht="18.75" customHeight="1">
      <c r="F826" s="1">
        <v>46478</v>
      </c>
      <c r="G826">
        <f t="shared" si="64"/>
        <v>4</v>
      </c>
      <c r="I826" s="7">
        <f t="shared" si="65"/>
        <v>429.62065179795866</v>
      </c>
      <c r="J826" s="7"/>
      <c r="K826" s="7" cm="1">
        <f t="array" ref="K826">INDEX(Sm,G826)</f>
        <v>2.6099183412742755</v>
      </c>
      <c r="L826" s="7">
        <f t="shared" si="66"/>
        <v>432.23057013923295</v>
      </c>
    </row>
    <row r="827" spans="6:12" ht="18.75" customHeight="1">
      <c r="F827" s="1">
        <v>46508</v>
      </c>
      <c r="G827">
        <f t="shared" si="64"/>
        <v>5</v>
      </c>
      <c r="I827" s="7">
        <f t="shared" si="65"/>
        <v>429.83169741190073</v>
      </c>
      <c r="J827" s="7"/>
      <c r="K827" s="7" cm="1">
        <f t="array" ref="K827">INDEX(Sm,G827)</f>
        <v>3.065291801195754</v>
      </c>
      <c r="L827" s="7">
        <f t="shared" si="66"/>
        <v>432.8969892130965</v>
      </c>
    </row>
    <row r="828" spans="6:12" ht="18.75" customHeight="1">
      <c r="F828" s="1">
        <v>46539</v>
      </c>
      <c r="G828">
        <f t="shared" si="64"/>
        <v>6</v>
      </c>
      <c r="I828" s="7">
        <f t="shared" si="65"/>
        <v>430.04996328710553</v>
      </c>
      <c r="J828" s="7"/>
      <c r="K828" s="7" cm="1">
        <f t="array" ref="K828">INDEX(Sm,G828)</f>
        <v>2.3463851222642056</v>
      </c>
      <c r="L828" s="7">
        <f t="shared" si="66"/>
        <v>432.39634840936975</v>
      </c>
    </row>
    <row r="829" spans="6:12" ht="18.75" customHeight="1">
      <c r="F829" s="1">
        <v>46569</v>
      </c>
      <c r="G829">
        <f t="shared" si="64"/>
        <v>7</v>
      </c>
      <c r="I829" s="7">
        <f t="shared" si="65"/>
        <v>430.26136775420503</v>
      </c>
      <c r="J829" s="7"/>
      <c r="K829" s="7" cm="1">
        <f t="array" ref="K829">INDEX(Sm,G829)</f>
        <v>0.72334113060077332</v>
      </c>
      <c r="L829" s="7">
        <f t="shared" si="66"/>
        <v>430.9847088848058</v>
      </c>
    </row>
    <row r="830" spans="6:12" ht="18.75" customHeight="1">
      <c r="F830" s="1">
        <v>46600</v>
      </c>
      <c r="G830">
        <f t="shared" si="64"/>
        <v>8</v>
      </c>
      <c r="I830" s="7">
        <f t="shared" si="65"/>
        <v>430.48000444433916</v>
      </c>
      <c r="J830" s="7"/>
      <c r="K830" s="7" cm="1">
        <f t="array" ref="K830">INDEX(Sm,G830)</f>
        <v>-1.3975570061157723</v>
      </c>
      <c r="L830" s="7">
        <f t="shared" si="66"/>
        <v>429.08244743822337</v>
      </c>
    </row>
    <row r="831" spans="6:12" ht="18.75" customHeight="1">
      <c r="F831" s="1">
        <v>46631</v>
      </c>
      <c r="G831">
        <f t="shared" si="64"/>
        <v>9</v>
      </c>
      <c r="I831" s="7">
        <f t="shared" si="65"/>
        <v>430.69882958140465</v>
      </c>
      <c r="J831" s="7"/>
      <c r="K831" s="7" cm="1">
        <f t="array" ref="K831">INDEX(Sm,G831)</f>
        <v>-3.1934822994410497</v>
      </c>
      <c r="L831" s="7">
        <f t="shared" si="66"/>
        <v>427.50534728196362</v>
      </c>
    </row>
    <row r="832" spans="6:12" ht="18.75" customHeight="1">
      <c r="F832" s="1">
        <v>46661</v>
      </c>
      <c r="G832">
        <f t="shared" si="64"/>
        <v>10</v>
      </c>
      <c r="I832" s="7">
        <f t="shared" si="65"/>
        <v>430.91077526965955</v>
      </c>
      <c r="J832" s="7"/>
      <c r="K832" s="7" cm="1">
        <f t="array" ref="K832">INDEX(Sm,G832)</f>
        <v>-3.3368150874962788</v>
      </c>
      <c r="L832" s="7">
        <f t="shared" si="66"/>
        <v>427.57396018216326</v>
      </c>
    </row>
    <row r="833" spans="6:12" ht="18.75" customHeight="1">
      <c r="F833" s="1">
        <v>46692</v>
      </c>
      <c r="G833">
        <f t="shared" si="64"/>
        <v>11</v>
      </c>
      <c r="I833" s="7">
        <f t="shared" si="65"/>
        <v>431.12997122165439</v>
      </c>
      <c r="J833" s="7"/>
      <c r="K833" s="7" cm="1">
        <f t="array" ref="K833">INDEX(Sm,G833)</f>
        <v>-2.0591623324975612</v>
      </c>
      <c r="L833" s="7">
        <f t="shared" si="66"/>
        <v>429.07080888915681</v>
      </c>
    </row>
    <row r="834" spans="6:12" ht="18.75" customHeight="1">
      <c r="F834" s="1">
        <v>46722</v>
      </c>
      <c r="G834">
        <f t="shared" si="64"/>
        <v>12</v>
      </c>
      <c r="I834" s="7">
        <f t="shared" si="65"/>
        <v>431.34227576306671</v>
      </c>
      <c r="J834" s="7"/>
      <c r="K834" s="7" cm="1">
        <f t="array" ref="K834">INDEX(Sm,G834)</f>
        <v>-0.89132446529561371</v>
      </c>
      <c r="L834" s="7">
        <f t="shared" si="66"/>
        <v>430.4509512977711</v>
      </c>
    </row>
    <row r="835" spans="6:12" ht="18.75" customHeight="1">
      <c r="F835" s="1">
        <v>46753</v>
      </c>
      <c r="G835">
        <f t="shared" ref="G835:G898" si="67">MONTH(F835)</f>
        <v>1</v>
      </c>
      <c r="I835" s="7">
        <f t="shared" si="65"/>
        <v>431.56184252999083</v>
      </c>
      <c r="J835" s="7"/>
      <c r="K835" s="7" cm="1">
        <f t="array" ref="K835">INDEX(Sm,G835)</f>
        <v>6.1040869584970889E-2</v>
      </c>
      <c r="L835" s="7">
        <f t="shared" si="66"/>
        <v>431.62288339957581</v>
      </c>
    </row>
    <row r="836" spans="6:12" ht="18.75" customHeight="1">
      <c r="F836" s="1">
        <v>46784</v>
      </c>
      <c r="G836">
        <f t="shared" si="67"/>
        <v>2</v>
      </c>
      <c r="I836" s="7">
        <f t="shared" si="65"/>
        <v>431.78159774384619</v>
      </c>
      <c r="J836" s="7"/>
      <c r="K836" s="7" cm="1">
        <f t="array" ref="K836">INDEX(Sm,G836)</f>
        <v>0.69421564520236412</v>
      </c>
      <c r="L836" s="7">
        <f t="shared" si="66"/>
        <v>432.47581338904854</v>
      </c>
    </row>
    <row r="837" spans="6:12" ht="18.75" customHeight="1">
      <c r="F837" s="1">
        <v>46813</v>
      </c>
      <c r="G837">
        <f t="shared" si="67"/>
        <v>3</v>
      </c>
      <c r="I837" s="7">
        <f t="shared" si="65"/>
        <v>431.98734580428976</v>
      </c>
      <c r="J837" s="7"/>
      <c r="K837" s="7" cm="1">
        <f t="array" ref="K837">INDEX(Sm,G837)</f>
        <v>1.3733706304072995</v>
      </c>
      <c r="L837" s="7">
        <f t="shared" si="66"/>
        <v>433.36071643469705</v>
      </c>
    </row>
    <row r="838" spans="6:12" ht="18.75" customHeight="1">
      <c r="F838" s="1">
        <v>46844</v>
      </c>
      <c r="G838">
        <f t="shared" si="67"/>
        <v>4</v>
      </c>
      <c r="I838" s="7">
        <f t="shared" si="65"/>
        <v>432.20746575414125</v>
      </c>
      <c r="J838" s="7"/>
      <c r="K838" s="7" cm="1">
        <f t="array" ref="K838">INDEX(Sm,G838)</f>
        <v>2.6099183412742755</v>
      </c>
      <c r="L838" s="7">
        <f t="shared" si="66"/>
        <v>434.81738409541555</v>
      </c>
    </row>
    <row r="839" spans="6:12" ht="18.75" customHeight="1">
      <c r="F839" s="1">
        <v>46874</v>
      </c>
      <c r="G839">
        <f t="shared" si="67"/>
        <v>5</v>
      </c>
      <c r="I839" s="7">
        <f t="shared" si="65"/>
        <v>432.42066448702786</v>
      </c>
      <c r="J839" s="7"/>
      <c r="K839" s="7" cm="1">
        <f t="array" ref="K839">INDEX(Sm,G839)</f>
        <v>3.065291801195754</v>
      </c>
      <c r="L839" s="7">
        <f t="shared" si="66"/>
        <v>435.48595628822363</v>
      </c>
    </row>
    <row r="840" spans="6:12" ht="18.75" customHeight="1">
      <c r="F840" s="1">
        <v>46905</v>
      </c>
      <c r="G840">
        <f t="shared" si="67"/>
        <v>6</v>
      </c>
      <c r="I840" s="7">
        <f t="shared" si="65"/>
        <v>432.64115525180864</v>
      </c>
      <c r="J840" s="7"/>
      <c r="K840" s="7" cm="1">
        <f t="array" ref="K840">INDEX(Sm,G840)</f>
        <v>2.3463851222642056</v>
      </c>
      <c r="L840" s="7">
        <f t="shared" si="66"/>
        <v>434.98754037407286</v>
      </c>
    </row>
    <row r="841" spans="6:12" ht="18.75" customHeight="1">
      <c r="F841" s="1">
        <v>46935</v>
      </c>
      <c r="G841">
        <f t="shared" si="67"/>
        <v>7</v>
      </c>
      <c r="I841" s="7">
        <f t="shared" si="65"/>
        <v>432.85471283785267</v>
      </c>
      <c r="J841" s="7"/>
      <c r="K841" s="7" cm="1">
        <f t="array" ref="K841">INDEX(Sm,G841)</f>
        <v>0.72334113060077332</v>
      </c>
      <c r="L841" s="7">
        <f t="shared" si="66"/>
        <v>433.57805396845345</v>
      </c>
    </row>
    <row r="842" spans="6:12" ht="18.75" customHeight="1">
      <c r="F842" s="1">
        <v>46966</v>
      </c>
      <c r="G842">
        <f t="shared" si="67"/>
        <v>8</v>
      </c>
      <c r="I842" s="7">
        <f t="shared" si="65"/>
        <v>433.07557441756285</v>
      </c>
      <c r="J842" s="7"/>
      <c r="K842" s="7" cm="1">
        <f t="array" ref="K842">INDEX(Sm,G842)</f>
        <v>-1.3975570061157723</v>
      </c>
      <c r="L842" s="7">
        <f t="shared" si="66"/>
        <v>431.67801741144706</v>
      </c>
    </row>
    <row r="843" spans="6:12" ht="18.75" customHeight="1">
      <c r="F843" s="1">
        <v>46997</v>
      </c>
      <c r="G843">
        <f t="shared" si="67"/>
        <v>9</v>
      </c>
      <c r="I843" s="7">
        <f t="shared" si="65"/>
        <v>433.29662444420421</v>
      </c>
      <c r="J843" s="7"/>
      <c r="K843" s="7" cm="1">
        <f t="array" ref="K843">INDEX(Sm,G843)</f>
        <v>-3.1934822994410497</v>
      </c>
      <c r="L843" s="7">
        <f t="shared" si="66"/>
        <v>430.10314214476318</v>
      </c>
    </row>
    <row r="844" spans="6:12" ht="18.75" customHeight="1">
      <c r="F844" s="1">
        <v>47027</v>
      </c>
      <c r="G844">
        <f t="shared" si="67"/>
        <v>10</v>
      </c>
      <c r="I844" s="7">
        <f t="shared" si="65"/>
        <v>433.51072325140376</v>
      </c>
      <c r="J844" s="7"/>
      <c r="K844" s="7" cm="1">
        <f t="array" ref="K844">INDEX(Sm,G844)</f>
        <v>-3.3368150874962788</v>
      </c>
      <c r="L844" s="7">
        <f t="shared" si="66"/>
        <v>430.17390816390747</v>
      </c>
    </row>
    <row r="845" spans="6:12" ht="18.75" customHeight="1">
      <c r="F845" s="1">
        <v>47058</v>
      </c>
      <c r="G845">
        <f t="shared" si="67"/>
        <v>11</v>
      </c>
      <c r="I845" s="7">
        <f t="shared" si="65"/>
        <v>433.73214409297452</v>
      </c>
      <c r="J845" s="7"/>
      <c r="K845" s="7" cm="1">
        <f t="array" ref="K845">INDEX(Sm,G845)</f>
        <v>-2.0591623324975612</v>
      </c>
      <c r="L845" s="7">
        <f t="shared" si="66"/>
        <v>431.67298176047694</v>
      </c>
    </row>
    <row r="846" spans="6:12" ht="18.75" customHeight="1">
      <c r="F846" s="1">
        <v>47088</v>
      </c>
      <c r="G846">
        <f t="shared" si="67"/>
        <v>12</v>
      </c>
      <c r="I846" s="7">
        <f t="shared" si="65"/>
        <v>433.94660175333138</v>
      </c>
      <c r="J846" s="7"/>
      <c r="K846" s="7" cm="1">
        <f t="array" ref="K846">INDEX(Sm,G846)</f>
        <v>-0.89132446529561371</v>
      </c>
      <c r="L846" s="7">
        <f t="shared" si="66"/>
        <v>433.05527728803577</v>
      </c>
    </row>
    <row r="847" spans="6:12" ht="18.75" customHeight="1">
      <c r="F847" s="1">
        <v>47119</v>
      </c>
      <c r="G847">
        <f t="shared" si="67"/>
        <v>1</v>
      </c>
      <c r="I847" s="7">
        <f t="shared" si="65"/>
        <v>434.16839340983148</v>
      </c>
      <c r="J847" s="7"/>
      <c r="K847" s="7" cm="1">
        <f t="array" ref="K847">INDEX(Sm,G847)</f>
        <v>6.1040869584970889E-2</v>
      </c>
      <c r="L847" s="7">
        <f t="shared" si="66"/>
        <v>434.22943427941647</v>
      </c>
    </row>
    <row r="848" spans="6:12" ht="18.75" customHeight="1">
      <c r="F848" s="1">
        <v>47150</v>
      </c>
      <c r="G848">
        <f t="shared" si="67"/>
        <v>2</v>
      </c>
      <c r="I848" s="7">
        <f t="shared" si="65"/>
        <v>434.39037351326294</v>
      </c>
      <c r="J848" s="7"/>
      <c r="K848" s="7" cm="1">
        <f t="array" ref="K848">INDEX(Sm,G848)</f>
        <v>0.69421564520236412</v>
      </c>
      <c r="L848" s="7">
        <f t="shared" si="66"/>
        <v>435.08458915846529</v>
      </c>
    </row>
    <row r="849" spans="6:12" ht="18.75" customHeight="1">
      <c r="F849" s="1">
        <v>47178</v>
      </c>
      <c r="G849">
        <f t="shared" si="67"/>
        <v>3</v>
      </c>
      <c r="I849" s="7">
        <f t="shared" si="65"/>
        <v>434.59103364535838</v>
      </c>
      <c r="J849" s="7"/>
      <c r="K849" s="7" cm="1">
        <f t="array" ref="K849">INDEX(Sm,G849)</f>
        <v>1.3733706304072995</v>
      </c>
      <c r="L849" s="7">
        <f t="shared" si="66"/>
        <v>435.96440427576567</v>
      </c>
    </row>
    <row r="850" spans="6:12" ht="18.75" customHeight="1">
      <c r="F850" s="1">
        <v>47209</v>
      </c>
      <c r="G850">
        <f t="shared" si="67"/>
        <v>4</v>
      </c>
      <c r="I850" s="7">
        <f t="shared" si="65"/>
        <v>434.81337240585253</v>
      </c>
      <c r="J850" s="7"/>
      <c r="K850" s="7" cm="1">
        <f t="array" ref="K850">INDEX(Sm,G850)</f>
        <v>2.6099183412742755</v>
      </c>
      <c r="L850" s="7">
        <f t="shared" si="66"/>
        <v>437.42329074712683</v>
      </c>
    </row>
    <row r="851" spans="6:12" ht="18.75" customHeight="1">
      <c r="F851" s="1">
        <v>47239</v>
      </c>
      <c r="G851">
        <f t="shared" si="67"/>
        <v>5</v>
      </c>
      <c r="I851" s="7">
        <f t="shared" si="65"/>
        <v>435.02871837484497</v>
      </c>
      <c r="J851" s="7"/>
      <c r="K851" s="7" cm="1">
        <f t="array" ref="K851">INDEX(Sm,G851)</f>
        <v>3.065291801195754</v>
      </c>
      <c r="L851" s="7">
        <f t="shared" si="66"/>
        <v>438.09401017604074</v>
      </c>
    </row>
    <row r="852" spans="6:12" ht="18.75" customHeight="1">
      <c r="F852" s="1">
        <v>47270</v>
      </c>
      <c r="G852">
        <f t="shared" si="67"/>
        <v>6</v>
      </c>
      <c r="I852" s="7">
        <f t="shared" si="65"/>
        <v>435.25142795026858</v>
      </c>
      <c r="J852" s="7"/>
      <c r="K852" s="7" cm="1">
        <f t="array" ref="K852">INDEX(Sm,G852)</f>
        <v>2.3463851222642056</v>
      </c>
      <c r="L852" s="7">
        <f t="shared" si="66"/>
        <v>437.5978130725328</v>
      </c>
    </row>
    <row r="853" spans="6:12" ht="18.75" customHeight="1">
      <c r="F853" s="1">
        <v>47300</v>
      </c>
      <c r="G853">
        <f t="shared" si="67"/>
        <v>7</v>
      </c>
      <c r="I853" s="7">
        <f t="shared" si="65"/>
        <v>435.46713277241844</v>
      </c>
      <c r="J853" s="7"/>
      <c r="K853" s="7" cm="1">
        <f t="array" ref="K853">INDEX(Sm,G853)</f>
        <v>0.72334113060077332</v>
      </c>
      <c r="L853" s="7">
        <f t="shared" si="66"/>
        <v>436.19047390301921</v>
      </c>
    </row>
    <row r="854" spans="6:12" ht="18.75" customHeight="1">
      <c r="F854" s="1">
        <v>47331</v>
      </c>
      <c r="G854">
        <f t="shared" si="67"/>
        <v>8</v>
      </c>
      <c r="I854" s="7">
        <f t="shared" si="65"/>
        <v>435.69021316277127</v>
      </c>
      <c r="J854" s="7"/>
      <c r="K854" s="7" cm="1">
        <f t="array" ref="K854">INDEX(Sm,G854)</f>
        <v>-1.3975570061157723</v>
      </c>
      <c r="L854" s="7">
        <f t="shared" si="66"/>
        <v>434.29265615665548</v>
      </c>
    </row>
    <row r="855" spans="6:12" ht="18.75" customHeight="1">
      <c r="F855" s="1">
        <v>47362</v>
      </c>
      <c r="G855">
        <f t="shared" si="67"/>
        <v>9</v>
      </c>
      <c r="I855" s="7">
        <f t="shared" si="65"/>
        <v>435.91348200005547</v>
      </c>
      <c r="J855" s="7"/>
      <c r="K855" s="7" cm="1">
        <f t="array" ref="K855">INDEX(Sm,G855)</f>
        <v>-3.1934822994410497</v>
      </c>
      <c r="L855" s="7">
        <f t="shared" si="66"/>
        <v>432.71999970061444</v>
      </c>
    </row>
    <row r="856" spans="6:12" ht="18.75" customHeight="1">
      <c r="F856" s="1">
        <v>47392</v>
      </c>
      <c r="G856">
        <f t="shared" si="67"/>
        <v>10</v>
      </c>
      <c r="I856" s="7">
        <f t="shared" si="65"/>
        <v>436.12972804336079</v>
      </c>
      <c r="J856" s="7"/>
      <c r="K856" s="7" cm="1">
        <f t="array" ref="K856">INDEX(Sm,G856)</f>
        <v>-3.3368150874962788</v>
      </c>
      <c r="L856" s="7">
        <f t="shared" si="66"/>
        <v>432.79291295586449</v>
      </c>
    </row>
    <row r="857" spans="6:12" ht="18.75" customHeight="1">
      <c r="F857" s="1">
        <v>47423</v>
      </c>
      <c r="G857">
        <f t="shared" si="67"/>
        <v>11</v>
      </c>
      <c r="I857" s="7">
        <f t="shared" si="65"/>
        <v>436.35336769557432</v>
      </c>
      <c r="J857" s="7"/>
      <c r="K857" s="7" cm="1">
        <f t="array" ref="K857">INDEX(Sm,G857)</f>
        <v>-2.0591623324975612</v>
      </c>
      <c r="L857" s="7">
        <f t="shared" si="66"/>
        <v>434.29420536307674</v>
      </c>
    </row>
    <row r="858" spans="6:12" ht="18.75" customHeight="1">
      <c r="F858" s="1">
        <v>47453</v>
      </c>
      <c r="G858">
        <f t="shared" si="67"/>
        <v>12</v>
      </c>
      <c r="I858" s="7">
        <f t="shared" si="65"/>
        <v>436.56997259203706</v>
      </c>
      <c r="J858" s="7"/>
      <c r="K858" s="7" cm="1">
        <f t="array" ref="K858">INDEX(Sm,G858)</f>
        <v>-0.89132446529561371</v>
      </c>
      <c r="L858" s="7">
        <f t="shared" si="66"/>
        <v>435.67864812674145</v>
      </c>
    </row>
    <row r="859" spans="6:12" ht="18.75" customHeight="1">
      <c r="F859" s="1">
        <v>47484</v>
      </c>
      <c r="G859">
        <f t="shared" si="67"/>
        <v>1</v>
      </c>
      <c r="I859" s="7">
        <f t="shared" si="65"/>
        <v>436.79398305917988</v>
      </c>
      <c r="J859" s="7"/>
      <c r="K859" s="7" cm="1">
        <f t="array" ref="K859">INDEX(Sm,G859)</f>
        <v>6.1040869584970889E-2</v>
      </c>
      <c r="L859" s="7">
        <f t="shared" si="66"/>
        <v>436.85502392876487</v>
      </c>
    </row>
    <row r="860" spans="6:12" ht="18.75" customHeight="1">
      <c r="F860" s="1">
        <v>47515</v>
      </c>
      <c r="G860">
        <f t="shared" si="67"/>
        <v>2</v>
      </c>
      <c r="I860" s="7">
        <f t="shared" si="65"/>
        <v>437.018181973254</v>
      </c>
      <c r="J860" s="7"/>
      <c r="K860" s="7" cm="1">
        <f t="array" ref="K860">INDEX(Sm,G860)</f>
        <v>0.69421564520236412</v>
      </c>
      <c r="L860" s="7">
        <f t="shared" si="66"/>
        <v>437.71239761845635</v>
      </c>
    </row>
    <row r="861" spans="6:12" ht="18.75" customHeight="1">
      <c r="F861" s="1">
        <v>47543</v>
      </c>
      <c r="G861">
        <f t="shared" si="67"/>
        <v>3</v>
      </c>
      <c r="I861" s="7">
        <f t="shared" si="65"/>
        <v>437.2208461923816</v>
      </c>
      <c r="J861" s="7"/>
      <c r="K861" s="7" cm="1">
        <f t="array" ref="K861">INDEX(Sm,G861)</f>
        <v>1.3733706304072995</v>
      </c>
      <c r="L861" s="7">
        <f t="shared" si="66"/>
        <v>438.59421682278889</v>
      </c>
    </row>
    <row r="862" spans="6:12" ht="18.75" customHeight="1">
      <c r="F862" s="1">
        <v>47574</v>
      </c>
      <c r="G862">
        <f t="shared" si="67"/>
        <v>4</v>
      </c>
      <c r="I862" s="7">
        <f t="shared" si="65"/>
        <v>437.44540376351858</v>
      </c>
      <c r="J862" s="7"/>
      <c r="K862" s="7" cm="1">
        <f t="array" ref="K862">INDEX(Sm,G862)</f>
        <v>2.6099183412742755</v>
      </c>
      <c r="L862" s="7">
        <f t="shared" si="66"/>
        <v>440.05532210479288</v>
      </c>
    </row>
    <row r="863" spans="6:12" ht="18.75" customHeight="1">
      <c r="F863" s="1">
        <v>47604</v>
      </c>
      <c r="G863">
        <f t="shared" si="67"/>
        <v>5</v>
      </c>
      <c r="I863" s="7">
        <f t="shared" si="65"/>
        <v>437.66289696861691</v>
      </c>
      <c r="J863" s="7"/>
      <c r="K863" s="7" cm="1">
        <f t="array" ref="K863">INDEX(Sm,G863)</f>
        <v>3.065291801195754</v>
      </c>
      <c r="L863" s="7">
        <f t="shared" si="66"/>
        <v>440.72818876981268</v>
      </c>
    </row>
    <row r="864" spans="6:12" ht="18.75" customHeight="1">
      <c r="F864" s="1">
        <v>47635</v>
      </c>
      <c r="G864">
        <f t="shared" si="67"/>
        <v>6</v>
      </c>
      <c r="I864" s="7">
        <f t="shared" si="65"/>
        <v>437.88782535468312</v>
      </c>
      <c r="J864" s="7"/>
      <c r="K864" s="7" cm="1">
        <f t="array" ref="K864">INDEX(Sm,G864)</f>
        <v>2.3463851222642056</v>
      </c>
      <c r="L864" s="7">
        <f t="shared" si="66"/>
        <v>440.23421047694734</v>
      </c>
    </row>
    <row r="865" spans="6:12" ht="18.75" customHeight="1">
      <c r="F865" s="1">
        <v>47665</v>
      </c>
      <c r="G865">
        <f t="shared" si="67"/>
        <v>7</v>
      </c>
      <c r="I865" s="7">
        <f t="shared" si="65"/>
        <v>438.10567741293892</v>
      </c>
      <c r="J865" s="7"/>
      <c r="K865" s="7" cm="1">
        <f t="array" ref="K865">INDEX(Sm,G865)</f>
        <v>0.72334113060077332</v>
      </c>
      <c r="L865" s="7">
        <f t="shared" si="66"/>
        <v>438.82901854353969</v>
      </c>
    </row>
    <row r="866" spans="6:12" ht="18.75" customHeight="1">
      <c r="F866" s="1">
        <v>47696</v>
      </c>
      <c r="G866">
        <f t="shared" si="67"/>
        <v>8</v>
      </c>
      <c r="I866" s="7">
        <f t="shared" si="65"/>
        <v>438.33097661393447</v>
      </c>
      <c r="J866" s="7"/>
      <c r="K866" s="7" cm="1">
        <f t="array" ref="K866">INDEX(Sm,G866)</f>
        <v>-1.3975570061157723</v>
      </c>
      <c r="L866" s="7">
        <f t="shared" si="66"/>
        <v>436.93341960781868</v>
      </c>
    </row>
    <row r="867" spans="6:12" ht="18.75" customHeight="1">
      <c r="F867" s="1">
        <v>47727</v>
      </c>
      <c r="G867">
        <f t="shared" si="67"/>
        <v>9</v>
      </c>
      <c r="I867" s="7">
        <f t="shared" si="65"/>
        <v>438.55646426186138</v>
      </c>
      <c r="J867" s="7"/>
      <c r="K867" s="7" cm="1">
        <f t="array" ref="K867">INDEX(Sm,G867)</f>
        <v>-3.1934822994410497</v>
      </c>
      <c r="L867" s="7">
        <f t="shared" si="66"/>
        <v>435.36298196242035</v>
      </c>
    </row>
    <row r="868" spans="6:12" ht="18.75" customHeight="1">
      <c r="F868" s="1">
        <v>47757</v>
      </c>
      <c r="G868">
        <f t="shared" si="67"/>
        <v>10</v>
      </c>
      <c r="I868" s="7">
        <f t="shared" si="65"/>
        <v>438.77485754127258</v>
      </c>
      <c r="J868" s="7"/>
      <c r="K868" s="7" cm="1">
        <f t="array" ref="K868">INDEX(Sm,G868)</f>
        <v>-3.3368150874962788</v>
      </c>
      <c r="L868" s="7">
        <f t="shared" si="66"/>
        <v>435.43804245377629</v>
      </c>
    </row>
    <row r="869" spans="6:12" ht="18.75" customHeight="1">
      <c r="F869" s="1">
        <v>47788</v>
      </c>
      <c r="G869">
        <f t="shared" si="67"/>
        <v>11</v>
      </c>
      <c r="I869" s="7">
        <f t="shared" si="65"/>
        <v>439.00071600412883</v>
      </c>
      <c r="J869" s="7"/>
      <c r="K869" s="7" cm="1">
        <f t="array" ref="K869">INDEX(Sm,G869)</f>
        <v>-2.0591623324975612</v>
      </c>
      <c r="L869" s="7">
        <f t="shared" si="66"/>
        <v>436.94155367163125</v>
      </c>
    </row>
    <row r="870" spans="6:12" ht="18.75" customHeight="1">
      <c r="F870" s="1">
        <v>47818</v>
      </c>
      <c r="G870">
        <f t="shared" si="67"/>
        <v>12</v>
      </c>
      <c r="I870" s="7">
        <f t="shared" si="65"/>
        <v>439.2194681366974</v>
      </c>
      <c r="J870" s="7"/>
      <c r="K870" s="7" cm="1">
        <f t="array" ref="K870">INDEX(Sm,G870)</f>
        <v>-0.89132446529561371</v>
      </c>
      <c r="L870" s="7">
        <f t="shared" si="66"/>
        <v>438.32814367140179</v>
      </c>
    </row>
    <row r="871" spans="6:12" ht="18.75" customHeight="1">
      <c r="F871" s="1">
        <v>47849</v>
      </c>
      <c r="G871">
        <f t="shared" si="67"/>
        <v>1</v>
      </c>
      <c r="I871" s="7">
        <f t="shared" si="65"/>
        <v>439.44569741448299</v>
      </c>
      <c r="J871" s="7"/>
      <c r="K871" s="7" cm="1">
        <f t="array" ref="K871">INDEX(Sm,G871)</f>
        <v>6.1040869584970889E-2</v>
      </c>
      <c r="L871" s="7">
        <f t="shared" si="66"/>
        <v>439.50673828406798</v>
      </c>
    </row>
    <row r="872" spans="6:12" ht="18.75" customHeight="1">
      <c r="F872" s="1">
        <v>47880</v>
      </c>
      <c r="G872">
        <f t="shared" si="67"/>
        <v>2</v>
      </c>
      <c r="I872" s="7">
        <f t="shared" ref="I872:I935" si="68">_A*F872*F872+_B*F872+_C</f>
        <v>439.67211513919989</v>
      </c>
      <c r="J872" s="7"/>
      <c r="K872" s="7" cm="1">
        <f t="array" ref="K872">INDEX(Sm,G872)</f>
        <v>0.69421564520236412</v>
      </c>
      <c r="L872" s="7">
        <f t="shared" ref="L872:L935" si="69">I872+K872</f>
        <v>440.36633078440224</v>
      </c>
    </row>
    <row r="873" spans="6:12" ht="18.75" customHeight="1">
      <c r="F873" s="1">
        <v>47908</v>
      </c>
      <c r="G873">
        <f t="shared" si="67"/>
        <v>3</v>
      </c>
      <c r="I873" s="7">
        <f t="shared" si="68"/>
        <v>439.87678344535959</v>
      </c>
      <c r="J873" s="7"/>
      <c r="K873" s="7" cm="1">
        <f t="array" ref="K873">INDEX(Sm,G873)</f>
        <v>1.3733706304072995</v>
      </c>
      <c r="L873" s="7">
        <f t="shared" si="69"/>
        <v>441.25015407576689</v>
      </c>
    </row>
    <row r="874" spans="6:12" ht="18.75" customHeight="1">
      <c r="F874" s="1">
        <v>47939</v>
      </c>
      <c r="G874">
        <f t="shared" si="67"/>
        <v>4</v>
      </c>
      <c r="I874" s="7">
        <f t="shared" si="68"/>
        <v>440.10355982713924</v>
      </c>
      <c r="J874" s="7"/>
      <c r="K874" s="7" cm="1">
        <f t="array" ref="K874">INDEX(Sm,G874)</f>
        <v>2.6099183412742755</v>
      </c>
      <c r="L874" s="7">
        <f t="shared" si="69"/>
        <v>442.71347816841353</v>
      </c>
    </row>
    <row r="875" spans="6:12" ht="18.75" customHeight="1">
      <c r="F875" s="1">
        <v>47969</v>
      </c>
      <c r="G875">
        <f t="shared" si="67"/>
        <v>5</v>
      </c>
      <c r="I875" s="7">
        <f t="shared" si="68"/>
        <v>440.32320026834344</v>
      </c>
      <c r="J875" s="7"/>
      <c r="K875" s="7" cm="1">
        <f t="array" ref="K875">INDEX(Sm,G875)</f>
        <v>3.065291801195754</v>
      </c>
      <c r="L875" s="7">
        <f t="shared" si="69"/>
        <v>443.38849206953921</v>
      </c>
    </row>
    <row r="876" spans="6:12" ht="18.75" customHeight="1">
      <c r="F876" s="1">
        <v>48000</v>
      </c>
      <c r="G876">
        <f t="shared" si="67"/>
        <v>6</v>
      </c>
      <c r="I876" s="7">
        <f t="shared" si="68"/>
        <v>440.55034746505248</v>
      </c>
      <c r="J876" s="7"/>
      <c r="K876" s="7" cm="1">
        <f t="array" ref="K876">INDEX(Sm,G876)</f>
        <v>2.3463851222642056</v>
      </c>
      <c r="L876" s="7">
        <f t="shared" si="69"/>
        <v>442.89673258731671</v>
      </c>
    </row>
    <row r="877" spans="6:12" ht="18.75" customHeight="1">
      <c r="F877" s="1">
        <v>48030</v>
      </c>
      <c r="G877">
        <f t="shared" si="67"/>
        <v>7</v>
      </c>
      <c r="I877" s="7">
        <f t="shared" si="68"/>
        <v>440.77034675941405</v>
      </c>
      <c r="J877" s="7"/>
      <c r="K877" s="7" cm="1">
        <f t="array" ref="K877">INDEX(Sm,G877)</f>
        <v>0.72334113060077332</v>
      </c>
      <c r="L877" s="7">
        <f t="shared" si="69"/>
        <v>441.49368789001483</v>
      </c>
    </row>
    <row r="878" spans="6:12" ht="18.75" customHeight="1">
      <c r="F878" s="1">
        <v>48061</v>
      </c>
      <c r="G878">
        <f t="shared" si="67"/>
        <v>8</v>
      </c>
      <c r="I878" s="7">
        <f t="shared" si="68"/>
        <v>440.99786477105238</v>
      </c>
      <c r="J878" s="7"/>
      <c r="K878" s="7" cm="1">
        <f t="array" ref="K878">INDEX(Sm,G878)</f>
        <v>-1.3975570061157723</v>
      </c>
      <c r="L878" s="7">
        <f t="shared" si="69"/>
        <v>439.60030776493659</v>
      </c>
    </row>
    <row r="879" spans="6:12" ht="18.75" customHeight="1">
      <c r="F879" s="1">
        <v>48092</v>
      </c>
      <c r="G879">
        <f t="shared" si="67"/>
        <v>9</v>
      </c>
      <c r="I879" s="7">
        <f t="shared" si="68"/>
        <v>441.22557122962201</v>
      </c>
      <c r="J879" s="7"/>
      <c r="K879" s="7" cm="1">
        <f t="array" ref="K879">INDEX(Sm,G879)</f>
        <v>-3.1934822994410497</v>
      </c>
      <c r="L879" s="7">
        <f t="shared" si="69"/>
        <v>438.03208893018098</v>
      </c>
    </row>
    <row r="880" spans="6:12" ht="18.75" customHeight="1">
      <c r="F880" s="1">
        <v>48122</v>
      </c>
      <c r="G880">
        <f t="shared" si="67"/>
        <v>10</v>
      </c>
      <c r="I880" s="7">
        <f t="shared" si="68"/>
        <v>441.44611174513909</v>
      </c>
      <c r="J880" s="7"/>
      <c r="K880" s="7" cm="1">
        <f t="array" ref="K880">INDEX(Sm,G880)</f>
        <v>-3.3368150874962788</v>
      </c>
      <c r="L880" s="7">
        <f t="shared" si="69"/>
        <v>438.1092966576428</v>
      </c>
    </row>
    <row r="881" spans="6:12" ht="18.75" customHeight="1">
      <c r="F881" s="1">
        <v>48153</v>
      </c>
      <c r="G881">
        <f t="shared" si="67"/>
        <v>11</v>
      </c>
      <c r="I881" s="7">
        <f t="shared" si="68"/>
        <v>441.67418901863806</v>
      </c>
      <c r="J881" s="7"/>
      <c r="K881" s="7" cm="1">
        <f t="array" ref="K881">INDEX(Sm,G881)</f>
        <v>-2.0591623324975612</v>
      </c>
      <c r="L881" s="7">
        <f t="shared" si="69"/>
        <v>439.61502668614048</v>
      </c>
    </row>
    <row r="882" spans="6:12" ht="18.75" customHeight="1">
      <c r="F882" s="1">
        <v>48183</v>
      </c>
      <c r="G882">
        <f t="shared" si="67"/>
        <v>12</v>
      </c>
      <c r="I882" s="7">
        <f t="shared" si="68"/>
        <v>441.89508838731251</v>
      </c>
      <c r="J882" s="7"/>
      <c r="K882" s="7" cm="1">
        <f t="array" ref="K882">INDEX(Sm,G882)</f>
        <v>-0.89132446529561371</v>
      </c>
      <c r="L882" s="7">
        <f t="shared" si="69"/>
        <v>441.0037639220169</v>
      </c>
    </row>
    <row r="883" spans="6:12" ht="18.75" customHeight="1">
      <c r="F883" s="1">
        <v>48214</v>
      </c>
      <c r="G883">
        <f t="shared" si="67"/>
        <v>1</v>
      </c>
      <c r="I883" s="7">
        <f t="shared" si="68"/>
        <v>442.12353647574082</v>
      </c>
      <c r="J883" s="7"/>
      <c r="K883" s="7" cm="1">
        <f t="array" ref="K883">INDEX(Sm,G883)</f>
        <v>6.1040869584970889E-2</v>
      </c>
      <c r="L883" s="7">
        <f t="shared" si="69"/>
        <v>442.18457734532581</v>
      </c>
    </row>
    <row r="884" spans="6:12" ht="18.75" customHeight="1">
      <c r="F884" s="1">
        <v>48245</v>
      </c>
      <c r="G884">
        <f t="shared" si="67"/>
        <v>2</v>
      </c>
      <c r="I884" s="7">
        <f t="shared" si="68"/>
        <v>442.35217301110043</v>
      </c>
      <c r="J884" s="7"/>
      <c r="K884" s="7" cm="1">
        <f t="array" ref="K884">INDEX(Sm,G884)</f>
        <v>0.69421564520236412</v>
      </c>
      <c r="L884" s="7">
        <f t="shared" si="69"/>
        <v>443.04638865630278</v>
      </c>
    </row>
    <row r="885" spans="6:12" ht="18.75" customHeight="1">
      <c r="F885" s="1">
        <v>48274</v>
      </c>
      <c r="G885">
        <f t="shared" si="67"/>
        <v>3</v>
      </c>
      <c r="I885" s="7">
        <f t="shared" si="68"/>
        <v>442.56622940456401</v>
      </c>
      <c r="J885" s="7"/>
      <c r="K885" s="7" cm="1">
        <f t="array" ref="K885">INDEX(Sm,G885)</f>
        <v>1.3733706304072995</v>
      </c>
      <c r="L885" s="7">
        <f t="shared" si="69"/>
        <v>443.93960003497131</v>
      </c>
    </row>
    <row r="886" spans="6:12" ht="18.75" customHeight="1">
      <c r="F886" s="1">
        <v>48305</v>
      </c>
      <c r="G886">
        <f t="shared" si="67"/>
        <v>4</v>
      </c>
      <c r="I886" s="7">
        <f t="shared" si="68"/>
        <v>442.7952306759197</v>
      </c>
      <c r="J886" s="7"/>
      <c r="K886" s="7" cm="1">
        <f t="array" ref="K886">INDEX(Sm,G886)</f>
        <v>2.6099183412742755</v>
      </c>
      <c r="L886" s="7">
        <f t="shared" si="69"/>
        <v>445.40514901719399</v>
      </c>
    </row>
    <row r="887" spans="6:12" ht="18.75" customHeight="1">
      <c r="F887" s="1">
        <v>48335</v>
      </c>
      <c r="G887">
        <f t="shared" si="67"/>
        <v>5</v>
      </c>
      <c r="I887" s="7">
        <f t="shared" si="68"/>
        <v>443.01702423606832</v>
      </c>
      <c r="J887" s="7"/>
      <c r="K887" s="7" cm="1">
        <f t="array" ref="K887">INDEX(Sm,G887)</f>
        <v>3.065291801195754</v>
      </c>
      <c r="L887" s="7">
        <f t="shared" si="69"/>
        <v>446.08231603726409</v>
      </c>
    </row>
    <row r="888" spans="6:12" ht="18.75" customHeight="1">
      <c r="F888" s="1">
        <v>48366</v>
      </c>
      <c r="G888">
        <f t="shared" si="67"/>
        <v>6</v>
      </c>
      <c r="I888" s="7">
        <f t="shared" si="68"/>
        <v>443.24639632235335</v>
      </c>
      <c r="J888" s="7"/>
      <c r="K888" s="7" cm="1">
        <f t="array" ref="K888">INDEX(Sm,G888)</f>
        <v>2.3463851222642056</v>
      </c>
      <c r="L888" s="7">
        <f t="shared" si="69"/>
        <v>445.59278144461757</v>
      </c>
    </row>
    <row r="889" spans="6:12" ht="18.75" customHeight="1">
      <c r="F889" s="1">
        <v>48396</v>
      </c>
      <c r="G889">
        <f t="shared" si="67"/>
        <v>7</v>
      </c>
      <c r="I889" s="7">
        <f t="shared" si="68"/>
        <v>443.46854873565951</v>
      </c>
      <c r="J889" s="7"/>
      <c r="K889" s="7" cm="1">
        <f t="array" ref="K889">INDEX(Sm,G889)</f>
        <v>0.72334113060077332</v>
      </c>
      <c r="L889" s="7">
        <f t="shared" si="69"/>
        <v>444.19188986626028</v>
      </c>
    </row>
    <row r="890" spans="6:12" ht="18.75" customHeight="1">
      <c r="F890" s="1">
        <v>48427</v>
      </c>
      <c r="G890">
        <f t="shared" si="67"/>
        <v>8</v>
      </c>
      <c r="I890" s="7">
        <f t="shared" si="68"/>
        <v>443.69829163687382</v>
      </c>
      <c r="J890" s="7"/>
      <c r="K890" s="7" cm="1">
        <f t="array" ref="K890">INDEX(Sm,G890)</f>
        <v>-1.3975570061157723</v>
      </c>
      <c r="L890" s="7">
        <f t="shared" si="69"/>
        <v>442.30073463075803</v>
      </c>
    </row>
    <row r="891" spans="6:12" ht="18.75" customHeight="1">
      <c r="F891" s="1">
        <v>48458</v>
      </c>
      <c r="G891">
        <f t="shared" si="67"/>
        <v>9</v>
      </c>
      <c r="I891" s="7">
        <f t="shared" si="68"/>
        <v>443.92822298501949</v>
      </c>
      <c r="J891" s="7"/>
      <c r="K891" s="7" cm="1">
        <f t="array" ref="K891">INDEX(Sm,G891)</f>
        <v>-3.1934822994410497</v>
      </c>
      <c r="L891" s="7">
        <f t="shared" si="69"/>
        <v>440.73474068557846</v>
      </c>
    </row>
    <row r="892" spans="6:12" ht="18.75" customHeight="1">
      <c r="F892" s="1">
        <v>48488</v>
      </c>
      <c r="G892">
        <f t="shared" si="67"/>
        <v>10</v>
      </c>
      <c r="I892" s="7">
        <f t="shared" si="68"/>
        <v>444.15091661948105</v>
      </c>
      <c r="J892" s="7"/>
      <c r="K892" s="7" cm="1">
        <f t="array" ref="K892">INDEX(Sm,G892)</f>
        <v>-3.3368150874962788</v>
      </c>
      <c r="L892" s="7">
        <f t="shared" si="69"/>
        <v>440.81410153198476</v>
      </c>
    </row>
    <row r="893" spans="6:12" ht="18.75" customHeight="1">
      <c r="F893" s="1">
        <v>48519</v>
      </c>
      <c r="G893">
        <f t="shared" si="67"/>
        <v>11</v>
      </c>
      <c r="I893" s="7">
        <f t="shared" si="68"/>
        <v>444.381218782556</v>
      </c>
      <c r="J893" s="7"/>
      <c r="K893" s="7" cm="1">
        <f t="array" ref="K893">INDEX(Sm,G893)</f>
        <v>-2.0591623324975612</v>
      </c>
      <c r="L893" s="7">
        <f t="shared" si="69"/>
        <v>442.32205645005843</v>
      </c>
    </row>
    <row r="894" spans="6:12" ht="18.75" customHeight="1">
      <c r="F894" s="1">
        <v>48549</v>
      </c>
      <c r="G894">
        <f t="shared" si="67"/>
        <v>12</v>
      </c>
      <c r="I894" s="7">
        <f t="shared" si="68"/>
        <v>444.60427127017499</v>
      </c>
      <c r="J894" s="7"/>
      <c r="K894" s="7" cm="1">
        <f t="array" ref="K894">INDEX(Sm,G894)</f>
        <v>-0.89132446529561371</v>
      </c>
      <c r="L894" s="7">
        <f t="shared" si="69"/>
        <v>443.71294680487938</v>
      </c>
    </row>
    <row r="895" spans="6:12" ht="18.75" customHeight="1">
      <c r="F895" s="1">
        <v>48580</v>
      </c>
      <c r="G895">
        <f t="shared" si="67"/>
        <v>1</v>
      </c>
      <c r="I895" s="7">
        <f t="shared" si="68"/>
        <v>444.83494424817934</v>
      </c>
      <c r="J895" s="7"/>
      <c r="K895" s="7" cm="1">
        <f t="array" ref="K895">INDEX(Sm,G895)</f>
        <v>6.1040869584970889E-2</v>
      </c>
      <c r="L895" s="7">
        <f t="shared" si="69"/>
        <v>444.89598511776433</v>
      </c>
    </row>
    <row r="896" spans="6:12" ht="18.75" customHeight="1">
      <c r="F896" s="1">
        <v>48611</v>
      </c>
      <c r="G896">
        <f t="shared" si="67"/>
        <v>2</v>
      </c>
      <c r="I896" s="7">
        <f t="shared" si="68"/>
        <v>445.06580567311488</v>
      </c>
      <c r="J896" s="7"/>
      <c r="K896" s="7" cm="1">
        <f t="array" ref="K896">INDEX(Sm,G896)</f>
        <v>0.69421564520236412</v>
      </c>
      <c r="L896" s="7">
        <f t="shared" si="69"/>
        <v>445.76002131831723</v>
      </c>
    </row>
    <row r="897" spans="6:12" ht="18.75" customHeight="1">
      <c r="F897" s="1">
        <v>48639</v>
      </c>
      <c r="G897">
        <f t="shared" si="67"/>
        <v>3</v>
      </c>
      <c r="I897" s="7">
        <f t="shared" si="68"/>
        <v>445.27448764398832</v>
      </c>
      <c r="J897" s="7"/>
      <c r="K897" s="7" cm="1">
        <f t="array" ref="K897">INDEX(Sm,G897)</f>
        <v>1.3733706304072995</v>
      </c>
      <c r="L897" s="7">
        <f t="shared" si="69"/>
        <v>446.64785827439562</v>
      </c>
    </row>
    <row r="898" spans="6:12" ht="18.75" customHeight="1">
      <c r="F898" s="1">
        <v>48670</v>
      </c>
      <c r="G898">
        <f t="shared" si="67"/>
        <v>4</v>
      </c>
      <c r="I898" s="7">
        <f t="shared" si="68"/>
        <v>445.50570772598667</v>
      </c>
      <c r="J898" s="7"/>
      <c r="K898" s="7" cm="1">
        <f t="array" ref="K898">INDEX(Sm,G898)</f>
        <v>2.6099183412742755</v>
      </c>
      <c r="L898" s="7">
        <f t="shared" si="69"/>
        <v>448.11562606726096</v>
      </c>
    </row>
    <row r="899" spans="6:12" ht="18.75" customHeight="1">
      <c r="F899" s="1">
        <v>48700</v>
      </c>
      <c r="G899">
        <f t="shared" ref="G899:G962" si="70">MONTH(F899)</f>
        <v>5</v>
      </c>
      <c r="I899" s="7">
        <f t="shared" si="68"/>
        <v>445.72964852224123</v>
      </c>
      <c r="J899" s="7"/>
      <c r="K899" s="7" cm="1">
        <f t="array" ref="K899">INDEX(Sm,G899)</f>
        <v>3.065291801195754</v>
      </c>
      <c r="L899" s="7">
        <f t="shared" si="69"/>
        <v>448.794940323437</v>
      </c>
    </row>
    <row r="900" spans="6:12" ht="18.75" customHeight="1">
      <c r="F900" s="1">
        <v>48731</v>
      </c>
      <c r="G900">
        <f t="shared" si="70"/>
        <v>6</v>
      </c>
      <c r="I900" s="7">
        <f t="shared" si="68"/>
        <v>445.96123941916903</v>
      </c>
      <c r="J900" s="7"/>
      <c r="K900" s="7" cm="1">
        <f t="array" ref="K900">INDEX(Sm,G900)</f>
        <v>2.3463851222642056</v>
      </c>
      <c r="L900" s="7">
        <f t="shared" si="69"/>
        <v>448.30762454143326</v>
      </c>
    </row>
    <row r="901" spans="6:12" ht="18.75" customHeight="1">
      <c r="F901" s="1">
        <v>48761</v>
      </c>
      <c r="G901">
        <f t="shared" si="70"/>
        <v>7</v>
      </c>
      <c r="I901" s="7">
        <f t="shared" si="68"/>
        <v>446.18553906858097</v>
      </c>
      <c r="J901" s="7"/>
      <c r="K901" s="7" cm="1">
        <f t="array" ref="K901">INDEX(Sm,G901)</f>
        <v>0.72334113060077332</v>
      </c>
      <c r="L901" s="7">
        <f t="shared" si="69"/>
        <v>446.90888019918174</v>
      </c>
    </row>
    <row r="902" spans="6:12" ht="18.75" customHeight="1">
      <c r="F902" s="1">
        <v>48792</v>
      </c>
      <c r="G902">
        <f t="shared" si="70"/>
        <v>8</v>
      </c>
      <c r="I902" s="7">
        <f t="shared" si="68"/>
        <v>446.41750078043805</v>
      </c>
      <c r="J902" s="7"/>
      <c r="K902" s="7" cm="1">
        <f t="array" ref="K902">INDEX(Sm,G902)</f>
        <v>-1.3975570061157723</v>
      </c>
      <c r="L902" s="7">
        <f t="shared" si="69"/>
        <v>445.01994377432226</v>
      </c>
    </row>
    <row r="903" spans="6:12" ht="18.75" customHeight="1">
      <c r="F903" s="1">
        <v>48823</v>
      </c>
      <c r="G903">
        <f t="shared" si="70"/>
        <v>9</v>
      </c>
      <c r="I903" s="7">
        <f t="shared" si="68"/>
        <v>446.64965093922643</v>
      </c>
      <c r="J903" s="7"/>
      <c r="K903" s="7" cm="1">
        <f t="array" ref="K903">INDEX(Sm,G903)</f>
        <v>-3.1934822994410497</v>
      </c>
      <c r="L903" s="7">
        <f t="shared" si="69"/>
        <v>443.4561686397854</v>
      </c>
    </row>
    <row r="904" spans="6:12" ht="18.75" customHeight="1">
      <c r="F904" s="1">
        <v>48853</v>
      </c>
      <c r="G904">
        <f t="shared" si="70"/>
        <v>10</v>
      </c>
      <c r="I904" s="7">
        <f t="shared" si="68"/>
        <v>446.87449180979382</v>
      </c>
      <c r="J904" s="7"/>
      <c r="K904" s="7" cm="1">
        <f t="array" ref="K904">INDEX(Sm,G904)</f>
        <v>-3.3368150874962788</v>
      </c>
      <c r="L904" s="7">
        <f t="shared" si="69"/>
        <v>443.53767672229753</v>
      </c>
    </row>
    <row r="905" spans="6:12" ht="18.75" customHeight="1">
      <c r="F905" s="1">
        <v>48884</v>
      </c>
      <c r="G905">
        <f t="shared" si="70"/>
        <v>11</v>
      </c>
      <c r="I905" s="7">
        <f t="shared" si="68"/>
        <v>447.10701278351155</v>
      </c>
      <c r="J905" s="7"/>
      <c r="K905" s="7" cm="1">
        <f t="array" ref="K905">INDEX(Sm,G905)</f>
        <v>-2.0591623324975612</v>
      </c>
      <c r="L905" s="7">
        <f t="shared" si="69"/>
        <v>445.04785045101397</v>
      </c>
    </row>
    <row r="906" spans="6:12" ht="18.75" customHeight="1">
      <c r="F906" s="1">
        <v>48914</v>
      </c>
      <c r="G906">
        <f t="shared" si="70"/>
        <v>12</v>
      </c>
      <c r="I906" s="7">
        <f t="shared" si="68"/>
        <v>447.33221250723642</v>
      </c>
      <c r="J906" s="7"/>
      <c r="K906" s="7" cm="1">
        <f t="array" ref="K906">INDEX(Sm,G906)</f>
        <v>-0.89132446529561371</v>
      </c>
      <c r="L906" s="7">
        <f t="shared" si="69"/>
        <v>446.44088804194081</v>
      </c>
    </row>
    <row r="907" spans="6:12" ht="18.75" customHeight="1">
      <c r="F907" s="1">
        <v>48945</v>
      </c>
      <c r="G907">
        <f t="shared" si="70"/>
        <v>1</v>
      </c>
      <c r="I907" s="7">
        <f t="shared" si="68"/>
        <v>447.56510429588343</v>
      </c>
      <c r="J907" s="7"/>
      <c r="K907" s="7" cm="1">
        <f t="array" ref="K907">INDEX(Sm,G907)</f>
        <v>6.1040869584970889E-2</v>
      </c>
      <c r="L907" s="7">
        <f t="shared" si="69"/>
        <v>447.62614516546842</v>
      </c>
    </row>
    <row r="908" spans="6:12" ht="18.75" customHeight="1">
      <c r="F908" s="1">
        <v>48976</v>
      </c>
      <c r="G908">
        <f t="shared" si="70"/>
        <v>2</v>
      </c>
      <c r="I908" s="7">
        <f t="shared" si="68"/>
        <v>447.79818453146174</v>
      </c>
      <c r="J908" s="7"/>
      <c r="K908" s="7" cm="1">
        <f t="array" ref="K908">INDEX(Sm,G908)</f>
        <v>0.69421564520236412</v>
      </c>
      <c r="L908" s="7">
        <f t="shared" si="69"/>
        <v>448.49240017666409</v>
      </c>
    </row>
    <row r="909" spans="6:12" ht="18.75" customHeight="1">
      <c r="F909" s="1">
        <v>49004</v>
      </c>
      <c r="G909">
        <f t="shared" si="70"/>
        <v>3</v>
      </c>
      <c r="I909" s="7">
        <f t="shared" si="68"/>
        <v>448.00887058936729</v>
      </c>
      <c r="J909" s="7"/>
      <c r="K909" s="7" cm="1">
        <f t="array" ref="K909">INDEX(Sm,G909)</f>
        <v>1.3733706304072995</v>
      </c>
      <c r="L909" s="7">
        <f t="shared" si="69"/>
        <v>449.38224121977458</v>
      </c>
    </row>
    <row r="910" spans="6:12" ht="18.75" customHeight="1">
      <c r="F910" s="1">
        <v>49035</v>
      </c>
      <c r="G910">
        <f t="shared" si="70"/>
        <v>4</v>
      </c>
      <c r="I910" s="7">
        <f t="shared" si="68"/>
        <v>448.24230948200841</v>
      </c>
      <c r="J910" s="7"/>
      <c r="K910" s="7" cm="1">
        <f t="array" ref="K910">INDEX(Sm,G910)</f>
        <v>2.6099183412742755</v>
      </c>
      <c r="L910" s="7">
        <f t="shared" si="69"/>
        <v>450.8522278232827</v>
      </c>
    </row>
    <row r="911" spans="6:12" ht="18.75" customHeight="1">
      <c r="F911" s="1">
        <v>49065</v>
      </c>
      <c r="G911">
        <f t="shared" si="70"/>
        <v>5</v>
      </c>
      <c r="I911" s="7">
        <f t="shared" si="68"/>
        <v>448.46839751436886</v>
      </c>
      <c r="J911" s="7"/>
      <c r="K911" s="7" cm="1">
        <f t="array" ref="K911">INDEX(Sm,G911)</f>
        <v>3.065291801195754</v>
      </c>
      <c r="L911" s="7">
        <f t="shared" si="69"/>
        <v>451.53368931556463</v>
      </c>
    </row>
    <row r="912" spans="6:12" ht="18.75" customHeight="1">
      <c r="F912" s="1">
        <v>49096</v>
      </c>
      <c r="G912">
        <f t="shared" si="70"/>
        <v>6</v>
      </c>
      <c r="I912" s="7">
        <f t="shared" si="68"/>
        <v>448.70220722193932</v>
      </c>
      <c r="J912" s="7"/>
      <c r="K912" s="7" cm="1">
        <f t="array" ref="K912">INDEX(Sm,G912)</f>
        <v>2.3463851222642056</v>
      </c>
      <c r="L912" s="7">
        <f t="shared" si="69"/>
        <v>451.04859234420354</v>
      </c>
    </row>
    <row r="913" spans="6:12" ht="18.75" customHeight="1">
      <c r="F913" s="1">
        <v>49126</v>
      </c>
      <c r="G913">
        <f t="shared" si="70"/>
        <v>7</v>
      </c>
      <c r="I913" s="7">
        <f t="shared" si="68"/>
        <v>448.92865410745719</v>
      </c>
      <c r="J913" s="7"/>
      <c r="K913" s="7" cm="1">
        <f t="array" ref="K913">INDEX(Sm,G913)</f>
        <v>0.72334113060077332</v>
      </c>
      <c r="L913" s="7">
        <f t="shared" si="69"/>
        <v>449.65199523805796</v>
      </c>
    </row>
    <row r="914" spans="6:12" ht="18.75" customHeight="1">
      <c r="F914" s="1">
        <v>49157</v>
      </c>
      <c r="G914">
        <f t="shared" si="70"/>
        <v>8</v>
      </c>
      <c r="I914" s="7">
        <f t="shared" si="68"/>
        <v>449.16283462995693</v>
      </c>
      <c r="J914" s="7"/>
      <c r="K914" s="7" cm="1">
        <f t="array" ref="K914">INDEX(Sm,G914)</f>
        <v>-1.3975570061157723</v>
      </c>
      <c r="L914" s="7">
        <f t="shared" si="69"/>
        <v>447.76527762384114</v>
      </c>
    </row>
    <row r="915" spans="6:12" ht="18.75" customHeight="1">
      <c r="F915" s="1">
        <v>49188</v>
      </c>
      <c r="G915">
        <f t="shared" si="70"/>
        <v>9</v>
      </c>
      <c r="I915" s="7">
        <f t="shared" si="68"/>
        <v>449.39720359938804</v>
      </c>
      <c r="J915" s="7"/>
      <c r="K915" s="7" cm="1">
        <f t="array" ref="K915">INDEX(Sm,G915)</f>
        <v>-3.1934822994410497</v>
      </c>
      <c r="L915" s="7">
        <f t="shared" si="69"/>
        <v>446.20372129994701</v>
      </c>
    </row>
    <row r="916" spans="6:12" ht="18.75" customHeight="1">
      <c r="F916" s="1">
        <v>49218</v>
      </c>
      <c r="G916">
        <f t="shared" si="70"/>
        <v>10</v>
      </c>
      <c r="I916" s="7">
        <f t="shared" si="68"/>
        <v>449.62419170606137</v>
      </c>
      <c r="J916" s="7"/>
      <c r="K916" s="7" cm="1">
        <f t="array" ref="K916">INDEX(Sm,G916)</f>
        <v>-3.3368150874962788</v>
      </c>
      <c r="L916" s="7">
        <f t="shared" si="69"/>
        <v>446.28737661856508</v>
      </c>
    </row>
    <row r="917" spans="6:12" ht="18.75" customHeight="1">
      <c r="F917" s="1">
        <v>49249</v>
      </c>
      <c r="G917">
        <f t="shared" si="70"/>
        <v>11</v>
      </c>
      <c r="I917" s="7">
        <f t="shared" si="68"/>
        <v>449.85893149042175</v>
      </c>
      <c r="J917" s="7"/>
      <c r="K917" s="7" cm="1">
        <f t="array" ref="K917">INDEX(Sm,G917)</f>
        <v>-2.0591623324975612</v>
      </c>
      <c r="L917" s="7">
        <f t="shared" si="69"/>
        <v>447.79976915792417</v>
      </c>
    </row>
    <row r="918" spans="6:12" ht="18.75" customHeight="1">
      <c r="F918" s="1">
        <v>49279</v>
      </c>
      <c r="G918">
        <f t="shared" si="70"/>
        <v>12</v>
      </c>
      <c r="I918" s="7">
        <f t="shared" si="68"/>
        <v>450.08627845025251</v>
      </c>
      <c r="J918" s="7"/>
      <c r="K918" s="7" cm="1">
        <f t="array" ref="K918">INDEX(Sm,G918)</f>
        <v>-0.89132446529561371</v>
      </c>
      <c r="L918" s="7">
        <f t="shared" si="69"/>
        <v>449.1949539849569</v>
      </c>
    </row>
    <row r="919" spans="6:12" ht="18.75" customHeight="1">
      <c r="F919" s="1">
        <v>49310</v>
      </c>
      <c r="G919">
        <f t="shared" si="70"/>
        <v>1</v>
      </c>
      <c r="I919" s="7">
        <f t="shared" si="68"/>
        <v>450.32138904954229</v>
      </c>
      <c r="J919" s="7"/>
      <c r="K919" s="7" cm="1">
        <f t="array" ref="K919">INDEX(Sm,G919)</f>
        <v>6.1040869584970889E-2</v>
      </c>
      <c r="L919" s="7">
        <f t="shared" si="69"/>
        <v>450.38242991912728</v>
      </c>
    </row>
    <row r="920" spans="6:12" ht="18.75" customHeight="1">
      <c r="F920" s="1">
        <v>49341</v>
      </c>
      <c r="G920">
        <f t="shared" si="70"/>
        <v>2</v>
      </c>
      <c r="I920" s="7">
        <f t="shared" si="68"/>
        <v>450.55668809576332</v>
      </c>
      <c r="J920" s="7"/>
      <c r="K920" s="7" cm="1">
        <f t="array" ref="K920">INDEX(Sm,G920)</f>
        <v>0.69421564520236412</v>
      </c>
      <c r="L920" s="7">
        <f t="shared" si="69"/>
        <v>451.25090374096567</v>
      </c>
    </row>
    <row r="921" spans="6:12" ht="18.75" customHeight="1">
      <c r="F921" s="1">
        <v>49369</v>
      </c>
      <c r="G921">
        <f t="shared" si="70"/>
        <v>3</v>
      </c>
      <c r="I921" s="7">
        <f t="shared" si="68"/>
        <v>450.76937824070097</v>
      </c>
      <c r="J921" s="7"/>
      <c r="K921" s="7" cm="1">
        <f t="array" ref="K921">INDEX(Sm,G921)</f>
        <v>1.3733706304072995</v>
      </c>
      <c r="L921" s="7">
        <f t="shared" si="69"/>
        <v>452.14274887110827</v>
      </c>
    </row>
    <row r="922" spans="6:12" ht="18.75" customHeight="1">
      <c r="F922" s="1">
        <v>49400</v>
      </c>
      <c r="G922">
        <f t="shared" si="70"/>
        <v>4</v>
      </c>
      <c r="I922" s="7">
        <f t="shared" si="68"/>
        <v>451.00503594398486</v>
      </c>
      <c r="J922" s="7"/>
      <c r="K922" s="7" cm="1">
        <f t="array" ref="K922">INDEX(Sm,G922)</f>
        <v>2.6099183412742755</v>
      </c>
      <c r="L922" s="7">
        <f t="shared" si="69"/>
        <v>453.61495428525916</v>
      </c>
    </row>
    <row r="923" spans="6:12" ht="18.75" customHeight="1">
      <c r="F923" s="1">
        <v>49430</v>
      </c>
      <c r="G923">
        <f t="shared" si="70"/>
        <v>5</v>
      </c>
      <c r="I923" s="7">
        <f t="shared" si="68"/>
        <v>451.2332712124512</v>
      </c>
      <c r="J923" s="7"/>
      <c r="K923" s="7" cm="1">
        <f t="array" ref="K923">INDEX(Sm,G923)</f>
        <v>3.065291801195754</v>
      </c>
      <c r="L923" s="7">
        <f t="shared" si="69"/>
        <v>454.29856301364697</v>
      </c>
    </row>
    <row r="924" spans="6:12" ht="18.75" customHeight="1">
      <c r="F924" s="1">
        <v>49461</v>
      </c>
      <c r="G924">
        <f t="shared" si="70"/>
        <v>6</v>
      </c>
      <c r="I924" s="7">
        <f t="shared" si="68"/>
        <v>451.46929973066437</v>
      </c>
      <c r="J924" s="7"/>
      <c r="K924" s="7" cm="1">
        <f t="array" ref="K924">INDEX(Sm,G924)</f>
        <v>2.3463851222642056</v>
      </c>
      <c r="L924" s="7">
        <f t="shared" si="69"/>
        <v>453.8156848529286</v>
      </c>
    </row>
    <row r="925" spans="6:12" ht="18.75" customHeight="1">
      <c r="F925" s="1">
        <v>49491</v>
      </c>
      <c r="G925">
        <f t="shared" si="70"/>
        <v>7</v>
      </c>
      <c r="I925" s="7">
        <f t="shared" si="68"/>
        <v>451.69789385228808</v>
      </c>
      <c r="J925" s="7"/>
      <c r="K925" s="7" cm="1">
        <f t="array" ref="K925">INDEX(Sm,G925)</f>
        <v>0.72334113060077332</v>
      </c>
      <c r="L925" s="7">
        <f t="shared" si="69"/>
        <v>452.42123498288885</v>
      </c>
    </row>
    <row r="926" spans="6:12" ht="18.75" customHeight="1">
      <c r="F926" s="1">
        <v>49522</v>
      </c>
      <c r="G926">
        <f t="shared" si="70"/>
        <v>8</v>
      </c>
      <c r="I926" s="7">
        <f t="shared" si="68"/>
        <v>451.93429318543059</v>
      </c>
      <c r="J926" s="7"/>
      <c r="K926" s="7" cm="1">
        <f t="array" ref="K926">INDEX(Sm,G926)</f>
        <v>-1.3975570061157723</v>
      </c>
      <c r="L926" s="7">
        <f t="shared" si="69"/>
        <v>450.5367361793148</v>
      </c>
    </row>
    <row r="927" spans="6:12" ht="18.75" customHeight="1">
      <c r="F927" s="1">
        <v>49553</v>
      </c>
      <c r="G927">
        <f t="shared" si="70"/>
        <v>9</v>
      </c>
      <c r="I927" s="7">
        <f t="shared" si="68"/>
        <v>452.17088096550441</v>
      </c>
      <c r="J927" s="7"/>
      <c r="K927" s="7" cm="1">
        <f t="array" ref="K927">INDEX(Sm,G927)</f>
        <v>-3.1934822994410497</v>
      </c>
      <c r="L927" s="7">
        <f t="shared" si="69"/>
        <v>448.97739866606338</v>
      </c>
    </row>
    <row r="928" spans="6:12" ht="18.75" customHeight="1">
      <c r="F928" s="1">
        <v>49583</v>
      </c>
      <c r="G928">
        <f t="shared" si="70"/>
        <v>10</v>
      </c>
      <c r="I928" s="7">
        <f t="shared" si="68"/>
        <v>452.40001630828357</v>
      </c>
      <c r="J928" s="7"/>
      <c r="K928" s="7" cm="1">
        <f t="array" ref="K928">INDEX(Sm,G928)</f>
        <v>-3.3368150874962788</v>
      </c>
      <c r="L928" s="7">
        <f t="shared" si="69"/>
        <v>449.06320122078728</v>
      </c>
    </row>
    <row r="929" spans="6:12" ht="18.75" customHeight="1">
      <c r="F929" s="1">
        <v>49614</v>
      </c>
      <c r="G929">
        <f t="shared" si="70"/>
        <v>11</v>
      </c>
      <c r="I929" s="7">
        <f t="shared" si="68"/>
        <v>452.63697490328673</v>
      </c>
      <c r="J929" s="7"/>
      <c r="K929" s="7" cm="1">
        <f t="array" ref="K929">INDEX(Sm,G929)</f>
        <v>-2.0591623324975612</v>
      </c>
      <c r="L929" s="7">
        <f t="shared" si="69"/>
        <v>450.57781257078915</v>
      </c>
    </row>
    <row r="930" spans="6:12" ht="18.75" customHeight="1">
      <c r="F930" s="1">
        <v>49644</v>
      </c>
      <c r="G930">
        <f t="shared" si="70"/>
        <v>12</v>
      </c>
      <c r="I930" s="7">
        <f t="shared" si="68"/>
        <v>452.86646909922337</v>
      </c>
      <c r="J930" s="7"/>
      <c r="K930" s="7" cm="1">
        <f t="array" ref="K930">INDEX(Sm,G930)</f>
        <v>-0.89132446529561371</v>
      </c>
      <c r="L930" s="7">
        <f t="shared" si="69"/>
        <v>451.97514463392775</v>
      </c>
    </row>
    <row r="931" spans="6:12" ht="18.75" customHeight="1">
      <c r="F931" s="1">
        <v>49675</v>
      </c>
      <c r="G931">
        <f t="shared" si="70"/>
        <v>1</v>
      </c>
      <c r="I931" s="7">
        <f t="shared" si="68"/>
        <v>453.10379850915581</v>
      </c>
      <c r="J931" s="7"/>
      <c r="K931" s="7" cm="1">
        <f t="array" ref="K931">INDEX(Sm,G931)</f>
        <v>6.1040869584970889E-2</v>
      </c>
      <c r="L931" s="7">
        <f t="shared" si="69"/>
        <v>453.16483937874079</v>
      </c>
    </row>
    <row r="932" spans="6:12" ht="18.75" customHeight="1">
      <c r="F932" s="1">
        <v>49706</v>
      </c>
      <c r="G932">
        <f t="shared" si="70"/>
        <v>2</v>
      </c>
      <c r="I932" s="7">
        <f t="shared" si="68"/>
        <v>453.34131636601961</v>
      </c>
      <c r="J932" s="7"/>
      <c r="K932" s="7" cm="1">
        <f t="array" ref="K932">INDEX(Sm,G932)</f>
        <v>0.69421564520236412</v>
      </c>
      <c r="L932" s="7">
        <f t="shared" si="69"/>
        <v>454.03553201122196</v>
      </c>
    </row>
    <row r="933" spans="6:12" ht="18.75" customHeight="1">
      <c r="F933" s="1">
        <v>49735</v>
      </c>
      <c r="G933">
        <f t="shared" si="70"/>
        <v>3</v>
      </c>
      <c r="I933" s="7">
        <f t="shared" si="68"/>
        <v>453.56368109250326</v>
      </c>
      <c r="J933" s="7"/>
      <c r="K933" s="7" cm="1">
        <f t="array" ref="K933">INDEX(Sm,G933)</f>
        <v>1.3733706304072995</v>
      </c>
      <c r="L933" s="7">
        <f t="shared" si="69"/>
        <v>454.93705172291055</v>
      </c>
    </row>
    <row r="934" spans="6:12" ht="18.75" customHeight="1">
      <c r="F934" s="1">
        <v>49766</v>
      </c>
      <c r="G934">
        <f t="shared" si="70"/>
        <v>4</v>
      </c>
      <c r="I934" s="7">
        <f t="shared" si="68"/>
        <v>453.80156368536308</v>
      </c>
      <c r="J934" s="7"/>
      <c r="K934" s="7" cm="1">
        <f t="array" ref="K934">INDEX(Sm,G934)</f>
        <v>2.6099183412742755</v>
      </c>
      <c r="L934" s="7">
        <f t="shared" si="69"/>
        <v>456.41148202663737</v>
      </c>
    </row>
    <row r="935" spans="6:12" ht="18.75" customHeight="1">
      <c r="F935" s="1">
        <v>49796</v>
      </c>
      <c r="G935">
        <f t="shared" si="70"/>
        <v>5</v>
      </c>
      <c r="I935" s="7">
        <f t="shared" si="68"/>
        <v>454.03195207277395</v>
      </c>
      <c r="J935" s="7"/>
      <c r="K935" s="7" cm="1">
        <f t="array" ref="K935">INDEX(Sm,G935)</f>
        <v>3.065291801195754</v>
      </c>
      <c r="L935" s="7">
        <f t="shared" si="69"/>
        <v>457.09724387396972</v>
      </c>
    </row>
    <row r="936" spans="6:12" ht="18.75" customHeight="1">
      <c r="F936" s="1">
        <v>49827</v>
      </c>
      <c r="G936">
        <f t="shared" si="70"/>
        <v>6</v>
      </c>
      <c r="I936" s="7">
        <f t="shared" ref="I936:I982" si="71">_A*F936*F936+_B*F936+_C</f>
        <v>454.27020548056311</v>
      </c>
      <c r="J936" s="7"/>
      <c r="K936" s="7" cm="1">
        <f t="array" ref="K936">INDEX(Sm,G936)</f>
        <v>2.3463851222642056</v>
      </c>
      <c r="L936" s="7">
        <f t="shared" ref="L936:L982" si="72">I936+K936</f>
        <v>456.61659060282733</v>
      </c>
    </row>
    <row r="937" spans="6:12" ht="18.75" customHeight="1">
      <c r="F937" s="1">
        <v>49857</v>
      </c>
      <c r="G937">
        <f t="shared" si="70"/>
        <v>7</v>
      </c>
      <c r="I937" s="7">
        <f t="shared" si="71"/>
        <v>454.50095272113134</v>
      </c>
      <c r="J937" s="7"/>
      <c r="K937" s="7" cm="1">
        <f t="array" ref="K937">INDEX(Sm,G937)</f>
        <v>0.72334113060077332</v>
      </c>
      <c r="L937" s="7">
        <f t="shared" si="72"/>
        <v>455.22429385173211</v>
      </c>
    </row>
    <row r="938" spans="6:12" ht="18.75" customHeight="1">
      <c r="F938" s="1">
        <v>49888</v>
      </c>
      <c r="G938">
        <f t="shared" si="70"/>
        <v>8</v>
      </c>
      <c r="I938" s="7">
        <f t="shared" si="71"/>
        <v>454.73957694384984</v>
      </c>
      <c r="J938" s="7"/>
      <c r="K938" s="7" cm="1">
        <f t="array" ref="K938">INDEX(Sm,G938)</f>
        <v>-1.3975570061157723</v>
      </c>
      <c r="L938" s="7">
        <f t="shared" si="72"/>
        <v>453.34201993773405</v>
      </c>
    </row>
    <row r="939" spans="6:12" ht="18.75" customHeight="1">
      <c r="F939" s="1">
        <v>49919</v>
      </c>
      <c r="G939">
        <f t="shared" si="70"/>
        <v>9</v>
      </c>
      <c r="I939" s="7">
        <f t="shared" si="71"/>
        <v>454.97838961349964</v>
      </c>
      <c r="J939" s="7"/>
      <c r="K939" s="7" cm="1">
        <f t="array" ref="K939">INDEX(Sm,G939)</f>
        <v>-3.1934822994410497</v>
      </c>
      <c r="L939" s="7">
        <f t="shared" si="72"/>
        <v>451.78490731405861</v>
      </c>
    </row>
    <row r="940" spans="6:12" ht="18.75" customHeight="1">
      <c r="F940" s="1">
        <v>49949</v>
      </c>
      <c r="G940">
        <f t="shared" si="70"/>
        <v>10</v>
      </c>
      <c r="I940" s="7">
        <f t="shared" si="71"/>
        <v>455.20967807522339</v>
      </c>
      <c r="J940" s="7"/>
      <c r="K940" s="7" cm="1">
        <f t="array" ref="K940">INDEX(Sm,G940)</f>
        <v>-3.3368150874962788</v>
      </c>
      <c r="L940" s="7">
        <f t="shared" si="72"/>
        <v>451.8728629877271</v>
      </c>
    </row>
    <row r="941" spans="6:12" ht="18.75" customHeight="1">
      <c r="F941" s="1">
        <v>49980</v>
      </c>
      <c r="G941">
        <f t="shared" si="70"/>
        <v>11</v>
      </c>
      <c r="I941" s="7">
        <f t="shared" si="71"/>
        <v>455.44886155980248</v>
      </c>
      <c r="J941" s="7"/>
      <c r="K941" s="7" cm="1">
        <f t="array" ref="K941">INDEX(Sm,G941)</f>
        <v>-2.0591623324975612</v>
      </c>
      <c r="L941" s="7">
        <f t="shared" si="72"/>
        <v>453.3896992273049</v>
      </c>
    </row>
    <row r="942" spans="6:12" ht="18.75" customHeight="1">
      <c r="F942" s="1">
        <v>50010</v>
      </c>
      <c r="G942">
        <f t="shared" si="70"/>
        <v>12</v>
      </c>
      <c r="I942" s="7">
        <f t="shared" si="71"/>
        <v>455.6805088746836</v>
      </c>
      <c r="J942" s="7"/>
      <c r="K942" s="7" cm="1">
        <f t="array" ref="K942">INDEX(Sm,G942)</f>
        <v>-0.89132446529561371</v>
      </c>
      <c r="L942" s="7">
        <f t="shared" si="72"/>
        <v>454.78918440938799</v>
      </c>
    </row>
    <row r="943" spans="6:12" ht="18.75" customHeight="1">
      <c r="F943" s="1">
        <v>50041</v>
      </c>
      <c r="G943">
        <f t="shared" si="70"/>
        <v>1</v>
      </c>
      <c r="I943" s="7">
        <f t="shared" si="71"/>
        <v>455.92006317419208</v>
      </c>
      <c r="J943" s="7"/>
      <c r="K943" s="7" cm="1">
        <f t="array" ref="K943">INDEX(Sm,G943)</f>
        <v>6.1040869584970889E-2</v>
      </c>
      <c r="L943" s="7">
        <f t="shared" si="72"/>
        <v>455.98110404377707</v>
      </c>
    </row>
    <row r="944" spans="6:12" ht="18.75" customHeight="1">
      <c r="F944" s="1">
        <v>50072</v>
      </c>
      <c r="G944">
        <f t="shared" si="70"/>
        <v>2</v>
      </c>
      <c r="I944" s="7">
        <f t="shared" si="71"/>
        <v>456.15980592063187</v>
      </c>
      <c r="J944" s="7"/>
      <c r="K944" s="7" cm="1">
        <f t="array" ref="K944">INDEX(Sm,G944)</f>
        <v>0.69421564520236412</v>
      </c>
      <c r="L944" s="7">
        <f t="shared" si="72"/>
        <v>456.85402156583422</v>
      </c>
    </row>
    <row r="945" spans="6:12" ht="18.75" customHeight="1">
      <c r="F945" s="1">
        <v>50100</v>
      </c>
      <c r="G945">
        <f t="shared" si="70"/>
        <v>3</v>
      </c>
      <c r="I945" s="7">
        <f t="shared" si="71"/>
        <v>456.37650973028326</v>
      </c>
      <c r="J945" s="7"/>
      <c r="K945" s="7" cm="1">
        <f t="array" ref="K945">INDEX(Sm,G945)</f>
        <v>1.3733706304072995</v>
      </c>
      <c r="L945" s="7">
        <f t="shared" si="72"/>
        <v>457.74988036069055</v>
      </c>
    </row>
    <row r="946" spans="6:12" ht="18.75" customHeight="1">
      <c r="F946" s="1">
        <v>50131</v>
      </c>
      <c r="G946">
        <f t="shared" si="70"/>
        <v>4</v>
      </c>
      <c r="I946" s="7">
        <f t="shared" si="71"/>
        <v>456.61661113378585</v>
      </c>
      <c r="J946" s="7"/>
      <c r="K946" s="7" cm="1">
        <f t="array" ref="K946">INDEX(Sm,G946)</f>
        <v>2.6099183412742755</v>
      </c>
      <c r="L946" s="7">
        <f t="shared" si="72"/>
        <v>459.22652947506015</v>
      </c>
    </row>
    <row r="947" spans="6:12" ht="18.75" customHeight="1">
      <c r="F947" s="1">
        <v>50161</v>
      </c>
      <c r="G947">
        <f t="shared" si="70"/>
        <v>5</v>
      </c>
      <c r="I947" s="7">
        <f t="shared" si="71"/>
        <v>456.84914675730255</v>
      </c>
      <c r="J947" s="7"/>
      <c r="K947" s="7" cm="1">
        <f t="array" ref="K947">INDEX(Sm,G947)</f>
        <v>3.065291801195754</v>
      </c>
      <c r="L947" s="7">
        <f t="shared" si="72"/>
        <v>459.91443855849832</v>
      </c>
    </row>
    <row r="948" spans="6:12" ht="18.75" customHeight="1">
      <c r="F948" s="1">
        <v>50192</v>
      </c>
      <c r="G948">
        <f t="shared" si="70"/>
        <v>6</v>
      </c>
      <c r="I948" s="7">
        <f t="shared" si="71"/>
        <v>457.08961897573442</v>
      </c>
      <c r="J948" s="7"/>
      <c r="K948" s="7" cm="1">
        <f t="array" ref="K948">INDEX(Sm,G948)</f>
        <v>2.3463851222642056</v>
      </c>
      <c r="L948" s="7">
        <f t="shared" si="72"/>
        <v>459.43600409799865</v>
      </c>
    </row>
    <row r="949" spans="6:12" ht="18.75" customHeight="1">
      <c r="F949" s="1">
        <v>50222</v>
      </c>
      <c r="G949">
        <f t="shared" si="70"/>
        <v>7</v>
      </c>
      <c r="I949" s="7">
        <f t="shared" si="71"/>
        <v>457.32251345240854</v>
      </c>
      <c r="J949" s="7"/>
      <c r="K949" s="7" cm="1">
        <f t="array" ref="K949">INDEX(Sm,G949)</f>
        <v>0.72334113060077332</v>
      </c>
      <c r="L949" s="7">
        <f t="shared" si="72"/>
        <v>458.04585458300932</v>
      </c>
    </row>
    <row r="950" spans="6:12" ht="18.75" customHeight="1">
      <c r="F950" s="1">
        <v>50253</v>
      </c>
      <c r="G950">
        <f t="shared" si="70"/>
        <v>8</v>
      </c>
      <c r="I950" s="7">
        <f t="shared" si="71"/>
        <v>457.56335648576982</v>
      </c>
      <c r="J950" s="7"/>
      <c r="K950" s="7" cm="1">
        <f t="array" ref="K950">INDEX(Sm,G950)</f>
        <v>-1.3975570061157723</v>
      </c>
      <c r="L950" s="7">
        <f t="shared" si="72"/>
        <v>456.16579947965403</v>
      </c>
    </row>
    <row r="951" spans="6:12" ht="18.75" customHeight="1">
      <c r="F951" s="1">
        <v>50284</v>
      </c>
      <c r="G951">
        <f t="shared" si="70"/>
        <v>9</v>
      </c>
      <c r="I951" s="7">
        <f t="shared" si="71"/>
        <v>457.80438796606234</v>
      </c>
      <c r="J951" s="7"/>
      <c r="K951" s="7" cm="1">
        <f t="array" ref="K951">INDEX(Sm,G951)</f>
        <v>-3.1934822994410497</v>
      </c>
      <c r="L951" s="7">
        <f t="shared" si="72"/>
        <v>454.61090566662131</v>
      </c>
    </row>
    <row r="952" spans="6:12" ht="18.75" customHeight="1">
      <c r="F952" s="1">
        <v>50314</v>
      </c>
      <c r="G952">
        <f t="shared" si="70"/>
        <v>10</v>
      </c>
      <c r="I952" s="7">
        <f t="shared" si="71"/>
        <v>458.03782366389191</v>
      </c>
      <c r="J952" s="7"/>
      <c r="K952" s="7" cm="1">
        <f t="array" ref="K952">INDEX(Sm,G952)</f>
        <v>-3.3368150874962788</v>
      </c>
      <c r="L952" s="7">
        <f t="shared" si="72"/>
        <v>454.70100857639562</v>
      </c>
    </row>
    <row r="953" spans="6:12" ht="18.75" customHeight="1">
      <c r="F953" s="1">
        <v>50345</v>
      </c>
      <c r="G953">
        <f t="shared" si="70"/>
        <v>11</v>
      </c>
      <c r="I953" s="7">
        <f t="shared" si="71"/>
        <v>458.27922595911377</v>
      </c>
      <c r="J953" s="7"/>
      <c r="K953" s="7" cm="1">
        <f t="array" ref="K953">INDEX(Sm,G953)</f>
        <v>-2.0591623324975612</v>
      </c>
      <c r="L953" s="7">
        <f t="shared" si="72"/>
        <v>456.2200636266162</v>
      </c>
    </row>
    <row r="954" spans="6:12" ht="18.75" customHeight="1">
      <c r="F954" s="1">
        <v>50375</v>
      </c>
      <c r="G954">
        <f t="shared" si="70"/>
        <v>12</v>
      </c>
      <c r="I954" s="7">
        <f t="shared" si="71"/>
        <v>458.51302051010072</v>
      </c>
      <c r="J954" s="7"/>
      <c r="K954" s="7" cm="1">
        <f t="array" ref="K954">INDEX(Sm,G954)</f>
        <v>-0.89132446529561371</v>
      </c>
      <c r="L954" s="7">
        <f t="shared" si="72"/>
        <v>457.62169604480511</v>
      </c>
    </row>
    <row r="955" spans="6:12" ht="18.75" customHeight="1">
      <c r="F955" s="1">
        <v>50406</v>
      </c>
      <c r="G955">
        <f t="shared" si="70"/>
        <v>1</v>
      </c>
      <c r="I955" s="7">
        <f t="shared" si="71"/>
        <v>458.75479362025197</v>
      </c>
      <c r="J955" s="7"/>
      <c r="K955" s="7" cm="1">
        <f t="array" ref="K955">INDEX(Sm,G955)</f>
        <v>6.1040869584970889E-2</v>
      </c>
      <c r="L955" s="7">
        <f t="shared" si="72"/>
        <v>458.81583448983696</v>
      </c>
    </row>
    <row r="956" spans="6:12" ht="18.75" customHeight="1">
      <c r="F956" s="1">
        <v>50437</v>
      </c>
      <c r="G956">
        <f t="shared" si="70"/>
        <v>2</v>
      </c>
      <c r="I956" s="7">
        <f t="shared" si="71"/>
        <v>458.99675517733448</v>
      </c>
      <c r="J956" s="7"/>
      <c r="K956" s="7" cm="1">
        <f t="array" ref="K956">INDEX(Sm,G956)</f>
        <v>0.69421564520236412</v>
      </c>
      <c r="L956" s="7">
        <f t="shared" si="72"/>
        <v>459.69097082253683</v>
      </c>
    </row>
    <row r="957" spans="6:12" ht="18.75" customHeight="1">
      <c r="F957" s="1">
        <v>50465</v>
      </c>
      <c r="G957">
        <f t="shared" si="70"/>
        <v>3</v>
      </c>
      <c r="I957" s="7">
        <f t="shared" si="71"/>
        <v>459.21546307401798</v>
      </c>
      <c r="J957" s="7"/>
      <c r="K957" s="7" cm="1">
        <f t="array" ref="K957">INDEX(Sm,G957)</f>
        <v>1.3733706304072995</v>
      </c>
      <c r="L957" s="7">
        <f t="shared" si="72"/>
        <v>460.58883370442527</v>
      </c>
    </row>
    <row r="958" spans="6:12" ht="18.75" customHeight="1">
      <c r="F958" s="1">
        <v>50496</v>
      </c>
      <c r="G958">
        <f t="shared" si="70"/>
        <v>4</v>
      </c>
      <c r="I958" s="7">
        <f t="shared" si="71"/>
        <v>459.45778328816328</v>
      </c>
      <c r="J958" s="7"/>
      <c r="K958" s="7" cm="1">
        <f t="array" ref="K958">INDEX(Sm,G958)</f>
        <v>2.6099183412742755</v>
      </c>
      <c r="L958" s="7">
        <f t="shared" si="72"/>
        <v>462.06770162943758</v>
      </c>
    </row>
    <row r="959" spans="6:12" ht="18.75" customHeight="1">
      <c r="F959" s="1">
        <v>50526</v>
      </c>
      <c r="G959">
        <f t="shared" si="70"/>
        <v>5</v>
      </c>
      <c r="I959" s="7">
        <f t="shared" si="71"/>
        <v>459.69246614778581</v>
      </c>
      <c r="J959" s="7"/>
      <c r="K959" s="7" cm="1">
        <f t="array" ref="K959">INDEX(Sm,G959)</f>
        <v>3.065291801195754</v>
      </c>
      <c r="L959" s="7">
        <f t="shared" si="72"/>
        <v>462.75775794898158</v>
      </c>
    </row>
    <row r="960" spans="6:12" ht="18.75" customHeight="1">
      <c r="F960" s="1">
        <v>50557</v>
      </c>
      <c r="G960">
        <f t="shared" si="70"/>
        <v>6</v>
      </c>
      <c r="I960" s="7">
        <f t="shared" si="71"/>
        <v>459.93515717686051</v>
      </c>
      <c r="J960" s="7"/>
      <c r="K960" s="7" cm="1">
        <f t="array" ref="K960">INDEX(Sm,G960)</f>
        <v>2.3463851222642056</v>
      </c>
      <c r="L960" s="7">
        <f t="shared" si="72"/>
        <v>462.28154229912474</v>
      </c>
    </row>
    <row r="961" spans="6:12" ht="18.75" customHeight="1">
      <c r="F961" s="1">
        <v>50587</v>
      </c>
      <c r="G961">
        <f t="shared" si="70"/>
        <v>7</v>
      </c>
      <c r="I961" s="7">
        <f t="shared" si="71"/>
        <v>460.17019888964046</v>
      </c>
      <c r="J961" s="7"/>
      <c r="K961" s="7" cm="1">
        <f t="array" ref="K961">INDEX(Sm,G961)</f>
        <v>0.72334113060077332</v>
      </c>
      <c r="L961" s="7">
        <f t="shared" si="72"/>
        <v>460.89354002024123</v>
      </c>
    </row>
    <row r="962" spans="6:12" ht="18.75" customHeight="1">
      <c r="F962" s="1">
        <v>50618</v>
      </c>
      <c r="G962">
        <f t="shared" si="70"/>
        <v>8</v>
      </c>
      <c r="I962" s="7">
        <f t="shared" si="71"/>
        <v>460.41326073364445</v>
      </c>
      <c r="J962" s="7"/>
      <c r="K962" s="7" cm="1">
        <f t="array" ref="K962">INDEX(Sm,G962)</f>
        <v>-1.3975570061157723</v>
      </c>
      <c r="L962" s="7">
        <f t="shared" si="72"/>
        <v>459.01570372752866</v>
      </c>
    </row>
    <row r="963" spans="6:12" ht="18.75" customHeight="1">
      <c r="F963" s="1">
        <v>50649</v>
      </c>
      <c r="G963">
        <f t="shared" ref="G963:G982" si="73">MONTH(F963)</f>
        <v>9</v>
      </c>
      <c r="I963" s="7">
        <f t="shared" si="71"/>
        <v>460.65651102457969</v>
      </c>
      <c r="J963" s="7"/>
      <c r="K963" s="7" cm="1">
        <f t="array" ref="K963">INDEX(Sm,G963)</f>
        <v>-3.1934822994410497</v>
      </c>
      <c r="L963" s="7">
        <f t="shared" si="72"/>
        <v>457.46302872513866</v>
      </c>
    </row>
    <row r="964" spans="6:12" ht="18.75" customHeight="1">
      <c r="F964" s="1">
        <v>50679</v>
      </c>
      <c r="G964">
        <f t="shared" si="73"/>
        <v>10</v>
      </c>
      <c r="I964" s="7">
        <f t="shared" si="71"/>
        <v>460.89209395851515</v>
      </c>
      <c r="J964" s="7"/>
      <c r="K964" s="7" cm="1">
        <f t="array" ref="K964">INDEX(Sm,G964)</f>
        <v>-3.3368150874962788</v>
      </c>
      <c r="L964" s="7">
        <f t="shared" si="72"/>
        <v>457.55527887101886</v>
      </c>
    </row>
    <row r="965" spans="6:12" ht="18.75" customHeight="1">
      <c r="F965" s="1">
        <v>50710</v>
      </c>
      <c r="G965">
        <f t="shared" si="73"/>
        <v>11</v>
      </c>
      <c r="I965" s="7">
        <f t="shared" si="71"/>
        <v>461.13571506437972</v>
      </c>
      <c r="J965" s="7"/>
      <c r="K965" s="7" cm="1">
        <f t="array" ref="K965">INDEX(Sm,G965)</f>
        <v>-2.0591623324975612</v>
      </c>
      <c r="L965" s="7">
        <f t="shared" si="72"/>
        <v>459.07655273188215</v>
      </c>
    </row>
    <row r="966" spans="6:12" ht="18.75" customHeight="1">
      <c r="F966" s="1">
        <v>50740</v>
      </c>
      <c r="G966">
        <f t="shared" si="73"/>
        <v>12</v>
      </c>
      <c r="I966" s="7">
        <f t="shared" si="71"/>
        <v>461.37165685147261</v>
      </c>
      <c r="J966" s="7"/>
      <c r="K966" s="7" cm="1">
        <f t="array" ref="K966">INDEX(Sm,G966)</f>
        <v>-0.89132446529561371</v>
      </c>
      <c r="L966" s="7">
        <f t="shared" si="72"/>
        <v>460.480332386177</v>
      </c>
    </row>
    <row r="967" spans="6:12" ht="18.75" customHeight="1">
      <c r="F967" s="1">
        <v>50771</v>
      </c>
      <c r="G967">
        <f t="shared" si="73"/>
        <v>1</v>
      </c>
      <c r="I967" s="7">
        <f t="shared" si="71"/>
        <v>461.61564877226658</v>
      </c>
      <c r="J967" s="7"/>
      <c r="K967" s="7" cm="1">
        <f t="array" ref="K967">INDEX(Sm,G967)</f>
        <v>6.1040869584970889E-2</v>
      </c>
      <c r="L967" s="7">
        <f t="shared" si="72"/>
        <v>461.67668964185157</v>
      </c>
    </row>
    <row r="968" spans="6:12" ht="18.75" customHeight="1">
      <c r="F968" s="1">
        <v>50802</v>
      </c>
      <c r="G968">
        <f t="shared" si="73"/>
        <v>2</v>
      </c>
      <c r="I968" s="7">
        <f t="shared" si="71"/>
        <v>461.8598291399918</v>
      </c>
      <c r="J968" s="7"/>
      <c r="K968" s="7" cm="1">
        <f t="array" ref="K968">INDEX(Sm,G968)</f>
        <v>0.69421564520236412</v>
      </c>
      <c r="L968" s="7">
        <f t="shared" si="72"/>
        <v>462.55404478519415</v>
      </c>
    </row>
    <row r="969" spans="6:12" ht="18.75" customHeight="1">
      <c r="F969" s="1">
        <v>50830</v>
      </c>
      <c r="G969">
        <f t="shared" si="73"/>
        <v>3</v>
      </c>
      <c r="I969" s="7">
        <f t="shared" si="71"/>
        <v>462.08054112370746</v>
      </c>
      <c r="J969" s="7"/>
      <c r="K969" s="7" cm="1">
        <f t="array" ref="K969">INDEX(Sm,G969)</f>
        <v>1.3733706304072995</v>
      </c>
      <c r="L969" s="7">
        <f t="shared" si="72"/>
        <v>463.45391175411476</v>
      </c>
    </row>
    <row r="970" spans="6:12" ht="18.75" customHeight="1">
      <c r="F970" s="1">
        <v>50861</v>
      </c>
      <c r="G970">
        <f t="shared" si="73"/>
        <v>4</v>
      </c>
      <c r="I970" s="7">
        <f t="shared" si="71"/>
        <v>462.32508014849549</v>
      </c>
      <c r="J970" s="7"/>
      <c r="K970" s="7" cm="1">
        <f t="array" ref="K970">INDEX(Sm,G970)</f>
        <v>2.6099183412742755</v>
      </c>
      <c r="L970" s="7">
        <f t="shared" si="72"/>
        <v>464.93499848976978</v>
      </c>
    </row>
    <row r="971" spans="6:12" ht="18.75" customHeight="1">
      <c r="F971" s="1">
        <v>50891</v>
      </c>
      <c r="G971">
        <f t="shared" si="73"/>
        <v>5</v>
      </c>
      <c r="I971" s="7">
        <f t="shared" si="71"/>
        <v>462.5619102442239</v>
      </c>
      <c r="J971" s="7"/>
      <c r="K971" s="7" cm="1">
        <f t="array" ref="K971">INDEX(Sm,G971)</f>
        <v>3.065291801195754</v>
      </c>
      <c r="L971" s="7">
        <f t="shared" si="72"/>
        <v>465.62720204541966</v>
      </c>
    </row>
    <row r="972" spans="6:12" ht="18.75" customHeight="1">
      <c r="F972" s="1">
        <v>50922</v>
      </c>
      <c r="G972">
        <f t="shared" si="73"/>
        <v>6</v>
      </c>
      <c r="I972" s="7">
        <f t="shared" si="71"/>
        <v>462.80682008394126</v>
      </c>
      <c r="J972" s="7"/>
      <c r="K972" s="7" cm="1">
        <f t="array" ref="K972">INDEX(Sm,G972)</f>
        <v>2.3463851222642056</v>
      </c>
      <c r="L972" s="7">
        <f t="shared" si="72"/>
        <v>465.15320520620548</v>
      </c>
    </row>
    <row r="973" spans="6:12" ht="18.75" customHeight="1">
      <c r="F973" s="1">
        <v>50952</v>
      </c>
      <c r="G973">
        <f t="shared" si="73"/>
        <v>7</v>
      </c>
      <c r="I973" s="7">
        <f t="shared" si="71"/>
        <v>463.04400903282715</v>
      </c>
      <c r="J973" s="7"/>
      <c r="K973" s="7" cm="1">
        <f t="array" ref="K973">INDEX(Sm,G973)</f>
        <v>0.72334113060077332</v>
      </c>
      <c r="L973" s="7">
        <f t="shared" si="72"/>
        <v>463.76735016342792</v>
      </c>
    </row>
    <row r="974" spans="6:12" ht="18.75" customHeight="1">
      <c r="F974" s="1">
        <v>50983</v>
      </c>
      <c r="G974">
        <f t="shared" si="73"/>
        <v>8</v>
      </c>
      <c r="I974" s="7">
        <f t="shared" si="71"/>
        <v>463.2892896874738</v>
      </c>
      <c r="J974" s="7"/>
      <c r="K974" s="7" cm="1">
        <f t="array" ref="K974">INDEX(Sm,G974)</f>
        <v>-1.3975570061157723</v>
      </c>
      <c r="L974" s="7">
        <f t="shared" si="72"/>
        <v>461.89173268135801</v>
      </c>
    </row>
    <row r="975" spans="6:12" ht="18.75" customHeight="1">
      <c r="F975" s="1">
        <v>51014</v>
      </c>
      <c r="G975">
        <f t="shared" si="73"/>
        <v>9</v>
      </c>
      <c r="I975" s="7">
        <f t="shared" si="71"/>
        <v>463.53475878905181</v>
      </c>
      <c r="J975" s="7"/>
      <c r="K975" s="7" cm="1">
        <f t="array" ref="K975">INDEX(Sm,G975)</f>
        <v>-3.1934822994410497</v>
      </c>
      <c r="L975" s="7">
        <f t="shared" si="72"/>
        <v>460.34127648961078</v>
      </c>
    </row>
    <row r="976" spans="6:12" ht="18.75" customHeight="1">
      <c r="F976" s="1">
        <v>51044</v>
      </c>
      <c r="G976">
        <f t="shared" si="73"/>
        <v>10</v>
      </c>
      <c r="I976" s="7">
        <f t="shared" si="71"/>
        <v>463.7724889590931</v>
      </c>
      <c r="J976" s="7"/>
      <c r="K976" s="7" cm="1">
        <f t="array" ref="K976">INDEX(Sm,G976)</f>
        <v>-3.3368150874962788</v>
      </c>
      <c r="L976" s="7">
        <f t="shared" si="72"/>
        <v>460.4356738715968</v>
      </c>
    </row>
    <row r="977" spans="6:12" ht="18.75" customHeight="1">
      <c r="F977" s="1">
        <v>51075</v>
      </c>
      <c r="G977">
        <f t="shared" si="73"/>
        <v>11</v>
      </c>
      <c r="I977" s="7">
        <f t="shared" si="71"/>
        <v>464.01832887560045</v>
      </c>
      <c r="J977" s="7"/>
      <c r="K977" s="7" cm="1">
        <f t="array" ref="K977">INDEX(Sm,G977)</f>
        <v>-2.0591623324975612</v>
      </c>
      <c r="L977" s="7">
        <f t="shared" si="72"/>
        <v>461.95916654310287</v>
      </c>
    </row>
    <row r="978" spans="6:12" ht="18.75" customHeight="1">
      <c r="F978" s="1">
        <v>51105</v>
      </c>
      <c r="G978">
        <f t="shared" si="73"/>
        <v>12</v>
      </c>
      <c r="I978" s="7">
        <f t="shared" si="71"/>
        <v>464.25641789879916</v>
      </c>
      <c r="J978" s="7"/>
      <c r="K978" s="7" cm="1">
        <f t="array" ref="K978">INDEX(Sm,G978)</f>
        <v>-0.89132446529561371</v>
      </c>
      <c r="L978" s="7">
        <f t="shared" si="72"/>
        <v>463.36509343350355</v>
      </c>
    </row>
    <row r="979" spans="6:12" ht="18.75" customHeight="1">
      <c r="F979" s="1">
        <v>51136</v>
      </c>
      <c r="G979">
        <f t="shared" si="73"/>
        <v>1</v>
      </c>
      <c r="I979" s="7">
        <f t="shared" si="71"/>
        <v>464.50262863023579</v>
      </c>
      <c r="J979" s="7"/>
      <c r="K979" s="7" cm="1">
        <f t="array" ref="K979">INDEX(Sm,G979)</f>
        <v>6.1040869584970889E-2</v>
      </c>
      <c r="L979" s="7">
        <f t="shared" si="72"/>
        <v>464.56366949982078</v>
      </c>
    </row>
    <row r="980" spans="6:12" ht="18.75" customHeight="1">
      <c r="F980" s="1">
        <v>51167</v>
      </c>
      <c r="G980">
        <f t="shared" si="73"/>
        <v>2</v>
      </c>
      <c r="I980" s="7">
        <f t="shared" si="71"/>
        <v>464.74902780860384</v>
      </c>
      <c r="J980" s="7"/>
      <c r="K980" s="7" cm="1">
        <f t="array" ref="K980">INDEX(Sm,G980)</f>
        <v>0.69421564520236412</v>
      </c>
      <c r="L980" s="7">
        <f t="shared" si="72"/>
        <v>465.44324345380619</v>
      </c>
    </row>
    <row r="981" spans="6:12" ht="18.75" customHeight="1">
      <c r="F981" s="1">
        <v>51196</v>
      </c>
      <c r="G981">
        <f t="shared" si="73"/>
        <v>3</v>
      </c>
      <c r="I981" s="7">
        <f t="shared" si="71"/>
        <v>464.9797008681075</v>
      </c>
      <c r="J981" s="7"/>
      <c r="K981" s="7" cm="1">
        <f t="array" ref="K981">INDEX(Sm,G981)</f>
        <v>1.3733706304072995</v>
      </c>
      <c r="L981" s="7">
        <f t="shared" si="72"/>
        <v>466.35307149851479</v>
      </c>
    </row>
    <row r="982" spans="6:12" ht="18.75" customHeight="1">
      <c r="F982" s="16">
        <v>51227</v>
      </c>
      <c r="G982" s="17">
        <f t="shared" si="73"/>
        <v>4</v>
      </c>
      <c r="H982" s="18"/>
      <c r="I982" s="7">
        <f t="shared" si="71"/>
        <v>465.22646478247145</v>
      </c>
      <c r="J982" s="7"/>
      <c r="K982" s="7" cm="1">
        <f t="array" ref="K982">INDEX(Sm,G982)</f>
        <v>2.6099183412742755</v>
      </c>
      <c r="L982" s="7">
        <f t="shared" si="72"/>
        <v>467.83638312374575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���0�0�0�0�0�0n0��fL0S0S0k0h�:yU0�0~0Y0�0�0�0�0
</file>

<file path=customXml/item2.xml>���0�0�0�0�0�0n0��fL0S0S0k0h�:yU0�0~0Y0
</file>

<file path=customXml/itemProps1.xml><?xml version="1.0" encoding="utf-8"?>
<ds:datastoreItem xmlns:ds="http://schemas.openxmlformats.org/officeDocument/2006/customXml" ds:itemID="{15B93396-9F0E-4307-A38D-7E53C9B99C3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0CF85DC-14E6-4905-A6FB-C9E225A976F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11</vt:i4>
      </vt:variant>
    </vt:vector>
  </HeadingPairs>
  <TitlesOfParts>
    <vt:vector size="15" baseType="lpstr">
      <vt:lpstr>co2</vt:lpstr>
      <vt:lpstr>線形モデル</vt:lpstr>
      <vt:lpstr>2次多項式モデル</vt:lpstr>
      <vt:lpstr>2次多項式モデル (2)</vt:lpstr>
      <vt:lpstr>'2次多項式モデル'!_A</vt:lpstr>
      <vt:lpstr>'2次多項式モデル (2)'!_A</vt:lpstr>
      <vt:lpstr>'2次多項式モデル'!_B</vt:lpstr>
      <vt:lpstr>'2次多項式モデル (2)'!_B</vt:lpstr>
      <vt:lpstr>線形モデル!_B</vt:lpstr>
      <vt:lpstr>'2次多項式モデル'!_C</vt:lpstr>
      <vt:lpstr>'2次多項式モデル (2)'!_C</vt:lpstr>
      <vt:lpstr>線形モデル!_C</vt:lpstr>
      <vt:lpstr>'2次多項式モデル'!Sm</vt:lpstr>
      <vt:lpstr>'2次多項式モデル (2)'!Sm</vt:lpstr>
      <vt:lpstr>線形モデル!Sm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2023-11-22T05:04:54Z</dcterms:modified>
</cp:coreProperties>
</file>