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2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Documents\wwws\Sc188\Data\"/>
    </mc:Choice>
  </mc:AlternateContent>
  <xr:revisionPtr revIDLastSave="0" documentId="13_ncr:1_{D52E3320-7EFF-4A48-9E1E-ABC084F9C892}" xr6:coauthVersionLast="47" xr6:coauthVersionMax="47" xr10:uidLastSave="{00000000-0000-0000-0000-000000000000}"/>
  <bookViews>
    <workbookView xWindow="-120" yWindow="-120" windowWidth="28095" windowHeight="16440" xr2:uid="{F09E30F0-484D-4ADE-8C37-A4C3D44EF12A}"/>
  </bookViews>
  <sheets>
    <sheet name="co2-concentration" sheetId="1" r:id="rId1"/>
    <sheet name="TCS(d)" sheetId="5" r:id="rId2"/>
    <sheet name="TC(d)" sheetId="7" r:id="rId3"/>
    <sheet name="S(m)" sheetId="8" r:id="rId4"/>
    <sheet name="残差(I)" sheetId="9" r:id="rId5"/>
    <sheet name="指数+定数モデル" sheetId="3" r:id="rId6"/>
    <sheet name="TCS(d) (2)" sheetId="16" r:id="rId7"/>
    <sheet name="TC(d) (2)" sheetId="17" r:id="rId8"/>
    <sheet name="S(m) (2)" sheetId="18" r:id="rId9"/>
    <sheet name="残差(I) (2)" sheetId="19" r:id="rId10"/>
    <sheet name="2次多項式モデル" sheetId="15" r:id="rId11"/>
  </sheets>
  <definedNames>
    <definedName name="_A" localSheetId="10">'2次多項式モデル'!$B$6</definedName>
    <definedName name="_A">'指数+定数モデル'!$B$6</definedName>
    <definedName name="_B" localSheetId="10">'2次多項式モデル'!$B$7</definedName>
    <definedName name="_B">'指数+定数モデル'!$B$7</definedName>
    <definedName name="_C" localSheetId="10">'2次多項式モデル'!$B$8</definedName>
    <definedName name="_C">'指数+定数モデル'!$B$8</definedName>
    <definedName name="Err" localSheetId="10">'2次多項式モデル'!$B$27</definedName>
    <definedName name="Err">'指数+定数モデル'!$B$27</definedName>
    <definedName name="Err_2">#REF!</definedName>
    <definedName name="S2m">#REF!</definedName>
    <definedName name="S2m_total">#REF!</definedName>
    <definedName name="Sm" localSheetId="10">'2次多項式モデル'!$B$12:$B$23</definedName>
    <definedName name="Sm">'指数+定数モデル'!$B$12:$B$23</definedName>
    <definedName name="Sm_total" localSheetId="10">'2次多項式モデル'!$B$25</definedName>
    <definedName name="Sm_total">'指数+定数モデル'!$B$25</definedName>
    <definedName name="solver_adj" localSheetId="10" hidden="1">'2次多項式モデル'!$B$12:$B$23</definedName>
    <definedName name="solver_adj" localSheetId="5" hidden="1">'指数+定数モデル'!$B$6,'指数+定数モデル'!$B$7,'指数+定数モデル'!$B$8,'指数+定数モデル'!$B$12:$B$23</definedName>
    <definedName name="solver_cvg" localSheetId="10" hidden="1">0.0001</definedName>
    <definedName name="solver_cvg" localSheetId="5" hidden="1">0.0001</definedName>
    <definedName name="solver_drv" localSheetId="10" hidden="1">1</definedName>
    <definedName name="solver_drv" localSheetId="5" hidden="1">1</definedName>
    <definedName name="solver_eng" localSheetId="10" hidden="1">1</definedName>
    <definedName name="solver_eng" localSheetId="5" hidden="1">1</definedName>
    <definedName name="solver_est" localSheetId="10" hidden="1">1</definedName>
    <definedName name="solver_est" localSheetId="5" hidden="1">1</definedName>
    <definedName name="solver_itr" localSheetId="10" hidden="1">2147483647</definedName>
    <definedName name="solver_itr" localSheetId="5" hidden="1">2147483647</definedName>
    <definedName name="solver_lhs1" localSheetId="10" hidden="1">'2次多項式モデル'!$B$25</definedName>
    <definedName name="solver_lhs1" localSheetId="5" hidden="1">'指数+定数モデル'!$B$25</definedName>
    <definedName name="solver_mip" localSheetId="10" hidden="1">2147483647</definedName>
    <definedName name="solver_mip" localSheetId="5" hidden="1">2147483647</definedName>
    <definedName name="solver_mni" localSheetId="10" hidden="1">30</definedName>
    <definedName name="solver_mni" localSheetId="5" hidden="1">30</definedName>
    <definedName name="solver_mrt" localSheetId="10" hidden="1">0.075</definedName>
    <definedName name="solver_mrt" localSheetId="5" hidden="1">0.075</definedName>
    <definedName name="solver_msl" localSheetId="10" hidden="1">2</definedName>
    <definedName name="solver_msl" localSheetId="5" hidden="1">2</definedName>
    <definedName name="solver_neg" localSheetId="10" hidden="1">2</definedName>
    <definedName name="solver_neg" localSheetId="5" hidden="1">2</definedName>
    <definedName name="solver_nod" localSheetId="10" hidden="1">2147483647</definedName>
    <definedName name="solver_nod" localSheetId="5" hidden="1">2147483647</definedName>
    <definedName name="solver_num" localSheetId="10" hidden="1">1</definedName>
    <definedName name="solver_num" localSheetId="5" hidden="1">1</definedName>
    <definedName name="solver_nwt" localSheetId="10" hidden="1">1</definedName>
    <definedName name="solver_nwt" localSheetId="5" hidden="1">1</definedName>
    <definedName name="solver_opt" localSheetId="10" hidden="1">'2次多項式モデル'!$B$27</definedName>
    <definedName name="solver_opt" localSheetId="5" hidden="1">'指数+定数モデル'!$B$27</definedName>
    <definedName name="solver_pre" localSheetId="10" hidden="1">0.000001</definedName>
    <definedName name="solver_pre" localSheetId="5" hidden="1">0.000001</definedName>
    <definedName name="solver_rbv" localSheetId="10" hidden="1">1</definedName>
    <definedName name="solver_rbv" localSheetId="5" hidden="1">1</definedName>
    <definedName name="solver_rel1" localSheetId="10" hidden="1">2</definedName>
    <definedName name="solver_rel1" localSheetId="5" hidden="1">2</definedName>
    <definedName name="solver_rhs1" localSheetId="10" hidden="1">0</definedName>
    <definedName name="solver_rhs1" localSheetId="5" hidden="1">0</definedName>
    <definedName name="solver_rlx" localSheetId="10" hidden="1">2</definedName>
    <definedName name="solver_rlx" localSheetId="5" hidden="1">2</definedName>
    <definedName name="solver_rsd" localSheetId="10" hidden="1">0</definedName>
    <definedName name="solver_rsd" localSheetId="5" hidden="1">0</definedName>
    <definedName name="solver_scl" localSheetId="10" hidden="1">1</definedName>
    <definedName name="solver_scl" localSheetId="5" hidden="1">1</definedName>
    <definedName name="solver_sho" localSheetId="10" hidden="1">2</definedName>
    <definedName name="solver_sho" localSheetId="5" hidden="1">2</definedName>
    <definedName name="solver_ssz" localSheetId="10" hidden="1">100</definedName>
    <definedName name="solver_ssz" localSheetId="5" hidden="1">100</definedName>
    <definedName name="solver_tim" localSheetId="10" hidden="1">2147483647</definedName>
    <definedName name="solver_tim" localSheetId="5" hidden="1">2147483647</definedName>
    <definedName name="solver_tol" localSheetId="10" hidden="1">0.01</definedName>
    <definedName name="solver_tol" localSheetId="5" hidden="1">0.01</definedName>
    <definedName name="solver_typ" localSheetId="10" hidden="1">2</definedName>
    <definedName name="solver_typ" localSheetId="5" hidden="1">2</definedName>
    <definedName name="solver_val" localSheetId="10" hidden="1">0</definedName>
    <definedName name="solver_val" localSheetId="5" hidden="1">0</definedName>
    <definedName name="solver_ver" localSheetId="10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5" l="1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32" i="15"/>
  <c r="H233" i="15"/>
  <c r="H234" i="15"/>
  <c r="H235" i="15"/>
  <c r="H236" i="15"/>
  <c r="H237" i="15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73" i="15"/>
  <c r="H274" i="15"/>
  <c r="H275" i="15"/>
  <c r="H276" i="15"/>
  <c r="H277" i="15"/>
  <c r="H278" i="15"/>
  <c r="H279" i="15"/>
  <c r="H280" i="15"/>
  <c r="H281" i="15"/>
  <c r="H282" i="15"/>
  <c r="H283" i="15"/>
  <c r="H284" i="15"/>
  <c r="H285" i="15"/>
  <c r="H286" i="15"/>
  <c r="H287" i="15"/>
  <c r="H288" i="15"/>
  <c r="H289" i="15"/>
  <c r="H290" i="15"/>
  <c r="H291" i="15"/>
  <c r="H292" i="15"/>
  <c r="H293" i="15"/>
  <c r="H294" i="15"/>
  <c r="H295" i="15"/>
  <c r="H296" i="15"/>
  <c r="H297" i="15"/>
  <c r="H298" i="15"/>
  <c r="H299" i="15"/>
  <c r="H300" i="15"/>
  <c r="H301" i="15"/>
  <c r="H302" i="15"/>
  <c r="H303" i="15"/>
  <c r="H304" i="15"/>
  <c r="H305" i="15"/>
  <c r="H306" i="15"/>
  <c r="H307" i="15"/>
  <c r="H308" i="15"/>
  <c r="H309" i="15"/>
  <c r="H310" i="15"/>
  <c r="H311" i="15"/>
  <c r="H312" i="15"/>
  <c r="H313" i="15"/>
  <c r="H314" i="15"/>
  <c r="H315" i="15"/>
  <c r="H316" i="15"/>
  <c r="H317" i="15"/>
  <c r="H318" i="15"/>
  <c r="H319" i="15"/>
  <c r="H320" i="15"/>
  <c r="H321" i="15"/>
  <c r="H322" i="15"/>
  <c r="H323" i="15"/>
  <c r="H324" i="15"/>
  <c r="H325" i="15"/>
  <c r="H326" i="15"/>
  <c r="H327" i="15"/>
  <c r="H328" i="15"/>
  <c r="H329" i="15"/>
  <c r="H330" i="15"/>
  <c r="H331" i="15"/>
  <c r="H332" i="15"/>
  <c r="H333" i="15"/>
  <c r="H334" i="15"/>
  <c r="H335" i="15"/>
  <c r="H336" i="15"/>
  <c r="H337" i="15"/>
  <c r="H338" i="15"/>
  <c r="H339" i="15"/>
  <c r="H340" i="15"/>
  <c r="H341" i="15"/>
  <c r="H342" i="15"/>
  <c r="H343" i="15"/>
  <c r="H344" i="15"/>
  <c r="H345" i="15"/>
  <c r="H346" i="15"/>
  <c r="H347" i="15"/>
  <c r="H348" i="15"/>
  <c r="H349" i="15"/>
  <c r="H350" i="15"/>
  <c r="H351" i="15"/>
  <c r="H352" i="15"/>
  <c r="H353" i="15"/>
  <c r="H354" i="15"/>
  <c r="H355" i="15"/>
  <c r="H356" i="15"/>
  <c r="H357" i="15"/>
  <c r="H358" i="15"/>
  <c r="H359" i="15"/>
  <c r="H360" i="15"/>
  <c r="H361" i="15"/>
  <c r="H362" i="15"/>
  <c r="H363" i="15"/>
  <c r="H364" i="15"/>
  <c r="H365" i="15"/>
  <c r="H366" i="15"/>
  <c r="H367" i="15"/>
  <c r="H368" i="15"/>
  <c r="H369" i="15"/>
  <c r="H370" i="15"/>
  <c r="H371" i="15"/>
  <c r="H372" i="15"/>
  <c r="H373" i="15"/>
  <c r="H374" i="15"/>
  <c r="H375" i="15"/>
  <c r="H376" i="15"/>
  <c r="H377" i="15"/>
  <c r="H378" i="15"/>
  <c r="H379" i="15"/>
  <c r="H380" i="15"/>
  <c r="H381" i="15"/>
  <c r="H382" i="15"/>
  <c r="H383" i="15"/>
  <c r="H384" i="15"/>
  <c r="H385" i="15"/>
  <c r="H386" i="15"/>
  <c r="H387" i="15"/>
  <c r="H388" i="15"/>
  <c r="H389" i="15"/>
  <c r="H390" i="15"/>
  <c r="H391" i="15"/>
  <c r="H392" i="15"/>
  <c r="H393" i="15"/>
  <c r="H394" i="15"/>
  <c r="H395" i="15"/>
  <c r="H396" i="15"/>
  <c r="H397" i="15"/>
  <c r="H398" i="15"/>
  <c r="H399" i="15"/>
  <c r="H400" i="15"/>
  <c r="H401" i="15"/>
  <c r="H402" i="15"/>
  <c r="H403" i="15"/>
  <c r="H404" i="15"/>
  <c r="H405" i="15"/>
  <c r="H406" i="15"/>
  <c r="H407" i="15"/>
  <c r="H408" i="15"/>
  <c r="H409" i="15"/>
  <c r="H410" i="15"/>
  <c r="H411" i="15"/>
  <c r="H412" i="15"/>
  <c r="H413" i="15"/>
  <c r="H414" i="15"/>
  <c r="H415" i="15"/>
  <c r="H416" i="15"/>
  <c r="H417" i="15"/>
  <c r="H418" i="15"/>
  <c r="H419" i="15"/>
  <c r="H420" i="15"/>
  <c r="H421" i="15"/>
  <c r="H422" i="15"/>
  <c r="H423" i="15"/>
  <c r="H424" i="15"/>
  <c r="H425" i="15"/>
  <c r="H426" i="15"/>
  <c r="H427" i="15"/>
  <c r="H428" i="15"/>
  <c r="H429" i="15"/>
  <c r="H430" i="15"/>
  <c r="H431" i="15"/>
  <c r="H432" i="15"/>
  <c r="H433" i="15"/>
  <c r="H434" i="15"/>
  <c r="H435" i="15"/>
  <c r="H436" i="15"/>
  <c r="H437" i="15"/>
  <c r="H438" i="15"/>
  <c r="H439" i="15"/>
  <c r="H440" i="15"/>
  <c r="H441" i="15"/>
  <c r="H442" i="15"/>
  <c r="H443" i="15"/>
  <c r="H444" i="15"/>
  <c r="H445" i="15"/>
  <c r="H446" i="15"/>
  <c r="H447" i="15"/>
  <c r="H448" i="15"/>
  <c r="H449" i="15"/>
  <c r="H450" i="15"/>
  <c r="H451" i="15"/>
  <c r="H452" i="15"/>
  <c r="H453" i="15"/>
  <c r="H454" i="15"/>
  <c r="H455" i="15"/>
  <c r="H456" i="15"/>
  <c r="H457" i="15"/>
  <c r="H458" i="15"/>
  <c r="H459" i="15"/>
  <c r="H460" i="15"/>
  <c r="H461" i="15"/>
  <c r="H462" i="15"/>
  <c r="H463" i="15"/>
  <c r="H464" i="15"/>
  <c r="H465" i="15"/>
  <c r="H466" i="15"/>
  <c r="H467" i="15"/>
  <c r="H468" i="15"/>
  <c r="H469" i="15"/>
  <c r="H470" i="15"/>
  <c r="H471" i="15"/>
  <c r="H472" i="15"/>
  <c r="H473" i="15"/>
  <c r="H474" i="15"/>
  <c r="H475" i="15"/>
  <c r="H476" i="15"/>
  <c r="H477" i="15"/>
  <c r="H478" i="15"/>
  <c r="H479" i="15"/>
  <c r="H480" i="15"/>
  <c r="H481" i="15"/>
  <c r="H482" i="15"/>
  <c r="H483" i="15"/>
  <c r="H484" i="15"/>
  <c r="H485" i="15"/>
  <c r="H486" i="15"/>
  <c r="H487" i="15"/>
  <c r="H488" i="15"/>
  <c r="H489" i="15"/>
  <c r="H490" i="15"/>
  <c r="H491" i="15"/>
  <c r="H492" i="15"/>
  <c r="H493" i="15"/>
  <c r="H494" i="15"/>
  <c r="H495" i="15"/>
  <c r="H496" i="15"/>
  <c r="H497" i="15"/>
  <c r="H498" i="15"/>
  <c r="H499" i="15"/>
  <c r="H500" i="15"/>
  <c r="H501" i="15"/>
  <c r="H502" i="15"/>
  <c r="H503" i="15"/>
  <c r="H504" i="15"/>
  <c r="H505" i="15"/>
  <c r="H506" i="15"/>
  <c r="H507" i="15"/>
  <c r="H508" i="15"/>
  <c r="H509" i="15"/>
  <c r="H510" i="15"/>
  <c r="H511" i="15"/>
  <c r="H512" i="15"/>
  <c r="H513" i="15"/>
  <c r="H514" i="15"/>
  <c r="H515" i="15"/>
  <c r="H516" i="15"/>
  <c r="H517" i="15"/>
  <c r="H518" i="15"/>
  <c r="H519" i="15"/>
  <c r="H520" i="15"/>
  <c r="H521" i="15"/>
  <c r="H522" i="15"/>
  <c r="H523" i="15"/>
  <c r="H524" i="15"/>
  <c r="H525" i="15"/>
  <c r="H526" i="15"/>
  <c r="H527" i="15"/>
  <c r="H528" i="15"/>
  <c r="H529" i="15"/>
  <c r="H530" i="15"/>
  <c r="H531" i="15"/>
  <c r="H532" i="15"/>
  <c r="H533" i="15"/>
  <c r="H534" i="15"/>
  <c r="H535" i="15"/>
  <c r="H536" i="15"/>
  <c r="H537" i="15"/>
  <c r="H538" i="15"/>
  <c r="H539" i="15"/>
  <c r="H540" i="15"/>
  <c r="H541" i="15"/>
  <c r="H542" i="15"/>
  <c r="H543" i="15"/>
  <c r="H544" i="15"/>
  <c r="H545" i="15"/>
  <c r="H546" i="15"/>
  <c r="H547" i="15"/>
  <c r="H548" i="15"/>
  <c r="H549" i="15"/>
  <c r="H550" i="15"/>
  <c r="H551" i="15"/>
  <c r="H552" i="15"/>
  <c r="H553" i="15"/>
  <c r="H554" i="15"/>
  <c r="H555" i="15"/>
  <c r="H556" i="15"/>
  <c r="H557" i="15"/>
  <c r="H558" i="15"/>
  <c r="H559" i="15"/>
  <c r="H560" i="15"/>
  <c r="H561" i="15"/>
  <c r="H562" i="15"/>
  <c r="H563" i="15"/>
  <c r="H564" i="15"/>
  <c r="H565" i="15"/>
  <c r="H566" i="15"/>
  <c r="H567" i="15"/>
  <c r="H568" i="15"/>
  <c r="H569" i="15"/>
  <c r="H570" i="15"/>
  <c r="H571" i="15"/>
  <c r="H572" i="15"/>
  <c r="H573" i="15"/>
  <c r="H574" i="15"/>
  <c r="H575" i="15"/>
  <c r="H576" i="15"/>
  <c r="H577" i="15"/>
  <c r="H578" i="15"/>
  <c r="H579" i="15"/>
  <c r="H580" i="15"/>
  <c r="H581" i="15"/>
  <c r="H582" i="15"/>
  <c r="H583" i="15"/>
  <c r="H584" i="15"/>
  <c r="H585" i="15"/>
  <c r="H586" i="15"/>
  <c r="H587" i="15"/>
  <c r="H588" i="15"/>
  <c r="H589" i="15"/>
  <c r="H590" i="15"/>
  <c r="H591" i="15"/>
  <c r="H592" i="15"/>
  <c r="H593" i="15"/>
  <c r="H594" i="15"/>
  <c r="H595" i="15"/>
  <c r="H596" i="15"/>
  <c r="H597" i="15"/>
  <c r="H598" i="15"/>
  <c r="H599" i="15"/>
  <c r="H600" i="15"/>
  <c r="H601" i="15"/>
  <c r="H602" i="15"/>
  <c r="H603" i="15"/>
  <c r="H604" i="15"/>
  <c r="H605" i="15"/>
  <c r="H606" i="15"/>
  <c r="H607" i="15"/>
  <c r="H608" i="15"/>
  <c r="H609" i="15"/>
  <c r="H610" i="15"/>
  <c r="H611" i="15"/>
  <c r="H612" i="15"/>
  <c r="H613" i="15"/>
  <c r="H614" i="15"/>
  <c r="H615" i="15"/>
  <c r="H616" i="15"/>
  <c r="H617" i="15"/>
  <c r="H618" i="15"/>
  <c r="H619" i="15"/>
  <c r="H620" i="15"/>
  <c r="H621" i="15"/>
  <c r="H622" i="15"/>
  <c r="H623" i="15"/>
  <c r="H624" i="15"/>
  <c r="H625" i="15"/>
  <c r="H626" i="15"/>
  <c r="H627" i="15"/>
  <c r="H628" i="15"/>
  <c r="H629" i="15"/>
  <c r="H630" i="15"/>
  <c r="H631" i="15"/>
  <c r="H632" i="15"/>
  <c r="H633" i="15"/>
  <c r="H634" i="15"/>
  <c r="H635" i="15"/>
  <c r="H636" i="15"/>
  <c r="H637" i="15"/>
  <c r="H638" i="15"/>
  <c r="H639" i="15"/>
  <c r="H640" i="15"/>
  <c r="H641" i="15"/>
  <c r="H642" i="15"/>
  <c r="H643" i="15"/>
  <c r="H644" i="15"/>
  <c r="H645" i="15"/>
  <c r="H646" i="15"/>
  <c r="H647" i="15"/>
  <c r="H648" i="15"/>
  <c r="H649" i="15"/>
  <c r="H650" i="15"/>
  <c r="H651" i="15"/>
  <c r="H652" i="15"/>
  <c r="H653" i="15"/>
  <c r="H654" i="15"/>
  <c r="H655" i="15"/>
  <c r="H656" i="15"/>
  <c r="H657" i="15"/>
  <c r="H658" i="15"/>
  <c r="H659" i="15"/>
  <c r="H660" i="15"/>
  <c r="H661" i="15"/>
  <c r="H662" i="15"/>
  <c r="H663" i="15"/>
  <c r="H664" i="15"/>
  <c r="H665" i="15"/>
  <c r="H666" i="15"/>
  <c r="H667" i="15"/>
  <c r="H668" i="15"/>
  <c r="H669" i="15"/>
  <c r="H670" i="15"/>
  <c r="H671" i="15"/>
  <c r="H672" i="15"/>
  <c r="H673" i="15"/>
  <c r="H674" i="15"/>
  <c r="H675" i="15"/>
  <c r="H676" i="15"/>
  <c r="H677" i="15"/>
  <c r="H678" i="15"/>
  <c r="H679" i="15"/>
  <c r="H680" i="15"/>
  <c r="H681" i="15"/>
  <c r="H682" i="15"/>
  <c r="H683" i="15"/>
  <c r="H684" i="15"/>
  <c r="H685" i="15"/>
  <c r="H686" i="15"/>
  <c r="H687" i="15"/>
  <c r="H688" i="15"/>
  <c r="H689" i="15"/>
  <c r="H690" i="15"/>
  <c r="H691" i="15"/>
  <c r="H692" i="15"/>
  <c r="H693" i="15"/>
  <c r="H694" i="15"/>
  <c r="H695" i="15"/>
  <c r="H696" i="15"/>
  <c r="H697" i="15"/>
  <c r="H698" i="15"/>
  <c r="H699" i="15"/>
  <c r="H700" i="15"/>
  <c r="H701" i="15"/>
  <c r="H702" i="15"/>
  <c r="H703" i="15"/>
  <c r="H704" i="15"/>
  <c r="H705" i="15"/>
  <c r="H706" i="15"/>
  <c r="H707" i="15"/>
  <c r="H708" i="15"/>
  <c r="H709" i="15"/>
  <c r="H710" i="15"/>
  <c r="H711" i="15"/>
  <c r="H712" i="15"/>
  <c r="H713" i="15"/>
  <c r="H714" i="15"/>
  <c r="H715" i="15"/>
  <c r="H716" i="15"/>
  <c r="H717" i="15"/>
  <c r="H718" i="15"/>
  <c r="H719" i="15"/>
  <c r="H720" i="15"/>
  <c r="H721" i="15"/>
  <c r="H722" i="15"/>
  <c r="H723" i="15"/>
  <c r="H724" i="15"/>
  <c r="H725" i="15"/>
  <c r="H726" i="15"/>
  <c r="H727" i="15"/>
  <c r="H728" i="15"/>
  <c r="H729" i="15"/>
  <c r="H730" i="15"/>
  <c r="H731" i="15"/>
  <c r="H732" i="15"/>
  <c r="H733" i="15"/>
  <c r="H734" i="15"/>
  <c r="H735" i="15"/>
  <c r="H736" i="15"/>
  <c r="H737" i="15"/>
  <c r="H738" i="15"/>
  <c r="H739" i="15"/>
  <c r="H740" i="15"/>
  <c r="H741" i="15"/>
  <c r="H742" i="15"/>
  <c r="H743" i="15"/>
  <c r="H744" i="15"/>
  <c r="H745" i="15"/>
  <c r="H746" i="15"/>
  <c r="H747" i="15"/>
  <c r="H748" i="15"/>
  <c r="H749" i="15"/>
  <c r="H750" i="15"/>
  <c r="H751" i="15"/>
  <c r="H752" i="15"/>
  <c r="H753" i="15"/>
  <c r="H754" i="15"/>
  <c r="H755" i="15"/>
  <c r="H756" i="15"/>
  <c r="H757" i="15"/>
  <c r="H758" i="15"/>
  <c r="H759" i="15"/>
  <c r="H760" i="15"/>
  <c r="H761" i="15"/>
  <c r="H762" i="15"/>
  <c r="H763" i="15"/>
  <c r="H764" i="15"/>
  <c r="H765" i="15"/>
  <c r="H766" i="15"/>
  <c r="H767" i="15"/>
  <c r="H768" i="15"/>
  <c r="H769" i="15"/>
  <c r="H770" i="15"/>
  <c r="H771" i="15"/>
  <c r="H772" i="15"/>
  <c r="H773" i="15"/>
  <c r="H774" i="15"/>
  <c r="H775" i="15"/>
  <c r="H776" i="15"/>
  <c r="H777" i="15"/>
  <c r="H778" i="15"/>
  <c r="H779" i="15"/>
  <c r="H780" i="15"/>
  <c r="H781" i="15"/>
  <c r="H782" i="15"/>
  <c r="H783" i="15"/>
  <c r="H784" i="15"/>
  <c r="H785" i="15"/>
  <c r="H786" i="15"/>
  <c r="H787" i="15"/>
  <c r="H788" i="15"/>
  <c r="H789" i="15"/>
  <c r="H790" i="15"/>
  <c r="H791" i="15"/>
  <c r="H792" i="15"/>
  <c r="H793" i="15"/>
  <c r="H794" i="15"/>
  <c r="H795" i="15"/>
  <c r="H796" i="15"/>
  <c r="H797" i="15"/>
  <c r="H798" i="15"/>
  <c r="H799" i="15"/>
  <c r="H800" i="15"/>
  <c r="H801" i="15"/>
  <c r="H802" i="15"/>
  <c r="H803" i="15"/>
  <c r="H804" i="15"/>
  <c r="H805" i="15"/>
  <c r="H806" i="15"/>
  <c r="H807" i="15"/>
  <c r="H808" i="15"/>
  <c r="H809" i="15"/>
  <c r="H810" i="15"/>
  <c r="H811" i="15"/>
  <c r="H812" i="15"/>
  <c r="H813" i="15"/>
  <c r="H814" i="15"/>
  <c r="H815" i="15"/>
  <c r="H816" i="15"/>
  <c r="H817" i="15"/>
  <c r="H818" i="15"/>
  <c r="H819" i="15"/>
  <c r="H820" i="15"/>
  <c r="H821" i="15"/>
  <c r="H822" i="15"/>
  <c r="H823" i="15"/>
  <c r="H824" i="15"/>
  <c r="H825" i="15"/>
  <c r="H826" i="15"/>
  <c r="H827" i="15"/>
  <c r="H828" i="15"/>
  <c r="H829" i="15"/>
  <c r="H830" i="15"/>
  <c r="H831" i="15"/>
  <c r="H832" i="15"/>
  <c r="H833" i="15"/>
  <c r="H834" i="15"/>
  <c r="H835" i="15"/>
  <c r="H836" i="15"/>
  <c r="H837" i="15"/>
  <c r="H838" i="15"/>
  <c r="H839" i="15"/>
  <c r="H840" i="15"/>
  <c r="H841" i="15"/>
  <c r="H842" i="15"/>
  <c r="H843" i="15"/>
  <c r="H844" i="15"/>
  <c r="H845" i="15"/>
  <c r="H846" i="15"/>
  <c r="H847" i="15"/>
  <c r="H848" i="15"/>
  <c r="H849" i="15"/>
  <c r="H850" i="15"/>
  <c r="H851" i="15"/>
  <c r="H852" i="15"/>
  <c r="H853" i="15"/>
  <c r="H854" i="15"/>
  <c r="H855" i="15"/>
  <c r="H856" i="15"/>
  <c r="H857" i="15"/>
  <c r="H858" i="15"/>
  <c r="H859" i="15"/>
  <c r="H860" i="15"/>
  <c r="H861" i="15"/>
  <c r="H862" i="15"/>
  <c r="H863" i="15"/>
  <c r="H864" i="15"/>
  <c r="H865" i="15"/>
  <c r="H866" i="15"/>
  <c r="H867" i="15"/>
  <c r="H868" i="15"/>
  <c r="H869" i="15"/>
  <c r="H870" i="15"/>
  <c r="H871" i="15"/>
  <c r="H872" i="15"/>
  <c r="H873" i="15"/>
  <c r="H874" i="15"/>
  <c r="H875" i="15"/>
  <c r="H876" i="15"/>
  <c r="H877" i="15"/>
  <c r="H878" i="15"/>
  <c r="H879" i="15"/>
  <c r="H880" i="15"/>
  <c r="H881" i="15"/>
  <c r="H882" i="15"/>
  <c r="H883" i="15"/>
  <c r="H884" i="15"/>
  <c r="H885" i="15"/>
  <c r="H886" i="15"/>
  <c r="H887" i="15"/>
  <c r="H888" i="15"/>
  <c r="H889" i="15"/>
  <c r="H890" i="15"/>
  <c r="H891" i="15"/>
  <c r="H892" i="15"/>
  <c r="H893" i="15"/>
  <c r="H894" i="15"/>
  <c r="H895" i="15"/>
  <c r="H896" i="15"/>
  <c r="H897" i="15"/>
  <c r="H898" i="15"/>
  <c r="H899" i="15"/>
  <c r="H900" i="15"/>
  <c r="H901" i="15"/>
  <c r="H902" i="15"/>
  <c r="H903" i="15"/>
  <c r="H904" i="15"/>
  <c r="H905" i="15"/>
  <c r="H906" i="15"/>
  <c r="H907" i="15"/>
  <c r="H908" i="15"/>
  <c r="H909" i="15"/>
  <c r="H910" i="15"/>
  <c r="H911" i="15"/>
  <c r="H912" i="15"/>
  <c r="H913" i="15"/>
  <c r="H914" i="15"/>
  <c r="H915" i="15"/>
  <c r="H916" i="15"/>
  <c r="H917" i="15"/>
  <c r="H918" i="15"/>
  <c r="H919" i="15"/>
  <c r="H920" i="15"/>
  <c r="H921" i="15"/>
  <c r="H922" i="15"/>
  <c r="H923" i="15"/>
  <c r="H924" i="15"/>
  <c r="H925" i="15"/>
  <c r="H926" i="15"/>
  <c r="H927" i="15"/>
  <c r="H928" i="15"/>
  <c r="H929" i="15"/>
  <c r="H930" i="15"/>
  <c r="H931" i="15"/>
  <c r="H932" i="15"/>
  <c r="H933" i="15"/>
  <c r="H934" i="15"/>
  <c r="H935" i="15"/>
  <c r="H936" i="15"/>
  <c r="H937" i="15"/>
  <c r="H938" i="15"/>
  <c r="H939" i="15"/>
  <c r="H940" i="15"/>
  <c r="H941" i="15"/>
  <c r="H942" i="15"/>
  <c r="H943" i="15"/>
  <c r="H944" i="15"/>
  <c r="H945" i="15"/>
  <c r="H946" i="15"/>
  <c r="H947" i="15"/>
  <c r="H948" i="15"/>
  <c r="H949" i="15"/>
  <c r="H950" i="15"/>
  <c r="H951" i="15"/>
  <c r="H952" i="15"/>
  <c r="H953" i="15"/>
  <c r="H954" i="15"/>
  <c r="H955" i="15"/>
  <c r="B6" i="15" a="1"/>
  <c r="B6" i="15" s="1"/>
  <c r="B7" i="15" a="1"/>
  <c r="B7" i="15" s="1"/>
  <c r="B8" i="15" a="1"/>
  <c r="B8" i="15" s="1"/>
  <c r="I955" i="15"/>
  <c r="J955" i="15" s="1" a="1"/>
  <c r="J955" i="15" s="1"/>
  <c r="I954" i="15"/>
  <c r="J954" i="15" s="1" a="1"/>
  <c r="J954" i="15" s="1"/>
  <c r="J953" i="15" a="1"/>
  <c r="J953" i="15" s="1"/>
  <c r="I953" i="15"/>
  <c r="J952" i="15" a="1"/>
  <c r="J952" i="15" s="1"/>
  <c r="I952" i="15"/>
  <c r="I951" i="15"/>
  <c r="J951" i="15" s="1" a="1"/>
  <c r="J951" i="15" s="1"/>
  <c r="I950" i="15"/>
  <c r="J950" i="15" s="1" a="1"/>
  <c r="J950" i="15" s="1"/>
  <c r="J949" i="15" a="1"/>
  <c r="J949" i="15" s="1"/>
  <c r="I949" i="15"/>
  <c r="J948" i="15" a="1"/>
  <c r="J948" i="15" s="1"/>
  <c r="I948" i="15"/>
  <c r="I947" i="15"/>
  <c r="J947" i="15" s="1" a="1"/>
  <c r="J947" i="15" s="1"/>
  <c r="I946" i="15"/>
  <c r="J946" i="15" s="1" a="1"/>
  <c r="J946" i="15" s="1"/>
  <c r="J945" i="15" a="1"/>
  <c r="J945" i="15" s="1"/>
  <c r="I945" i="15"/>
  <c r="J944" i="15" a="1"/>
  <c r="J944" i="15" s="1"/>
  <c r="I944" i="15"/>
  <c r="I943" i="15"/>
  <c r="J943" i="15" s="1" a="1"/>
  <c r="J943" i="15" s="1"/>
  <c r="I942" i="15"/>
  <c r="J942" i="15" s="1" a="1"/>
  <c r="J942" i="15" s="1"/>
  <c r="J941" i="15" a="1"/>
  <c r="J941" i="15" s="1"/>
  <c r="I941" i="15"/>
  <c r="J940" i="15" a="1"/>
  <c r="J940" i="15" s="1"/>
  <c r="I940" i="15"/>
  <c r="I939" i="15"/>
  <c r="J939" i="15" s="1" a="1"/>
  <c r="J939" i="15" s="1"/>
  <c r="I938" i="15"/>
  <c r="J938" i="15" s="1" a="1"/>
  <c r="J938" i="15" s="1"/>
  <c r="J937" i="15" a="1"/>
  <c r="J937" i="15" s="1"/>
  <c r="I937" i="15"/>
  <c r="J936" i="15" a="1"/>
  <c r="J936" i="15" s="1"/>
  <c r="I936" i="15"/>
  <c r="I935" i="15"/>
  <c r="J935" i="15" s="1" a="1"/>
  <c r="J935" i="15" s="1"/>
  <c r="I934" i="15"/>
  <c r="J934" i="15" s="1" a="1"/>
  <c r="J934" i="15" s="1"/>
  <c r="J933" i="15" a="1"/>
  <c r="J933" i="15" s="1"/>
  <c r="I933" i="15"/>
  <c r="J932" i="15" a="1"/>
  <c r="J932" i="15" s="1"/>
  <c r="I932" i="15"/>
  <c r="I931" i="15"/>
  <c r="J931" i="15" s="1" a="1"/>
  <c r="J931" i="15" s="1"/>
  <c r="I930" i="15"/>
  <c r="J930" i="15" s="1" a="1"/>
  <c r="J930" i="15" s="1"/>
  <c r="J929" i="15" a="1"/>
  <c r="J929" i="15" s="1"/>
  <c r="I929" i="15"/>
  <c r="J928" i="15" a="1"/>
  <c r="J928" i="15" s="1"/>
  <c r="I928" i="15"/>
  <c r="I927" i="15"/>
  <c r="J927" i="15" s="1" a="1"/>
  <c r="J927" i="15" s="1"/>
  <c r="I926" i="15"/>
  <c r="J926" i="15" s="1" a="1"/>
  <c r="J926" i="15" s="1"/>
  <c r="J925" i="15" a="1"/>
  <c r="J925" i="15" s="1"/>
  <c r="I925" i="15"/>
  <c r="J924" i="15" a="1"/>
  <c r="J924" i="15" s="1"/>
  <c r="I924" i="15"/>
  <c r="I923" i="15"/>
  <c r="J923" i="15" s="1" a="1"/>
  <c r="J923" i="15" s="1"/>
  <c r="I922" i="15"/>
  <c r="J922" i="15" s="1" a="1"/>
  <c r="J922" i="15" s="1"/>
  <c r="J921" i="15" a="1"/>
  <c r="J921" i="15" s="1"/>
  <c r="I921" i="15"/>
  <c r="J920" i="15" a="1"/>
  <c r="J920" i="15" s="1"/>
  <c r="I920" i="15"/>
  <c r="I919" i="15"/>
  <c r="J919" i="15" s="1" a="1"/>
  <c r="J919" i="15" s="1"/>
  <c r="I918" i="15"/>
  <c r="J918" i="15" s="1" a="1"/>
  <c r="J918" i="15" s="1"/>
  <c r="J917" i="15" a="1"/>
  <c r="J917" i="15" s="1"/>
  <c r="I917" i="15"/>
  <c r="J916" i="15" a="1"/>
  <c r="J916" i="15" s="1"/>
  <c r="I916" i="15"/>
  <c r="I915" i="15"/>
  <c r="J915" i="15" s="1" a="1"/>
  <c r="J915" i="15" s="1"/>
  <c r="I914" i="15"/>
  <c r="J914" i="15" s="1" a="1"/>
  <c r="J914" i="15" s="1"/>
  <c r="J913" i="15" a="1"/>
  <c r="J913" i="15" s="1"/>
  <c r="I913" i="15"/>
  <c r="J912" i="15" a="1"/>
  <c r="J912" i="15" s="1"/>
  <c r="I912" i="15"/>
  <c r="I911" i="15"/>
  <c r="J911" i="15" s="1" a="1"/>
  <c r="J911" i="15" s="1"/>
  <c r="I910" i="15"/>
  <c r="J910" i="15" s="1" a="1"/>
  <c r="J910" i="15" s="1"/>
  <c r="J909" i="15" a="1"/>
  <c r="J909" i="15" s="1"/>
  <c r="I909" i="15"/>
  <c r="J908" i="15" a="1"/>
  <c r="J908" i="15" s="1"/>
  <c r="I908" i="15"/>
  <c r="I907" i="15"/>
  <c r="J907" i="15" s="1" a="1"/>
  <c r="J907" i="15" s="1"/>
  <c r="I906" i="15"/>
  <c r="J906" i="15" s="1" a="1"/>
  <c r="J906" i="15" s="1"/>
  <c r="J905" i="15" a="1"/>
  <c r="J905" i="15" s="1"/>
  <c r="I905" i="15"/>
  <c r="J904" i="15" a="1"/>
  <c r="J904" i="15" s="1"/>
  <c r="I904" i="15"/>
  <c r="I903" i="15"/>
  <c r="J903" i="15" s="1" a="1"/>
  <c r="J903" i="15" s="1"/>
  <c r="I902" i="15"/>
  <c r="J902" i="15" s="1" a="1"/>
  <c r="J902" i="15" s="1"/>
  <c r="J901" i="15" a="1"/>
  <c r="J901" i="15" s="1"/>
  <c r="I901" i="15"/>
  <c r="J900" i="15" a="1"/>
  <c r="J900" i="15" s="1"/>
  <c r="I900" i="15"/>
  <c r="I899" i="15"/>
  <c r="J899" i="15" s="1" a="1"/>
  <c r="J899" i="15" s="1"/>
  <c r="I898" i="15"/>
  <c r="J898" i="15" s="1" a="1"/>
  <c r="J898" i="15" s="1"/>
  <c r="J897" i="15" a="1"/>
  <c r="J897" i="15" s="1"/>
  <c r="I897" i="15"/>
  <c r="J896" i="15" a="1"/>
  <c r="J896" i="15" s="1"/>
  <c r="I896" i="15"/>
  <c r="I895" i="15"/>
  <c r="J895" i="15" s="1" a="1"/>
  <c r="J895" i="15" s="1"/>
  <c r="I894" i="15"/>
  <c r="J894" i="15" s="1" a="1"/>
  <c r="J894" i="15" s="1"/>
  <c r="J893" i="15" a="1"/>
  <c r="J893" i="15" s="1"/>
  <c r="I893" i="15"/>
  <c r="J892" i="15" a="1"/>
  <c r="J892" i="15" s="1"/>
  <c r="I892" i="15"/>
  <c r="I891" i="15"/>
  <c r="J891" i="15" s="1" a="1"/>
  <c r="J891" i="15" s="1"/>
  <c r="I890" i="15"/>
  <c r="J890" i="15" s="1" a="1"/>
  <c r="J890" i="15" s="1"/>
  <c r="J889" i="15" a="1"/>
  <c r="J889" i="15" s="1"/>
  <c r="I889" i="15"/>
  <c r="J888" i="15" a="1"/>
  <c r="J888" i="15" s="1"/>
  <c r="I888" i="15"/>
  <c r="I887" i="15"/>
  <c r="J887" i="15" s="1" a="1"/>
  <c r="J887" i="15" s="1"/>
  <c r="I886" i="15"/>
  <c r="J886" i="15" s="1" a="1"/>
  <c r="J886" i="15" s="1"/>
  <c r="J885" i="15" a="1"/>
  <c r="J885" i="15" s="1"/>
  <c r="I885" i="15"/>
  <c r="J884" i="15" a="1"/>
  <c r="J884" i="15" s="1"/>
  <c r="I884" i="15"/>
  <c r="I883" i="15"/>
  <c r="J883" i="15" s="1" a="1"/>
  <c r="J883" i="15" s="1"/>
  <c r="I882" i="15"/>
  <c r="J882" i="15" s="1" a="1"/>
  <c r="J882" i="15" s="1"/>
  <c r="J881" i="15" a="1"/>
  <c r="J881" i="15" s="1"/>
  <c r="I881" i="15"/>
  <c r="J880" i="15" a="1"/>
  <c r="J880" i="15" s="1"/>
  <c r="I880" i="15"/>
  <c r="I879" i="15"/>
  <c r="J879" i="15" s="1" a="1"/>
  <c r="J879" i="15" s="1"/>
  <c r="I878" i="15"/>
  <c r="J878" i="15" s="1" a="1"/>
  <c r="J878" i="15" s="1"/>
  <c r="J877" i="15" a="1"/>
  <c r="J877" i="15" s="1"/>
  <c r="I877" i="15"/>
  <c r="J876" i="15" a="1"/>
  <c r="J876" i="15" s="1"/>
  <c r="I876" i="15"/>
  <c r="I875" i="15"/>
  <c r="J875" i="15" s="1" a="1"/>
  <c r="J875" i="15" s="1"/>
  <c r="I874" i="15"/>
  <c r="J874" i="15" s="1" a="1"/>
  <c r="J874" i="15" s="1"/>
  <c r="J873" i="15" a="1"/>
  <c r="J873" i="15" s="1"/>
  <c r="I873" i="15"/>
  <c r="J872" i="15" a="1"/>
  <c r="J872" i="15" s="1"/>
  <c r="I872" i="15"/>
  <c r="I871" i="15"/>
  <c r="J871" i="15" s="1" a="1"/>
  <c r="J871" i="15" s="1"/>
  <c r="I870" i="15"/>
  <c r="J870" i="15" s="1" a="1"/>
  <c r="J870" i="15" s="1"/>
  <c r="J869" i="15" a="1"/>
  <c r="J869" i="15" s="1"/>
  <c r="I869" i="15"/>
  <c r="J868" i="15" a="1"/>
  <c r="J868" i="15" s="1"/>
  <c r="I868" i="15"/>
  <c r="I867" i="15"/>
  <c r="J867" i="15" s="1" a="1"/>
  <c r="J867" i="15" s="1"/>
  <c r="I866" i="15"/>
  <c r="J866" i="15" s="1" a="1"/>
  <c r="J866" i="15" s="1"/>
  <c r="J865" i="15" a="1"/>
  <c r="J865" i="15" s="1"/>
  <c r="I865" i="15"/>
  <c r="J864" i="15" a="1"/>
  <c r="J864" i="15" s="1"/>
  <c r="I864" i="15"/>
  <c r="I863" i="15"/>
  <c r="J863" i="15" s="1" a="1"/>
  <c r="J863" i="15" s="1"/>
  <c r="I862" i="15"/>
  <c r="J862" i="15" s="1" a="1"/>
  <c r="J862" i="15" s="1"/>
  <c r="J861" i="15" a="1"/>
  <c r="J861" i="15" s="1"/>
  <c r="I861" i="15"/>
  <c r="J860" i="15" a="1"/>
  <c r="J860" i="15" s="1"/>
  <c r="I860" i="15"/>
  <c r="I859" i="15"/>
  <c r="J859" i="15" s="1" a="1"/>
  <c r="J859" i="15" s="1"/>
  <c r="I858" i="15"/>
  <c r="J858" i="15" s="1" a="1"/>
  <c r="J858" i="15" s="1"/>
  <c r="J857" i="15" a="1"/>
  <c r="J857" i="15" s="1"/>
  <c r="I857" i="15"/>
  <c r="J856" i="15" a="1"/>
  <c r="J856" i="15" s="1"/>
  <c r="I856" i="15"/>
  <c r="I855" i="15"/>
  <c r="J855" i="15" s="1" a="1"/>
  <c r="J855" i="15" s="1"/>
  <c r="I854" i="15"/>
  <c r="J854" i="15" s="1" a="1"/>
  <c r="J854" i="15" s="1"/>
  <c r="J853" i="15" a="1"/>
  <c r="J853" i="15" s="1"/>
  <c r="I853" i="15"/>
  <c r="J852" i="15" a="1"/>
  <c r="J852" i="15" s="1"/>
  <c r="I852" i="15"/>
  <c r="I851" i="15"/>
  <c r="J851" i="15" s="1" a="1"/>
  <c r="J851" i="15" s="1"/>
  <c r="I850" i="15"/>
  <c r="J850" i="15" s="1" a="1"/>
  <c r="J850" i="15" s="1"/>
  <c r="J849" i="15" a="1"/>
  <c r="J849" i="15" s="1"/>
  <c r="I849" i="15"/>
  <c r="J848" i="15" a="1"/>
  <c r="J848" i="15" s="1"/>
  <c r="I848" i="15"/>
  <c r="I847" i="15"/>
  <c r="J847" i="15" s="1" a="1"/>
  <c r="J847" i="15" s="1"/>
  <c r="I846" i="15"/>
  <c r="J846" i="15" s="1" a="1"/>
  <c r="J846" i="15" s="1"/>
  <c r="J845" i="15" a="1"/>
  <c r="J845" i="15" s="1"/>
  <c r="I845" i="15"/>
  <c r="J844" i="15" a="1"/>
  <c r="J844" i="15" s="1"/>
  <c r="I844" i="15"/>
  <c r="I843" i="15"/>
  <c r="J843" i="15" s="1" a="1"/>
  <c r="J843" i="15" s="1"/>
  <c r="I842" i="15"/>
  <c r="J842" i="15" s="1" a="1"/>
  <c r="J842" i="15" s="1"/>
  <c r="J841" i="15" a="1"/>
  <c r="J841" i="15" s="1"/>
  <c r="I841" i="15"/>
  <c r="I840" i="15"/>
  <c r="J840" i="15" s="1" a="1"/>
  <c r="J840" i="15" s="1"/>
  <c r="J839" i="15" a="1"/>
  <c r="J839" i="15" s="1"/>
  <c r="I839" i="15"/>
  <c r="I838" i="15"/>
  <c r="J838" i="15" s="1" a="1"/>
  <c r="J838" i="15" s="1"/>
  <c r="J837" i="15" a="1"/>
  <c r="J837" i="15" s="1"/>
  <c r="I837" i="15"/>
  <c r="I836" i="15"/>
  <c r="J836" i="15" s="1" a="1"/>
  <c r="J836" i="15" s="1"/>
  <c r="J835" i="15" a="1"/>
  <c r="J835" i="15" s="1"/>
  <c r="I835" i="15"/>
  <c r="I834" i="15"/>
  <c r="J834" i="15" s="1" a="1"/>
  <c r="J834" i="15" s="1"/>
  <c r="J833" i="15" a="1"/>
  <c r="J833" i="15" s="1"/>
  <c r="I833" i="15"/>
  <c r="I832" i="15"/>
  <c r="J832" i="15" s="1" a="1"/>
  <c r="J832" i="15" s="1"/>
  <c r="J831" i="15" a="1"/>
  <c r="J831" i="15" s="1"/>
  <c r="I831" i="15"/>
  <c r="I830" i="15"/>
  <c r="J830" i="15" s="1" a="1"/>
  <c r="J830" i="15" s="1"/>
  <c r="J829" i="15" a="1"/>
  <c r="J829" i="15" s="1"/>
  <c r="I829" i="15"/>
  <c r="I828" i="15"/>
  <c r="J828" i="15" s="1" a="1"/>
  <c r="J828" i="15" s="1"/>
  <c r="J827" i="15" a="1"/>
  <c r="J827" i="15" s="1"/>
  <c r="I827" i="15"/>
  <c r="I826" i="15"/>
  <c r="J826" i="15" s="1" a="1"/>
  <c r="J826" i="15" s="1"/>
  <c r="J825" i="15" a="1"/>
  <c r="J825" i="15" s="1"/>
  <c r="I825" i="15"/>
  <c r="I824" i="15"/>
  <c r="J824" i="15" s="1" a="1"/>
  <c r="J824" i="15" s="1"/>
  <c r="J823" i="15" a="1"/>
  <c r="J823" i="15" s="1"/>
  <c r="I823" i="15"/>
  <c r="I822" i="15"/>
  <c r="J822" i="15" s="1" a="1"/>
  <c r="J822" i="15" s="1"/>
  <c r="J821" i="15" a="1"/>
  <c r="J821" i="15" s="1"/>
  <c r="I821" i="15"/>
  <c r="I820" i="15"/>
  <c r="J820" i="15" s="1" a="1"/>
  <c r="J820" i="15" s="1"/>
  <c r="J819" i="15" a="1"/>
  <c r="J819" i="15" s="1"/>
  <c r="I819" i="15"/>
  <c r="I818" i="15"/>
  <c r="J818" i="15" s="1" a="1"/>
  <c r="J818" i="15" s="1"/>
  <c r="J817" i="15" a="1"/>
  <c r="J817" i="15" s="1"/>
  <c r="I817" i="15"/>
  <c r="I816" i="15"/>
  <c r="J816" i="15" s="1" a="1"/>
  <c r="J816" i="15" s="1"/>
  <c r="J815" i="15" a="1"/>
  <c r="J815" i="15" s="1"/>
  <c r="I815" i="15"/>
  <c r="I814" i="15"/>
  <c r="J814" i="15" s="1" a="1"/>
  <c r="J814" i="15" s="1"/>
  <c r="J813" i="15" a="1"/>
  <c r="J813" i="15" s="1"/>
  <c r="I813" i="15"/>
  <c r="I812" i="15"/>
  <c r="J812" i="15" s="1" a="1"/>
  <c r="J812" i="15" s="1"/>
  <c r="J811" i="15" a="1"/>
  <c r="J811" i="15" s="1"/>
  <c r="I811" i="15"/>
  <c r="I810" i="15"/>
  <c r="J810" i="15" s="1" a="1"/>
  <c r="J810" i="15" s="1"/>
  <c r="J809" i="15" a="1"/>
  <c r="J809" i="15" s="1"/>
  <c r="I809" i="15"/>
  <c r="I808" i="15"/>
  <c r="J808" i="15" s="1" a="1"/>
  <c r="J808" i="15" s="1"/>
  <c r="J807" i="15" a="1"/>
  <c r="J807" i="15" s="1"/>
  <c r="I807" i="15"/>
  <c r="I806" i="15"/>
  <c r="J806" i="15" s="1" a="1"/>
  <c r="J806" i="15" s="1"/>
  <c r="J805" i="15" a="1"/>
  <c r="J805" i="15" s="1"/>
  <c r="I805" i="15"/>
  <c r="I804" i="15"/>
  <c r="J804" i="15" s="1" a="1"/>
  <c r="J804" i="15" s="1"/>
  <c r="J803" i="15" a="1"/>
  <c r="J803" i="15" s="1"/>
  <c r="I803" i="15"/>
  <c r="I802" i="15"/>
  <c r="J802" i="15" s="1" a="1"/>
  <c r="J802" i="15" s="1"/>
  <c r="J801" i="15" a="1"/>
  <c r="J801" i="15" s="1"/>
  <c r="I801" i="15"/>
  <c r="I800" i="15"/>
  <c r="J800" i="15" s="1" a="1"/>
  <c r="J800" i="15" s="1"/>
  <c r="J799" i="15" a="1"/>
  <c r="J799" i="15" s="1"/>
  <c r="I799" i="15"/>
  <c r="I798" i="15"/>
  <c r="J798" i="15" s="1" a="1"/>
  <c r="J798" i="15" s="1"/>
  <c r="J797" i="15" a="1"/>
  <c r="J797" i="15" s="1"/>
  <c r="I797" i="15"/>
  <c r="I796" i="15"/>
  <c r="J796" i="15" s="1" a="1"/>
  <c r="J796" i="15" s="1"/>
  <c r="J795" i="15" a="1"/>
  <c r="J795" i="15" s="1"/>
  <c r="I795" i="15"/>
  <c r="I794" i="15"/>
  <c r="J794" i="15" s="1" a="1"/>
  <c r="J794" i="15" s="1"/>
  <c r="J793" i="15" a="1"/>
  <c r="J793" i="15" s="1"/>
  <c r="I793" i="15"/>
  <c r="I792" i="15"/>
  <c r="J792" i="15" s="1" a="1"/>
  <c r="J792" i="15" s="1"/>
  <c r="J791" i="15" a="1"/>
  <c r="J791" i="15" s="1"/>
  <c r="I791" i="15"/>
  <c r="I790" i="15"/>
  <c r="J790" i="15" s="1" a="1"/>
  <c r="J790" i="15" s="1"/>
  <c r="J789" i="15" a="1"/>
  <c r="J789" i="15" s="1"/>
  <c r="I789" i="15"/>
  <c r="I788" i="15"/>
  <c r="J788" i="15" s="1" a="1"/>
  <c r="J788" i="15" s="1"/>
  <c r="J787" i="15" a="1"/>
  <c r="J787" i="15" s="1"/>
  <c r="I787" i="15"/>
  <c r="J786" i="15" a="1"/>
  <c r="J786" i="15" s="1"/>
  <c r="I786" i="15"/>
  <c r="J785" i="15" a="1"/>
  <c r="J785" i="15" s="1"/>
  <c r="I785" i="15"/>
  <c r="J784" i="15" a="1"/>
  <c r="J784" i="15" s="1"/>
  <c r="I784" i="15"/>
  <c r="I783" i="15"/>
  <c r="J783" i="15" s="1" a="1"/>
  <c r="J783" i="15" s="1"/>
  <c r="J782" i="15" a="1"/>
  <c r="J782" i="15" s="1"/>
  <c r="I782" i="15"/>
  <c r="J781" i="15" a="1"/>
  <c r="J781" i="15" s="1"/>
  <c r="I781" i="15"/>
  <c r="J780" i="15" a="1"/>
  <c r="J780" i="15" s="1"/>
  <c r="I780" i="15"/>
  <c r="I779" i="15"/>
  <c r="J779" i="15" s="1" a="1"/>
  <c r="J779" i="15" s="1"/>
  <c r="J778" i="15" a="1"/>
  <c r="J778" i="15" s="1"/>
  <c r="I778" i="15"/>
  <c r="J777" i="15" a="1"/>
  <c r="J777" i="15" s="1"/>
  <c r="I777" i="15"/>
  <c r="J776" i="15" a="1"/>
  <c r="J776" i="15" s="1"/>
  <c r="I776" i="15"/>
  <c r="I775" i="15"/>
  <c r="J775" i="15" s="1" a="1"/>
  <c r="J775" i="15" s="1"/>
  <c r="J774" i="15" a="1"/>
  <c r="J774" i="15" s="1"/>
  <c r="I774" i="15"/>
  <c r="J773" i="15" a="1"/>
  <c r="J773" i="15" s="1"/>
  <c r="I773" i="15"/>
  <c r="J772" i="15" a="1"/>
  <c r="J772" i="15" s="1"/>
  <c r="I772" i="15"/>
  <c r="I771" i="15"/>
  <c r="J771" i="15" s="1" a="1"/>
  <c r="J771" i="15" s="1"/>
  <c r="J770" i="15" a="1"/>
  <c r="J770" i="15" s="1"/>
  <c r="I770" i="15"/>
  <c r="J769" i="15" a="1"/>
  <c r="J769" i="15" s="1"/>
  <c r="I769" i="15"/>
  <c r="J768" i="15" a="1"/>
  <c r="J768" i="15" s="1"/>
  <c r="I768" i="15"/>
  <c r="I767" i="15"/>
  <c r="J767" i="15" s="1" a="1"/>
  <c r="J767" i="15" s="1"/>
  <c r="J766" i="15" a="1"/>
  <c r="J766" i="15" s="1"/>
  <c r="I766" i="15"/>
  <c r="I765" i="15"/>
  <c r="J765" i="15" s="1" a="1"/>
  <c r="J765" i="15" s="1"/>
  <c r="J764" i="15" a="1"/>
  <c r="J764" i="15" s="1"/>
  <c r="I764" i="15"/>
  <c r="I763" i="15"/>
  <c r="J763" i="15" s="1" a="1"/>
  <c r="J763" i="15" s="1"/>
  <c r="J762" i="15" a="1"/>
  <c r="J762" i="15" s="1"/>
  <c r="I762" i="15"/>
  <c r="I761" i="15"/>
  <c r="J761" i="15" s="1" a="1"/>
  <c r="J761" i="15" s="1"/>
  <c r="J760" i="15" a="1"/>
  <c r="J760" i="15" s="1"/>
  <c r="I760" i="15"/>
  <c r="I759" i="15"/>
  <c r="J759" i="15" s="1" a="1"/>
  <c r="J759" i="15" s="1"/>
  <c r="J758" i="15" a="1"/>
  <c r="J758" i="15" s="1"/>
  <c r="I758" i="15"/>
  <c r="I757" i="15"/>
  <c r="J757" i="15" s="1" a="1"/>
  <c r="J757" i="15" s="1"/>
  <c r="J756" i="15" a="1"/>
  <c r="J756" i="15" s="1"/>
  <c r="I756" i="15"/>
  <c r="I755" i="15"/>
  <c r="J755" i="15" s="1" a="1"/>
  <c r="J755" i="15" s="1"/>
  <c r="J754" i="15" a="1"/>
  <c r="J754" i="15" s="1"/>
  <c r="I754" i="15"/>
  <c r="I753" i="15"/>
  <c r="J753" i="15" s="1" a="1"/>
  <c r="J753" i="15" s="1"/>
  <c r="J752" i="15" a="1"/>
  <c r="J752" i="15" s="1"/>
  <c r="I752" i="15"/>
  <c r="I751" i="15"/>
  <c r="J751" i="15" s="1" a="1"/>
  <c r="J751" i="15" s="1"/>
  <c r="J750" i="15" a="1"/>
  <c r="J750" i="15" s="1"/>
  <c r="I750" i="15"/>
  <c r="I749" i="15"/>
  <c r="J749" i="15" s="1" a="1"/>
  <c r="J749" i="15" s="1"/>
  <c r="J748" i="15" a="1"/>
  <c r="J748" i="15" s="1"/>
  <c r="I748" i="15"/>
  <c r="I747" i="15"/>
  <c r="J747" i="15" s="1" a="1"/>
  <c r="J747" i="15" s="1"/>
  <c r="J746" i="15" a="1"/>
  <c r="J746" i="15" s="1"/>
  <c r="I746" i="15"/>
  <c r="I745" i="15"/>
  <c r="J745" i="15" s="1" a="1"/>
  <c r="J745" i="15" s="1"/>
  <c r="J744" i="15" a="1"/>
  <c r="J744" i="15" s="1"/>
  <c r="I744" i="15"/>
  <c r="I743" i="15"/>
  <c r="J743" i="15" s="1" a="1"/>
  <c r="J743" i="15" s="1"/>
  <c r="J742" i="15" a="1"/>
  <c r="J742" i="15" s="1"/>
  <c r="I742" i="15"/>
  <c r="I741" i="15"/>
  <c r="J741" i="15" s="1" a="1"/>
  <c r="J741" i="15" s="1"/>
  <c r="J740" i="15" a="1"/>
  <c r="J740" i="15" s="1"/>
  <c r="I740" i="15"/>
  <c r="I739" i="15"/>
  <c r="J739" i="15" s="1" a="1"/>
  <c r="J739" i="15" s="1"/>
  <c r="J738" i="15" a="1"/>
  <c r="J738" i="15" s="1"/>
  <c r="I738" i="15"/>
  <c r="I737" i="15"/>
  <c r="J737" i="15" s="1" a="1"/>
  <c r="J737" i="15" s="1"/>
  <c r="J736" i="15" a="1"/>
  <c r="J736" i="15" s="1"/>
  <c r="I736" i="15"/>
  <c r="I735" i="15"/>
  <c r="J735" i="15" s="1" a="1"/>
  <c r="J735" i="15" s="1"/>
  <c r="J734" i="15" a="1"/>
  <c r="J734" i="15" s="1"/>
  <c r="I734" i="15"/>
  <c r="I733" i="15"/>
  <c r="J733" i="15" s="1" a="1"/>
  <c r="J733" i="15" s="1"/>
  <c r="J732" i="15" a="1"/>
  <c r="J732" i="15" s="1"/>
  <c r="I732" i="15"/>
  <c r="I731" i="15"/>
  <c r="J731" i="15" s="1" a="1"/>
  <c r="J731" i="15" s="1"/>
  <c r="J730" i="15" a="1"/>
  <c r="J730" i="15" s="1"/>
  <c r="I730" i="15"/>
  <c r="I729" i="15"/>
  <c r="J729" i="15" s="1" a="1"/>
  <c r="J729" i="15" s="1"/>
  <c r="J728" i="15" a="1"/>
  <c r="J728" i="15" s="1"/>
  <c r="I728" i="15"/>
  <c r="I727" i="15"/>
  <c r="J727" i="15" s="1" a="1"/>
  <c r="J727" i="15" s="1"/>
  <c r="J726" i="15" a="1"/>
  <c r="J726" i="15" s="1"/>
  <c r="I726" i="15"/>
  <c r="I725" i="15"/>
  <c r="J725" i="15" s="1" a="1"/>
  <c r="J725" i="15" s="1"/>
  <c r="J724" i="15" a="1"/>
  <c r="J724" i="15" s="1"/>
  <c r="I724" i="15"/>
  <c r="I723" i="15"/>
  <c r="J723" i="15" s="1" a="1"/>
  <c r="J723" i="15" s="1"/>
  <c r="J722" i="15" a="1"/>
  <c r="J722" i="15" s="1"/>
  <c r="I722" i="15"/>
  <c r="I721" i="15"/>
  <c r="J721" i="15" s="1" a="1"/>
  <c r="J721" i="15" s="1"/>
  <c r="J720" i="15" a="1"/>
  <c r="J720" i="15" s="1"/>
  <c r="I720" i="15"/>
  <c r="I719" i="15"/>
  <c r="J719" i="15" s="1" a="1"/>
  <c r="J719" i="15" s="1"/>
  <c r="J718" i="15" a="1"/>
  <c r="J718" i="15" s="1"/>
  <c r="I718" i="15"/>
  <c r="I717" i="15"/>
  <c r="J717" i="15" s="1" a="1"/>
  <c r="J717" i="15" s="1"/>
  <c r="J716" i="15" a="1"/>
  <c r="J716" i="15" s="1"/>
  <c r="I716" i="15"/>
  <c r="J715" i="15" a="1"/>
  <c r="J715" i="15" s="1"/>
  <c r="I715" i="15"/>
  <c r="I714" i="15"/>
  <c r="J714" i="15" s="1" a="1"/>
  <c r="J714" i="15" s="1"/>
  <c r="J713" i="15" a="1"/>
  <c r="J713" i="15" s="1"/>
  <c r="I713" i="15"/>
  <c r="I712" i="15"/>
  <c r="J712" i="15" s="1" a="1"/>
  <c r="J712" i="15" s="1"/>
  <c r="J711" i="15" a="1"/>
  <c r="J711" i="15" s="1"/>
  <c r="I711" i="15"/>
  <c r="I710" i="15"/>
  <c r="J710" i="15" s="1" a="1"/>
  <c r="J710" i="15" s="1"/>
  <c r="J709" i="15" a="1"/>
  <c r="J709" i="15" s="1"/>
  <c r="I709" i="15"/>
  <c r="I708" i="15"/>
  <c r="J708" i="15" s="1" a="1"/>
  <c r="J708" i="15" s="1"/>
  <c r="J707" i="15" a="1"/>
  <c r="J707" i="15" s="1"/>
  <c r="I707" i="15"/>
  <c r="I706" i="15"/>
  <c r="J706" i="15" s="1" a="1"/>
  <c r="J706" i="15" s="1"/>
  <c r="J705" i="15" a="1"/>
  <c r="J705" i="15" s="1"/>
  <c r="I705" i="15"/>
  <c r="I704" i="15"/>
  <c r="J704" i="15" s="1" a="1"/>
  <c r="J704" i="15" s="1"/>
  <c r="J703" i="15" a="1"/>
  <c r="J703" i="15" s="1"/>
  <c r="I703" i="15"/>
  <c r="I702" i="15"/>
  <c r="J702" i="15" s="1" a="1"/>
  <c r="J702" i="15" s="1"/>
  <c r="J701" i="15" a="1"/>
  <c r="J701" i="15" s="1"/>
  <c r="I701" i="15"/>
  <c r="I700" i="15"/>
  <c r="J700" i="15" s="1" a="1"/>
  <c r="J700" i="15" s="1"/>
  <c r="J699" i="15" a="1"/>
  <c r="J699" i="15" s="1"/>
  <c r="I699" i="15"/>
  <c r="I698" i="15"/>
  <c r="J698" i="15" s="1" a="1"/>
  <c r="J698" i="15" s="1"/>
  <c r="J697" i="15" a="1"/>
  <c r="J697" i="15" s="1"/>
  <c r="I697" i="15"/>
  <c r="I696" i="15"/>
  <c r="J696" i="15" s="1" a="1"/>
  <c r="J696" i="15" s="1"/>
  <c r="J695" i="15" a="1"/>
  <c r="J695" i="15" s="1"/>
  <c r="I695" i="15"/>
  <c r="I694" i="15"/>
  <c r="J694" i="15" s="1" a="1"/>
  <c r="J694" i="15" s="1"/>
  <c r="J693" i="15" a="1"/>
  <c r="J693" i="15" s="1"/>
  <c r="I693" i="15"/>
  <c r="I692" i="15"/>
  <c r="J692" i="15" s="1" a="1"/>
  <c r="J692" i="15" s="1"/>
  <c r="J691" i="15" a="1"/>
  <c r="J691" i="15" s="1"/>
  <c r="I691" i="15"/>
  <c r="I690" i="15"/>
  <c r="J690" i="15" s="1" a="1"/>
  <c r="J690" i="15" s="1"/>
  <c r="J689" i="15" a="1"/>
  <c r="J689" i="15" s="1"/>
  <c r="I689" i="15"/>
  <c r="I688" i="15"/>
  <c r="J688" i="15" s="1" a="1"/>
  <c r="J688" i="15" s="1"/>
  <c r="J687" i="15" a="1"/>
  <c r="J687" i="15" s="1"/>
  <c r="I687" i="15"/>
  <c r="I686" i="15"/>
  <c r="J686" i="15" s="1" a="1"/>
  <c r="J686" i="15" s="1"/>
  <c r="J685" i="15" a="1"/>
  <c r="J685" i="15" s="1"/>
  <c r="I685" i="15"/>
  <c r="I684" i="15"/>
  <c r="J684" i="15" s="1" a="1"/>
  <c r="J684" i="15" s="1"/>
  <c r="J683" i="15" a="1"/>
  <c r="J683" i="15" s="1"/>
  <c r="I683" i="15"/>
  <c r="I682" i="15"/>
  <c r="J682" i="15" s="1" a="1"/>
  <c r="J682" i="15" s="1"/>
  <c r="J681" i="15" a="1"/>
  <c r="J681" i="15" s="1"/>
  <c r="I681" i="15"/>
  <c r="I680" i="15"/>
  <c r="J680" i="15" s="1" a="1"/>
  <c r="J680" i="15" s="1"/>
  <c r="J679" i="15" a="1"/>
  <c r="J679" i="15" s="1"/>
  <c r="I679" i="15"/>
  <c r="I678" i="15"/>
  <c r="J678" i="15" s="1" a="1"/>
  <c r="J678" i="15" s="1"/>
  <c r="J677" i="15" a="1"/>
  <c r="J677" i="15" s="1"/>
  <c r="I677" i="15"/>
  <c r="I676" i="15"/>
  <c r="J676" i="15" s="1" a="1"/>
  <c r="J676" i="15" s="1"/>
  <c r="J675" i="15" a="1"/>
  <c r="J675" i="15" s="1"/>
  <c r="I675" i="15"/>
  <c r="I674" i="15"/>
  <c r="J674" i="15" s="1" a="1"/>
  <c r="J674" i="15" s="1"/>
  <c r="J673" i="15" a="1"/>
  <c r="J673" i="15" s="1"/>
  <c r="I673" i="15"/>
  <c r="I672" i="15"/>
  <c r="J672" i="15" s="1" a="1"/>
  <c r="J672" i="15" s="1"/>
  <c r="J671" i="15" a="1"/>
  <c r="J671" i="15" s="1"/>
  <c r="I671" i="15"/>
  <c r="I670" i="15"/>
  <c r="J670" i="15" s="1" a="1"/>
  <c r="J670" i="15" s="1"/>
  <c r="J669" i="15" a="1"/>
  <c r="J669" i="15" s="1"/>
  <c r="I669" i="15"/>
  <c r="I668" i="15"/>
  <c r="J668" i="15" s="1" a="1"/>
  <c r="J668" i="15" s="1"/>
  <c r="J667" i="15" a="1"/>
  <c r="J667" i="15" s="1"/>
  <c r="I667" i="15"/>
  <c r="I666" i="15"/>
  <c r="J666" i="15" s="1" a="1"/>
  <c r="J666" i="15" s="1"/>
  <c r="J665" i="15" a="1"/>
  <c r="J665" i="15" s="1"/>
  <c r="I665" i="15"/>
  <c r="I664" i="15"/>
  <c r="J664" i="15" s="1" a="1"/>
  <c r="J664" i="15" s="1"/>
  <c r="J663" i="15" a="1"/>
  <c r="J663" i="15" s="1"/>
  <c r="I663" i="15"/>
  <c r="I662" i="15"/>
  <c r="J662" i="15" s="1" a="1"/>
  <c r="J662" i="15" s="1"/>
  <c r="J661" i="15" a="1"/>
  <c r="J661" i="15" s="1"/>
  <c r="I661" i="15"/>
  <c r="I660" i="15"/>
  <c r="J660" i="15" s="1" a="1"/>
  <c r="J660" i="15" s="1"/>
  <c r="J659" i="15" a="1"/>
  <c r="J659" i="15" s="1"/>
  <c r="I659" i="15"/>
  <c r="I658" i="15"/>
  <c r="J658" i="15" s="1" a="1"/>
  <c r="J658" i="15" s="1"/>
  <c r="J657" i="15" a="1"/>
  <c r="J657" i="15" s="1"/>
  <c r="I657" i="15"/>
  <c r="I656" i="15"/>
  <c r="J656" i="15" s="1" a="1"/>
  <c r="J656" i="15" s="1"/>
  <c r="J655" i="15" a="1"/>
  <c r="J655" i="15" s="1"/>
  <c r="I655" i="15"/>
  <c r="I654" i="15"/>
  <c r="J654" i="15" s="1" a="1"/>
  <c r="J654" i="15" s="1"/>
  <c r="J653" i="15" a="1"/>
  <c r="J653" i="15" s="1"/>
  <c r="I653" i="15"/>
  <c r="I652" i="15"/>
  <c r="J652" i="15" s="1" a="1"/>
  <c r="J652" i="15" s="1"/>
  <c r="J651" i="15" a="1"/>
  <c r="J651" i="15" s="1"/>
  <c r="I651" i="15"/>
  <c r="I650" i="15"/>
  <c r="J650" i="15" s="1" a="1"/>
  <c r="J650" i="15" s="1"/>
  <c r="J649" i="15" a="1"/>
  <c r="J649" i="15" s="1"/>
  <c r="I649" i="15"/>
  <c r="I648" i="15"/>
  <c r="J648" i="15" s="1" a="1"/>
  <c r="J648" i="15" s="1"/>
  <c r="J647" i="15" a="1"/>
  <c r="J647" i="15" s="1"/>
  <c r="I647" i="15"/>
  <c r="I646" i="15"/>
  <c r="J646" i="15" s="1" a="1"/>
  <c r="J646" i="15" s="1"/>
  <c r="J645" i="15" a="1"/>
  <c r="J645" i="15" s="1"/>
  <c r="I645" i="15"/>
  <c r="I644" i="15"/>
  <c r="J644" i="15" s="1" a="1"/>
  <c r="J644" i="15" s="1"/>
  <c r="J643" i="15" a="1"/>
  <c r="J643" i="15" s="1"/>
  <c r="I643" i="15"/>
  <c r="I642" i="15"/>
  <c r="J642" i="15" s="1" a="1"/>
  <c r="J642" i="15" s="1"/>
  <c r="J641" i="15" a="1"/>
  <c r="J641" i="15" s="1"/>
  <c r="I641" i="15"/>
  <c r="I640" i="15"/>
  <c r="J640" i="15" s="1" a="1"/>
  <c r="J640" i="15" s="1"/>
  <c r="J639" i="15" a="1"/>
  <c r="J639" i="15" s="1"/>
  <c r="I639" i="15"/>
  <c r="I638" i="15"/>
  <c r="J638" i="15" s="1" a="1"/>
  <c r="J638" i="15" s="1"/>
  <c r="J637" i="15" a="1"/>
  <c r="J637" i="15" s="1"/>
  <c r="I637" i="15"/>
  <c r="I636" i="15"/>
  <c r="J636" i="15" s="1" a="1"/>
  <c r="J636" i="15" s="1"/>
  <c r="J635" i="15" a="1"/>
  <c r="J635" i="15" s="1"/>
  <c r="I635" i="15"/>
  <c r="I634" i="15"/>
  <c r="J634" i="15" s="1" a="1"/>
  <c r="J634" i="15" s="1"/>
  <c r="J633" i="15" a="1"/>
  <c r="J633" i="15" s="1"/>
  <c r="I633" i="15"/>
  <c r="I632" i="15"/>
  <c r="J632" i="15" s="1" a="1"/>
  <c r="J632" i="15" s="1"/>
  <c r="J631" i="15" a="1"/>
  <c r="J631" i="15" s="1"/>
  <c r="I631" i="15"/>
  <c r="I630" i="15"/>
  <c r="J630" i="15" s="1" a="1"/>
  <c r="J630" i="15" s="1"/>
  <c r="J629" i="15" a="1"/>
  <c r="J629" i="15" s="1"/>
  <c r="I629" i="15"/>
  <c r="I628" i="15"/>
  <c r="J628" i="15" s="1" a="1"/>
  <c r="J628" i="15" s="1"/>
  <c r="J627" i="15" a="1"/>
  <c r="J627" i="15" s="1"/>
  <c r="I627" i="15"/>
  <c r="I626" i="15"/>
  <c r="J626" i="15" s="1" a="1"/>
  <c r="J626" i="15" s="1"/>
  <c r="J625" i="15" a="1"/>
  <c r="J625" i="15" s="1"/>
  <c r="I625" i="15"/>
  <c r="I624" i="15"/>
  <c r="J624" i="15" s="1" a="1"/>
  <c r="J624" i="15" s="1"/>
  <c r="J623" i="15" a="1"/>
  <c r="J623" i="15" s="1"/>
  <c r="I623" i="15"/>
  <c r="I622" i="15"/>
  <c r="J622" i="15" s="1" a="1"/>
  <c r="J622" i="15" s="1"/>
  <c r="J621" i="15" a="1"/>
  <c r="J621" i="15" s="1"/>
  <c r="I621" i="15"/>
  <c r="I620" i="15"/>
  <c r="J620" i="15" s="1" a="1"/>
  <c r="J620" i="15" s="1"/>
  <c r="J619" i="15" a="1"/>
  <c r="J619" i="15" s="1"/>
  <c r="I619" i="15"/>
  <c r="I618" i="15"/>
  <c r="J618" i="15" s="1" a="1"/>
  <c r="J618" i="15" s="1"/>
  <c r="J617" i="15" a="1"/>
  <c r="J617" i="15" s="1"/>
  <c r="I617" i="15"/>
  <c r="I616" i="15"/>
  <c r="J616" i="15" s="1" a="1"/>
  <c r="J616" i="15" s="1"/>
  <c r="J615" i="15" a="1"/>
  <c r="J615" i="15" s="1"/>
  <c r="I615" i="15"/>
  <c r="I614" i="15"/>
  <c r="J614" i="15" s="1" a="1"/>
  <c r="J614" i="15" s="1"/>
  <c r="J613" i="15" a="1"/>
  <c r="J613" i="15" s="1"/>
  <c r="I613" i="15"/>
  <c r="I612" i="15"/>
  <c r="J612" i="15" s="1" a="1"/>
  <c r="J612" i="15" s="1"/>
  <c r="J611" i="15" a="1"/>
  <c r="J611" i="15" s="1"/>
  <c r="I611" i="15"/>
  <c r="I610" i="15"/>
  <c r="J610" i="15" s="1" a="1"/>
  <c r="J610" i="15" s="1"/>
  <c r="J609" i="15" a="1"/>
  <c r="J609" i="15" s="1"/>
  <c r="I609" i="15"/>
  <c r="I608" i="15"/>
  <c r="J608" i="15" s="1" a="1"/>
  <c r="J608" i="15" s="1"/>
  <c r="J607" i="15" a="1"/>
  <c r="J607" i="15" s="1"/>
  <c r="I607" i="15"/>
  <c r="I606" i="15"/>
  <c r="J606" i="15" s="1" a="1"/>
  <c r="J606" i="15" s="1"/>
  <c r="J605" i="15" a="1"/>
  <c r="J605" i="15" s="1"/>
  <c r="I605" i="15"/>
  <c r="I604" i="15"/>
  <c r="J604" i="15" s="1" a="1"/>
  <c r="J604" i="15" s="1"/>
  <c r="J603" i="15" a="1"/>
  <c r="J603" i="15" s="1"/>
  <c r="I603" i="15"/>
  <c r="I602" i="15"/>
  <c r="J602" i="15" s="1" a="1"/>
  <c r="J602" i="15" s="1"/>
  <c r="J601" i="15" a="1"/>
  <c r="J601" i="15" s="1"/>
  <c r="I601" i="15"/>
  <c r="I600" i="15"/>
  <c r="J600" i="15" s="1" a="1"/>
  <c r="J600" i="15" s="1"/>
  <c r="J599" i="15" a="1"/>
  <c r="J599" i="15" s="1"/>
  <c r="I599" i="15"/>
  <c r="I598" i="15"/>
  <c r="J598" i="15" s="1" a="1"/>
  <c r="J598" i="15" s="1"/>
  <c r="J597" i="15" a="1"/>
  <c r="J597" i="15" s="1"/>
  <c r="I597" i="15"/>
  <c r="I596" i="15"/>
  <c r="J596" i="15" s="1" a="1"/>
  <c r="J596" i="15" s="1"/>
  <c r="J595" i="15" a="1"/>
  <c r="J595" i="15" s="1"/>
  <c r="I595" i="15"/>
  <c r="I594" i="15"/>
  <c r="J594" i="15" s="1" a="1"/>
  <c r="J594" i="15" s="1"/>
  <c r="I593" i="15"/>
  <c r="J593" i="15" s="1" a="1"/>
  <c r="J593" i="15" s="1"/>
  <c r="I592" i="15"/>
  <c r="J592" i="15" s="1" a="1"/>
  <c r="J592" i="15" s="1"/>
  <c r="J591" i="15" a="1"/>
  <c r="J591" i="15" s="1"/>
  <c r="I591" i="15"/>
  <c r="I590" i="15"/>
  <c r="J590" i="15" s="1" a="1"/>
  <c r="J590" i="15" s="1"/>
  <c r="I589" i="15"/>
  <c r="J589" i="15" s="1" a="1"/>
  <c r="J589" i="15" s="1"/>
  <c r="I588" i="15"/>
  <c r="J588" i="15" s="1" a="1"/>
  <c r="J588" i="15" s="1"/>
  <c r="J587" i="15" a="1"/>
  <c r="J587" i="15" s="1"/>
  <c r="I587" i="15"/>
  <c r="I586" i="15"/>
  <c r="J586" i="15" s="1" a="1"/>
  <c r="J586" i="15" s="1"/>
  <c r="I585" i="15"/>
  <c r="J585" i="15" s="1" a="1"/>
  <c r="J585" i="15" s="1"/>
  <c r="I584" i="15"/>
  <c r="J584" i="15" s="1" a="1"/>
  <c r="J584" i="15" s="1"/>
  <c r="J583" i="15" a="1"/>
  <c r="J583" i="15" s="1"/>
  <c r="I583" i="15"/>
  <c r="I582" i="15"/>
  <c r="J582" i="15" s="1" a="1"/>
  <c r="J582" i="15" s="1"/>
  <c r="I581" i="15"/>
  <c r="J581" i="15" s="1" a="1"/>
  <c r="J581" i="15" s="1"/>
  <c r="I580" i="15"/>
  <c r="J580" i="15" s="1" a="1"/>
  <c r="J580" i="15" s="1"/>
  <c r="J579" i="15" a="1"/>
  <c r="J579" i="15" s="1"/>
  <c r="I579" i="15"/>
  <c r="I578" i="15"/>
  <c r="J578" i="15" s="1" a="1"/>
  <c r="J578" i="15" s="1"/>
  <c r="I577" i="15"/>
  <c r="J577" i="15" s="1" a="1"/>
  <c r="J577" i="15" s="1"/>
  <c r="I576" i="15"/>
  <c r="J576" i="15" s="1" a="1"/>
  <c r="J576" i="15" s="1"/>
  <c r="J575" i="15" a="1"/>
  <c r="J575" i="15" s="1"/>
  <c r="I575" i="15"/>
  <c r="I574" i="15"/>
  <c r="J574" i="15" s="1" a="1"/>
  <c r="J574" i="15" s="1"/>
  <c r="I573" i="15"/>
  <c r="J573" i="15" s="1" a="1"/>
  <c r="J573" i="15" s="1"/>
  <c r="I572" i="15"/>
  <c r="J572" i="15" s="1" a="1"/>
  <c r="J572" i="15" s="1"/>
  <c r="J571" i="15" a="1"/>
  <c r="J571" i="15" s="1"/>
  <c r="I571" i="15"/>
  <c r="I570" i="15"/>
  <c r="J570" i="15" s="1" a="1"/>
  <c r="J570" i="15" s="1"/>
  <c r="I569" i="15"/>
  <c r="J569" i="15" s="1" a="1"/>
  <c r="J569" i="15" s="1"/>
  <c r="I568" i="15"/>
  <c r="J568" i="15" s="1" a="1"/>
  <c r="J568" i="15" s="1"/>
  <c r="J567" i="15" a="1"/>
  <c r="J567" i="15" s="1"/>
  <c r="I567" i="15"/>
  <c r="I566" i="15"/>
  <c r="J566" i="15" s="1" a="1"/>
  <c r="J566" i="15" s="1"/>
  <c r="I565" i="15"/>
  <c r="J565" i="15" s="1" a="1"/>
  <c r="J565" i="15" s="1"/>
  <c r="I564" i="15"/>
  <c r="J564" i="15" s="1" a="1"/>
  <c r="J564" i="15" s="1"/>
  <c r="J563" i="15" a="1"/>
  <c r="J563" i="15" s="1"/>
  <c r="I563" i="15"/>
  <c r="I562" i="15"/>
  <c r="J562" i="15" s="1" a="1"/>
  <c r="J562" i="15" s="1"/>
  <c r="I561" i="15"/>
  <c r="J561" i="15" s="1" a="1"/>
  <c r="J561" i="15" s="1"/>
  <c r="I560" i="15"/>
  <c r="J560" i="15" s="1" a="1"/>
  <c r="J560" i="15" s="1"/>
  <c r="J559" i="15" a="1"/>
  <c r="J559" i="15" s="1"/>
  <c r="I559" i="15"/>
  <c r="J558" i="15" a="1"/>
  <c r="J558" i="15" s="1"/>
  <c r="I558" i="15"/>
  <c r="I557" i="15"/>
  <c r="J557" i="15" s="1" a="1"/>
  <c r="J557" i="15" s="1"/>
  <c r="I556" i="15"/>
  <c r="J556" i="15" s="1" a="1"/>
  <c r="J556" i="15" s="1"/>
  <c r="J555" i="15" a="1"/>
  <c r="J555" i="15" s="1"/>
  <c r="I555" i="15"/>
  <c r="I554" i="15"/>
  <c r="J554" i="15" s="1" a="1"/>
  <c r="J554" i="15" s="1"/>
  <c r="I553" i="15"/>
  <c r="J553" i="15" s="1" a="1"/>
  <c r="J553" i="15" s="1"/>
  <c r="I552" i="15"/>
  <c r="J552" i="15" s="1" a="1"/>
  <c r="J552" i="15" s="1"/>
  <c r="J551" i="15" a="1"/>
  <c r="J551" i="15" s="1"/>
  <c r="I551" i="15"/>
  <c r="J550" i="15" a="1"/>
  <c r="J550" i="15" s="1"/>
  <c r="I550" i="15"/>
  <c r="I549" i="15"/>
  <c r="J549" i="15" s="1" a="1"/>
  <c r="J549" i="15" s="1"/>
  <c r="I548" i="15"/>
  <c r="J548" i="15" s="1" a="1"/>
  <c r="J548" i="15" s="1"/>
  <c r="J547" i="15" a="1"/>
  <c r="J547" i="15" s="1"/>
  <c r="I547" i="15"/>
  <c r="I546" i="15"/>
  <c r="J546" i="15" s="1" a="1"/>
  <c r="J546" i="15" s="1"/>
  <c r="J545" i="15" a="1"/>
  <c r="J545" i="15" s="1"/>
  <c r="I545" i="15"/>
  <c r="I544" i="15"/>
  <c r="J544" i="15" s="1" a="1"/>
  <c r="J544" i="15" s="1"/>
  <c r="J543" i="15" a="1"/>
  <c r="J543" i="15" s="1"/>
  <c r="I543" i="15"/>
  <c r="I542" i="15"/>
  <c r="J542" i="15" s="1" a="1"/>
  <c r="J542" i="15" s="1"/>
  <c r="J541" i="15" a="1"/>
  <c r="J541" i="15" s="1"/>
  <c r="I541" i="15"/>
  <c r="I540" i="15"/>
  <c r="J540" i="15" s="1" a="1"/>
  <c r="J540" i="15" s="1"/>
  <c r="J539" i="15" a="1"/>
  <c r="J539" i="15" s="1"/>
  <c r="I539" i="15"/>
  <c r="I538" i="15"/>
  <c r="J538" i="15" s="1" a="1"/>
  <c r="J538" i="15" s="1"/>
  <c r="J537" i="15" a="1"/>
  <c r="J537" i="15" s="1"/>
  <c r="I537" i="15"/>
  <c r="J536" i="15" a="1"/>
  <c r="J536" i="15" s="1"/>
  <c r="I536" i="15"/>
  <c r="I535" i="15"/>
  <c r="J535" i="15" s="1" a="1"/>
  <c r="J535" i="15" s="1"/>
  <c r="I534" i="15"/>
  <c r="J534" i="15" s="1" a="1"/>
  <c r="J534" i="15" s="1"/>
  <c r="J533" i="15" a="1"/>
  <c r="J533" i="15" s="1"/>
  <c r="I533" i="15"/>
  <c r="J532" i="15" a="1"/>
  <c r="J532" i="15" s="1"/>
  <c r="I532" i="15"/>
  <c r="I531" i="15"/>
  <c r="J531" i="15" s="1" a="1"/>
  <c r="J531" i="15" s="1"/>
  <c r="I530" i="15"/>
  <c r="J530" i="15" s="1" a="1"/>
  <c r="J530" i="15" s="1"/>
  <c r="J529" i="15" a="1"/>
  <c r="J529" i="15" s="1"/>
  <c r="I529" i="15"/>
  <c r="J528" i="15" a="1"/>
  <c r="J528" i="15" s="1"/>
  <c r="I528" i="15"/>
  <c r="I527" i="15"/>
  <c r="J527" i="15" s="1" a="1"/>
  <c r="J527" i="15" s="1"/>
  <c r="I526" i="15"/>
  <c r="J526" i="15" s="1" a="1"/>
  <c r="J526" i="15" s="1"/>
  <c r="J525" i="15" a="1"/>
  <c r="J525" i="15" s="1"/>
  <c r="I525" i="15"/>
  <c r="J524" i="15" a="1"/>
  <c r="J524" i="15" s="1"/>
  <c r="I524" i="15"/>
  <c r="I523" i="15"/>
  <c r="J523" i="15" s="1" a="1"/>
  <c r="J523" i="15" s="1"/>
  <c r="I522" i="15"/>
  <c r="J522" i="15" s="1" a="1"/>
  <c r="J522" i="15" s="1"/>
  <c r="J521" i="15" a="1"/>
  <c r="J521" i="15" s="1"/>
  <c r="I521" i="15"/>
  <c r="J520" i="15" a="1"/>
  <c r="J520" i="15" s="1"/>
  <c r="I520" i="15"/>
  <c r="I519" i="15"/>
  <c r="J519" i="15" s="1" a="1"/>
  <c r="J519" i="15" s="1"/>
  <c r="I518" i="15"/>
  <c r="J518" i="15" s="1" a="1"/>
  <c r="J518" i="15" s="1"/>
  <c r="J517" i="15" a="1"/>
  <c r="J517" i="15" s="1"/>
  <c r="I517" i="15"/>
  <c r="J516" i="15" a="1"/>
  <c r="J516" i="15" s="1"/>
  <c r="I516" i="15"/>
  <c r="I515" i="15"/>
  <c r="J515" i="15" s="1" a="1"/>
  <c r="J515" i="15" s="1"/>
  <c r="I514" i="15"/>
  <c r="J514" i="15" s="1" a="1"/>
  <c r="J514" i="15" s="1"/>
  <c r="J513" i="15" a="1"/>
  <c r="J513" i="15" s="1"/>
  <c r="I513" i="15"/>
  <c r="J512" i="15" a="1"/>
  <c r="J512" i="15" s="1"/>
  <c r="I512" i="15"/>
  <c r="I511" i="15"/>
  <c r="J511" i="15" s="1" a="1"/>
  <c r="J511" i="15" s="1"/>
  <c r="I510" i="15"/>
  <c r="J510" i="15" s="1" a="1"/>
  <c r="J510" i="15" s="1"/>
  <c r="J509" i="15" a="1"/>
  <c r="J509" i="15" s="1"/>
  <c r="I509" i="15"/>
  <c r="J508" i="15" a="1"/>
  <c r="J508" i="15" s="1"/>
  <c r="I508" i="15"/>
  <c r="I507" i="15"/>
  <c r="J507" i="15" s="1" a="1"/>
  <c r="J507" i="15" s="1"/>
  <c r="I506" i="15"/>
  <c r="J506" i="15" s="1" a="1"/>
  <c r="J506" i="15" s="1"/>
  <c r="J505" i="15" a="1"/>
  <c r="J505" i="15" s="1"/>
  <c r="I505" i="15"/>
  <c r="J504" i="15" a="1"/>
  <c r="J504" i="15" s="1"/>
  <c r="I504" i="15"/>
  <c r="I503" i="15"/>
  <c r="J503" i="15" s="1" a="1"/>
  <c r="J503" i="15" s="1"/>
  <c r="I502" i="15"/>
  <c r="J502" i="15" s="1" a="1"/>
  <c r="J502" i="15" s="1"/>
  <c r="J501" i="15" a="1"/>
  <c r="J501" i="15" s="1"/>
  <c r="I501" i="15"/>
  <c r="J500" i="15" a="1"/>
  <c r="J500" i="15" s="1"/>
  <c r="I500" i="15"/>
  <c r="I499" i="15"/>
  <c r="J499" i="15" s="1" a="1"/>
  <c r="J499" i="15" s="1"/>
  <c r="I498" i="15"/>
  <c r="J498" i="15" s="1" a="1"/>
  <c r="J498" i="15" s="1"/>
  <c r="J497" i="15" a="1"/>
  <c r="J497" i="15" s="1"/>
  <c r="I497" i="15"/>
  <c r="J496" i="15" a="1"/>
  <c r="J496" i="15" s="1"/>
  <c r="I496" i="15"/>
  <c r="I495" i="15"/>
  <c r="J495" i="15" s="1" a="1"/>
  <c r="J495" i="15" s="1"/>
  <c r="I494" i="15"/>
  <c r="J494" i="15" s="1" a="1"/>
  <c r="J494" i="15" s="1"/>
  <c r="J493" i="15" a="1"/>
  <c r="J493" i="15" s="1"/>
  <c r="I493" i="15"/>
  <c r="J492" i="15" a="1"/>
  <c r="J492" i="15" s="1"/>
  <c r="I492" i="15"/>
  <c r="I491" i="15"/>
  <c r="J491" i="15" s="1" a="1"/>
  <c r="J491" i="15" s="1"/>
  <c r="I490" i="15"/>
  <c r="J490" i="15" s="1" a="1"/>
  <c r="J490" i="15" s="1"/>
  <c r="J489" i="15" a="1"/>
  <c r="J489" i="15" s="1"/>
  <c r="I489" i="15"/>
  <c r="J488" i="15" a="1"/>
  <c r="J488" i="15" s="1"/>
  <c r="I488" i="15"/>
  <c r="I487" i="15"/>
  <c r="J487" i="15" s="1" a="1"/>
  <c r="J487" i="15" s="1"/>
  <c r="I486" i="15"/>
  <c r="J486" i="15" s="1" a="1"/>
  <c r="J486" i="15" s="1"/>
  <c r="J485" i="15" a="1"/>
  <c r="J485" i="15" s="1"/>
  <c r="I485" i="15"/>
  <c r="J484" i="15" a="1"/>
  <c r="J484" i="15" s="1"/>
  <c r="I484" i="15"/>
  <c r="I483" i="15"/>
  <c r="J483" i="15" s="1" a="1"/>
  <c r="J483" i="15" s="1"/>
  <c r="I482" i="15"/>
  <c r="J482" i="15" s="1" a="1"/>
  <c r="J482" i="15" s="1"/>
  <c r="J481" i="15" a="1"/>
  <c r="J481" i="15" s="1"/>
  <c r="I481" i="15"/>
  <c r="J480" i="15" a="1"/>
  <c r="J480" i="15" s="1"/>
  <c r="I480" i="15"/>
  <c r="I479" i="15"/>
  <c r="J479" i="15" s="1" a="1"/>
  <c r="J479" i="15" s="1"/>
  <c r="I478" i="15"/>
  <c r="J478" i="15" s="1" a="1"/>
  <c r="J478" i="15" s="1"/>
  <c r="J477" i="15" a="1"/>
  <c r="J477" i="15" s="1"/>
  <c r="I477" i="15"/>
  <c r="J476" i="15" a="1"/>
  <c r="J476" i="15" s="1"/>
  <c r="I476" i="15"/>
  <c r="I475" i="15"/>
  <c r="J475" i="15" s="1" a="1"/>
  <c r="J475" i="15" s="1"/>
  <c r="I474" i="15"/>
  <c r="J474" i="15" s="1" a="1"/>
  <c r="J474" i="15" s="1"/>
  <c r="J473" i="15" a="1"/>
  <c r="J473" i="15" s="1"/>
  <c r="I473" i="15"/>
  <c r="J472" i="15" a="1"/>
  <c r="J472" i="15" s="1"/>
  <c r="I472" i="15"/>
  <c r="I471" i="15"/>
  <c r="J471" i="15" s="1" a="1"/>
  <c r="J471" i="15" s="1"/>
  <c r="I470" i="15"/>
  <c r="J470" i="15" s="1" a="1"/>
  <c r="J470" i="15" s="1"/>
  <c r="J469" i="15" a="1"/>
  <c r="J469" i="15" s="1"/>
  <c r="I469" i="15"/>
  <c r="J468" i="15" a="1"/>
  <c r="J468" i="15" s="1"/>
  <c r="I468" i="15"/>
  <c r="I467" i="15"/>
  <c r="J467" i="15" s="1" a="1"/>
  <c r="J467" i="15" s="1"/>
  <c r="J466" i="15" a="1"/>
  <c r="J466" i="15" s="1"/>
  <c r="I466" i="15"/>
  <c r="J465" i="15" a="1"/>
  <c r="J465" i="15" s="1"/>
  <c r="I465" i="15"/>
  <c r="J464" i="15" a="1"/>
  <c r="J464" i="15" s="1"/>
  <c r="I464" i="15"/>
  <c r="I463" i="15"/>
  <c r="J463" i="15" s="1" a="1"/>
  <c r="J463" i="15" s="1"/>
  <c r="J462" i="15" a="1"/>
  <c r="J462" i="15" s="1"/>
  <c r="I462" i="15"/>
  <c r="J461" i="15" a="1"/>
  <c r="J461" i="15" s="1"/>
  <c r="I461" i="15"/>
  <c r="J460" i="15" a="1"/>
  <c r="J460" i="15" s="1"/>
  <c r="I460" i="15"/>
  <c r="I459" i="15"/>
  <c r="J459" i="15" s="1" a="1"/>
  <c r="J459" i="15" s="1"/>
  <c r="J458" i="15" a="1"/>
  <c r="J458" i="15" s="1"/>
  <c r="I458" i="15"/>
  <c r="J457" i="15" a="1"/>
  <c r="J457" i="15" s="1"/>
  <c r="I457" i="15"/>
  <c r="J456" i="15" a="1"/>
  <c r="J456" i="15" s="1"/>
  <c r="I456" i="15"/>
  <c r="I455" i="15"/>
  <c r="J455" i="15" s="1" a="1"/>
  <c r="J455" i="15" s="1"/>
  <c r="I454" i="15"/>
  <c r="J454" i="15" s="1" a="1"/>
  <c r="J454" i="15" s="1"/>
  <c r="J453" i="15" a="1"/>
  <c r="J453" i="15" s="1"/>
  <c r="I453" i="15"/>
  <c r="J452" i="15" a="1"/>
  <c r="J452" i="15" s="1"/>
  <c r="I452" i="15"/>
  <c r="I451" i="15"/>
  <c r="J451" i="15" s="1" a="1"/>
  <c r="J451" i="15" s="1"/>
  <c r="I450" i="15"/>
  <c r="J450" i="15" s="1" a="1"/>
  <c r="J450" i="15" s="1"/>
  <c r="J449" i="15" a="1"/>
  <c r="J449" i="15" s="1"/>
  <c r="I449" i="15"/>
  <c r="J448" i="15" a="1"/>
  <c r="J448" i="15" s="1"/>
  <c r="I448" i="15"/>
  <c r="I447" i="15"/>
  <c r="J447" i="15" s="1" a="1"/>
  <c r="J447" i="15" s="1"/>
  <c r="I446" i="15"/>
  <c r="J446" i="15" s="1" a="1"/>
  <c r="J446" i="15" s="1"/>
  <c r="J445" i="15" a="1"/>
  <c r="J445" i="15" s="1"/>
  <c r="I445" i="15"/>
  <c r="J444" i="15" a="1"/>
  <c r="J444" i="15" s="1"/>
  <c r="I444" i="15"/>
  <c r="I443" i="15"/>
  <c r="J443" i="15" s="1" a="1"/>
  <c r="J443" i="15" s="1"/>
  <c r="I442" i="15"/>
  <c r="J442" i="15" s="1" a="1"/>
  <c r="J442" i="15" s="1"/>
  <c r="J441" i="15" a="1"/>
  <c r="J441" i="15" s="1"/>
  <c r="I441" i="15"/>
  <c r="J440" i="15" a="1"/>
  <c r="J440" i="15" s="1"/>
  <c r="I440" i="15"/>
  <c r="I439" i="15"/>
  <c r="J439" i="15" s="1" a="1"/>
  <c r="J439" i="15" s="1"/>
  <c r="I438" i="15"/>
  <c r="J438" i="15" s="1" a="1"/>
  <c r="J438" i="15" s="1"/>
  <c r="J437" i="15" a="1"/>
  <c r="J437" i="15" s="1"/>
  <c r="I437" i="15"/>
  <c r="J436" i="15" a="1"/>
  <c r="J436" i="15" s="1"/>
  <c r="I436" i="15"/>
  <c r="I435" i="15"/>
  <c r="J435" i="15" s="1" a="1"/>
  <c r="J435" i="15" s="1"/>
  <c r="I434" i="15"/>
  <c r="J434" i="15" s="1" a="1"/>
  <c r="J434" i="15" s="1"/>
  <c r="J433" i="15" a="1"/>
  <c r="J433" i="15" s="1"/>
  <c r="I433" i="15"/>
  <c r="J432" i="15" a="1"/>
  <c r="J432" i="15" s="1"/>
  <c r="I432" i="15"/>
  <c r="I431" i="15"/>
  <c r="J431" i="15" s="1" a="1"/>
  <c r="J431" i="15" s="1"/>
  <c r="I430" i="15"/>
  <c r="J430" i="15" s="1" a="1"/>
  <c r="J430" i="15" s="1"/>
  <c r="J429" i="15" a="1"/>
  <c r="J429" i="15" s="1"/>
  <c r="I429" i="15"/>
  <c r="J428" i="15" a="1"/>
  <c r="J428" i="15" s="1"/>
  <c r="I428" i="15"/>
  <c r="I427" i="15"/>
  <c r="J427" i="15" s="1" a="1"/>
  <c r="J427" i="15" s="1"/>
  <c r="I426" i="15"/>
  <c r="J426" i="15" s="1" a="1"/>
  <c r="J426" i="15" s="1"/>
  <c r="J425" i="15" a="1"/>
  <c r="J425" i="15" s="1"/>
  <c r="I425" i="15"/>
  <c r="J424" i="15" a="1"/>
  <c r="J424" i="15" s="1"/>
  <c r="I424" i="15"/>
  <c r="I423" i="15"/>
  <c r="J423" i="15" s="1" a="1"/>
  <c r="J423" i="15" s="1"/>
  <c r="I422" i="15"/>
  <c r="J422" i="15" s="1" a="1"/>
  <c r="J422" i="15" s="1"/>
  <c r="I421" i="15"/>
  <c r="J421" i="15" s="1" a="1"/>
  <c r="J421" i="15" s="1"/>
  <c r="J420" i="15" a="1"/>
  <c r="J420" i="15" s="1"/>
  <c r="I420" i="15"/>
  <c r="J419" i="15" a="1"/>
  <c r="J419" i="15" s="1"/>
  <c r="I419" i="15"/>
  <c r="J418" i="15" a="1"/>
  <c r="J418" i="15" s="1"/>
  <c r="I418" i="15"/>
  <c r="I417" i="15"/>
  <c r="J417" i="15" s="1" a="1"/>
  <c r="J417" i="15" s="1"/>
  <c r="J416" i="15" a="1"/>
  <c r="J416" i="15" s="1"/>
  <c r="I416" i="15"/>
  <c r="J415" i="15" a="1"/>
  <c r="J415" i="15" s="1"/>
  <c r="I415" i="15"/>
  <c r="J414" i="15" a="1"/>
  <c r="J414" i="15" s="1"/>
  <c r="I414" i="15"/>
  <c r="I413" i="15"/>
  <c r="J413" i="15" s="1" a="1"/>
  <c r="J413" i="15" s="1"/>
  <c r="J412" i="15" a="1"/>
  <c r="J412" i="15" s="1"/>
  <c r="I412" i="15"/>
  <c r="J411" i="15" a="1"/>
  <c r="J411" i="15" s="1"/>
  <c r="I411" i="15"/>
  <c r="J410" i="15" a="1"/>
  <c r="J410" i="15" s="1"/>
  <c r="I410" i="15"/>
  <c r="I409" i="15"/>
  <c r="J409" i="15" s="1" a="1"/>
  <c r="J409" i="15" s="1"/>
  <c r="J408" i="15" a="1"/>
  <c r="J408" i="15" s="1"/>
  <c r="I408" i="15"/>
  <c r="J407" i="15" a="1"/>
  <c r="J407" i="15" s="1"/>
  <c r="I407" i="15"/>
  <c r="J406" i="15" a="1"/>
  <c r="J406" i="15" s="1"/>
  <c r="I406" i="15"/>
  <c r="I405" i="15"/>
  <c r="J405" i="15" s="1" a="1"/>
  <c r="J405" i="15" s="1"/>
  <c r="J404" i="15" a="1"/>
  <c r="J404" i="15" s="1"/>
  <c r="I404" i="15"/>
  <c r="J403" i="15" a="1"/>
  <c r="J403" i="15" s="1"/>
  <c r="I403" i="15"/>
  <c r="J402" i="15" a="1"/>
  <c r="J402" i="15" s="1"/>
  <c r="I402" i="15"/>
  <c r="I401" i="15"/>
  <c r="J401" i="15" s="1" a="1"/>
  <c r="J401" i="15" s="1"/>
  <c r="J400" i="15" a="1"/>
  <c r="J400" i="15" s="1"/>
  <c r="I400" i="15"/>
  <c r="J399" i="15" a="1"/>
  <c r="J399" i="15" s="1"/>
  <c r="I399" i="15"/>
  <c r="J398" i="15" a="1"/>
  <c r="J398" i="15" s="1"/>
  <c r="I398" i="15"/>
  <c r="I397" i="15"/>
  <c r="J397" i="15" s="1" a="1"/>
  <c r="J397" i="15" s="1"/>
  <c r="J396" i="15" a="1"/>
  <c r="J396" i="15" s="1"/>
  <c r="I396" i="15"/>
  <c r="J395" i="15" a="1"/>
  <c r="J395" i="15" s="1"/>
  <c r="I395" i="15"/>
  <c r="J394" i="15" a="1"/>
  <c r="J394" i="15" s="1"/>
  <c r="I394" i="15"/>
  <c r="I393" i="15"/>
  <c r="J393" i="15" s="1" a="1"/>
  <c r="J393" i="15" s="1"/>
  <c r="J392" i="15" a="1"/>
  <c r="J392" i="15" s="1"/>
  <c r="I392" i="15"/>
  <c r="J391" i="15" a="1"/>
  <c r="J391" i="15" s="1"/>
  <c r="I391" i="15"/>
  <c r="J390" i="15" a="1"/>
  <c r="J390" i="15" s="1"/>
  <c r="I390" i="15"/>
  <c r="I389" i="15"/>
  <c r="J389" i="15" s="1" a="1"/>
  <c r="J389" i="15" s="1"/>
  <c r="J388" i="15" a="1"/>
  <c r="J388" i="15" s="1"/>
  <c r="I388" i="15"/>
  <c r="J387" i="15" a="1"/>
  <c r="J387" i="15" s="1"/>
  <c r="I387" i="15"/>
  <c r="J386" i="15" a="1"/>
  <c r="J386" i="15" s="1"/>
  <c r="I386" i="15"/>
  <c r="I385" i="15"/>
  <c r="J385" i="15" s="1" a="1"/>
  <c r="J385" i="15" s="1"/>
  <c r="J384" i="15" a="1"/>
  <c r="J384" i="15" s="1"/>
  <c r="I384" i="15"/>
  <c r="J383" i="15" a="1"/>
  <c r="J383" i="15" s="1"/>
  <c r="I383" i="15"/>
  <c r="J382" i="15" a="1"/>
  <c r="J382" i="15" s="1"/>
  <c r="I382" i="15"/>
  <c r="I381" i="15"/>
  <c r="J381" i="15" s="1" a="1"/>
  <c r="J381" i="15" s="1"/>
  <c r="J380" i="15" a="1"/>
  <c r="J380" i="15" s="1"/>
  <c r="I380" i="15"/>
  <c r="J379" i="15" a="1"/>
  <c r="J379" i="15" s="1"/>
  <c r="I379" i="15"/>
  <c r="J378" i="15" a="1"/>
  <c r="J378" i="15" s="1"/>
  <c r="I378" i="15"/>
  <c r="I377" i="15"/>
  <c r="J377" i="15" s="1" a="1"/>
  <c r="J377" i="15" s="1"/>
  <c r="J376" i="15" a="1"/>
  <c r="J376" i="15" s="1"/>
  <c r="I376" i="15"/>
  <c r="J375" i="15" a="1"/>
  <c r="J375" i="15" s="1"/>
  <c r="I375" i="15"/>
  <c r="J374" i="15" a="1"/>
  <c r="J374" i="15" s="1"/>
  <c r="I374" i="15"/>
  <c r="I373" i="15"/>
  <c r="J373" i="15" s="1" a="1"/>
  <c r="J373" i="15" s="1"/>
  <c r="J372" i="15" a="1"/>
  <c r="J372" i="15" s="1"/>
  <c r="I372" i="15"/>
  <c r="J371" i="15" a="1"/>
  <c r="J371" i="15" s="1"/>
  <c r="I371" i="15"/>
  <c r="J370" i="15" a="1"/>
  <c r="J370" i="15" s="1"/>
  <c r="I370" i="15"/>
  <c r="I369" i="15"/>
  <c r="J369" i="15" s="1" a="1"/>
  <c r="J369" i="15" s="1"/>
  <c r="J368" i="15" a="1"/>
  <c r="J368" i="15" s="1"/>
  <c r="I368" i="15"/>
  <c r="J367" i="15" a="1"/>
  <c r="J367" i="15" s="1"/>
  <c r="I367" i="15"/>
  <c r="J366" i="15" a="1"/>
  <c r="J366" i="15" s="1"/>
  <c r="I366" i="15"/>
  <c r="I365" i="15"/>
  <c r="J365" i="15" s="1" a="1"/>
  <c r="J365" i="15" s="1"/>
  <c r="J364" i="15" a="1"/>
  <c r="J364" i="15" s="1"/>
  <c r="I364" i="15"/>
  <c r="J363" i="15" a="1"/>
  <c r="J363" i="15" s="1"/>
  <c r="I363" i="15"/>
  <c r="J362" i="15" a="1"/>
  <c r="J362" i="15" s="1"/>
  <c r="I362" i="15"/>
  <c r="I361" i="15"/>
  <c r="J361" i="15" s="1" a="1"/>
  <c r="J361" i="15" s="1"/>
  <c r="J360" i="15" a="1"/>
  <c r="J360" i="15" s="1"/>
  <c r="I360" i="15"/>
  <c r="J359" i="15" a="1"/>
  <c r="J359" i="15" s="1"/>
  <c r="I359" i="15"/>
  <c r="J358" i="15" a="1"/>
  <c r="J358" i="15" s="1"/>
  <c r="I358" i="15"/>
  <c r="I357" i="15"/>
  <c r="J357" i="15" s="1" a="1"/>
  <c r="J357" i="15" s="1"/>
  <c r="J356" i="15" a="1"/>
  <c r="J356" i="15" s="1"/>
  <c r="I356" i="15"/>
  <c r="J355" i="15" a="1"/>
  <c r="J355" i="15" s="1"/>
  <c r="I355" i="15"/>
  <c r="J354" i="15" a="1"/>
  <c r="J354" i="15" s="1"/>
  <c r="I354" i="15"/>
  <c r="I353" i="15"/>
  <c r="J353" i="15" s="1" a="1"/>
  <c r="J353" i="15" s="1"/>
  <c r="J352" i="15" a="1"/>
  <c r="J352" i="15" s="1"/>
  <c r="I352" i="15"/>
  <c r="J351" i="15" a="1"/>
  <c r="J351" i="15" s="1"/>
  <c r="I351" i="15"/>
  <c r="J350" i="15" a="1"/>
  <c r="J350" i="15" s="1"/>
  <c r="I350" i="15"/>
  <c r="I349" i="15"/>
  <c r="J349" i="15" s="1" a="1"/>
  <c r="J349" i="15" s="1"/>
  <c r="J348" i="15" a="1"/>
  <c r="J348" i="15" s="1"/>
  <c r="I348" i="15"/>
  <c r="J347" i="15" a="1"/>
  <c r="J347" i="15" s="1"/>
  <c r="I347" i="15"/>
  <c r="J346" i="15" a="1"/>
  <c r="J346" i="15" s="1"/>
  <c r="I346" i="15"/>
  <c r="I345" i="15"/>
  <c r="J345" i="15" s="1" a="1"/>
  <c r="J345" i="15" s="1"/>
  <c r="J344" i="15" a="1"/>
  <c r="J344" i="15" s="1"/>
  <c r="I344" i="15"/>
  <c r="J343" i="15" a="1"/>
  <c r="J343" i="15" s="1"/>
  <c r="I343" i="15"/>
  <c r="J342" i="15" a="1"/>
  <c r="J342" i="15" s="1"/>
  <c r="I342" i="15"/>
  <c r="I341" i="15"/>
  <c r="J341" i="15" s="1" a="1"/>
  <c r="J341" i="15" s="1"/>
  <c r="J340" i="15" a="1"/>
  <c r="J340" i="15" s="1"/>
  <c r="I340" i="15"/>
  <c r="J339" i="15" a="1"/>
  <c r="J339" i="15" s="1"/>
  <c r="I339" i="15"/>
  <c r="J338" i="15" a="1"/>
  <c r="J338" i="15" s="1"/>
  <c r="I338" i="15"/>
  <c r="I337" i="15"/>
  <c r="J337" i="15" s="1" a="1"/>
  <c r="J337" i="15" s="1"/>
  <c r="J336" i="15" a="1"/>
  <c r="J336" i="15" s="1"/>
  <c r="I336" i="15"/>
  <c r="J335" i="15" a="1"/>
  <c r="J335" i="15" s="1"/>
  <c r="I335" i="15"/>
  <c r="J334" i="15" a="1"/>
  <c r="J334" i="15" s="1"/>
  <c r="I334" i="15"/>
  <c r="I333" i="15"/>
  <c r="J333" i="15" s="1" a="1"/>
  <c r="J333" i="15" s="1"/>
  <c r="J332" i="15" a="1"/>
  <c r="J332" i="15" s="1"/>
  <c r="I332" i="15"/>
  <c r="J331" i="15" a="1"/>
  <c r="J331" i="15" s="1"/>
  <c r="I331" i="15"/>
  <c r="J330" i="15" a="1"/>
  <c r="J330" i="15" s="1"/>
  <c r="I330" i="15"/>
  <c r="I329" i="15"/>
  <c r="J329" i="15" s="1" a="1"/>
  <c r="J329" i="15" s="1"/>
  <c r="J328" i="15" a="1"/>
  <c r="J328" i="15" s="1"/>
  <c r="I328" i="15"/>
  <c r="J327" i="15" a="1"/>
  <c r="J327" i="15" s="1"/>
  <c r="I327" i="15"/>
  <c r="J326" i="15" a="1"/>
  <c r="J326" i="15" s="1"/>
  <c r="I326" i="15"/>
  <c r="I325" i="15"/>
  <c r="J325" i="15" s="1" a="1"/>
  <c r="J325" i="15" s="1"/>
  <c r="J324" i="15" a="1"/>
  <c r="J324" i="15" s="1"/>
  <c r="I324" i="15"/>
  <c r="J323" i="15" a="1"/>
  <c r="J323" i="15" s="1"/>
  <c r="I323" i="15"/>
  <c r="J322" i="15" a="1"/>
  <c r="J322" i="15" s="1"/>
  <c r="I322" i="15"/>
  <c r="I321" i="15"/>
  <c r="J321" i="15" s="1" a="1"/>
  <c r="J321" i="15" s="1"/>
  <c r="J320" i="15" a="1"/>
  <c r="J320" i="15" s="1"/>
  <c r="I320" i="15"/>
  <c r="J319" i="15" a="1"/>
  <c r="J319" i="15" s="1"/>
  <c r="I319" i="15"/>
  <c r="J318" i="15" a="1"/>
  <c r="J318" i="15" s="1"/>
  <c r="I318" i="15"/>
  <c r="I317" i="15"/>
  <c r="J317" i="15" s="1" a="1"/>
  <c r="J317" i="15" s="1"/>
  <c r="J316" i="15" a="1"/>
  <c r="J316" i="15" s="1"/>
  <c r="I316" i="15"/>
  <c r="J315" i="15" a="1"/>
  <c r="J315" i="15" s="1"/>
  <c r="I315" i="15"/>
  <c r="I314" i="15"/>
  <c r="J314" i="15" s="1" a="1"/>
  <c r="J314" i="15" s="1"/>
  <c r="I313" i="15"/>
  <c r="J313" i="15" s="1" a="1"/>
  <c r="J313" i="15" s="1"/>
  <c r="J312" i="15" a="1"/>
  <c r="J312" i="15" s="1"/>
  <c r="I312" i="15"/>
  <c r="J311" i="15" a="1"/>
  <c r="J311" i="15" s="1"/>
  <c r="I311" i="15"/>
  <c r="J310" i="15" a="1"/>
  <c r="J310" i="15" s="1"/>
  <c r="I310" i="15"/>
  <c r="I309" i="15"/>
  <c r="J309" i="15" s="1" a="1"/>
  <c r="J309" i="15" s="1"/>
  <c r="J308" i="15" a="1"/>
  <c r="J308" i="15" s="1"/>
  <c r="I308" i="15"/>
  <c r="I307" i="15"/>
  <c r="J307" i="15" s="1" a="1"/>
  <c r="J307" i="15" s="1"/>
  <c r="I306" i="15"/>
  <c r="J306" i="15" s="1" a="1"/>
  <c r="J306" i="15" s="1"/>
  <c r="I305" i="15"/>
  <c r="J305" i="15" s="1" a="1"/>
  <c r="J305" i="15" s="1"/>
  <c r="J304" i="15" a="1"/>
  <c r="J304" i="15" s="1"/>
  <c r="I304" i="15"/>
  <c r="I303" i="15"/>
  <c r="J303" i="15" s="1" a="1"/>
  <c r="J303" i="15" s="1"/>
  <c r="J302" i="15" a="1"/>
  <c r="J302" i="15" s="1"/>
  <c r="I302" i="15"/>
  <c r="I301" i="15"/>
  <c r="J301" i="15" s="1" a="1"/>
  <c r="J301" i="15" s="1"/>
  <c r="J300" i="15" a="1"/>
  <c r="J300" i="15" s="1"/>
  <c r="I300" i="15"/>
  <c r="I299" i="15"/>
  <c r="J299" i="15" s="1" a="1"/>
  <c r="J299" i="15" s="1"/>
  <c r="J298" i="15" a="1"/>
  <c r="J298" i="15" s="1"/>
  <c r="I298" i="15"/>
  <c r="I297" i="15"/>
  <c r="J297" i="15" s="1" a="1"/>
  <c r="J297" i="15" s="1"/>
  <c r="J296" i="15" a="1"/>
  <c r="J296" i="15" s="1"/>
  <c r="I296" i="15"/>
  <c r="I295" i="15"/>
  <c r="J295" i="15" s="1" a="1"/>
  <c r="J295" i="15" s="1"/>
  <c r="J294" i="15" a="1"/>
  <c r="J294" i="15" s="1"/>
  <c r="I294" i="15"/>
  <c r="I293" i="15"/>
  <c r="J293" i="15" s="1" a="1"/>
  <c r="J293" i="15" s="1"/>
  <c r="J292" i="15" a="1"/>
  <c r="J292" i="15" s="1"/>
  <c r="I292" i="15"/>
  <c r="I291" i="15"/>
  <c r="J291" i="15" s="1" a="1"/>
  <c r="J291" i="15" s="1"/>
  <c r="J290" i="15" a="1"/>
  <c r="J290" i="15" s="1"/>
  <c r="I290" i="15"/>
  <c r="I289" i="15"/>
  <c r="J289" i="15" s="1" a="1"/>
  <c r="J289" i="15" s="1"/>
  <c r="J288" i="15" a="1"/>
  <c r="J288" i="15" s="1"/>
  <c r="I288" i="15"/>
  <c r="I287" i="15"/>
  <c r="J287" i="15" s="1" a="1"/>
  <c r="J287" i="15" s="1"/>
  <c r="J286" i="15" a="1"/>
  <c r="J286" i="15" s="1"/>
  <c r="I286" i="15"/>
  <c r="I285" i="15"/>
  <c r="J285" i="15" s="1" a="1"/>
  <c r="J285" i="15" s="1"/>
  <c r="J284" i="15" a="1"/>
  <c r="J284" i="15" s="1"/>
  <c r="I284" i="15"/>
  <c r="I283" i="15"/>
  <c r="J283" i="15" s="1" a="1"/>
  <c r="J283" i="15" s="1"/>
  <c r="J282" i="15" a="1"/>
  <c r="J282" i="15" s="1"/>
  <c r="I282" i="15"/>
  <c r="I281" i="15"/>
  <c r="J281" i="15" s="1" a="1"/>
  <c r="J281" i="15" s="1"/>
  <c r="J280" i="15" a="1"/>
  <c r="J280" i="15" s="1"/>
  <c r="I280" i="15"/>
  <c r="I279" i="15"/>
  <c r="J279" i="15" s="1" a="1"/>
  <c r="J279" i="15" s="1"/>
  <c r="J278" i="15" a="1"/>
  <c r="J278" i="15" s="1"/>
  <c r="I278" i="15"/>
  <c r="I277" i="15"/>
  <c r="J277" i="15" s="1" a="1"/>
  <c r="J277" i="15" s="1"/>
  <c r="J276" i="15" a="1"/>
  <c r="J276" i="15" s="1"/>
  <c r="I276" i="15"/>
  <c r="I275" i="15"/>
  <c r="J275" i="15" s="1" a="1"/>
  <c r="J275" i="15" s="1"/>
  <c r="J274" i="15" a="1"/>
  <c r="J274" i="15" s="1"/>
  <c r="I274" i="15"/>
  <c r="I273" i="15"/>
  <c r="J273" i="15" s="1" a="1"/>
  <c r="J273" i="15" s="1"/>
  <c r="J272" i="15" a="1"/>
  <c r="J272" i="15" s="1"/>
  <c r="I272" i="15"/>
  <c r="I271" i="15"/>
  <c r="J271" i="15" s="1" a="1"/>
  <c r="J271" i="15" s="1"/>
  <c r="J270" i="15" a="1"/>
  <c r="J270" i="15" s="1"/>
  <c r="I270" i="15"/>
  <c r="I269" i="15"/>
  <c r="J269" i="15" s="1" a="1"/>
  <c r="J269" i="15" s="1"/>
  <c r="J268" i="15" a="1"/>
  <c r="J268" i="15" s="1"/>
  <c r="I268" i="15"/>
  <c r="I267" i="15"/>
  <c r="J267" i="15" s="1" a="1"/>
  <c r="J267" i="15" s="1"/>
  <c r="J266" i="15" a="1"/>
  <c r="J266" i="15" s="1"/>
  <c r="I266" i="15"/>
  <c r="I265" i="15"/>
  <c r="J265" i="15" s="1" a="1"/>
  <c r="J265" i="15" s="1"/>
  <c r="J264" i="15" a="1"/>
  <c r="J264" i="15" s="1"/>
  <c r="I264" i="15"/>
  <c r="I263" i="15"/>
  <c r="J263" i="15" s="1" a="1"/>
  <c r="J263" i="15" s="1"/>
  <c r="J262" i="15" a="1"/>
  <c r="J262" i="15" s="1"/>
  <c r="I262" i="15"/>
  <c r="I261" i="15"/>
  <c r="J261" i="15" s="1" a="1"/>
  <c r="J261" i="15" s="1"/>
  <c r="J260" i="15" a="1"/>
  <c r="J260" i="15" s="1"/>
  <c r="I260" i="15"/>
  <c r="I259" i="15"/>
  <c r="J259" i="15" s="1" a="1"/>
  <c r="J259" i="15" s="1"/>
  <c r="J258" i="15" a="1"/>
  <c r="J258" i="15" s="1"/>
  <c r="I258" i="15"/>
  <c r="I257" i="15"/>
  <c r="J257" i="15" s="1" a="1"/>
  <c r="J257" i="15" s="1"/>
  <c r="J256" i="15" a="1"/>
  <c r="J256" i="15" s="1"/>
  <c r="I256" i="15"/>
  <c r="I255" i="15"/>
  <c r="J255" i="15" s="1" a="1"/>
  <c r="J255" i="15" s="1"/>
  <c r="J254" i="15" a="1"/>
  <c r="J254" i="15" s="1"/>
  <c r="I254" i="15"/>
  <c r="I253" i="15"/>
  <c r="J253" i="15" s="1" a="1"/>
  <c r="J253" i="15" s="1"/>
  <c r="J252" i="15" a="1"/>
  <c r="J252" i="15" s="1"/>
  <c r="I252" i="15"/>
  <c r="I251" i="15"/>
  <c r="J251" i="15" s="1" a="1"/>
  <c r="J251" i="15" s="1"/>
  <c r="J250" i="15" a="1"/>
  <c r="J250" i="15" s="1"/>
  <c r="I250" i="15"/>
  <c r="I249" i="15"/>
  <c r="J249" i="15" s="1" a="1"/>
  <c r="J249" i="15" s="1"/>
  <c r="J248" i="15" a="1"/>
  <c r="J248" i="15" s="1"/>
  <c r="I248" i="15"/>
  <c r="I247" i="15"/>
  <c r="J247" i="15" s="1" a="1"/>
  <c r="J247" i="15" s="1"/>
  <c r="J246" i="15" a="1"/>
  <c r="J246" i="15" s="1"/>
  <c r="I246" i="15"/>
  <c r="I245" i="15"/>
  <c r="J245" i="15" s="1" a="1"/>
  <c r="J245" i="15" s="1"/>
  <c r="J244" i="15" a="1"/>
  <c r="J244" i="15" s="1"/>
  <c r="I244" i="15"/>
  <c r="I243" i="15"/>
  <c r="J243" i="15" s="1" a="1"/>
  <c r="J243" i="15" s="1"/>
  <c r="J242" i="15" a="1"/>
  <c r="J242" i="15" s="1"/>
  <c r="I242" i="15"/>
  <c r="I241" i="15"/>
  <c r="J241" i="15" s="1" a="1"/>
  <c r="J241" i="15" s="1"/>
  <c r="J240" i="15" a="1"/>
  <c r="J240" i="15" s="1"/>
  <c r="I240" i="15"/>
  <c r="I239" i="15"/>
  <c r="J239" i="15" s="1" a="1"/>
  <c r="J239" i="15" s="1"/>
  <c r="J238" i="15" a="1"/>
  <c r="J238" i="15" s="1"/>
  <c r="I238" i="15"/>
  <c r="I237" i="15"/>
  <c r="J237" i="15" s="1" a="1"/>
  <c r="J237" i="15" s="1"/>
  <c r="J236" i="15" a="1"/>
  <c r="J236" i="15" s="1"/>
  <c r="I236" i="15"/>
  <c r="I235" i="15"/>
  <c r="J235" i="15" s="1" a="1"/>
  <c r="J235" i="15" s="1"/>
  <c r="J234" i="15" a="1"/>
  <c r="J234" i="15" s="1"/>
  <c r="I234" i="15"/>
  <c r="I233" i="15"/>
  <c r="J233" i="15" s="1" a="1"/>
  <c r="J233" i="15" s="1"/>
  <c r="J232" i="15" a="1"/>
  <c r="J232" i="15" s="1"/>
  <c r="I232" i="15"/>
  <c r="I231" i="15"/>
  <c r="J231" i="15" s="1" a="1"/>
  <c r="J231" i="15" s="1"/>
  <c r="J230" i="15" a="1"/>
  <c r="J230" i="15" s="1"/>
  <c r="I230" i="15"/>
  <c r="I229" i="15"/>
  <c r="J229" i="15" s="1" a="1"/>
  <c r="J229" i="15" s="1"/>
  <c r="J228" i="15" a="1"/>
  <c r="J228" i="15" s="1"/>
  <c r="I228" i="15"/>
  <c r="I227" i="15"/>
  <c r="J227" i="15" s="1" a="1"/>
  <c r="J227" i="15" s="1"/>
  <c r="J226" i="15" a="1"/>
  <c r="J226" i="15" s="1"/>
  <c r="I226" i="15"/>
  <c r="I225" i="15"/>
  <c r="J225" i="15" s="1" a="1"/>
  <c r="J225" i="15" s="1"/>
  <c r="J224" i="15" a="1"/>
  <c r="J224" i="15" s="1"/>
  <c r="I224" i="15"/>
  <c r="I223" i="15"/>
  <c r="J223" i="15" s="1" a="1"/>
  <c r="J223" i="15" s="1"/>
  <c r="J222" i="15" a="1"/>
  <c r="J222" i="15" s="1"/>
  <c r="I222" i="15"/>
  <c r="I221" i="15"/>
  <c r="J221" i="15" s="1" a="1"/>
  <c r="J221" i="15" s="1"/>
  <c r="J220" i="15" a="1"/>
  <c r="J220" i="15" s="1"/>
  <c r="I220" i="15"/>
  <c r="I219" i="15"/>
  <c r="J219" i="15" s="1" a="1"/>
  <c r="J219" i="15" s="1"/>
  <c r="J218" i="15" a="1"/>
  <c r="J218" i="15" s="1"/>
  <c r="I218" i="15"/>
  <c r="I217" i="15"/>
  <c r="J217" i="15" s="1" a="1"/>
  <c r="J217" i="15" s="1"/>
  <c r="J216" i="15" a="1"/>
  <c r="J216" i="15" s="1"/>
  <c r="I216" i="15"/>
  <c r="I215" i="15"/>
  <c r="J215" i="15" s="1" a="1"/>
  <c r="J215" i="15" s="1"/>
  <c r="J214" i="15" a="1"/>
  <c r="J214" i="15" s="1"/>
  <c r="I214" i="15"/>
  <c r="I213" i="15"/>
  <c r="J213" i="15" s="1" a="1"/>
  <c r="J213" i="15" s="1"/>
  <c r="J212" i="15" a="1"/>
  <c r="J212" i="15" s="1"/>
  <c r="I212" i="15"/>
  <c r="I211" i="15"/>
  <c r="J211" i="15" s="1" a="1"/>
  <c r="J211" i="15" s="1"/>
  <c r="J210" i="15" a="1"/>
  <c r="J210" i="15" s="1"/>
  <c r="I210" i="15"/>
  <c r="I209" i="15"/>
  <c r="J209" i="15" s="1" a="1"/>
  <c r="J209" i="15" s="1"/>
  <c r="J208" i="15" a="1"/>
  <c r="J208" i="15" s="1"/>
  <c r="I208" i="15"/>
  <c r="I207" i="15"/>
  <c r="J207" i="15" s="1" a="1"/>
  <c r="J207" i="15" s="1"/>
  <c r="J206" i="15" a="1"/>
  <c r="J206" i="15" s="1"/>
  <c r="I206" i="15"/>
  <c r="I205" i="15"/>
  <c r="J205" i="15" s="1" a="1"/>
  <c r="J205" i="15" s="1"/>
  <c r="J204" i="15" a="1"/>
  <c r="J204" i="15" s="1"/>
  <c r="I204" i="15"/>
  <c r="I203" i="15"/>
  <c r="J203" i="15" s="1" a="1"/>
  <c r="J203" i="15" s="1"/>
  <c r="J202" i="15" a="1"/>
  <c r="J202" i="15" s="1"/>
  <c r="I202" i="15"/>
  <c r="I201" i="15"/>
  <c r="J201" i="15" s="1" a="1"/>
  <c r="J201" i="15" s="1"/>
  <c r="J200" i="15" a="1"/>
  <c r="J200" i="15" s="1"/>
  <c r="I200" i="15"/>
  <c r="I199" i="15"/>
  <c r="J199" i="15" s="1" a="1"/>
  <c r="J199" i="15" s="1"/>
  <c r="J198" i="15" a="1"/>
  <c r="J198" i="15" s="1"/>
  <c r="I198" i="15"/>
  <c r="I197" i="15"/>
  <c r="J197" i="15" s="1" a="1"/>
  <c r="J197" i="15" s="1"/>
  <c r="J196" i="15" a="1"/>
  <c r="J196" i="15" s="1"/>
  <c r="I196" i="15"/>
  <c r="I195" i="15"/>
  <c r="J195" i="15" s="1" a="1"/>
  <c r="J195" i="15" s="1"/>
  <c r="J194" i="15" a="1"/>
  <c r="J194" i="15" s="1"/>
  <c r="I194" i="15"/>
  <c r="I193" i="15"/>
  <c r="J193" i="15" s="1" a="1"/>
  <c r="J193" i="15" s="1"/>
  <c r="J192" i="15" a="1"/>
  <c r="J192" i="15" s="1"/>
  <c r="I192" i="15"/>
  <c r="I191" i="15"/>
  <c r="J191" i="15" s="1" a="1"/>
  <c r="J191" i="15" s="1"/>
  <c r="J190" i="15" a="1"/>
  <c r="J190" i="15" s="1"/>
  <c r="I190" i="15"/>
  <c r="I189" i="15"/>
  <c r="J189" i="15" s="1" a="1"/>
  <c r="J189" i="15" s="1"/>
  <c r="J188" i="15" a="1"/>
  <c r="J188" i="15" s="1"/>
  <c r="I188" i="15"/>
  <c r="I187" i="15"/>
  <c r="J187" i="15" s="1" a="1"/>
  <c r="J187" i="15" s="1"/>
  <c r="J186" i="15" a="1"/>
  <c r="J186" i="15" s="1"/>
  <c r="I186" i="15"/>
  <c r="I185" i="15"/>
  <c r="J185" i="15" s="1" a="1"/>
  <c r="J185" i="15" s="1"/>
  <c r="J184" i="15" a="1"/>
  <c r="J184" i="15" s="1"/>
  <c r="I184" i="15"/>
  <c r="I183" i="15"/>
  <c r="J183" i="15" s="1" a="1"/>
  <c r="J183" i="15" s="1"/>
  <c r="J182" i="15" a="1"/>
  <c r="J182" i="15" s="1"/>
  <c r="I182" i="15"/>
  <c r="I181" i="15"/>
  <c r="J181" i="15" s="1" a="1"/>
  <c r="J181" i="15" s="1"/>
  <c r="J180" i="15" a="1"/>
  <c r="J180" i="15" s="1"/>
  <c r="I180" i="15"/>
  <c r="I179" i="15"/>
  <c r="J179" i="15" s="1" a="1"/>
  <c r="J179" i="15" s="1"/>
  <c r="J178" i="15" a="1"/>
  <c r="J178" i="15" s="1"/>
  <c r="I178" i="15"/>
  <c r="I177" i="15"/>
  <c r="J177" i="15" s="1" a="1"/>
  <c r="J177" i="15" s="1"/>
  <c r="J176" i="15" a="1"/>
  <c r="J176" i="15" s="1"/>
  <c r="I176" i="15"/>
  <c r="I175" i="15"/>
  <c r="J175" i="15" s="1" a="1"/>
  <c r="J175" i="15" s="1"/>
  <c r="J174" i="15" a="1"/>
  <c r="J174" i="15" s="1"/>
  <c r="I174" i="15"/>
  <c r="I173" i="15"/>
  <c r="J173" i="15" s="1" a="1"/>
  <c r="J173" i="15" s="1"/>
  <c r="J172" i="15" a="1"/>
  <c r="J172" i="15" s="1"/>
  <c r="I172" i="15"/>
  <c r="I171" i="15"/>
  <c r="J171" i="15" s="1" a="1"/>
  <c r="J171" i="15" s="1"/>
  <c r="J170" i="15" a="1"/>
  <c r="J170" i="15" s="1"/>
  <c r="I170" i="15"/>
  <c r="I169" i="15"/>
  <c r="J169" i="15" s="1" a="1"/>
  <c r="J169" i="15" s="1"/>
  <c r="J168" i="15" a="1"/>
  <c r="J168" i="15" s="1"/>
  <c r="I168" i="15"/>
  <c r="I167" i="15"/>
  <c r="J167" i="15" s="1" a="1"/>
  <c r="J167" i="15" s="1"/>
  <c r="J166" i="15" a="1"/>
  <c r="J166" i="15" s="1"/>
  <c r="I166" i="15"/>
  <c r="I165" i="15"/>
  <c r="J165" i="15" s="1" a="1"/>
  <c r="J165" i="15" s="1"/>
  <c r="J164" i="15" a="1"/>
  <c r="J164" i="15" s="1"/>
  <c r="I164" i="15"/>
  <c r="I163" i="15"/>
  <c r="J163" i="15" s="1" a="1"/>
  <c r="J163" i="15" s="1"/>
  <c r="J162" i="15" a="1"/>
  <c r="J162" i="15" s="1"/>
  <c r="I162" i="15"/>
  <c r="I161" i="15"/>
  <c r="J161" i="15" s="1" a="1"/>
  <c r="J161" i="15" s="1"/>
  <c r="J160" i="15" a="1"/>
  <c r="J160" i="15" s="1"/>
  <c r="I160" i="15"/>
  <c r="I159" i="15"/>
  <c r="J159" i="15" s="1" a="1"/>
  <c r="J159" i="15" s="1"/>
  <c r="J158" i="15" a="1"/>
  <c r="J158" i="15" s="1"/>
  <c r="I158" i="15"/>
  <c r="I157" i="15"/>
  <c r="J157" i="15" s="1" a="1"/>
  <c r="J157" i="15" s="1"/>
  <c r="J156" i="15" a="1"/>
  <c r="J156" i="15" s="1"/>
  <c r="I156" i="15"/>
  <c r="I155" i="15"/>
  <c r="J155" i="15" s="1" a="1"/>
  <c r="J155" i="15" s="1"/>
  <c r="J154" i="15" a="1"/>
  <c r="J154" i="15" s="1"/>
  <c r="I154" i="15"/>
  <c r="I153" i="15"/>
  <c r="J153" i="15" s="1" a="1"/>
  <c r="J153" i="15" s="1"/>
  <c r="J152" i="15" a="1"/>
  <c r="J152" i="15" s="1"/>
  <c r="I152" i="15"/>
  <c r="I151" i="15"/>
  <c r="J151" i="15" s="1" a="1"/>
  <c r="J151" i="15" s="1"/>
  <c r="J150" i="15" a="1"/>
  <c r="J150" i="15" s="1"/>
  <c r="I150" i="15"/>
  <c r="I149" i="15"/>
  <c r="J149" i="15" s="1" a="1"/>
  <c r="J149" i="15" s="1"/>
  <c r="J148" i="15" a="1"/>
  <c r="J148" i="15" s="1"/>
  <c r="I148" i="15"/>
  <c r="I147" i="15"/>
  <c r="J147" i="15" s="1" a="1"/>
  <c r="J147" i="15" s="1"/>
  <c r="J146" i="15" a="1"/>
  <c r="J146" i="15" s="1"/>
  <c r="I146" i="15"/>
  <c r="I145" i="15"/>
  <c r="J145" i="15" s="1" a="1"/>
  <c r="J145" i="15" s="1"/>
  <c r="J144" i="15" a="1"/>
  <c r="J144" i="15" s="1"/>
  <c r="I144" i="15"/>
  <c r="I143" i="15"/>
  <c r="J143" i="15" s="1" a="1"/>
  <c r="J143" i="15" s="1"/>
  <c r="J142" i="15" a="1"/>
  <c r="J142" i="15" s="1"/>
  <c r="I142" i="15"/>
  <c r="I141" i="15"/>
  <c r="J141" i="15" s="1" a="1"/>
  <c r="J141" i="15" s="1"/>
  <c r="J140" i="15" a="1"/>
  <c r="J140" i="15" s="1"/>
  <c r="I140" i="15"/>
  <c r="I139" i="15"/>
  <c r="J139" i="15" s="1" a="1"/>
  <c r="J139" i="15" s="1"/>
  <c r="J138" i="15" a="1"/>
  <c r="J138" i="15" s="1"/>
  <c r="I138" i="15"/>
  <c r="I137" i="15"/>
  <c r="J137" i="15" s="1" a="1"/>
  <c r="J137" i="15" s="1"/>
  <c r="J136" i="15" a="1"/>
  <c r="J136" i="15" s="1"/>
  <c r="I136" i="15"/>
  <c r="I135" i="15"/>
  <c r="J135" i="15" s="1" a="1"/>
  <c r="J135" i="15" s="1"/>
  <c r="J134" i="15" a="1"/>
  <c r="J134" i="15" s="1"/>
  <c r="I134" i="15"/>
  <c r="I133" i="15"/>
  <c r="J133" i="15" s="1" a="1"/>
  <c r="J133" i="15" s="1"/>
  <c r="J132" i="15" a="1"/>
  <c r="J132" i="15" s="1"/>
  <c r="I132" i="15"/>
  <c r="I131" i="15"/>
  <c r="J131" i="15" s="1" a="1"/>
  <c r="J131" i="15" s="1"/>
  <c r="J130" i="15" a="1"/>
  <c r="J130" i="15" s="1"/>
  <c r="I130" i="15"/>
  <c r="I129" i="15"/>
  <c r="J129" i="15" s="1" a="1"/>
  <c r="J129" i="15" s="1"/>
  <c r="J128" i="15" a="1"/>
  <c r="J128" i="15" s="1"/>
  <c r="I128" i="15"/>
  <c r="I127" i="15"/>
  <c r="J127" i="15" s="1" a="1"/>
  <c r="J127" i="15" s="1"/>
  <c r="J126" i="15" a="1"/>
  <c r="J126" i="15" s="1"/>
  <c r="I126" i="15"/>
  <c r="I125" i="15"/>
  <c r="J125" i="15" s="1" a="1"/>
  <c r="J125" i="15" s="1"/>
  <c r="J124" i="15" a="1"/>
  <c r="J124" i="15" s="1"/>
  <c r="I124" i="15"/>
  <c r="I123" i="15"/>
  <c r="J123" i="15" s="1" a="1"/>
  <c r="J123" i="15" s="1"/>
  <c r="J122" i="15" a="1"/>
  <c r="J122" i="15" s="1"/>
  <c r="I122" i="15"/>
  <c r="I121" i="15"/>
  <c r="J121" i="15" s="1" a="1"/>
  <c r="J121" i="15" s="1"/>
  <c r="J120" i="15" a="1"/>
  <c r="J120" i="15" s="1"/>
  <c r="I120" i="15"/>
  <c r="I119" i="15"/>
  <c r="J119" i="15" s="1" a="1"/>
  <c r="J119" i="15" s="1"/>
  <c r="J118" i="15" a="1"/>
  <c r="J118" i="15" s="1"/>
  <c r="I118" i="15"/>
  <c r="I117" i="15"/>
  <c r="J117" i="15" s="1" a="1"/>
  <c r="J117" i="15" s="1"/>
  <c r="J116" i="15" a="1"/>
  <c r="J116" i="15" s="1"/>
  <c r="I116" i="15"/>
  <c r="I115" i="15"/>
  <c r="J115" i="15" s="1" a="1"/>
  <c r="J115" i="15" s="1"/>
  <c r="J114" i="15" a="1"/>
  <c r="J114" i="15" s="1"/>
  <c r="I114" i="15"/>
  <c r="I113" i="15"/>
  <c r="J113" i="15" s="1" a="1"/>
  <c r="J113" i="15" s="1"/>
  <c r="J112" i="15" a="1"/>
  <c r="J112" i="15" s="1"/>
  <c r="I112" i="15"/>
  <c r="I111" i="15"/>
  <c r="J111" i="15" s="1" a="1"/>
  <c r="J111" i="15" s="1"/>
  <c r="J110" i="15" a="1"/>
  <c r="J110" i="15" s="1"/>
  <c r="I110" i="15"/>
  <c r="I109" i="15"/>
  <c r="J109" i="15" s="1" a="1"/>
  <c r="J109" i="15" s="1"/>
  <c r="J108" i="15" a="1"/>
  <c r="J108" i="15" s="1"/>
  <c r="I108" i="15"/>
  <c r="I107" i="15"/>
  <c r="J107" i="15" s="1" a="1"/>
  <c r="J107" i="15" s="1"/>
  <c r="J106" i="15" a="1"/>
  <c r="J106" i="15" s="1"/>
  <c r="I106" i="15"/>
  <c r="I105" i="15"/>
  <c r="J105" i="15" s="1" a="1"/>
  <c r="J105" i="15" s="1"/>
  <c r="J104" i="15" a="1"/>
  <c r="J104" i="15" s="1"/>
  <c r="I104" i="15"/>
  <c r="I103" i="15"/>
  <c r="J103" i="15" s="1" a="1"/>
  <c r="J103" i="15" s="1"/>
  <c r="J102" i="15" a="1"/>
  <c r="J102" i="15" s="1"/>
  <c r="I102" i="15"/>
  <c r="I101" i="15"/>
  <c r="J101" i="15" s="1" a="1"/>
  <c r="J101" i="15" s="1"/>
  <c r="J100" i="15" a="1"/>
  <c r="J100" i="15" s="1"/>
  <c r="I100" i="15"/>
  <c r="I99" i="15"/>
  <c r="J99" i="15" s="1" a="1"/>
  <c r="J99" i="15" s="1"/>
  <c r="J98" i="15" a="1"/>
  <c r="J98" i="15" s="1"/>
  <c r="I98" i="15"/>
  <c r="I97" i="15"/>
  <c r="J97" i="15" s="1" a="1"/>
  <c r="J97" i="15" s="1"/>
  <c r="J96" i="15" a="1"/>
  <c r="J96" i="15" s="1"/>
  <c r="I96" i="15"/>
  <c r="I95" i="15"/>
  <c r="J95" i="15" s="1" a="1"/>
  <c r="J95" i="15" s="1"/>
  <c r="J94" i="15" a="1"/>
  <c r="J94" i="15" s="1"/>
  <c r="I94" i="15"/>
  <c r="I93" i="15"/>
  <c r="J93" i="15" s="1" a="1"/>
  <c r="J93" i="15" s="1"/>
  <c r="J92" i="15" a="1"/>
  <c r="J92" i="15" s="1"/>
  <c r="I92" i="15"/>
  <c r="I91" i="15"/>
  <c r="J91" i="15" s="1" a="1"/>
  <c r="J91" i="15" s="1"/>
  <c r="J90" i="15" a="1"/>
  <c r="J90" i="15" s="1"/>
  <c r="I90" i="15"/>
  <c r="I89" i="15"/>
  <c r="J89" i="15" s="1" a="1"/>
  <c r="J89" i="15" s="1"/>
  <c r="J88" i="15" a="1"/>
  <c r="J88" i="15" s="1"/>
  <c r="I88" i="15"/>
  <c r="I87" i="15"/>
  <c r="J87" i="15" s="1" a="1"/>
  <c r="J87" i="15" s="1"/>
  <c r="J86" i="15" a="1"/>
  <c r="J86" i="15" s="1"/>
  <c r="I86" i="15"/>
  <c r="I85" i="15"/>
  <c r="J85" i="15" s="1" a="1"/>
  <c r="J85" i="15" s="1"/>
  <c r="J84" i="15" a="1"/>
  <c r="J84" i="15" s="1"/>
  <c r="I84" i="15"/>
  <c r="I83" i="15"/>
  <c r="J83" i="15" s="1" a="1"/>
  <c r="J83" i="15" s="1"/>
  <c r="J82" i="15" a="1"/>
  <c r="J82" i="15" s="1"/>
  <c r="I82" i="15"/>
  <c r="I81" i="15"/>
  <c r="J81" i="15" s="1" a="1"/>
  <c r="J81" i="15" s="1"/>
  <c r="J80" i="15" a="1"/>
  <c r="J80" i="15" s="1"/>
  <c r="I80" i="15"/>
  <c r="I79" i="15"/>
  <c r="J79" i="15" s="1" a="1"/>
  <c r="J79" i="15" s="1"/>
  <c r="J78" i="15" a="1"/>
  <c r="J78" i="15" s="1"/>
  <c r="I78" i="15"/>
  <c r="I77" i="15"/>
  <c r="J77" i="15" s="1" a="1"/>
  <c r="J77" i="15" s="1"/>
  <c r="J76" i="15" a="1"/>
  <c r="J76" i="15" s="1"/>
  <c r="I76" i="15"/>
  <c r="I75" i="15"/>
  <c r="J75" i="15" s="1" a="1"/>
  <c r="J75" i="15" s="1"/>
  <c r="J74" i="15" a="1"/>
  <c r="J74" i="15" s="1"/>
  <c r="I74" i="15"/>
  <c r="I73" i="15"/>
  <c r="J73" i="15" s="1" a="1"/>
  <c r="J73" i="15" s="1"/>
  <c r="J72" i="15" a="1"/>
  <c r="J72" i="15" s="1"/>
  <c r="I72" i="15"/>
  <c r="I71" i="15"/>
  <c r="J71" i="15" s="1" a="1"/>
  <c r="J71" i="15" s="1"/>
  <c r="J70" i="15" a="1"/>
  <c r="J70" i="15" s="1"/>
  <c r="I70" i="15"/>
  <c r="I69" i="15"/>
  <c r="J69" i="15" s="1" a="1"/>
  <c r="J69" i="15" s="1"/>
  <c r="J68" i="15" a="1"/>
  <c r="J68" i="15" s="1"/>
  <c r="I68" i="15"/>
  <c r="I67" i="15"/>
  <c r="J67" i="15" s="1" a="1"/>
  <c r="J67" i="15" s="1"/>
  <c r="J66" i="15" a="1"/>
  <c r="J66" i="15" s="1"/>
  <c r="I66" i="15"/>
  <c r="I65" i="15"/>
  <c r="J65" i="15" s="1" a="1"/>
  <c r="J65" i="15" s="1"/>
  <c r="J64" i="15" a="1"/>
  <c r="J64" i="15" s="1"/>
  <c r="I64" i="15"/>
  <c r="I63" i="15"/>
  <c r="J63" i="15" s="1" a="1"/>
  <c r="J63" i="15" s="1"/>
  <c r="J62" i="15" a="1"/>
  <c r="J62" i="15" s="1"/>
  <c r="I62" i="15"/>
  <c r="I61" i="15"/>
  <c r="J61" i="15" s="1" a="1"/>
  <c r="J61" i="15" s="1"/>
  <c r="J60" i="15" a="1"/>
  <c r="J60" i="15" s="1"/>
  <c r="I60" i="15"/>
  <c r="I59" i="15"/>
  <c r="J59" i="15" s="1" a="1"/>
  <c r="J59" i="15" s="1"/>
  <c r="J58" i="15" a="1"/>
  <c r="J58" i="15" s="1"/>
  <c r="I58" i="15"/>
  <c r="I57" i="15"/>
  <c r="J57" i="15" s="1" a="1"/>
  <c r="J57" i="15" s="1"/>
  <c r="J56" i="15" a="1"/>
  <c r="J56" i="15" s="1"/>
  <c r="I56" i="15"/>
  <c r="I55" i="15"/>
  <c r="J55" i="15" s="1" a="1"/>
  <c r="J55" i="15" s="1"/>
  <c r="J54" i="15" a="1"/>
  <c r="J54" i="15" s="1"/>
  <c r="I54" i="15"/>
  <c r="I53" i="15"/>
  <c r="J53" i="15" s="1" a="1"/>
  <c r="J53" i="15" s="1"/>
  <c r="J52" i="15" a="1"/>
  <c r="J52" i="15" s="1"/>
  <c r="I52" i="15"/>
  <c r="I51" i="15"/>
  <c r="J51" i="15" s="1" a="1"/>
  <c r="J51" i="15" s="1"/>
  <c r="J50" i="15" a="1"/>
  <c r="J50" i="15" s="1"/>
  <c r="I50" i="15"/>
  <c r="J49" i="15" a="1"/>
  <c r="J49" i="15" s="1"/>
  <c r="I49" i="15"/>
  <c r="J48" i="15" a="1"/>
  <c r="J48" i="15" s="1"/>
  <c r="I48" i="15"/>
  <c r="I47" i="15"/>
  <c r="J47" i="15" s="1" a="1"/>
  <c r="J47" i="15" s="1"/>
  <c r="J46" i="15" a="1"/>
  <c r="J46" i="15" s="1"/>
  <c r="I46" i="15"/>
  <c r="J45" i="15" a="1"/>
  <c r="J45" i="15" s="1"/>
  <c r="I45" i="15"/>
  <c r="J44" i="15" a="1"/>
  <c r="J44" i="15" s="1"/>
  <c r="I44" i="15"/>
  <c r="I43" i="15"/>
  <c r="J43" i="15" s="1" a="1"/>
  <c r="J43" i="15" s="1"/>
  <c r="J42" i="15" a="1"/>
  <c r="J42" i="15" s="1"/>
  <c r="I42" i="15"/>
  <c r="J41" i="15" a="1"/>
  <c r="J41" i="15" s="1"/>
  <c r="I41" i="15"/>
  <c r="J40" i="15" a="1"/>
  <c r="J40" i="15" s="1"/>
  <c r="I40" i="15"/>
  <c r="I39" i="15"/>
  <c r="J39" i="15" s="1" a="1"/>
  <c r="J39" i="15" s="1"/>
  <c r="J38" i="15" a="1"/>
  <c r="J38" i="15" s="1"/>
  <c r="I38" i="15"/>
  <c r="J37" i="15" a="1"/>
  <c r="J37" i="15" s="1"/>
  <c r="I37" i="15"/>
  <c r="J36" i="15" a="1"/>
  <c r="J36" i="15" s="1"/>
  <c r="I36" i="15"/>
  <c r="I35" i="15"/>
  <c r="J35" i="15" s="1" a="1"/>
  <c r="J35" i="15" s="1"/>
  <c r="J34" i="15" a="1"/>
  <c r="J34" i="15" s="1"/>
  <c r="I34" i="15"/>
  <c r="J33" i="15" a="1"/>
  <c r="J33" i="15" s="1"/>
  <c r="I33" i="15"/>
  <c r="J32" i="15" a="1"/>
  <c r="J32" i="15" s="1"/>
  <c r="I32" i="15"/>
  <c r="I31" i="15"/>
  <c r="J31" i="15" s="1" a="1"/>
  <c r="J31" i="15" s="1"/>
  <c r="J30" i="15" a="1"/>
  <c r="J30" i="15" s="1"/>
  <c r="I30" i="15"/>
  <c r="J29" i="15" a="1"/>
  <c r="J29" i="15" s="1"/>
  <c r="I29" i="15"/>
  <c r="J28" i="15" a="1"/>
  <c r="J28" i="15" s="1"/>
  <c r="I28" i="15"/>
  <c r="I27" i="15"/>
  <c r="J27" i="15" s="1" a="1"/>
  <c r="J27" i="15" s="1"/>
  <c r="I26" i="15"/>
  <c r="J26" i="15" s="1" a="1"/>
  <c r="J26" i="15" s="1"/>
  <c r="J25" i="15" a="1"/>
  <c r="J25" i="15" s="1"/>
  <c r="I25" i="15"/>
  <c r="B25" i="15"/>
  <c r="J24" i="15" a="1"/>
  <c r="J24" i="15" s="1"/>
  <c r="I24" i="15"/>
  <c r="B24" i="15"/>
  <c r="J23" i="15" a="1"/>
  <c r="J23" i="15" s="1"/>
  <c r="I23" i="15"/>
  <c r="J22" i="15" a="1"/>
  <c r="J22" i="15" s="1"/>
  <c r="I22" i="15"/>
  <c r="J21" i="15" a="1"/>
  <c r="J21" i="15" s="1"/>
  <c r="I21" i="15"/>
  <c r="I20" i="15"/>
  <c r="J20" i="15" s="1" a="1"/>
  <c r="J20" i="15" s="1"/>
  <c r="J19" i="15" a="1"/>
  <c r="J19" i="15" s="1"/>
  <c r="I19" i="15"/>
  <c r="J18" i="15" a="1"/>
  <c r="J18" i="15" s="1"/>
  <c r="I18" i="15"/>
  <c r="J17" i="15" a="1"/>
  <c r="J17" i="15" s="1"/>
  <c r="I17" i="15"/>
  <c r="I16" i="15"/>
  <c r="J16" i="15" s="1" a="1"/>
  <c r="J16" i="15" s="1"/>
  <c r="J15" i="15" a="1"/>
  <c r="J15" i="15" s="1"/>
  <c r="I15" i="15"/>
  <c r="J14" i="15" a="1"/>
  <c r="J14" i="15" s="1"/>
  <c r="I14" i="15"/>
  <c r="J13" i="15" a="1"/>
  <c r="J13" i="15" s="1"/>
  <c r="I13" i="15"/>
  <c r="I12" i="15"/>
  <c r="J12" i="15" s="1" a="1"/>
  <c r="J12" i="15" s="1"/>
  <c r="J11" i="15" a="1"/>
  <c r="J11" i="15" s="1"/>
  <c r="I11" i="15"/>
  <c r="J10" i="15" a="1"/>
  <c r="J10" i="15" s="1"/>
  <c r="I10" i="15"/>
  <c r="J9" i="15" a="1"/>
  <c r="J9" i="15" s="1"/>
  <c r="I9" i="15"/>
  <c r="I8" i="15"/>
  <c r="J8" i="15" s="1" a="1"/>
  <c r="J8" i="15" s="1"/>
  <c r="J7" i="15" a="1"/>
  <c r="J7" i="15" s="1"/>
  <c r="I7" i="15"/>
  <c r="J6" i="15" a="1"/>
  <c r="J6" i="15" s="1"/>
  <c r="I6" i="15"/>
  <c r="J5" i="15" a="1"/>
  <c r="J5" i="15" s="1"/>
  <c r="I5" i="15"/>
  <c r="I4" i="15"/>
  <c r="J4" i="15" s="1" a="1"/>
  <c r="J4" i="15" s="1"/>
  <c r="J3" i="15" a="1"/>
  <c r="J3" i="15" s="1"/>
  <c r="I3" i="15"/>
  <c r="J2" i="15" a="1"/>
  <c r="J2" i="15" s="1"/>
  <c r="I2" i="15"/>
  <c r="H743" i="3" l="1"/>
  <c r="I743" i="3"/>
  <c r="J743" i="3" s="1" a="1"/>
  <c r="J743" i="3" s="1"/>
  <c r="H744" i="3"/>
  <c r="I744" i="3"/>
  <c r="J744" i="3" a="1"/>
  <c r="J744" i="3" s="1"/>
  <c r="H745" i="3"/>
  <c r="I745" i="3"/>
  <c r="J745" i="3" s="1" a="1"/>
  <c r="J745" i="3" s="1"/>
  <c r="H746" i="3"/>
  <c r="K746" i="3" s="1"/>
  <c r="I746" i="3"/>
  <c r="J746" i="3" a="1"/>
  <c r="J746" i="3" s="1"/>
  <c r="H747" i="3"/>
  <c r="I747" i="3"/>
  <c r="J747" i="3" s="1" a="1"/>
  <c r="J747" i="3" s="1"/>
  <c r="H748" i="3"/>
  <c r="I748" i="3"/>
  <c r="J748" i="3" a="1"/>
  <c r="J748" i="3" s="1"/>
  <c r="K748" i="3" s="1"/>
  <c r="H749" i="3"/>
  <c r="I749" i="3"/>
  <c r="J749" i="3" s="1" a="1"/>
  <c r="J749" i="3" s="1"/>
  <c r="H750" i="3"/>
  <c r="I750" i="3"/>
  <c r="J750" i="3" a="1"/>
  <c r="J750" i="3" s="1"/>
  <c r="H751" i="3"/>
  <c r="I751" i="3"/>
  <c r="J751" i="3" s="1" a="1"/>
  <c r="J751" i="3" s="1"/>
  <c r="H752" i="3"/>
  <c r="I752" i="3"/>
  <c r="J752" i="3" a="1"/>
  <c r="J752" i="3" s="1"/>
  <c r="H753" i="3"/>
  <c r="I753" i="3"/>
  <c r="J753" i="3" s="1" a="1"/>
  <c r="J753" i="3" s="1"/>
  <c r="H754" i="3"/>
  <c r="I754" i="3"/>
  <c r="J754" i="3" a="1"/>
  <c r="J754" i="3" s="1"/>
  <c r="H755" i="3"/>
  <c r="I755" i="3"/>
  <c r="J755" i="3" s="1" a="1"/>
  <c r="J755" i="3" s="1"/>
  <c r="K755" i="3" s="1"/>
  <c r="H756" i="3"/>
  <c r="I756" i="3"/>
  <c r="J756" i="3" a="1"/>
  <c r="J756" i="3" s="1"/>
  <c r="H757" i="3"/>
  <c r="I757" i="3"/>
  <c r="J757" i="3" s="1" a="1"/>
  <c r="J757" i="3" s="1"/>
  <c r="H758" i="3"/>
  <c r="I758" i="3"/>
  <c r="J758" i="3" a="1"/>
  <c r="J758" i="3" s="1"/>
  <c r="H759" i="3"/>
  <c r="I759" i="3"/>
  <c r="J759" i="3" s="1" a="1"/>
  <c r="J759" i="3" s="1"/>
  <c r="K759" i="3" s="1"/>
  <c r="H760" i="3"/>
  <c r="I760" i="3"/>
  <c r="J760" i="3" a="1"/>
  <c r="J760" i="3" s="1"/>
  <c r="H761" i="3"/>
  <c r="I761" i="3"/>
  <c r="J761" i="3" s="1" a="1"/>
  <c r="J761" i="3" s="1"/>
  <c r="H762" i="3"/>
  <c r="K762" i="3" s="1"/>
  <c r="I762" i="3"/>
  <c r="J762" i="3" a="1"/>
  <c r="J762" i="3" s="1"/>
  <c r="H763" i="3"/>
  <c r="I763" i="3"/>
  <c r="J763" i="3" s="1" a="1"/>
  <c r="J763" i="3" s="1"/>
  <c r="H764" i="3"/>
  <c r="I764" i="3"/>
  <c r="J764" i="3" a="1"/>
  <c r="J764" i="3" s="1"/>
  <c r="K764" i="3" s="1"/>
  <c r="H765" i="3"/>
  <c r="I765" i="3"/>
  <c r="J765" i="3" s="1" a="1"/>
  <c r="J765" i="3" s="1"/>
  <c r="H766" i="3"/>
  <c r="I766" i="3"/>
  <c r="J766" i="3" a="1"/>
  <c r="J766" i="3" s="1"/>
  <c r="H767" i="3"/>
  <c r="I767" i="3"/>
  <c r="J767" i="3" s="1" a="1"/>
  <c r="J767" i="3" s="1"/>
  <c r="K767" i="3" s="1"/>
  <c r="H768" i="3"/>
  <c r="I768" i="3"/>
  <c r="J768" i="3" a="1"/>
  <c r="J768" i="3" s="1"/>
  <c r="H769" i="3"/>
  <c r="I769" i="3"/>
  <c r="J769" i="3" s="1" a="1"/>
  <c r="J769" i="3" s="1"/>
  <c r="H770" i="3"/>
  <c r="I770" i="3"/>
  <c r="J770" i="3" a="1"/>
  <c r="J770" i="3" s="1"/>
  <c r="H771" i="3"/>
  <c r="I771" i="3"/>
  <c r="J771" i="3" s="1" a="1"/>
  <c r="J771" i="3" s="1"/>
  <c r="H772" i="3"/>
  <c r="I772" i="3"/>
  <c r="J772" i="3" a="1"/>
  <c r="J772" i="3" s="1"/>
  <c r="H773" i="3"/>
  <c r="I773" i="3"/>
  <c r="J773" i="3" s="1" a="1"/>
  <c r="J773" i="3" s="1"/>
  <c r="H774" i="3"/>
  <c r="I774" i="3"/>
  <c r="J774" i="3" a="1"/>
  <c r="J774" i="3" s="1"/>
  <c r="H775" i="3"/>
  <c r="I775" i="3"/>
  <c r="J775" i="3" s="1" a="1"/>
  <c r="J775" i="3" s="1"/>
  <c r="K775" i="3" s="1"/>
  <c r="H776" i="3"/>
  <c r="I776" i="3"/>
  <c r="J776" i="3" a="1"/>
  <c r="J776" i="3" s="1"/>
  <c r="H777" i="3"/>
  <c r="I777" i="3"/>
  <c r="J777" i="3" s="1" a="1"/>
  <c r="J777" i="3" s="1"/>
  <c r="H778" i="3"/>
  <c r="K778" i="3" s="1"/>
  <c r="I778" i="3"/>
  <c r="J778" i="3" a="1"/>
  <c r="J778" i="3" s="1"/>
  <c r="H779" i="3"/>
  <c r="I779" i="3"/>
  <c r="J779" i="3" s="1" a="1"/>
  <c r="J779" i="3" s="1"/>
  <c r="H780" i="3"/>
  <c r="I780" i="3"/>
  <c r="J780" i="3" a="1"/>
  <c r="J780" i="3" s="1"/>
  <c r="H781" i="3"/>
  <c r="I781" i="3"/>
  <c r="J781" i="3" s="1" a="1"/>
  <c r="J781" i="3" s="1"/>
  <c r="H782" i="3"/>
  <c r="I782" i="3"/>
  <c r="J782" i="3" a="1"/>
  <c r="J782" i="3" s="1"/>
  <c r="H783" i="3"/>
  <c r="I783" i="3"/>
  <c r="J783" i="3" s="1" a="1"/>
  <c r="J783" i="3" s="1"/>
  <c r="K783" i="3" s="1"/>
  <c r="H784" i="3"/>
  <c r="I784" i="3"/>
  <c r="J784" i="3" a="1"/>
  <c r="J784" i="3" s="1"/>
  <c r="H785" i="3"/>
  <c r="I785" i="3"/>
  <c r="J785" i="3" s="1" a="1"/>
  <c r="J785" i="3" s="1"/>
  <c r="H786" i="3"/>
  <c r="I786" i="3"/>
  <c r="J786" i="3" a="1"/>
  <c r="J786" i="3" s="1"/>
  <c r="H787" i="3"/>
  <c r="I787" i="3"/>
  <c r="J787" i="3" s="1" a="1"/>
  <c r="J787" i="3" s="1"/>
  <c r="H788" i="3"/>
  <c r="I788" i="3"/>
  <c r="J788" i="3" a="1"/>
  <c r="J788" i="3" s="1"/>
  <c r="H789" i="3"/>
  <c r="I789" i="3"/>
  <c r="J789" i="3" s="1" a="1"/>
  <c r="J789" i="3" s="1"/>
  <c r="H790" i="3"/>
  <c r="I790" i="3"/>
  <c r="J790" i="3" a="1"/>
  <c r="J790" i="3" s="1"/>
  <c r="H791" i="3"/>
  <c r="I791" i="3"/>
  <c r="J791" i="3" s="1" a="1"/>
  <c r="J791" i="3" s="1"/>
  <c r="H792" i="3"/>
  <c r="I792" i="3"/>
  <c r="J792" i="3" a="1"/>
  <c r="J792" i="3" s="1"/>
  <c r="H793" i="3"/>
  <c r="I793" i="3"/>
  <c r="J793" i="3" s="1" a="1"/>
  <c r="J793" i="3" s="1"/>
  <c r="H794" i="3"/>
  <c r="K794" i="3" s="1"/>
  <c r="I794" i="3"/>
  <c r="J794" i="3" a="1"/>
  <c r="J794" i="3" s="1"/>
  <c r="H795" i="3"/>
  <c r="I795" i="3"/>
  <c r="J795" i="3" s="1" a="1"/>
  <c r="J795" i="3" s="1"/>
  <c r="H796" i="3"/>
  <c r="I796" i="3"/>
  <c r="J796" i="3" a="1"/>
  <c r="J796" i="3" s="1"/>
  <c r="H797" i="3"/>
  <c r="I797" i="3"/>
  <c r="J797" i="3" s="1" a="1"/>
  <c r="J797" i="3" s="1"/>
  <c r="H798" i="3"/>
  <c r="I798" i="3"/>
  <c r="J798" i="3" a="1"/>
  <c r="J798" i="3" s="1"/>
  <c r="H799" i="3"/>
  <c r="I799" i="3"/>
  <c r="J799" i="3" s="1" a="1"/>
  <c r="J799" i="3" s="1"/>
  <c r="H800" i="3"/>
  <c r="I800" i="3"/>
  <c r="J800" i="3" a="1"/>
  <c r="J800" i="3" s="1"/>
  <c r="H801" i="3"/>
  <c r="I801" i="3"/>
  <c r="J801" i="3" s="1" a="1"/>
  <c r="J801" i="3" s="1"/>
  <c r="H802" i="3"/>
  <c r="I802" i="3"/>
  <c r="J802" i="3" a="1"/>
  <c r="J802" i="3" s="1"/>
  <c r="H803" i="3"/>
  <c r="I803" i="3"/>
  <c r="J803" i="3" s="1" a="1"/>
  <c r="J803" i="3" s="1"/>
  <c r="K803" i="3" s="1"/>
  <c r="H804" i="3"/>
  <c r="I804" i="3"/>
  <c r="J804" i="3" a="1"/>
  <c r="J804" i="3" s="1"/>
  <c r="H805" i="3"/>
  <c r="I805" i="3"/>
  <c r="J805" i="3" s="1" a="1"/>
  <c r="J805" i="3" s="1"/>
  <c r="H806" i="3"/>
  <c r="I806" i="3"/>
  <c r="J806" i="3" a="1"/>
  <c r="J806" i="3" s="1"/>
  <c r="H807" i="3"/>
  <c r="I807" i="3"/>
  <c r="J807" i="3" s="1" a="1"/>
  <c r="J807" i="3" s="1"/>
  <c r="H808" i="3"/>
  <c r="I808" i="3"/>
  <c r="J808" i="3" a="1"/>
  <c r="J808" i="3" s="1"/>
  <c r="H809" i="3"/>
  <c r="I809" i="3"/>
  <c r="J809" i="3" s="1" a="1"/>
  <c r="J809" i="3" s="1"/>
  <c r="H810" i="3"/>
  <c r="K810" i="3" s="1"/>
  <c r="I810" i="3"/>
  <c r="J810" i="3" a="1"/>
  <c r="J810" i="3" s="1"/>
  <c r="H811" i="3"/>
  <c r="I811" i="3"/>
  <c r="J811" i="3" s="1" a="1"/>
  <c r="J811" i="3" s="1"/>
  <c r="H812" i="3"/>
  <c r="I812" i="3"/>
  <c r="J812" i="3" a="1"/>
  <c r="J812" i="3" s="1"/>
  <c r="K812" i="3" s="1"/>
  <c r="H813" i="3"/>
  <c r="I813" i="3"/>
  <c r="J813" i="3" s="1" a="1"/>
  <c r="J813" i="3" s="1"/>
  <c r="H814" i="3"/>
  <c r="I814" i="3"/>
  <c r="J814" i="3" a="1"/>
  <c r="J814" i="3" s="1"/>
  <c r="H815" i="3"/>
  <c r="I815" i="3"/>
  <c r="J815" i="3" s="1" a="1"/>
  <c r="J815" i="3" s="1"/>
  <c r="H816" i="3"/>
  <c r="I816" i="3"/>
  <c r="J816" i="3" a="1"/>
  <c r="J816" i="3" s="1"/>
  <c r="H817" i="3"/>
  <c r="I817" i="3"/>
  <c r="J817" i="3" s="1" a="1"/>
  <c r="J817" i="3" s="1"/>
  <c r="H818" i="3"/>
  <c r="I818" i="3"/>
  <c r="J818" i="3" a="1"/>
  <c r="J818" i="3" s="1"/>
  <c r="H819" i="3"/>
  <c r="I819" i="3"/>
  <c r="J819" i="3" s="1" a="1"/>
  <c r="J819" i="3" s="1"/>
  <c r="H820" i="3"/>
  <c r="I820" i="3"/>
  <c r="J820" i="3" a="1"/>
  <c r="J820" i="3" s="1"/>
  <c r="H821" i="3"/>
  <c r="I821" i="3"/>
  <c r="J821" i="3" s="1" a="1"/>
  <c r="J821" i="3" s="1"/>
  <c r="H822" i="3"/>
  <c r="I822" i="3"/>
  <c r="J822" i="3" a="1"/>
  <c r="J822" i="3" s="1"/>
  <c r="H823" i="3"/>
  <c r="I823" i="3"/>
  <c r="J823" i="3" s="1" a="1"/>
  <c r="J823" i="3" s="1"/>
  <c r="H824" i="3"/>
  <c r="I824" i="3"/>
  <c r="J824" i="3" a="1"/>
  <c r="J824" i="3" s="1"/>
  <c r="H825" i="3"/>
  <c r="I825" i="3"/>
  <c r="J825" i="3" s="1" a="1"/>
  <c r="J825" i="3" s="1"/>
  <c r="H826" i="3"/>
  <c r="I826" i="3"/>
  <c r="J826" i="3" a="1"/>
  <c r="J826" i="3" s="1"/>
  <c r="H827" i="3"/>
  <c r="I827" i="3"/>
  <c r="J827" i="3" s="1" a="1"/>
  <c r="J827" i="3" s="1"/>
  <c r="H828" i="3"/>
  <c r="I828" i="3"/>
  <c r="J828" i="3" a="1"/>
  <c r="J828" i="3" s="1"/>
  <c r="H829" i="3"/>
  <c r="I829" i="3"/>
  <c r="J829" i="3" s="1" a="1"/>
  <c r="J829" i="3" s="1"/>
  <c r="H830" i="3"/>
  <c r="I830" i="3"/>
  <c r="J830" i="3" a="1"/>
  <c r="J830" i="3" s="1"/>
  <c r="H831" i="3"/>
  <c r="I831" i="3"/>
  <c r="J831" i="3" s="1" a="1"/>
  <c r="J831" i="3" s="1"/>
  <c r="H832" i="3"/>
  <c r="I832" i="3"/>
  <c r="J832" i="3" a="1"/>
  <c r="J832" i="3" s="1"/>
  <c r="H833" i="3"/>
  <c r="I833" i="3"/>
  <c r="J833" i="3" s="1" a="1"/>
  <c r="J833" i="3" s="1"/>
  <c r="H834" i="3"/>
  <c r="I834" i="3"/>
  <c r="J834" i="3" a="1"/>
  <c r="J834" i="3" s="1"/>
  <c r="H835" i="3"/>
  <c r="I835" i="3"/>
  <c r="J835" i="3" s="1" a="1"/>
  <c r="J835" i="3" s="1"/>
  <c r="H836" i="3"/>
  <c r="I836" i="3"/>
  <c r="J836" i="3" a="1"/>
  <c r="J836" i="3" s="1"/>
  <c r="H837" i="3"/>
  <c r="I837" i="3"/>
  <c r="J837" i="3" s="1" a="1"/>
  <c r="J837" i="3" s="1"/>
  <c r="H838" i="3"/>
  <c r="I838" i="3"/>
  <c r="J838" i="3" a="1"/>
  <c r="J838" i="3" s="1"/>
  <c r="H839" i="3"/>
  <c r="I839" i="3"/>
  <c r="J839" i="3" s="1" a="1"/>
  <c r="J839" i="3" s="1"/>
  <c r="H840" i="3"/>
  <c r="I840" i="3"/>
  <c r="J840" i="3" a="1"/>
  <c r="J840" i="3" s="1"/>
  <c r="H841" i="3"/>
  <c r="I841" i="3"/>
  <c r="J841" i="3" s="1" a="1"/>
  <c r="J841" i="3" s="1"/>
  <c r="H842" i="3"/>
  <c r="I842" i="3"/>
  <c r="J842" i="3" a="1"/>
  <c r="J842" i="3" s="1"/>
  <c r="H843" i="3"/>
  <c r="I843" i="3"/>
  <c r="J843" i="3" s="1" a="1"/>
  <c r="J843" i="3" s="1"/>
  <c r="H844" i="3"/>
  <c r="I844" i="3"/>
  <c r="J844" i="3" a="1"/>
  <c r="J844" i="3" s="1"/>
  <c r="H845" i="3"/>
  <c r="I845" i="3"/>
  <c r="J845" i="3" s="1" a="1"/>
  <c r="J845" i="3" s="1"/>
  <c r="H846" i="3"/>
  <c r="I846" i="3"/>
  <c r="J846" i="3" a="1"/>
  <c r="J846" i="3" s="1"/>
  <c r="H847" i="3"/>
  <c r="I847" i="3"/>
  <c r="J847" i="3" s="1" a="1"/>
  <c r="J847" i="3" s="1"/>
  <c r="H848" i="3"/>
  <c r="I848" i="3"/>
  <c r="J848" i="3" a="1"/>
  <c r="J848" i="3" s="1"/>
  <c r="H849" i="3"/>
  <c r="I849" i="3"/>
  <c r="J849" i="3" s="1" a="1"/>
  <c r="J849" i="3" s="1"/>
  <c r="H850" i="3"/>
  <c r="I850" i="3"/>
  <c r="J850" i="3" a="1"/>
  <c r="J850" i="3" s="1"/>
  <c r="H851" i="3"/>
  <c r="I851" i="3"/>
  <c r="J851" i="3" s="1" a="1"/>
  <c r="J851" i="3" s="1"/>
  <c r="H852" i="3"/>
  <c r="I852" i="3"/>
  <c r="J852" i="3" a="1"/>
  <c r="J852" i="3" s="1"/>
  <c r="H853" i="3"/>
  <c r="I853" i="3"/>
  <c r="J853" i="3" s="1" a="1"/>
  <c r="J853" i="3" s="1"/>
  <c r="H854" i="3"/>
  <c r="I854" i="3"/>
  <c r="J854" i="3" a="1"/>
  <c r="J854" i="3" s="1"/>
  <c r="H855" i="3"/>
  <c r="I855" i="3"/>
  <c r="J855" i="3" s="1" a="1"/>
  <c r="J855" i="3" s="1"/>
  <c r="H856" i="3"/>
  <c r="I856" i="3"/>
  <c r="J856" i="3" s="1" a="1"/>
  <c r="J856" i="3" s="1"/>
  <c r="H857" i="3"/>
  <c r="I857" i="3"/>
  <c r="J857" i="3" a="1"/>
  <c r="J857" i="3" s="1"/>
  <c r="H858" i="3"/>
  <c r="I858" i="3"/>
  <c r="J858" i="3" s="1" a="1"/>
  <c r="J858" i="3" s="1"/>
  <c r="H859" i="3"/>
  <c r="I859" i="3"/>
  <c r="J859" i="3" a="1"/>
  <c r="J859" i="3" s="1"/>
  <c r="H860" i="3"/>
  <c r="I860" i="3"/>
  <c r="J860" i="3" s="1" a="1"/>
  <c r="J860" i="3" s="1"/>
  <c r="H861" i="3"/>
  <c r="I861" i="3"/>
  <c r="J861" i="3" a="1"/>
  <c r="J861" i="3" s="1"/>
  <c r="H862" i="3"/>
  <c r="I862" i="3"/>
  <c r="J862" i="3" s="1" a="1"/>
  <c r="J862" i="3" s="1"/>
  <c r="H863" i="3"/>
  <c r="I863" i="3"/>
  <c r="J863" i="3" a="1"/>
  <c r="J863" i="3" s="1"/>
  <c r="H864" i="3"/>
  <c r="I864" i="3"/>
  <c r="J864" i="3" s="1" a="1"/>
  <c r="J864" i="3" s="1"/>
  <c r="H865" i="3"/>
  <c r="I865" i="3"/>
  <c r="J865" i="3" a="1"/>
  <c r="J865" i="3" s="1"/>
  <c r="H866" i="3"/>
  <c r="I866" i="3"/>
  <c r="J866" i="3" s="1" a="1"/>
  <c r="J866" i="3" s="1"/>
  <c r="H867" i="3"/>
  <c r="I867" i="3"/>
  <c r="J867" i="3" a="1"/>
  <c r="J867" i="3" s="1"/>
  <c r="H868" i="3"/>
  <c r="I868" i="3"/>
  <c r="J868" i="3" s="1" a="1"/>
  <c r="J868" i="3" s="1"/>
  <c r="H869" i="3"/>
  <c r="I869" i="3"/>
  <c r="J869" i="3" a="1"/>
  <c r="J869" i="3" s="1"/>
  <c r="H870" i="3"/>
  <c r="I870" i="3"/>
  <c r="J870" i="3" s="1" a="1"/>
  <c r="J870" i="3" s="1"/>
  <c r="H871" i="3"/>
  <c r="I871" i="3"/>
  <c r="J871" i="3" a="1"/>
  <c r="J871" i="3" s="1"/>
  <c r="H872" i="3"/>
  <c r="I872" i="3"/>
  <c r="J872" i="3" s="1" a="1"/>
  <c r="J872" i="3" s="1"/>
  <c r="H873" i="3"/>
  <c r="I873" i="3"/>
  <c r="J873" i="3" a="1"/>
  <c r="J873" i="3" s="1"/>
  <c r="H874" i="3"/>
  <c r="I874" i="3"/>
  <c r="J874" i="3" s="1" a="1"/>
  <c r="J874" i="3" s="1"/>
  <c r="H875" i="3"/>
  <c r="I875" i="3"/>
  <c r="J875" i="3" a="1"/>
  <c r="J875" i="3" s="1"/>
  <c r="H876" i="3"/>
  <c r="I876" i="3"/>
  <c r="J876" i="3" s="1" a="1"/>
  <c r="J876" i="3" s="1"/>
  <c r="H877" i="3"/>
  <c r="I877" i="3"/>
  <c r="J877" i="3" a="1"/>
  <c r="J877" i="3" s="1"/>
  <c r="H878" i="3"/>
  <c r="I878" i="3"/>
  <c r="J878" i="3" s="1" a="1"/>
  <c r="J878" i="3" s="1"/>
  <c r="H879" i="3"/>
  <c r="I879" i="3"/>
  <c r="J879" i="3" a="1"/>
  <c r="J879" i="3" s="1"/>
  <c r="H880" i="3"/>
  <c r="I880" i="3"/>
  <c r="J880" i="3" s="1" a="1"/>
  <c r="J880" i="3" s="1"/>
  <c r="H881" i="3"/>
  <c r="I881" i="3"/>
  <c r="J881" i="3" a="1"/>
  <c r="J881" i="3" s="1"/>
  <c r="H882" i="3"/>
  <c r="I882" i="3"/>
  <c r="J882" i="3" s="1" a="1"/>
  <c r="J882" i="3" s="1"/>
  <c r="H883" i="3"/>
  <c r="I883" i="3"/>
  <c r="J883" i="3" a="1"/>
  <c r="J883" i="3" s="1"/>
  <c r="H884" i="3"/>
  <c r="I884" i="3"/>
  <c r="J884" i="3" s="1" a="1"/>
  <c r="J884" i="3" s="1"/>
  <c r="H885" i="3"/>
  <c r="I885" i="3"/>
  <c r="J885" i="3" a="1"/>
  <c r="J885" i="3" s="1"/>
  <c r="H886" i="3"/>
  <c r="I886" i="3"/>
  <c r="J886" i="3" s="1" a="1"/>
  <c r="J886" i="3" s="1"/>
  <c r="H887" i="3"/>
  <c r="I887" i="3"/>
  <c r="J887" i="3" a="1"/>
  <c r="J887" i="3" s="1"/>
  <c r="H888" i="3"/>
  <c r="I888" i="3"/>
  <c r="J888" i="3" s="1" a="1"/>
  <c r="J888" i="3" s="1"/>
  <c r="H889" i="3"/>
  <c r="I889" i="3"/>
  <c r="J889" i="3" a="1"/>
  <c r="J889" i="3" s="1"/>
  <c r="H890" i="3"/>
  <c r="I890" i="3"/>
  <c r="J890" i="3" s="1" a="1"/>
  <c r="J890" i="3" s="1"/>
  <c r="H891" i="3"/>
  <c r="I891" i="3"/>
  <c r="J891" i="3" a="1"/>
  <c r="J891" i="3" s="1"/>
  <c r="H892" i="3"/>
  <c r="I892" i="3"/>
  <c r="J892" i="3" s="1" a="1"/>
  <c r="J892" i="3" s="1"/>
  <c r="H893" i="3"/>
  <c r="I893" i="3"/>
  <c r="J893" i="3" a="1"/>
  <c r="J893" i="3" s="1"/>
  <c r="H894" i="3"/>
  <c r="I894" i="3"/>
  <c r="J894" i="3" s="1" a="1"/>
  <c r="J894" i="3" s="1"/>
  <c r="H895" i="3"/>
  <c r="I895" i="3"/>
  <c r="J895" i="3" a="1"/>
  <c r="J895" i="3" s="1"/>
  <c r="H896" i="3"/>
  <c r="I896" i="3"/>
  <c r="J896" i="3" s="1" a="1"/>
  <c r="J896" i="3" s="1"/>
  <c r="H897" i="3"/>
  <c r="I897" i="3"/>
  <c r="J897" i="3" a="1"/>
  <c r="J897" i="3" s="1"/>
  <c r="H898" i="3"/>
  <c r="I898" i="3"/>
  <c r="J898" i="3" s="1" a="1"/>
  <c r="J898" i="3" s="1"/>
  <c r="H899" i="3"/>
  <c r="I899" i="3"/>
  <c r="J899" i="3" a="1"/>
  <c r="J899" i="3" s="1"/>
  <c r="H900" i="3"/>
  <c r="I900" i="3"/>
  <c r="J900" i="3" s="1" a="1"/>
  <c r="J900" i="3" s="1"/>
  <c r="H901" i="3"/>
  <c r="I901" i="3"/>
  <c r="J901" i="3" a="1"/>
  <c r="J901" i="3" s="1"/>
  <c r="H902" i="3"/>
  <c r="I902" i="3"/>
  <c r="J902" i="3" s="1" a="1"/>
  <c r="J902" i="3" s="1"/>
  <c r="H903" i="3"/>
  <c r="I903" i="3"/>
  <c r="J903" i="3" a="1"/>
  <c r="J903" i="3" s="1"/>
  <c r="H904" i="3"/>
  <c r="I904" i="3"/>
  <c r="J904" i="3" s="1" a="1"/>
  <c r="J904" i="3" s="1"/>
  <c r="H905" i="3"/>
  <c r="I905" i="3"/>
  <c r="J905" i="3" a="1"/>
  <c r="J905" i="3" s="1"/>
  <c r="H906" i="3"/>
  <c r="I906" i="3"/>
  <c r="J906" i="3" s="1" a="1"/>
  <c r="J906" i="3" s="1"/>
  <c r="H907" i="3"/>
  <c r="I907" i="3"/>
  <c r="J907" i="3" a="1"/>
  <c r="J907" i="3" s="1"/>
  <c r="H908" i="3"/>
  <c r="I908" i="3"/>
  <c r="J908" i="3" s="1" a="1"/>
  <c r="J908" i="3" s="1"/>
  <c r="H909" i="3"/>
  <c r="I909" i="3"/>
  <c r="J909" i="3" a="1"/>
  <c r="J909" i="3" s="1"/>
  <c r="H910" i="3"/>
  <c r="I910" i="3"/>
  <c r="J910" i="3" s="1" a="1"/>
  <c r="J910" i="3" s="1"/>
  <c r="H911" i="3"/>
  <c r="I911" i="3"/>
  <c r="J911" i="3" a="1"/>
  <c r="J911" i="3" s="1"/>
  <c r="H912" i="3"/>
  <c r="I912" i="3"/>
  <c r="J912" i="3" s="1" a="1"/>
  <c r="J912" i="3" s="1"/>
  <c r="H913" i="3"/>
  <c r="I913" i="3"/>
  <c r="J913" i="3" a="1"/>
  <c r="J913" i="3" s="1"/>
  <c r="H914" i="3"/>
  <c r="I914" i="3"/>
  <c r="J914" i="3" s="1" a="1"/>
  <c r="J914" i="3" s="1"/>
  <c r="H915" i="3"/>
  <c r="I915" i="3"/>
  <c r="J915" i="3" a="1"/>
  <c r="J915" i="3" s="1"/>
  <c r="H916" i="3"/>
  <c r="I916" i="3"/>
  <c r="J916" i="3" s="1" a="1"/>
  <c r="J916" i="3" s="1"/>
  <c r="H917" i="3"/>
  <c r="I917" i="3"/>
  <c r="J917" i="3" a="1"/>
  <c r="J917" i="3" s="1"/>
  <c r="H918" i="3"/>
  <c r="I918" i="3"/>
  <c r="J918" i="3" s="1" a="1"/>
  <c r="J918" i="3" s="1"/>
  <c r="H919" i="3"/>
  <c r="I919" i="3"/>
  <c r="J919" i="3" a="1"/>
  <c r="J919" i="3" s="1"/>
  <c r="H920" i="3"/>
  <c r="I920" i="3"/>
  <c r="J920" i="3" s="1" a="1"/>
  <c r="J920" i="3" s="1"/>
  <c r="H921" i="3"/>
  <c r="I921" i="3"/>
  <c r="J921" i="3" a="1"/>
  <c r="J921" i="3" s="1"/>
  <c r="H922" i="3"/>
  <c r="I922" i="3"/>
  <c r="J922" i="3" s="1" a="1"/>
  <c r="J922" i="3" s="1"/>
  <c r="H923" i="3"/>
  <c r="I923" i="3"/>
  <c r="J923" i="3" a="1"/>
  <c r="J923" i="3" s="1"/>
  <c r="H924" i="3"/>
  <c r="I924" i="3"/>
  <c r="J924" i="3" s="1" a="1"/>
  <c r="J924" i="3" s="1"/>
  <c r="H925" i="3"/>
  <c r="I925" i="3"/>
  <c r="J925" i="3" a="1"/>
  <c r="J925" i="3" s="1"/>
  <c r="H926" i="3"/>
  <c r="I926" i="3"/>
  <c r="J926" i="3" s="1" a="1"/>
  <c r="J926" i="3" s="1"/>
  <c r="H927" i="3"/>
  <c r="I927" i="3"/>
  <c r="J927" i="3" a="1"/>
  <c r="J927" i="3" s="1"/>
  <c r="H928" i="3"/>
  <c r="I928" i="3"/>
  <c r="J928" i="3" s="1" a="1"/>
  <c r="J928" i="3" s="1"/>
  <c r="H929" i="3"/>
  <c r="I929" i="3"/>
  <c r="J929" i="3" a="1"/>
  <c r="J929" i="3" s="1"/>
  <c r="H930" i="3"/>
  <c r="I930" i="3"/>
  <c r="J930" i="3" s="1" a="1"/>
  <c r="J930" i="3" s="1"/>
  <c r="H931" i="3"/>
  <c r="I931" i="3"/>
  <c r="J931" i="3" a="1"/>
  <c r="J931" i="3" s="1"/>
  <c r="H932" i="3"/>
  <c r="I932" i="3"/>
  <c r="J932" i="3" s="1" a="1"/>
  <c r="J932" i="3" s="1"/>
  <c r="H933" i="3"/>
  <c r="I933" i="3"/>
  <c r="J933" i="3" a="1"/>
  <c r="J933" i="3" s="1"/>
  <c r="H934" i="3"/>
  <c r="I934" i="3"/>
  <c r="J934" i="3" s="1" a="1"/>
  <c r="J934" i="3" s="1"/>
  <c r="H935" i="3"/>
  <c r="I935" i="3"/>
  <c r="J935" i="3" a="1"/>
  <c r="J935" i="3" s="1"/>
  <c r="H936" i="3"/>
  <c r="I936" i="3"/>
  <c r="J936" i="3" s="1" a="1"/>
  <c r="J936" i="3" s="1"/>
  <c r="H937" i="3"/>
  <c r="I937" i="3"/>
  <c r="J937" i="3" a="1"/>
  <c r="J937" i="3" s="1"/>
  <c r="H938" i="3"/>
  <c r="I938" i="3"/>
  <c r="J938" i="3" s="1" a="1"/>
  <c r="J938" i="3" s="1"/>
  <c r="H939" i="3"/>
  <c r="I939" i="3"/>
  <c r="J939" i="3" a="1"/>
  <c r="J939" i="3" s="1"/>
  <c r="H940" i="3"/>
  <c r="I940" i="3"/>
  <c r="J940" i="3" s="1" a="1"/>
  <c r="J940" i="3" s="1"/>
  <c r="H941" i="3"/>
  <c r="I941" i="3"/>
  <c r="J941" i="3" a="1"/>
  <c r="J941" i="3" s="1"/>
  <c r="H942" i="3"/>
  <c r="I942" i="3"/>
  <c r="J942" i="3" s="1" a="1"/>
  <c r="J942" i="3" s="1"/>
  <c r="H943" i="3"/>
  <c r="I943" i="3"/>
  <c r="J943" i="3" a="1"/>
  <c r="J943" i="3" s="1"/>
  <c r="H944" i="3"/>
  <c r="I944" i="3"/>
  <c r="J944" i="3" s="1" a="1"/>
  <c r="J944" i="3" s="1"/>
  <c r="H945" i="3"/>
  <c r="I945" i="3"/>
  <c r="J945" i="3" a="1"/>
  <c r="J945" i="3" s="1"/>
  <c r="H946" i="3"/>
  <c r="I946" i="3"/>
  <c r="J946" i="3" s="1" a="1"/>
  <c r="J946" i="3" s="1"/>
  <c r="H947" i="3"/>
  <c r="I947" i="3"/>
  <c r="J947" i="3" a="1"/>
  <c r="J947" i="3" s="1"/>
  <c r="H948" i="3"/>
  <c r="I948" i="3"/>
  <c r="J948" i="3" s="1" a="1"/>
  <c r="J948" i="3" s="1"/>
  <c r="H949" i="3"/>
  <c r="I949" i="3"/>
  <c r="J949" i="3" a="1"/>
  <c r="J949" i="3" s="1"/>
  <c r="H950" i="3"/>
  <c r="I950" i="3"/>
  <c r="J950" i="3" s="1" a="1"/>
  <c r="J950" i="3" s="1"/>
  <c r="H951" i="3"/>
  <c r="I951" i="3"/>
  <c r="J951" i="3" a="1"/>
  <c r="J951" i="3" s="1"/>
  <c r="H952" i="3"/>
  <c r="I952" i="3"/>
  <c r="J952" i="3" s="1" a="1"/>
  <c r="J952" i="3" s="1"/>
  <c r="H953" i="3"/>
  <c r="I953" i="3"/>
  <c r="J953" i="3" a="1"/>
  <c r="J953" i="3" s="1"/>
  <c r="H954" i="3"/>
  <c r="I954" i="3"/>
  <c r="J954" i="3" s="1" a="1"/>
  <c r="J954" i="3" s="1"/>
  <c r="H955" i="3"/>
  <c r="I955" i="3"/>
  <c r="J955" i="3" a="1"/>
  <c r="J955" i="3" s="1"/>
  <c r="H3" i="3"/>
  <c r="I3" i="3"/>
  <c r="J3" i="3" s="1" a="1"/>
  <c r="J3" i="3" s="1"/>
  <c r="H4" i="3"/>
  <c r="I4" i="3"/>
  <c r="J4" i="3" s="1" a="1"/>
  <c r="J4" i="3" s="1"/>
  <c r="H5" i="3"/>
  <c r="I5" i="3"/>
  <c r="J5" i="3" s="1" a="1"/>
  <c r="J5" i="3" s="1"/>
  <c r="H6" i="3"/>
  <c r="I6" i="3"/>
  <c r="J6" i="3" a="1"/>
  <c r="J6" i="3" s="1"/>
  <c r="H7" i="3"/>
  <c r="I7" i="3"/>
  <c r="J7" i="3" s="1" a="1"/>
  <c r="J7" i="3" s="1"/>
  <c r="H8" i="3"/>
  <c r="I8" i="3"/>
  <c r="J8" i="3" s="1" a="1"/>
  <c r="J8" i="3" s="1"/>
  <c r="H9" i="3"/>
  <c r="I9" i="3"/>
  <c r="J9" i="3" s="1" a="1"/>
  <c r="J9" i="3" s="1"/>
  <c r="H10" i="3"/>
  <c r="I10" i="3"/>
  <c r="J10" i="3" a="1"/>
  <c r="J10" i="3" s="1"/>
  <c r="H11" i="3"/>
  <c r="I11" i="3"/>
  <c r="J11" i="3" s="1" a="1"/>
  <c r="J11" i="3" s="1"/>
  <c r="H12" i="3"/>
  <c r="I12" i="3"/>
  <c r="J12" i="3" s="1" a="1"/>
  <c r="J12" i="3" s="1"/>
  <c r="H13" i="3"/>
  <c r="I13" i="3"/>
  <c r="J13" i="3" s="1" a="1"/>
  <c r="J13" i="3" s="1"/>
  <c r="H14" i="3"/>
  <c r="I14" i="3"/>
  <c r="J14" i="3" a="1"/>
  <c r="J14" i="3" s="1"/>
  <c r="H15" i="3"/>
  <c r="I15" i="3"/>
  <c r="J15" i="3" s="1" a="1"/>
  <c r="J15" i="3" s="1"/>
  <c r="H16" i="3"/>
  <c r="I16" i="3"/>
  <c r="J16" i="3" s="1" a="1"/>
  <c r="J16" i="3" s="1"/>
  <c r="H17" i="3"/>
  <c r="I17" i="3"/>
  <c r="J17" i="3" s="1" a="1"/>
  <c r="J17" i="3" s="1"/>
  <c r="H18" i="3"/>
  <c r="I18" i="3"/>
  <c r="J18" i="3" a="1"/>
  <c r="J18" i="3" s="1"/>
  <c r="H19" i="3"/>
  <c r="I19" i="3"/>
  <c r="J19" i="3" a="1"/>
  <c r="J19" i="3" s="1"/>
  <c r="H20" i="3"/>
  <c r="I20" i="3"/>
  <c r="J20" i="3" s="1" a="1"/>
  <c r="J20" i="3" s="1"/>
  <c r="H21" i="3"/>
  <c r="I21" i="3"/>
  <c r="J21" i="3" s="1" a="1"/>
  <c r="J21" i="3" s="1"/>
  <c r="H22" i="3"/>
  <c r="I22" i="3"/>
  <c r="J22" i="3" a="1"/>
  <c r="J22" i="3" s="1"/>
  <c r="H23" i="3"/>
  <c r="I23" i="3"/>
  <c r="J23" i="3" a="1"/>
  <c r="J23" i="3" s="1"/>
  <c r="H24" i="3"/>
  <c r="I24" i="3"/>
  <c r="J24" i="3" s="1" a="1"/>
  <c r="J24" i="3" s="1"/>
  <c r="H25" i="3"/>
  <c r="I25" i="3"/>
  <c r="J25" i="3" s="1" a="1"/>
  <c r="J25" i="3" s="1"/>
  <c r="H26" i="3"/>
  <c r="I26" i="3"/>
  <c r="J26" i="3" a="1"/>
  <c r="J26" i="3" s="1"/>
  <c r="H27" i="3"/>
  <c r="I27" i="3"/>
  <c r="J27" i="3" a="1"/>
  <c r="J27" i="3" s="1"/>
  <c r="H28" i="3"/>
  <c r="I28" i="3"/>
  <c r="J28" i="3" s="1" a="1"/>
  <c r="J28" i="3" s="1"/>
  <c r="H29" i="3"/>
  <c r="I29" i="3"/>
  <c r="J29" i="3" s="1" a="1"/>
  <c r="J29" i="3" s="1"/>
  <c r="H30" i="3"/>
  <c r="I30" i="3"/>
  <c r="J30" i="3" a="1"/>
  <c r="J30" i="3" s="1"/>
  <c r="H31" i="3"/>
  <c r="I31" i="3"/>
  <c r="J31" i="3" a="1"/>
  <c r="J31" i="3" s="1"/>
  <c r="H32" i="3"/>
  <c r="I32" i="3"/>
  <c r="J32" i="3" s="1" a="1"/>
  <c r="J32" i="3" s="1"/>
  <c r="H33" i="3"/>
  <c r="I33" i="3"/>
  <c r="J33" i="3" s="1" a="1"/>
  <c r="J33" i="3" s="1"/>
  <c r="H34" i="3"/>
  <c r="I34" i="3"/>
  <c r="J34" i="3" a="1"/>
  <c r="J34" i="3" s="1"/>
  <c r="H35" i="3"/>
  <c r="I35" i="3"/>
  <c r="J35" i="3" a="1"/>
  <c r="J35" i="3" s="1"/>
  <c r="H36" i="3"/>
  <c r="I36" i="3"/>
  <c r="J36" i="3" s="1" a="1"/>
  <c r="J36" i="3" s="1"/>
  <c r="H37" i="3"/>
  <c r="I37" i="3"/>
  <c r="J37" i="3" s="1" a="1"/>
  <c r="J37" i="3" s="1"/>
  <c r="H38" i="3"/>
  <c r="I38" i="3"/>
  <c r="J38" i="3" a="1"/>
  <c r="J38" i="3" s="1"/>
  <c r="H39" i="3"/>
  <c r="I39" i="3"/>
  <c r="J39" i="3" a="1"/>
  <c r="J39" i="3" s="1"/>
  <c r="H40" i="3"/>
  <c r="I40" i="3"/>
  <c r="J40" i="3" s="1" a="1"/>
  <c r="J40" i="3" s="1"/>
  <c r="H41" i="3"/>
  <c r="I41" i="3"/>
  <c r="J41" i="3" s="1" a="1"/>
  <c r="J41" i="3" s="1"/>
  <c r="H42" i="3"/>
  <c r="I42" i="3"/>
  <c r="J42" i="3" a="1"/>
  <c r="J42" i="3" s="1"/>
  <c r="H43" i="3"/>
  <c r="I43" i="3"/>
  <c r="J43" i="3" a="1"/>
  <c r="J43" i="3" s="1"/>
  <c r="H44" i="3"/>
  <c r="I44" i="3"/>
  <c r="J44" i="3" s="1" a="1"/>
  <c r="J44" i="3" s="1"/>
  <c r="H45" i="3"/>
  <c r="I45" i="3"/>
  <c r="J45" i="3" s="1" a="1"/>
  <c r="J45" i="3" s="1"/>
  <c r="H46" i="3"/>
  <c r="I46" i="3"/>
  <c r="J46" i="3" a="1"/>
  <c r="J46" i="3" s="1"/>
  <c r="H47" i="3"/>
  <c r="I47" i="3"/>
  <c r="J47" i="3" a="1"/>
  <c r="J47" i="3" s="1"/>
  <c r="H48" i="3"/>
  <c r="I48" i="3"/>
  <c r="J48" i="3" s="1" a="1"/>
  <c r="J48" i="3" s="1"/>
  <c r="H49" i="3"/>
  <c r="I49" i="3"/>
  <c r="J49" i="3" s="1" a="1"/>
  <c r="J49" i="3" s="1"/>
  <c r="H50" i="3"/>
  <c r="I50" i="3"/>
  <c r="J50" i="3" a="1"/>
  <c r="J50" i="3" s="1"/>
  <c r="H51" i="3"/>
  <c r="I51" i="3"/>
  <c r="J51" i="3" a="1"/>
  <c r="J51" i="3" s="1"/>
  <c r="H52" i="3"/>
  <c r="I52" i="3"/>
  <c r="J52" i="3" s="1" a="1"/>
  <c r="J52" i="3" s="1"/>
  <c r="H53" i="3"/>
  <c r="I53" i="3"/>
  <c r="J53" i="3" s="1" a="1"/>
  <c r="J53" i="3" s="1"/>
  <c r="H54" i="3"/>
  <c r="I54" i="3"/>
  <c r="J54" i="3" a="1"/>
  <c r="J54" i="3" s="1"/>
  <c r="H55" i="3"/>
  <c r="I55" i="3"/>
  <c r="J55" i="3" a="1"/>
  <c r="J55" i="3" s="1"/>
  <c r="H56" i="3"/>
  <c r="I56" i="3"/>
  <c r="J56" i="3" a="1"/>
  <c r="J56" i="3" s="1"/>
  <c r="H57" i="3"/>
  <c r="I57" i="3"/>
  <c r="J57" i="3" s="1" a="1"/>
  <c r="J57" i="3" s="1"/>
  <c r="H58" i="3"/>
  <c r="I58" i="3"/>
  <c r="J58" i="3" s="1" a="1"/>
  <c r="J58" i="3" s="1"/>
  <c r="H59" i="3"/>
  <c r="I59" i="3"/>
  <c r="J59" i="3" a="1"/>
  <c r="J59" i="3" s="1"/>
  <c r="H60" i="3"/>
  <c r="I60" i="3"/>
  <c r="J60" i="3" a="1"/>
  <c r="J60" i="3" s="1"/>
  <c r="H61" i="3"/>
  <c r="I61" i="3"/>
  <c r="J61" i="3" s="1" a="1"/>
  <c r="J61" i="3" s="1"/>
  <c r="H62" i="3"/>
  <c r="I62" i="3"/>
  <c r="J62" i="3" s="1" a="1"/>
  <c r="J62" i="3" s="1"/>
  <c r="H63" i="3"/>
  <c r="I63" i="3"/>
  <c r="J63" i="3" a="1"/>
  <c r="J63" i="3" s="1"/>
  <c r="H64" i="3"/>
  <c r="I64" i="3"/>
  <c r="J64" i="3" a="1"/>
  <c r="J64" i="3" s="1"/>
  <c r="H65" i="3"/>
  <c r="I65" i="3"/>
  <c r="J65" i="3" s="1" a="1"/>
  <c r="J65" i="3" s="1"/>
  <c r="H66" i="3"/>
  <c r="I66" i="3"/>
  <c r="J66" i="3" s="1" a="1"/>
  <c r="J66" i="3" s="1"/>
  <c r="H67" i="3"/>
  <c r="I67" i="3"/>
  <c r="J67" i="3" a="1"/>
  <c r="J67" i="3" s="1"/>
  <c r="H68" i="3"/>
  <c r="I68" i="3"/>
  <c r="J68" i="3" a="1"/>
  <c r="J68" i="3" s="1"/>
  <c r="H69" i="3"/>
  <c r="I69" i="3"/>
  <c r="J69" i="3" s="1" a="1"/>
  <c r="J69" i="3" s="1"/>
  <c r="H70" i="3"/>
  <c r="I70" i="3"/>
  <c r="J70" i="3" s="1" a="1"/>
  <c r="J70" i="3" s="1"/>
  <c r="H71" i="3"/>
  <c r="I71" i="3"/>
  <c r="J71" i="3" a="1"/>
  <c r="J71" i="3" s="1"/>
  <c r="H72" i="3"/>
  <c r="I72" i="3"/>
  <c r="J72" i="3" s="1" a="1"/>
  <c r="J72" i="3" s="1"/>
  <c r="H73" i="3"/>
  <c r="I73" i="3"/>
  <c r="J73" i="3" s="1" a="1"/>
  <c r="J73" i="3" s="1"/>
  <c r="H74" i="3"/>
  <c r="I74" i="3"/>
  <c r="J74" i="3" a="1"/>
  <c r="J74" i="3" s="1"/>
  <c r="H75" i="3"/>
  <c r="I75" i="3"/>
  <c r="J75" i="3" a="1"/>
  <c r="J75" i="3" s="1"/>
  <c r="H76" i="3"/>
  <c r="I76" i="3"/>
  <c r="J76" i="3" s="1" a="1"/>
  <c r="J76" i="3" s="1"/>
  <c r="H77" i="3"/>
  <c r="I77" i="3"/>
  <c r="J77" i="3" s="1" a="1"/>
  <c r="J77" i="3" s="1"/>
  <c r="H78" i="3"/>
  <c r="I78" i="3"/>
  <c r="J78" i="3" a="1"/>
  <c r="J78" i="3" s="1"/>
  <c r="H79" i="3"/>
  <c r="I79" i="3"/>
  <c r="J79" i="3" a="1"/>
  <c r="J79" i="3" s="1"/>
  <c r="H80" i="3"/>
  <c r="I80" i="3"/>
  <c r="J80" i="3" s="1" a="1"/>
  <c r="J80" i="3" s="1"/>
  <c r="H81" i="3"/>
  <c r="I81" i="3"/>
  <c r="J81" i="3" s="1" a="1"/>
  <c r="J81" i="3" s="1"/>
  <c r="H82" i="3"/>
  <c r="I82" i="3"/>
  <c r="J82" i="3" a="1"/>
  <c r="J82" i="3" s="1"/>
  <c r="H83" i="3"/>
  <c r="I83" i="3"/>
  <c r="J83" i="3" a="1"/>
  <c r="J83" i="3" s="1"/>
  <c r="H84" i="3"/>
  <c r="I84" i="3"/>
  <c r="J84" i="3" s="1" a="1"/>
  <c r="J84" i="3" s="1"/>
  <c r="H85" i="3"/>
  <c r="I85" i="3"/>
  <c r="J85" i="3" s="1" a="1"/>
  <c r="J85" i="3" s="1"/>
  <c r="H86" i="3"/>
  <c r="I86" i="3"/>
  <c r="J86" i="3" a="1"/>
  <c r="J86" i="3" s="1"/>
  <c r="H87" i="3"/>
  <c r="I87" i="3"/>
  <c r="J87" i="3" a="1"/>
  <c r="J87" i="3" s="1"/>
  <c r="H88" i="3"/>
  <c r="I88" i="3"/>
  <c r="J88" i="3" s="1" a="1"/>
  <c r="J88" i="3" s="1"/>
  <c r="H89" i="3"/>
  <c r="I89" i="3"/>
  <c r="J89" i="3" s="1" a="1"/>
  <c r="J89" i="3" s="1"/>
  <c r="H90" i="3"/>
  <c r="I90" i="3"/>
  <c r="J90" i="3" a="1"/>
  <c r="J90" i="3" s="1"/>
  <c r="H91" i="3"/>
  <c r="I91" i="3"/>
  <c r="J91" i="3" a="1"/>
  <c r="J91" i="3" s="1"/>
  <c r="H92" i="3"/>
  <c r="I92" i="3"/>
  <c r="J92" i="3" s="1" a="1"/>
  <c r="J92" i="3" s="1"/>
  <c r="H93" i="3"/>
  <c r="I93" i="3"/>
  <c r="J93" i="3" s="1" a="1"/>
  <c r="J93" i="3" s="1"/>
  <c r="H94" i="3"/>
  <c r="I94" i="3"/>
  <c r="J94" i="3" a="1"/>
  <c r="J94" i="3" s="1"/>
  <c r="H95" i="3"/>
  <c r="I95" i="3"/>
  <c r="J95" i="3" a="1"/>
  <c r="J95" i="3" s="1"/>
  <c r="H96" i="3"/>
  <c r="I96" i="3"/>
  <c r="J96" i="3" s="1" a="1"/>
  <c r="J96" i="3" s="1"/>
  <c r="H97" i="3"/>
  <c r="I97" i="3"/>
  <c r="J97" i="3" a="1"/>
  <c r="J97" i="3" s="1"/>
  <c r="H98" i="3"/>
  <c r="I98" i="3"/>
  <c r="J98" i="3" a="1"/>
  <c r="J98" i="3" s="1"/>
  <c r="H99" i="3"/>
  <c r="I99" i="3"/>
  <c r="J99" i="3" a="1"/>
  <c r="J99" i="3" s="1"/>
  <c r="H100" i="3"/>
  <c r="I100" i="3"/>
  <c r="J100" i="3" s="1" a="1"/>
  <c r="J100" i="3" s="1"/>
  <c r="H101" i="3"/>
  <c r="I101" i="3"/>
  <c r="J101" i="3" s="1" a="1"/>
  <c r="J101" i="3" s="1"/>
  <c r="H102" i="3"/>
  <c r="I102" i="3"/>
  <c r="J102" i="3" a="1"/>
  <c r="J102" i="3" s="1"/>
  <c r="H103" i="3"/>
  <c r="I103" i="3"/>
  <c r="J103" i="3" a="1"/>
  <c r="J103" i="3" s="1"/>
  <c r="H104" i="3"/>
  <c r="I104" i="3"/>
  <c r="J104" i="3" s="1" a="1"/>
  <c r="J104" i="3" s="1"/>
  <c r="H105" i="3"/>
  <c r="I105" i="3"/>
  <c r="J105" i="3" a="1"/>
  <c r="J105" i="3" s="1"/>
  <c r="H106" i="3"/>
  <c r="I106" i="3"/>
  <c r="J106" i="3" s="1" a="1"/>
  <c r="J106" i="3" s="1"/>
  <c r="H107" i="3"/>
  <c r="I107" i="3"/>
  <c r="J107" i="3" a="1"/>
  <c r="J107" i="3" s="1"/>
  <c r="H108" i="3"/>
  <c r="I108" i="3"/>
  <c r="J108" i="3" s="1" a="1"/>
  <c r="J108" i="3" s="1"/>
  <c r="H109" i="3"/>
  <c r="I109" i="3"/>
  <c r="J109" i="3" s="1" a="1"/>
  <c r="J109" i="3" s="1"/>
  <c r="H110" i="3"/>
  <c r="I110" i="3"/>
  <c r="J110" i="3" s="1" a="1"/>
  <c r="J110" i="3" s="1"/>
  <c r="H111" i="3"/>
  <c r="I111" i="3"/>
  <c r="J111" i="3" a="1"/>
  <c r="J111" i="3" s="1"/>
  <c r="H112" i="3"/>
  <c r="I112" i="3"/>
  <c r="J112" i="3" s="1" a="1"/>
  <c r="J112" i="3" s="1"/>
  <c r="H113" i="3"/>
  <c r="I113" i="3"/>
  <c r="J113" i="3" s="1" a="1"/>
  <c r="J113" i="3" s="1"/>
  <c r="H114" i="3"/>
  <c r="I114" i="3"/>
  <c r="J114" i="3" a="1"/>
  <c r="J114" i="3" s="1"/>
  <c r="H115" i="3"/>
  <c r="I115" i="3"/>
  <c r="J115" i="3" a="1"/>
  <c r="J115" i="3" s="1"/>
  <c r="H116" i="3"/>
  <c r="I116" i="3"/>
  <c r="J116" i="3" s="1" a="1"/>
  <c r="J116" i="3" s="1"/>
  <c r="H117" i="3"/>
  <c r="I117" i="3"/>
  <c r="J117" i="3" s="1" a="1"/>
  <c r="J117" i="3" s="1"/>
  <c r="H118" i="3"/>
  <c r="I118" i="3"/>
  <c r="J118" i="3" s="1" a="1"/>
  <c r="J118" i="3" s="1"/>
  <c r="H119" i="3"/>
  <c r="I119" i="3"/>
  <c r="J119" i="3" s="1" a="1"/>
  <c r="J119" i="3" s="1"/>
  <c r="H120" i="3"/>
  <c r="I120" i="3"/>
  <c r="J120" i="3" a="1"/>
  <c r="J120" i="3" s="1"/>
  <c r="H121" i="3"/>
  <c r="I121" i="3"/>
  <c r="J121" i="3" s="1" a="1"/>
  <c r="J121" i="3" s="1"/>
  <c r="H122" i="3"/>
  <c r="I122" i="3"/>
  <c r="J122" i="3" s="1" a="1"/>
  <c r="J122" i="3" s="1"/>
  <c r="H123" i="3"/>
  <c r="I123" i="3"/>
  <c r="J123" i="3" s="1" a="1"/>
  <c r="J123" i="3" s="1"/>
  <c r="H124" i="3"/>
  <c r="I124" i="3"/>
  <c r="J124" i="3" a="1"/>
  <c r="J124" i="3" s="1"/>
  <c r="H125" i="3"/>
  <c r="I125" i="3"/>
  <c r="J125" i="3" s="1" a="1"/>
  <c r="J125" i="3" s="1"/>
  <c r="H126" i="3"/>
  <c r="I126" i="3"/>
  <c r="J126" i="3" s="1" a="1"/>
  <c r="J126" i="3" s="1"/>
  <c r="H127" i="3"/>
  <c r="I127" i="3"/>
  <c r="J127" i="3" s="1" a="1"/>
  <c r="J127" i="3" s="1"/>
  <c r="H128" i="3"/>
  <c r="I128" i="3"/>
  <c r="J128" i="3" a="1"/>
  <c r="J128" i="3" s="1"/>
  <c r="H129" i="3"/>
  <c r="I129" i="3"/>
  <c r="J129" i="3" a="1"/>
  <c r="J129" i="3" s="1"/>
  <c r="H130" i="3"/>
  <c r="I130" i="3"/>
  <c r="J130" i="3" s="1" a="1"/>
  <c r="J130" i="3" s="1"/>
  <c r="H131" i="3"/>
  <c r="I131" i="3"/>
  <c r="J131" i="3" s="1" a="1"/>
  <c r="J131" i="3" s="1"/>
  <c r="H132" i="3"/>
  <c r="I132" i="3"/>
  <c r="J132" i="3" a="1"/>
  <c r="J132" i="3" s="1"/>
  <c r="H133" i="3"/>
  <c r="I133" i="3"/>
  <c r="J133" i="3" a="1"/>
  <c r="J133" i="3" s="1"/>
  <c r="H134" i="3"/>
  <c r="I134" i="3"/>
  <c r="J134" i="3" s="1" a="1"/>
  <c r="J134" i="3" s="1"/>
  <c r="H135" i="3"/>
  <c r="I135" i="3"/>
  <c r="J135" i="3" a="1"/>
  <c r="J135" i="3" s="1"/>
  <c r="H136" i="3"/>
  <c r="I136" i="3"/>
  <c r="J136" i="3" a="1"/>
  <c r="J136" i="3" s="1"/>
  <c r="H137" i="3"/>
  <c r="I137" i="3"/>
  <c r="J137" i="3" a="1"/>
  <c r="J137" i="3" s="1"/>
  <c r="H138" i="3"/>
  <c r="I138" i="3"/>
  <c r="J138" i="3" s="1" a="1"/>
  <c r="J138" i="3" s="1"/>
  <c r="H139" i="3"/>
  <c r="I139" i="3"/>
  <c r="J139" i="3" s="1" a="1"/>
  <c r="J139" i="3" s="1"/>
  <c r="H140" i="3"/>
  <c r="I140" i="3"/>
  <c r="J140" i="3" a="1"/>
  <c r="J140" i="3" s="1"/>
  <c r="H141" i="3"/>
  <c r="I141" i="3"/>
  <c r="J141" i="3" a="1"/>
  <c r="J141" i="3" s="1"/>
  <c r="H142" i="3"/>
  <c r="I142" i="3"/>
  <c r="J142" i="3" s="1" a="1"/>
  <c r="J142" i="3" s="1"/>
  <c r="H143" i="3"/>
  <c r="I143" i="3"/>
  <c r="J143" i="3" s="1" a="1"/>
  <c r="J143" i="3" s="1"/>
  <c r="H144" i="3"/>
  <c r="I144" i="3"/>
  <c r="J144" i="3" a="1"/>
  <c r="J144" i="3" s="1"/>
  <c r="H145" i="3"/>
  <c r="I145" i="3"/>
  <c r="J145" i="3" a="1"/>
  <c r="J145" i="3" s="1"/>
  <c r="H146" i="3"/>
  <c r="I146" i="3"/>
  <c r="J146" i="3" s="1" a="1"/>
  <c r="J146" i="3" s="1"/>
  <c r="H147" i="3"/>
  <c r="I147" i="3"/>
  <c r="J147" i="3" s="1" a="1"/>
  <c r="J147" i="3" s="1"/>
  <c r="H148" i="3"/>
  <c r="I148" i="3"/>
  <c r="J148" i="3" a="1"/>
  <c r="J148" i="3" s="1"/>
  <c r="H149" i="3"/>
  <c r="I149" i="3"/>
  <c r="J149" i="3" a="1"/>
  <c r="J149" i="3" s="1"/>
  <c r="H150" i="3"/>
  <c r="I150" i="3"/>
  <c r="J150" i="3" s="1" a="1"/>
  <c r="J150" i="3" s="1"/>
  <c r="H151" i="3"/>
  <c r="I151" i="3"/>
  <c r="J151" i="3" a="1"/>
  <c r="J151" i="3" s="1"/>
  <c r="H152" i="3"/>
  <c r="I152" i="3"/>
  <c r="J152" i="3" a="1"/>
  <c r="J152" i="3" s="1"/>
  <c r="H153" i="3"/>
  <c r="I153" i="3"/>
  <c r="J153" i="3" a="1"/>
  <c r="J153" i="3" s="1"/>
  <c r="H154" i="3"/>
  <c r="I154" i="3"/>
  <c r="J154" i="3" s="1" a="1"/>
  <c r="J154" i="3" s="1"/>
  <c r="H155" i="3"/>
  <c r="I155" i="3"/>
  <c r="J155" i="3" s="1" a="1"/>
  <c r="J155" i="3" s="1"/>
  <c r="H156" i="3"/>
  <c r="I156" i="3"/>
  <c r="J156" i="3" a="1"/>
  <c r="J156" i="3" s="1"/>
  <c r="H157" i="3"/>
  <c r="I157" i="3"/>
  <c r="J157" i="3" a="1"/>
  <c r="J157" i="3" s="1"/>
  <c r="H158" i="3"/>
  <c r="I158" i="3"/>
  <c r="J158" i="3" s="1" a="1"/>
  <c r="J158" i="3" s="1"/>
  <c r="H159" i="3"/>
  <c r="I159" i="3"/>
  <c r="J159" i="3" s="1" a="1"/>
  <c r="J159" i="3" s="1"/>
  <c r="H160" i="3"/>
  <c r="I160" i="3"/>
  <c r="J160" i="3" a="1"/>
  <c r="J160" i="3" s="1"/>
  <c r="H161" i="3"/>
  <c r="I161" i="3"/>
  <c r="J161" i="3" a="1"/>
  <c r="J161" i="3" s="1"/>
  <c r="H162" i="3"/>
  <c r="I162" i="3"/>
  <c r="J162" i="3" s="1" a="1"/>
  <c r="J162" i="3" s="1"/>
  <c r="H163" i="3"/>
  <c r="I163" i="3"/>
  <c r="J163" i="3" s="1" a="1"/>
  <c r="J163" i="3" s="1"/>
  <c r="H164" i="3"/>
  <c r="I164" i="3"/>
  <c r="J164" i="3" a="1"/>
  <c r="J164" i="3" s="1"/>
  <c r="H165" i="3"/>
  <c r="I165" i="3"/>
  <c r="J165" i="3" a="1"/>
  <c r="J165" i="3" s="1"/>
  <c r="H166" i="3"/>
  <c r="I166" i="3"/>
  <c r="J166" i="3" s="1" a="1"/>
  <c r="J166" i="3" s="1"/>
  <c r="H167" i="3"/>
  <c r="I167" i="3"/>
  <c r="J167" i="3" a="1"/>
  <c r="J167" i="3" s="1"/>
  <c r="H168" i="3"/>
  <c r="I168" i="3"/>
  <c r="J168" i="3" a="1"/>
  <c r="J168" i="3" s="1"/>
  <c r="H169" i="3"/>
  <c r="I169" i="3"/>
  <c r="J169" i="3" a="1"/>
  <c r="J169" i="3" s="1"/>
  <c r="H170" i="3"/>
  <c r="I170" i="3"/>
  <c r="J170" i="3" s="1" a="1"/>
  <c r="J170" i="3" s="1"/>
  <c r="H171" i="3"/>
  <c r="I171" i="3"/>
  <c r="J171" i="3" s="1" a="1"/>
  <c r="J171" i="3" s="1"/>
  <c r="H172" i="3"/>
  <c r="I172" i="3"/>
  <c r="J172" i="3" a="1"/>
  <c r="J172" i="3" s="1"/>
  <c r="H173" i="3"/>
  <c r="I173" i="3"/>
  <c r="J173" i="3" a="1"/>
  <c r="J173" i="3" s="1"/>
  <c r="H174" i="3"/>
  <c r="I174" i="3"/>
  <c r="J174" i="3" s="1" a="1"/>
  <c r="J174" i="3" s="1"/>
  <c r="H175" i="3"/>
  <c r="I175" i="3"/>
  <c r="J175" i="3" s="1" a="1"/>
  <c r="J175" i="3" s="1"/>
  <c r="H176" i="3"/>
  <c r="I176" i="3"/>
  <c r="J176" i="3" s="1" a="1"/>
  <c r="J176" i="3" s="1"/>
  <c r="H177" i="3"/>
  <c r="I177" i="3"/>
  <c r="J177" i="3" a="1"/>
  <c r="J177" i="3" s="1"/>
  <c r="H178" i="3"/>
  <c r="I178" i="3"/>
  <c r="J178" i="3" s="1" a="1"/>
  <c r="J178" i="3" s="1"/>
  <c r="H179" i="3"/>
  <c r="I179" i="3"/>
  <c r="J179" i="3" s="1" a="1"/>
  <c r="J179" i="3" s="1"/>
  <c r="H180" i="3"/>
  <c r="I180" i="3"/>
  <c r="J180" i="3" a="1"/>
  <c r="J180" i="3" s="1"/>
  <c r="H181" i="3"/>
  <c r="I181" i="3"/>
  <c r="J181" i="3" s="1" a="1"/>
  <c r="J181" i="3" s="1"/>
  <c r="H182" i="3"/>
  <c r="I182" i="3"/>
  <c r="J182" i="3" s="1" a="1"/>
  <c r="J182" i="3" s="1"/>
  <c r="H183" i="3"/>
  <c r="I183" i="3"/>
  <c r="J183" i="3" s="1" a="1"/>
  <c r="J183" i="3" s="1"/>
  <c r="H184" i="3"/>
  <c r="I184" i="3"/>
  <c r="J184" i="3" a="1"/>
  <c r="J184" i="3" s="1"/>
  <c r="H185" i="3"/>
  <c r="I185" i="3"/>
  <c r="J185" i="3" s="1" a="1"/>
  <c r="J185" i="3" s="1"/>
  <c r="H186" i="3"/>
  <c r="I186" i="3"/>
  <c r="J186" i="3" s="1" a="1"/>
  <c r="J186" i="3" s="1"/>
  <c r="H187" i="3"/>
  <c r="I187" i="3"/>
  <c r="J187" i="3" s="1" a="1"/>
  <c r="J187" i="3" s="1"/>
  <c r="H188" i="3"/>
  <c r="I188" i="3"/>
  <c r="J188" i="3" a="1"/>
  <c r="J188" i="3" s="1"/>
  <c r="H189" i="3"/>
  <c r="I189" i="3"/>
  <c r="J189" i="3" s="1" a="1"/>
  <c r="J189" i="3" s="1"/>
  <c r="H190" i="3"/>
  <c r="I190" i="3"/>
  <c r="J190" i="3" s="1" a="1"/>
  <c r="J190" i="3" s="1"/>
  <c r="H191" i="3"/>
  <c r="I191" i="3"/>
  <c r="J191" i="3" s="1" a="1"/>
  <c r="J191" i="3" s="1"/>
  <c r="H192" i="3"/>
  <c r="I192" i="3"/>
  <c r="J192" i="3" a="1"/>
  <c r="J192" i="3" s="1"/>
  <c r="H193" i="3"/>
  <c r="I193" i="3"/>
  <c r="J193" i="3" s="1" a="1"/>
  <c r="J193" i="3" s="1"/>
  <c r="H194" i="3"/>
  <c r="I194" i="3"/>
  <c r="J194" i="3" s="1" a="1"/>
  <c r="J194" i="3" s="1"/>
  <c r="H195" i="3"/>
  <c r="I195" i="3"/>
  <c r="J195" i="3" s="1" a="1"/>
  <c r="J195" i="3" s="1"/>
  <c r="H196" i="3"/>
  <c r="I196" i="3"/>
  <c r="J196" i="3" a="1"/>
  <c r="J196" i="3" s="1"/>
  <c r="H197" i="3"/>
  <c r="I197" i="3"/>
  <c r="J197" i="3" s="1" a="1"/>
  <c r="J197" i="3" s="1"/>
  <c r="H198" i="3"/>
  <c r="I198" i="3"/>
  <c r="J198" i="3" s="1" a="1"/>
  <c r="J198" i="3" s="1"/>
  <c r="H199" i="3"/>
  <c r="I199" i="3"/>
  <c r="J199" i="3" s="1" a="1"/>
  <c r="J199" i="3" s="1"/>
  <c r="H200" i="3"/>
  <c r="I200" i="3"/>
  <c r="J200" i="3" a="1"/>
  <c r="J200" i="3" s="1"/>
  <c r="H201" i="3"/>
  <c r="I201" i="3"/>
  <c r="J201" i="3" s="1" a="1"/>
  <c r="J201" i="3" s="1"/>
  <c r="H202" i="3"/>
  <c r="I202" i="3"/>
  <c r="J202" i="3" s="1" a="1"/>
  <c r="J202" i="3" s="1"/>
  <c r="H203" i="3"/>
  <c r="I203" i="3"/>
  <c r="J203" i="3" s="1" a="1"/>
  <c r="J203" i="3" s="1"/>
  <c r="H204" i="3"/>
  <c r="I204" i="3"/>
  <c r="J204" i="3" a="1"/>
  <c r="J204" i="3" s="1"/>
  <c r="H205" i="3"/>
  <c r="I205" i="3"/>
  <c r="J205" i="3" s="1" a="1"/>
  <c r="J205" i="3" s="1"/>
  <c r="H206" i="3"/>
  <c r="I206" i="3"/>
  <c r="J206" i="3" s="1" a="1"/>
  <c r="J206" i="3" s="1"/>
  <c r="H207" i="3"/>
  <c r="I207" i="3"/>
  <c r="J207" i="3" s="1" a="1"/>
  <c r="J207" i="3" s="1"/>
  <c r="H208" i="3"/>
  <c r="I208" i="3"/>
  <c r="J208" i="3" a="1"/>
  <c r="J208" i="3" s="1"/>
  <c r="H209" i="3"/>
  <c r="I209" i="3"/>
  <c r="J209" i="3" s="1" a="1"/>
  <c r="J209" i="3" s="1"/>
  <c r="H210" i="3"/>
  <c r="I210" i="3"/>
  <c r="J210" i="3" s="1" a="1"/>
  <c r="J210" i="3" s="1"/>
  <c r="H211" i="3"/>
  <c r="I211" i="3"/>
  <c r="J211" i="3" s="1" a="1"/>
  <c r="J211" i="3" s="1"/>
  <c r="H212" i="3"/>
  <c r="I212" i="3"/>
  <c r="J212" i="3" a="1"/>
  <c r="J212" i="3" s="1"/>
  <c r="H213" i="3"/>
  <c r="I213" i="3"/>
  <c r="J213" i="3" s="1" a="1"/>
  <c r="J213" i="3" s="1"/>
  <c r="H214" i="3"/>
  <c r="I214" i="3"/>
  <c r="J214" i="3" s="1" a="1"/>
  <c r="J214" i="3" s="1"/>
  <c r="H215" i="3"/>
  <c r="I215" i="3"/>
  <c r="J215" i="3" s="1" a="1"/>
  <c r="J215" i="3" s="1"/>
  <c r="H216" i="3"/>
  <c r="I216" i="3"/>
  <c r="J216" i="3" a="1"/>
  <c r="J216" i="3" s="1"/>
  <c r="H217" i="3"/>
  <c r="I217" i="3"/>
  <c r="J217" i="3" s="1" a="1"/>
  <c r="J217" i="3" s="1"/>
  <c r="H218" i="3"/>
  <c r="I218" i="3"/>
  <c r="J218" i="3" s="1" a="1"/>
  <c r="J218" i="3" s="1"/>
  <c r="H219" i="3"/>
  <c r="I219" i="3"/>
  <c r="J219" i="3" s="1" a="1"/>
  <c r="J219" i="3" s="1"/>
  <c r="H220" i="3"/>
  <c r="I220" i="3"/>
  <c r="J220" i="3" a="1"/>
  <c r="J220" i="3" s="1"/>
  <c r="H221" i="3"/>
  <c r="I221" i="3"/>
  <c r="J221" i="3" s="1" a="1"/>
  <c r="J221" i="3" s="1"/>
  <c r="H222" i="3"/>
  <c r="I222" i="3"/>
  <c r="J222" i="3" s="1" a="1"/>
  <c r="J222" i="3" s="1"/>
  <c r="H223" i="3"/>
  <c r="I223" i="3"/>
  <c r="J223" i="3" s="1" a="1"/>
  <c r="J223" i="3" s="1"/>
  <c r="H224" i="3"/>
  <c r="I224" i="3"/>
  <c r="J224" i="3" a="1"/>
  <c r="J224" i="3" s="1"/>
  <c r="H225" i="3"/>
  <c r="I225" i="3"/>
  <c r="J225" i="3" s="1" a="1"/>
  <c r="J225" i="3" s="1"/>
  <c r="H226" i="3"/>
  <c r="I226" i="3"/>
  <c r="J226" i="3" s="1" a="1"/>
  <c r="J226" i="3" s="1"/>
  <c r="H227" i="3"/>
  <c r="I227" i="3"/>
  <c r="J227" i="3" s="1" a="1"/>
  <c r="J227" i="3" s="1"/>
  <c r="H228" i="3"/>
  <c r="I228" i="3"/>
  <c r="J228" i="3" a="1"/>
  <c r="J228" i="3" s="1"/>
  <c r="H229" i="3"/>
  <c r="I229" i="3"/>
  <c r="J229" i="3" s="1" a="1"/>
  <c r="J229" i="3" s="1"/>
  <c r="H230" i="3"/>
  <c r="I230" i="3"/>
  <c r="J230" i="3" s="1" a="1"/>
  <c r="J230" i="3" s="1"/>
  <c r="H231" i="3"/>
  <c r="I231" i="3"/>
  <c r="J231" i="3" s="1" a="1"/>
  <c r="J231" i="3" s="1"/>
  <c r="H232" i="3"/>
  <c r="I232" i="3"/>
  <c r="J232" i="3" a="1"/>
  <c r="J232" i="3" s="1"/>
  <c r="H233" i="3"/>
  <c r="I233" i="3"/>
  <c r="J233" i="3" s="1" a="1"/>
  <c r="J233" i="3" s="1"/>
  <c r="H234" i="3"/>
  <c r="I234" i="3"/>
  <c r="J234" i="3" s="1" a="1"/>
  <c r="J234" i="3" s="1"/>
  <c r="H235" i="3"/>
  <c r="I235" i="3"/>
  <c r="J235" i="3" s="1" a="1"/>
  <c r="J235" i="3" s="1"/>
  <c r="H236" i="3"/>
  <c r="I236" i="3"/>
  <c r="J236" i="3" a="1"/>
  <c r="J236" i="3" s="1"/>
  <c r="H237" i="3"/>
  <c r="I237" i="3"/>
  <c r="J237" i="3" s="1" a="1"/>
  <c r="J237" i="3" s="1"/>
  <c r="H238" i="3"/>
  <c r="I238" i="3"/>
  <c r="J238" i="3" s="1" a="1"/>
  <c r="J238" i="3" s="1"/>
  <c r="H239" i="3"/>
  <c r="I239" i="3"/>
  <c r="J239" i="3" s="1" a="1"/>
  <c r="J239" i="3" s="1"/>
  <c r="H240" i="3"/>
  <c r="I240" i="3"/>
  <c r="J240" i="3" a="1"/>
  <c r="J240" i="3" s="1"/>
  <c r="H241" i="3"/>
  <c r="I241" i="3"/>
  <c r="J241" i="3" s="1" a="1"/>
  <c r="J241" i="3" s="1"/>
  <c r="H242" i="3"/>
  <c r="I242" i="3"/>
  <c r="J242" i="3" s="1" a="1"/>
  <c r="J242" i="3" s="1"/>
  <c r="H243" i="3"/>
  <c r="I243" i="3"/>
  <c r="J243" i="3" s="1" a="1"/>
  <c r="J243" i="3" s="1"/>
  <c r="H244" i="3"/>
  <c r="I244" i="3"/>
  <c r="J244" i="3" a="1"/>
  <c r="J244" i="3" s="1"/>
  <c r="H245" i="3"/>
  <c r="I245" i="3"/>
  <c r="J245" i="3" s="1" a="1"/>
  <c r="J245" i="3" s="1"/>
  <c r="H246" i="3"/>
  <c r="I246" i="3"/>
  <c r="J246" i="3" s="1" a="1"/>
  <c r="J246" i="3" s="1"/>
  <c r="H247" i="3"/>
  <c r="I247" i="3"/>
  <c r="J247" i="3" s="1" a="1"/>
  <c r="J247" i="3" s="1"/>
  <c r="H248" i="3"/>
  <c r="I248" i="3"/>
  <c r="J248" i="3" a="1"/>
  <c r="J248" i="3" s="1"/>
  <c r="H249" i="3"/>
  <c r="I249" i="3"/>
  <c r="J249" i="3" s="1" a="1"/>
  <c r="J249" i="3" s="1"/>
  <c r="H250" i="3"/>
  <c r="I250" i="3"/>
  <c r="J250" i="3" s="1" a="1"/>
  <c r="J250" i="3" s="1"/>
  <c r="H251" i="3"/>
  <c r="I251" i="3"/>
  <c r="J251" i="3" s="1" a="1"/>
  <c r="J251" i="3" s="1"/>
  <c r="H252" i="3"/>
  <c r="I252" i="3"/>
  <c r="J252" i="3" a="1"/>
  <c r="J252" i="3" s="1"/>
  <c r="H253" i="3"/>
  <c r="I253" i="3"/>
  <c r="J253" i="3" s="1" a="1"/>
  <c r="J253" i="3" s="1"/>
  <c r="H254" i="3"/>
  <c r="I254" i="3"/>
  <c r="J254" i="3" s="1" a="1"/>
  <c r="J254" i="3" s="1"/>
  <c r="H255" i="3"/>
  <c r="I255" i="3"/>
  <c r="J255" i="3" s="1" a="1"/>
  <c r="J255" i="3" s="1"/>
  <c r="H256" i="3"/>
  <c r="I256" i="3"/>
  <c r="J256" i="3" a="1"/>
  <c r="J256" i="3" s="1"/>
  <c r="H257" i="3"/>
  <c r="I257" i="3"/>
  <c r="J257" i="3" s="1" a="1"/>
  <c r="J257" i="3" s="1"/>
  <c r="H258" i="3"/>
  <c r="I258" i="3"/>
  <c r="J258" i="3" s="1" a="1"/>
  <c r="J258" i="3" s="1"/>
  <c r="H259" i="3"/>
  <c r="I259" i="3"/>
  <c r="J259" i="3" s="1" a="1"/>
  <c r="J259" i="3" s="1"/>
  <c r="H260" i="3"/>
  <c r="I260" i="3"/>
  <c r="J260" i="3" a="1"/>
  <c r="J260" i="3" s="1"/>
  <c r="H261" i="3"/>
  <c r="I261" i="3"/>
  <c r="J261" i="3" a="1"/>
  <c r="J261" i="3" s="1"/>
  <c r="H262" i="3"/>
  <c r="I262" i="3"/>
  <c r="J262" i="3" s="1" a="1"/>
  <c r="J262" i="3" s="1"/>
  <c r="H263" i="3"/>
  <c r="I263" i="3"/>
  <c r="J263" i="3" s="1" a="1"/>
  <c r="J263" i="3" s="1"/>
  <c r="H264" i="3"/>
  <c r="I264" i="3"/>
  <c r="J264" i="3" a="1"/>
  <c r="J264" i="3" s="1"/>
  <c r="H265" i="3"/>
  <c r="I265" i="3"/>
  <c r="J265" i="3" a="1"/>
  <c r="J265" i="3" s="1"/>
  <c r="H266" i="3"/>
  <c r="I266" i="3"/>
  <c r="J266" i="3" s="1" a="1"/>
  <c r="J266" i="3" s="1"/>
  <c r="H267" i="3"/>
  <c r="I267" i="3"/>
  <c r="J267" i="3" a="1"/>
  <c r="J267" i="3" s="1"/>
  <c r="H268" i="3"/>
  <c r="I268" i="3"/>
  <c r="J268" i="3" a="1"/>
  <c r="J268" i="3" s="1"/>
  <c r="H269" i="3"/>
  <c r="I269" i="3"/>
  <c r="J269" i="3" a="1"/>
  <c r="J269" i="3" s="1"/>
  <c r="H270" i="3"/>
  <c r="I270" i="3"/>
  <c r="J270" i="3" s="1" a="1"/>
  <c r="J270" i="3" s="1"/>
  <c r="H271" i="3"/>
  <c r="I271" i="3"/>
  <c r="J271" i="3" s="1" a="1"/>
  <c r="J271" i="3" s="1"/>
  <c r="H272" i="3"/>
  <c r="I272" i="3"/>
  <c r="J272" i="3" a="1"/>
  <c r="J272" i="3" s="1"/>
  <c r="H273" i="3"/>
  <c r="I273" i="3"/>
  <c r="J273" i="3" a="1"/>
  <c r="J273" i="3" s="1"/>
  <c r="H274" i="3"/>
  <c r="I274" i="3"/>
  <c r="J274" i="3" s="1" a="1"/>
  <c r="J274" i="3" s="1"/>
  <c r="H275" i="3"/>
  <c r="I275" i="3"/>
  <c r="J275" i="3" a="1"/>
  <c r="J275" i="3" s="1"/>
  <c r="H276" i="3"/>
  <c r="I276" i="3"/>
  <c r="J276" i="3" a="1"/>
  <c r="J276" i="3" s="1"/>
  <c r="H277" i="3"/>
  <c r="I277" i="3"/>
  <c r="J277" i="3" a="1"/>
  <c r="J277" i="3" s="1"/>
  <c r="H278" i="3"/>
  <c r="I278" i="3"/>
  <c r="J278" i="3" s="1" a="1"/>
  <c r="J278" i="3" s="1"/>
  <c r="H279" i="3"/>
  <c r="I279" i="3"/>
  <c r="J279" i="3" a="1"/>
  <c r="J279" i="3" s="1"/>
  <c r="H280" i="3"/>
  <c r="I280" i="3"/>
  <c r="J280" i="3" a="1"/>
  <c r="J280" i="3" s="1"/>
  <c r="H281" i="3"/>
  <c r="I281" i="3"/>
  <c r="J281" i="3" a="1"/>
  <c r="J281" i="3" s="1"/>
  <c r="H282" i="3"/>
  <c r="I282" i="3"/>
  <c r="J282" i="3" s="1" a="1"/>
  <c r="J282" i="3" s="1"/>
  <c r="H283" i="3"/>
  <c r="I283" i="3"/>
  <c r="J283" i="3" a="1"/>
  <c r="J283" i="3" s="1"/>
  <c r="H284" i="3"/>
  <c r="I284" i="3"/>
  <c r="J284" i="3" a="1"/>
  <c r="J284" i="3" s="1"/>
  <c r="H285" i="3"/>
  <c r="I285" i="3"/>
  <c r="J285" i="3" a="1"/>
  <c r="J285" i="3" s="1"/>
  <c r="H286" i="3"/>
  <c r="I286" i="3"/>
  <c r="J286" i="3" s="1" a="1"/>
  <c r="J286" i="3" s="1"/>
  <c r="H287" i="3"/>
  <c r="I287" i="3"/>
  <c r="J287" i="3" a="1"/>
  <c r="J287" i="3" s="1"/>
  <c r="H288" i="3"/>
  <c r="I288" i="3"/>
  <c r="J288" i="3" a="1"/>
  <c r="J288" i="3" s="1"/>
  <c r="H289" i="3"/>
  <c r="I289" i="3"/>
  <c r="J289" i="3" s="1" a="1"/>
  <c r="J289" i="3" s="1"/>
  <c r="H290" i="3"/>
  <c r="I290" i="3"/>
  <c r="J290" i="3" a="1"/>
  <c r="J290" i="3" s="1"/>
  <c r="H291" i="3"/>
  <c r="I291" i="3"/>
  <c r="J291" i="3" a="1"/>
  <c r="J291" i="3" s="1"/>
  <c r="H292" i="3"/>
  <c r="I292" i="3"/>
  <c r="J292" i="3" a="1"/>
  <c r="J292" i="3" s="1"/>
  <c r="H293" i="3"/>
  <c r="I293" i="3"/>
  <c r="J293" i="3" s="1" a="1"/>
  <c r="J293" i="3" s="1"/>
  <c r="H294" i="3"/>
  <c r="I294" i="3"/>
  <c r="J294" i="3" a="1"/>
  <c r="J294" i="3" s="1"/>
  <c r="H295" i="3"/>
  <c r="I295" i="3"/>
  <c r="J295" i="3" a="1"/>
  <c r="J295" i="3" s="1"/>
  <c r="H296" i="3"/>
  <c r="I296" i="3"/>
  <c r="J296" i="3" a="1"/>
  <c r="J296" i="3" s="1"/>
  <c r="H297" i="3"/>
  <c r="I297" i="3"/>
  <c r="J297" i="3" s="1" a="1"/>
  <c r="J297" i="3" s="1"/>
  <c r="H298" i="3"/>
  <c r="I298" i="3"/>
  <c r="J298" i="3" a="1"/>
  <c r="J298" i="3" s="1"/>
  <c r="H299" i="3"/>
  <c r="I299" i="3"/>
  <c r="J299" i="3" a="1"/>
  <c r="J299" i="3" s="1"/>
  <c r="H300" i="3"/>
  <c r="I300" i="3"/>
  <c r="J300" i="3" a="1"/>
  <c r="J300" i="3" s="1"/>
  <c r="H301" i="3"/>
  <c r="I301" i="3"/>
  <c r="J301" i="3" s="1" a="1"/>
  <c r="J301" i="3" s="1"/>
  <c r="H302" i="3"/>
  <c r="I302" i="3"/>
  <c r="J302" i="3" a="1"/>
  <c r="J302" i="3" s="1"/>
  <c r="H303" i="3"/>
  <c r="I303" i="3"/>
  <c r="J303" i="3" a="1"/>
  <c r="J303" i="3" s="1"/>
  <c r="H304" i="3"/>
  <c r="I304" i="3"/>
  <c r="J304" i="3" a="1"/>
  <c r="J304" i="3" s="1"/>
  <c r="H305" i="3"/>
  <c r="I305" i="3"/>
  <c r="J305" i="3" s="1" a="1"/>
  <c r="J305" i="3" s="1"/>
  <c r="H306" i="3"/>
  <c r="I306" i="3"/>
  <c r="J306" i="3" a="1"/>
  <c r="J306" i="3" s="1"/>
  <c r="H307" i="3"/>
  <c r="I307" i="3"/>
  <c r="J307" i="3" a="1"/>
  <c r="J307" i="3" s="1"/>
  <c r="H308" i="3"/>
  <c r="I308" i="3"/>
  <c r="J308" i="3" a="1"/>
  <c r="J308" i="3" s="1"/>
  <c r="H309" i="3"/>
  <c r="I309" i="3"/>
  <c r="J309" i="3" s="1" a="1"/>
  <c r="J309" i="3" s="1"/>
  <c r="H310" i="3"/>
  <c r="I310" i="3"/>
  <c r="J310" i="3" a="1"/>
  <c r="J310" i="3" s="1"/>
  <c r="H311" i="3"/>
  <c r="I311" i="3"/>
  <c r="J311" i="3" a="1"/>
  <c r="J311" i="3" s="1"/>
  <c r="H312" i="3"/>
  <c r="I312" i="3"/>
  <c r="J312" i="3" a="1"/>
  <c r="J312" i="3" s="1"/>
  <c r="H313" i="3"/>
  <c r="I313" i="3"/>
  <c r="J313" i="3" s="1" a="1"/>
  <c r="J313" i="3" s="1"/>
  <c r="H314" i="3"/>
  <c r="I314" i="3"/>
  <c r="J314" i="3" a="1"/>
  <c r="J314" i="3" s="1"/>
  <c r="H315" i="3"/>
  <c r="I315" i="3"/>
  <c r="J315" i="3" a="1"/>
  <c r="J315" i="3" s="1"/>
  <c r="H316" i="3"/>
  <c r="I316" i="3"/>
  <c r="J316" i="3" a="1"/>
  <c r="J316" i="3" s="1"/>
  <c r="H317" i="3"/>
  <c r="I317" i="3"/>
  <c r="J317" i="3" s="1" a="1"/>
  <c r="J317" i="3" s="1"/>
  <c r="H318" i="3"/>
  <c r="I318" i="3"/>
  <c r="J318" i="3" a="1"/>
  <c r="J318" i="3" s="1"/>
  <c r="H319" i="3"/>
  <c r="I319" i="3"/>
  <c r="J319" i="3" a="1"/>
  <c r="J319" i="3" s="1"/>
  <c r="H320" i="3"/>
  <c r="I320" i="3"/>
  <c r="J320" i="3" a="1"/>
  <c r="J320" i="3" s="1"/>
  <c r="H321" i="3"/>
  <c r="I321" i="3"/>
  <c r="J321" i="3" s="1" a="1"/>
  <c r="J321" i="3" s="1"/>
  <c r="H322" i="3"/>
  <c r="I322" i="3"/>
  <c r="J322" i="3" a="1"/>
  <c r="J322" i="3" s="1"/>
  <c r="H323" i="3"/>
  <c r="I323" i="3"/>
  <c r="J323" i="3" a="1"/>
  <c r="J323" i="3" s="1"/>
  <c r="H324" i="3"/>
  <c r="I324" i="3"/>
  <c r="J324" i="3" a="1"/>
  <c r="J324" i="3" s="1"/>
  <c r="H325" i="3"/>
  <c r="I325" i="3"/>
  <c r="J325" i="3" s="1" a="1"/>
  <c r="J325" i="3" s="1"/>
  <c r="H326" i="3"/>
  <c r="I326" i="3"/>
  <c r="J326" i="3" a="1"/>
  <c r="J326" i="3" s="1"/>
  <c r="H327" i="3"/>
  <c r="I327" i="3"/>
  <c r="J327" i="3" a="1"/>
  <c r="J327" i="3" s="1"/>
  <c r="H328" i="3"/>
  <c r="I328" i="3"/>
  <c r="J328" i="3" a="1"/>
  <c r="J328" i="3" s="1"/>
  <c r="H329" i="3"/>
  <c r="I329" i="3"/>
  <c r="J329" i="3" s="1" a="1"/>
  <c r="J329" i="3" s="1"/>
  <c r="H330" i="3"/>
  <c r="I330" i="3"/>
  <c r="J330" i="3" a="1"/>
  <c r="J330" i="3" s="1"/>
  <c r="H331" i="3"/>
  <c r="I331" i="3"/>
  <c r="J331" i="3" a="1"/>
  <c r="J331" i="3" s="1"/>
  <c r="H332" i="3"/>
  <c r="I332" i="3"/>
  <c r="J332" i="3" a="1"/>
  <c r="J332" i="3" s="1"/>
  <c r="H333" i="3"/>
  <c r="I333" i="3"/>
  <c r="J333" i="3" s="1" a="1"/>
  <c r="J333" i="3" s="1"/>
  <c r="H334" i="3"/>
  <c r="I334" i="3"/>
  <c r="J334" i="3" a="1"/>
  <c r="J334" i="3" s="1"/>
  <c r="H335" i="3"/>
  <c r="I335" i="3"/>
  <c r="J335" i="3" a="1"/>
  <c r="J335" i="3" s="1"/>
  <c r="H336" i="3"/>
  <c r="I336" i="3"/>
  <c r="J336" i="3" a="1"/>
  <c r="J336" i="3" s="1"/>
  <c r="H337" i="3"/>
  <c r="I337" i="3"/>
  <c r="J337" i="3" s="1" a="1"/>
  <c r="J337" i="3" s="1"/>
  <c r="H338" i="3"/>
  <c r="I338" i="3"/>
  <c r="J338" i="3" a="1"/>
  <c r="J338" i="3" s="1"/>
  <c r="H339" i="3"/>
  <c r="I339" i="3"/>
  <c r="J339" i="3" a="1"/>
  <c r="J339" i="3" s="1"/>
  <c r="H340" i="3"/>
  <c r="I340" i="3"/>
  <c r="J340" i="3" a="1"/>
  <c r="J340" i="3" s="1"/>
  <c r="H341" i="3"/>
  <c r="I341" i="3"/>
  <c r="J341" i="3" s="1" a="1"/>
  <c r="J341" i="3" s="1"/>
  <c r="H342" i="3"/>
  <c r="I342" i="3"/>
  <c r="J342" i="3" a="1"/>
  <c r="J342" i="3" s="1"/>
  <c r="H343" i="3"/>
  <c r="I343" i="3"/>
  <c r="J343" i="3" a="1"/>
  <c r="J343" i="3" s="1"/>
  <c r="H344" i="3"/>
  <c r="I344" i="3"/>
  <c r="J344" i="3" a="1"/>
  <c r="J344" i="3" s="1"/>
  <c r="H345" i="3"/>
  <c r="I345" i="3"/>
  <c r="J345" i="3" s="1" a="1"/>
  <c r="J345" i="3" s="1"/>
  <c r="H346" i="3"/>
  <c r="I346" i="3"/>
  <c r="J346" i="3" a="1"/>
  <c r="J346" i="3" s="1"/>
  <c r="H347" i="3"/>
  <c r="I347" i="3"/>
  <c r="J347" i="3" a="1"/>
  <c r="J347" i="3" s="1"/>
  <c r="H348" i="3"/>
  <c r="I348" i="3"/>
  <c r="J348" i="3" a="1"/>
  <c r="J348" i="3" s="1"/>
  <c r="H349" i="3"/>
  <c r="I349" i="3"/>
  <c r="J349" i="3" s="1" a="1"/>
  <c r="J349" i="3" s="1"/>
  <c r="H350" i="3"/>
  <c r="I350" i="3"/>
  <c r="J350" i="3" a="1"/>
  <c r="J350" i="3" s="1"/>
  <c r="H351" i="3"/>
  <c r="I351" i="3"/>
  <c r="J351" i="3" a="1"/>
  <c r="J351" i="3" s="1"/>
  <c r="H352" i="3"/>
  <c r="I352" i="3"/>
  <c r="J352" i="3" a="1"/>
  <c r="J352" i="3" s="1"/>
  <c r="H353" i="3"/>
  <c r="I353" i="3"/>
  <c r="J353" i="3" s="1" a="1"/>
  <c r="J353" i="3" s="1"/>
  <c r="H354" i="3"/>
  <c r="I354" i="3"/>
  <c r="J354" i="3" a="1"/>
  <c r="J354" i="3" s="1"/>
  <c r="H355" i="3"/>
  <c r="I355" i="3"/>
  <c r="J355" i="3" a="1"/>
  <c r="J355" i="3" s="1"/>
  <c r="H356" i="3"/>
  <c r="I356" i="3"/>
  <c r="J356" i="3" a="1"/>
  <c r="J356" i="3" s="1"/>
  <c r="H357" i="3"/>
  <c r="I357" i="3"/>
  <c r="J357" i="3" s="1" a="1"/>
  <c r="J357" i="3" s="1"/>
  <c r="H358" i="3"/>
  <c r="I358" i="3"/>
  <c r="J358" i="3" a="1"/>
  <c r="J358" i="3" s="1"/>
  <c r="H359" i="3"/>
  <c r="I359" i="3"/>
  <c r="J359" i="3" a="1"/>
  <c r="J359" i="3" s="1"/>
  <c r="H360" i="3"/>
  <c r="I360" i="3"/>
  <c r="J360" i="3" a="1"/>
  <c r="J360" i="3" s="1"/>
  <c r="H361" i="3"/>
  <c r="I361" i="3"/>
  <c r="J361" i="3" s="1" a="1"/>
  <c r="J361" i="3" s="1"/>
  <c r="H362" i="3"/>
  <c r="I362" i="3"/>
  <c r="J362" i="3" a="1"/>
  <c r="J362" i="3" s="1"/>
  <c r="H363" i="3"/>
  <c r="I363" i="3"/>
  <c r="J363" i="3" a="1"/>
  <c r="J363" i="3" s="1"/>
  <c r="H364" i="3"/>
  <c r="I364" i="3"/>
  <c r="J364" i="3" a="1"/>
  <c r="J364" i="3" s="1"/>
  <c r="H365" i="3"/>
  <c r="I365" i="3"/>
  <c r="J365" i="3" s="1" a="1"/>
  <c r="J365" i="3" s="1"/>
  <c r="H366" i="3"/>
  <c r="I366" i="3"/>
  <c r="J366" i="3" s="1" a="1"/>
  <c r="J366" i="3" s="1"/>
  <c r="H367" i="3"/>
  <c r="I367" i="3"/>
  <c r="J367" i="3" a="1"/>
  <c r="J367" i="3" s="1"/>
  <c r="H368" i="3"/>
  <c r="I368" i="3"/>
  <c r="J368" i="3" a="1"/>
  <c r="J368" i="3" s="1"/>
  <c r="H369" i="3"/>
  <c r="I369" i="3"/>
  <c r="J369" i="3" s="1" a="1"/>
  <c r="J369" i="3" s="1"/>
  <c r="H370" i="3"/>
  <c r="I370" i="3"/>
  <c r="J370" i="3" s="1" a="1"/>
  <c r="J370" i="3" s="1"/>
  <c r="H371" i="3"/>
  <c r="I371" i="3"/>
  <c r="J371" i="3" s="1" a="1"/>
  <c r="J371" i="3" s="1"/>
  <c r="H372" i="3"/>
  <c r="I372" i="3"/>
  <c r="J372" i="3" a="1"/>
  <c r="J372" i="3" s="1"/>
  <c r="H373" i="3"/>
  <c r="I373" i="3"/>
  <c r="J373" i="3" s="1" a="1"/>
  <c r="J373" i="3" s="1"/>
  <c r="H374" i="3"/>
  <c r="I374" i="3"/>
  <c r="J374" i="3" s="1" a="1"/>
  <c r="J374" i="3" s="1"/>
  <c r="H375" i="3"/>
  <c r="I375" i="3"/>
  <c r="J375" i="3" a="1"/>
  <c r="J375" i="3" s="1"/>
  <c r="H376" i="3"/>
  <c r="I376" i="3"/>
  <c r="J376" i="3" a="1"/>
  <c r="J376" i="3" s="1"/>
  <c r="H377" i="3"/>
  <c r="I377" i="3"/>
  <c r="J377" i="3" s="1" a="1"/>
  <c r="J377" i="3" s="1"/>
  <c r="H378" i="3"/>
  <c r="I378" i="3"/>
  <c r="J378" i="3" s="1" a="1"/>
  <c r="J378" i="3" s="1"/>
  <c r="H379" i="3"/>
  <c r="I379" i="3"/>
  <c r="J379" i="3" s="1" a="1"/>
  <c r="J379" i="3" s="1"/>
  <c r="H380" i="3"/>
  <c r="I380" i="3"/>
  <c r="J380" i="3" a="1"/>
  <c r="J380" i="3" s="1"/>
  <c r="H381" i="3"/>
  <c r="I381" i="3"/>
  <c r="J381" i="3" s="1" a="1"/>
  <c r="J381" i="3" s="1"/>
  <c r="H382" i="3"/>
  <c r="I382" i="3"/>
  <c r="J382" i="3" a="1"/>
  <c r="J382" i="3" s="1"/>
  <c r="H383" i="3"/>
  <c r="I383" i="3"/>
  <c r="J383" i="3" s="1" a="1"/>
  <c r="J383" i="3" s="1"/>
  <c r="H384" i="3"/>
  <c r="I384" i="3"/>
  <c r="J384" i="3" a="1"/>
  <c r="J384" i="3" s="1"/>
  <c r="H385" i="3"/>
  <c r="I385" i="3"/>
  <c r="J385" i="3" s="1" a="1"/>
  <c r="J385" i="3" s="1"/>
  <c r="H386" i="3"/>
  <c r="I386" i="3"/>
  <c r="J386" i="3" s="1" a="1"/>
  <c r="J386" i="3" s="1"/>
  <c r="H387" i="3"/>
  <c r="I387" i="3"/>
  <c r="J387" i="3" s="1" a="1"/>
  <c r="J387" i="3" s="1"/>
  <c r="H388" i="3"/>
  <c r="I388" i="3"/>
  <c r="J388" i="3" a="1"/>
  <c r="J388" i="3" s="1"/>
  <c r="H389" i="3"/>
  <c r="I389" i="3"/>
  <c r="J389" i="3" s="1" a="1"/>
  <c r="J389" i="3" s="1"/>
  <c r="H390" i="3"/>
  <c r="I390" i="3"/>
  <c r="J390" i="3" s="1" a="1"/>
  <c r="J390" i="3" s="1"/>
  <c r="H391" i="3"/>
  <c r="I391" i="3"/>
  <c r="J391" i="3" a="1"/>
  <c r="J391" i="3" s="1"/>
  <c r="H392" i="3"/>
  <c r="I392" i="3"/>
  <c r="J392" i="3" a="1"/>
  <c r="J392" i="3" s="1"/>
  <c r="H393" i="3"/>
  <c r="I393" i="3"/>
  <c r="J393" i="3" s="1" a="1"/>
  <c r="J393" i="3" s="1"/>
  <c r="H394" i="3"/>
  <c r="I394" i="3"/>
  <c r="J394" i="3" s="1" a="1"/>
  <c r="J394" i="3" s="1"/>
  <c r="H395" i="3"/>
  <c r="I395" i="3"/>
  <c r="J395" i="3" s="1" a="1"/>
  <c r="J395" i="3" s="1"/>
  <c r="H396" i="3"/>
  <c r="I396" i="3"/>
  <c r="J396" i="3" s="1" a="1"/>
  <c r="J396" i="3" s="1"/>
  <c r="H397" i="3"/>
  <c r="I397" i="3"/>
  <c r="J397" i="3" s="1" a="1"/>
  <c r="J397" i="3" s="1"/>
  <c r="H398" i="3"/>
  <c r="I398" i="3"/>
  <c r="J398" i="3" a="1"/>
  <c r="J398" i="3" s="1"/>
  <c r="H399" i="3"/>
  <c r="I399" i="3"/>
  <c r="J399" i="3" s="1" a="1"/>
  <c r="J399" i="3" s="1"/>
  <c r="H400" i="3"/>
  <c r="I400" i="3"/>
  <c r="J400" i="3" s="1" a="1"/>
  <c r="J400" i="3" s="1"/>
  <c r="H401" i="3"/>
  <c r="I401" i="3"/>
  <c r="J401" i="3" s="1" a="1"/>
  <c r="J401" i="3" s="1"/>
  <c r="H402" i="3"/>
  <c r="I402" i="3"/>
  <c r="J402" i="3" a="1"/>
  <c r="J402" i="3" s="1"/>
  <c r="H403" i="3"/>
  <c r="I403" i="3"/>
  <c r="J403" i="3" s="1" a="1"/>
  <c r="J403" i="3" s="1"/>
  <c r="H404" i="3"/>
  <c r="I404" i="3"/>
  <c r="J404" i="3" s="1" a="1"/>
  <c r="J404" i="3" s="1"/>
  <c r="H405" i="3"/>
  <c r="I405" i="3"/>
  <c r="J405" i="3" s="1" a="1"/>
  <c r="J405" i="3" s="1"/>
  <c r="H406" i="3"/>
  <c r="I406" i="3"/>
  <c r="J406" i="3" a="1"/>
  <c r="J406" i="3" s="1"/>
  <c r="H407" i="3"/>
  <c r="I407" i="3"/>
  <c r="J407" i="3" s="1" a="1"/>
  <c r="J407" i="3" s="1"/>
  <c r="H408" i="3"/>
  <c r="I408" i="3"/>
  <c r="J408" i="3" s="1" a="1"/>
  <c r="J408" i="3" s="1"/>
  <c r="H409" i="3"/>
  <c r="I409" i="3"/>
  <c r="J409" i="3" s="1" a="1"/>
  <c r="J409" i="3" s="1"/>
  <c r="H410" i="3"/>
  <c r="I410" i="3"/>
  <c r="J410" i="3" a="1"/>
  <c r="J410" i="3" s="1"/>
  <c r="H411" i="3"/>
  <c r="I411" i="3"/>
  <c r="J411" i="3" s="1" a="1"/>
  <c r="J411" i="3" s="1"/>
  <c r="H412" i="3"/>
  <c r="I412" i="3"/>
  <c r="J412" i="3" s="1" a="1"/>
  <c r="J412" i="3" s="1"/>
  <c r="H413" i="3"/>
  <c r="I413" i="3"/>
  <c r="J413" i="3" s="1" a="1"/>
  <c r="J413" i="3" s="1"/>
  <c r="H414" i="3"/>
  <c r="I414" i="3"/>
  <c r="J414" i="3" a="1"/>
  <c r="J414" i="3" s="1"/>
  <c r="H415" i="3"/>
  <c r="I415" i="3"/>
  <c r="J415" i="3" s="1" a="1"/>
  <c r="J415" i="3" s="1"/>
  <c r="H416" i="3"/>
  <c r="I416" i="3"/>
  <c r="J416" i="3" s="1" a="1"/>
  <c r="J416" i="3" s="1"/>
  <c r="H417" i="3"/>
  <c r="I417" i="3"/>
  <c r="J417" i="3" s="1" a="1"/>
  <c r="J417" i="3" s="1"/>
  <c r="H418" i="3"/>
  <c r="I418" i="3"/>
  <c r="J418" i="3" a="1"/>
  <c r="J418" i="3" s="1"/>
  <c r="H419" i="3"/>
  <c r="I419" i="3"/>
  <c r="J419" i="3" s="1" a="1"/>
  <c r="J419" i="3" s="1"/>
  <c r="H420" i="3"/>
  <c r="I420" i="3"/>
  <c r="J420" i="3" s="1" a="1"/>
  <c r="J420" i="3" s="1"/>
  <c r="H421" i="3"/>
  <c r="I421" i="3"/>
  <c r="J421" i="3" s="1" a="1"/>
  <c r="J421" i="3" s="1"/>
  <c r="H422" i="3"/>
  <c r="I422" i="3"/>
  <c r="J422" i="3" a="1"/>
  <c r="J422" i="3" s="1"/>
  <c r="H423" i="3"/>
  <c r="I423" i="3"/>
  <c r="J423" i="3" s="1" a="1"/>
  <c r="J423" i="3" s="1"/>
  <c r="H424" i="3"/>
  <c r="I424" i="3"/>
  <c r="J424" i="3" s="1" a="1"/>
  <c r="J424" i="3" s="1"/>
  <c r="H425" i="3"/>
  <c r="I425" i="3"/>
  <c r="J425" i="3" s="1" a="1"/>
  <c r="J425" i="3" s="1"/>
  <c r="H426" i="3"/>
  <c r="I426" i="3"/>
  <c r="J426" i="3" a="1"/>
  <c r="J426" i="3" s="1"/>
  <c r="H427" i="3"/>
  <c r="I427" i="3"/>
  <c r="J427" i="3" s="1" a="1"/>
  <c r="J427" i="3" s="1"/>
  <c r="H428" i="3"/>
  <c r="I428" i="3"/>
  <c r="J428" i="3" s="1" a="1"/>
  <c r="J428" i="3" s="1"/>
  <c r="H429" i="3"/>
  <c r="I429" i="3"/>
  <c r="J429" i="3" s="1" a="1"/>
  <c r="J429" i="3" s="1"/>
  <c r="H430" i="3"/>
  <c r="I430" i="3"/>
  <c r="J430" i="3" a="1"/>
  <c r="J430" i="3" s="1"/>
  <c r="H431" i="3"/>
  <c r="I431" i="3"/>
  <c r="J431" i="3" s="1" a="1"/>
  <c r="J431" i="3" s="1"/>
  <c r="H432" i="3"/>
  <c r="I432" i="3"/>
  <c r="J432" i="3" s="1" a="1"/>
  <c r="J432" i="3" s="1"/>
  <c r="H433" i="3"/>
  <c r="I433" i="3"/>
  <c r="J433" i="3" s="1" a="1"/>
  <c r="J433" i="3" s="1"/>
  <c r="H434" i="3"/>
  <c r="I434" i="3"/>
  <c r="J434" i="3" a="1"/>
  <c r="J434" i="3" s="1"/>
  <c r="H435" i="3"/>
  <c r="I435" i="3"/>
  <c r="J435" i="3" s="1" a="1"/>
  <c r="J435" i="3" s="1"/>
  <c r="H436" i="3"/>
  <c r="I436" i="3"/>
  <c r="J436" i="3" s="1" a="1"/>
  <c r="J436" i="3" s="1"/>
  <c r="H437" i="3"/>
  <c r="I437" i="3"/>
  <c r="J437" i="3" s="1" a="1"/>
  <c r="J437" i="3" s="1"/>
  <c r="H438" i="3"/>
  <c r="I438" i="3"/>
  <c r="J438" i="3" a="1"/>
  <c r="J438" i="3" s="1"/>
  <c r="H439" i="3"/>
  <c r="I439" i="3"/>
  <c r="J439" i="3" s="1" a="1"/>
  <c r="J439" i="3" s="1"/>
  <c r="H440" i="3"/>
  <c r="I440" i="3"/>
  <c r="J440" i="3" s="1" a="1"/>
  <c r="J440" i="3" s="1"/>
  <c r="H441" i="3"/>
  <c r="I441" i="3"/>
  <c r="J441" i="3" a="1"/>
  <c r="J441" i="3" s="1"/>
  <c r="H442" i="3"/>
  <c r="I442" i="3"/>
  <c r="J442" i="3" a="1"/>
  <c r="J442" i="3" s="1"/>
  <c r="H443" i="3"/>
  <c r="I443" i="3"/>
  <c r="J443" i="3" s="1" a="1"/>
  <c r="J443" i="3" s="1"/>
  <c r="H444" i="3"/>
  <c r="I444" i="3"/>
  <c r="J444" i="3" s="1" a="1"/>
  <c r="J444" i="3" s="1"/>
  <c r="H445" i="3"/>
  <c r="I445" i="3"/>
  <c r="J445" i="3" s="1" a="1"/>
  <c r="J445" i="3" s="1"/>
  <c r="H446" i="3"/>
  <c r="I446" i="3"/>
  <c r="J446" i="3" a="1"/>
  <c r="J446" i="3" s="1"/>
  <c r="H447" i="3"/>
  <c r="I447" i="3"/>
  <c r="J447" i="3" s="1" a="1"/>
  <c r="J447" i="3" s="1"/>
  <c r="H448" i="3"/>
  <c r="I448" i="3"/>
  <c r="J448" i="3" s="1" a="1"/>
  <c r="J448" i="3" s="1"/>
  <c r="H449" i="3"/>
  <c r="I449" i="3"/>
  <c r="J449" i="3" a="1"/>
  <c r="J449" i="3" s="1"/>
  <c r="H450" i="3"/>
  <c r="I450" i="3"/>
  <c r="J450" i="3" a="1"/>
  <c r="J450" i="3" s="1"/>
  <c r="H451" i="3"/>
  <c r="I451" i="3"/>
  <c r="J451" i="3" s="1" a="1"/>
  <c r="J451" i="3" s="1"/>
  <c r="H452" i="3"/>
  <c r="I452" i="3"/>
  <c r="J452" i="3" s="1" a="1"/>
  <c r="J452" i="3" s="1"/>
  <c r="H453" i="3"/>
  <c r="I453" i="3"/>
  <c r="J453" i="3" s="1" a="1"/>
  <c r="J453" i="3" s="1"/>
  <c r="H454" i="3"/>
  <c r="I454" i="3"/>
  <c r="J454" i="3" a="1"/>
  <c r="J454" i="3" s="1"/>
  <c r="H455" i="3"/>
  <c r="I455" i="3"/>
  <c r="J455" i="3" s="1" a="1"/>
  <c r="J455" i="3" s="1"/>
  <c r="H456" i="3"/>
  <c r="I456" i="3"/>
  <c r="J456" i="3" s="1" a="1"/>
  <c r="J456" i="3" s="1"/>
  <c r="H457" i="3"/>
  <c r="I457" i="3"/>
  <c r="J457" i="3" a="1"/>
  <c r="J457" i="3" s="1"/>
  <c r="H458" i="3"/>
  <c r="I458" i="3"/>
  <c r="J458" i="3" a="1"/>
  <c r="J458" i="3" s="1"/>
  <c r="H459" i="3"/>
  <c r="I459" i="3"/>
  <c r="J459" i="3" s="1" a="1"/>
  <c r="J459" i="3" s="1"/>
  <c r="H460" i="3"/>
  <c r="I460" i="3"/>
  <c r="J460" i="3" s="1" a="1"/>
  <c r="J460" i="3" s="1"/>
  <c r="H461" i="3"/>
  <c r="I461" i="3"/>
  <c r="J461" i="3" s="1" a="1"/>
  <c r="J461" i="3" s="1"/>
  <c r="H462" i="3"/>
  <c r="I462" i="3"/>
  <c r="J462" i="3" a="1"/>
  <c r="J462" i="3" s="1"/>
  <c r="H463" i="3"/>
  <c r="I463" i="3"/>
  <c r="J463" i="3" s="1" a="1"/>
  <c r="J463" i="3" s="1"/>
  <c r="H464" i="3"/>
  <c r="I464" i="3"/>
  <c r="J464" i="3" s="1" a="1"/>
  <c r="J464" i="3" s="1"/>
  <c r="H465" i="3"/>
  <c r="I465" i="3"/>
  <c r="J465" i="3" a="1"/>
  <c r="J465" i="3" s="1"/>
  <c r="H466" i="3"/>
  <c r="I466" i="3"/>
  <c r="J466" i="3" a="1"/>
  <c r="J466" i="3" s="1"/>
  <c r="H467" i="3"/>
  <c r="I467" i="3"/>
  <c r="J467" i="3" s="1" a="1"/>
  <c r="J467" i="3" s="1"/>
  <c r="H468" i="3"/>
  <c r="I468" i="3"/>
  <c r="J468" i="3" s="1" a="1"/>
  <c r="J468" i="3" s="1"/>
  <c r="H469" i="3"/>
  <c r="I469" i="3"/>
  <c r="J469" i="3" s="1" a="1"/>
  <c r="J469" i="3" s="1"/>
  <c r="H470" i="3"/>
  <c r="I470" i="3"/>
  <c r="J470" i="3" a="1"/>
  <c r="J470" i="3" s="1"/>
  <c r="H471" i="3"/>
  <c r="I471" i="3"/>
  <c r="J471" i="3" s="1" a="1"/>
  <c r="J471" i="3" s="1"/>
  <c r="H472" i="3"/>
  <c r="I472" i="3"/>
  <c r="J472" i="3" s="1" a="1"/>
  <c r="J472" i="3" s="1"/>
  <c r="H473" i="3"/>
  <c r="I473" i="3"/>
  <c r="J473" i="3" a="1"/>
  <c r="J473" i="3" s="1"/>
  <c r="H474" i="3"/>
  <c r="I474" i="3"/>
  <c r="J474" i="3" a="1"/>
  <c r="J474" i="3" s="1"/>
  <c r="H475" i="3"/>
  <c r="I475" i="3"/>
  <c r="J475" i="3" s="1" a="1"/>
  <c r="J475" i="3" s="1"/>
  <c r="H476" i="3"/>
  <c r="I476" i="3"/>
  <c r="J476" i="3" s="1" a="1"/>
  <c r="J476" i="3" s="1"/>
  <c r="H477" i="3"/>
  <c r="I477" i="3"/>
  <c r="J477" i="3" s="1" a="1"/>
  <c r="J477" i="3" s="1"/>
  <c r="H478" i="3"/>
  <c r="I478" i="3"/>
  <c r="J478" i="3" a="1"/>
  <c r="J478" i="3" s="1"/>
  <c r="H479" i="3"/>
  <c r="I479" i="3"/>
  <c r="J479" i="3" s="1" a="1"/>
  <c r="J479" i="3" s="1"/>
  <c r="H480" i="3"/>
  <c r="I480" i="3"/>
  <c r="J480" i="3" s="1" a="1"/>
  <c r="J480" i="3" s="1"/>
  <c r="H481" i="3"/>
  <c r="I481" i="3"/>
  <c r="J481" i="3" a="1"/>
  <c r="J481" i="3" s="1"/>
  <c r="H482" i="3"/>
  <c r="I482" i="3"/>
  <c r="J482" i="3" a="1"/>
  <c r="J482" i="3" s="1"/>
  <c r="H483" i="3"/>
  <c r="I483" i="3"/>
  <c r="J483" i="3" s="1" a="1"/>
  <c r="J483" i="3" s="1"/>
  <c r="H484" i="3"/>
  <c r="I484" i="3"/>
  <c r="J484" i="3" s="1" a="1"/>
  <c r="J484" i="3" s="1"/>
  <c r="H485" i="3"/>
  <c r="I485" i="3"/>
  <c r="J485" i="3" a="1"/>
  <c r="J485" i="3" s="1"/>
  <c r="H486" i="3"/>
  <c r="I486" i="3"/>
  <c r="J486" i="3" a="1"/>
  <c r="J486" i="3" s="1"/>
  <c r="H487" i="3"/>
  <c r="I487" i="3"/>
  <c r="J487" i="3" s="1" a="1"/>
  <c r="J487" i="3" s="1"/>
  <c r="H488" i="3"/>
  <c r="I488" i="3"/>
  <c r="J488" i="3" a="1"/>
  <c r="J488" i="3" s="1"/>
  <c r="H489" i="3"/>
  <c r="I489" i="3"/>
  <c r="J489" i="3" s="1" a="1"/>
  <c r="J489" i="3" s="1"/>
  <c r="H490" i="3"/>
  <c r="I490" i="3"/>
  <c r="J490" i="3" a="1"/>
  <c r="J490" i="3" s="1"/>
  <c r="H491" i="3"/>
  <c r="I491" i="3"/>
  <c r="J491" i="3" s="1" a="1"/>
  <c r="J491" i="3" s="1"/>
  <c r="H492" i="3"/>
  <c r="I492" i="3"/>
  <c r="J492" i="3" a="1"/>
  <c r="J492" i="3" s="1"/>
  <c r="H493" i="3"/>
  <c r="I493" i="3"/>
  <c r="J493" i="3" s="1" a="1"/>
  <c r="J493" i="3" s="1"/>
  <c r="H494" i="3"/>
  <c r="I494" i="3"/>
  <c r="J494" i="3" a="1"/>
  <c r="J494" i="3" s="1"/>
  <c r="H495" i="3"/>
  <c r="I495" i="3"/>
  <c r="J495" i="3" s="1" a="1"/>
  <c r="J495" i="3" s="1"/>
  <c r="H496" i="3"/>
  <c r="I496" i="3"/>
  <c r="J496" i="3" s="1" a="1"/>
  <c r="J496" i="3" s="1"/>
  <c r="H497" i="3"/>
  <c r="I497" i="3"/>
  <c r="J497" i="3" a="1"/>
  <c r="J497" i="3" s="1"/>
  <c r="H498" i="3"/>
  <c r="I498" i="3"/>
  <c r="J498" i="3" a="1"/>
  <c r="J498" i="3" s="1"/>
  <c r="H499" i="3"/>
  <c r="I499" i="3"/>
  <c r="J499" i="3" s="1" a="1"/>
  <c r="J499" i="3" s="1"/>
  <c r="H500" i="3"/>
  <c r="I500" i="3"/>
  <c r="J500" i="3" s="1" a="1"/>
  <c r="J500" i="3" s="1"/>
  <c r="H501" i="3"/>
  <c r="I501" i="3"/>
  <c r="J501" i="3" a="1"/>
  <c r="J501" i="3" s="1"/>
  <c r="H502" i="3"/>
  <c r="I502" i="3"/>
  <c r="J502" i="3" a="1"/>
  <c r="J502" i="3" s="1"/>
  <c r="H503" i="3"/>
  <c r="I503" i="3"/>
  <c r="J503" i="3" s="1" a="1"/>
  <c r="J503" i="3" s="1"/>
  <c r="H504" i="3"/>
  <c r="I504" i="3"/>
  <c r="J504" i="3" a="1"/>
  <c r="J504" i="3" s="1"/>
  <c r="H505" i="3"/>
  <c r="I505" i="3"/>
  <c r="J505" i="3" s="1" a="1"/>
  <c r="J505" i="3" s="1"/>
  <c r="H506" i="3"/>
  <c r="I506" i="3"/>
  <c r="J506" i="3" a="1"/>
  <c r="J506" i="3" s="1"/>
  <c r="H507" i="3"/>
  <c r="I507" i="3"/>
  <c r="J507" i="3" s="1" a="1"/>
  <c r="J507" i="3" s="1"/>
  <c r="H508" i="3"/>
  <c r="I508" i="3"/>
  <c r="J508" i="3" a="1"/>
  <c r="J508" i="3" s="1"/>
  <c r="H509" i="3"/>
  <c r="I509" i="3"/>
  <c r="J509" i="3" s="1" a="1"/>
  <c r="J509" i="3" s="1"/>
  <c r="H510" i="3"/>
  <c r="I510" i="3"/>
  <c r="J510" i="3" s="1" a="1"/>
  <c r="J510" i="3" s="1"/>
  <c r="H511" i="3"/>
  <c r="I511" i="3"/>
  <c r="J511" i="3" a="1"/>
  <c r="J511" i="3" s="1"/>
  <c r="H512" i="3"/>
  <c r="I512" i="3"/>
  <c r="J512" i="3" a="1"/>
  <c r="J512" i="3" s="1"/>
  <c r="H513" i="3"/>
  <c r="I513" i="3"/>
  <c r="J513" i="3" s="1" a="1"/>
  <c r="J513" i="3" s="1"/>
  <c r="H514" i="3"/>
  <c r="I514" i="3"/>
  <c r="J514" i="3" s="1" a="1"/>
  <c r="J514" i="3" s="1"/>
  <c r="H515" i="3"/>
  <c r="I515" i="3"/>
  <c r="J515" i="3" a="1"/>
  <c r="J515" i="3" s="1"/>
  <c r="H516" i="3"/>
  <c r="I516" i="3"/>
  <c r="J516" i="3" a="1"/>
  <c r="J516" i="3" s="1"/>
  <c r="H517" i="3"/>
  <c r="I517" i="3"/>
  <c r="J517" i="3" s="1" a="1"/>
  <c r="J517" i="3" s="1"/>
  <c r="H518" i="3"/>
  <c r="I518" i="3"/>
  <c r="J518" i="3" s="1" a="1"/>
  <c r="J518" i="3" s="1"/>
  <c r="H519" i="3"/>
  <c r="I519" i="3"/>
  <c r="J519" i="3" a="1"/>
  <c r="J519" i="3" s="1"/>
  <c r="H520" i="3"/>
  <c r="I520" i="3"/>
  <c r="J520" i="3" a="1"/>
  <c r="J520" i="3" s="1"/>
  <c r="H521" i="3"/>
  <c r="I521" i="3"/>
  <c r="J521" i="3" s="1" a="1"/>
  <c r="J521" i="3" s="1"/>
  <c r="H522" i="3"/>
  <c r="I522" i="3"/>
  <c r="J522" i="3" s="1" a="1"/>
  <c r="J522" i="3" s="1"/>
  <c r="H523" i="3"/>
  <c r="I523" i="3"/>
  <c r="J523" i="3" a="1"/>
  <c r="J523" i="3" s="1"/>
  <c r="H524" i="3"/>
  <c r="I524" i="3"/>
  <c r="J524" i="3" a="1"/>
  <c r="J524" i="3" s="1"/>
  <c r="H525" i="3"/>
  <c r="I525" i="3"/>
  <c r="J525" i="3" s="1" a="1"/>
  <c r="J525" i="3" s="1"/>
  <c r="H526" i="3"/>
  <c r="I526" i="3"/>
  <c r="J526" i="3" s="1" a="1"/>
  <c r="J526" i="3" s="1"/>
  <c r="H527" i="3"/>
  <c r="I527" i="3"/>
  <c r="J527" i="3" a="1"/>
  <c r="J527" i="3" s="1"/>
  <c r="H528" i="3"/>
  <c r="I528" i="3"/>
  <c r="J528" i="3" a="1"/>
  <c r="J528" i="3" s="1"/>
  <c r="H529" i="3"/>
  <c r="I529" i="3"/>
  <c r="J529" i="3" s="1" a="1"/>
  <c r="J529" i="3" s="1"/>
  <c r="H530" i="3"/>
  <c r="I530" i="3"/>
  <c r="J530" i="3" s="1" a="1"/>
  <c r="J530" i="3" s="1"/>
  <c r="H531" i="3"/>
  <c r="I531" i="3"/>
  <c r="J531" i="3" a="1"/>
  <c r="J531" i="3" s="1"/>
  <c r="H532" i="3"/>
  <c r="I532" i="3"/>
  <c r="J532" i="3" a="1"/>
  <c r="J532" i="3" s="1"/>
  <c r="H533" i="3"/>
  <c r="I533" i="3"/>
  <c r="J533" i="3" s="1" a="1"/>
  <c r="J533" i="3" s="1"/>
  <c r="H534" i="3"/>
  <c r="I534" i="3"/>
  <c r="J534" i="3" s="1" a="1"/>
  <c r="J534" i="3" s="1"/>
  <c r="H535" i="3"/>
  <c r="I535" i="3"/>
  <c r="J535" i="3" a="1"/>
  <c r="J535" i="3" s="1"/>
  <c r="H536" i="3"/>
  <c r="I536" i="3"/>
  <c r="J536" i="3" a="1"/>
  <c r="J536" i="3" s="1"/>
  <c r="H537" i="3"/>
  <c r="I537" i="3"/>
  <c r="J537" i="3" s="1" a="1"/>
  <c r="J537" i="3" s="1"/>
  <c r="H538" i="3"/>
  <c r="I538" i="3"/>
  <c r="J538" i="3" s="1" a="1"/>
  <c r="J538" i="3" s="1"/>
  <c r="H539" i="3"/>
  <c r="I539" i="3"/>
  <c r="J539" i="3" a="1"/>
  <c r="J539" i="3" s="1"/>
  <c r="H540" i="3"/>
  <c r="I540" i="3"/>
  <c r="J540" i="3" a="1"/>
  <c r="J540" i="3" s="1"/>
  <c r="H541" i="3"/>
  <c r="I541" i="3"/>
  <c r="J541" i="3" s="1" a="1"/>
  <c r="J541" i="3" s="1"/>
  <c r="H542" i="3"/>
  <c r="I542" i="3"/>
  <c r="J542" i="3" s="1" a="1"/>
  <c r="J542" i="3" s="1"/>
  <c r="H543" i="3"/>
  <c r="I543" i="3"/>
  <c r="J543" i="3" a="1"/>
  <c r="J543" i="3" s="1"/>
  <c r="H544" i="3"/>
  <c r="I544" i="3"/>
  <c r="J544" i="3" a="1"/>
  <c r="J544" i="3" s="1"/>
  <c r="H545" i="3"/>
  <c r="I545" i="3"/>
  <c r="J545" i="3" s="1" a="1"/>
  <c r="J545" i="3" s="1"/>
  <c r="H546" i="3"/>
  <c r="I546" i="3"/>
  <c r="J546" i="3" s="1" a="1"/>
  <c r="J546" i="3" s="1"/>
  <c r="H547" i="3"/>
  <c r="I547" i="3"/>
  <c r="J547" i="3" a="1"/>
  <c r="J547" i="3" s="1"/>
  <c r="H548" i="3"/>
  <c r="I548" i="3"/>
  <c r="J548" i="3" a="1"/>
  <c r="J548" i="3" s="1"/>
  <c r="H549" i="3"/>
  <c r="I549" i="3"/>
  <c r="J549" i="3" s="1" a="1"/>
  <c r="J549" i="3" s="1"/>
  <c r="H550" i="3"/>
  <c r="I550" i="3"/>
  <c r="J550" i="3" s="1" a="1"/>
  <c r="J550" i="3" s="1"/>
  <c r="H551" i="3"/>
  <c r="I551" i="3"/>
  <c r="J551" i="3" a="1"/>
  <c r="J551" i="3" s="1"/>
  <c r="H552" i="3"/>
  <c r="I552" i="3"/>
  <c r="J552" i="3" a="1"/>
  <c r="J552" i="3" s="1"/>
  <c r="H553" i="3"/>
  <c r="I553" i="3"/>
  <c r="J553" i="3" s="1" a="1"/>
  <c r="J553" i="3" s="1"/>
  <c r="H554" i="3"/>
  <c r="I554" i="3"/>
  <c r="J554" i="3" s="1" a="1"/>
  <c r="J554" i="3" s="1"/>
  <c r="H555" i="3"/>
  <c r="I555" i="3"/>
  <c r="J555" i="3" a="1"/>
  <c r="J555" i="3" s="1"/>
  <c r="H556" i="3"/>
  <c r="I556" i="3"/>
  <c r="J556" i="3" a="1"/>
  <c r="J556" i="3" s="1"/>
  <c r="H557" i="3"/>
  <c r="I557" i="3"/>
  <c r="J557" i="3" s="1" a="1"/>
  <c r="J557" i="3" s="1"/>
  <c r="H558" i="3"/>
  <c r="I558" i="3"/>
  <c r="J558" i="3" s="1" a="1"/>
  <c r="J558" i="3" s="1"/>
  <c r="H559" i="3"/>
  <c r="I559" i="3"/>
  <c r="J559" i="3" a="1"/>
  <c r="J559" i="3" s="1"/>
  <c r="H560" i="3"/>
  <c r="I560" i="3"/>
  <c r="J560" i="3" a="1"/>
  <c r="J560" i="3" s="1"/>
  <c r="H561" i="3"/>
  <c r="I561" i="3"/>
  <c r="J561" i="3" s="1" a="1"/>
  <c r="J561" i="3" s="1"/>
  <c r="H562" i="3"/>
  <c r="I562" i="3"/>
  <c r="J562" i="3" s="1" a="1"/>
  <c r="J562" i="3" s="1"/>
  <c r="H563" i="3"/>
  <c r="I563" i="3"/>
  <c r="J563" i="3" a="1"/>
  <c r="J563" i="3" s="1"/>
  <c r="H564" i="3"/>
  <c r="I564" i="3"/>
  <c r="J564" i="3" a="1"/>
  <c r="J564" i="3" s="1"/>
  <c r="H565" i="3"/>
  <c r="I565" i="3"/>
  <c r="J565" i="3" s="1" a="1"/>
  <c r="J565" i="3" s="1"/>
  <c r="H566" i="3"/>
  <c r="I566" i="3"/>
  <c r="J566" i="3" s="1" a="1"/>
  <c r="J566" i="3" s="1"/>
  <c r="H567" i="3"/>
  <c r="I567" i="3"/>
  <c r="J567" i="3" a="1"/>
  <c r="J567" i="3" s="1"/>
  <c r="H568" i="3"/>
  <c r="I568" i="3"/>
  <c r="J568" i="3" a="1"/>
  <c r="J568" i="3" s="1"/>
  <c r="H569" i="3"/>
  <c r="I569" i="3"/>
  <c r="J569" i="3" s="1" a="1"/>
  <c r="J569" i="3" s="1"/>
  <c r="H570" i="3"/>
  <c r="I570" i="3"/>
  <c r="J570" i="3" s="1" a="1"/>
  <c r="J570" i="3" s="1"/>
  <c r="H571" i="3"/>
  <c r="I571" i="3"/>
  <c r="J571" i="3" a="1"/>
  <c r="J571" i="3" s="1"/>
  <c r="H572" i="3"/>
  <c r="I572" i="3"/>
  <c r="J572" i="3" a="1"/>
  <c r="J572" i="3" s="1"/>
  <c r="H573" i="3"/>
  <c r="I573" i="3"/>
  <c r="J573" i="3" s="1" a="1"/>
  <c r="J573" i="3" s="1"/>
  <c r="H574" i="3"/>
  <c r="I574" i="3"/>
  <c r="J574" i="3" s="1" a="1"/>
  <c r="J574" i="3" s="1"/>
  <c r="H575" i="3"/>
  <c r="I575" i="3"/>
  <c r="J575" i="3" a="1"/>
  <c r="J575" i="3" s="1"/>
  <c r="H576" i="3"/>
  <c r="I576" i="3"/>
  <c r="J576" i="3" a="1"/>
  <c r="J576" i="3" s="1"/>
  <c r="H577" i="3"/>
  <c r="I577" i="3"/>
  <c r="J577" i="3" s="1" a="1"/>
  <c r="J577" i="3" s="1"/>
  <c r="H578" i="3"/>
  <c r="I578" i="3"/>
  <c r="J578" i="3" s="1" a="1"/>
  <c r="J578" i="3" s="1"/>
  <c r="H579" i="3"/>
  <c r="I579" i="3"/>
  <c r="J579" i="3" a="1"/>
  <c r="J579" i="3" s="1"/>
  <c r="H580" i="3"/>
  <c r="I580" i="3"/>
  <c r="J580" i="3" a="1"/>
  <c r="J580" i="3" s="1"/>
  <c r="H581" i="3"/>
  <c r="I581" i="3"/>
  <c r="J581" i="3" s="1" a="1"/>
  <c r="J581" i="3" s="1"/>
  <c r="H582" i="3"/>
  <c r="I582" i="3"/>
  <c r="J582" i="3" s="1" a="1"/>
  <c r="J582" i="3" s="1"/>
  <c r="H583" i="3"/>
  <c r="I583" i="3"/>
  <c r="J583" i="3" a="1"/>
  <c r="J583" i="3" s="1"/>
  <c r="H584" i="3"/>
  <c r="I584" i="3"/>
  <c r="J584" i="3" a="1"/>
  <c r="J584" i="3" s="1"/>
  <c r="H585" i="3"/>
  <c r="I585" i="3"/>
  <c r="J585" i="3" s="1" a="1"/>
  <c r="J585" i="3" s="1"/>
  <c r="H586" i="3"/>
  <c r="I586" i="3"/>
  <c r="J586" i="3" s="1" a="1"/>
  <c r="J586" i="3" s="1"/>
  <c r="H587" i="3"/>
  <c r="I587" i="3"/>
  <c r="J587" i="3" a="1"/>
  <c r="J587" i="3" s="1"/>
  <c r="H588" i="3"/>
  <c r="I588" i="3"/>
  <c r="J588" i="3" a="1"/>
  <c r="J588" i="3" s="1"/>
  <c r="H589" i="3"/>
  <c r="I589" i="3"/>
  <c r="J589" i="3" s="1" a="1"/>
  <c r="J589" i="3" s="1"/>
  <c r="H590" i="3"/>
  <c r="I590" i="3"/>
  <c r="J590" i="3" s="1" a="1"/>
  <c r="J590" i="3" s="1"/>
  <c r="H591" i="3"/>
  <c r="I591" i="3"/>
  <c r="J591" i="3" a="1"/>
  <c r="J591" i="3" s="1"/>
  <c r="H592" i="3"/>
  <c r="I592" i="3"/>
  <c r="J592" i="3" a="1"/>
  <c r="J592" i="3" s="1"/>
  <c r="H593" i="3"/>
  <c r="I593" i="3"/>
  <c r="J593" i="3" s="1" a="1"/>
  <c r="J593" i="3" s="1"/>
  <c r="H594" i="3"/>
  <c r="I594" i="3"/>
  <c r="J594" i="3" s="1" a="1"/>
  <c r="J594" i="3" s="1"/>
  <c r="H595" i="3"/>
  <c r="I595" i="3"/>
  <c r="J595" i="3" a="1"/>
  <c r="J595" i="3" s="1"/>
  <c r="H596" i="3"/>
  <c r="I596" i="3"/>
  <c r="J596" i="3" a="1"/>
  <c r="J596" i="3" s="1"/>
  <c r="H597" i="3"/>
  <c r="I597" i="3"/>
  <c r="J597" i="3" s="1" a="1"/>
  <c r="J597" i="3" s="1"/>
  <c r="H598" i="3"/>
  <c r="I598" i="3"/>
  <c r="J598" i="3" s="1" a="1"/>
  <c r="J598" i="3" s="1"/>
  <c r="H599" i="3"/>
  <c r="I599" i="3"/>
  <c r="J599" i="3" a="1"/>
  <c r="J599" i="3" s="1"/>
  <c r="H600" i="3"/>
  <c r="I600" i="3"/>
  <c r="J600" i="3" a="1"/>
  <c r="J600" i="3" s="1"/>
  <c r="H601" i="3"/>
  <c r="I601" i="3"/>
  <c r="J601" i="3" s="1" a="1"/>
  <c r="J601" i="3" s="1"/>
  <c r="H602" i="3"/>
  <c r="I602" i="3"/>
  <c r="J602" i="3" s="1" a="1"/>
  <c r="J602" i="3" s="1"/>
  <c r="H603" i="3"/>
  <c r="I603" i="3"/>
  <c r="J603" i="3" a="1"/>
  <c r="J603" i="3" s="1"/>
  <c r="H604" i="3"/>
  <c r="I604" i="3"/>
  <c r="J604" i="3" a="1"/>
  <c r="J604" i="3" s="1"/>
  <c r="H605" i="3"/>
  <c r="I605" i="3"/>
  <c r="J605" i="3" s="1" a="1"/>
  <c r="J605" i="3" s="1"/>
  <c r="H606" i="3"/>
  <c r="I606" i="3"/>
  <c r="J606" i="3" s="1" a="1"/>
  <c r="J606" i="3" s="1"/>
  <c r="H607" i="3"/>
  <c r="I607" i="3"/>
  <c r="J607" i="3" a="1"/>
  <c r="J607" i="3" s="1"/>
  <c r="H608" i="3"/>
  <c r="I608" i="3"/>
  <c r="J608" i="3" a="1"/>
  <c r="J608" i="3" s="1"/>
  <c r="H609" i="3"/>
  <c r="I609" i="3"/>
  <c r="J609" i="3" s="1" a="1"/>
  <c r="J609" i="3" s="1"/>
  <c r="H610" i="3"/>
  <c r="I610" i="3"/>
  <c r="J610" i="3" s="1" a="1"/>
  <c r="J610" i="3" s="1"/>
  <c r="H611" i="3"/>
  <c r="I611" i="3"/>
  <c r="J611" i="3" a="1"/>
  <c r="J611" i="3" s="1"/>
  <c r="H612" i="3"/>
  <c r="I612" i="3"/>
  <c r="J612" i="3" a="1"/>
  <c r="J612" i="3" s="1"/>
  <c r="H613" i="3"/>
  <c r="I613" i="3"/>
  <c r="J613" i="3" s="1" a="1"/>
  <c r="J613" i="3" s="1"/>
  <c r="H614" i="3"/>
  <c r="I614" i="3"/>
  <c r="J614" i="3" s="1" a="1"/>
  <c r="J614" i="3" s="1"/>
  <c r="H615" i="3"/>
  <c r="I615" i="3"/>
  <c r="J615" i="3" a="1"/>
  <c r="J615" i="3" s="1"/>
  <c r="H616" i="3"/>
  <c r="I616" i="3"/>
  <c r="J616" i="3" a="1"/>
  <c r="J616" i="3" s="1"/>
  <c r="H617" i="3"/>
  <c r="I617" i="3"/>
  <c r="J617" i="3" s="1" a="1"/>
  <c r="J617" i="3" s="1"/>
  <c r="H618" i="3"/>
  <c r="I618" i="3"/>
  <c r="J618" i="3" s="1" a="1"/>
  <c r="J618" i="3" s="1"/>
  <c r="H619" i="3"/>
  <c r="I619" i="3"/>
  <c r="J619" i="3" a="1"/>
  <c r="J619" i="3" s="1"/>
  <c r="H620" i="3"/>
  <c r="I620" i="3"/>
  <c r="J620" i="3" a="1"/>
  <c r="J620" i="3" s="1"/>
  <c r="H621" i="3"/>
  <c r="I621" i="3"/>
  <c r="J621" i="3" s="1" a="1"/>
  <c r="J621" i="3" s="1"/>
  <c r="H622" i="3"/>
  <c r="I622" i="3"/>
  <c r="J622" i="3" s="1" a="1"/>
  <c r="J622" i="3" s="1"/>
  <c r="H623" i="3"/>
  <c r="I623" i="3"/>
  <c r="J623" i="3" a="1"/>
  <c r="J623" i="3" s="1"/>
  <c r="H624" i="3"/>
  <c r="I624" i="3"/>
  <c r="J624" i="3" a="1"/>
  <c r="J624" i="3" s="1"/>
  <c r="H625" i="3"/>
  <c r="I625" i="3"/>
  <c r="J625" i="3" s="1" a="1"/>
  <c r="J625" i="3" s="1"/>
  <c r="H626" i="3"/>
  <c r="I626" i="3"/>
  <c r="J626" i="3" s="1" a="1"/>
  <c r="J626" i="3" s="1"/>
  <c r="H627" i="3"/>
  <c r="I627" i="3"/>
  <c r="J627" i="3" a="1"/>
  <c r="J627" i="3" s="1"/>
  <c r="H628" i="3"/>
  <c r="I628" i="3"/>
  <c r="J628" i="3" a="1"/>
  <c r="J628" i="3" s="1"/>
  <c r="H629" i="3"/>
  <c r="I629" i="3"/>
  <c r="J629" i="3" s="1" a="1"/>
  <c r="J629" i="3" s="1"/>
  <c r="H630" i="3"/>
  <c r="I630" i="3"/>
  <c r="J630" i="3" s="1" a="1"/>
  <c r="J630" i="3" s="1"/>
  <c r="H631" i="3"/>
  <c r="I631" i="3"/>
  <c r="J631" i="3" a="1"/>
  <c r="J631" i="3" s="1"/>
  <c r="H632" i="3"/>
  <c r="I632" i="3"/>
  <c r="J632" i="3" a="1"/>
  <c r="J632" i="3" s="1"/>
  <c r="H633" i="3"/>
  <c r="I633" i="3"/>
  <c r="J633" i="3" s="1" a="1"/>
  <c r="J633" i="3" s="1"/>
  <c r="H634" i="3"/>
  <c r="I634" i="3"/>
  <c r="J634" i="3" s="1" a="1"/>
  <c r="J634" i="3" s="1"/>
  <c r="H635" i="3"/>
  <c r="I635" i="3"/>
  <c r="J635" i="3" a="1"/>
  <c r="J635" i="3" s="1"/>
  <c r="H636" i="3"/>
  <c r="I636" i="3"/>
  <c r="J636" i="3" a="1"/>
  <c r="J636" i="3" s="1"/>
  <c r="H637" i="3"/>
  <c r="I637" i="3"/>
  <c r="J637" i="3" s="1" a="1"/>
  <c r="J637" i="3" s="1"/>
  <c r="H638" i="3"/>
  <c r="I638" i="3"/>
  <c r="J638" i="3" s="1" a="1"/>
  <c r="J638" i="3" s="1"/>
  <c r="H639" i="3"/>
  <c r="I639" i="3"/>
  <c r="J639" i="3" a="1"/>
  <c r="J639" i="3" s="1"/>
  <c r="H640" i="3"/>
  <c r="I640" i="3"/>
  <c r="J640" i="3" a="1"/>
  <c r="J640" i="3" s="1"/>
  <c r="H641" i="3"/>
  <c r="I641" i="3"/>
  <c r="J641" i="3" s="1" a="1"/>
  <c r="J641" i="3" s="1"/>
  <c r="H642" i="3"/>
  <c r="I642" i="3"/>
  <c r="J642" i="3" s="1" a="1"/>
  <c r="J642" i="3" s="1"/>
  <c r="H643" i="3"/>
  <c r="I643" i="3"/>
  <c r="J643" i="3" a="1"/>
  <c r="J643" i="3" s="1"/>
  <c r="H644" i="3"/>
  <c r="I644" i="3"/>
  <c r="J644" i="3" a="1"/>
  <c r="J644" i="3" s="1"/>
  <c r="H645" i="3"/>
  <c r="I645" i="3"/>
  <c r="J645" i="3" s="1" a="1"/>
  <c r="J645" i="3" s="1"/>
  <c r="H646" i="3"/>
  <c r="I646" i="3"/>
  <c r="J646" i="3" s="1" a="1"/>
  <c r="J646" i="3" s="1"/>
  <c r="H647" i="3"/>
  <c r="I647" i="3"/>
  <c r="J647" i="3" a="1"/>
  <c r="J647" i="3" s="1"/>
  <c r="H648" i="3"/>
  <c r="I648" i="3"/>
  <c r="J648" i="3" a="1"/>
  <c r="J648" i="3" s="1"/>
  <c r="H649" i="3"/>
  <c r="I649" i="3"/>
  <c r="J649" i="3" s="1" a="1"/>
  <c r="J649" i="3" s="1"/>
  <c r="H650" i="3"/>
  <c r="I650" i="3"/>
  <c r="J650" i="3" s="1" a="1"/>
  <c r="J650" i="3" s="1"/>
  <c r="H651" i="3"/>
  <c r="I651" i="3"/>
  <c r="J651" i="3" a="1"/>
  <c r="J651" i="3" s="1"/>
  <c r="H652" i="3"/>
  <c r="I652" i="3"/>
  <c r="J652" i="3" a="1"/>
  <c r="J652" i="3" s="1"/>
  <c r="H653" i="3"/>
  <c r="I653" i="3"/>
  <c r="J653" i="3" s="1" a="1"/>
  <c r="J653" i="3" s="1"/>
  <c r="H654" i="3"/>
  <c r="I654" i="3"/>
  <c r="J654" i="3" s="1" a="1"/>
  <c r="J654" i="3" s="1"/>
  <c r="H655" i="3"/>
  <c r="I655" i="3"/>
  <c r="J655" i="3" a="1"/>
  <c r="J655" i="3" s="1"/>
  <c r="H656" i="3"/>
  <c r="I656" i="3"/>
  <c r="J656" i="3" a="1"/>
  <c r="J656" i="3" s="1"/>
  <c r="H657" i="3"/>
  <c r="I657" i="3"/>
  <c r="J657" i="3" s="1" a="1"/>
  <c r="J657" i="3" s="1"/>
  <c r="H658" i="3"/>
  <c r="I658" i="3"/>
  <c r="J658" i="3" s="1" a="1"/>
  <c r="J658" i="3" s="1"/>
  <c r="H659" i="3"/>
  <c r="I659" i="3"/>
  <c r="J659" i="3" a="1"/>
  <c r="J659" i="3" s="1"/>
  <c r="H660" i="3"/>
  <c r="I660" i="3"/>
  <c r="J660" i="3" a="1"/>
  <c r="J660" i="3" s="1"/>
  <c r="H661" i="3"/>
  <c r="I661" i="3"/>
  <c r="J661" i="3" s="1" a="1"/>
  <c r="J661" i="3" s="1"/>
  <c r="H662" i="3"/>
  <c r="I662" i="3"/>
  <c r="J662" i="3" s="1" a="1"/>
  <c r="J662" i="3" s="1"/>
  <c r="H663" i="3"/>
  <c r="I663" i="3"/>
  <c r="J663" i="3" a="1"/>
  <c r="J663" i="3" s="1"/>
  <c r="H664" i="3"/>
  <c r="I664" i="3"/>
  <c r="J664" i="3" a="1"/>
  <c r="J664" i="3" s="1"/>
  <c r="H665" i="3"/>
  <c r="I665" i="3"/>
  <c r="J665" i="3" s="1" a="1"/>
  <c r="J665" i="3" s="1"/>
  <c r="H666" i="3"/>
  <c r="I666" i="3"/>
  <c r="J666" i="3" s="1" a="1"/>
  <c r="J666" i="3" s="1"/>
  <c r="H667" i="3"/>
  <c r="I667" i="3"/>
  <c r="J667" i="3" a="1"/>
  <c r="J667" i="3" s="1"/>
  <c r="H668" i="3"/>
  <c r="I668" i="3"/>
  <c r="J668" i="3" a="1"/>
  <c r="J668" i="3" s="1"/>
  <c r="H669" i="3"/>
  <c r="I669" i="3"/>
  <c r="J669" i="3" s="1" a="1"/>
  <c r="J669" i="3" s="1"/>
  <c r="H670" i="3"/>
  <c r="I670" i="3"/>
  <c r="J670" i="3" s="1" a="1"/>
  <c r="J670" i="3" s="1"/>
  <c r="H671" i="3"/>
  <c r="I671" i="3"/>
  <c r="J671" i="3" a="1"/>
  <c r="J671" i="3" s="1"/>
  <c r="H672" i="3"/>
  <c r="I672" i="3"/>
  <c r="J672" i="3" a="1"/>
  <c r="J672" i="3" s="1"/>
  <c r="H673" i="3"/>
  <c r="I673" i="3"/>
  <c r="J673" i="3" s="1" a="1"/>
  <c r="J673" i="3" s="1"/>
  <c r="H674" i="3"/>
  <c r="I674" i="3"/>
  <c r="J674" i="3" s="1" a="1"/>
  <c r="J674" i="3" s="1"/>
  <c r="H675" i="3"/>
  <c r="I675" i="3"/>
  <c r="J675" i="3" a="1"/>
  <c r="J675" i="3" s="1"/>
  <c r="H676" i="3"/>
  <c r="I676" i="3"/>
  <c r="J676" i="3" a="1"/>
  <c r="J676" i="3" s="1"/>
  <c r="H677" i="3"/>
  <c r="I677" i="3"/>
  <c r="J677" i="3" s="1" a="1"/>
  <c r="J677" i="3" s="1"/>
  <c r="H678" i="3"/>
  <c r="I678" i="3"/>
  <c r="J678" i="3" s="1" a="1"/>
  <c r="J678" i="3" s="1"/>
  <c r="H679" i="3"/>
  <c r="I679" i="3"/>
  <c r="J679" i="3" a="1"/>
  <c r="J679" i="3" s="1"/>
  <c r="H680" i="3"/>
  <c r="I680" i="3"/>
  <c r="J680" i="3" a="1"/>
  <c r="J680" i="3" s="1"/>
  <c r="H681" i="3"/>
  <c r="I681" i="3"/>
  <c r="J681" i="3" s="1" a="1"/>
  <c r="J681" i="3" s="1"/>
  <c r="H682" i="3"/>
  <c r="I682" i="3"/>
  <c r="J682" i="3" s="1" a="1"/>
  <c r="J682" i="3" s="1"/>
  <c r="H683" i="3"/>
  <c r="I683" i="3"/>
  <c r="J683" i="3" a="1"/>
  <c r="J683" i="3" s="1"/>
  <c r="H684" i="3"/>
  <c r="I684" i="3"/>
  <c r="J684" i="3" a="1"/>
  <c r="J684" i="3" s="1"/>
  <c r="H685" i="3"/>
  <c r="I685" i="3"/>
  <c r="J685" i="3" s="1" a="1"/>
  <c r="J685" i="3" s="1"/>
  <c r="H686" i="3"/>
  <c r="I686" i="3"/>
  <c r="J686" i="3" s="1" a="1"/>
  <c r="J686" i="3" s="1"/>
  <c r="H687" i="3"/>
  <c r="I687" i="3"/>
  <c r="J687" i="3" a="1"/>
  <c r="J687" i="3" s="1"/>
  <c r="H688" i="3"/>
  <c r="I688" i="3"/>
  <c r="J688" i="3" a="1"/>
  <c r="J688" i="3" s="1"/>
  <c r="H689" i="3"/>
  <c r="I689" i="3"/>
  <c r="J689" i="3" s="1" a="1"/>
  <c r="J689" i="3" s="1"/>
  <c r="H690" i="3"/>
  <c r="I690" i="3"/>
  <c r="J690" i="3" s="1" a="1"/>
  <c r="J690" i="3" s="1"/>
  <c r="H691" i="3"/>
  <c r="I691" i="3"/>
  <c r="J691" i="3" a="1"/>
  <c r="J691" i="3" s="1"/>
  <c r="H692" i="3"/>
  <c r="I692" i="3"/>
  <c r="J692" i="3" a="1"/>
  <c r="J692" i="3" s="1"/>
  <c r="H693" i="3"/>
  <c r="I693" i="3"/>
  <c r="J693" i="3" s="1" a="1"/>
  <c r="J693" i="3" s="1"/>
  <c r="H694" i="3"/>
  <c r="I694" i="3"/>
  <c r="J694" i="3" s="1" a="1"/>
  <c r="J694" i="3" s="1"/>
  <c r="H695" i="3"/>
  <c r="I695" i="3"/>
  <c r="J695" i="3" a="1"/>
  <c r="J695" i="3" s="1"/>
  <c r="H696" i="3"/>
  <c r="I696" i="3"/>
  <c r="J696" i="3" a="1"/>
  <c r="J696" i="3" s="1"/>
  <c r="H697" i="3"/>
  <c r="I697" i="3"/>
  <c r="J697" i="3" s="1" a="1"/>
  <c r="J697" i="3" s="1"/>
  <c r="H698" i="3"/>
  <c r="I698" i="3"/>
  <c r="J698" i="3" s="1" a="1"/>
  <c r="J698" i="3" s="1"/>
  <c r="H699" i="3"/>
  <c r="I699" i="3"/>
  <c r="J699" i="3" a="1"/>
  <c r="J699" i="3" s="1"/>
  <c r="H700" i="3"/>
  <c r="I700" i="3"/>
  <c r="J700" i="3" a="1"/>
  <c r="J700" i="3" s="1"/>
  <c r="H701" i="3"/>
  <c r="I701" i="3"/>
  <c r="J701" i="3" s="1" a="1"/>
  <c r="J701" i="3" s="1"/>
  <c r="H702" i="3"/>
  <c r="I702" i="3"/>
  <c r="J702" i="3" s="1" a="1"/>
  <c r="J702" i="3" s="1"/>
  <c r="H703" i="3"/>
  <c r="I703" i="3"/>
  <c r="J703" i="3" a="1"/>
  <c r="J703" i="3" s="1"/>
  <c r="H704" i="3"/>
  <c r="I704" i="3"/>
  <c r="J704" i="3" a="1"/>
  <c r="J704" i="3" s="1"/>
  <c r="H705" i="3"/>
  <c r="I705" i="3"/>
  <c r="J705" i="3" s="1" a="1"/>
  <c r="J705" i="3" s="1"/>
  <c r="H706" i="3"/>
  <c r="I706" i="3"/>
  <c r="J706" i="3" s="1" a="1"/>
  <c r="J706" i="3" s="1"/>
  <c r="H707" i="3"/>
  <c r="I707" i="3"/>
  <c r="J707" i="3" a="1"/>
  <c r="J707" i="3" s="1"/>
  <c r="H708" i="3"/>
  <c r="I708" i="3"/>
  <c r="J708" i="3" a="1"/>
  <c r="J708" i="3" s="1"/>
  <c r="H709" i="3"/>
  <c r="I709" i="3"/>
  <c r="J709" i="3" s="1" a="1"/>
  <c r="J709" i="3" s="1"/>
  <c r="H710" i="3"/>
  <c r="I710" i="3"/>
  <c r="J710" i="3" s="1" a="1"/>
  <c r="J710" i="3" s="1"/>
  <c r="H711" i="3"/>
  <c r="I711" i="3"/>
  <c r="J711" i="3" a="1"/>
  <c r="J711" i="3" s="1"/>
  <c r="H712" i="3"/>
  <c r="I712" i="3"/>
  <c r="J712" i="3" a="1"/>
  <c r="J712" i="3" s="1"/>
  <c r="H713" i="3"/>
  <c r="I713" i="3"/>
  <c r="J713" i="3" s="1" a="1"/>
  <c r="J713" i="3" s="1"/>
  <c r="H714" i="3"/>
  <c r="I714" i="3"/>
  <c r="J714" i="3" a="1"/>
  <c r="J714" i="3" s="1"/>
  <c r="H715" i="3"/>
  <c r="I715" i="3"/>
  <c r="J715" i="3" a="1"/>
  <c r="J715" i="3" s="1"/>
  <c r="H716" i="3"/>
  <c r="I716" i="3"/>
  <c r="J716" i="3" a="1"/>
  <c r="J716" i="3" s="1"/>
  <c r="H717" i="3"/>
  <c r="I717" i="3"/>
  <c r="J717" i="3" s="1" a="1"/>
  <c r="J717" i="3" s="1"/>
  <c r="H718" i="3"/>
  <c r="I718" i="3"/>
  <c r="J718" i="3" s="1" a="1"/>
  <c r="J718" i="3" s="1"/>
  <c r="H719" i="3"/>
  <c r="I719" i="3"/>
  <c r="J719" i="3" s="1" a="1"/>
  <c r="J719" i="3" s="1"/>
  <c r="H720" i="3"/>
  <c r="I720" i="3"/>
  <c r="J720" i="3" a="1"/>
  <c r="J720" i="3" s="1"/>
  <c r="H721" i="3"/>
  <c r="I721" i="3"/>
  <c r="J721" i="3" s="1" a="1"/>
  <c r="J721" i="3" s="1"/>
  <c r="H722" i="3"/>
  <c r="I722" i="3"/>
  <c r="J722" i="3" a="1"/>
  <c r="J722" i="3" s="1"/>
  <c r="H723" i="3"/>
  <c r="I723" i="3"/>
  <c r="J723" i="3" a="1"/>
  <c r="J723" i="3" s="1"/>
  <c r="H724" i="3"/>
  <c r="I724" i="3"/>
  <c r="J724" i="3" a="1"/>
  <c r="J724" i="3" s="1"/>
  <c r="H725" i="3"/>
  <c r="I725" i="3"/>
  <c r="J725" i="3" s="1" a="1"/>
  <c r="J725" i="3" s="1"/>
  <c r="H726" i="3"/>
  <c r="I726" i="3"/>
  <c r="J726" i="3" s="1" a="1"/>
  <c r="J726" i="3" s="1"/>
  <c r="H727" i="3"/>
  <c r="I727" i="3"/>
  <c r="J727" i="3" s="1" a="1"/>
  <c r="J727" i="3" s="1"/>
  <c r="H728" i="3"/>
  <c r="I728" i="3"/>
  <c r="J728" i="3" a="1"/>
  <c r="J728" i="3" s="1"/>
  <c r="H729" i="3"/>
  <c r="I729" i="3"/>
  <c r="J729" i="3" s="1" a="1"/>
  <c r="J729" i="3" s="1"/>
  <c r="H730" i="3"/>
  <c r="I730" i="3"/>
  <c r="J730" i="3" a="1"/>
  <c r="J730" i="3" s="1"/>
  <c r="H731" i="3"/>
  <c r="I731" i="3"/>
  <c r="J731" i="3" a="1"/>
  <c r="J731" i="3" s="1"/>
  <c r="H732" i="3"/>
  <c r="I732" i="3"/>
  <c r="J732" i="3" a="1"/>
  <c r="J732" i="3" s="1"/>
  <c r="H733" i="3"/>
  <c r="I733" i="3"/>
  <c r="J733" i="3" s="1" a="1"/>
  <c r="J733" i="3" s="1"/>
  <c r="H734" i="3"/>
  <c r="I734" i="3"/>
  <c r="J734" i="3" s="1" a="1"/>
  <c r="J734" i="3" s="1"/>
  <c r="H735" i="3"/>
  <c r="I735" i="3"/>
  <c r="J735" i="3" a="1"/>
  <c r="J735" i="3" s="1"/>
  <c r="H736" i="3"/>
  <c r="I736" i="3"/>
  <c r="J736" i="3" s="1" a="1"/>
  <c r="J736" i="3" s="1"/>
  <c r="H737" i="3"/>
  <c r="I737" i="3"/>
  <c r="J737" i="3" a="1"/>
  <c r="J737" i="3" s="1"/>
  <c r="H738" i="3"/>
  <c r="I738" i="3"/>
  <c r="J738" i="3" s="1" a="1"/>
  <c r="J738" i="3" s="1"/>
  <c r="H739" i="3"/>
  <c r="I739" i="3"/>
  <c r="J739" i="3" a="1"/>
  <c r="J739" i="3" s="1"/>
  <c r="H740" i="3"/>
  <c r="I740" i="3"/>
  <c r="J740" i="3" s="1" a="1"/>
  <c r="J740" i="3" s="1"/>
  <c r="H741" i="3"/>
  <c r="I741" i="3"/>
  <c r="J741" i="3" a="1"/>
  <c r="J741" i="3" s="1"/>
  <c r="H742" i="3"/>
  <c r="I742" i="3"/>
  <c r="J742" i="3" s="1" a="1"/>
  <c r="J742" i="3" s="1"/>
  <c r="B24" i="3"/>
  <c r="I2" i="3"/>
  <c r="J2" i="3" s="1" a="1"/>
  <c r="J2" i="3" s="1"/>
  <c r="H2" i="3"/>
  <c r="B25" i="3"/>
  <c r="K892" i="3" l="1"/>
  <c r="K745" i="3"/>
  <c r="K814" i="3"/>
  <c r="K951" i="3"/>
  <c r="K943" i="3"/>
  <c r="K919" i="3"/>
  <c r="K911" i="3"/>
  <c r="K888" i="3"/>
  <c r="K880" i="3"/>
  <c r="K856" i="3"/>
  <c r="K898" i="3"/>
  <c r="K842" i="3"/>
  <c r="K931" i="3"/>
  <c r="K891" i="3"/>
  <c r="K841" i="3"/>
  <c r="K826" i="3"/>
  <c r="K825" i="3"/>
  <c r="K941" i="3"/>
  <c r="K909" i="3"/>
  <c r="K899" i="3"/>
  <c r="K887" i="3"/>
  <c r="K879" i="3"/>
  <c r="K867" i="3"/>
  <c r="K846" i="3"/>
  <c r="K830" i="3"/>
  <c r="K809" i="3"/>
  <c r="K761" i="3"/>
  <c r="K947" i="3"/>
  <c r="K939" i="3"/>
  <c r="K933" i="3"/>
  <c r="K923" i="3"/>
  <c r="K916" i="3"/>
  <c r="K915" i="3"/>
  <c r="K881" i="3"/>
  <c r="K878" i="3"/>
  <c r="K877" i="3"/>
  <c r="K850" i="3"/>
  <c r="K834" i="3"/>
  <c r="K818" i="3"/>
  <c r="K806" i="3"/>
  <c r="K798" i="3"/>
  <c r="K790" i="3"/>
  <c r="K782" i="3"/>
  <c r="K774" i="3"/>
  <c r="K766" i="3"/>
  <c r="K758" i="3"/>
  <c r="K750" i="3"/>
  <c r="K946" i="3"/>
  <c r="K928" i="3"/>
  <c r="K922" i="3"/>
  <c r="K914" i="3"/>
  <c r="K907" i="3"/>
  <c r="K902" i="3"/>
  <c r="K901" i="3"/>
  <c r="K883" i="3"/>
  <c r="K876" i="3"/>
  <c r="K875" i="3"/>
  <c r="K870" i="3"/>
  <c r="K869" i="3"/>
  <c r="K859" i="3"/>
  <c r="K854" i="3"/>
  <c r="K838" i="3"/>
  <c r="K822" i="3"/>
  <c r="K954" i="3"/>
  <c r="K938" i="3"/>
  <c r="K932" i="3"/>
  <c r="K905" i="3"/>
  <c r="K786" i="3"/>
  <c r="K770" i="3"/>
  <c r="K955" i="3"/>
  <c r="K952" i="3"/>
  <c r="K944" i="3"/>
  <c r="K864" i="3"/>
  <c r="K858" i="3"/>
  <c r="K853" i="3"/>
  <c r="K837" i="3"/>
  <c r="K821" i="3"/>
  <c r="K805" i="3"/>
  <c r="K800" i="3"/>
  <c r="K797" i="3"/>
  <c r="K789" i="3"/>
  <c r="K784" i="3"/>
  <c r="K781" i="3"/>
  <c r="K950" i="3"/>
  <c r="K945" i="3"/>
  <c r="K942" i="3"/>
  <c r="K920" i="3"/>
  <c r="K912" i="3"/>
  <c r="K906" i="3"/>
  <c r="K900" i="3"/>
  <c r="K884" i="3"/>
  <c r="K873" i="3"/>
  <c r="K866" i="3"/>
  <c r="K860" i="3"/>
  <c r="K845" i="3"/>
  <c r="K829" i="3"/>
  <c r="K813" i="3"/>
  <c r="K807" i="3"/>
  <c r="K796" i="3"/>
  <c r="K793" i="3"/>
  <c r="K787" i="3"/>
  <c r="K773" i="3"/>
  <c r="K768" i="3"/>
  <c r="K765" i="3"/>
  <c r="K754" i="3"/>
  <c r="K751" i="3"/>
  <c r="K743" i="3"/>
  <c r="K948" i="3"/>
  <c r="K940" i="3"/>
  <c r="K937" i="3"/>
  <c r="K934" i="3"/>
  <c r="K930" i="3"/>
  <c r="K924" i="3"/>
  <c r="K918" i="3"/>
  <c r="K913" i="3"/>
  <c r="K910" i="3"/>
  <c r="K896" i="3"/>
  <c r="K890" i="3"/>
  <c r="K882" i="3"/>
  <c r="K874" i="3"/>
  <c r="K868" i="3"/>
  <c r="K849" i="3"/>
  <c r="K833" i="3"/>
  <c r="K817" i="3"/>
  <c r="K802" i="3"/>
  <c r="K799" i="3"/>
  <c r="K791" i="3"/>
  <c r="K780" i="3"/>
  <c r="K777" i="3"/>
  <c r="K771" i="3"/>
  <c r="K757" i="3"/>
  <c r="K752" i="3"/>
  <c r="K749" i="3"/>
  <c r="K953" i="3"/>
  <c r="K949" i="3"/>
  <c r="K927" i="3"/>
  <c r="K921" i="3"/>
  <c r="K917" i="3"/>
  <c r="K908" i="3"/>
  <c r="K895" i="3"/>
  <c r="K889" i="3"/>
  <c r="K886" i="3"/>
  <c r="K885" i="3"/>
  <c r="K863" i="3"/>
  <c r="K857" i="3"/>
  <c r="K844" i="3"/>
  <c r="K836" i="3"/>
  <c r="K828" i="3"/>
  <c r="K820" i="3"/>
  <c r="K804" i="3"/>
  <c r="K788" i="3"/>
  <c r="K772" i="3"/>
  <c r="K756" i="3"/>
  <c r="K936" i="3"/>
  <c r="K935" i="3"/>
  <c r="K929" i="3"/>
  <c r="K926" i="3"/>
  <c r="K925" i="3"/>
  <c r="K904" i="3"/>
  <c r="K903" i="3"/>
  <c r="K897" i="3"/>
  <c r="K894" i="3"/>
  <c r="K893" i="3"/>
  <c r="K872" i="3"/>
  <c r="K871" i="3"/>
  <c r="K865" i="3"/>
  <c r="K862" i="3"/>
  <c r="K861" i="3"/>
  <c r="K855" i="3"/>
  <c r="K851" i="3"/>
  <c r="K847" i="3"/>
  <c r="K843" i="3"/>
  <c r="K839" i="3"/>
  <c r="K835" i="3"/>
  <c r="K831" i="3"/>
  <c r="K827" i="3"/>
  <c r="K823" i="3"/>
  <c r="K819" i="3"/>
  <c r="K815" i="3"/>
  <c r="K811" i="3"/>
  <c r="K808" i="3"/>
  <c r="K801" i="3"/>
  <c r="K795" i="3"/>
  <c r="K792" i="3"/>
  <c r="K785" i="3"/>
  <c r="K779" i="3"/>
  <c r="K776" i="3"/>
  <c r="K769" i="3"/>
  <c r="K763" i="3"/>
  <c r="K760" i="3"/>
  <c r="K753" i="3"/>
  <c r="K747" i="3"/>
  <c r="K744" i="3"/>
  <c r="K852" i="3"/>
  <c r="K848" i="3"/>
  <c r="K840" i="3"/>
  <c r="K832" i="3"/>
  <c r="K824" i="3"/>
  <c r="K816" i="3"/>
  <c r="K12" i="3"/>
  <c r="L12" i="3" s="1"/>
  <c r="M12" i="3" s="1"/>
  <c r="K37" i="3"/>
  <c r="L37" i="3" s="1"/>
  <c r="M37" i="3" s="1"/>
  <c r="K414" i="3"/>
  <c r="L414" i="3" s="1"/>
  <c r="M414" i="3" s="1"/>
  <c r="K398" i="3"/>
  <c r="L398" i="3" s="1"/>
  <c r="M398" i="3" s="1"/>
  <c r="K384" i="3"/>
  <c r="L384" i="3" s="1"/>
  <c r="M384" i="3" s="1"/>
  <c r="K21" i="3"/>
  <c r="L21" i="3" s="1"/>
  <c r="M21" i="3" s="1"/>
  <c r="K289" i="3"/>
  <c r="L289" i="3" s="1"/>
  <c r="M289" i="3" s="1"/>
  <c r="K257" i="3"/>
  <c r="L257" i="3" s="1"/>
  <c r="M257" i="3" s="1"/>
  <c r="K241" i="3"/>
  <c r="L241" i="3" s="1"/>
  <c r="M241" i="3" s="1"/>
  <c r="K98" i="3"/>
  <c r="L98" i="3" s="1"/>
  <c r="M98" i="3" s="1"/>
  <c r="K92" i="3"/>
  <c r="L92" i="3" s="1"/>
  <c r="M92" i="3" s="1"/>
  <c r="K407" i="3"/>
  <c r="L407" i="3" s="1"/>
  <c r="M407" i="3" s="1"/>
  <c r="K400" i="3"/>
  <c r="L400" i="3" s="1"/>
  <c r="M400" i="3" s="1"/>
  <c r="K309" i="3"/>
  <c r="L309" i="3" s="1"/>
  <c r="M309" i="3" s="1"/>
  <c r="K56" i="3"/>
  <c r="L56" i="3" s="1"/>
  <c r="M56" i="3" s="1"/>
  <c r="K695" i="3"/>
  <c r="L695" i="3" s="1"/>
  <c r="M695" i="3" s="1"/>
  <c r="K278" i="3"/>
  <c r="L278" i="3" s="1"/>
  <c r="M278" i="3" s="1"/>
  <c r="K214" i="3"/>
  <c r="L214" i="3" s="1"/>
  <c r="M214" i="3" s="1"/>
  <c r="K190" i="3"/>
  <c r="L190" i="3" s="1"/>
  <c r="M190" i="3" s="1"/>
  <c r="K292" i="3"/>
  <c r="L292" i="3" s="1"/>
  <c r="M292" i="3" s="1"/>
  <c r="K274" i="3"/>
  <c r="L274" i="3" s="1"/>
  <c r="M274" i="3" s="1"/>
  <c r="K610" i="3"/>
  <c r="L610" i="3" s="1"/>
  <c r="M610" i="3" s="1"/>
  <c r="K521" i="3"/>
  <c r="L521" i="3" s="1"/>
  <c r="M521" i="3" s="1"/>
  <c r="K198" i="3"/>
  <c r="L198" i="3" s="1"/>
  <c r="M198" i="3" s="1"/>
  <c r="K528" i="3"/>
  <c r="L528" i="3" s="1"/>
  <c r="M528" i="3" s="1"/>
  <c r="K504" i="3"/>
  <c r="L504" i="3" s="1"/>
  <c r="M504" i="3" s="1"/>
  <c r="K501" i="3"/>
  <c r="L501" i="3" s="1"/>
  <c r="M501" i="3" s="1"/>
  <c r="K500" i="3"/>
  <c r="L500" i="3" s="1"/>
  <c r="M500" i="3" s="1"/>
  <c r="K479" i="3"/>
  <c r="L479" i="3" s="1"/>
  <c r="M479" i="3" s="1"/>
  <c r="K377" i="3"/>
  <c r="L377" i="3" s="1"/>
  <c r="M377" i="3" s="1"/>
  <c r="K194" i="3"/>
  <c r="L194" i="3" s="1"/>
  <c r="M194" i="3" s="1"/>
  <c r="K186" i="3"/>
  <c r="L186" i="3" s="1"/>
  <c r="M186" i="3" s="1"/>
  <c r="K657" i="3"/>
  <c r="L657" i="3" s="1"/>
  <c r="M657" i="3" s="1"/>
  <c r="K598" i="3"/>
  <c r="L598" i="3" s="1"/>
  <c r="M598" i="3" s="1"/>
  <c r="K187" i="3"/>
  <c r="L187" i="3" s="1"/>
  <c r="M187" i="3" s="1"/>
  <c r="K185" i="3"/>
  <c r="L185" i="3" s="1"/>
  <c r="M185" i="3" s="1"/>
  <c r="K690" i="3"/>
  <c r="L690" i="3" s="1"/>
  <c r="M690" i="3" s="1"/>
  <c r="K271" i="3"/>
  <c r="L271" i="3" s="1"/>
  <c r="M271" i="3" s="1"/>
  <c r="K45" i="3"/>
  <c r="L45" i="3" s="1"/>
  <c r="M45" i="3" s="1"/>
  <c r="K544" i="3"/>
  <c r="L544" i="3" s="1"/>
  <c r="M544" i="3" s="1"/>
  <c r="K512" i="3"/>
  <c r="L512" i="3" s="1"/>
  <c r="M512" i="3" s="1"/>
  <c r="K433" i="3"/>
  <c r="L433" i="3" s="1"/>
  <c r="M433" i="3" s="1"/>
  <c r="K421" i="3"/>
  <c r="L421" i="3" s="1"/>
  <c r="M421" i="3" s="1"/>
  <c r="K419" i="3"/>
  <c r="L419" i="3" s="1"/>
  <c r="M419" i="3" s="1"/>
  <c r="K197" i="3"/>
  <c r="L197" i="3" s="1"/>
  <c r="M197" i="3" s="1"/>
  <c r="K265" i="3"/>
  <c r="L265" i="3" s="1"/>
  <c r="M265" i="3" s="1"/>
  <c r="K660" i="3"/>
  <c r="L660" i="3" s="1"/>
  <c r="M660" i="3" s="1"/>
  <c r="K635" i="3"/>
  <c r="L635" i="3" s="1"/>
  <c r="M635" i="3" s="1"/>
  <c r="K616" i="3"/>
  <c r="L616" i="3" s="1"/>
  <c r="M616" i="3" s="1"/>
  <c r="K608" i="3"/>
  <c r="L608" i="3" s="1"/>
  <c r="M608" i="3" s="1"/>
  <c r="K519" i="3"/>
  <c r="L519" i="3" s="1"/>
  <c r="M519" i="3" s="1"/>
  <c r="K487" i="3"/>
  <c r="L487" i="3" s="1"/>
  <c r="M487" i="3" s="1"/>
  <c r="K482" i="3"/>
  <c r="L482" i="3" s="1"/>
  <c r="M482" i="3" s="1"/>
  <c r="K474" i="3"/>
  <c r="L474" i="3" s="1"/>
  <c r="M474" i="3" s="1"/>
  <c r="K471" i="3"/>
  <c r="L471" i="3" s="1"/>
  <c r="M471" i="3" s="1"/>
  <c r="K444" i="3"/>
  <c r="L444" i="3" s="1"/>
  <c r="M444" i="3" s="1"/>
  <c r="K439" i="3"/>
  <c r="L439" i="3" s="1"/>
  <c r="M439" i="3" s="1"/>
  <c r="K231" i="3"/>
  <c r="L231" i="3" s="1"/>
  <c r="M231" i="3" s="1"/>
  <c r="K229" i="3"/>
  <c r="L229" i="3" s="1"/>
  <c r="M229" i="3" s="1"/>
  <c r="K109" i="3"/>
  <c r="L109" i="3" s="1"/>
  <c r="M109" i="3" s="1"/>
  <c r="K104" i="3"/>
  <c r="L104" i="3" s="1"/>
  <c r="M104" i="3" s="1"/>
  <c r="K101" i="3"/>
  <c r="L101" i="3" s="1"/>
  <c r="M101" i="3" s="1"/>
  <c r="K62" i="3"/>
  <c r="L62" i="3" s="1"/>
  <c r="M62" i="3" s="1"/>
  <c r="K58" i="3"/>
  <c r="L58" i="3" s="1"/>
  <c r="M58" i="3" s="1"/>
  <c r="K53" i="3"/>
  <c r="L53" i="3" s="1"/>
  <c r="M53" i="3" s="1"/>
  <c r="K49" i="3"/>
  <c r="L49" i="3" s="1"/>
  <c r="M49" i="3" s="1"/>
  <c r="K9" i="3"/>
  <c r="L9" i="3" s="1"/>
  <c r="M9" i="3" s="1"/>
  <c r="K7" i="3"/>
  <c r="L7" i="3" s="1"/>
  <c r="M7" i="3" s="1"/>
  <c r="K738" i="3"/>
  <c r="L738" i="3" s="1"/>
  <c r="M738" i="3" s="1"/>
  <c r="K729" i="3"/>
  <c r="L729" i="3" s="1"/>
  <c r="M729" i="3" s="1"/>
  <c r="K298" i="3"/>
  <c r="L298" i="3" s="1"/>
  <c r="M298" i="3" s="1"/>
  <c r="K295" i="3"/>
  <c r="L295" i="3" s="1"/>
  <c r="M295" i="3" s="1"/>
  <c r="K33" i="3"/>
  <c r="L33" i="3" s="1"/>
  <c r="M33" i="3" s="1"/>
  <c r="K499" i="3"/>
  <c r="L499" i="3" s="1"/>
  <c r="M499" i="3" s="1"/>
  <c r="K313" i="3"/>
  <c r="L313" i="3" s="1"/>
  <c r="M313" i="3" s="1"/>
  <c r="K191" i="3"/>
  <c r="L191" i="3" s="1"/>
  <c r="M191" i="3" s="1"/>
  <c r="K143" i="3"/>
  <c r="L143" i="3" s="1"/>
  <c r="M143" i="3" s="1"/>
  <c r="K122" i="3"/>
  <c r="L122" i="3" s="1"/>
  <c r="M122" i="3" s="1"/>
  <c r="K110" i="3"/>
  <c r="L110" i="3" s="1"/>
  <c r="M110" i="3" s="1"/>
  <c r="K94" i="3"/>
  <c r="L94" i="3" s="1"/>
  <c r="M94" i="3" s="1"/>
  <c r="K13" i="3"/>
  <c r="L13" i="3" s="1"/>
  <c r="M13" i="3" s="1"/>
  <c r="K247" i="3"/>
  <c r="L247" i="3" s="1"/>
  <c r="M247" i="3" s="1"/>
  <c r="K245" i="3"/>
  <c r="L245" i="3" s="1"/>
  <c r="M245" i="3" s="1"/>
  <c r="K212" i="3"/>
  <c r="L212" i="3" s="1"/>
  <c r="M212" i="3" s="1"/>
  <c r="K207" i="3"/>
  <c r="L207" i="3" s="1"/>
  <c r="M207" i="3" s="1"/>
  <c r="K195" i="3"/>
  <c r="L195" i="3" s="1"/>
  <c r="M195" i="3" s="1"/>
  <c r="K41" i="3"/>
  <c r="L41" i="3" s="1"/>
  <c r="M41" i="3" s="1"/>
  <c r="K300" i="3"/>
  <c r="L300" i="3" s="1"/>
  <c r="M300" i="3" s="1"/>
  <c r="K596" i="3"/>
  <c r="L596" i="3" s="1"/>
  <c r="M596" i="3" s="1"/>
  <c r="K595" i="3"/>
  <c r="L595" i="3" s="1"/>
  <c r="M595" i="3" s="1"/>
  <c r="K563" i="3"/>
  <c r="L563" i="3" s="1"/>
  <c r="M563" i="3" s="1"/>
  <c r="K555" i="3"/>
  <c r="L555" i="3" s="1"/>
  <c r="M555" i="3" s="1"/>
  <c r="K547" i="3"/>
  <c r="L547" i="3" s="1"/>
  <c r="M547" i="3" s="1"/>
  <c r="K515" i="3"/>
  <c r="L515" i="3" s="1"/>
  <c r="M515" i="3" s="1"/>
  <c r="K494" i="3"/>
  <c r="L494" i="3" s="1"/>
  <c r="M494" i="3" s="1"/>
  <c r="K438" i="3"/>
  <c r="L438" i="3" s="1"/>
  <c r="M438" i="3" s="1"/>
  <c r="K426" i="3"/>
  <c r="L426" i="3" s="1"/>
  <c r="M426" i="3" s="1"/>
  <c r="K372" i="3"/>
  <c r="L372" i="3" s="1"/>
  <c r="M372" i="3" s="1"/>
  <c r="K363" i="3"/>
  <c r="L363" i="3" s="1"/>
  <c r="M363" i="3" s="1"/>
  <c r="K358" i="3"/>
  <c r="L358" i="3" s="1"/>
  <c r="M358" i="3" s="1"/>
  <c r="K355" i="3"/>
  <c r="L355" i="3" s="1"/>
  <c r="M355" i="3" s="1"/>
  <c r="K350" i="3"/>
  <c r="L350" i="3" s="1"/>
  <c r="M350" i="3" s="1"/>
  <c r="K347" i="3"/>
  <c r="L347" i="3" s="1"/>
  <c r="M347" i="3" s="1"/>
  <c r="K342" i="3"/>
  <c r="L342" i="3" s="1"/>
  <c r="M342" i="3" s="1"/>
  <c r="K339" i="3"/>
  <c r="L339" i="3" s="1"/>
  <c r="M339" i="3" s="1"/>
  <c r="K334" i="3"/>
  <c r="L334" i="3" s="1"/>
  <c r="M334" i="3" s="1"/>
  <c r="K331" i="3"/>
  <c r="L331" i="3" s="1"/>
  <c r="M331" i="3" s="1"/>
  <c r="K323" i="3"/>
  <c r="L323" i="3" s="1"/>
  <c r="M323" i="3" s="1"/>
  <c r="K320" i="3"/>
  <c r="L320" i="3" s="1"/>
  <c r="M320" i="3" s="1"/>
  <c r="K284" i="3"/>
  <c r="L284" i="3" s="1"/>
  <c r="M284" i="3" s="1"/>
  <c r="K281" i="3"/>
  <c r="L281" i="3" s="1"/>
  <c r="M281" i="3" s="1"/>
  <c r="K277" i="3"/>
  <c r="L277" i="3" s="1"/>
  <c r="M277" i="3" s="1"/>
  <c r="K275" i="3"/>
  <c r="L275" i="3" s="1"/>
  <c r="M275" i="3" s="1"/>
  <c r="K269" i="3"/>
  <c r="L269" i="3" s="1"/>
  <c r="M269" i="3" s="1"/>
  <c r="K236" i="3"/>
  <c r="L236" i="3" s="1"/>
  <c r="M236" i="3" s="1"/>
  <c r="K220" i="3"/>
  <c r="L220" i="3" s="1"/>
  <c r="M220" i="3" s="1"/>
  <c r="K213" i="3"/>
  <c r="L213" i="3" s="1"/>
  <c r="M213" i="3" s="1"/>
  <c r="K193" i="3"/>
  <c r="L193" i="3" s="1"/>
  <c r="M193" i="3" s="1"/>
  <c r="K192" i="3"/>
  <c r="L192" i="3" s="1"/>
  <c r="M192" i="3" s="1"/>
  <c r="K189" i="3"/>
  <c r="L189" i="3" s="1"/>
  <c r="M189" i="3" s="1"/>
  <c r="K188" i="3"/>
  <c r="L188" i="3" s="1"/>
  <c r="M188" i="3" s="1"/>
  <c r="K128" i="3"/>
  <c r="L128" i="3" s="1"/>
  <c r="M128" i="3" s="1"/>
  <c r="K107" i="3"/>
  <c r="L107" i="3" s="1"/>
  <c r="M107" i="3" s="1"/>
  <c r="K99" i="3"/>
  <c r="L99" i="3" s="1"/>
  <c r="M99" i="3" s="1"/>
  <c r="K5" i="3"/>
  <c r="L5" i="3" s="1"/>
  <c r="M5" i="3" s="1"/>
  <c r="K3" i="3"/>
  <c r="L3" i="3" s="1"/>
  <c r="M3" i="3" s="1"/>
  <c r="K712" i="3"/>
  <c r="L712" i="3" s="1"/>
  <c r="M712" i="3" s="1"/>
  <c r="K699" i="3"/>
  <c r="L699" i="3" s="1"/>
  <c r="M699" i="3" s="1"/>
  <c r="K656" i="3"/>
  <c r="L656" i="3" s="1"/>
  <c r="M656" i="3" s="1"/>
  <c r="K650" i="3"/>
  <c r="L650" i="3" s="1"/>
  <c r="M650" i="3" s="1"/>
  <c r="K648" i="3"/>
  <c r="L648" i="3" s="1"/>
  <c r="M648" i="3" s="1"/>
  <c r="K624" i="3"/>
  <c r="L624" i="3" s="1"/>
  <c r="M624" i="3" s="1"/>
  <c r="K564" i="3"/>
  <c r="L564" i="3" s="1"/>
  <c r="M564" i="3" s="1"/>
  <c r="K545" i="3"/>
  <c r="L545" i="3" s="1"/>
  <c r="M545" i="3" s="1"/>
  <c r="K529" i="3"/>
  <c r="L529" i="3" s="1"/>
  <c r="M529" i="3" s="1"/>
  <c r="K516" i="3"/>
  <c r="L516" i="3" s="1"/>
  <c r="M516" i="3" s="1"/>
  <c r="K513" i="3"/>
  <c r="L513" i="3" s="1"/>
  <c r="M513" i="3" s="1"/>
  <c r="K492" i="3"/>
  <c r="L492" i="3" s="1"/>
  <c r="M492" i="3" s="1"/>
  <c r="K466" i="3"/>
  <c r="L466" i="3" s="1"/>
  <c r="M466" i="3" s="1"/>
  <c r="K446" i="3"/>
  <c r="L446" i="3" s="1"/>
  <c r="M446" i="3" s="1"/>
  <c r="K429" i="3"/>
  <c r="L429" i="3" s="1"/>
  <c r="M429" i="3" s="1"/>
  <c r="K401" i="3"/>
  <c r="L401" i="3" s="1"/>
  <c r="M401" i="3" s="1"/>
  <c r="K370" i="3"/>
  <c r="L370" i="3" s="1"/>
  <c r="M370" i="3" s="1"/>
  <c r="K317" i="3"/>
  <c r="L317" i="3" s="1"/>
  <c r="M317" i="3" s="1"/>
  <c r="K285" i="3"/>
  <c r="L285" i="3" s="1"/>
  <c r="M285" i="3" s="1"/>
  <c r="K263" i="3"/>
  <c r="L263" i="3" s="1"/>
  <c r="M263" i="3" s="1"/>
  <c r="K253" i="3"/>
  <c r="L253" i="3" s="1"/>
  <c r="M253" i="3" s="1"/>
  <c r="K239" i="3"/>
  <c r="L239" i="3" s="1"/>
  <c r="M239" i="3" s="1"/>
  <c r="K203" i="3"/>
  <c r="L203" i="3" s="1"/>
  <c r="M203" i="3" s="1"/>
  <c r="K183" i="3"/>
  <c r="L183" i="3" s="1"/>
  <c r="M183" i="3" s="1"/>
  <c r="K176" i="3"/>
  <c r="L176" i="3" s="1"/>
  <c r="M176" i="3" s="1"/>
  <c r="K147" i="3"/>
  <c r="L147" i="3" s="1"/>
  <c r="M147" i="3" s="1"/>
  <c r="K129" i="3"/>
  <c r="L129" i="3" s="1"/>
  <c r="M129" i="3" s="1"/>
  <c r="K124" i="3"/>
  <c r="L124" i="3" s="1"/>
  <c r="M124" i="3" s="1"/>
  <c r="K117" i="3"/>
  <c r="L117" i="3" s="1"/>
  <c r="M117" i="3" s="1"/>
  <c r="K112" i="3"/>
  <c r="L112" i="3" s="1"/>
  <c r="M112" i="3" s="1"/>
  <c r="K77" i="3"/>
  <c r="L77" i="3" s="1"/>
  <c r="M77" i="3" s="1"/>
  <c r="K69" i="3"/>
  <c r="L69" i="3" s="1"/>
  <c r="M69" i="3" s="1"/>
  <c r="K29" i="3"/>
  <c r="L29" i="3" s="1"/>
  <c r="M29" i="3" s="1"/>
  <c r="K25" i="3"/>
  <c r="L25" i="3" s="1"/>
  <c r="M25" i="3" s="1"/>
  <c r="K682" i="3"/>
  <c r="L682" i="3" s="1"/>
  <c r="M682" i="3" s="1"/>
  <c r="K601" i="3"/>
  <c r="L601" i="3" s="1"/>
  <c r="M601" i="3" s="1"/>
  <c r="K369" i="3"/>
  <c r="L369" i="3" s="1"/>
  <c r="M369" i="3" s="1"/>
  <c r="K360" i="3"/>
  <c r="L360" i="3" s="1"/>
  <c r="M360" i="3" s="1"/>
  <c r="K359" i="3"/>
  <c r="L359" i="3" s="1"/>
  <c r="M359" i="3" s="1"/>
  <c r="K352" i="3"/>
  <c r="L352" i="3" s="1"/>
  <c r="M352" i="3" s="1"/>
  <c r="K351" i="3"/>
  <c r="L351" i="3" s="1"/>
  <c r="M351" i="3" s="1"/>
  <c r="K344" i="3"/>
  <c r="L344" i="3" s="1"/>
  <c r="M344" i="3" s="1"/>
  <c r="K343" i="3"/>
  <c r="L343" i="3" s="1"/>
  <c r="M343" i="3" s="1"/>
  <c r="K336" i="3"/>
  <c r="L336" i="3" s="1"/>
  <c r="M336" i="3" s="1"/>
  <c r="K335" i="3"/>
  <c r="L335" i="3" s="1"/>
  <c r="M335" i="3" s="1"/>
  <c r="K328" i="3"/>
  <c r="L328" i="3" s="1"/>
  <c r="M328" i="3" s="1"/>
  <c r="K327" i="3"/>
  <c r="L327" i="3" s="1"/>
  <c r="M327" i="3" s="1"/>
  <c r="K226" i="3"/>
  <c r="L226" i="3" s="1"/>
  <c r="M226" i="3" s="1"/>
  <c r="K202" i="3"/>
  <c r="L202" i="3" s="1"/>
  <c r="M202" i="3" s="1"/>
  <c r="K106" i="3"/>
  <c r="L106" i="3" s="1"/>
  <c r="M106" i="3" s="1"/>
  <c r="K416" i="3"/>
  <c r="L416" i="3" s="1"/>
  <c r="M416" i="3" s="1"/>
  <c r="K509" i="3"/>
  <c r="L509" i="3" s="1"/>
  <c r="M509" i="3" s="1"/>
  <c r="K386" i="3"/>
  <c r="L386" i="3" s="1"/>
  <c r="M386" i="3" s="1"/>
  <c r="K629" i="3"/>
  <c r="L629" i="3" s="1"/>
  <c r="M629" i="3" s="1"/>
  <c r="K665" i="3"/>
  <c r="L665" i="3" s="1"/>
  <c r="M665" i="3" s="1"/>
  <c r="K305" i="3"/>
  <c r="L305" i="3" s="1"/>
  <c r="M305" i="3" s="1"/>
  <c r="K159" i="3"/>
  <c r="L159" i="3" s="1"/>
  <c r="M159" i="3" s="1"/>
  <c r="K150" i="3"/>
  <c r="L150" i="3" s="1"/>
  <c r="M150" i="3" s="1"/>
  <c r="K73" i="3"/>
  <c r="L73" i="3" s="1"/>
  <c r="M73" i="3" s="1"/>
  <c r="K63" i="3"/>
  <c r="L63" i="3" s="1"/>
  <c r="M63" i="3" s="1"/>
  <c r="K60" i="3"/>
  <c r="L60" i="3" s="1"/>
  <c r="M60" i="3" s="1"/>
  <c r="K59" i="3"/>
  <c r="L59" i="3" s="1"/>
  <c r="M59" i="3" s="1"/>
  <c r="K51" i="3"/>
  <c r="L51" i="3" s="1"/>
  <c r="M51" i="3" s="1"/>
  <c r="K43" i="3"/>
  <c r="L43" i="3" s="1"/>
  <c r="M43" i="3" s="1"/>
  <c r="K35" i="3"/>
  <c r="L35" i="3" s="1"/>
  <c r="M35" i="3" s="1"/>
  <c r="K27" i="3"/>
  <c r="L27" i="3" s="1"/>
  <c r="M27" i="3" s="1"/>
  <c r="K714" i="3"/>
  <c r="L714" i="3" s="1"/>
  <c r="M714" i="3" s="1"/>
  <c r="K678" i="3"/>
  <c r="L678" i="3" s="1"/>
  <c r="M678" i="3" s="1"/>
  <c r="K669" i="3"/>
  <c r="L669" i="3" s="1"/>
  <c r="M669" i="3" s="1"/>
  <c r="K666" i="3"/>
  <c r="L666" i="3" s="1"/>
  <c r="M666" i="3" s="1"/>
  <c r="K663" i="3"/>
  <c r="L663" i="3" s="1"/>
  <c r="M663" i="3" s="1"/>
  <c r="K636" i="3"/>
  <c r="L636" i="3" s="1"/>
  <c r="M636" i="3" s="1"/>
  <c r="K628" i="3"/>
  <c r="L628" i="3" s="1"/>
  <c r="M628" i="3" s="1"/>
  <c r="K619" i="3"/>
  <c r="L619" i="3" s="1"/>
  <c r="M619" i="3" s="1"/>
  <c r="K585" i="3"/>
  <c r="L585" i="3" s="1"/>
  <c r="M585" i="3" s="1"/>
  <c r="K569" i="3"/>
  <c r="L569" i="3" s="1"/>
  <c r="M569" i="3" s="1"/>
  <c r="K548" i="3"/>
  <c r="L548" i="3" s="1"/>
  <c r="M548" i="3" s="1"/>
  <c r="K532" i="3"/>
  <c r="L532" i="3" s="1"/>
  <c r="M532" i="3" s="1"/>
  <c r="K523" i="3"/>
  <c r="L523" i="3" s="1"/>
  <c r="M523" i="3" s="1"/>
  <c r="K498" i="3"/>
  <c r="L498" i="3" s="1"/>
  <c r="M498" i="3" s="1"/>
  <c r="K488" i="3"/>
  <c r="L488" i="3" s="1"/>
  <c r="M488" i="3" s="1"/>
  <c r="K454" i="3"/>
  <c r="L454" i="3" s="1"/>
  <c r="M454" i="3" s="1"/>
  <c r="K406" i="3"/>
  <c r="L406" i="3" s="1"/>
  <c r="M406" i="3" s="1"/>
  <c r="K380" i="3"/>
  <c r="L380" i="3" s="1"/>
  <c r="M380" i="3" s="1"/>
  <c r="K375" i="3"/>
  <c r="L375" i="3" s="1"/>
  <c r="M375" i="3" s="1"/>
  <c r="K364" i="3"/>
  <c r="L364" i="3" s="1"/>
  <c r="M364" i="3" s="1"/>
  <c r="K340" i="3"/>
  <c r="L340" i="3" s="1"/>
  <c r="M340" i="3" s="1"/>
  <c r="K332" i="3"/>
  <c r="L332" i="3" s="1"/>
  <c r="M332" i="3" s="1"/>
  <c r="K324" i="3"/>
  <c r="L324" i="3" s="1"/>
  <c r="M324" i="3" s="1"/>
  <c r="K304" i="3"/>
  <c r="L304" i="3" s="1"/>
  <c r="M304" i="3" s="1"/>
  <c r="K296" i="3"/>
  <c r="L296" i="3" s="1"/>
  <c r="M296" i="3" s="1"/>
  <c r="K290" i="3"/>
  <c r="L290" i="3" s="1"/>
  <c r="M290" i="3" s="1"/>
  <c r="K244" i="3"/>
  <c r="L244" i="3" s="1"/>
  <c r="M244" i="3" s="1"/>
  <c r="K237" i="3"/>
  <c r="L237" i="3" s="1"/>
  <c r="M237" i="3" s="1"/>
  <c r="K232" i="3"/>
  <c r="L232" i="3" s="1"/>
  <c r="M232" i="3" s="1"/>
  <c r="K173" i="3"/>
  <c r="L173" i="3" s="1"/>
  <c r="M173" i="3" s="1"/>
  <c r="K134" i="3"/>
  <c r="L134" i="3" s="1"/>
  <c r="M134" i="3" s="1"/>
  <c r="K64" i="3"/>
  <c r="L64" i="3" s="1"/>
  <c r="M64" i="3" s="1"/>
  <c r="K54" i="3"/>
  <c r="L54" i="3" s="1"/>
  <c r="M54" i="3" s="1"/>
  <c r="K50" i="3"/>
  <c r="L50" i="3" s="1"/>
  <c r="M50" i="3" s="1"/>
  <c r="K46" i="3"/>
  <c r="L46" i="3" s="1"/>
  <c r="M46" i="3" s="1"/>
  <c r="K42" i="3"/>
  <c r="L42" i="3" s="1"/>
  <c r="M42" i="3" s="1"/>
  <c r="K38" i="3"/>
  <c r="L38" i="3" s="1"/>
  <c r="M38" i="3" s="1"/>
  <c r="K34" i="3"/>
  <c r="L34" i="3" s="1"/>
  <c r="M34" i="3" s="1"/>
  <c r="K30" i="3"/>
  <c r="L30" i="3" s="1"/>
  <c r="M30" i="3" s="1"/>
  <c r="K26" i="3"/>
  <c r="L26" i="3" s="1"/>
  <c r="M26" i="3" s="1"/>
  <c r="K22" i="3"/>
  <c r="L22" i="3" s="1"/>
  <c r="M22" i="3" s="1"/>
  <c r="K18" i="3"/>
  <c r="L18" i="3" s="1"/>
  <c r="M18" i="3" s="1"/>
  <c r="K19" i="3"/>
  <c r="L19" i="3" s="1"/>
  <c r="M19" i="3" s="1"/>
  <c r="K719" i="3"/>
  <c r="L719" i="3" s="1"/>
  <c r="M719" i="3" s="1"/>
  <c r="K713" i="3"/>
  <c r="L713" i="3" s="1"/>
  <c r="M713" i="3" s="1"/>
  <c r="K706" i="3"/>
  <c r="L706" i="3" s="1"/>
  <c r="M706" i="3" s="1"/>
  <c r="K697" i="3"/>
  <c r="L697" i="3" s="1"/>
  <c r="M697" i="3" s="1"/>
  <c r="K670" i="3"/>
  <c r="L670" i="3" s="1"/>
  <c r="M670" i="3" s="1"/>
  <c r="K667" i="3"/>
  <c r="L667" i="3" s="1"/>
  <c r="M667" i="3" s="1"/>
  <c r="K649" i="3"/>
  <c r="L649" i="3" s="1"/>
  <c r="M649" i="3" s="1"/>
  <c r="K641" i="3"/>
  <c r="L641" i="3" s="1"/>
  <c r="M641" i="3" s="1"/>
  <c r="K620" i="3"/>
  <c r="L620" i="3" s="1"/>
  <c r="M620" i="3" s="1"/>
  <c r="K617" i="3"/>
  <c r="L617" i="3" s="1"/>
  <c r="M617" i="3" s="1"/>
  <c r="K609" i="3"/>
  <c r="L609" i="3" s="1"/>
  <c r="M609" i="3" s="1"/>
  <c r="K606" i="3"/>
  <c r="L606" i="3" s="1"/>
  <c r="M606" i="3" s="1"/>
  <c r="K592" i="3"/>
  <c r="L592" i="3" s="1"/>
  <c r="M592" i="3" s="1"/>
  <c r="K584" i="3"/>
  <c r="L584" i="3" s="1"/>
  <c r="M584" i="3" s="1"/>
  <c r="K578" i="3"/>
  <c r="L578" i="3" s="1"/>
  <c r="M578" i="3" s="1"/>
  <c r="K576" i="3"/>
  <c r="L576" i="3" s="1"/>
  <c r="M576" i="3" s="1"/>
  <c r="K570" i="3"/>
  <c r="L570" i="3" s="1"/>
  <c r="M570" i="3" s="1"/>
  <c r="K560" i="3"/>
  <c r="L560" i="3" s="1"/>
  <c r="M560" i="3" s="1"/>
  <c r="K554" i="3"/>
  <c r="L554" i="3" s="1"/>
  <c r="M554" i="3" s="1"/>
  <c r="K551" i="3"/>
  <c r="L551" i="3" s="1"/>
  <c r="M551" i="3" s="1"/>
  <c r="K537" i="3"/>
  <c r="L537" i="3" s="1"/>
  <c r="M537" i="3" s="1"/>
  <c r="K535" i="3"/>
  <c r="L535" i="3" s="1"/>
  <c r="M535" i="3" s="1"/>
  <c r="K518" i="3"/>
  <c r="L518" i="3" s="1"/>
  <c r="M518" i="3" s="1"/>
  <c r="K483" i="3"/>
  <c r="L483" i="3" s="1"/>
  <c r="M483" i="3" s="1"/>
  <c r="K477" i="3"/>
  <c r="L477" i="3" s="1"/>
  <c r="M477" i="3" s="1"/>
  <c r="K469" i="3"/>
  <c r="L469" i="3" s="1"/>
  <c r="M469" i="3" s="1"/>
  <c r="K459" i="3"/>
  <c r="L459" i="3" s="1"/>
  <c r="M459" i="3" s="1"/>
  <c r="K452" i="3"/>
  <c r="L452" i="3" s="1"/>
  <c r="M452" i="3" s="1"/>
  <c r="K432" i="3"/>
  <c r="L432" i="3" s="1"/>
  <c r="M432" i="3" s="1"/>
  <c r="K425" i="3"/>
  <c r="L425" i="3" s="1"/>
  <c r="M425" i="3" s="1"/>
  <c r="K420" i="3"/>
  <c r="L420" i="3" s="1"/>
  <c r="M420" i="3" s="1"/>
  <c r="K418" i="3"/>
  <c r="L418" i="3" s="1"/>
  <c r="M418" i="3" s="1"/>
  <c r="K413" i="3"/>
  <c r="L413" i="3" s="1"/>
  <c r="M413" i="3" s="1"/>
  <c r="K393" i="3"/>
  <c r="L393" i="3" s="1"/>
  <c r="M393" i="3" s="1"/>
  <c r="K392" i="3"/>
  <c r="L392" i="3" s="1"/>
  <c r="M392" i="3" s="1"/>
  <c r="K383" i="3"/>
  <c r="L383" i="3" s="1"/>
  <c r="M383" i="3" s="1"/>
  <c r="K378" i="3"/>
  <c r="L378" i="3" s="1"/>
  <c r="M378" i="3" s="1"/>
  <c r="K373" i="3"/>
  <c r="L373" i="3" s="1"/>
  <c r="M373" i="3" s="1"/>
  <c r="K321" i="3"/>
  <c r="L321" i="3" s="1"/>
  <c r="M321" i="3" s="1"/>
  <c r="K308" i="3"/>
  <c r="L308" i="3" s="1"/>
  <c r="M308" i="3" s="1"/>
  <c r="K301" i="3"/>
  <c r="L301" i="3" s="1"/>
  <c r="M301" i="3" s="1"/>
  <c r="K293" i="3"/>
  <c r="L293" i="3" s="1"/>
  <c r="M293" i="3" s="1"/>
  <c r="K264" i="3"/>
  <c r="L264" i="3" s="1"/>
  <c r="M264" i="3" s="1"/>
  <c r="K221" i="3"/>
  <c r="L221" i="3" s="1"/>
  <c r="M221" i="3" s="1"/>
  <c r="K184" i="3"/>
  <c r="L184" i="3" s="1"/>
  <c r="M184" i="3" s="1"/>
  <c r="K163" i="3"/>
  <c r="L163" i="3" s="1"/>
  <c r="M163" i="3" s="1"/>
  <c r="K155" i="3"/>
  <c r="L155" i="3" s="1"/>
  <c r="M155" i="3" s="1"/>
  <c r="K153" i="3"/>
  <c r="L153" i="3" s="1"/>
  <c r="M153" i="3" s="1"/>
  <c r="K133" i="3"/>
  <c r="L133" i="3" s="1"/>
  <c r="M133" i="3" s="1"/>
  <c r="K130" i="3"/>
  <c r="L130" i="3" s="1"/>
  <c r="M130" i="3" s="1"/>
  <c r="K116" i="3"/>
  <c r="L116" i="3" s="1"/>
  <c r="M116" i="3" s="1"/>
  <c r="K96" i="3"/>
  <c r="L96" i="3" s="1"/>
  <c r="M96" i="3" s="1"/>
  <c r="K91" i="3"/>
  <c r="L91" i="3" s="1"/>
  <c r="M91" i="3" s="1"/>
  <c r="K85" i="3"/>
  <c r="L85" i="3" s="1"/>
  <c r="M85" i="3" s="1"/>
  <c r="K61" i="3"/>
  <c r="L61" i="3" s="1"/>
  <c r="M61" i="3" s="1"/>
  <c r="K57" i="3"/>
  <c r="L57" i="3" s="1"/>
  <c r="M57" i="3" s="1"/>
  <c r="K14" i="3"/>
  <c r="L14" i="3" s="1"/>
  <c r="M14" i="3" s="1"/>
  <c r="K6" i="3"/>
  <c r="L6" i="3" s="1"/>
  <c r="M6" i="3" s="1"/>
  <c r="K737" i="3"/>
  <c r="L737" i="3" s="1"/>
  <c r="M737" i="3" s="1"/>
  <c r="K700" i="3"/>
  <c r="L700" i="3" s="1"/>
  <c r="M700" i="3" s="1"/>
  <c r="K698" i="3"/>
  <c r="L698" i="3" s="1"/>
  <c r="M698" i="3" s="1"/>
  <c r="K736" i="3"/>
  <c r="L736" i="3" s="1"/>
  <c r="M736" i="3" s="1"/>
  <c r="K704" i="3"/>
  <c r="L704" i="3" s="1"/>
  <c r="M704" i="3" s="1"/>
  <c r="K703" i="3"/>
  <c r="L703" i="3" s="1"/>
  <c r="M703" i="3" s="1"/>
  <c r="K702" i="3"/>
  <c r="L702" i="3" s="1"/>
  <c r="M702" i="3" s="1"/>
  <c r="K693" i="3"/>
  <c r="L693" i="3" s="1"/>
  <c r="M693" i="3" s="1"/>
  <c r="K680" i="3"/>
  <c r="L680" i="3" s="1"/>
  <c r="M680" i="3" s="1"/>
  <c r="K673" i="3"/>
  <c r="L673" i="3" s="1"/>
  <c r="M673" i="3" s="1"/>
  <c r="K646" i="3"/>
  <c r="L646" i="3" s="1"/>
  <c r="M646" i="3" s="1"/>
  <c r="K634" i="3"/>
  <c r="L634" i="3" s="1"/>
  <c r="M634" i="3" s="1"/>
  <c r="K625" i="3"/>
  <c r="L625" i="3" s="1"/>
  <c r="M625" i="3" s="1"/>
  <c r="K605" i="3"/>
  <c r="L605" i="3" s="1"/>
  <c r="M605" i="3" s="1"/>
  <c r="K602" i="3"/>
  <c r="L602" i="3" s="1"/>
  <c r="M602" i="3" s="1"/>
  <c r="K566" i="3"/>
  <c r="L566" i="3" s="1"/>
  <c r="M566" i="3" s="1"/>
  <c r="K728" i="3"/>
  <c r="L728" i="3" s="1"/>
  <c r="M728" i="3" s="1"/>
  <c r="K723" i="3"/>
  <c r="L723" i="3" s="1"/>
  <c r="M723" i="3" s="1"/>
  <c r="K691" i="3"/>
  <c r="L691" i="3" s="1"/>
  <c r="M691" i="3" s="1"/>
  <c r="K662" i="3"/>
  <c r="L662" i="3" s="1"/>
  <c r="M662" i="3" s="1"/>
  <c r="K659" i="3"/>
  <c r="L659" i="3" s="1"/>
  <c r="M659" i="3" s="1"/>
  <c r="K655" i="3"/>
  <c r="L655" i="3" s="1"/>
  <c r="M655" i="3" s="1"/>
  <c r="K638" i="3"/>
  <c r="L638" i="3" s="1"/>
  <c r="M638" i="3" s="1"/>
  <c r="K623" i="3"/>
  <c r="L623" i="3" s="1"/>
  <c r="M623" i="3" s="1"/>
  <c r="K612" i="3"/>
  <c r="L612" i="3" s="1"/>
  <c r="M612" i="3" s="1"/>
  <c r="K573" i="3"/>
  <c r="L573" i="3" s="1"/>
  <c r="M573" i="3" s="1"/>
  <c r="K442" i="3"/>
  <c r="L442" i="3" s="1"/>
  <c r="M442" i="3" s="1"/>
  <c r="K427" i="3"/>
  <c r="L427" i="3" s="1"/>
  <c r="M427" i="3" s="1"/>
  <c r="K410" i="3"/>
  <c r="L410" i="3" s="1"/>
  <c r="M410" i="3" s="1"/>
  <c r="K593" i="3"/>
  <c r="L593" i="3" s="1"/>
  <c r="M593" i="3" s="1"/>
  <c r="K588" i="3"/>
  <c r="L588" i="3" s="1"/>
  <c r="M588" i="3" s="1"/>
  <c r="K568" i="3"/>
  <c r="L568" i="3" s="1"/>
  <c r="M568" i="3" s="1"/>
  <c r="K561" i="3"/>
  <c r="L561" i="3" s="1"/>
  <c r="M561" i="3" s="1"/>
  <c r="K556" i="3"/>
  <c r="L556" i="3" s="1"/>
  <c r="M556" i="3" s="1"/>
  <c r="K531" i="3"/>
  <c r="L531" i="3" s="1"/>
  <c r="M531" i="3" s="1"/>
  <c r="K527" i="3"/>
  <c r="L527" i="3" s="1"/>
  <c r="M527" i="3" s="1"/>
  <c r="K506" i="3"/>
  <c r="L506" i="3" s="1"/>
  <c r="M506" i="3" s="1"/>
  <c r="K503" i="3"/>
  <c r="L503" i="3" s="1"/>
  <c r="M503" i="3" s="1"/>
  <c r="K462" i="3"/>
  <c r="L462" i="3" s="1"/>
  <c r="M462" i="3" s="1"/>
  <c r="K457" i="3"/>
  <c r="L457" i="3" s="1"/>
  <c r="M457" i="3" s="1"/>
  <c r="K450" i="3"/>
  <c r="L450" i="3" s="1"/>
  <c r="M450" i="3" s="1"/>
  <c r="K449" i="3"/>
  <c r="L449" i="3" s="1"/>
  <c r="M449" i="3" s="1"/>
  <c r="K740" i="3"/>
  <c r="L740" i="3" s="1"/>
  <c r="M740" i="3" s="1"/>
  <c r="K732" i="3"/>
  <c r="L732" i="3" s="1"/>
  <c r="M732" i="3" s="1"/>
  <c r="K730" i="3"/>
  <c r="L730" i="3" s="1"/>
  <c r="M730" i="3" s="1"/>
  <c r="K726" i="3"/>
  <c r="L726" i="3" s="1"/>
  <c r="M726" i="3" s="1"/>
  <c r="K708" i="3"/>
  <c r="L708" i="3" s="1"/>
  <c r="M708" i="3" s="1"/>
  <c r="K674" i="3"/>
  <c r="L674" i="3" s="1"/>
  <c r="M674" i="3" s="1"/>
  <c r="K652" i="3"/>
  <c r="L652" i="3" s="1"/>
  <c r="M652" i="3" s="1"/>
  <c r="K642" i="3"/>
  <c r="L642" i="3" s="1"/>
  <c r="M642" i="3" s="1"/>
  <c r="K630" i="3"/>
  <c r="L630" i="3" s="1"/>
  <c r="M630" i="3" s="1"/>
  <c r="K627" i="3"/>
  <c r="L627" i="3" s="1"/>
  <c r="M627" i="3" s="1"/>
  <c r="K615" i="3"/>
  <c r="L615" i="3" s="1"/>
  <c r="M615" i="3" s="1"/>
  <c r="K597" i="3"/>
  <c r="L597" i="3" s="1"/>
  <c r="M597" i="3" s="1"/>
  <c r="K591" i="3"/>
  <c r="L591" i="3" s="1"/>
  <c r="M591" i="3" s="1"/>
  <c r="K580" i="3"/>
  <c r="L580" i="3" s="1"/>
  <c r="M580" i="3" s="1"/>
  <c r="K574" i="3"/>
  <c r="L574" i="3" s="1"/>
  <c r="M574" i="3" s="1"/>
  <c r="K559" i="3"/>
  <c r="L559" i="3" s="1"/>
  <c r="M559" i="3" s="1"/>
  <c r="K553" i="3"/>
  <c r="L553" i="3" s="1"/>
  <c r="M553" i="3" s="1"/>
  <c r="K550" i="3"/>
  <c r="L550" i="3" s="1"/>
  <c r="M550" i="3" s="1"/>
  <c r="K522" i="3"/>
  <c r="L522" i="3" s="1"/>
  <c r="M522" i="3" s="1"/>
  <c r="K495" i="3"/>
  <c r="L495" i="3" s="1"/>
  <c r="M495" i="3" s="1"/>
  <c r="K481" i="3"/>
  <c r="L481" i="3" s="1"/>
  <c r="M481" i="3" s="1"/>
  <c r="K480" i="3"/>
  <c r="L480" i="3" s="1"/>
  <c r="M480" i="3" s="1"/>
  <c r="K473" i="3"/>
  <c r="L473" i="3" s="1"/>
  <c r="M473" i="3" s="1"/>
  <c r="K465" i="3"/>
  <c r="L465" i="3" s="1"/>
  <c r="M465" i="3" s="1"/>
  <c r="K464" i="3"/>
  <c r="L464" i="3" s="1"/>
  <c r="M464" i="3" s="1"/>
  <c r="K460" i="3"/>
  <c r="L460" i="3" s="1"/>
  <c r="M460" i="3" s="1"/>
  <c r="K458" i="3"/>
  <c r="L458" i="3" s="1"/>
  <c r="M458" i="3" s="1"/>
  <c r="K417" i="3"/>
  <c r="L417" i="3" s="1"/>
  <c r="M417" i="3" s="1"/>
  <c r="K415" i="3"/>
  <c r="L415" i="3" s="1"/>
  <c r="M415" i="3" s="1"/>
  <c r="K405" i="3"/>
  <c r="L405" i="3" s="1"/>
  <c r="M405" i="3" s="1"/>
  <c r="K403" i="3"/>
  <c r="L403" i="3" s="1"/>
  <c r="M403" i="3" s="1"/>
  <c r="K388" i="3"/>
  <c r="L388" i="3" s="1"/>
  <c r="M388" i="3" s="1"/>
  <c r="K374" i="3"/>
  <c r="L374" i="3" s="1"/>
  <c r="M374" i="3" s="1"/>
  <c r="K356" i="3"/>
  <c r="L356" i="3" s="1"/>
  <c r="M356" i="3" s="1"/>
  <c r="K348" i="3"/>
  <c r="L348" i="3" s="1"/>
  <c r="M348" i="3" s="1"/>
  <c r="K272" i="3"/>
  <c r="L272" i="3" s="1"/>
  <c r="M272" i="3" s="1"/>
  <c r="K246" i="3"/>
  <c r="L246" i="3" s="1"/>
  <c r="M246" i="3" s="1"/>
  <c r="K225" i="3"/>
  <c r="L225" i="3" s="1"/>
  <c r="M225" i="3" s="1"/>
  <c r="K177" i="3"/>
  <c r="L177" i="3" s="1"/>
  <c r="M177" i="3" s="1"/>
  <c r="K166" i="3"/>
  <c r="L166" i="3" s="1"/>
  <c r="M166" i="3" s="1"/>
  <c r="K149" i="3"/>
  <c r="L149" i="3" s="1"/>
  <c r="M149" i="3" s="1"/>
  <c r="K145" i="3"/>
  <c r="L145" i="3" s="1"/>
  <c r="M145" i="3" s="1"/>
  <c r="K144" i="3"/>
  <c r="L144" i="3" s="1"/>
  <c r="M144" i="3" s="1"/>
  <c r="K142" i="3"/>
  <c r="L142" i="3" s="1"/>
  <c r="M142" i="3" s="1"/>
  <c r="K126" i="3"/>
  <c r="L126" i="3" s="1"/>
  <c r="M126" i="3" s="1"/>
  <c r="K95" i="3"/>
  <c r="L95" i="3" s="1"/>
  <c r="M95" i="3" s="1"/>
  <c r="K76" i="3"/>
  <c r="L76" i="3" s="1"/>
  <c r="M76" i="3" s="1"/>
  <c r="K17" i="3"/>
  <c r="L17" i="3" s="1"/>
  <c r="M17" i="3" s="1"/>
  <c r="K10" i="3"/>
  <c r="L10" i="3" s="1"/>
  <c r="M10" i="3" s="1"/>
  <c r="K390" i="3"/>
  <c r="L390" i="3" s="1"/>
  <c r="M390" i="3" s="1"/>
  <c r="K376" i="3"/>
  <c r="L376" i="3" s="1"/>
  <c r="M376" i="3" s="1"/>
  <c r="K361" i="3"/>
  <c r="L361" i="3" s="1"/>
  <c r="M361" i="3" s="1"/>
  <c r="K353" i="3"/>
  <c r="L353" i="3" s="1"/>
  <c r="M353" i="3" s="1"/>
  <c r="K345" i="3"/>
  <c r="L345" i="3" s="1"/>
  <c r="M345" i="3" s="1"/>
  <c r="K337" i="3"/>
  <c r="L337" i="3" s="1"/>
  <c r="M337" i="3" s="1"/>
  <c r="K329" i="3"/>
  <c r="L329" i="3" s="1"/>
  <c r="M329" i="3" s="1"/>
  <c r="K314" i="3"/>
  <c r="L314" i="3" s="1"/>
  <c r="M314" i="3" s="1"/>
  <c r="K311" i="3"/>
  <c r="L311" i="3" s="1"/>
  <c r="M311" i="3" s="1"/>
  <c r="K288" i="3"/>
  <c r="L288" i="3" s="1"/>
  <c r="M288" i="3" s="1"/>
  <c r="K279" i="3"/>
  <c r="L279" i="3" s="1"/>
  <c r="M279" i="3" s="1"/>
  <c r="K273" i="3"/>
  <c r="L273" i="3" s="1"/>
  <c r="M273" i="3" s="1"/>
  <c r="K258" i="3"/>
  <c r="L258" i="3" s="1"/>
  <c r="M258" i="3" s="1"/>
  <c r="K254" i="3"/>
  <c r="L254" i="3" s="1"/>
  <c r="M254" i="3" s="1"/>
  <c r="K248" i="3"/>
  <c r="L248" i="3" s="1"/>
  <c r="M248" i="3" s="1"/>
  <c r="K240" i="3"/>
  <c r="L240" i="3" s="1"/>
  <c r="M240" i="3" s="1"/>
  <c r="K234" i="3"/>
  <c r="L234" i="3" s="1"/>
  <c r="M234" i="3" s="1"/>
  <c r="K228" i="3"/>
  <c r="L228" i="3" s="1"/>
  <c r="M228" i="3" s="1"/>
  <c r="K218" i="3"/>
  <c r="L218" i="3" s="1"/>
  <c r="M218" i="3" s="1"/>
  <c r="K216" i="3"/>
  <c r="L216" i="3" s="1"/>
  <c r="M216" i="3" s="1"/>
  <c r="K180" i="3"/>
  <c r="L180" i="3" s="1"/>
  <c r="M180" i="3" s="1"/>
  <c r="K169" i="3"/>
  <c r="L169" i="3" s="1"/>
  <c r="M169" i="3" s="1"/>
  <c r="K168" i="3"/>
  <c r="L168" i="3" s="1"/>
  <c r="M168" i="3" s="1"/>
  <c r="K157" i="3"/>
  <c r="L157" i="3" s="1"/>
  <c r="M157" i="3" s="1"/>
  <c r="K148" i="3"/>
  <c r="L148" i="3" s="1"/>
  <c r="M148" i="3" s="1"/>
  <c r="K140" i="3"/>
  <c r="L140" i="3" s="1"/>
  <c r="M140" i="3" s="1"/>
  <c r="K139" i="3"/>
  <c r="L139" i="3" s="1"/>
  <c r="M139" i="3" s="1"/>
  <c r="K137" i="3"/>
  <c r="L137" i="3" s="1"/>
  <c r="M137" i="3" s="1"/>
  <c r="K131" i="3"/>
  <c r="L131" i="3" s="1"/>
  <c r="M131" i="3" s="1"/>
  <c r="K118" i="3"/>
  <c r="L118" i="3" s="1"/>
  <c r="M118" i="3" s="1"/>
  <c r="K102" i="3"/>
  <c r="L102" i="3" s="1"/>
  <c r="M102" i="3" s="1"/>
  <c r="K87" i="3"/>
  <c r="L87" i="3" s="1"/>
  <c r="M87" i="3" s="1"/>
  <c r="K74" i="3"/>
  <c r="L74" i="3" s="1"/>
  <c r="M74" i="3" s="1"/>
  <c r="K71" i="3"/>
  <c r="L71" i="3" s="1"/>
  <c r="M71" i="3" s="1"/>
  <c r="K68" i="3"/>
  <c r="L68" i="3" s="1"/>
  <c r="M68" i="3" s="1"/>
  <c r="K67" i="3"/>
  <c r="L67" i="3" s="1"/>
  <c r="M67" i="3" s="1"/>
  <c r="K66" i="3"/>
  <c r="L66" i="3" s="1"/>
  <c r="M66" i="3" s="1"/>
  <c r="K541" i="3"/>
  <c r="L541" i="3" s="1"/>
  <c r="M541" i="3" s="1"/>
  <c r="K536" i="3"/>
  <c r="L536" i="3" s="1"/>
  <c r="M536" i="3" s="1"/>
  <c r="K524" i="3"/>
  <c r="L524" i="3" s="1"/>
  <c r="M524" i="3" s="1"/>
  <c r="K507" i="3"/>
  <c r="L507" i="3" s="1"/>
  <c r="M507" i="3" s="1"/>
  <c r="K505" i="3"/>
  <c r="L505" i="3" s="1"/>
  <c r="M505" i="3" s="1"/>
  <c r="K502" i="3"/>
  <c r="L502" i="3" s="1"/>
  <c r="M502" i="3" s="1"/>
  <c r="K497" i="3"/>
  <c r="L497" i="3" s="1"/>
  <c r="M497" i="3" s="1"/>
  <c r="K493" i="3"/>
  <c r="L493" i="3" s="1"/>
  <c r="M493" i="3" s="1"/>
  <c r="K461" i="3"/>
  <c r="L461" i="3" s="1"/>
  <c r="M461" i="3" s="1"/>
  <c r="K409" i="3"/>
  <c r="L409" i="3" s="1"/>
  <c r="M409" i="3" s="1"/>
  <c r="K404" i="3"/>
  <c r="L404" i="3" s="1"/>
  <c r="M404" i="3" s="1"/>
  <c r="K395" i="3"/>
  <c r="L395" i="3" s="1"/>
  <c r="M395" i="3" s="1"/>
  <c r="K389" i="3"/>
  <c r="L389" i="3" s="1"/>
  <c r="M389" i="3" s="1"/>
  <c r="K381" i="3"/>
  <c r="L381" i="3" s="1"/>
  <c r="M381" i="3" s="1"/>
  <c r="K325" i="3"/>
  <c r="L325" i="3" s="1"/>
  <c r="M325" i="3" s="1"/>
  <c r="K322" i="3"/>
  <c r="L322" i="3" s="1"/>
  <c r="M322" i="3" s="1"/>
  <c r="K319" i="3"/>
  <c r="L319" i="3" s="1"/>
  <c r="M319" i="3" s="1"/>
  <c r="K316" i="3"/>
  <c r="L316" i="3" s="1"/>
  <c r="M316" i="3" s="1"/>
  <c r="K312" i="3"/>
  <c r="L312" i="3" s="1"/>
  <c r="M312" i="3" s="1"/>
  <c r="K306" i="3"/>
  <c r="L306" i="3" s="1"/>
  <c r="M306" i="3" s="1"/>
  <c r="K303" i="3"/>
  <c r="L303" i="3" s="1"/>
  <c r="M303" i="3" s="1"/>
  <c r="K297" i="3"/>
  <c r="L297" i="3" s="1"/>
  <c r="M297" i="3" s="1"/>
  <c r="K280" i="3"/>
  <c r="L280" i="3" s="1"/>
  <c r="M280" i="3" s="1"/>
  <c r="K259" i="3"/>
  <c r="L259" i="3" s="1"/>
  <c r="M259" i="3" s="1"/>
  <c r="K256" i="3"/>
  <c r="L256" i="3" s="1"/>
  <c r="M256" i="3" s="1"/>
  <c r="K255" i="3"/>
  <c r="L255" i="3" s="1"/>
  <c r="M255" i="3" s="1"/>
  <c r="K252" i="3"/>
  <c r="L252" i="3" s="1"/>
  <c r="M252" i="3" s="1"/>
  <c r="K251" i="3"/>
  <c r="L251" i="3" s="1"/>
  <c r="M251" i="3" s="1"/>
  <c r="K249" i="3"/>
  <c r="L249" i="3" s="1"/>
  <c r="M249" i="3" s="1"/>
  <c r="K243" i="3"/>
  <c r="L243" i="3" s="1"/>
  <c r="M243" i="3" s="1"/>
  <c r="K235" i="3"/>
  <c r="L235" i="3" s="1"/>
  <c r="M235" i="3" s="1"/>
  <c r="K230" i="3"/>
  <c r="L230" i="3" s="1"/>
  <c r="M230" i="3" s="1"/>
  <c r="K224" i="3"/>
  <c r="L224" i="3" s="1"/>
  <c r="M224" i="3" s="1"/>
  <c r="K217" i="3"/>
  <c r="L217" i="3" s="1"/>
  <c r="M217" i="3" s="1"/>
  <c r="K211" i="3"/>
  <c r="L211" i="3" s="1"/>
  <c r="M211" i="3" s="1"/>
  <c r="K199" i="3"/>
  <c r="L199" i="3" s="1"/>
  <c r="M199" i="3" s="1"/>
  <c r="K172" i="3"/>
  <c r="L172" i="3" s="1"/>
  <c r="M172" i="3" s="1"/>
  <c r="K146" i="3"/>
  <c r="L146" i="3" s="1"/>
  <c r="M146" i="3" s="1"/>
  <c r="K132" i="3"/>
  <c r="L132" i="3" s="1"/>
  <c r="M132" i="3" s="1"/>
  <c r="K123" i="3"/>
  <c r="L123" i="3" s="1"/>
  <c r="M123" i="3" s="1"/>
  <c r="K121" i="3"/>
  <c r="L121" i="3" s="1"/>
  <c r="M121" i="3" s="1"/>
  <c r="K111" i="3"/>
  <c r="L111" i="3" s="1"/>
  <c r="M111" i="3" s="1"/>
  <c r="K103" i="3"/>
  <c r="L103" i="3" s="1"/>
  <c r="M103" i="3" s="1"/>
  <c r="K90" i="3"/>
  <c r="L90" i="3" s="1"/>
  <c r="M90" i="3" s="1"/>
  <c r="K81" i="3"/>
  <c r="L81" i="3" s="1"/>
  <c r="M81" i="3" s="1"/>
  <c r="K44" i="3"/>
  <c r="L44" i="3" s="1"/>
  <c r="M44" i="3" s="1"/>
  <c r="K725" i="3"/>
  <c r="L725" i="3" s="1"/>
  <c r="M725" i="3" s="1"/>
  <c r="K696" i="3"/>
  <c r="L696" i="3" s="1"/>
  <c r="M696" i="3" s="1"/>
  <c r="K694" i="3"/>
  <c r="L694" i="3" s="1"/>
  <c r="M694" i="3" s="1"/>
  <c r="K692" i="3"/>
  <c r="L692" i="3" s="1"/>
  <c r="M692" i="3" s="1"/>
  <c r="K689" i="3"/>
  <c r="L689" i="3" s="1"/>
  <c r="M689" i="3" s="1"/>
  <c r="K685" i="3"/>
  <c r="L685" i="3" s="1"/>
  <c r="M685" i="3" s="1"/>
  <c r="K677" i="3"/>
  <c r="L677" i="3" s="1"/>
  <c r="M677" i="3" s="1"/>
  <c r="K668" i="3"/>
  <c r="L668" i="3" s="1"/>
  <c r="M668" i="3" s="1"/>
  <c r="K664" i="3"/>
  <c r="L664" i="3" s="1"/>
  <c r="M664" i="3" s="1"/>
  <c r="K645" i="3"/>
  <c r="L645" i="3" s="1"/>
  <c r="M645" i="3" s="1"/>
  <c r="K455" i="3"/>
  <c r="L455" i="3" s="1"/>
  <c r="M455" i="3" s="1"/>
  <c r="K447" i="3"/>
  <c r="L447" i="3" s="1"/>
  <c r="M447" i="3" s="1"/>
  <c r="K720" i="3"/>
  <c r="L720" i="3" s="1"/>
  <c r="M720" i="3" s="1"/>
  <c r="K739" i="3"/>
  <c r="L739" i="3" s="1"/>
  <c r="M739" i="3" s="1"/>
  <c r="K724" i="3"/>
  <c r="L724" i="3" s="1"/>
  <c r="M724" i="3" s="1"/>
  <c r="K722" i="3"/>
  <c r="L722" i="3" s="1"/>
  <c r="M722" i="3" s="1"/>
  <c r="K709" i="3"/>
  <c r="L709" i="3" s="1"/>
  <c r="M709" i="3" s="1"/>
  <c r="K688" i="3"/>
  <c r="L688" i="3" s="1"/>
  <c r="M688" i="3" s="1"/>
  <c r="K687" i="3"/>
  <c r="L687" i="3" s="1"/>
  <c r="M687" i="3" s="1"/>
  <c r="K686" i="3"/>
  <c r="L686" i="3" s="1"/>
  <c r="M686" i="3" s="1"/>
  <c r="K684" i="3"/>
  <c r="L684" i="3" s="1"/>
  <c r="M684" i="3" s="1"/>
  <c r="K683" i="3"/>
  <c r="L683" i="3" s="1"/>
  <c r="M683" i="3" s="1"/>
  <c r="K681" i="3"/>
  <c r="L681" i="3" s="1"/>
  <c r="M681" i="3" s="1"/>
  <c r="K676" i="3"/>
  <c r="L676" i="3" s="1"/>
  <c r="M676" i="3" s="1"/>
  <c r="K675" i="3"/>
  <c r="L675" i="3" s="1"/>
  <c r="M675" i="3" s="1"/>
  <c r="K672" i="3"/>
  <c r="L672" i="3" s="1"/>
  <c r="M672" i="3" s="1"/>
  <c r="K671" i="3"/>
  <c r="L671" i="3" s="1"/>
  <c r="M671" i="3" s="1"/>
  <c r="K653" i="3"/>
  <c r="L653" i="3" s="1"/>
  <c r="M653" i="3" s="1"/>
  <c r="K644" i="3"/>
  <c r="L644" i="3" s="1"/>
  <c r="M644" i="3" s="1"/>
  <c r="K643" i="3"/>
  <c r="L643" i="3" s="1"/>
  <c r="M643" i="3" s="1"/>
  <c r="K640" i="3"/>
  <c r="L640" i="3" s="1"/>
  <c r="M640" i="3" s="1"/>
  <c r="K633" i="3"/>
  <c r="L633" i="3" s="1"/>
  <c r="M633" i="3" s="1"/>
  <c r="K540" i="3"/>
  <c r="L540" i="3" s="1"/>
  <c r="M540" i="3" s="1"/>
  <c r="K508" i="3"/>
  <c r="L508" i="3" s="1"/>
  <c r="M508" i="3" s="1"/>
  <c r="K478" i="3"/>
  <c r="L478" i="3" s="1"/>
  <c r="M478" i="3" s="1"/>
  <c r="K463" i="3"/>
  <c r="L463" i="3" s="1"/>
  <c r="M463" i="3" s="1"/>
  <c r="K411" i="3"/>
  <c r="L411" i="3" s="1"/>
  <c r="M411" i="3" s="1"/>
  <c r="K742" i="3"/>
  <c r="L742" i="3" s="1"/>
  <c r="M742" i="3" s="1"/>
  <c r="K734" i="3"/>
  <c r="L734" i="3" s="1"/>
  <c r="M734" i="3" s="1"/>
  <c r="K733" i="3"/>
  <c r="L733" i="3" s="1"/>
  <c r="M733" i="3" s="1"/>
  <c r="K731" i="3"/>
  <c r="L731" i="3" s="1"/>
  <c r="M731" i="3" s="1"/>
  <c r="K727" i="3"/>
  <c r="L727" i="3" s="1"/>
  <c r="M727" i="3" s="1"/>
  <c r="K721" i="3"/>
  <c r="L721" i="3" s="1"/>
  <c r="M721" i="3" s="1"/>
  <c r="K718" i="3"/>
  <c r="L718" i="3" s="1"/>
  <c r="M718" i="3" s="1"/>
  <c r="K717" i="3"/>
  <c r="L717" i="3" s="1"/>
  <c r="M717" i="3" s="1"/>
  <c r="K715" i="3"/>
  <c r="L715" i="3" s="1"/>
  <c r="M715" i="3" s="1"/>
  <c r="K711" i="3"/>
  <c r="L711" i="3" s="1"/>
  <c r="M711" i="3" s="1"/>
  <c r="K710" i="3"/>
  <c r="L710" i="3" s="1"/>
  <c r="M710" i="3" s="1"/>
  <c r="K707" i="3"/>
  <c r="L707" i="3" s="1"/>
  <c r="M707" i="3" s="1"/>
  <c r="K705" i="3"/>
  <c r="L705" i="3" s="1"/>
  <c r="M705" i="3" s="1"/>
  <c r="K701" i="3"/>
  <c r="L701" i="3" s="1"/>
  <c r="M701" i="3" s="1"/>
  <c r="K679" i="3"/>
  <c r="L679" i="3" s="1"/>
  <c r="M679" i="3" s="1"/>
  <c r="K661" i="3"/>
  <c r="L661" i="3" s="1"/>
  <c r="M661" i="3" s="1"/>
  <c r="K658" i="3"/>
  <c r="L658" i="3" s="1"/>
  <c r="M658" i="3" s="1"/>
  <c r="K654" i="3"/>
  <c r="L654" i="3" s="1"/>
  <c r="M654" i="3" s="1"/>
  <c r="K651" i="3"/>
  <c r="L651" i="3" s="1"/>
  <c r="M651" i="3" s="1"/>
  <c r="K647" i="3"/>
  <c r="L647" i="3" s="1"/>
  <c r="M647" i="3" s="1"/>
  <c r="K637" i="3"/>
  <c r="L637" i="3" s="1"/>
  <c r="M637" i="3" s="1"/>
  <c r="K577" i="3"/>
  <c r="L577" i="3" s="1"/>
  <c r="M577" i="3" s="1"/>
  <c r="K485" i="3"/>
  <c r="L485" i="3" s="1"/>
  <c r="M485" i="3" s="1"/>
  <c r="K632" i="3"/>
  <c r="L632" i="3" s="1"/>
  <c r="M632" i="3" s="1"/>
  <c r="K631" i="3"/>
  <c r="L631" i="3" s="1"/>
  <c r="M631" i="3" s="1"/>
  <c r="K613" i="3"/>
  <c r="L613" i="3" s="1"/>
  <c r="M613" i="3" s="1"/>
  <c r="K604" i="3"/>
  <c r="L604" i="3" s="1"/>
  <c r="M604" i="3" s="1"/>
  <c r="K603" i="3"/>
  <c r="L603" i="3" s="1"/>
  <c r="M603" i="3" s="1"/>
  <c r="K600" i="3"/>
  <c r="L600" i="3" s="1"/>
  <c r="M600" i="3" s="1"/>
  <c r="K599" i="3"/>
  <c r="L599" i="3" s="1"/>
  <c r="M599" i="3" s="1"/>
  <c r="K581" i="3"/>
  <c r="L581" i="3" s="1"/>
  <c r="M581" i="3" s="1"/>
  <c r="K572" i="3"/>
  <c r="L572" i="3" s="1"/>
  <c r="M572" i="3" s="1"/>
  <c r="K571" i="3"/>
  <c r="L571" i="3" s="1"/>
  <c r="M571" i="3" s="1"/>
  <c r="K567" i="3"/>
  <c r="L567" i="3" s="1"/>
  <c r="M567" i="3" s="1"/>
  <c r="K552" i="3"/>
  <c r="L552" i="3" s="1"/>
  <c r="M552" i="3" s="1"/>
  <c r="K546" i="3"/>
  <c r="L546" i="3" s="1"/>
  <c r="M546" i="3" s="1"/>
  <c r="K542" i="3"/>
  <c r="L542" i="3" s="1"/>
  <c r="M542" i="3" s="1"/>
  <c r="K533" i="3"/>
  <c r="L533" i="3" s="1"/>
  <c r="M533" i="3" s="1"/>
  <c r="K520" i="3"/>
  <c r="L520" i="3" s="1"/>
  <c r="M520" i="3" s="1"/>
  <c r="K514" i="3"/>
  <c r="L514" i="3" s="1"/>
  <c r="M514" i="3" s="1"/>
  <c r="K510" i="3"/>
  <c r="L510" i="3" s="1"/>
  <c r="M510" i="3" s="1"/>
  <c r="K490" i="3"/>
  <c r="L490" i="3" s="1"/>
  <c r="M490" i="3" s="1"/>
  <c r="K489" i="3"/>
  <c r="L489" i="3" s="1"/>
  <c r="M489" i="3" s="1"/>
  <c r="K470" i="3"/>
  <c r="L470" i="3" s="1"/>
  <c r="M470" i="3" s="1"/>
  <c r="K456" i="3"/>
  <c r="L456" i="3" s="1"/>
  <c r="M456" i="3" s="1"/>
  <c r="K448" i="3"/>
  <c r="L448" i="3" s="1"/>
  <c r="M448" i="3" s="1"/>
  <c r="K441" i="3"/>
  <c r="L441" i="3" s="1"/>
  <c r="M441" i="3" s="1"/>
  <c r="K440" i="3"/>
  <c r="L440" i="3" s="1"/>
  <c r="M440" i="3" s="1"/>
  <c r="K436" i="3"/>
  <c r="L436" i="3" s="1"/>
  <c r="M436" i="3" s="1"/>
  <c r="K430" i="3"/>
  <c r="L430" i="3" s="1"/>
  <c r="M430" i="3" s="1"/>
  <c r="K424" i="3"/>
  <c r="L424" i="3" s="1"/>
  <c r="M424" i="3" s="1"/>
  <c r="K412" i="3"/>
  <c r="L412" i="3" s="1"/>
  <c r="M412" i="3" s="1"/>
  <c r="K368" i="3"/>
  <c r="L368" i="3" s="1"/>
  <c r="M368" i="3" s="1"/>
  <c r="K367" i="3"/>
  <c r="L367" i="3" s="1"/>
  <c r="M367" i="3" s="1"/>
  <c r="K365" i="3"/>
  <c r="L365" i="3" s="1"/>
  <c r="M365" i="3" s="1"/>
  <c r="K250" i="3"/>
  <c r="L250" i="3" s="1"/>
  <c r="M250" i="3" s="1"/>
  <c r="K72" i="3"/>
  <c r="L72" i="3" s="1"/>
  <c r="M72" i="3" s="1"/>
  <c r="K639" i="3"/>
  <c r="L639" i="3" s="1"/>
  <c r="M639" i="3" s="1"/>
  <c r="K621" i="3"/>
  <c r="L621" i="3" s="1"/>
  <c r="M621" i="3" s="1"/>
  <c r="K618" i="3"/>
  <c r="L618" i="3" s="1"/>
  <c r="M618" i="3" s="1"/>
  <c r="K614" i="3"/>
  <c r="L614" i="3" s="1"/>
  <c r="M614" i="3" s="1"/>
  <c r="K611" i="3"/>
  <c r="L611" i="3" s="1"/>
  <c r="M611" i="3" s="1"/>
  <c r="K607" i="3"/>
  <c r="L607" i="3" s="1"/>
  <c r="M607" i="3" s="1"/>
  <c r="K589" i="3"/>
  <c r="L589" i="3" s="1"/>
  <c r="M589" i="3" s="1"/>
  <c r="K586" i="3"/>
  <c r="L586" i="3" s="1"/>
  <c r="M586" i="3" s="1"/>
  <c r="K582" i="3"/>
  <c r="L582" i="3" s="1"/>
  <c r="M582" i="3" s="1"/>
  <c r="K579" i="3"/>
  <c r="L579" i="3" s="1"/>
  <c r="M579" i="3" s="1"/>
  <c r="K575" i="3"/>
  <c r="L575" i="3" s="1"/>
  <c r="M575" i="3" s="1"/>
  <c r="K557" i="3"/>
  <c r="L557" i="3" s="1"/>
  <c r="M557" i="3" s="1"/>
  <c r="K543" i="3"/>
  <c r="L543" i="3" s="1"/>
  <c r="M543" i="3" s="1"/>
  <c r="K539" i="3"/>
  <c r="L539" i="3" s="1"/>
  <c r="M539" i="3" s="1"/>
  <c r="K538" i="3"/>
  <c r="L538" i="3" s="1"/>
  <c r="M538" i="3" s="1"/>
  <c r="K534" i="3"/>
  <c r="L534" i="3" s="1"/>
  <c r="M534" i="3" s="1"/>
  <c r="K525" i="3"/>
  <c r="L525" i="3" s="1"/>
  <c r="M525" i="3" s="1"/>
  <c r="K511" i="3"/>
  <c r="L511" i="3" s="1"/>
  <c r="M511" i="3" s="1"/>
  <c r="K486" i="3"/>
  <c r="L486" i="3" s="1"/>
  <c r="M486" i="3" s="1"/>
  <c r="K467" i="3"/>
  <c r="L467" i="3" s="1"/>
  <c r="M467" i="3" s="1"/>
  <c r="K434" i="3"/>
  <c r="L434" i="3" s="1"/>
  <c r="M434" i="3" s="1"/>
  <c r="K423" i="3"/>
  <c r="L423" i="3" s="1"/>
  <c r="M423" i="3" s="1"/>
  <c r="K422" i="3"/>
  <c r="L422" i="3" s="1"/>
  <c r="M422" i="3" s="1"/>
  <c r="K402" i="3"/>
  <c r="L402" i="3" s="1"/>
  <c r="M402" i="3" s="1"/>
  <c r="K399" i="3"/>
  <c r="L399" i="3" s="1"/>
  <c r="M399" i="3" s="1"/>
  <c r="K396" i="3"/>
  <c r="L396" i="3" s="1"/>
  <c r="M396" i="3" s="1"/>
  <c r="K394" i="3"/>
  <c r="L394" i="3" s="1"/>
  <c r="M394" i="3" s="1"/>
  <c r="K391" i="3"/>
  <c r="L391" i="3" s="1"/>
  <c r="M391" i="3" s="1"/>
  <c r="K387" i="3"/>
  <c r="L387" i="3" s="1"/>
  <c r="M387" i="3" s="1"/>
  <c r="K382" i="3"/>
  <c r="L382" i="3" s="1"/>
  <c r="M382" i="3" s="1"/>
  <c r="K379" i="3"/>
  <c r="L379" i="3" s="1"/>
  <c r="M379" i="3" s="1"/>
  <c r="K366" i="3"/>
  <c r="L366" i="3" s="1"/>
  <c r="M366" i="3" s="1"/>
  <c r="K362" i="3"/>
  <c r="L362" i="3" s="1"/>
  <c r="M362" i="3" s="1"/>
  <c r="K354" i="3"/>
  <c r="L354" i="3" s="1"/>
  <c r="M354" i="3" s="1"/>
  <c r="K346" i="3"/>
  <c r="L346" i="3" s="1"/>
  <c r="M346" i="3" s="1"/>
  <c r="K338" i="3"/>
  <c r="L338" i="3" s="1"/>
  <c r="M338" i="3" s="1"/>
  <c r="K330" i="3"/>
  <c r="L330" i="3" s="1"/>
  <c r="M330" i="3" s="1"/>
  <c r="K286" i="3"/>
  <c r="L286" i="3" s="1"/>
  <c r="M286" i="3" s="1"/>
  <c r="K262" i="3"/>
  <c r="L262" i="3" s="1"/>
  <c r="M262" i="3" s="1"/>
  <c r="K182" i="3"/>
  <c r="L182" i="3" s="1"/>
  <c r="M182" i="3" s="1"/>
  <c r="K80" i="3"/>
  <c r="L80" i="3" s="1"/>
  <c r="M80" i="3" s="1"/>
  <c r="K626" i="3"/>
  <c r="L626" i="3" s="1"/>
  <c r="M626" i="3" s="1"/>
  <c r="K622" i="3"/>
  <c r="L622" i="3" s="1"/>
  <c r="M622" i="3" s="1"/>
  <c r="K594" i="3"/>
  <c r="L594" i="3" s="1"/>
  <c r="M594" i="3" s="1"/>
  <c r="K590" i="3"/>
  <c r="L590" i="3" s="1"/>
  <c r="M590" i="3" s="1"/>
  <c r="K587" i="3"/>
  <c r="L587" i="3" s="1"/>
  <c r="M587" i="3" s="1"/>
  <c r="K583" i="3"/>
  <c r="L583" i="3" s="1"/>
  <c r="M583" i="3" s="1"/>
  <c r="K565" i="3"/>
  <c r="L565" i="3" s="1"/>
  <c r="M565" i="3" s="1"/>
  <c r="K562" i="3"/>
  <c r="L562" i="3" s="1"/>
  <c r="M562" i="3" s="1"/>
  <c r="K558" i="3"/>
  <c r="L558" i="3" s="1"/>
  <c r="M558" i="3" s="1"/>
  <c r="K549" i="3"/>
  <c r="L549" i="3" s="1"/>
  <c r="M549" i="3" s="1"/>
  <c r="K530" i="3"/>
  <c r="L530" i="3" s="1"/>
  <c r="M530" i="3" s="1"/>
  <c r="K526" i="3"/>
  <c r="L526" i="3" s="1"/>
  <c r="M526" i="3" s="1"/>
  <c r="K517" i="3"/>
  <c r="L517" i="3" s="1"/>
  <c r="M517" i="3" s="1"/>
  <c r="K476" i="3"/>
  <c r="L476" i="3" s="1"/>
  <c r="M476" i="3" s="1"/>
  <c r="K472" i="3"/>
  <c r="L472" i="3" s="1"/>
  <c r="M472" i="3" s="1"/>
  <c r="K468" i="3"/>
  <c r="L468" i="3" s="1"/>
  <c r="M468" i="3" s="1"/>
  <c r="K453" i="3"/>
  <c r="L453" i="3" s="1"/>
  <c r="M453" i="3" s="1"/>
  <c r="K445" i="3"/>
  <c r="L445" i="3" s="1"/>
  <c r="M445" i="3" s="1"/>
  <c r="K437" i="3"/>
  <c r="L437" i="3" s="1"/>
  <c r="M437" i="3" s="1"/>
  <c r="K435" i="3"/>
  <c r="L435" i="3" s="1"/>
  <c r="M435" i="3" s="1"/>
  <c r="K431" i="3"/>
  <c r="L431" i="3" s="1"/>
  <c r="M431" i="3" s="1"/>
  <c r="K428" i="3"/>
  <c r="L428" i="3" s="1"/>
  <c r="M428" i="3" s="1"/>
  <c r="K408" i="3"/>
  <c r="L408" i="3" s="1"/>
  <c r="M408" i="3" s="1"/>
  <c r="K397" i="3"/>
  <c r="L397" i="3" s="1"/>
  <c r="M397" i="3" s="1"/>
  <c r="K371" i="3"/>
  <c r="L371" i="3" s="1"/>
  <c r="M371" i="3" s="1"/>
  <c r="K357" i="3"/>
  <c r="L357" i="3" s="1"/>
  <c r="M357" i="3" s="1"/>
  <c r="K349" i="3"/>
  <c r="L349" i="3" s="1"/>
  <c r="M349" i="3" s="1"/>
  <c r="K341" i="3"/>
  <c r="L341" i="3" s="1"/>
  <c r="M341" i="3" s="1"/>
  <c r="K333" i="3"/>
  <c r="L333" i="3" s="1"/>
  <c r="M333" i="3" s="1"/>
  <c r="K181" i="3"/>
  <c r="L181" i="3" s="1"/>
  <c r="M181" i="3" s="1"/>
  <c r="K315" i="3"/>
  <c r="L315" i="3" s="1"/>
  <c r="M315" i="3" s="1"/>
  <c r="K307" i="3"/>
  <c r="L307" i="3" s="1"/>
  <c r="M307" i="3" s="1"/>
  <c r="K299" i="3"/>
  <c r="L299" i="3" s="1"/>
  <c r="M299" i="3" s="1"/>
  <c r="K291" i="3"/>
  <c r="L291" i="3" s="1"/>
  <c r="M291" i="3" s="1"/>
  <c r="K276" i="3"/>
  <c r="L276" i="3" s="1"/>
  <c r="M276" i="3" s="1"/>
  <c r="K268" i="3"/>
  <c r="L268" i="3" s="1"/>
  <c r="M268" i="3" s="1"/>
  <c r="K233" i="3"/>
  <c r="L233" i="3" s="1"/>
  <c r="M233" i="3" s="1"/>
  <c r="K210" i="3"/>
  <c r="L210" i="3" s="1"/>
  <c r="M210" i="3" s="1"/>
  <c r="K165" i="3"/>
  <c r="L165" i="3" s="1"/>
  <c r="M165" i="3" s="1"/>
  <c r="K161" i="3"/>
  <c r="L161" i="3" s="1"/>
  <c r="M161" i="3" s="1"/>
  <c r="K160" i="3"/>
  <c r="L160" i="3" s="1"/>
  <c r="M160" i="3" s="1"/>
  <c r="K158" i="3"/>
  <c r="L158" i="3" s="1"/>
  <c r="M158" i="3" s="1"/>
  <c r="K154" i="3"/>
  <c r="L154" i="3" s="1"/>
  <c r="M154" i="3" s="1"/>
  <c r="K141" i="3"/>
  <c r="L141" i="3" s="1"/>
  <c r="M141" i="3" s="1"/>
  <c r="K138" i="3"/>
  <c r="L138" i="3" s="1"/>
  <c r="M138" i="3" s="1"/>
  <c r="K127" i="3"/>
  <c r="L127" i="3" s="1"/>
  <c r="M127" i="3" s="1"/>
  <c r="K125" i="3"/>
  <c r="L125" i="3" s="1"/>
  <c r="M125" i="3" s="1"/>
  <c r="K119" i="3"/>
  <c r="L119" i="3" s="1"/>
  <c r="M119" i="3" s="1"/>
  <c r="K115" i="3"/>
  <c r="L115" i="3" s="1"/>
  <c r="M115" i="3" s="1"/>
  <c r="K100" i="3"/>
  <c r="L100" i="3" s="1"/>
  <c r="M100" i="3" s="1"/>
  <c r="K84" i="3"/>
  <c r="L84" i="3" s="1"/>
  <c r="M84" i="3" s="1"/>
  <c r="K75" i="3"/>
  <c r="L75" i="3" s="1"/>
  <c r="M75" i="3" s="1"/>
  <c r="K55" i="3"/>
  <c r="L55" i="3" s="1"/>
  <c r="M55" i="3" s="1"/>
  <c r="K47" i="3"/>
  <c r="L47" i="3" s="1"/>
  <c r="M47" i="3" s="1"/>
  <c r="K39" i="3"/>
  <c r="L39" i="3" s="1"/>
  <c r="M39" i="3" s="1"/>
  <c r="K31" i="3"/>
  <c r="L31" i="3" s="1"/>
  <c r="M31" i="3" s="1"/>
  <c r="K23" i="3"/>
  <c r="L23" i="3" s="1"/>
  <c r="M23" i="3" s="1"/>
  <c r="K15" i="3"/>
  <c r="L15" i="3" s="1"/>
  <c r="M15" i="3" s="1"/>
  <c r="K4" i="3"/>
  <c r="L4" i="3" s="1"/>
  <c r="M4" i="3" s="1"/>
  <c r="K283" i="3"/>
  <c r="L283" i="3" s="1"/>
  <c r="M283" i="3" s="1"/>
  <c r="K282" i="3"/>
  <c r="L282" i="3" s="1"/>
  <c r="M282" i="3" s="1"/>
  <c r="K261" i="3"/>
  <c r="L261" i="3" s="1"/>
  <c r="M261" i="3" s="1"/>
  <c r="K260" i="3"/>
  <c r="L260" i="3" s="1"/>
  <c r="M260" i="3" s="1"/>
  <c r="K209" i="3"/>
  <c r="L209" i="3" s="1"/>
  <c r="M209" i="3" s="1"/>
  <c r="K208" i="3"/>
  <c r="L208" i="3" s="1"/>
  <c r="M208" i="3" s="1"/>
  <c r="K205" i="3"/>
  <c r="L205" i="3" s="1"/>
  <c r="M205" i="3" s="1"/>
  <c r="K204" i="3"/>
  <c r="L204" i="3" s="1"/>
  <c r="M204" i="3" s="1"/>
  <c r="K200" i="3"/>
  <c r="L200" i="3" s="1"/>
  <c r="M200" i="3" s="1"/>
  <c r="K196" i="3"/>
  <c r="L196" i="3" s="1"/>
  <c r="M196" i="3" s="1"/>
  <c r="K178" i="3"/>
  <c r="L178" i="3" s="1"/>
  <c r="M178" i="3" s="1"/>
  <c r="K174" i="3"/>
  <c r="L174" i="3" s="1"/>
  <c r="M174" i="3" s="1"/>
  <c r="K170" i="3"/>
  <c r="L170" i="3" s="1"/>
  <c r="M170" i="3" s="1"/>
  <c r="K164" i="3"/>
  <c r="L164" i="3" s="1"/>
  <c r="M164" i="3" s="1"/>
  <c r="K156" i="3"/>
  <c r="L156" i="3" s="1"/>
  <c r="M156" i="3" s="1"/>
  <c r="K151" i="3"/>
  <c r="L151" i="3" s="1"/>
  <c r="M151" i="3" s="1"/>
  <c r="K135" i="3"/>
  <c r="L135" i="3" s="1"/>
  <c r="M135" i="3" s="1"/>
  <c r="K120" i="3"/>
  <c r="L120" i="3" s="1"/>
  <c r="M120" i="3" s="1"/>
  <c r="K114" i="3"/>
  <c r="L114" i="3" s="1"/>
  <c r="M114" i="3" s="1"/>
  <c r="K105" i="3"/>
  <c r="L105" i="3" s="1"/>
  <c r="M105" i="3" s="1"/>
  <c r="K97" i="3"/>
  <c r="L97" i="3" s="1"/>
  <c r="M97" i="3" s="1"/>
  <c r="K88" i="3"/>
  <c r="L88" i="3" s="1"/>
  <c r="M88" i="3" s="1"/>
  <c r="K83" i="3"/>
  <c r="L83" i="3" s="1"/>
  <c r="M83" i="3" s="1"/>
  <c r="K82" i="3"/>
  <c r="L82" i="3" s="1"/>
  <c r="M82" i="3" s="1"/>
  <c r="K79" i="3"/>
  <c r="L79" i="3" s="1"/>
  <c r="M79" i="3" s="1"/>
  <c r="K78" i="3"/>
  <c r="L78" i="3" s="1"/>
  <c r="M78" i="3" s="1"/>
  <c r="K326" i="3"/>
  <c r="L326" i="3" s="1"/>
  <c r="M326" i="3" s="1"/>
  <c r="K318" i="3"/>
  <c r="L318" i="3" s="1"/>
  <c r="M318" i="3" s="1"/>
  <c r="K310" i="3"/>
  <c r="L310" i="3" s="1"/>
  <c r="M310" i="3" s="1"/>
  <c r="K302" i="3"/>
  <c r="L302" i="3" s="1"/>
  <c r="M302" i="3" s="1"/>
  <c r="K294" i="3"/>
  <c r="L294" i="3" s="1"/>
  <c r="M294" i="3" s="1"/>
  <c r="K270" i="3"/>
  <c r="L270" i="3" s="1"/>
  <c r="M270" i="3" s="1"/>
  <c r="K267" i="3"/>
  <c r="L267" i="3" s="1"/>
  <c r="M267" i="3" s="1"/>
  <c r="K266" i="3"/>
  <c r="L266" i="3" s="1"/>
  <c r="M266" i="3" s="1"/>
  <c r="K242" i="3"/>
  <c r="L242" i="3" s="1"/>
  <c r="M242" i="3" s="1"/>
  <c r="K238" i="3"/>
  <c r="L238" i="3" s="1"/>
  <c r="M238" i="3" s="1"/>
  <c r="K227" i="3"/>
  <c r="L227" i="3" s="1"/>
  <c r="M227" i="3" s="1"/>
  <c r="K223" i="3"/>
  <c r="L223" i="3" s="1"/>
  <c r="M223" i="3" s="1"/>
  <c r="K219" i="3"/>
  <c r="L219" i="3" s="1"/>
  <c r="M219" i="3" s="1"/>
  <c r="K215" i="3"/>
  <c r="L215" i="3" s="1"/>
  <c r="M215" i="3" s="1"/>
  <c r="K201" i="3"/>
  <c r="L201" i="3" s="1"/>
  <c r="M201" i="3" s="1"/>
  <c r="K175" i="3"/>
  <c r="L175" i="3" s="1"/>
  <c r="M175" i="3" s="1"/>
  <c r="K171" i="3"/>
  <c r="L171" i="3" s="1"/>
  <c r="M171" i="3" s="1"/>
  <c r="K167" i="3"/>
  <c r="L167" i="3" s="1"/>
  <c r="M167" i="3" s="1"/>
  <c r="K162" i="3"/>
  <c r="L162" i="3" s="1"/>
  <c r="M162" i="3" s="1"/>
  <c r="K152" i="3"/>
  <c r="L152" i="3" s="1"/>
  <c r="M152" i="3" s="1"/>
  <c r="K136" i="3"/>
  <c r="L136" i="3" s="1"/>
  <c r="M136" i="3" s="1"/>
  <c r="K113" i="3"/>
  <c r="L113" i="3" s="1"/>
  <c r="M113" i="3" s="1"/>
  <c r="K93" i="3"/>
  <c r="L93" i="3" s="1"/>
  <c r="M93" i="3" s="1"/>
  <c r="K89" i="3"/>
  <c r="L89" i="3" s="1"/>
  <c r="M89" i="3" s="1"/>
  <c r="K86" i="3"/>
  <c r="L86" i="3" s="1"/>
  <c r="M86" i="3" s="1"/>
  <c r="K52" i="3"/>
  <c r="L52" i="3" s="1"/>
  <c r="M52" i="3" s="1"/>
  <c r="K48" i="3"/>
  <c r="L48" i="3" s="1"/>
  <c r="M48" i="3" s="1"/>
  <c r="K40" i="3"/>
  <c r="L40" i="3" s="1"/>
  <c r="M40" i="3" s="1"/>
  <c r="K36" i="3"/>
  <c r="L36" i="3" s="1"/>
  <c r="M36" i="3" s="1"/>
  <c r="K32" i="3"/>
  <c r="L32" i="3" s="1"/>
  <c r="M32" i="3" s="1"/>
  <c r="K28" i="3"/>
  <c r="L28" i="3" s="1"/>
  <c r="M28" i="3" s="1"/>
  <c r="K24" i="3"/>
  <c r="L24" i="3" s="1"/>
  <c r="M24" i="3" s="1"/>
  <c r="K20" i="3"/>
  <c r="L20" i="3" s="1"/>
  <c r="M20" i="3" s="1"/>
  <c r="K16" i="3"/>
  <c r="L16" i="3" s="1"/>
  <c r="M16" i="3" s="1"/>
  <c r="K11" i="3"/>
  <c r="L11" i="3" s="1"/>
  <c r="M11" i="3" s="1"/>
  <c r="K8" i="3"/>
  <c r="L8" i="3" s="1"/>
  <c r="M8" i="3" s="1"/>
  <c r="K735" i="3"/>
  <c r="L735" i="3" s="1"/>
  <c r="M735" i="3" s="1"/>
  <c r="K716" i="3"/>
  <c r="L716" i="3" s="1"/>
  <c r="M716" i="3" s="1"/>
  <c r="K741" i="3"/>
  <c r="L741" i="3" s="1"/>
  <c r="M741" i="3" s="1"/>
  <c r="K496" i="3"/>
  <c r="L496" i="3" s="1"/>
  <c r="M496" i="3" s="1"/>
  <c r="K491" i="3"/>
  <c r="L491" i="3" s="1"/>
  <c r="M491" i="3" s="1"/>
  <c r="K484" i="3"/>
  <c r="L484" i="3" s="1"/>
  <c r="M484" i="3" s="1"/>
  <c r="K451" i="3"/>
  <c r="L451" i="3" s="1"/>
  <c r="M451" i="3" s="1"/>
  <c r="K475" i="3"/>
  <c r="L475" i="3" s="1"/>
  <c r="M475" i="3" s="1"/>
  <c r="K443" i="3"/>
  <c r="L443" i="3" s="1"/>
  <c r="M443" i="3" s="1"/>
  <c r="K385" i="3"/>
  <c r="L385" i="3" s="1"/>
  <c r="M385" i="3" s="1"/>
  <c r="K287" i="3"/>
  <c r="L287" i="3" s="1"/>
  <c r="M287" i="3" s="1"/>
  <c r="K206" i="3"/>
  <c r="L206" i="3" s="1"/>
  <c r="M206" i="3" s="1"/>
  <c r="K222" i="3"/>
  <c r="L222" i="3" s="1"/>
  <c r="M222" i="3" s="1"/>
  <c r="K179" i="3"/>
  <c r="L179" i="3" s="1"/>
  <c r="M179" i="3" s="1"/>
  <c r="K108" i="3"/>
  <c r="L108" i="3" s="1"/>
  <c r="M108" i="3" s="1"/>
  <c r="K70" i="3"/>
  <c r="L70" i="3" s="1"/>
  <c r="M70" i="3" s="1"/>
  <c r="K65" i="3"/>
  <c r="L65" i="3" s="1"/>
  <c r="M65" i="3" s="1"/>
  <c r="K2" i="3"/>
  <c r="L2" i="3" l="1"/>
  <c r="M2" i="3" s="1"/>
  <c r="B27" i="3" s="1"/>
  <c r="K925" i="15" l="1"/>
  <c r="K861" i="15"/>
  <c r="K872" i="15"/>
  <c r="K822" i="15"/>
  <c r="K798" i="15"/>
  <c r="K744" i="15"/>
  <c r="K707" i="15"/>
  <c r="L707" i="15" s="1"/>
  <c r="M707" i="15" s="1"/>
  <c r="K604" i="15"/>
  <c r="L604" i="15" s="1"/>
  <c r="M604" i="15" s="1"/>
  <c r="K579" i="15"/>
  <c r="L579" i="15" s="1"/>
  <c r="M579" i="15" s="1"/>
  <c r="K892" i="15"/>
  <c r="K864" i="15"/>
  <c r="K790" i="15"/>
  <c r="K699" i="15"/>
  <c r="L699" i="15" s="1"/>
  <c r="M699" i="15" s="1"/>
  <c r="K554" i="15"/>
  <c r="L554" i="15" s="1"/>
  <c r="M554" i="15" s="1"/>
  <c r="K893" i="15"/>
  <c r="K936" i="15"/>
  <c r="K816" i="15"/>
  <c r="K836" i="15"/>
  <c r="K733" i="15"/>
  <c r="L733" i="15" s="1"/>
  <c r="M733" i="15" s="1"/>
  <c r="K753" i="15"/>
  <c r="K643" i="15"/>
  <c r="L643" i="15" s="1"/>
  <c r="M643" i="15" s="1"/>
  <c r="K701" i="15"/>
  <c r="L701" i="15" s="1"/>
  <c r="M701" i="15" s="1"/>
  <c r="K669" i="15"/>
  <c r="L669" i="15" s="1"/>
  <c r="M669" i="15" s="1"/>
  <c r="K600" i="15"/>
  <c r="L600" i="15" s="1"/>
  <c r="M600" i="15" s="1"/>
  <c r="K480" i="15"/>
  <c r="L480" i="15" s="1"/>
  <c r="M480" i="15" s="1"/>
  <c r="K924" i="15"/>
  <c r="K860" i="15"/>
  <c r="K928" i="15"/>
  <c r="K810" i="15"/>
  <c r="K819" i="15"/>
  <c r="K833" i="15"/>
  <c r="K729" i="15"/>
  <c r="L729" i="15" s="1"/>
  <c r="M729" i="15" s="1"/>
  <c r="K736" i="15"/>
  <c r="L736" i="15" s="1"/>
  <c r="M736" i="15" s="1"/>
  <c r="K750" i="15"/>
  <c r="K606" i="15"/>
  <c r="L606" i="15" s="1"/>
  <c r="M606" i="15" s="1"/>
  <c r="K596" i="15"/>
  <c r="L596" i="15" s="1"/>
  <c r="M596" i="15" s="1"/>
  <c r="K696" i="15"/>
  <c r="L696" i="15" s="1"/>
  <c r="M696" i="15" s="1"/>
  <c r="K653" i="15"/>
  <c r="L653" i="15" s="1"/>
  <c r="M653" i="15" s="1"/>
  <c r="K580" i="15"/>
  <c r="L580" i="15" s="1"/>
  <c r="M580" i="15" s="1"/>
  <c r="K456" i="15"/>
  <c r="L456" i="15" s="1"/>
  <c r="M456" i="15" s="1"/>
  <c r="K941" i="15"/>
  <c r="K909" i="15"/>
  <c r="K877" i="15"/>
  <c r="K845" i="15"/>
  <c r="K904" i="15"/>
  <c r="K954" i="15"/>
  <c r="K838" i="15"/>
  <c r="K774" i="15"/>
  <c r="K796" i="15"/>
  <c r="K820" i="15"/>
  <c r="K765" i="15"/>
  <c r="K770" i="15"/>
  <c r="K737" i="15"/>
  <c r="L737" i="15" s="1"/>
  <c r="M737" i="15" s="1"/>
  <c r="K675" i="15"/>
  <c r="L675" i="15" s="1"/>
  <c r="M675" i="15" s="1"/>
  <c r="K630" i="15"/>
  <c r="L630" i="15" s="1"/>
  <c r="M630" i="15" s="1"/>
  <c r="K602" i="15"/>
  <c r="L602" i="15" s="1"/>
  <c r="M602" i="15" s="1"/>
  <c r="K685" i="15"/>
  <c r="L685" i="15" s="1"/>
  <c r="M685" i="15" s="1"/>
  <c r="K641" i="15"/>
  <c r="L641" i="15" s="1"/>
  <c r="M641" i="15" s="1"/>
  <c r="K559" i="15"/>
  <c r="L559" i="15" s="1"/>
  <c r="M559" i="15" s="1"/>
  <c r="K528" i="15"/>
  <c r="L528" i="15" s="1"/>
  <c r="M528" i="15" s="1"/>
  <c r="K438" i="15"/>
  <c r="L438" i="15" s="1"/>
  <c r="M438" i="15" s="1"/>
  <c r="K940" i="15"/>
  <c r="K908" i="15"/>
  <c r="K876" i="15"/>
  <c r="K844" i="15"/>
  <c r="K896" i="15"/>
  <c r="K840" i="15"/>
  <c r="K835" i="15"/>
  <c r="K788" i="15"/>
  <c r="K817" i="15"/>
  <c r="K757" i="15"/>
  <c r="K768" i="15"/>
  <c r="K766" i="15"/>
  <c r="K734" i="15"/>
  <c r="L734" i="15" s="1"/>
  <c r="M734" i="15" s="1"/>
  <c r="K667" i="15"/>
  <c r="L667" i="15" s="1"/>
  <c r="M667" i="15" s="1"/>
  <c r="K622" i="15"/>
  <c r="L622" i="15" s="1"/>
  <c r="M622" i="15" s="1"/>
  <c r="K712" i="15"/>
  <c r="L712" i="15" s="1"/>
  <c r="M712" i="15" s="1"/>
  <c r="K680" i="15"/>
  <c r="L680" i="15" s="1"/>
  <c r="M680" i="15" s="1"/>
  <c r="K625" i="15"/>
  <c r="L625" i="15" s="1"/>
  <c r="M625" i="15" s="1"/>
  <c r="K595" i="15"/>
  <c r="L595" i="15" s="1"/>
  <c r="M595" i="15" s="1"/>
  <c r="K503" i="15"/>
  <c r="L503" i="15" s="1"/>
  <c r="M503" i="15" s="1"/>
  <c r="K539" i="15"/>
  <c r="L539" i="15" s="1"/>
  <c r="M539" i="15" s="1"/>
  <c r="K648" i="15"/>
  <c r="L648" i="15" s="1"/>
  <c r="M648" i="15" s="1"/>
  <c r="K634" i="15"/>
  <c r="L634" i="15" s="1"/>
  <c r="M634" i="15" s="1"/>
  <c r="K618" i="15"/>
  <c r="L618" i="15" s="1"/>
  <c r="M618" i="15" s="1"/>
  <c r="K591" i="15"/>
  <c r="L591" i="15" s="1"/>
  <c r="M591" i="15" s="1"/>
  <c r="K575" i="15"/>
  <c r="L575" i="15" s="1"/>
  <c r="M575" i="15" s="1"/>
  <c r="K593" i="15"/>
  <c r="L593" i="15" s="1"/>
  <c r="M593" i="15" s="1"/>
  <c r="K577" i="15"/>
  <c r="L577" i="15" s="1"/>
  <c r="M577" i="15" s="1"/>
  <c r="K546" i="15"/>
  <c r="L546" i="15" s="1"/>
  <c r="M546" i="15" s="1"/>
  <c r="K519" i="15"/>
  <c r="L519" i="15" s="1"/>
  <c r="M519" i="15" s="1"/>
  <c r="K496" i="15"/>
  <c r="L496" i="15" s="1"/>
  <c r="M496" i="15" s="1"/>
  <c r="K478" i="15"/>
  <c r="L478" i="15" s="1"/>
  <c r="M478" i="15" s="1"/>
  <c r="K454" i="15"/>
  <c r="L454" i="15" s="1"/>
  <c r="M454" i="15" s="1"/>
  <c r="K431" i="15"/>
  <c r="L431" i="15" s="1"/>
  <c r="M431" i="15" s="1"/>
  <c r="K532" i="15"/>
  <c r="L532" i="15" s="1"/>
  <c r="M532" i="15" s="1"/>
  <c r="K514" i="15"/>
  <c r="L514" i="15" s="1"/>
  <c r="M514" i="15" s="1"/>
  <c r="K491" i="15"/>
  <c r="L491" i="15" s="1"/>
  <c r="M491" i="15" s="1"/>
  <c r="K468" i="15"/>
  <c r="L468" i="15" s="1"/>
  <c r="M468" i="15" s="1"/>
  <c r="K442" i="15"/>
  <c r="L442" i="15" s="1"/>
  <c r="M442" i="15" s="1"/>
  <c r="K531" i="15"/>
  <c r="L531" i="15" s="1"/>
  <c r="M531" i="15" s="1"/>
  <c r="K499" i="15"/>
  <c r="L499" i="15" s="1"/>
  <c r="M499" i="15" s="1"/>
  <c r="K467" i="15"/>
  <c r="L467" i="15" s="1"/>
  <c r="M467" i="15" s="1"/>
  <c r="K425" i="15"/>
  <c r="L425" i="15" s="1"/>
  <c r="M425" i="15" s="1"/>
  <c r="K362" i="15"/>
  <c r="L362" i="15" s="1"/>
  <c r="M362" i="15" s="1"/>
  <c r="K413" i="15"/>
  <c r="L413" i="15" s="1"/>
  <c r="M413" i="15" s="1"/>
  <c r="K349" i="15"/>
  <c r="L349" i="15" s="1"/>
  <c r="M349" i="15" s="1"/>
  <c r="K311" i="15"/>
  <c r="L311" i="15" s="1"/>
  <c r="M311" i="15" s="1"/>
  <c r="K398" i="15"/>
  <c r="L398" i="15" s="1"/>
  <c r="M398" i="15" s="1"/>
  <c r="K366" i="15"/>
  <c r="L366" i="15" s="1"/>
  <c r="M366" i="15" s="1"/>
  <c r="K334" i="15"/>
  <c r="L334" i="15" s="1"/>
  <c r="M334" i="15" s="1"/>
  <c r="K123" i="15"/>
  <c r="L123" i="15" s="1"/>
  <c r="M123" i="15" s="1"/>
  <c r="K91" i="15"/>
  <c r="L91" i="15" s="1"/>
  <c r="M91" i="15" s="1"/>
  <c r="K61" i="15"/>
  <c r="L61" i="15" s="1"/>
  <c r="M61" i="15" s="1"/>
  <c r="K269" i="15"/>
  <c r="L269" i="15" s="1"/>
  <c r="M269" i="15" s="1"/>
  <c r="K237" i="15"/>
  <c r="L237" i="15" s="1"/>
  <c r="M237" i="15" s="1"/>
  <c r="K205" i="15"/>
  <c r="L205" i="15" s="1"/>
  <c r="M205" i="15" s="1"/>
  <c r="K173" i="15"/>
  <c r="L173" i="15" s="1"/>
  <c r="M173" i="15" s="1"/>
  <c r="K141" i="15"/>
  <c r="L141" i="15" s="1"/>
  <c r="M141" i="15" s="1"/>
  <c r="K109" i="15"/>
  <c r="L109" i="15" s="1"/>
  <c r="M109" i="15" s="1"/>
  <c r="K263" i="15"/>
  <c r="L263" i="15" s="1"/>
  <c r="M263" i="15" s="1"/>
  <c r="K231" i="15"/>
  <c r="L231" i="15" s="1"/>
  <c r="M231" i="15" s="1"/>
  <c r="K199" i="15"/>
  <c r="L199" i="15" s="1"/>
  <c r="M199" i="15" s="1"/>
  <c r="K167" i="15"/>
  <c r="L167" i="15" s="1"/>
  <c r="M167" i="15" s="1"/>
  <c r="K135" i="15"/>
  <c r="L135" i="15" s="1"/>
  <c r="M135" i="15" s="1"/>
  <c r="K103" i="15"/>
  <c r="L103" i="15" s="1"/>
  <c r="M103" i="15" s="1"/>
  <c r="K65" i="15"/>
  <c r="L65" i="15" s="1"/>
  <c r="M65" i="15" s="1"/>
  <c r="K296" i="15"/>
  <c r="L296" i="15" s="1"/>
  <c r="M296" i="15" s="1"/>
  <c r="K280" i="15"/>
  <c r="L280" i="15" s="1"/>
  <c r="M280" i="15" s="1"/>
  <c r="K264" i="15"/>
  <c r="L264" i="15" s="1"/>
  <c r="M264" i="15" s="1"/>
  <c r="K248" i="15"/>
  <c r="L248" i="15" s="1"/>
  <c r="M248" i="15" s="1"/>
  <c r="K232" i="15"/>
  <c r="L232" i="15" s="1"/>
  <c r="M232" i="15" s="1"/>
  <c r="K216" i="15"/>
  <c r="L216" i="15" s="1"/>
  <c r="M216" i="15" s="1"/>
  <c r="K200" i="15"/>
  <c r="L200" i="15" s="1"/>
  <c r="M200" i="15" s="1"/>
  <c r="K184" i="15"/>
  <c r="L184" i="15" s="1"/>
  <c r="M184" i="15" s="1"/>
  <c r="K168" i="15"/>
  <c r="L168" i="15" s="1"/>
  <c r="M168" i="15" s="1"/>
  <c r="K152" i="15"/>
  <c r="L152" i="15" s="1"/>
  <c r="M152" i="15" s="1"/>
  <c r="K136" i="15"/>
  <c r="L136" i="15" s="1"/>
  <c r="M136" i="15" s="1"/>
  <c r="K120" i="15"/>
  <c r="L120" i="15" s="1"/>
  <c r="M120" i="15" s="1"/>
  <c r="K104" i="15"/>
  <c r="L104" i="15" s="1"/>
  <c r="M104" i="15" s="1"/>
  <c r="K88" i="15"/>
  <c r="L88" i="15" s="1"/>
  <c r="M88" i="15" s="1"/>
  <c r="K71" i="15"/>
  <c r="L71" i="15" s="1"/>
  <c r="M71" i="15" s="1"/>
  <c r="K36" i="15"/>
  <c r="L36" i="15" s="1"/>
  <c r="M36" i="15" s="1"/>
  <c r="K4" i="15"/>
  <c r="L4" i="15" s="1"/>
  <c r="M4" i="15" s="1"/>
  <c r="K21" i="15"/>
  <c r="L21" i="15" s="1"/>
  <c r="M21" i="15" s="1"/>
  <c r="K627" i="15"/>
  <c r="L627" i="15" s="1"/>
  <c r="M627" i="15" s="1"/>
  <c r="K619" i="15"/>
  <c r="L619" i="15" s="1"/>
  <c r="M619" i="15" s="1"/>
  <c r="K314" i="15"/>
  <c r="L314" i="15" s="1"/>
  <c r="M314" i="15" s="1"/>
  <c r="K306" i="15"/>
  <c r="L306" i="15" s="1"/>
  <c r="M306" i="15" s="1"/>
  <c r="K949" i="15"/>
  <c r="K933" i="15"/>
  <c r="K917" i="15"/>
  <c r="K901" i="15"/>
  <c r="K885" i="15"/>
  <c r="K869" i="15"/>
  <c r="K853" i="15"/>
  <c r="K955" i="15"/>
  <c r="K920" i="15"/>
  <c r="K888" i="15"/>
  <c r="K856" i="15"/>
  <c r="K832" i="15"/>
  <c r="K802" i="15"/>
  <c r="K830" i="15"/>
  <c r="K812" i="15"/>
  <c r="K786" i="15"/>
  <c r="K828" i="15"/>
  <c r="K814" i="15"/>
  <c r="K715" i="15"/>
  <c r="L715" i="15" s="1"/>
  <c r="M715" i="15" s="1"/>
  <c r="K749" i="15"/>
  <c r="K721" i="15"/>
  <c r="L721" i="15" s="1"/>
  <c r="M721" i="15" s="1"/>
  <c r="K760" i="15"/>
  <c r="K717" i="15"/>
  <c r="L717" i="15" s="1"/>
  <c r="M717" i="15" s="1"/>
  <c r="K761" i="15"/>
  <c r="K745" i="15"/>
  <c r="K725" i="15"/>
  <c r="L725" i="15" s="1"/>
  <c r="M725" i="15" s="1"/>
  <c r="K691" i="15"/>
  <c r="L691" i="15" s="1"/>
  <c r="M691" i="15" s="1"/>
  <c r="K659" i="15"/>
  <c r="L659" i="15" s="1"/>
  <c r="M659" i="15" s="1"/>
  <c r="K598" i="15"/>
  <c r="L598" i="15" s="1"/>
  <c r="M598" i="15" s="1"/>
  <c r="K614" i="15"/>
  <c r="L614" i="15" s="1"/>
  <c r="M614" i="15" s="1"/>
  <c r="K714" i="15"/>
  <c r="L714" i="15" s="1"/>
  <c r="M714" i="15" s="1"/>
  <c r="K709" i="15"/>
  <c r="L709" i="15" s="1"/>
  <c r="M709" i="15" s="1"/>
  <c r="K693" i="15"/>
  <c r="L693" i="15" s="1"/>
  <c r="M693" i="15" s="1"/>
  <c r="K677" i="15"/>
  <c r="L677" i="15" s="1"/>
  <c r="M677" i="15" s="1"/>
  <c r="K661" i="15"/>
  <c r="L661" i="15" s="1"/>
  <c r="M661" i="15" s="1"/>
  <c r="K645" i="15"/>
  <c r="L645" i="15" s="1"/>
  <c r="M645" i="15" s="1"/>
  <c r="K633" i="15"/>
  <c r="L633" i="15" s="1"/>
  <c r="M633" i="15" s="1"/>
  <c r="K617" i="15"/>
  <c r="L617" i="15" s="1"/>
  <c r="M617" i="15" s="1"/>
  <c r="K589" i="15"/>
  <c r="L589" i="15" s="1"/>
  <c r="M589" i="15" s="1"/>
  <c r="K573" i="15"/>
  <c r="L573" i="15" s="1"/>
  <c r="M573" i="15" s="1"/>
  <c r="K564" i="15"/>
  <c r="L564" i="15" s="1"/>
  <c r="M564" i="15" s="1"/>
  <c r="K586" i="15"/>
  <c r="L586" i="15" s="1"/>
  <c r="M586" i="15" s="1"/>
  <c r="K570" i="15"/>
  <c r="L570" i="15" s="1"/>
  <c r="M570" i="15" s="1"/>
  <c r="K549" i="15"/>
  <c r="L549" i="15" s="1"/>
  <c r="M549" i="15" s="1"/>
  <c r="K512" i="15"/>
  <c r="L512" i="15" s="1"/>
  <c r="M512" i="15" s="1"/>
  <c r="K494" i="15"/>
  <c r="L494" i="15" s="1"/>
  <c r="M494" i="15" s="1"/>
  <c r="K471" i="15"/>
  <c r="L471" i="15" s="1"/>
  <c r="M471" i="15" s="1"/>
  <c r="K447" i="15"/>
  <c r="L447" i="15" s="1"/>
  <c r="M447" i="15" s="1"/>
  <c r="K424" i="15"/>
  <c r="L424" i="15" s="1"/>
  <c r="M424" i="15" s="1"/>
  <c r="K530" i="15"/>
  <c r="L530" i="15" s="1"/>
  <c r="M530" i="15" s="1"/>
  <c r="K507" i="15"/>
  <c r="L507" i="15" s="1"/>
  <c r="M507" i="15" s="1"/>
  <c r="K484" i="15"/>
  <c r="L484" i="15" s="1"/>
  <c r="M484" i="15" s="1"/>
  <c r="K459" i="15"/>
  <c r="L459" i="15" s="1"/>
  <c r="M459" i="15" s="1"/>
  <c r="K435" i="15"/>
  <c r="L435" i="15" s="1"/>
  <c r="M435" i="15" s="1"/>
  <c r="K522" i="15"/>
  <c r="L522" i="15" s="1"/>
  <c r="M522" i="15" s="1"/>
  <c r="K490" i="15"/>
  <c r="L490" i="15" s="1"/>
  <c r="M490" i="15" s="1"/>
  <c r="K450" i="15"/>
  <c r="L450" i="15" s="1"/>
  <c r="M450" i="15" s="1"/>
  <c r="K410" i="15"/>
  <c r="L410" i="15" s="1"/>
  <c r="M410" i="15" s="1"/>
  <c r="K346" i="15"/>
  <c r="L346" i="15" s="1"/>
  <c r="M346" i="15" s="1"/>
  <c r="K397" i="15"/>
  <c r="L397" i="15" s="1"/>
  <c r="M397" i="15" s="1"/>
  <c r="K333" i="15"/>
  <c r="L333" i="15" s="1"/>
  <c r="M333" i="15" s="1"/>
  <c r="K421" i="15"/>
  <c r="L421" i="15" s="1"/>
  <c r="M421" i="15" s="1"/>
  <c r="K389" i="15"/>
  <c r="L389" i="15" s="1"/>
  <c r="M389" i="15" s="1"/>
  <c r="K357" i="15"/>
  <c r="L357" i="15" s="1"/>
  <c r="M357" i="15" s="1"/>
  <c r="K325" i="15"/>
  <c r="L325" i="15" s="1"/>
  <c r="M325" i="15" s="1"/>
  <c r="K115" i="15"/>
  <c r="L115" i="15" s="1"/>
  <c r="M115" i="15" s="1"/>
  <c r="K83" i="15"/>
  <c r="L83" i="15" s="1"/>
  <c r="M83" i="15" s="1"/>
  <c r="K53" i="15"/>
  <c r="L53" i="15" s="1"/>
  <c r="M53" i="15" s="1"/>
  <c r="K261" i="15"/>
  <c r="L261" i="15" s="1"/>
  <c r="M261" i="15" s="1"/>
  <c r="K229" i="15"/>
  <c r="L229" i="15" s="1"/>
  <c r="M229" i="15" s="1"/>
  <c r="K197" i="15"/>
  <c r="L197" i="15" s="1"/>
  <c r="M197" i="15" s="1"/>
  <c r="K165" i="15"/>
  <c r="L165" i="15" s="1"/>
  <c r="M165" i="15" s="1"/>
  <c r="K133" i="15"/>
  <c r="L133" i="15" s="1"/>
  <c r="M133" i="15" s="1"/>
  <c r="K101" i="15"/>
  <c r="L101" i="15" s="1"/>
  <c r="M101" i="15" s="1"/>
  <c r="K255" i="15"/>
  <c r="L255" i="15" s="1"/>
  <c r="M255" i="15" s="1"/>
  <c r="K223" i="15"/>
  <c r="L223" i="15" s="1"/>
  <c r="M223" i="15" s="1"/>
  <c r="K191" i="15"/>
  <c r="L191" i="15" s="1"/>
  <c r="M191" i="15" s="1"/>
  <c r="K159" i="15"/>
  <c r="L159" i="15" s="1"/>
  <c r="M159" i="15" s="1"/>
  <c r="K127" i="15"/>
  <c r="L127" i="15" s="1"/>
  <c r="M127" i="15" s="1"/>
  <c r="K95" i="15"/>
  <c r="L95" i="15" s="1"/>
  <c r="M95" i="15" s="1"/>
  <c r="K57" i="15"/>
  <c r="L57" i="15" s="1"/>
  <c r="M57" i="15" s="1"/>
  <c r="K291" i="15"/>
  <c r="L291" i="15" s="1"/>
  <c r="M291" i="15" s="1"/>
  <c r="K273" i="15"/>
  <c r="L273" i="15" s="1"/>
  <c r="M273" i="15" s="1"/>
  <c r="K257" i="15"/>
  <c r="L257" i="15" s="1"/>
  <c r="M257" i="15" s="1"/>
  <c r="K241" i="15"/>
  <c r="L241" i="15" s="1"/>
  <c r="M241" i="15" s="1"/>
  <c r="K225" i="15"/>
  <c r="L225" i="15" s="1"/>
  <c r="M225" i="15" s="1"/>
  <c r="K209" i="15"/>
  <c r="L209" i="15" s="1"/>
  <c r="M209" i="15" s="1"/>
  <c r="K193" i="15"/>
  <c r="L193" i="15" s="1"/>
  <c r="M193" i="15" s="1"/>
  <c r="K177" i="15"/>
  <c r="L177" i="15" s="1"/>
  <c r="M177" i="15" s="1"/>
  <c r="K161" i="15"/>
  <c r="L161" i="15" s="1"/>
  <c r="M161" i="15" s="1"/>
  <c r="K145" i="15"/>
  <c r="L145" i="15" s="1"/>
  <c r="M145" i="15" s="1"/>
  <c r="K129" i="15"/>
  <c r="L129" i="15" s="1"/>
  <c r="M129" i="15" s="1"/>
  <c r="K113" i="15"/>
  <c r="L113" i="15" s="1"/>
  <c r="M113" i="15" s="1"/>
  <c r="K97" i="15"/>
  <c r="L97" i="15" s="1"/>
  <c r="M97" i="15" s="1"/>
  <c r="K81" i="15"/>
  <c r="L81" i="15" s="1"/>
  <c r="M81" i="15" s="1"/>
  <c r="K63" i="15"/>
  <c r="L63" i="15" s="1"/>
  <c r="M63" i="15" s="1"/>
  <c r="K17" i="15"/>
  <c r="L17" i="15" s="1"/>
  <c r="M17" i="15" s="1"/>
  <c r="K47" i="15"/>
  <c r="L47" i="15" s="1"/>
  <c r="M47" i="15" s="1"/>
  <c r="K12" i="15"/>
  <c r="L12" i="15" s="1"/>
  <c r="M12" i="15" s="1"/>
  <c r="K609" i="15"/>
  <c r="L609" i="15" s="1"/>
  <c r="M609" i="15" s="1"/>
  <c r="K601" i="15"/>
  <c r="L601" i="15" s="1"/>
  <c r="M601" i="15" s="1"/>
  <c r="K599" i="15"/>
  <c r="L599" i="15" s="1"/>
  <c r="M599" i="15" s="1"/>
  <c r="K266" i="15"/>
  <c r="L266" i="15" s="1"/>
  <c r="M266" i="15" s="1"/>
  <c r="K664" i="15"/>
  <c r="L664" i="15" s="1"/>
  <c r="M664" i="15" s="1"/>
  <c r="K551" i="15"/>
  <c r="L551" i="15" s="1"/>
  <c r="M551" i="15" s="1"/>
  <c r="K948" i="15"/>
  <c r="K932" i="15"/>
  <c r="K916" i="15"/>
  <c r="K900" i="15"/>
  <c r="K884" i="15"/>
  <c r="K868" i="15"/>
  <c r="K852" i="15"/>
  <c r="K944" i="15"/>
  <c r="K912" i="15"/>
  <c r="K880" i="15"/>
  <c r="K848" i="15"/>
  <c r="K824" i="15"/>
  <c r="K794" i="15"/>
  <c r="K827" i="15"/>
  <c r="K804" i="15"/>
  <c r="K841" i="15"/>
  <c r="K825" i="15"/>
  <c r="K806" i="15"/>
  <c r="K783" i="15"/>
  <c r="K741" i="15"/>
  <c r="L741" i="15" s="1"/>
  <c r="M741" i="15" s="1"/>
  <c r="K719" i="15"/>
  <c r="L719" i="15" s="1"/>
  <c r="M719" i="15" s="1"/>
  <c r="K752" i="15"/>
  <c r="K775" i="15"/>
  <c r="K758" i="15"/>
  <c r="K742" i="15"/>
  <c r="L742" i="15" s="1"/>
  <c r="M742" i="15" s="1"/>
  <c r="K724" i="15"/>
  <c r="L724" i="15" s="1"/>
  <c r="M724" i="15" s="1"/>
  <c r="K683" i="15"/>
  <c r="L683" i="15" s="1"/>
  <c r="M683" i="15" s="1"/>
  <c r="K651" i="15"/>
  <c r="L651" i="15" s="1"/>
  <c r="M651" i="15" s="1"/>
  <c r="K638" i="15"/>
  <c r="L638" i="15" s="1"/>
  <c r="M638" i="15" s="1"/>
  <c r="K612" i="15"/>
  <c r="L612" i="15" s="1"/>
  <c r="M612" i="15" s="1"/>
  <c r="K610" i="15"/>
  <c r="L610" i="15" s="1"/>
  <c r="M610" i="15" s="1"/>
  <c r="K704" i="15"/>
  <c r="L704" i="15" s="1"/>
  <c r="M704" i="15" s="1"/>
  <c r="K688" i="15"/>
  <c r="L688" i="15" s="1"/>
  <c r="M688" i="15" s="1"/>
  <c r="K672" i="15"/>
  <c r="L672" i="15" s="1"/>
  <c r="M672" i="15" s="1"/>
  <c r="K656" i="15"/>
  <c r="L656" i="15" s="1"/>
  <c r="M656" i="15" s="1"/>
  <c r="K642" i="15"/>
  <c r="L642" i="15" s="1"/>
  <c r="M642" i="15" s="1"/>
  <c r="K626" i="15"/>
  <c r="L626" i="15" s="1"/>
  <c r="M626" i="15" s="1"/>
  <c r="K608" i="15"/>
  <c r="L608" i="15" s="1"/>
  <c r="M608" i="15" s="1"/>
  <c r="K582" i="15"/>
  <c r="L582" i="15" s="1"/>
  <c r="M582" i="15" s="1"/>
  <c r="K566" i="15"/>
  <c r="L566" i="15" s="1"/>
  <c r="M566" i="15" s="1"/>
  <c r="K542" i="15"/>
  <c r="L542" i="15" s="1"/>
  <c r="M542" i="15" s="1"/>
  <c r="K584" i="15"/>
  <c r="L584" i="15" s="1"/>
  <c r="M584" i="15" s="1"/>
  <c r="K560" i="15"/>
  <c r="L560" i="15" s="1"/>
  <c r="M560" i="15" s="1"/>
  <c r="K535" i="15"/>
  <c r="L535" i="15" s="1"/>
  <c r="M535" i="15" s="1"/>
  <c r="K510" i="15"/>
  <c r="L510" i="15" s="1"/>
  <c r="M510" i="15" s="1"/>
  <c r="K487" i="15"/>
  <c r="L487" i="15" s="1"/>
  <c r="M487" i="15" s="1"/>
  <c r="K463" i="15"/>
  <c r="L463" i="15" s="1"/>
  <c r="M463" i="15" s="1"/>
  <c r="K440" i="15"/>
  <c r="L440" i="15" s="1"/>
  <c r="M440" i="15" s="1"/>
  <c r="K543" i="15"/>
  <c r="L543" i="15" s="1"/>
  <c r="M543" i="15" s="1"/>
  <c r="K523" i="15"/>
  <c r="L523" i="15" s="1"/>
  <c r="M523" i="15" s="1"/>
  <c r="K500" i="15"/>
  <c r="L500" i="15" s="1"/>
  <c r="M500" i="15" s="1"/>
  <c r="K482" i="15"/>
  <c r="L482" i="15" s="1"/>
  <c r="M482" i="15" s="1"/>
  <c r="K451" i="15"/>
  <c r="L451" i="15" s="1"/>
  <c r="M451" i="15" s="1"/>
  <c r="K552" i="15"/>
  <c r="L552" i="15" s="1"/>
  <c r="M552" i="15" s="1"/>
  <c r="K515" i="15"/>
  <c r="L515" i="15" s="1"/>
  <c r="M515" i="15" s="1"/>
  <c r="K483" i="15"/>
  <c r="L483" i="15" s="1"/>
  <c r="M483" i="15" s="1"/>
  <c r="K443" i="15"/>
  <c r="L443" i="15" s="1"/>
  <c r="M443" i="15" s="1"/>
  <c r="K394" i="15"/>
  <c r="L394" i="15" s="1"/>
  <c r="M394" i="15" s="1"/>
  <c r="K330" i="15"/>
  <c r="L330" i="15" s="1"/>
  <c r="M330" i="15" s="1"/>
  <c r="K381" i="15"/>
  <c r="L381" i="15" s="1"/>
  <c r="M381" i="15" s="1"/>
  <c r="K319" i="15"/>
  <c r="L319" i="15" s="1"/>
  <c r="M319" i="15" s="1"/>
  <c r="K414" i="15"/>
  <c r="L414" i="15" s="1"/>
  <c r="M414" i="15" s="1"/>
  <c r="K382" i="15"/>
  <c r="L382" i="15" s="1"/>
  <c r="M382" i="15" s="1"/>
  <c r="K350" i="15"/>
  <c r="L350" i="15" s="1"/>
  <c r="M350" i="15" s="1"/>
  <c r="K315" i="15"/>
  <c r="L315" i="15" s="1"/>
  <c r="M315" i="15" s="1"/>
  <c r="K107" i="15"/>
  <c r="L107" i="15" s="1"/>
  <c r="M107" i="15" s="1"/>
  <c r="K77" i="15"/>
  <c r="L77" i="15" s="1"/>
  <c r="M77" i="15" s="1"/>
  <c r="K285" i="15"/>
  <c r="L285" i="15" s="1"/>
  <c r="M285" i="15" s="1"/>
  <c r="K253" i="15"/>
  <c r="L253" i="15" s="1"/>
  <c r="M253" i="15" s="1"/>
  <c r="K221" i="15"/>
  <c r="L221" i="15" s="1"/>
  <c r="M221" i="15" s="1"/>
  <c r="K189" i="15"/>
  <c r="L189" i="15" s="1"/>
  <c r="M189" i="15" s="1"/>
  <c r="K157" i="15"/>
  <c r="L157" i="15" s="1"/>
  <c r="M157" i="15" s="1"/>
  <c r="K125" i="15"/>
  <c r="L125" i="15" s="1"/>
  <c r="M125" i="15" s="1"/>
  <c r="K301" i="15"/>
  <c r="L301" i="15" s="1"/>
  <c r="M301" i="15" s="1"/>
  <c r="K247" i="15"/>
  <c r="L247" i="15" s="1"/>
  <c r="M247" i="15" s="1"/>
  <c r="K215" i="15"/>
  <c r="L215" i="15" s="1"/>
  <c r="M215" i="15" s="1"/>
  <c r="K183" i="15"/>
  <c r="L183" i="15" s="1"/>
  <c r="M183" i="15" s="1"/>
  <c r="K151" i="15"/>
  <c r="L151" i="15" s="1"/>
  <c r="M151" i="15" s="1"/>
  <c r="K119" i="15"/>
  <c r="L119" i="15" s="1"/>
  <c r="M119" i="15" s="1"/>
  <c r="K87" i="15"/>
  <c r="L87" i="15" s="1"/>
  <c r="M87" i="15" s="1"/>
  <c r="K304" i="15"/>
  <c r="L304" i="15" s="1"/>
  <c r="M304" i="15" s="1"/>
  <c r="K288" i="15"/>
  <c r="L288" i="15" s="1"/>
  <c r="M288" i="15" s="1"/>
  <c r="K272" i="15"/>
  <c r="L272" i="15" s="1"/>
  <c r="M272" i="15" s="1"/>
  <c r="K256" i="15"/>
  <c r="L256" i="15" s="1"/>
  <c r="M256" i="15" s="1"/>
  <c r="K240" i="15"/>
  <c r="L240" i="15" s="1"/>
  <c r="M240" i="15" s="1"/>
  <c r="K224" i="15"/>
  <c r="L224" i="15" s="1"/>
  <c r="M224" i="15" s="1"/>
  <c r="K208" i="15"/>
  <c r="L208" i="15" s="1"/>
  <c r="M208" i="15" s="1"/>
  <c r="K192" i="15"/>
  <c r="L192" i="15" s="1"/>
  <c r="M192" i="15" s="1"/>
  <c r="K176" i="15"/>
  <c r="L176" i="15" s="1"/>
  <c r="M176" i="15" s="1"/>
  <c r="K160" i="15"/>
  <c r="L160" i="15" s="1"/>
  <c r="M160" i="15" s="1"/>
  <c r="K144" i="15"/>
  <c r="L144" i="15" s="1"/>
  <c r="M144" i="15" s="1"/>
  <c r="K128" i="15"/>
  <c r="L128" i="15" s="1"/>
  <c r="M128" i="15" s="1"/>
  <c r="K112" i="15"/>
  <c r="L112" i="15" s="1"/>
  <c r="M112" i="15" s="1"/>
  <c r="K96" i="15"/>
  <c r="L96" i="15" s="1"/>
  <c r="M96" i="15" s="1"/>
  <c r="K80" i="15"/>
  <c r="L80" i="15" s="1"/>
  <c r="M80" i="15" s="1"/>
  <c r="K55" i="15"/>
  <c r="L55" i="15" s="1"/>
  <c r="M55" i="15" s="1"/>
  <c r="K39" i="15"/>
  <c r="L39" i="15" s="1"/>
  <c r="M39" i="15" s="1"/>
  <c r="K40" i="15"/>
  <c r="L40" i="15" s="1"/>
  <c r="M40" i="15" s="1"/>
  <c r="K5" i="15"/>
  <c r="L5" i="15" s="1"/>
  <c r="M5" i="15" s="1"/>
  <c r="K607" i="15"/>
  <c r="L607" i="15" s="1"/>
  <c r="M607" i="15" s="1"/>
  <c r="K553" i="15"/>
  <c r="L553" i="15" s="1"/>
  <c r="M553" i="15" s="1"/>
  <c r="K274" i="15"/>
  <c r="L274" i="15" s="1"/>
  <c r="M274" i="15" s="1"/>
  <c r="K258" i="15"/>
  <c r="L258" i="15" s="1"/>
  <c r="M258" i="15" s="1"/>
  <c r="K516" i="15"/>
  <c r="L516" i="15" s="1"/>
  <c r="M516" i="15" s="1"/>
  <c r="K498" i="15"/>
  <c r="L498" i="15" s="1"/>
  <c r="M498" i="15" s="1"/>
  <c r="K475" i="15"/>
  <c r="L475" i="15" s="1"/>
  <c r="M475" i="15" s="1"/>
  <c r="K444" i="15"/>
  <c r="L444" i="15" s="1"/>
  <c r="M444" i="15" s="1"/>
  <c r="K538" i="15"/>
  <c r="L538" i="15" s="1"/>
  <c r="M538" i="15" s="1"/>
  <c r="K506" i="15"/>
  <c r="L506" i="15" s="1"/>
  <c r="M506" i="15" s="1"/>
  <c r="K474" i="15"/>
  <c r="L474" i="15" s="1"/>
  <c r="M474" i="15" s="1"/>
  <c r="K434" i="15"/>
  <c r="L434" i="15" s="1"/>
  <c r="M434" i="15" s="1"/>
  <c r="K378" i="15"/>
  <c r="L378" i="15" s="1"/>
  <c r="M378" i="15" s="1"/>
  <c r="K426" i="15"/>
  <c r="L426" i="15" s="1"/>
  <c r="M426" i="15" s="1"/>
  <c r="K365" i="15"/>
  <c r="L365" i="15" s="1"/>
  <c r="M365" i="15" s="1"/>
  <c r="K307" i="15"/>
  <c r="L307" i="15" s="1"/>
  <c r="M307" i="15" s="1"/>
  <c r="K405" i="15"/>
  <c r="L405" i="15" s="1"/>
  <c r="M405" i="15" s="1"/>
  <c r="K373" i="15"/>
  <c r="L373" i="15" s="1"/>
  <c r="M373" i="15" s="1"/>
  <c r="K341" i="15"/>
  <c r="L341" i="15" s="1"/>
  <c r="M341" i="15" s="1"/>
  <c r="K294" i="15"/>
  <c r="L294" i="15" s="1"/>
  <c r="M294" i="15" s="1"/>
  <c r="K99" i="15"/>
  <c r="L99" i="15" s="1"/>
  <c r="M99" i="15" s="1"/>
  <c r="K69" i="15"/>
  <c r="L69" i="15" s="1"/>
  <c r="M69" i="15" s="1"/>
  <c r="K277" i="15"/>
  <c r="L277" i="15" s="1"/>
  <c r="M277" i="15" s="1"/>
  <c r="K245" i="15"/>
  <c r="L245" i="15" s="1"/>
  <c r="M245" i="15" s="1"/>
  <c r="K213" i="15"/>
  <c r="L213" i="15" s="1"/>
  <c r="M213" i="15" s="1"/>
  <c r="K181" i="15"/>
  <c r="L181" i="15" s="1"/>
  <c r="M181" i="15" s="1"/>
  <c r="K149" i="15"/>
  <c r="L149" i="15" s="1"/>
  <c r="M149" i="15" s="1"/>
  <c r="K117" i="15"/>
  <c r="L117" i="15" s="1"/>
  <c r="M117" i="15" s="1"/>
  <c r="K271" i="15"/>
  <c r="L271" i="15" s="1"/>
  <c r="M271" i="15" s="1"/>
  <c r="K239" i="15"/>
  <c r="L239" i="15" s="1"/>
  <c r="M239" i="15" s="1"/>
  <c r="K207" i="15"/>
  <c r="L207" i="15" s="1"/>
  <c r="M207" i="15" s="1"/>
  <c r="K175" i="15"/>
  <c r="L175" i="15" s="1"/>
  <c r="M175" i="15" s="1"/>
  <c r="K143" i="15"/>
  <c r="L143" i="15" s="1"/>
  <c r="M143" i="15" s="1"/>
  <c r="K111" i="15"/>
  <c r="L111" i="15" s="1"/>
  <c r="M111" i="15" s="1"/>
  <c r="K73" i="15"/>
  <c r="L73" i="15" s="1"/>
  <c r="M73" i="15" s="1"/>
  <c r="K299" i="15"/>
  <c r="L299" i="15" s="1"/>
  <c r="M299" i="15" s="1"/>
  <c r="K281" i="15"/>
  <c r="L281" i="15" s="1"/>
  <c r="M281" i="15" s="1"/>
  <c r="K265" i="15"/>
  <c r="L265" i="15" s="1"/>
  <c r="M265" i="15" s="1"/>
  <c r="K249" i="15"/>
  <c r="L249" i="15" s="1"/>
  <c r="M249" i="15" s="1"/>
  <c r="K233" i="15"/>
  <c r="L233" i="15" s="1"/>
  <c r="M233" i="15" s="1"/>
  <c r="K217" i="15"/>
  <c r="L217" i="15" s="1"/>
  <c r="M217" i="15" s="1"/>
  <c r="K201" i="15"/>
  <c r="L201" i="15" s="1"/>
  <c r="M201" i="15" s="1"/>
  <c r="K185" i="15"/>
  <c r="L185" i="15" s="1"/>
  <c r="M185" i="15" s="1"/>
  <c r="K169" i="15"/>
  <c r="L169" i="15" s="1"/>
  <c r="M169" i="15" s="1"/>
  <c r="K153" i="15"/>
  <c r="L153" i="15" s="1"/>
  <c r="M153" i="15" s="1"/>
  <c r="K137" i="15"/>
  <c r="L137" i="15" s="1"/>
  <c r="M137" i="15" s="1"/>
  <c r="K121" i="15"/>
  <c r="L121" i="15" s="1"/>
  <c r="M121" i="15" s="1"/>
  <c r="K105" i="15"/>
  <c r="L105" i="15" s="1"/>
  <c r="M105" i="15" s="1"/>
  <c r="K89" i="15"/>
  <c r="L89" i="15" s="1"/>
  <c r="M89" i="15" s="1"/>
  <c r="K79" i="15"/>
  <c r="L79" i="15" s="1"/>
  <c r="M79" i="15" s="1"/>
  <c r="K52" i="15"/>
  <c r="L52" i="15" s="1"/>
  <c r="M52" i="15" s="1"/>
  <c r="K20" i="15"/>
  <c r="L20" i="15" s="1"/>
  <c r="M20" i="15" s="1"/>
  <c r="K31" i="15"/>
  <c r="L31" i="15" s="1"/>
  <c r="M31" i="15" s="1"/>
  <c r="K635" i="15"/>
  <c r="L635" i="15" s="1"/>
  <c r="M635" i="15" s="1"/>
  <c r="K565" i="15"/>
  <c r="L565" i="15" s="1"/>
  <c r="M565" i="15" s="1"/>
  <c r="K541" i="15"/>
  <c r="L541" i="15" s="1"/>
  <c r="M541" i="15" s="1"/>
  <c r="K309" i="15"/>
  <c r="L309" i="15" s="1"/>
  <c r="M309" i="15" s="1"/>
  <c r="K282" i="15"/>
  <c r="L282" i="15" s="1"/>
  <c r="M282" i="15" s="1"/>
  <c r="K54" i="15"/>
  <c r="L54" i="15" s="1"/>
  <c r="M54" i="15" s="1"/>
  <c r="K70" i="15"/>
  <c r="L70" i="15" s="1"/>
  <c r="M70" i="15" s="1"/>
  <c r="K146" i="15"/>
  <c r="L146" i="15" s="1"/>
  <c r="M146" i="15" s="1"/>
  <c r="K82" i="15"/>
  <c r="L82" i="15" s="1"/>
  <c r="M82" i="15" s="1"/>
  <c r="K106" i="15"/>
  <c r="L106" i="15" s="1"/>
  <c r="M106" i="15" s="1"/>
  <c r="K122" i="15"/>
  <c r="L122" i="15" s="1"/>
  <c r="M122" i="15" s="1"/>
  <c r="K138" i="15"/>
  <c r="L138" i="15" s="1"/>
  <c r="M138" i="15" s="1"/>
  <c r="K171" i="15"/>
  <c r="L171" i="15" s="1"/>
  <c r="M171" i="15" s="1"/>
  <c r="K210" i="15"/>
  <c r="L210" i="15" s="1"/>
  <c r="M210" i="15" s="1"/>
  <c r="K235" i="15"/>
  <c r="L235" i="15" s="1"/>
  <c r="M235" i="15" s="1"/>
  <c r="K90" i="15"/>
  <c r="L90" i="15" s="1"/>
  <c r="M90" i="15" s="1"/>
  <c r="K131" i="15"/>
  <c r="L131" i="15" s="1"/>
  <c r="M131" i="15" s="1"/>
  <c r="K545" i="15"/>
  <c r="L545" i="15" s="1"/>
  <c r="M545" i="15" s="1"/>
  <c r="K147" i="15"/>
  <c r="L147" i="15" s="1"/>
  <c r="M147" i="15" s="1"/>
  <c r="K267" i="15"/>
  <c r="L267" i="15" s="1"/>
  <c r="M267" i="15" s="1"/>
  <c r="K620" i="15"/>
  <c r="L620" i="15" s="1"/>
  <c r="M620" i="15" s="1"/>
  <c r="K62" i="15"/>
  <c r="L62" i="15" s="1"/>
  <c r="M62" i="15" s="1"/>
  <c r="K78" i="15"/>
  <c r="L78" i="15" s="1"/>
  <c r="M78" i="15" s="1"/>
  <c r="K98" i="15"/>
  <c r="L98" i="15" s="1"/>
  <c r="M98" i="15" s="1"/>
  <c r="K139" i="15"/>
  <c r="L139" i="15" s="1"/>
  <c r="M139" i="15" s="1"/>
  <c r="K178" i="15"/>
  <c r="L178" i="15" s="1"/>
  <c r="M178" i="15" s="1"/>
  <c r="K203" i="15"/>
  <c r="L203" i="15" s="1"/>
  <c r="M203" i="15" s="1"/>
  <c r="K242" i="15"/>
  <c r="L242" i="15" s="1"/>
  <c r="M242" i="15" s="1"/>
  <c r="K163" i="15"/>
  <c r="L163" i="15" s="1"/>
  <c r="M163" i="15" s="1"/>
  <c r="K170" i="15"/>
  <c r="L170" i="15" s="1"/>
  <c r="M170" i="15" s="1"/>
  <c r="K195" i="15"/>
  <c r="L195" i="15" s="1"/>
  <c r="M195" i="15" s="1"/>
  <c r="K202" i="15"/>
  <c r="L202" i="15" s="1"/>
  <c r="M202" i="15" s="1"/>
  <c r="K227" i="15"/>
  <c r="L227" i="15" s="1"/>
  <c r="M227" i="15" s="1"/>
  <c r="K234" i="15"/>
  <c r="L234" i="15" s="1"/>
  <c r="M234" i="15" s="1"/>
  <c r="K275" i="15"/>
  <c r="L275" i="15" s="1"/>
  <c r="M275" i="15" s="1"/>
  <c r="K276" i="15"/>
  <c r="L276" i="15" s="1"/>
  <c r="M276" i="15" s="1"/>
  <c r="K318" i="15"/>
  <c r="L318" i="15" s="1"/>
  <c r="M318" i="15" s="1"/>
  <c r="K605" i="15"/>
  <c r="L605" i="15" s="1"/>
  <c r="M605" i="15" s="1"/>
  <c r="K114" i="15"/>
  <c r="L114" i="15" s="1"/>
  <c r="M114" i="15" s="1"/>
  <c r="K130" i="15"/>
  <c r="L130" i="15" s="1"/>
  <c r="M130" i="15" s="1"/>
  <c r="K155" i="15"/>
  <c r="L155" i="15" s="1"/>
  <c r="M155" i="15" s="1"/>
  <c r="K162" i="15"/>
  <c r="L162" i="15" s="1"/>
  <c r="M162" i="15" s="1"/>
  <c r="K187" i="15"/>
  <c r="L187" i="15" s="1"/>
  <c r="M187" i="15" s="1"/>
  <c r="K194" i="15"/>
  <c r="L194" i="15" s="1"/>
  <c r="M194" i="15" s="1"/>
  <c r="K219" i="15"/>
  <c r="L219" i="15" s="1"/>
  <c r="M219" i="15" s="1"/>
  <c r="K226" i="15"/>
  <c r="L226" i="15" s="1"/>
  <c r="M226" i="15" s="1"/>
  <c r="K251" i="15"/>
  <c r="L251" i="15" s="1"/>
  <c r="M251" i="15" s="1"/>
  <c r="K154" i="15"/>
  <c r="L154" i="15" s="1"/>
  <c r="M154" i="15" s="1"/>
  <c r="K179" i="15"/>
  <c r="L179" i="15" s="1"/>
  <c r="M179" i="15" s="1"/>
  <c r="K186" i="15"/>
  <c r="L186" i="15" s="1"/>
  <c r="M186" i="15" s="1"/>
  <c r="K211" i="15"/>
  <c r="L211" i="15" s="1"/>
  <c r="M211" i="15" s="1"/>
  <c r="K218" i="15"/>
  <c r="L218" i="15" s="1"/>
  <c r="M218" i="15" s="1"/>
  <c r="K243" i="15"/>
  <c r="L243" i="15" s="1"/>
  <c r="M243" i="15" s="1"/>
  <c r="K250" i="15"/>
  <c r="L250" i="15" s="1"/>
  <c r="M250" i="15" s="1"/>
  <c r="K259" i="15"/>
  <c r="L259" i="15" s="1"/>
  <c r="M259" i="15" s="1"/>
  <c r="K283" i="15"/>
  <c r="L283" i="15" s="1"/>
  <c r="M283" i="15" s="1"/>
  <c r="K284" i="15"/>
  <c r="L284" i="15" s="1"/>
  <c r="M284" i="15" s="1"/>
  <c r="K567" i="15"/>
  <c r="L567" i="15" s="1"/>
  <c r="M567" i="15" s="1"/>
  <c r="K621" i="15"/>
  <c r="L621" i="15" s="1"/>
  <c r="M621" i="15" s="1"/>
  <c r="K423" i="15"/>
  <c r="L423" i="15" s="1"/>
  <c r="M423" i="15" s="1"/>
  <c r="K558" i="15"/>
  <c r="L558" i="15" s="1"/>
  <c r="M558" i="15" s="1"/>
  <c r="K561" i="15"/>
  <c r="L561" i="15" s="1"/>
  <c r="M561" i="15" s="1"/>
  <c r="K637" i="15"/>
  <c r="L637" i="15" s="1"/>
  <c r="M637" i="15" s="1"/>
  <c r="K797" i="15"/>
  <c r="K540" i="15"/>
  <c r="L540" i="15" s="1"/>
  <c r="M540" i="15" s="1"/>
  <c r="K550" i="15"/>
  <c r="L550" i="15" s="1"/>
  <c r="M550" i="15" s="1"/>
  <c r="K597" i="15"/>
  <c r="L597" i="15" s="1"/>
  <c r="M597" i="15" s="1"/>
  <c r="K613" i="15"/>
  <c r="L613" i="15" s="1"/>
  <c r="M613" i="15" s="1"/>
  <c r="K628" i="15"/>
  <c r="L628" i="15" s="1"/>
  <c r="M628" i="15" s="1"/>
  <c r="K636" i="15"/>
  <c r="L636" i="15" s="1"/>
  <c r="M636" i="15" s="1"/>
  <c r="K556" i="15"/>
  <c r="L556" i="15" s="1"/>
  <c r="M556" i="15" s="1"/>
  <c r="K728" i="15"/>
  <c r="L728" i="15" s="1"/>
  <c r="M728" i="15" s="1"/>
  <c r="K789" i="15"/>
  <c r="K629" i="15"/>
  <c r="L629" i="15" s="1"/>
  <c r="M629" i="15" s="1"/>
  <c r="K813" i="15"/>
  <c r="K716" i="15"/>
  <c r="L716" i="15" s="1"/>
  <c r="M716" i="15" s="1"/>
  <c r="K720" i="15"/>
  <c r="L720" i="15" s="1"/>
  <c r="M720" i="15" s="1"/>
  <c r="K723" i="15"/>
  <c r="L723" i="15" s="1"/>
  <c r="M723" i="15" s="1"/>
  <c r="K805" i="15"/>
  <c r="K24" i="15"/>
  <c r="L24" i="15" s="1"/>
  <c r="M24" i="15" s="1"/>
  <c r="K30" i="15"/>
  <c r="L30" i="15" s="1"/>
  <c r="M30" i="15" s="1"/>
  <c r="K45" i="15"/>
  <c r="L45" i="15" s="1"/>
  <c r="M45" i="15" s="1"/>
  <c r="K56" i="15"/>
  <c r="L56" i="15" s="1"/>
  <c r="M56" i="15" s="1"/>
  <c r="K64" i="15"/>
  <c r="L64" i="15" s="1"/>
  <c r="M64" i="15" s="1"/>
  <c r="K75" i="15"/>
  <c r="L75" i="15" s="1"/>
  <c r="M75" i="15" s="1"/>
  <c r="K110" i="15"/>
  <c r="L110" i="15" s="1"/>
  <c r="M110" i="15" s="1"/>
  <c r="K126" i="15"/>
  <c r="L126" i="15" s="1"/>
  <c r="M126" i="15" s="1"/>
  <c r="K293" i="15"/>
  <c r="L293" i="15" s="1"/>
  <c r="M293" i="15" s="1"/>
  <c r="K329" i="15"/>
  <c r="L329" i="15" s="1"/>
  <c r="M329" i="15" s="1"/>
  <c r="K343" i="15"/>
  <c r="L343" i="15" s="1"/>
  <c r="M343" i="15" s="1"/>
  <c r="K354" i="15"/>
  <c r="L354" i="15" s="1"/>
  <c r="M354" i="15" s="1"/>
  <c r="K361" i="15"/>
  <c r="L361" i="15" s="1"/>
  <c r="M361" i="15" s="1"/>
  <c r="K377" i="15"/>
  <c r="L377" i="15" s="1"/>
  <c r="M377" i="15" s="1"/>
  <c r="K386" i="15"/>
  <c r="L386" i="15" s="1"/>
  <c r="M386" i="15" s="1"/>
  <c r="K393" i="15"/>
  <c r="L393" i="15" s="1"/>
  <c r="M393" i="15" s="1"/>
  <c r="K578" i="15"/>
  <c r="L578" i="15" s="1"/>
  <c r="M578" i="15" s="1"/>
  <c r="K9" i="15"/>
  <c r="L9" i="15" s="1"/>
  <c r="M9" i="15" s="1"/>
  <c r="K14" i="15"/>
  <c r="L14" i="15" s="1"/>
  <c r="M14" i="15" s="1"/>
  <c r="K15" i="15"/>
  <c r="L15" i="15" s="1"/>
  <c r="M15" i="15" s="1"/>
  <c r="K16" i="15"/>
  <c r="L16" i="15" s="1"/>
  <c r="M16" i="15" s="1"/>
  <c r="K25" i="15"/>
  <c r="L25" i="15" s="1"/>
  <c r="M25" i="15" s="1"/>
  <c r="K26" i="15"/>
  <c r="L26" i="15" s="1"/>
  <c r="M26" i="15" s="1"/>
  <c r="K28" i="15"/>
  <c r="L28" i="15" s="1"/>
  <c r="M28" i="15" s="1"/>
  <c r="K33" i="15"/>
  <c r="L33" i="15" s="1"/>
  <c r="M33" i="15" s="1"/>
  <c r="K34" i="15"/>
  <c r="L34" i="15" s="1"/>
  <c r="M34" i="15" s="1"/>
  <c r="K35" i="15"/>
  <c r="L35" i="15" s="1"/>
  <c r="M35" i="15" s="1"/>
  <c r="K44" i="15"/>
  <c r="L44" i="15" s="1"/>
  <c r="M44" i="15" s="1"/>
  <c r="K49" i="15"/>
  <c r="L49" i="15" s="1"/>
  <c r="M49" i="15" s="1"/>
  <c r="K50" i="15"/>
  <c r="L50" i="15" s="1"/>
  <c r="M50" i="15" s="1"/>
  <c r="K51" i="15"/>
  <c r="L51" i="15" s="1"/>
  <c r="M51" i="15" s="1"/>
  <c r="K58" i="15"/>
  <c r="L58" i="15" s="1"/>
  <c r="M58" i="15" s="1"/>
  <c r="K66" i="15"/>
  <c r="L66" i="15" s="1"/>
  <c r="M66" i="15" s="1"/>
  <c r="K74" i="15"/>
  <c r="L74" i="15" s="1"/>
  <c r="M74" i="15" s="1"/>
  <c r="K94" i="15"/>
  <c r="L94" i="15" s="1"/>
  <c r="M94" i="15" s="1"/>
  <c r="K134" i="15"/>
  <c r="L134" i="15" s="1"/>
  <c r="M134" i="15" s="1"/>
  <c r="K180" i="15"/>
  <c r="L180" i="15" s="1"/>
  <c r="M180" i="15" s="1"/>
  <c r="K190" i="15"/>
  <c r="L190" i="15" s="1"/>
  <c r="M190" i="15" s="1"/>
  <c r="K244" i="15"/>
  <c r="L244" i="15" s="1"/>
  <c r="M244" i="15" s="1"/>
  <c r="K254" i="15"/>
  <c r="L254" i="15" s="1"/>
  <c r="M254" i="15" s="1"/>
  <c r="K308" i="15"/>
  <c r="L308" i="15" s="1"/>
  <c r="M308" i="15" s="1"/>
  <c r="K316" i="15"/>
  <c r="L316" i="15" s="1"/>
  <c r="M316" i="15" s="1"/>
  <c r="K317" i="15"/>
  <c r="L317" i="15" s="1"/>
  <c r="M317" i="15" s="1"/>
  <c r="K594" i="15"/>
  <c r="L594" i="15" s="1"/>
  <c r="M594" i="15" s="1"/>
  <c r="K11" i="15"/>
  <c r="L11" i="15" s="1"/>
  <c r="M11" i="15" s="1"/>
  <c r="K59" i="15"/>
  <c r="L59" i="15" s="1"/>
  <c r="M59" i="15" s="1"/>
  <c r="K67" i="15"/>
  <c r="L67" i="15" s="1"/>
  <c r="M67" i="15" s="1"/>
  <c r="K72" i="15"/>
  <c r="L72" i="15" s="1"/>
  <c r="M72" i="15" s="1"/>
  <c r="K124" i="15"/>
  <c r="L124" i="15" s="1"/>
  <c r="M124" i="15" s="1"/>
  <c r="K260" i="15"/>
  <c r="L260" i="15" s="1"/>
  <c r="M260" i="15" s="1"/>
  <c r="K278" i="15"/>
  <c r="L278" i="15" s="1"/>
  <c r="M278" i="15" s="1"/>
  <c r="K327" i="15"/>
  <c r="L327" i="15" s="1"/>
  <c r="M327" i="15" s="1"/>
  <c r="K338" i="15"/>
  <c r="L338" i="15" s="1"/>
  <c r="M338" i="15" s="1"/>
  <c r="K344" i="15"/>
  <c r="L344" i="15" s="1"/>
  <c r="M344" i="15" s="1"/>
  <c r="K360" i="15"/>
  <c r="L360" i="15" s="1"/>
  <c r="M360" i="15" s="1"/>
  <c r="K370" i="15"/>
  <c r="L370" i="15" s="1"/>
  <c r="M370" i="15" s="1"/>
  <c r="K375" i="15"/>
  <c r="L375" i="15" s="1"/>
  <c r="M375" i="15" s="1"/>
  <c r="K391" i="15"/>
  <c r="L391" i="15" s="1"/>
  <c r="M391" i="15" s="1"/>
  <c r="K441" i="15"/>
  <c r="L441" i="15" s="1"/>
  <c r="M441" i="15" s="1"/>
  <c r="K3" i="15"/>
  <c r="L3" i="15" s="1"/>
  <c r="M3" i="15" s="1"/>
  <c r="K13" i="15"/>
  <c r="L13" i="15" s="1"/>
  <c r="M13" i="15" s="1"/>
  <c r="K18" i="15"/>
  <c r="L18" i="15" s="1"/>
  <c r="M18" i="15" s="1"/>
  <c r="K19" i="15"/>
  <c r="L19" i="15" s="1"/>
  <c r="M19" i="15" s="1"/>
  <c r="K32" i="15"/>
  <c r="L32" i="15" s="1"/>
  <c r="M32" i="15" s="1"/>
  <c r="K37" i="15"/>
  <c r="L37" i="15" s="1"/>
  <c r="M37" i="15" s="1"/>
  <c r="K38" i="15"/>
  <c r="L38" i="15" s="1"/>
  <c r="M38" i="15" s="1"/>
  <c r="K48" i="15"/>
  <c r="L48" i="15" s="1"/>
  <c r="M48" i="15" s="1"/>
  <c r="K86" i="15"/>
  <c r="L86" i="15" s="1"/>
  <c r="M86" i="15" s="1"/>
  <c r="K93" i="15"/>
  <c r="L93" i="15" s="1"/>
  <c r="M93" i="15" s="1"/>
  <c r="K100" i="15"/>
  <c r="L100" i="15" s="1"/>
  <c r="M100" i="15" s="1"/>
  <c r="K290" i="15"/>
  <c r="L290" i="15" s="1"/>
  <c r="M290" i="15" s="1"/>
  <c r="K403" i="15"/>
  <c r="L403" i="15" s="1"/>
  <c r="M403" i="15" s="1"/>
  <c r="K406" i="15"/>
  <c r="L406" i="15" s="1"/>
  <c r="M406" i="15" s="1"/>
  <c r="K411" i="15"/>
  <c r="L411" i="15" s="1"/>
  <c r="M411" i="15" s="1"/>
  <c r="K412" i="15"/>
  <c r="L412" i="15" s="1"/>
  <c r="M412" i="15" s="1"/>
  <c r="K422" i="15"/>
  <c r="L422" i="15" s="1"/>
  <c r="M422" i="15" s="1"/>
  <c r="K457" i="15"/>
  <c r="L457" i="15" s="1"/>
  <c r="M457" i="15" s="1"/>
  <c r="K458" i="15"/>
  <c r="L458" i="15" s="1"/>
  <c r="M458" i="15" s="1"/>
  <c r="K616" i="15"/>
  <c r="L616" i="15" s="1"/>
  <c r="M616" i="15" s="1"/>
  <c r="K738" i="15"/>
  <c r="L738" i="15" s="1"/>
  <c r="M738" i="15" s="1"/>
  <c r="K10" i="15"/>
  <c r="L10" i="15" s="1"/>
  <c r="M10" i="15" s="1"/>
  <c r="K29" i="15"/>
  <c r="L29" i="15" s="1"/>
  <c r="M29" i="15" s="1"/>
  <c r="K46" i="15"/>
  <c r="L46" i="15" s="1"/>
  <c r="M46" i="15" s="1"/>
  <c r="K84" i="15"/>
  <c r="L84" i="15" s="1"/>
  <c r="M84" i="15" s="1"/>
  <c r="K108" i="15"/>
  <c r="L108" i="15" s="1"/>
  <c r="M108" i="15" s="1"/>
  <c r="K116" i="15"/>
  <c r="L116" i="15" s="1"/>
  <c r="M116" i="15" s="1"/>
  <c r="K140" i="15"/>
  <c r="L140" i="15" s="1"/>
  <c r="M140" i="15" s="1"/>
  <c r="K298" i="15"/>
  <c r="L298" i="15" s="1"/>
  <c r="M298" i="15" s="1"/>
  <c r="K322" i="15"/>
  <c r="L322" i="15" s="1"/>
  <c r="M322" i="15" s="1"/>
  <c r="K328" i="15"/>
  <c r="L328" i="15" s="1"/>
  <c r="M328" i="15" s="1"/>
  <c r="K345" i="15"/>
  <c r="L345" i="15" s="1"/>
  <c r="M345" i="15" s="1"/>
  <c r="K359" i="15"/>
  <c r="L359" i="15" s="1"/>
  <c r="M359" i="15" s="1"/>
  <c r="K376" i="15"/>
  <c r="L376" i="15" s="1"/>
  <c r="M376" i="15" s="1"/>
  <c r="K392" i="15"/>
  <c r="L392" i="15" s="1"/>
  <c r="M392" i="15" s="1"/>
  <c r="K6" i="15"/>
  <c r="L6" i="15" s="1"/>
  <c r="M6" i="15" s="1"/>
  <c r="K7" i="15"/>
  <c r="L7" i="15" s="1"/>
  <c r="M7" i="15" s="1"/>
  <c r="K8" i="15"/>
  <c r="L8" i="15" s="1"/>
  <c r="M8" i="15" s="1"/>
  <c r="K22" i="15"/>
  <c r="L22" i="15" s="1"/>
  <c r="M22" i="15" s="1"/>
  <c r="K23" i="15"/>
  <c r="L23" i="15" s="1"/>
  <c r="M23" i="15" s="1"/>
  <c r="K27" i="15"/>
  <c r="L27" i="15" s="1"/>
  <c r="M27" i="15" s="1"/>
  <c r="K41" i="15"/>
  <c r="L41" i="15" s="1"/>
  <c r="M41" i="15" s="1"/>
  <c r="K42" i="15"/>
  <c r="L42" i="15" s="1"/>
  <c r="M42" i="15" s="1"/>
  <c r="K43" i="15"/>
  <c r="L43" i="15" s="1"/>
  <c r="M43" i="15" s="1"/>
  <c r="K60" i="15"/>
  <c r="L60" i="15" s="1"/>
  <c r="M60" i="15" s="1"/>
  <c r="K68" i="15"/>
  <c r="L68" i="15" s="1"/>
  <c r="M68" i="15" s="1"/>
  <c r="K76" i="15"/>
  <c r="L76" i="15" s="1"/>
  <c r="M76" i="15" s="1"/>
  <c r="K85" i="15"/>
  <c r="L85" i="15" s="1"/>
  <c r="M85" i="15" s="1"/>
  <c r="K92" i="15"/>
  <c r="L92" i="15" s="1"/>
  <c r="M92" i="15" s="1"/>
  <c r="K102" i="15"/>
  <c r="L102" i="15" s="1"/>
  <c r="M102" i="15" s="1"/>
  <c r="K148" i="15"/>
  <c r="L148" i="15" s="1"/>
  <c r="M148" i="15" s="1"/>
  <c r="K158" i="15"/>
  <c r="L158" i="15" s="1"/>
  <c r="M158" i="15" s="1"/>
  <c r="K212" i="15"/>
  <c r="L212" i="15" s="1"/>
  <c r="M212" i="15" s="1"/>
  <c r="K222" i="15"/>
  <c r="L222" i="15" s="1"/>
  <c r="M222" i="15" s="1"/>
  <c r="K312" i="15"/>
  <c r="L312" i="15" s="1"/>
  <c r="M312" i="15" s="1"/>
  <c r="K150" i="15"/>
  <c r="L150" i="15" s="1"/>
  <c r="M150" i="15" s="1"/>
  <c r="K172" i="15"/>
  <c r="L172" i="15" s="1"/>
  <c r="M172" i="15" s="1"/>
  <c r="K182" i="15"/>
  <c r="L182" i="15" s="1"/>
  <c r="M182" i="15" s="1"/>
  <c r="K204" i="15"/>
  <c r="L204" i="15" s="1"/>
  <c r="M204" i="15" s="1"/>
  <c r="K214" i="15"/>
  <c r="L214" i="15" s="1"/>
  <c r="M214" i="15" s="1"/>
  <c r="K236" i="15"/>
  <c r="L236" i="15" s="1"/>
  <c r="M236" i="15" s="1"/>
  <c r="K246" i="15"/>
  <c r="L246" i="15" s="1"/>
  <c r="M246" i="15" s="1"/>
  <c r="K262" i="15"/>
  <c r="L262" i="15" s="1"/>
  <c r="M262" i="15" s="1"/>
  <c r="K268" i="15"/>
  <c r="L268" i="15" s="1"/>
  <c r="M268" i="15" s="1"/>
  <c r="K287" i="15"/>
  <c r="L287" i="15" s="1"/>
  <c r="M287" i="15" s="1"/>
  <c r="K292" i="15"/>
  <c r="L292" i="15" s="1"/>
  <c r="M292" i="15" s="1"/>
  <c r="K295" i="15"/>
  <c r="L295" i="15" s="1"/>
  <c r="M295" i="15" s="1"/>
  <c r="K300" i="15"/>
  <c r="L300" i="15" s="1"/>
  <c r="M300" i="15" s="1"/>
  <c r="K303" i="15"/>
  <c r="L303" i="15" s="1"/>
  <c r="M303" i="15" s="1"/>
  <c r="K326" i="15"/>
  <c r="L326" i="15" s="1"/>
  <c r="M326" i="15" s="1"/>
  <c r="K331" i="15"/>
  <c r="L331" i="15" s="1"/>
  <c r="M331" i="15" s="1"/>
  <c r="K332" i="15"/>
  <c r="L332" i="15" s="1"/>
  <c r="M332" i="15" s="1"/>
  <c r="K342" i="15"/>
  <c r="L342" i="15" s="1"/>
  <c r="M342" i="15" s="1"/>
  <c r="K347" i="15"/>
  <c r="L347" i="15" s="1"/>
  <c r="M347" i="15" s="1"/>
  <c r="K348" i="15"/>
  <c r="L348" i="15" s="1"/>
  <c r="M348" i="15" s="1"/>
  <c r="K358" i="15"/>
  <c r="L358" i="15" s="1"/>
  <c r="M358" i="15" s="1"/>
  <c r="K363" i="15"/>
  <c r="L363" i="15" s="1"/>
  <c r="M363" i="15" s="1"/>
  <c r="K364" i="15"/>
  <c r="L364" i="15" s="1"/>
  <c r="M364" i="15" s="1"/>
  <c r="K374" i="15"/>
  <c r="L374" i="15" s="1"/>
  <c r="M374" i="15" s="1"/>
  <c r="K379" i="15"/>
  <c r="L379" i="15" s="1"/>
  <c r="M379" i="15" s="1"/>
  <c r="K380" i="15"/>
  <c r="L380" i="15" s="1"/>
  <c r="M380" i="15" s="1"/>
  <c r="K390" i="15"/>
  <c r="L390" i="15" s="1"/>
  <c r="M390" i="15" s="1"/>
  <c r="K395" i="15"/>
  <c r="L395" i="15" s="1"/>
  <c r="M395" i="15" s="1"/>
  <c r="K396" i="15"/>
  <c r="L396" i="15" s="1"/>
  <c r="M396" i="15" s="1"/>
  <c r="K481" i="15"/>
  <c r="L481" i="15" s="1"/>
  <c r="M481" i="15" s="1"/>
  <c r="K497" i="15"/>
  <c r="L497" i="15" s="1"/>
  <c r="M497" i="15" s="1"/>
  <c r="K513" i="15"/>
  <c r="L513" i="15" s="1"/>
  <c r="M513" i="15" s="1"/>
  <c r="K529" i="15"/>
  <c r="L529" i="15" s="1"/>
  <c r="M529" i="15" s="1"/>
  <c r="K571" i="15"/>
  <c r="L571" i="15" s="1"/>
  <c r="M571" i="15" s="1"/>
  <c r="K576" i="15"/>
  <c r="L576" i="15" s="1"/>
  <c r="M576" i="15" s="1"/>
  <c r="K587" i="15"/>
  <c r="L587" i="15" s="1"/>
  <c r="M587" i="15" s="1"/>
  <c r="K592" i="15"/>
  <c r="L592" i="15" s="1"/>
  <c r="M592" i="15" s="1"/>
  <c r="K660" i="15"/>
  <c r="L660" i="15" s="1"/>
  <c r="M660" i="15" s="1"/>
  <c r="K665" i="15"/>
  <c r="L665" i="15" s="1"/>
  <c r="M665" i="15" s="1"/>
  <c r="K692" i="15"/>
  <c r="L692" i="15" s="1"/>
  <c r="M692" i="15" s="1"/>
  <c r="K697" i="15"/>
  <c r="L697" i="15" s="1"/>
  <c r="M697" i="15" s="1"/>
  <c r="K118" i="15"/>
  <c r="L118" i="15" s="1"/>
  <c r="M118" i="15" s="1"/>
  <c r="K132" i="15"/>
  <c r="L132" i="15" s="1"/>
  <c r="M132" i="15" s="1"/>
  <c r="K142" i="15"/>
  <c r="L142" i="15" s="1"/>
  <c r="M142" i="15" s="1"/>
  <c r="K164" i="15"/>
  <c r="L164" i="15" s="1"/>
  <c r="M164" i="15" s="1"/>
  <c r="K174" i="15"/>
  <c r="L174" i="15" s="1"/>
  <c r="M174" i="15" s="1"/>
  <c r="K196" i="15"/>
  <c r="L196" i="15" s="1"/>
  <c r="M196" i="15" s="1"/>
  <c r="K206" i="15"/>
  <c r="L206" i="15" s="1"/>
  <c r="M206" i="15" s="1"/>
  <c r="K228" i="15"/>
  <c r="L228" i="15" s="1"/>
  <c r="M228" i="15" s="1"/>
  <c r="K238" i="15"/>
  <c r="L238" i="15" s="1"/>
  <c r="M238" i="15" s="1"/>
  <c r="K270" i="15"/>
  <c r="L270" i="15" s="1"/>
  <c r="M270" i="15" s="1"/>
  <c r="K286" i="15"/>
  <c r="L286" i="15" s="1"/>
  <c r="M286" i="15" s="1"/>
  <c r="K289" i="15"/>
  <c r="L289" i="15" s="1"/>
  <c r="M289" i="15" s="1"/>
  <c r="K297" i="15"/>
  <c r="L297" i="15" s="1"/>
  <c r="M297" i="15" s="1"/>
  <c r="K302" i="15"/>
  <c r="L302" i="15" s="1"/>
  <c r="M302" i="15" s="1"/>
  <c r="K305" i="15"/>
  <c r="L305" i="15" s="1"/>
  <c r="M305" i="15" s="1"/>
  <c r="K310" i="15"/>
  <c r="L310" i="15" s="1"/>
  <c r="M310" i="15" s="1"/>
  <c r="K320" i="15"/>
  <c r="L320" i="15" s="1"/>
  <c r="M320" i="15" s="1"/>
  <c r="K321" i="15"/>
  <c r="L321" i="15" s="1"/>
  <c r="M321" i="15" s="1"/>
  <c r="K335" i="15"/>
  <c r="L335" i="15" s="1"/>
  <c r="M335" i="15" s="1"/>
  <c r="K336" i="15"/>
  <c r="L336" i="15" s="1"/>
  <c r="M336" i="15" s="1"/>
  <c r="K337" i="15"/>
  <c r="L337" i="15" s="1"/>
  <c r="M337" i="15" s="1"/>
  <c r="K351" i="15"/>
  <c r="L351" i="15" s="1"/>
  <c r="M351" i="15" s="1"/>
  <c r="K352" i="15"/>
  <c r="L352" i="15" s="1"/>
  <c r="M352" i="15" s="1"/>
  <c r="K353" i="15"/>
  <c r="L353" i="15" s="1"/>
  <c r="M353" i="15" s="1"/>
  <c r="K367" i="15"/>
  <c r="L367" i="15" s="1"/>
  <c r="M367" i="15" s="1"/>
  <c r="K368" i="15"/>
  <c r="L368" i="15" s="1"/>
  <c r="M368" i="15" s="1"/>
  <c r="K369" i="15"/>
  <c r="L369" i="15" s="1"/>
  <c r="M369" i="15" s="1"/>
  <c r="K383" i="15"/>
  <c r="L383" i="15" s="1"/>
  <c r="M383" i="15" s="1"/>
  <c r="K384" i="15"/>
  <c r="L384" i="15" s="1"/>
  <c r="M384" i="15" s="1"/>
  <c r="K385" i="15"/>
  <c r="L385" i="15" s="1"/>
  <c r="M385" i="15" s="1"/>
  <c r="K399" i="15"/>
  <c r="L399" i="15" s="1"/>
  <c r="M399" i="15" s="1"/>
  <c r="K557" i="15"/>
  <c r="L557" i="15" s="1"/>
  <c r="M557" i="15" s="1"/>
  <c r="K569" i="15"/>
  <c r="L569" i="15" s="1"/>
  <c r="M569" i="15" s="1"/>
  <c r="K585" i="15"/>
  <c r="L585" i="15" s="1"/>
  <c r="M585" i="15" s="1"/>
  <c r="K754" i="15"/>
  <c r="K809" i="15"/>
  <c r="K156" i="15"/>
  <c r="L156" i="15" s="1"/>
  <c r="M156" i="15" s="1"/>
  <c r="K166" i="15"/>
  <c r="L166" i="15" s="1"/>
  <c r="M166" i="15" s="1"/>
  <c r="K188" i="15"/>
  <c r="L188" i="15" s="1"/>
  <c r="M188" i="15" s="1"/>
  <c r="K198" i="15"/>
  <c r="L198" i="15" s="1"/>
  <c r="M198" i="15" s="1"/>
  <c r="K220" i="15"/>
  <c r="L220" i="15" s="1"/>
  <c r="M220" i="15" s="1"/>
  <c r="K230" i="15"/>
  <c r="L230" i="15" s="1"/>
  <c r="M230" i="15" s="1"/>
  <c r="K252" i="15"/>
  <c r="L252" i="15" s="1"/>
  <c r="M252" i="15" s="1"/>
  <c r="K279" i="15"/>
  <c r="L279" i="15" s="1"/>
  <c r="M279" i="15" s="1"/>
  <c r="K313" i="15"/>
  <c r="L313" i="15" s="1"/>
  <c r="M313" i="15" s="1"/>
  <c r="K323" i="15"/>
  <c r="L323" i="15" s="1"/>
  <c r="M323" i="15" s="1"/>
  <c r="K324" i="15"/>
  <c r="L324" i="15" s="1"/>
  <c r="M324" i="15" s="1"/>
  <c r="K339" i="15"/>
  <c r="L339" i="15" s="1"/>
  <c r="M339" i="15" s="1"/>
  <c r="K340" i="15"/>
  <c r="L340" i="15" s="1"/>
  <c r="M340" i="15" s="1"/>
  <c r="K355" i="15"/>
  <c r="L355" i="15" s="1"/>
  <c r="M355" i="15" s="1"/>
  <c r="K356" i="15"/>
  <c r="L356" i="15" s="1"/>
  <c r="M356" i="15" s="1"/>
  <c r="K371" i="15"/>
  <c r="L371" i="15" s="1"/>
  <c r="M371" i="15" s="1"/>
  <c r="K372" i="15"/>
  <c r="L372" i="15" s="1"/>
  <c r="M372" i="15" s="1"/>
  <c r="K387" i="15"/>
  <c r="L387" i="15" s="1"/>
  <c r="M387" i="15" s="1"/>
  <c r="K388" i="15"/>
  <c r="L388" i="15" s="1"/>
  <c r="M388" i="15" s="1"/>
  <c r="K428" i="15"/>
  <c r="L428" i="15" s="1"/>
  <c r="M428" i="15" s="1"/>
  <c r="K555" i="15"/>
  <c r="L555" i="15" s="1"/>
  <c r="M555" i="15" s="1"/>
  <c r="K563" i="15"/>
  <c r="L563" i="15" s="1"/>
  <c r="M563" i="15" s="1"/>
  <c r="K603" i="15"/>
  <c r="L603" i="15" s="1"/>
  <c r="M603" i="15" s="1"/>
  <c r="K644" i="15"/>
  <c r="L644" i="15" s="1"/>
  <c r="M644" i="15" s="1"/>
  <c r="K649" i="15"/>
  <c r="L649" i="15" s="1"/>
  <c r="M649" i="15" s="1"/>
  <c r="K676" i="15"/>
  <c r="L676" i="15" s="1"/>
  <c r="M676" i="15" s="1"/>
  <c r="K681" i="15"/>
  <c r="L681" i="15" s="1"/>
  <c r="M681" i="15" s="1"/>
  <c r="K708" i="15"/>
  <c r="L708" i="15" s="1"/>
  <c r="M708" i="15" s="1"/>
  <c r="K713" i="15"/>
  <c r="L713" i="15" s="1"/>
  <c r="M713" i="15" s="1"/>
  <c r="K829" i="15"/>
  <c r="K400" i="15"/>
  <c r="L400" i="15" s="1"/>
  <c r="M400" i="15" s="1"/>
  <c r="K401" i="15"/>
  <c r="L401" i="15" s="1"/>
  <c r="M401" i="15" s="1"/>
  <c r="K415" i="15"/>
  <c r="L415" i="15" s="1"/>
  <c r="M415" i="15" s="1"/>
  <c r="K416" i="15"/>
  <c r="L416" i="15" s="1"/>
  <c r="M416" i="15" s="1"/>
  <c r="K417" i="15"/>
  <c r="L417" i="15" s="1"/>
  <c r="M417" i="15" s="1"/>
  <c r="K437" i="15"/>
  <c r="L437" i="15" s="1"/>
  <c r="M437" i="15" s="1"/>
  <c r="K453" i="15"/>
  <c r="L453" i="15" s="1"/>
  <c r="M453" i="15" s="1"/>
  <c r="K461" i="15"/>
  <c r="L461" i="15" s="1"/>
  <c r="M461" i="15" s="1"/>
  <c r="K462" i="15"/>
  <c r="L462" i="15" s="1"/>
  <c r="M462" i="15" s="1"/>
  <c r="K477" i="15"/>
  <c r="L477" i="15" s="1"/>
  <c r="M477" i="15" s="1"/>
  <c r="K493" i="15"/>
  <c r="L493" i="15" s="1"/>
  <c r="M493" i="15" s="1"/>
  <c r="K509" i="15"/>
  <c r="L509" i="15" s="1"/>
  <c r="M509" i="15" s="1"/>
  <c r="K525" i="15"/>
  <c r="L525" i="15" s="1"/>
  <c r="M525" i="15" s="1"/>
  <c r="K526" i="15"/>
  <c r="L526" i="15" s="1"/>
  <c r="M526" i="15" s="1"/>
  <c r="K568" i="15"/>
  <c r="L568" i="15" s="1"/>
  <c r="M568" i="15" s="1"/>
  <c r="K615" i="15"/>
  <c r="L615" i="15" s="1"/>
  <c r="M615" i="15" s="1"/>
  <c r="K727" i="15"/>
  <c r="L727" i="15" s="1"/>
  <c r="M727" i="15" s="1"/>
  <c r="K849" i="15"/>
  <c r="K855" i="15"/>
  <c r="K865" i="15"/>
  <c r="K871" i="15"/>
  <c r="K881" i="15"/>
  <c r="K887" i="15"/>
  <c r="K897" i="15"/>
  <c r="K903" i="15"/>
  <c r="K913" i="15"/>
  <c r="K919" i="15"/>
  <c r="K929" i="15"/>
  <c r="K935" i="15"/>
  <c r="K945" i="15"/>
  <c r="K951" i="15"/>
  <c r="K404" i="15"/>
  <c r="L404" i="15" s="1"/>
  <c r="M404" i="15" s="1"/>
  <c r="K419" i="15"/>
  <c r="L419" i="15" s="1"/>
  <c r="M419" i="15" s="1"/>
  <c r="K420" i="15"/>
  <c r="L420" i="15" s="1"/>
  <c r="M420" i="15" s="1"/>
  <c r="K427" i="15"/>
  <c r="L427" i="15" s="1"/>
  <c r="M427" i="15" s="1"/>
  <c r="K433" i="15"/>
  <c r="L433" i="15" s="1"/>
  <c r="M433" i="15" s="1"/>
  <c r="K436" i="15"/>
  <c r="L436" i="15" s="1"/>
  <c r="M436" i="15" s="1"/>
  <c r="K449" i="15"/>
  <c r="L449" i="15" s="1"/>
  <c r="M449" i="15" s="1"/>
  <c r="K452" i="15"/>
  <c r="L452" i="15" s="1"/>
  <c r="M452" i="15" s="1"/>
  <c r="K460" i="15"/>
  <c r="L460" i="15" s="1"/>
  <c r="M460" i="15" s="1"/>
  <c r="K465" i="15"/>
  <c r="L465" i="15" s="1"/>
  <c r="M465" i="15" s="1"/>
  <c r="K466" i="15"/>
  <c r="L466" i="15" s="1"/>
  <c r="M466" i="15" s="1"/>
  <c r="K473" i="15"/>
  <c r="L473" i="15" s="1"/>
  <c r="M473" i="15" s="1"/>
  <c r="K476" i="15"/>
  <c r="L476" i="15" s="1"/>
  <c r="M476" i="15" s="1"/>
  <c r="K489" i="15"/>
  <c r="L489" i="15" s="1"/>
  <c r="M489" i="15" s="1"/>
  <c r="K492" i="15"/>
  <c r="L492" i="15" s="1"/>
  <c r="M492" i="15" s="1"/>
  <c r="K505" i="15"/>
  <c r="L505" i="15" s="1"/>
  <c r="M505" i="15" s="1"/>
  <c r="K508" i="15"/>
  <c r="L508" i="15" s="1"/>
  <c r="M508" i="15" s="1"/>
  <c r="K521" i="15"/>
  <c r="L521" i="15" s="1"/>
  <c r="M521" i="15" s="1"/>
  <c r="K524" i="15"/>
  <c r="L524" i="15" s="1"/>
  <c r="M524" i="15" s="1"/>
  <c r="K537" i="15"/>
  <c r="L537" i="15" s="1"/>
  <c r="M537" i="15" s="1"/>
  <c r="K562" i="15"/>
  <c r="L562" i="15" s="1"/>
  <c r="M562" i="15" s="1"/>
  <c r="K611" i="15"/>
  <c r="L611" i="15" s="1"/>
  <c r="M611" i="15" s="1"/>
  <c r="K624" i="15"/>
  <c r="L624" i="15" s="1"/>
  <c r="M624" i="15" s="1"/>
  <c r="K632" i="15"/>
  <c r="L632" i="15" s="1"/>
  <c r="M632" i="15" s="1"/>
  <c r="K652" i="15"/>
  <c r="L652" i="15" s="1"/>
  <c r="M652" i="15" s="1"/>
  <c r="K657" i="15"/>
  <c r="L657" i="15" s="1"/>
  <c r="M657" i="15" s="1"/>
  <c r="K668" i="15"/>
  <c r="L668" i="15" s="1"/>
  <c r="M668" i="15" s="1"/>
  <c r="K673" i="15"/>
  <c r="L673" i="15" s="1"/>
  <c r="M673" i="15" s="1"/>
  <c r="K684" i="15"/>
  <c r="L684" i="15" s="1"/>
  <c r="M684" i="15" s="1"/>
  <c r="K689" i="15"/>
  <c r="L689" i="15" s="1"/>
  <c r="M689" i="15" s="1"/>
  <c r="K700" i="15"/>
  <c r="L700" i="15" s="1"/>
  <c r="M700" i="15" s="1"/>
  <c r="K705" i="15"/>
  <c r="L705" i="15" s="1"/>
  <c r="M705" i="15" s="1"/>
  <c r="K730" i="15"/>
  <c r="L730" i="15" s="1"/>
  <c r="M730" i="15" s="1"/>
  <c r="K746" i="15"/>
  <c r="K762" i="15"/>
  <c r="K776" i="15"/>
  <c r="K777" i="15"/>
  <c r="K778" i="15"/>
  <c r="K821" i="15"/>
  <c r="K837" i="15"/>
  <c r="K402" i="15"/>
  <c r="L402" i="15" s="1"/>
  <c r="M402" i="15" s="1"/>
  <c r="K407" i="15"/>
  <c r="L407" i="15" s="1"/>
  <c r="M407" i="15" s="1"/>
  <c r="K408" i="15"/>
  <c r="L408" i="15" s="1"/>
  <c r="M408" i="15" s="1"/>
  <c r="K409" i="15"/>
  <c r="L409" i="15" s="1"/>
  <c r="M409" i="15" s="1"/>
  <c r="K418" i="15"/>
  <c r="L418" i="15" s="1"/>
  <c r="M418" i="15" s="1"/>
  <c r="K429" i="15"/>
  <c r="L429" i="15" s="1"/>
  <c r="M429" i="15" s="1"/>
  <c r="K430" i="15"/>
  <c r="L430" i="15" s="1"/>
  <c r="M430" i="15" s="1"/>
  <c r="K432" i="15"/>
  <c r="L432" i="15" s="1"/>
  <c r="M432" i="15" s="1"/>
  <c r="K439" i="15"/>
  <c r="L439" i="15" s="1"/>
  <c r="M439" i="15" s="1"/>
  <c r="K445" i="15"/>
  <c r="L445" i="15" s="1"/>
  <c r="M445" i="15" s="1"/>
  <c r="K446" i="15"/>
  <c r="L446" i="15" s="1"/>
  <c r="M446" i="15" s="1"/>
  <c r="K448" i="15"/>
  <c r="L448" i="15" s="1"/>
  <c r="M448" i="15" s="1"/>
  <c r="K455" i="15"/>
  <c r="L455" i="15" s="1"/>
  <c r="M455" i="15" s="1"/>
  <c r="K464" i="15"/>
  <c r="L464" i="15" s="1"/>
  <c r="M464" i="15" s="1"/>
  <c r="K469" i="15"/>
  <c r="L469" i="15" s="1"/>
  <c r="M469" i="15" s="1"/>
  <c r="K470" i="15"/>
  <c r="L470" i="15" s="1"/>
  <c r="M470" i="15" s="1"/>
  <c r="K472" i="15"/>
  <c r="L472" i="15" s="1"/>
  <c r="M472" i="15" s="1"/>
  <c r="K479" i="15"/>
  <c r="L479" i="15" s="1"/>
  <c r="M479" i="15" s="1"/>
  <c r="K485" i="15"/>
  <c r="L485" i="15" s="1"/>
  <c r="M485" i="15" s="1"/>
  <c r="K486" i="15"/>
  <c r="L486" i="15" s="1"/>
  <c r="M486" i="15" s="1"/>
  <c r="K488" i="15"/>
  <c r="L488" i="15" s="1"/>
  <c r="M488" i="15" s="1"/>
  <c r="K495" i="15"/>
  <c r="L495" i="15" s="1"/>
  <c r="M495" i="15" s="1"/>
  <c r="K501" i="15"/>
  <c r="L501" i="15" s="1"/>
  <c r="M501" i="15" s="1"/>
  <c r="K502" i="15"/>
  <c r="L502" i="15" s="1"/>
  <c r="M502" i="15" s="1"/>
  <c r="K504" i="15"/>
  <c r="L504" i="15" s="1"/>
  <c r="M504" i="15" s="1"/>
  <c r="K511" i="15"/>
  <c r="L511" i="15" s="1"/>
  <c r="M511" i="15" s="1"/>
  <c r="K517" i="15"/>
  <c r="L517" i="15" s="1"/>
  <c r="M517" i="15" s="1"/>
  <c r="K518" i="15"/>
  <c r="L518" i="15" s="1"/>
  <c r="M518" i="15" s="1"/>
  <c r="K520" i="15"/>
  <c r="L520" i="15" s="1"/>
  <c r="M520" i="15" s="1"/>
  <c r="K527" i="15"/>
  <c r="L527" i="15" s="1"/>
  <c r="M527" i="15" s="1"/>
  <c r="K533" i="15"/>
  <c r="L533" i="15" s="1"/>
  <c r="M533" i="15" s="1"/>
  <c r="K534" i="15"/>
  <c r="L534" i="15" s="1"/>
  <c r="M534" i="15" s="1"/>
  <c r="K536" i="15"/>
  <c r="L536" i="15" s="1"/>
  <c r="M536" i="15" s="1"/>
  <c r="K544" i="15"/>
  <c r="L544" i="15" s="1"/>
  <c r="M544" i="15" s="1"/>
  <c r="K547" i="15"/>
  <c r="L547" i="15" s="1"/>
  <c r="M547" i="15" s="1"/>
  <c r="K548" i="15"/>
  <c r="L548" i="15" s="1"/>
  <c r="M548" i="15" s="1"/>
  <c r="K572" i="15"/>
  <c r="L572" i="15" s="1"/>
  <c r="M572" i="15" s="1"/>
  <c r="K574" i="15"/>
  <c r="L574" i="15" s="1"/>
  <c r="M574" i="15" s="1"/>
  <c r="K581" i="15"/>
  <c r="L581" i="15" s="1"/>
  <c r="M581" i="15" s="1"/>
  <c r="K583" i="15"/>
  <c r="L583" i="15" s="1"/>
  <c r="M583" i="15" s="1"/>
  <c r="K588" i="15"/>
  <c r="L588" i="15" s="1"/>
  <c r="M588" i="15" s="1"/>
  <c r="K590" i="15"/>
  <c r="L590" i="15" s="1"/>
  <c r="M590" i="15" s="1"/>
  <c r="K623" i="15"/>
  <c r="L623" i="15" s="1"/>
  <c r="M623" i="15" s="1"/>
  <c r="K631" i="15"/>
  <c r="L631" i="15" s="1"/>
  <c r="M631" i="15" s="1"/>
  <c r="K787" i="15"/>
  <c r="K791" i="15"/>
  <c r="K846" i="15"/>
  <c r="K862" i="15"/>
  <c r="K878" i="15"/>
  <c r="K894" i="15"/>
  <c r="K910" i="15"/>
  <c r="K926" i="15"/>
  <c r="K942" i="15"/>
  <c r="K646" i="15"/>
  <c r="L646" i="15" s="1"/>
  <c r="M646" i="15" s="1"/>
  <c r="K654" i="15"/>
  <c r="L654" i="15" s="1"/>
  <c r="M654" i="15" s="1"/>
  <c r="K662" i="15"/>
  <c r="L662" i="15" s="1"/>
  <c r="M662" i="15" s="1"/>
  <c r="K670" i="15"/>
  <c r="L670" i="15" s="1"/>
  <c r="M670" i="15" s="1"/>
  <c r="K678" i="15"/>
  <c r="L678" i="15" s="1"/>
  <c r="M678" i="15" s="1"/>
  <c r="K686" i="15"/>
  <c r="L686" i="15" s="1"/>
  <c r="M686" i="15" s="1"/>
  <c r="K694" i="15"/>
  <c r="L694" i="15" s="1"/>
  <c r="M694" i="15" s="1"/>
  <c r="K702" i="15"/>
  <c r="L702" i="15" s="1"/>
  <c r="M702" i="15" s="1"/>
  <c r="K710" i="15"/>
  <c r="L710" i="15" s="1"/>
  <c r="M710" i="15" s="1"/>
  <c r="K726" i="15"/>
  <c r="L726" i="15" s="1"/>
  <c r="M726" i="15" s="1"/>
  <c r="K732" i="15"/>
  <c r="L732" i="15" s="1"/>
  <c r="M732" i="15" s="1"/>
  <c r="K735" i="15"/>
  <c r="L735" i="15" s="1"/>
  <c r="M735" i="15" s="1"/>
  <c r="K740" i="15"/>
  <c r="L740" i="15" s="1"/>
  <c r="M740" i="15" s="1"/>
  <c r="K743" i="15"/>
  <c r="K748" i="15"/>
  <c r="K751" i="15"/>
  <c r="K756" i="15"/>
  <c r="K759" i="15"/>
  <c r="K764" i="15"/>
  <c r="K767" i="15"/>
  <c r="K771" i="15"/>
  <c r="K780" i="15"/>
  <c r="K781" i="15"/>
  <c r="K782" i="15"/>
  <c r="K785" i="15"/>
  <c r="K801" i="15"/>
  <c r="K808" i="15"/>
  <c r="K811" i="15"/>
  <c r="K815" i="15"/>
  <c r="K818" i="15"/>
  <c r="K823" i="15"/>
  <c r="K826" i="15"/>
  <c r="K831" i="15"/>
  <c r="K834" i="15"/>
  <c r="K839" i="15"/>
  <c r="K842" i="15"/>
  <c r="K851" i="15"/>
  <c r="K858" i="15"/>
  <c r="K867" i="15"/>
  <c r="K874" i="15"/>
  <c r="K883" i="15"/>
  <c r="K890" i="15"/>
  <c r="K899" i="15"/>
  <c r="K906" i="15"/>
  <c r="K915" i="15"/>
  <c r="K922" i="15"/>
  <c r="K931" i="15"/>
  <c r="K938" i="15"/>
  <c r="K947" i="15"/>
  <c r="K640" i="15"/>
  <c r="L640" i="15" s="1"/>
  <c r="M640" i="15" s="1"/>
  <c r="K722" i="15"/>
  <c r="L722" i="15" s="1"/>
  <c r="M722" i="15" s="1"/>
  <c r="K769" i="15"/>
  <c r="K784" i="15"/>
  <c r="K793" i="15"/>
  <c r="K800" i="15"/>
  <c r="K803" i="15"/>
  <c r="K807" i="15"/>
  <c r="K847" i="15"/>
  <c r="K854" i="15"/>
  <c r="K857" i="15"/>
  <c r="K863" i="15"/>
  <c r="K870" i="15"/>
  <c r="K873" i="15"/>
  <c r="K879" i="15"/>
  <c r="K886" i="15"/>
  <c r="K889" i="15"/>
  <c r="K895" i="15"/>
  <c r="K902" i="15"/>
  <c r="K905" i="15"/>
  <c r="K911" i="15"/>
  <c r="K918" i="15"/>
  <c r="K921" i="15"/>
  <c r="K927" i="15"/>
  <c r="K934" i="15"/>
  <c r="K937" i="15"/>
  <c r="K943" i="15"/>
  <c r="K950" i="15"/>
  <c r="K639" i="15"/>
  <c r="L639" i="15" s="1"/>
  <c r="M639" i="15" s="1"/>
  <c r="K647" i="15"/>
  <c r="L647" i="15" s="1"/>
  <c r="M647" i="15" s="1"/>
  <c r="K650" i="15"/>
  <c r="L650" i="15" s="1"/>
  <c r="M650" i="15" s="1"/>
  <c r="K655" i="15"/>
  <c r="L655" i="15" s="1"/>
  <c r="M655" i="15" s="1"/>
  <c r="K658" i="15"/>
  <c r="L658" i="15" s="1"/>
  <c r="M658" i="15" s="1"/>
  <c r="K663" i="15"/>
  <c r="L663" i="15" s="1"/>
  <c r="M663" i="15" s="1"/>
  <c r="K666" i="15"/>
  <c r="L666" i="15" s="1"/>
  <c r="M666" i="15" s="1"/>
  <c r="K671" i="15"/>
  <c r="L671" i="15" s="1"/>
  <c r="M671" i="15" s="1"/>
  <c r="K674" i="15"/>
  <c r="L674" i="15" s="1"/>
  <c r="M674" i="15" s="1"/>
  <c r="K679" i="15"/>
  <c r="L679" i="15" s="1"/>
  <c r="M679" i="15" s="1"/>
  <c r="K682" i="15"/>
  <c r="L682" i="15" s="1"/>
  <c r="M682" i="15" s="1"/>
  <c r="K687" i="15"/>
  <c r="L687" i="15" s="1"/>
  <c r="M687" i="15" s="1"/>
  <c r="K690" i="15"/>
  <c r="L690" i="15" s="1"/>
  <c r="M690" i="15" s="1"/>
  <c r="K695" i="15"/>
  <c r="L695" i="15" s="1"/>
  <c r="M695" i="15" s="1"/>
  <c r="K698" i="15"/>
  <c r="L698" i="15" s="1"/>
  <c r="M698" i="15" s="1"/>
  <c r="K703" i="15"/>
  <c r="L703" i="15" s="1"/>
  <c r="M703" i="15" s="1"/>
  <c r="K706" i="15"/>
  <c r="L706" i="15" s="1"/>
  <c r="M706" i="15" s="1"/>
  <c r="K711" i="15"/>
  <c r="L711" i="15" s="1"/>
  <c r="M711" i="15" s="1"/>
  <c r="K718" i="15"/>
  <c r="L718" i="15" s="1"/>
  <c r="M718" i="15" s="1"/>
  <c r="K731" i="15"/>
  <c r="L731" i="15" s="1"/>
  <c r="M731" i="15" s="1"/>
  <c r="K739" i="15"/>
  <c r="L739" i="15" s="1"/>
  <c r="M739" i="15" s="1"/>
  <c r="K747" i="15"/>
  <c r="K755" i="15"/>
  <c r="K763" i="15"/>
  <c r="K772" i="15"/>
  <c r="K773" i="15"/>
  <c r="K779" i="15"/>
  <c r="K792" i="15"/>
  <c r="K795" i="15"/>
  <c r="K799" i="15"/>
  <c r="K843" i="15"/>
  <c r="K850" i="15"/>
  <c r="K859" i="15"/>
  <c r="K866" i="15"/>
  <c r="K875" i="15"/>
  <c r="K882" i="15"/>
  <c r="K891" i="15"/>
  <c r="K898" i="15"/>
  <c r="K907" i="15"/>
  <c r="K914" i="15"/>
  <c r="K923" i="15"/>
  <c r="K930" i="15"/>
  <c r="K939" i="15"/>
  <c r="K946" i="15"/>
  <c r="K952" i="15"/>
  <c r="H2" i="15"/>
  <c r="K2" i="15" s="1"/>
  <c r="L2" i="15" s="1"/>
  <c r="M2" i="15" s="1"/>
  <c r="K953" i="15"/>
  <c r="B27" i="1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<sst xmlns="http://schemas.openxmlformats.org/spreadsheetml/2006/main" count="73" uniqueCount="39">
  <si>
    <t>Date</t>
  </si>
  <si>
    <t>CO2</t>
  </si>
  <si>
    <t>adjusted CO2</t>
  </si>
  <si>
    <t>トレンド</t>
    <phoneticPr fontId="1"/>
  </si>
  <si>
    <t>季節変動</t>
    <rPh sb="0" eb="2">
      <t>キセツ</t>
    </rPh>
    <rPh sb="2" eb="4">
      <t>ヘンドウ</t>
    </rPh>
    <phoneticPr fontId="1"/>
  </si>
  <si>
    <r>
      <t>CO</t>
    </r>
    <r>
      <rPr>
        <vertAlign val="sub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の近似</t>
    </r>
    <rPh sb="4" eb="6">
      <t>キンジ</t>
    </rPh>
    <phoneticPr fontId="1"/>
  </si>
  <si>
    <t>：指数関数＋バイアス（dは測定年月(Date)）</t>
    <rPh sb="1" eb="3">
      <t>シスウ</t>
    </rPh>
    <rPh sb="3" eb="5">
      <t>カンスウ</t>
    </rPh>
    <rPh sb="13" eb="15">
      <t>ソクテイ</t>
    </rPh>
    <rPh sb="15" eb="16">
      <t>ネン</t>
    </rPh>
    <rPh sb="16" eb="17">
      <t>ゲツ</t>
    </rPh>
    <phoneticPr fontId="1"/>
  </si>
  <si>
    <t>：トレンドと季節変動の加算</t>
    <rPh sb="6" eb="8">
      <t>キセツ</t>
    </rPh>
    <rPh sb="8" eb="10">
      <t>ヘンドウ</t>
    </rPh>
    <rPh sb="11" eb="13">
      <t>カサン</t>
    </rPh>
    <phoneticPr fontId="1"/>
  </si>
  <si>
    <t>A</t>
    <phoneticPr fontId="1"/>
  </si>
  <si>
    <t>B</t>
    <phoneticPr fontId="1"/>
  </si>
  <si>
    <t>C</t>
    <phoneticPr fontId="1"/>
  </si>
  <si>
    <t>m</t>
    <phoneticPr fontId="1"/>
  </si>
  <si>
    <t>total</t>
    <phoneticPr fontId="1"/>
  </si>
  <si>
    <t>d</t>
    <phoneticPr fontId="1"/>
  </si>
  <si>
    <t>m(d)</t>
    <phoneticPr fontId="1"/>
  </si>
  <si>
    <t>二乗誤差の総和</t>
    <rPh sb="0" eb="4">
      <t>ニジョウゴサ</t>
    </rPh>
    <rPh sb="5" eb="7">
      <t>ソウワ</t>
    </rPh>
    <phoneticPr fontId="1"/>
  </si>
  <si>
    <t>CO2</t>
    <phoneticPr fontId="1"/>
  </si>
  <si>
    <t>季節変動の月別値</t>
    <rPh sb="0" eb="4">
      <t>キセツヘンドウ</t>
    </rPh>
    <rPh sb="5" eb="8">
      <t>ツキベツチ</t>
    </rPh>
    <phoneticPr fontId="1"/>
  </si>
  <si>
    <t>トレンドのパラメータ</t>
    <phoneticPr fontId="1"/>
  </si>
  <si>
    <t>A</t>
    <phoneticPr fontId="1"/>
  </si>
  <si>
    <t>B</t>
    <phoneticPr fontId="1"/>
  </si>
  <si>
    <t>C</t>
    <phoneticPr fontId="1"/>
  </si>
  <si>
    <t>が最小になるように</t>
    <rPh sb="1" eb="3">
      <t>サイショウ</t>
    </rPh>
    <phoneticPr fontId="1"/>
  </si>
  <si>
    <t>の値を調整する</t>
    <rPh sb="1" eb="2">
      <t>アタイ</t>
    </rPh>
    <rPh sb="3" eb="5">
      <t>チョウセイ</t>
    </rPh>
    <phoneticPr fontId="1"/>
  </si>
  <si>
    <t>ソルバーアドインを使って，</t>
    <rPh sb="9" eb="10">
      <t>ツカ</t>
    </rPh>
    <phoneticPr fontId="1"/>
  </si>
  <si>
    <t>トレンドのパラメータの初期値例</t>
    <rPh sb="11" eb="14">
      <t>ショキチ</t>
    </rPh>
    <rPh sb="14" eb="15">
      <t>レイ</t>
    </rPh>
    <phoneticPr fontId="1"/>
  </si>
  <si>
    <t xml:space="preserve"> = 0 という条件の下で，</t>
    <rPh sb="8" eb="10">
      <t>ジョウケン</t>
    </rPh>
    <rPh sb="11" eb="12">
      <t>モト</t>
    </rPh>
    <phoneticPr fontId="1"/>
  </si>
  <si>
    <t>：トレンドからの変位（m(d) は d の月部分 ）</t>
    <rPh sb="8" eb="10">
      <t>ヘンイ</t>
    </rPh>
    <rPh sb="21" eb="22">
      <t>ツキ</t>
    </rPh>
    <rPh sb="22" eb="24">
      <t>ブブン</t>
    </rPh>
    <phoneticPr fontId="1"/>
  </si>
  <si>
    <t>：二次関数（dは測定年月(Date)）</t>
    <rPh sb="1" eb="5">
      <t>ニジカンスウ</t>
    </rPh>
    <rPh sb="8" eb="10">
      <t>ソクテイ</t>
    </rPh>
    <rPh sb="10" eb="11">
      <t>ネン</t>
    </rPh>
    <rPh sb="11" eb="12">
      <t>ゲツ</t>
    </rPh>
    <phoneticPr fontId="1"/>
  </si>
  <si>
    <t>S(m(d))</t>
    <phoneticPr fontId="1"/>
  </si>
  <si>
    <r>
      <t>TC(d) = e</t>
    </r>
    <r>
      <rPr>
        <vertAlign val="superscript"/>
        <sz val="11"/>
        <color theme="1"/>
        <rFont val="游ゴシック"/>
        <family val="3"/>
        <charset val="128"/>
        <scheme val="minor"/>
      </rPr>
      <t>Ad+B</t>
    </r>
    <r>
      <rPr>
        <sz val="11"/>
        <color theme="1"/>
        <rFont val="游ゴシック"/>
        <family val="2"/>
        <charset val="128"/>
        <scheme val="minor"/>
      </rPr>
      <t>+C</t>
    </r>
    <phoneticPr fontId="1"/>
  </si>
  <si>
    <t>TCS(d)=TC(d)+S(m(d))</t>
    <phoneticPr fontId="1"/>
  </si>
  <si>
    <t>S(m)</t>
    <phoneticPr fontId="1"/>
  </si>
  <si>
    <t>TC(d)</t>
    <phoneticPr fontId="1"/>
  </si>
  <si>
    <t>TCS(d)</t>
    <phoneticPr fontId="1"/>
  </si>
  <si>
    <t>残差(I)</t>
    <rPh sb="0" eb="2">
      <t>ザンサ</t>
    </rPh>
    <phoneticPr fontId="1"/>
  </si>
  <si>
    <t xml:space="preserve"> = S(1)</t>
    <phoneticPr fontId="1"/>
  </si>
  <si>
    <r>
      <t>残差平方(I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)</t>
    </r>
    <rPh sb="0" eb="4">
      <t>ザンサヘイホウ</t>
    </rPh>
    <phoneticPr fontId="1"/>
  </si>
  <si>
    <r>
      <t>TC(d) = Ad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+Bd+C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</si>
</sst>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;[Red]\-0.00\ 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vertAlign val="subscript"/>
      <sz val="11"/>
      <color theme="1"/>
      <name val="游ゴシック"/>
      <family val="3"/>
      <charset val="128"/>
      <scheme val="minor"/>
    </font>
    <font>
      <sz val="11"/>
      <color theme="0" tint="-0.249977111117893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7"/>
      </left>
      <right style="medium">
        <color theme="7"/>
      </right>
      <top style="medium">
        <color theme="7"/>
      </top>
      <bottom style="medium">
        <color theme="7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 style="medium">
        <color theme="4"/>
      </right>
      <top/>
      <bottom style="medium">
        <color theme="4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/>
      <right/>
      <top/>
      <bottom style="medium">
        <color theme="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NumberFormat="1" applyBorder="1">
      <alignment vertical="center"/>
    </xf>
    <xf numFmtId="0" fontId="4" fillId="0" borderId="0" xfId="0" applyFont="1" applyFill="1" applyAlignment="1">
      <alignment horizontal="right" vertical="center"/>
    </xf>
    <xf numFmtId="0" fontId="4" fillId="0" borderId="7" xfId="0" applyFont="1" applyFill="1" applyBorder="1">
      <alignment vertical="center"/>
    </xf>
    <xf numFmtId="0" fontId="4" fillId="0" borderId="0" xfId="0" applyFont="1" applyFill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5.xml"/><Relationship Id="rId12" Type="http://schemas.openxmlformats.org/officeDocument/2006/relationships/theme" Target="theme/theme1.xml"/><Relationship Id="rId2" Type="http://schemas.openxmlformats.org/officeDocument/2006/relationships/chartsheet" Target="chartsheets/sheet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1" Type="http://schemas.openxmlformats.org/officeDocument/2006/relationships/worksheet" Target="worksheets/sheet3.xml"/><Relationship Id="rId5" Type="http://schemas.openxmlformats.org/officeDocument/2006/relationships/chartsheet" Target="chartsheets/sheet4.xml"/><Relationship Id="rId15" Type="http://schemas.openxmlformats.org/officeDocument/2006/relationships/sheetMetadata" Target="metadata.xml"/><Relationship Id="rId10" Type="http://schemas.openxmlformats.org/officeDocument/2006/relationships/chartsheet" Target="chartsheets/sheet8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7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CO2</a:t>
            </a:r>
            <a:r>
              <a:rPr lang="ja-JP" altLang="en-US"/>
              <a:t>と予測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'指数+定数モデル'!$K$1</c:f>
              <c:strCache>
                <c:ptCount val="1"/>
                <c:pt idx="0">
                  <c:v>TCS(d)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'指数+定数モデル'!$F$2:$F$955</c:f>
              <c:numCache>
                <c:formatCode>m/d/yyyy</c:formatCode>
                <c:ptCount val="954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</c:numCache>
            </c:numRef>
          </c:xVal>
          <c:yVal>
            <c:numRef>
              <c:f>'指数+定数モデル'!$K$2:$K$955</c:f>
              <c:numCache>
                <c:formatCode>0.00_ ;[Red]\-0.00\ </c:formatCode>
                <c:ptCount val="954"/>
                <c:pt idx="0">
                  <c:v>315.11112244179691</c:v>
                </c:pt>
                <c:pt idx="1">
                  <c:v>316.42776246217807</c:v>
                </c:pt>
                <c:pt idx="2">
                  <c:v>316.96895220956861</c:v>
                </c:pt>
                <c:pt idx="3">
                  <c:v>314.76721561879316</c:v>
                </c:pt>
                <c:pt idx="4">
                  <c:v>312.71427418540463</c:v>
                </c:pt>
                <c:pt idx="5">
                  <c:v>310.98764455314506</c:v>
                </c:pt>
                <c:pt idx="6">
                  <c:v>312.27614690685755</c:v>
                </c:pt>
                <c:pt idx="7">
                  <c:v>313.52226911128395</c:v>
                </c:pt>
                <c:pt idx="8">
                  <c:v>314.45519662842332</c:v>
                </c:pt>
                <c:pt idx="9">
                  <c:v>315.24889673862094</c:v>
                </c:pt>
                <c:pt idx="10">
                  <c:v>316.03421279683084</c:v>
                </c:pt>
                <c:pt idx="11">
                  <c:v>317.35215251983385</c:v>
                </c:pt>
                <c:pt idx="12">
                  <c:v>317.89460178630316</c:v>
                </c:pt>
                <c:pt idx="13">
                  <c:v>317.19494203116562</c:v>
                </c:pt>
                <c:pt idx="14">
                  <c:v>315.69543151254209</c:v>
                </c:pt>
                <c:pt idx="15">
                  <c:v>313.64379699848615</c:v>
                </c:pt>
                <c:pt idx="16">
                  <c:v>311.91847612568938</c:v>
                </c:pt>
                <c:pt idx="17">
                  <c:v>311.87035134887293</c:v>
                </c:pt>
                <c:pt idx="18">
                  <c:v>313.2095591632397</c:v>
                </c:pt>
                <c:pt idx="19">
                  <c:v>314.45695317985786</c:v>
                </c:pt>
                <c:pt idx="20">
                  <c:v>315.3911967234597</c:v>
                </c:pt>
                <c:pt idx="21">
                  <c:v>316.18621471307284</c:v>
                </c:pt>
                <c:pt idx="22">
                  <c:v>316.97531538460362</c:v>
                </c:pt>
                <c:pt idx="23">
                  <c:v>318.29458017128434</c:v>
                </c:pt>
                <c:pt idx="24">
                  <c:v>318.83831353378821</c:v>
                </c:pt>
                <c:pt idx="25">
                  <c:v>318.139982516001</c:v>
                </c:pt>
                <c:pt idx="26">
                  <c:v>316.64175965350387</c:v>
                </c:pt>
                <c:pt idx="27">
                  <c:v>314.59145756065584</c:v>
                </c:pt>
                <c:pt idx="28">
                  <c:v>312.86747098510369</c:v>
                </c:pt>
                <c:pt idx="29">
                  <c:v>312.82063925240993</c:v>
                </c:pt>
                <c:pt idx="30">
                  <c:v>314.16118506329349</c:v>
                </c:pt>
                <c:pt idx="31">
                  <c:v>315.40987570893435</c:v>
                </c:pt>
                <c:pt idx="32">
                  <c:v>316.34546095858116</c:v>
                </c:pt>
                <c:pt idx="33">
                  <c:v>317.14182254334889</c:v>
                </c:pt>
                <c:pt idx="34">
                  <c:v>317.92954573483877</c:v>
                </c:pt>
                <c:pt idx="35">
                  <c:v>319.25015406896449</c:v>
                </c:pt>
                <c:pt idx="36">
                  <c:v>319.79518943979843</c:v>
                </c:pt>
                <c:pt idx="37">
                  <c:v>319.09820569437414</c:v>
                </c:pt>
                <c:pt idx="38">
                  <c:v>317.6012884499599</c:v>
                </c:pt>
                <c:pt idx="39">
                  <c:v>315.55233736471979</c:v>
                </c:pt>
                <c:pt idx="40">
                  <c:v>313.82970369898169</c:v>
                </c:pt>
                <c:pt idx="41">
                  <c:v>313.78418304752608</c:v>
                </c:pt>
                <c:pt idx="42">
                  <c:v>315.12608551909835</c:v>
                </c:pt>
                <c:pt idx="43">
                  <c:v>316.37609088088431</c:v>
                </c:pt>
                <c:pt idx="44">
                  <c:v>317.31303655249354</c:v>
                </c:pt>
                <c:pt idx="45">
                  <c:v>318.11076047468504</c:v>
                </c:pt>
                <c:pt idx="46">
                  <c:v>318.89971581311642</c:v>
                </c:pt>
                <c:pt idx="47">
                  <c:v>320.22169013767569</c:v>
                </c:pt>
                <c:pt idx="48">
                  <c:v>320.76804926594758</c:v>
                </c:pt>
                <c:pt idx="49">
                  <c:v>320.07243529809676</c:v>
                </c:pt>
                <c:pt idx="50">
                  <c:v>318.57684548117146</c:v>
                </c:pt>
                <c:pt idx="51">
                  <c:v>316.52926797114452</c:v>
                </c:pt>
                <c:pt idx="52">
                  <c:v>314.80800981460072</c:v>
                </c:pt>
                <c:pt idx="53">
                  <c:v>314.76382214504747</c:v>
                </c:pt>
                <c:pt idx="54">
                  <c:v>316.1071039393442</c:v>
                </c:pt>
                <c:pt idx="55">
                  <c:v>317.35844597865798</c:v>
                </c:pt>
                <c:pt idx="56">
                  <c:v>318.29677479709477</c:v>
                </c:pt>
                <c:pt idx="57">
                  <c:v>319.09588381357167</c:v>
                </c:pt>
                <c:pt idx="58">
                  <c:v>319.88609188106824</c:v>
                </c:pt>
                <c:pt idx="59">
                  <c:v>321.20945501394368</c:v>
                </c:pt>
                <c:pt idx="60">
                  <c:v>321.75716001206422</c:v>
                </c:pt>
                <c:pt idx="61">
                  <c:v>321.06293870293098</c:v>
                </c:pt>
                <c:pt idx="62">
                  <c:v>319.56869848721101</c:v>
                </c:pt>
                <c:pt idx="63">
                  <c:v>317.52251749697803</c:v>
                </c:pt>
                <c:pt idx="64">
                  <c:v>315.80265782651503</c:v>
                </c:pt>
                <c:pt idx="65">
                  <c:v>315.75982540536296</c:v>
                </c:pt>
                <c:pt idx="66">
                  <c:v>317.10450956297296</c:v>
                </c:pt>
                <c:pt idx="67">
                  <c:v>318.35721060804616</c:v>
                </c:pt>
                <c:pt idx="68">
                  <c:v>319.29694567777818</c:v>
                </c:pt>
                <c:pt idx="69">
                  <c:v>322.76557124471123</c:v>
                </c:pt>
                <c:pt idx="70">
                  <c:v>322.07276976920082</c:v>
                </c:pt>
                <c:pt idx="71">
                  <c:v>320.57990548941154</c:v>
                </c:pt>
                <c:pt idx="72">
                  <c:v>318.53514826921884</c:v>
                </c:pt>
                <c:pt idx="73">
                  <c:v>316.81671437345096</c:v>
                </c:pt>
                <c:pt idx="74">
                  <c:v>316.77526364561913</c:v>
                </c:pt>
                <c:pt idx="75">
                  <c:v>318.12137753081311</c:v>
                </c:pt>
                <c:pt idx="76">
                  <c:v>319.37546409988187</c:v>
                </c:pt>
                <c:pt idx="77">
                  <c:v>320.31663286104589</c:v>
                </c:pt>
                <c:pt idx="78">
                  <c:v>321.11858581886298</c:v>
                </c:pt>
                <c:pt idx="79">
                  <c:v>321.91136604914595</c:v>
                </c:pt>
                <c:pt idx="80">
                  <c:v>323.23758074918572</c:v>
                </c:pt>
                <c:pt idx="81">
                  <c:v>323.78804915117098</c:v>
                </c:pt>
                <c:pt idx="82">
                  <c:v>323.09668731502893</c:v>
                </c:pt>
                <c:pt idx="83">
                  <c:v>321.60521816457225</c:v>
                </c:pt>
                <c:pt idx="84">
                  <c:v>319.56190457507591</c:v>
                </c:pt>
                <c:pt idx="85">
                  <c:v>317.84491634262304</c:v>
                </c:pt>
                <c:pt idx="86">
                  <c:v>317.80486658182485</c:v>
                </c:pt>
                <c:pt idx="87">
                  <c:v>319.15243013836289</c:v>
                </c:pt>
                <c:pt idx="88">
                  <c:v>320.40792155857616</c:v>
                </c:pt>
                <c:pt idx="89">
                  <c:v>321.35054401022524</c:v>
                </c:pt>
                <c:pt idx="90">
                  <c:v>322.15395270531008</c:v>
                </c:pt>
                <c:pt idx="91">
                  <c:v>322.94804955671106</c:v>
                </c:pt>
                <c:pt idx="92">
                  <c:v>324.27572389747331</c:v>
                </c:pt>
                <c:pt idx="93">
                  <c:v>324.82760681175341</c:v>
                </c:pt>
                <c:pt idx="94">
                  <c:v>324.13770866311461</c:v>
                </c:pt>
                <c:pt idx="95">
                  <c:v>322.64765794661713</c:v>
                </c:pt>
                <c:pt idx="96">
                  <c:v>320.60581210262416</c:v>
                </c:pt>
                <c:pt idx="97">
                  <c:v>318.89029368224669</c:v>
                </c:pt>
                <c:pt idx="98">
                  <c:v>318.85166829062354</c:v>
                </c:pt>
                <c:pt idx="99">
                  <c:v>320.20070573421714</c:v>
                </c:pt>
                <c:pt idx="100">
                  <c:v>321.45762547259744</c:v>
                </c:pt>
                <c:pt idx="101">
                  <c:v>322.40172589758009</c:v>
                </c:pt>
                <c:pt idx="102">
                  <c:v>323.2066146469711</c:v>
                </c:pt>
                <c:pt idx="103">
                  <c:v>324.00205011269389</c:v>
                </c:pt>
                <c:pt idx="104">
                  <c:v>325.33120847642158</c:v>
                </c:pt>
                <c:pt idx="105">
                  <c:v>325.88452953140171</c:v>
                </c:pt>
                <c:pt idx="106">
                  <c:v>325.1961195201074</c:v>
                </c:pt>
                <c:pt idx="107">
                  <c:v>323.70751093148294</c:v>
                </c:pt>
                <c:pt idx="108">
                  <c:v>321.66715735062064</c:v>
                </c:pt>
                <c:pt idx="109">
                  <c:v>319.95313329446651</c:v>
                </c:pt>
                <c:pt idx="110">
                  <c:v>319.91595606507553</c:v>
                </c:pt>
                <c:pt idx="111">
                  <c:v>321.26649201594233</c:v>
                </c:pt>
                <c:pt idx="112">
                  <c:v>322.52486393151202</c:v>
                </c:pt>
                <c:pt idx="113">
                  <c:v>323.47046701830402</c:v>
                </c:pt>
                <c:pt idx="114">
                  <c:v>324.27686054523832</c:v>
                </c:pt>
                <c:pt idx="115">
                  <c:v>325.0766173480032</c:v>
                </c:pt>
                <c:pt idx="116">
                  <c:v>326.40728869238922</c:v>
                </c:pt>
                <c:pt idx="117">
                  <c:v>326.96207595046303</c:v>
                </c:pt>
                <c:pt idx="118">
                  <c:v>326.27518311449006</c:v>
                </c:pt>
                <c:pt idx="119">
                  <c:v>324.78804479393381</c:v>
                </c:pt>
                <c:pt idx="120">
                  <c:v>322.74921259468533</c:v>
                </c:pt>
                <c:pt idx="121">
                  <c:v>321.03671206223606</c:v>
                </c:pt>
                <c:pt idx="122">
                  <c:v>321.00101125302086</c:v>
                </c:pt>
                <c:pt idx="123">
                  <c:v>322.35307495148561</c:v>
                </c:pt>
                <c:pt idx="124">
                  <c:v>323.61292738053191</c:v>
                </c:pt>
                <c:pt idx="125">
                  <c:v>324.56006245052544</c:v>
                </c:pt>
                <c:pt idx="126">
                  <c:v>325.36799011767931</c:v>
                </c:pt>
                <c:pt idx="127">
                  <c:v>326.16617408987446</c:v>
                </c:pt>
                <c:pt idx="128">
                  <c:v>327.49837952000439</c:v>
                </c:pt>
                <c:pt idx="129">
                  <c:v>328.05465343374129</c:v>
                </c:pt>
                <c:pt idx="130">
                  <c:v>327.36929893668804</c:v>
                </c:pt>
                <c:pt idx="131">
                  <c:v>325.88365139347309</c:v>
                </c:pt>
                <c:pt idx="132">
                  <c:v>323.84636179811179</c:v>
                </c:pt>
                <c:pt idx="133">
                  <c:v>322.13540604152155</c:v>
                </c:pt>
                <c:pt idx="134">
                  <c:v>322.1012022475731</c:v>
                </c:pt>
                <c:pt idx="135">
                  <c:v>323.45481500471044</c:v>
                </c:pt>
                <c:pt idx="136">
                  <c:v>324.71616859942321</c:v>
                </c:pt>
                <c:pt idx="137">
                  <c:v>325.6648570227768</c:v>
                </c:pt>
                <c:pt idx="138">
                  <c:v>326.47434023039784</c:v>
                </c:pt>
                <c:pt idx="139">
                  <c:v>327.2739310893125</c:v>
                </c:pt>
                <c:pt idx="140">
                  <c:v>328.60769623097946</c:v>
                </c:pt>
                <c:pt idx="141">
                  <c:v>329.16548163388734</c:v>
                </c:pt>
                <c:pt idx="142">
                  <c:v>328.48169117259317</c:v>
                </c:pt>
                <c:pt idx="143">
                  <c:v>326.99755930907713</c:v>
                </c:pt>
                <c:pt idx="144">
                  <c:v>324.96183808568554</c:v>
                </c:pt>
                <c:pt idx="145">
                  <c:v>323.25245290931821</c:v>
                </c:pt>
                <c:pt idx="146">
                  <c:v>323.21977113719402</c:v>
                </c:pt>
                <c:pt idx="147">
                  <c:v>324.57495882890913</c:v>
                </c:pt>
                <c:pt idx="148">
                  <c:v>325.83783866517535</c:v>
                </c:pt>
                <c:pt idx="149">
                  <c:v>326.78810638953377</c:v>
                </c:pt>
                <c:pt idx="150">
                  <c:v>327.59917112180079</c:v>
                </c:pt>
                <c:pt idx="151">
                  <c:v>328.4001923684603</c:v>
                </c:pt>
                <c:pt idx="152">
                  <c:v>329.73554327551778</c:v>
                </c:pt>
                <c:pt idx="153">
                  <c:v>330.29486541593036</c:v>
                </c:pt>
                <c:pt idx="154">
                  <c:v>329.61266511648176</c:v>
                </c:pt>
                <c:pt idx="155">
                  <c:v>328.13007425099801</c:v>
                </c:pt>
                <c:pt idx="156">
                  <c:v>326.0959475980959</c:v>
                </c:pt>
                <c:pt idx="157">
                  <c:v>324.38815923735842</c:v>
                </c:pt>
                <c:pt idx="158">
                  <c:v>324.35702491133264</c:v>
                </c:pt>
                <c:pt idx="159">
                  <c:v>325.71381384576887</c:v>
                </c:pt>
                <c:pt idx="160">
                  <c:v>326.97824541835007</c:v>
                </c:pt>
                <c:pt idx="161">
                  <c:v>327.93011882479476</c:v>
                </c:pt>
                <c:pt idx="162">
                  <c:v>328.74279149993333</c:v>
                </c:pt>
                <c:pt idx="163">
                  <c:v>329.5484303481274</c:v>
                </c:pt>
                <c:pt idx="164">
                  <c:v>330.88539796356497</c:v>
                </c:pt>
                <c:pt idx="165">
                  <c:v>331.44628682779245</c:v>
                </c:pt>
                <c:pt idx="166">
                  <c:v>330.76570771896672</c:v>
                </c:pt>
                <c:pt idx="167">
                  <c:v>329.28468792096101</c:v>
                </c:pt>
                <c:pt idx="168">
                  <c:v>327.25218695335161</c:v>
                </c:pt>
                <c:pt idx="169">
                  <c:v>325.5460265668566</c:v>
                </c:pt>
                <c:pt idx="170">
                  <c:v>325.51646988219562</c:v>
                </c:pt>
                <c:pt idx="171">
                  <c:v>326.87489130435119</c:v>
                </c:pt>
                <c:pt idx="172">
                  <c:v>328.14090489222889</c:v>
                </c:pt>
                <c:pt idx="173">
                  <c:v>329.09441531238326</c:v>
                </c:pt>
                <c:pt idx="174">
                  <c:v>329.9087273061316</c:v>
                </c:pt>
                <c:pt idx="175">
                  <c:v>330.7126854928124</c:v>
                </c:pt>
                <c:pt idx="176">
                  <c:v>332.0512923686494</c:v>
                </c:pt>
                <c:pt idx="177">
                  <c:v>332.61376981145884</c:v>
                </c:pt>
                <c:pt idx="178">
                  <c:v>331.93483450779979</c:v>
                </c:pt>
                <c:pt idx="179">
                  <c:v>330.4554076926305</c:v>
                </c:pt>
                <c:pt idx="180">
                  <c:v>328.42455508755506</c:v>
                </c:pt>
                <c:pt idx="181">
                  <c:v>326.720045384473</c:v>
                </c:pt>
                <c:pt idx="182">
                  <c:v>326.69208834823695</c:v>
                </c:pt>
                <c:pt idx="183">
                  <c:v>328.05216503024246</c:v>
                </c:pt>
                <c:pt idx="184">
                  <c:v>329.31978270149</c:v>
                </c:pt>
                <c:pt idx="185">
                  <c:v>330.27495297061921</c:v>
                </c:pt>
                <c:pt idx="186">
                  <c:v>331.09092715039429</c:v>
                </c:pt>
                <c:pt idx="187">
                  <c:v>331.89638867787249</c:v>
                </c:pt>
                <c:pt idx="188">
                  <c:v>333.23666219676852</c:v>
                </c:pt>
                <c:pt idx="189">
                  <c:v>333.8007547542166</c:v>
                </c:pt>
                <c:pt idx="190">
                  <c:v>333.12349071430083</c:v>
                </c:pt>
                <c:pt idx="191">
                  <c:v>331.64568349159458</c:v>
                </c:pt>
                <c:pt idx="192">
                  <c:v>329.61650678375725</c:v>
                </c:pt>
                <c:pt idx="193">
                  <c:v>327.91367533756107</c:v>
                </c:pt>
                <c:pt idx="194">
                  <c:v>327.88734467072021</c:v>
                </c:pt>
                <c:pt idx="195">
                  <c:v>329.24910426249454</c:v>
                </c:pt>
                <c:pt idx="196">
                  <c:v>330.51835281216489</c:v>
                </c:pt>
                <c:pt idx="197">
                  <c:v>331.47521065684583</c:v>
                </c:pt>
                <c:pt idx="198">
                  <c:v>332.29287478826342</c:v>
                </c:pt>
                <c:pt idx="199">
                  <c:v>333.09986476875997</c:v>
                </c:pt>
                <c:pt idx="200">
                  <c:v>334.4418327707823</c:v>
                </c:pt>
                <c:pt idx="201">
                  <c:v>335.0075674221913</c:v>
                </c:pt>
                <c:pt idx="202">
                  <c:v>334.3320025632712</c:v>
                </c:pt>
                <c:pt idx="203">
                  <c:v>332.85584198714901</c:v>
                </c:pt>
                <c:pt idx="204">
                  <c:v>330.82836917120142</c:v>
                </c:pt>
                <c:pt idx="205">
                  <c:v>329.12724401595898</c:v>
                </c:pt>
                <c:pt idx="206">
                  <c:v>329.10256688583803</c:v>
                </c:pt>
                <c:pt idx="207">
                  <c:v>330.46603749917222</c:v>
                </c:pt>
                <c:pt idx="208">
                  <c:v>331.73694416991003</c:v>
                </c:pt>
                <c:pt idx="209">
                  <c:v>332.6955177798722</c:v>
                </c:pt>
                <c:pt idx="210">
                  <c:v>333.51490009235249</c:v>
                </c:pt>
                <c:pt idx="211">
                  <c:v>334.32682425033249</c:v>
                </c:pt>
                <c:pt idx="212">
                  <c:v>335.67051979987639</c:v>
                </c:pt>
                <c:pt idx="213">
                  <c:v>336.23792858737357</c:v>
                </c:pt>
                <c:pt idx="214">
                  <c:v>335.56409606551392</c:v>
                </c:pt>
                <c:pt idx="215">
                  <c:v>334.08961426693816</c:v>
                </c:pt>
                <c:pt idx="216">
                  <c:v>332.06387859086863</c:v>
                </c:pt>
                <c:pt idx="217">
                  <c:v>330.36449302138101</c:v>
                </c:pt>
                <c:pt idx="218">
                  <c:v>330.34150169338938</c:v>
                </c:pt>
                <c:pt idx="219">
                  <c:v>331.70671671539259</c:v>
                </c:pt>
                <c:pt idx="220">
                  <c:v>332.97931386206164</c:v>
                </c:pt>
                <c:pt idx="221">
                  <c:v>333.93963671697838</c:v>
                </c:pt>
                <c:pt idx="222">
                  <c:v>334.76077073733376</c:v>
                </c:pt>
                <c:pt idx="223">
                  <c:v>335.57089901012677</c:v>
                </c:pt>
                <c:pt idx="224">
                  <c:v>336.91634620534444</c:v>
                </c:pt>
                <c:pt idx="225">
                  <c:v>337.48545248202782</c:v>
                </c:pt>
                <c:pt idx="226">
                  <c:v>336.81337646219174</c:v>
                </c:pt>
                <c:pt idx="227">
                  <c:v>335.3405968590057</c:v>
                </c:pt>
                <c:pt idx="228">
                  <c:v>333.31662255477357</c:v>
                </c:pt>
                <c:pt idx="229">
                  <c:v>331.61900083711851</c:v>
                </c:pt>
                <c:pt idx="230">
                  <c:v>331.59771882708782</c:v>
                </c:pt>
                <c:pt idx="231">
                  <c:v>332.9647025911143</c:v>
                </c:pt>
                <c:pt idx="232">
                  <c:v>334.23901379474256</c:v>
                </c:pt>
                <c:pt idx="233">
                  <c:v>335.20111029543108</c:v>
                </c:pt>
                <c:pt idx="234">
                  <c:v>336.02402045883508</c:v>
                </c:pt>
                <c:pt idx="235">
                  <c:v>336.83575513925257</c:v>
                </c:pt>
                <c:pt idx="236">
                  <c:v>338.18298324011874</c:v>
                </c:pt>
                <c:pt idx="237">
                  <c:v>338.75381536131755</c:v>
                </c:pt>
                <c:pt idx="238">
                  <c:v>338.08352518460151</c:v>
                </c:pt>
                <c:pt idx="239">
                  <c:v>336.6124762107483</c:v>
                </c:pt>
                <c:pt idx="240">
                  <c:v>334.59029270079657</c:v>
                </c:pt>
                <c:pt idx="241">
                  <c:v>332.89446429884356</c:v>
                </c:pt>
                <c:pt idx="242">
                  <c:v>332.87492015969445</c:v>
                </c:pt>
                <c:pt idx="243">
                  <c:v>334.24370221130079</c:v>
                </c:pt>
                <c:pt idx="244">
                  <c:v>335.51975610397039</c:v>
                </c:pt>
                <c:pt idx="245">
                  <c:v>336.48365587790096</c:v>
                </c:pt>
                <c:pt idx="246">
                  <c:v>337.3083718535388</c:v>
                </c:pt>
                <c:pt idx="247">
                  <c:v>338.12173977545882</c:v>
                </c:pt>
                <c:pt idx="248">
                  <c:v>339.47077853071448</c:v>
                </c:pt>
                <c:pt idx="249">
                  <c:v>340.04336532541362</c:v>
                </c:pt>
                <c:pt idx="250">
                  <c:v>339.37489082303551</c:v>
                </c:pt>
                <c:pt idx="251">
                  <c:v>337.90560138742694</c:v>
                </c:pt>
                <c:pt idx="252">
                  <c:v>335.88523858567919</c:v>
                </c:pt>
                <c:pt idx="253">
                  <c:v>334.19123345547041</c:v>
                </c:pt>
                <c:pt idx="254">
                  <c:v>334.17345621707926</c:v>
                </c:pt>
                <c:pt idx="255">
                  <c:v>335.54406659535925</c:v>
                </c:pt>
                <c:pt idx="256">
                  <c:v>336.82189228743067</c:v>
                </c:pt>
                <c:pt idx="257">
                  <c:v>337.78762545697879</c:v>
                </c:pt>
                <c:pt idx="258">
                  <c:v>338.61417740963827</c:v>
                </c:pt>
                <c:pt idx="259">
                  <c:v>339.43281778897057</c:v>
                </c:pt>
                <c:pt idx="260">
                  <c:v>340.78370252985735</c:v>
                </c:pt>
                <c:pt idx="261">
                  <c:v>341.35807823694489</c:v>
                </c:pt>
                <c:pt idx="262">
                  <c:v>340.69145483810053</c:v>
                </c:pt>
                <c:pt idx="263">
                  <c:v>339.22395927455017</c:v>
                </c:pt>
                <c:pt idx="264">
                  <c:v>337.20545270842774</c:v>
                </c:pt>
                <c:pt idx="265">
                  <c:v>335.51330642740669</c:v>
                </c:pt>
                <c:pt idx="266">
                  <c:v>335.49733056725194</c:v>
                </c:pt>
                <c:pt idx="267">
                  <c:v>336.86980494828583</c:v>
                </c:pt>
                <c:pt idx="268">
                  <c:v>338.14943701282431</c:v>
                </c:pt>
                <c:pt idx="269">
                  <c:v>339.1170393529805</c:v>
                </c:pt>
                <c:pt idx="270">
                  <c:v>339.94546310802275</c:v>
                </c:pt>
                <c:pt idx="271">
                  <c:v>340.76218447892899</c:v>
                </c:pt>
                <c:pt idx="272">
                  <c:v>342.11494095573289</c:v>
                </c:pt>
                <c:pt idx="273">
                  <c:v>342.69113052936086</c:v>
                </c:pt>
                <c:pt idx="274">
                  <c:v>342.02638405572753</c:v>
                </c:pt>
                <c:pt idx="275">
                  <c:v>340.5607073875716</c:v>
                </c:pt>
                <c:pt idx="276">
                  <c:v>338.54408295034125</c:v>
                </c:pt>
                <c:pt idx="277">
                  <c:v>336.85382144823217</c:v>
                </c:pt>
                <c:pt idx="278">
                  <c:v>336.83967209435599</c:v>
                </c:pt>
                <c:pt idx="279">
                  <c:v>338.21403647975689</c:v>
                </c:pt>
                <c:pt idx="280">
                  <c:v>339.49550011447099</c:v>
                </c:pt>
                <c:pt idx="281">
                  <c:v>340.46499769893643</c:v>
                </c:pt>
                <c:pt idx="282">
                  <c:v>341.29531936677427</c:v>
                </c:pt>
                <c:pt idx="283">
                  <c:v>342.11375727824196</c:v>
                </c:pt>
                <c:pt idx="284">
                  <c:v>343.46841675695816</c:v>
                </c:pt>
                <c:pt idx="285">
                  <c:v>344.04645049645558</c:v>
                </c:pt>
                <c:pt idx="286">
                  <c:v>343.38361230071183</c:v>
                </c:pt>
                <c:pt idx="287">
                  <c:v>341.9197849112827</c:v>
                </c:pt>
                <c:pt idx="288">
                  <c:v>339.90507404254657</c:v>
                </c:pt>
                <c:pt idx="289">
                  <c:v>338.21672880321853</c:v>
                </c:pt>
                <c:pt idx="290">
                  <c:v>338.20443646608754</c:v>
                </c:pt>
                <c:pt idx="291">
                  <c:v>339.58072242701189</c:v>
                </c:pt>
                <c:pt idx="292">
                  <c:v>340.86404822695704</c:v>
                </c:pt>
                <c:pt idx="293">
                  <c:v>341.83547271441756</c:v>
                </c:pt>
                <c:pt idx="294">
                  <c:v>342.667723998312</c:v>
                </c:pt>
                <c:pt idx="295">
                  <c:v>343.48790712391002</c:v>
                </c:pt>
                <c:pt idx="296">
                  <c:v>344.84450139280943</c:v>
                </c:pt>
                <c:pt idx="297">
                  <c:v>345.4244101036337</c:v>
                </c:pt>
                <c:pt idx="298">
                  <c:v>344.76351206218192</c:v>
                </c:pt>
                <c:pt idx="299">
                  <c:v>343.30156484234357</c:v>
                </c:pt>
                <c:pt idx="300">
                  <c:v>341.28879950687997</c:v>
                </c:pt>
                <c:pt idx="301">
                  <c:v>339.60240254011694</c:v>
                </c:pt>
                <c:pt idx="302">
                  <c:v>339.59199823985341</c:v>
                </c:pt>
                <c:pt idx="303">
                  <c:v>340.97023787483073</c:v>
                </c:pt>
                <c:pt idx="304">
                  <c:v>342.25545694613072</c:v>
                </c:pt>
                <c:pt idx="305">
                  <c:v>343.22884052410768</c:v>
                </c:pt>
                <c:pt idx="306">
                  <c:v>344.06305365689968</c:v>
                </c:pt>
                <c:pt idx="307">
                  <c:v>344.88887071181188</c:v>
                </c:pt>
                <c:pt idx="308">
                  <c:v>346.24743752439383</c:v>
                </c:pt>
                <c:pt idx="309">
                  <c:v>346.82925779280083</c:v>
                </c:pt>
                <c:pt idx="310">
                  <c:v>346.17033776380998</c:v>
                </c:pt>
                <c:pt idx="311">
                  <c:v>344.71030740125184</c:v>
                </c:pt>
                <c:pt idx="312">
                  <c:v>342.69952556218954</c:v>
                </c:pt>
                <c:pt idx="313">
                  <c:v>341.01511488457226</c:v>
                </c:pt>
                <c:pt idx="314">
                  <c:v>341.00663546237939</c:v>
                </c:pt>
                <c:pt idx="315">
                  <c:v>342.38686689338942</c:v>
                </c:pt>
                <c:pt idx="316">
                  <c:v>343.67401617938799</c:v>
                </c:pt>
                <c:pt idx="317">
                  <c:v>344.64939707555214</c:v>
                </c:pt>
                <c:pt idx="318">
                  <c:v>345.48561033873705</c:v>
                </c:pt>
                <c:pt idx="319">
                  <c:v>346.30937682083646</c:v>
                </c:pt>
                <c:pt idx="320">
                  <c:v>347.66994369278876</c:v>
                </c:pt>
                <c:pt idx="321">
                  <c:v>348.25370218375008</c:v>
                </c:pt>
                <c:pt idx="322">
                  <c:v>347.59678775919389</c:v>
                </c:pt>
                <c:pt idx="323">
                  <c:v>346.13870099281485</c:v>
                </c:pt>
                <c:pt idx="324">
                  <c:v>344.12993031862482</c:v>
                </c:pt>
                <c:pt idx="325">
                  <c:v>342.4475336375811</c:v>
                </c:pt>
                <c:pt idx="326">
                  <c:v>342.44100594424265</c:v>
                </c:pt>
                <c:pt idx="327">
                  <c:v>343.82325695553084</c:v>
                </c:pt>
                <c:pt idx="328">
                  <c:v>345.11236338145414</c:v>
                </c:pt>
                <c:pt idx="329">
                  <c:v>346.08976945708145</c:v>
                </c:pt>
                <c:pt idx="330">
                  <c:v>346.92801075116313</c:v>
                </c:pt>
                <c:pt idx="331">
                  <c:v>347.75361145731262</c:v>
                </c:pt>
                <c:pt idx="332">
                  <c:v>349.11621179818076</c:v>
                </c:pt>
                <c:pt idx="333">
                  <c:v>349.70194088830289</c:v>
                </c:pt>
                <c:pt idx="334">
                  <c:v>349.04706557035303</c:v>
                </c:pt>
                <c:pt idx="335">
                  <c:v>347.59095486652222</c:v>
                </c:pt>
                <c:pt idx="336">
                  <c:v>345.58422895225931</c:v>
                </c:pt>
                <c:pt idx="337">
                  <c:v>343.90387991014586</c:v>
                </c:pt>
                <c:pt idx="338">
                  <c:v>343.89933654788109</c:v>
                </c:pt>
                <c:pt idx="339">
                  <c:v>345.28364087507566</c:v>
                </c:pt>
                <c:pt idx="340">
                  <c:v>346.57473713353107</c:v>
                </c:pt>
                <c:pt idx="341">
                  <c:v>347.55420221778013</c:v>
                </c:pt>
                <c:pt idx="342">
                  <c:v>348.39450541954847</c:v>
                </c:pt>
                <c:pt idx="343">
                  <c:v>349.22197098913438</c:v>
                </c:pt>
                <c:pt idx="344">
                  <c:v>350.58663876654634</c:v>
                </c:pt>
                <c:pt idx="345">
                  <c:v>351.1743713732634</c:v>
                </c:pt>
                <c:pt idx="346">
                  <c:v>350.52156922372149</c:v>
                </c:pt>
                <c:pt idx="347">
                  <c:v>349.0674675911348</c:v>
                </c:pt>
                <c:pt idx="348">
                  <c:v>347.06282059303521</c:v>
                </c:pt>
                <c:pt idx="349">
                  <c:v>345.3845533941797</c:v>
                </c:pt>
                <c:pt idx="350">
                  <c:v>345.38202750980446</c:v>
                </c:pt>
                <c:pt idx="351">
                  <c:v>346.76841945206297</c:v>
                </c:pt>
                <c:pt idx="352">
                  <c:v>348.06153878176411</c:v>
                </c:pt>
                <c:pt idx="353">
                  <c:v>349.04309726888522</c:v>
                </c:pt>
                <c:pt idx="354">
                  <c:v>349.88549682101723</c:v>
                </c:pt>
                <c:pt idx="355">
                  <c:v>350.71898257379945</c:v>
                </c:pt>
                <c:pt idx="356">
                  <c:v>352.08575812957872</c:v>
                </c:pt>
                <c:pt idx="357">
                  <c:v>352.67553334744622</c:v>
                </c:pt>
                <c:pt idx="358">
                  <c:v>352.02484481998147</c:v>
                </c:pt>
                <c:pt idx="359">
                  <c:v>350.5727914615822</c:v>
                </c:pt>
                <c:pt idx="360">
                  <c:v>348.57026394547097</c:v>
                </c:pt>
                <c:pt idx="361">
                  <c:v>346.89411921281464</c:v>
                </c:pt>
                <c:pt idx="362">
                  <c:v>346.89365017331096</c:v>
                </c:pt>
                <c:pt idx="363">
                  <c:v>348.28217046619966</c:v>
                </c:pt>
                <c:pt idx="364">
                  <c:v>349.57735234327151</c:v>
                </c:pt>
                <c:pt idx="365">
                  <c:v>350.56104508176821</c:v>
                </c:pt>
                <c:pt idx="366">
                  <c:v>351.40558189028195</c:v>
                </c:pt>
                <c:pt idx="367">
                  <c:v>352.23687648600463</c:v>
                </c:pt>
                <c:pt idx="368">
                  <c:v>353.60578922227398</c:v>
                </c:pt>
                <c:pt idx="369">
                  <c:v>354.1976355443748</c:v>
                </c:pt>
                <c:pt idx="370">
                  <c:v>353.54909012262578</c:v>
                </c:pt>
                <c:pt idx="371">
                  <c:v>352.0991136104924</c:v>
                </c:pt>
                <c:pt idx="372">
                  <c:v>350.09873514175001</c:v>
                </c:pt>
                <c:pt idx="373">
                  <c:v>348.42474248230116</c:v>
                </c:pt>
                <c:pt idx="374">
                  <c:v>348.42635897930273</c:v>
                </c:pt>
                <c:pt idx="375">
                  <c:v>349.81703731191396</c:v>
                </c:pt>
                <c:pt idx="376">
                  <c:v>351.11431050753652</c:v>
                </c:pt>
                <c:pt idx="377">
                  <c:v>352.10016726881253</c:v>
                </c:pt>
                <c:pt idx="378">
                  <c:v>352.94687114702953</c:v>
                </c:pt>
                <c:pt idx="379">
                  <c:v>353.780125718497</c:v>
                </c:pt>
                <c:pt idx="380">
                  <c:v>355.15121133531119</c:v>
                </c:pt>
                <c:pt idx="381">
                  <c:v>355.74516335794397</c:v>
                </c:pt>
                <c:pt idx="382">
                  <c:v>355.09879684094216</c:v>
                </c:pt>
                <c:pt idx="383">
                  <c:v>353.65093186728978</c:v>
                </c:pt>
                <c:pt idx="384">
                  <c:v>351.65273834419872</c:v>
                </c:pt>
                <c:pt idx="385">
                  <c:v>349.98093370678419</c:v>
                </c:pt>
                <c:pt idx="386">
                  <c:v>349.98467057767056</c:v>
                </c:pt>
                <c:pt idx="387">
                  <c:v>351.37754299849735</c:v>
                </c:pt>
                <c:pt idx="388">
                  <c:v>352.67694244663483</c:v>
                </c:pt>
                <c:pt idx="389">
                  <c:v>353.66499937912596</c:v>
                </c:pt>
                <c:pt idx="390">
                  <c:v>354.51390652637878</c:v>
                </c:pt>
                <c:pt idx="391">
                  <c:v>355.34915381356871</c:v>
                </c:pt>
                <c:pt idx="392">
                  <c:v>356.7224486073261</c:v>
                </c:pt>
                <c:pt idx="393">
                  <c:v>357.31854150469582</c:v>
                </c:pt>
                <c:pt idx="394">
                  <c:v>356.67439028946939</c:v>
                </c:pt>
                <c:pt idx="395">
                  <c:v>355.22867212602182</c:v>
                </c:pt>
                <c:pt idx="396">
                  <c:v>353.23270004651914</c:v>
                </c:pt>
                <c:pt idx="397">
                  <c:v>351.5631199804651</c:v>
                </c:pt>
                <c:pt idx="398">
                  <c:v>351.56901264454865</c:v>
                </c:pt>
                <c:pt idx="399">
                  <c:v>352.96411580424848</c:v>
                </c:pt>
                <c:pt idx="400">
                  <c:v>354.26567702241169</c:v>
                </c:pt>
                <c:pt idx="401">
                  <c:v>355.25597087838736</c:v>
                </c:pt>
                <c:pt idx="402">
                  <c:v>356.10711809869213</c:v>
                </c:pt>
                <c:pt idx="403">
                  <c:v>356.94879830395672</c:v>
                </c:pt>
                <c:pt idx="404">
                  <c:v>358.32434538225675</c:v>
                </c:pt>
                <c:pt idx="405">
                  <c:v>358.92262092918401</c:v>
                </c:pt>
                <c:pt idx="406">
                  <c:v>358.28072824284618</c:v>
                </c:pt>
                <c:pt idx="407">
                  <c:v>356.83719878024249</c:v>
                </c:pt>
                <c:pt idx="408">
                  <c:v>354.84349149128644</c:v>
                </c:pt>
                <c:pt idx="409">
                  <c:v>353.17617940458297</c:v>
                </c:pt>
                <c:pt idx="410">
                  <c:v>353.18426992778785</c:v>
                </c:pt>
                <c:pt idx="411">
                  <c:v>354.58164735469728</c:v>
                </c:pt>
                <c:pt idx="412">
                  <c:v>355.88541252543598</c:v>
                </c:pt>
                <c:pt idx="413">
                  <c:v>356.87798695391308</c:v>
                </c:pt>
                <c:pt idx="414">
                  <c:v>357.73141795774382</c:v>
                </c:pt>
                <c:pt idx="415">
                  <c:v>358.57075678345359</c:v>
                </c:pt>
                <c:pt idx="416">
                  <c:v>359.94858756418506</c:v>
                </c:pt>
                <c:pt idx="417">
                  <c:v>360.54907620719649</c:v>
                </c:pt>
                <c:pt idx="418">
                  <c:v>359.90947355474043</c:v>
                </c:pt>
                <c:pt idx="419">
                  <c:v>358.4681633239187</c:v>
                </c:pt>
                <c:pt idx="420">
                  <c:v>356.47675241784856</c:v>
                </c:pt>
                <c:pt idx="421">
                  <c:v>354.81173994731677</c:v>
                </c:pt>
                <c:pt idx="422">
                  <c:v>354.82205898833314</c:v>
                </c:pt>
                <c:pt idx="423">
                  <c:v>356.22174240698462</c:v>
                </c:pt>
                <c:pt idx="424">
                  <c:v>357.52774227398857</c:v>
                </c:pt>
                <c:pt idx="425">
                  <c:v>358.52262908745416</c:v>
                </c:pt>
                <c:pt idx="426">
                  <c:v>359.37837573209009</c:v>
                </c:pt>
                <c:pt idx="427">
                  <c:v>360.21980890659012</c:v>
                </c:pt>
                <c:pt idx="428">
                  <c:v>361.59996153735102</c:v>
                </c:pt>
                <c:pt idx="429">
                  <c:v>362.20270024461632</c:v>
                </c:pt>
                <c:pt idx="430">
                  <c:v>361.56542587940243</c:v>
                </c:pt>
                <c:pt idx="431">
                  <c:v>360.12637195102496</c:v>
                </c:pt>
                <c:pt idx="432">
                  <c:v>358.13729578725651</c:v>
                </c:pt>
                <c:pt idx="433">
                  <c:v>356.47462134632178</c:v>
                </c:pt>
                <c:pt idx="434">
                  <c:v>356.4872061309282</c:v>
                </c:pt>
                <c:pt idx="435">
                  <c:v>357.8892340612465</c:v>
                </c:pt>
                <c:pt idx="436">
                  <c:v>359.19750595350098</c:v>
                </c:pt>
                <c:pt idx="437">
                  <c:v>360.19474377867436</c:v>
                </c:pt>
                <c:pt idx="438">
                  <c:v>361.05284474522074</c:v>
                </c:pt>
                <c:pt idx="439">
                  <c:v>361.89640725309329</c:v>
                </c:pt>
                <c:pt idx="440">
                  <c:v>363.27892051870947</c:v>
                </c:pt>
                <c:pt idx="441">
                  <c:v>363.88394687592523</c:v>
                </c:pt>
                <c:pt idx="442">
                  <c:v>363.24903969030834</c:v>
                </c:pt>
                <c:pt idx="443">
                  <c:v>361.81227975427589</c:v>
                </c:pt>
                <c:pt idx="444">
                  <c:v>359.8255773329912</c:v>
                </c:pt>
                <c:pt idx="445">
                  <c:v>358.16527997674734</c:v>
                </c:pt>
                <c:pt idx="446">
                  <c:v>358.18016835255236</c:v>
                </c:pt>
                <c:pt idx="447">
                  <c:v>359.58457995790963</c:v>
                </c:pt>
                <c:pt idx="448">
                  <c:v>360.8951618279537</c:v>
                </c:pt>
                <c:pt idx="449">
                  <c:v>361.89478993678551</c:v>
                </c:pt>
                <c:pt idx="450">
                  <c:v>362.75528455248752</c:v>
                </c:pt>
                <c:pt idx="451">
                  <c:v>363.60572100980755</c:v>
                </c:pt>
                <c:pt idx="452">
                  <c:v>364.99064097327187</c:v>
                </c:pt>
                <c:pt idx="453">
                  <c:v>365.59799961927877</c:v>
                </c:pt>
                <c:pt idx="454">
                  <c:v>364.96550580395905</c:v>
                </c:pt>
                <c:pt idx="455">
                  <c:v>363.5310846228715</c:v>
                </c:pt>
                <c:pt idx="456">
                  <c:v>361.54680226283199</c:v>
                </c:pt>
                <c:pt idx="457">
                  <c:v>359.88892837525719</c:v>
                </c:pt>
                <c:pt idx="458">
                  <c:v>359.90616529216237</c:v>
                </c:pt>
                <c:pt idx="459">
                  <c:v>361.31300708513402</c:v>
                </c:pt>
                <c:pt idx="460">
                  <c:v>362.62594400749066</c:v>
                </c:pt>
                <c:pt idx="461">
                  <c:v>363.62800904151004</c:v>
                </c:pt>
                <c:pt idx="462">
                  <c:v>364.49094401356751</c:v>
                </c:pt>
                <c:pt idx="463">
                  <c:v>365.33887856980454</c:v>
                </c:pt>
                <c:pt idx="464">
                  <c:v>366.72623880296987</c:v>
                </c:pt>
                <c:pt idx="465">
                  <c:v>367.33596227166345</c:v>
                </c:pt>
                <c:pt idx="466">
                  <c:v>366.70591549157012</c:v>
                </c:pt>
                <c:pt idx="467">
                  <c:v>365.27386568952153</c:v>
                </c:pt>
                <c:pt idx="468">
                  <c:v>363.29203714899074</c:v>
                </c:pt>
                <c:pt idx="469">
                  <c:v>361.63662053587973</c:v>
                </c:pt>
                <c:pt idx="470">
                  <c:v>361.65623875448972</c:v>
                </c:pt>
                <c:pt idx="471">
                  <c:v>363.06554463459537</c:v>
                </c:pt>
                <c:pt idx="472">
                  <c:v>364.38086946069626</c:v>
                </c:pt>
                <c:pt idx="473">
                  <c:v>365.38540541340768</c:v>
                </c:pt>
                <c:pt idx="474">
                  <c:v>366.25081478318748</c:v>
                </c:pt>
                <c:pt idx="475">
                  <c:v>367.10098727367824</c:v>
                </c:pt>
                <c:pt idx="476">
                  <c:v>368.49082853948551</c:v>
                </c:pt>
                <c:pt idx="477">
                  <c:v>369.10295633351888</c:v>
                </c:pt>
                <c:pt idx="478">
                  <c:v>368.47539746460598</c:v>
                </c:pt>
                <c:pt idx="479">
                  <c:v>367.04575865376859</c:v>
                </c:pt>
                <c:pt idx="480">
                  <c:v>365.06642492202718</c:v>
                </c:pt>
                <c:pt idx="481">
                  <c:v>363.41350663037315</c:v>
                </c:pt>
                <c:pt idx="482">
                  <c:v>363.43554592861113</c:v>
                </c:pt>
                <c:pt idx="483">
                  <c:v>364.84735705664468</c:v>
                </c:pt>
                <c:pt idx="484">
                  <c:v>366.16510967469543</c:v>
                </c:pt>
                <c:pt idx="485">
                  <c:v>367.17215782100885</c:v>
                </c:pt>
                <c:pt idx="486">
                  <c:v>368.040082921536</c:v>
                </c:pt>
                <c:pt idx="487">
                  <c:v>368.89253072935389</c:v>
                </c:pt>
                <c:pt idx="488">
                  <c:v>370.28489447165958</c:v>
                </c:pt>
                <c:pt idx="489">
                  <c:v>370.89946675354895</c:v>
                </c:pt>
                <c:pt idx="490">
                  <c:v>370.27443735457399</c:v>
                </c:pt>
                <c:pt idx="491">
                  <c:v>368.84724980881259</c:v>
                </c:pt>
                <c:pt idx="492">
                  <c:v>366.8704525598377</c:v>
                </c:pt>
                <c:pt idx="493">
                  <c:v>365.22007432229418</c:v>
                </c:pt>
                <c:pt idx="494">
                  <c:v>365.24457514254476</c:v>
                </c:pt>
                <c:pt idx="495">
                  <c:v>366.65893336686133</c:v>
                </c:pt>
                <c:pt idx="496">
                  <c:v>367.97915433137103</c:v>
                </c:pt>
                <c:pt idx="497">
                  <c:v>368.98875663566423</c:v>
                </c:pt>
                <c:pt idx="498">
                  <c:v>369.85923949040182</c:v>
                </c:pt>
                <c:pt idx="499">
                  <c:v>370.71903251550026</c:v>
                </c:pt>
                <c:pt idx="500">
                  <c:v>372.11396795530794</c:v>
                </c:pt>
                <c:pt idx="501">
                  <c:v>372.7310324242672</c:v>
                </c:pt>
                <c:pt idx="502">
                  <c:v>372.10858185269666</c:v>
                </c:pt>
                <c:pt idx="503">
                  <c:v>370.68389340346869</c:v>
                </c:pt>
                <c:pt idx="504">
                  <c:v>368.70968213156777</c:v>
                </c:pt>
                <c:pt idx="505">
                  <c:v>367.0618935121297</c:v>
                </c:pt>
                <c:pt idx="506">
                  <c:v>367.08890388599372</c:v>
                </c:pt>
                <c:pt idx="507">
                  <c:v>368.5058589080021</c:v>
                </c:pt>
                <c:pt idx="508">
                  <c:v>369.82859638373674</c:v>
                </c:pt>
                <c:pt idx="509">
                  <c:v>370.84080268521296</c:v>
                </c:pt>
                <c:pt idx="510">
                  <c:v>371.71389320353751</c:v>
                </c:pt>
                <c:pt idx="511">
                  <c:v>372.57101280090575</c:v>
                </c:pt>
                <c:pt idx="512">
                  <c:v>373.96855581170513</c:v>
                </c:pt>
                <c:pt idx="513">
                  <c:v>374.58814723210565</c:v>
                </c:pt>
                <c:pt idx="514">
                  <c:v>373.96831146088647</c:v>
                </c:pt>
                <c:pt idx="515">
                  <c:v>372.54615696894592</c:v>
                </c:pt>
                <c:pt idx="516">
                  <c:v>370.57456774679918</c:v>
                </c:pt>
                <c:pt idx="517">
                  <c:v>368.92940486893713</c:v>
                </c:pt>
                <c:pt idx="518">
                  <c:v>368.9589598030376</c:v>
                </c:pt>
                <c:pt idx="519">
                  <c:v>370.37854784635874</c:v>
                </c:pt>
                <c:pt idx="520">
                  <c:v>371.70383693699546</c:v>
                </c:pt>
                <c:pt idx="521">
                  <c:v>372.71868355970395</c:v>
                </c:pt>
                <c:pt idx="522">
                  <c:v>373.59441811680836</c:v>
                </c:pt>
                <c:pt idx="523">
                  <c:v>374.45392907790102</c:v>
                </c:pt>
                <c:pt idx="524">
                  <c:v>375.85412321728006</c:v>
                </c:pt>
                <c:pt idx="525">
                  <c:v>376.47628380001856</c:v>
                </c:pt>
                <c:pt idx="526">
                  <c:v>375.85910650750003</c:v>
                </c:pt>
                <c:pt idx="527">
                  <c:v>374.43952830077114</c:v>
                </c:pt>
                <c:pt idx="528">
                  <c:v>372.4706049278239</c:v>
                </c:pt>
                <c:pt idx="529">
                  <c:v>370.82811165265218</c:v>
                </c:pt>
                <c:pt idx="530">
                  <c:v>370.86025365202818</c:v>
                </c:pt>
                <c:pt idx="531">
                  <c:v>372.28251869937912</c:v>
                </c:pt>
                <c:pt idx="532">
                  <c:v>373.61040202780003</c:v>
                </c:pt>
                <c:pt idx="533">
                  <c:v>374.62793307639782</c:v>
                </c:pt>
                <c:pt idx="534">
                  <c:v>375.50635583903801</c:v>
                </c:pt>
                <c:pt idx="535">
                  <c:v>376.36829810985716</c:v>
                </c:pt>
                <c:pt idx="536">
                  <c:v>377.7711876630018</c:v>
                </c:pt>
                <c:pt idx="537">
                  <c:v>378.39596032407758</c:v>
                </c:pt>
                <c:pt idx="538">
                  <c:v>377.78148591822412</c:v>
                </c:pt>
                <c:pt idx="539">
                  <c:v>376.36452703168862</c:v>
                </c:pt>
                <c:pt idx="540">
                  <c:v>374.39831403902411</c:v>
                </c:pt>
                <c:pt idx="541">
                  <c:v>372.75853496032551</c:v>
                </c:pt>
                <c:pt idx="542">
                  <c:v>372.79330724003171</c:v>
                </c:pt>
                <c:pt idx="543">
                  <c:v>374.21829400882928</c:v>
                </c:pt>
                <c:pt idx="544">
                  <c:v>375.54881490990078</c:v>
                </c:pt>
                <c:pt idx="545">
                  <c:v>376.56907522578126</c:v>
                </c:pt>
                <c:pt idx="546">
                  <c:v>377.45023109848722</c:v>
                </c:pt>
                <c:pt idx="547">
                  <c:v>378.32002216384728</c:v>
                </c:pt>
                <c:pt idx="548">
                  <c:v>379.72565972628081</c:v>
                </c:pt>
                <c:pt idx="549">
                  <c:v>380.35309543509521</c:v>
                </c:pt>
                <c:pt idx="550">
                  <c:v>379.74137665724851</c:v>
                </c:pt>
                <c:pt idx="551">
                  <c:v>378.32708820161793</c:v>
                </c:pt>
                <c:pt idx="552">
                  <c:v>376.36363847680059</c:v>
                </c:pt>
                <c:pt idx="553">
                  <c:v>374.72662655660429</c:v>
                </c:pt>
                <c:pt idx="554">
                  <c:v>374.7640804412174</c:v>
                </c:pt>
                <c:pt idx="555">
                  <c:v>376.19184204032553</c:v>
                </c:pt>
                <c:pt idx="556">
                  <c:v>377.52505198091887</c:v>
                </c:pt>
                <c:pt idx="557">
                  <c:v>378.54809482018783</c:v>
                </c:pt>
                <c:pt idx="558">
                  <c:v>379.43203713404921</c:v>
                </c:pt>
                <c:pt idx="559">
                  <c:v>380.29897148541789</c:v>
                </c:pt>
                <c:pt idx="560">
                  <c:v>381.70739539006337</c:v>
                </c:pt>
                <c:pt idx="561">
                  <c:v>382.33753129438185</c:v>
                </c:pt>
                <c:pt idx="562">
                  <c:v>381.72860658374111</c:v>
                </c:pt>
                <c:pt idx="563">
                  <c:v>380.31702580977117</c:v>
                </c:pt>
                <c:pt idx="564">
                  <c:v>378.35637789857094</c:v>
                </c:pt>
                <c:pt idx="565">
                  <c:v>376.72217173691911</c:v>
                </c:pt>
                <c:pt idx="566">
                  <c:v>376.76234463306474</c:v>
                </c:pt>
                <c:pt idx="567">
                  <c:v>378.19291976954219</c:v>
                </c:pt>
                <c:pt idx="568">
                  <c:v>379.52885625999113</c:v>
                </c:pt>
                <c:pt idx="569">
                  <c:v>380.55472043702053</c:v>
                </c:pt>
                <c:pt idx="570">
                  <c:v>381.44148806105994</c:v>
                </c:pt>
                <c:pt idx="571">
                  <c:v>382.31097772452205</c:v>
                </c:pt>
                <c:pt idx="572">
                  <c:v>383.72223451521154</c:v>
                </c:pt>
                <c:pt idx="573">
                  <c:v>384.35511571984745</c:v>
                </c:pt>
                <c:pt idx="574">
                  <c:v>383.74903174928505</c:v>
                </c:pt>
                <c:pt idx="575">
                  <c:v>382.34020388684013</c:v>
                </c:pt>
                <c:pt idx="576">
                  <c:v>380.38240459152763</c:v>
                </c:pt>
                <c:pt idx="577">
                  <c:v>378.75105105658827</c:v>
                </c:pt>
                <c:pt idx="578">
                  <c:v>378.79398838338795</c:v>
                </c:pt>
                <c:pt idx="579">
                  <c:v>380.22742405534228</c:v>
                </c:pt>
                <c:pt idx="580">
                  <c:v>381.56613264069057</c:v>
                </c:pt>
                <c:pt idx="581">
                  <c:v>382.594865283888</c:v>
                </c:pt>
                <c:pt idx="582">
                  <c:v>383.48450541286883</c:v>
                </c:pt>
                <c:pt idx="583">
                  <c:v>384.35659307306537</c:v>
                </c:pt>
                <c:pt idx="584">
                  <c:v>385.77073007111176</c:v>
                </c:pt>
                <c:pt idx="585">
                  <c:v>386.40640243432222</c:v>
                </c:pt>
                <c:pt idx="586">
                  <c:v>385.80320665634719</c:v>
                </c:pt>
                <c:pt idx="587">
                  <c:v>384.39717769082381</c:v>
                </c:pt>
                <c:pt idx="588">
                  <c:v>382.44227459546767</c:v>
                </c:pt>
                <c:pt idx="589">
                  <c:v>380.81382133830732</c:v>
                </c:pt>
                <c:pt idx="590">
                  <c:v>380.85956927357637</c:v>
                </c:pt>
                <c:pt idx="591">
                  <c:v>382.29591326418432</c:v>
                </c:pt>
                <c:pt idx="592">
                  <c:v>383.63744025027296</c:v>
                </c:pt>
                <c:pt idx="593">
                  <c:v>384.66908927529158</c:v>
                </c:pt>
                <c:pt idx="594">
                  <c:v>385.56164989233207</c:v>
                </c:pt>
                <c:pt idx="595">
                  <c:v>386.44212444884414</c:v>
                </c:pt>
                <c:pt idx="596">
                  <c:v>387.85919785564198</c:v>
                </c:pt>
                <c:pt idx="597">
                  <c:v>388.49771584121538</c:v>
                </c:pt>
                <c:pt idx="598">
                  <c:v>387.8974646130377</c:v>
                </c:pt>
                <c:pt idx="599">
                  <c:v>386.4942891592226</c:v>
                </c:pt>
                <c:pt idx="600">
                  <c:v>384.54233877728041</c:v>
                </c:pt>
                <c:pt idx="601">
                  <c:v>382.91684239092723</c:v>
                </c:pt>
                <c:pt idx="602">
                  <c:v>382.96545577797917</c:v>
                </c:pt>
                <c:pt idx="603">
                  <c:v>384.40476483717021</c:v>
                </c:pt>
                <c:pt idx="604">
                  <c:v>385.74916521936314</c:v>
                </c:pt>
                <c:pt idx="605">
                  <c:v>386.78378753346868</c:v>
                </c:pt>
                <c:pt idx="606">
                  <c:v>387.67932562595939</c:v>
                </c:pt>
                <c:pt idx="607">
                  <c:v>388.55674761638335</c:v>
                </c:pt>
                <c:pt idx="608">
                  <c:v>389.97679839290458</c:v>
                </c:pt>
                <c:pt idx="609">
                  <c:v>390.61820169540221</c:v>
                </c:pt>
                <c:pt idx="610">
                  <c:v>390.02093609155617</c:v>
                </c:pt>
                <c:pt idx="611">
                  <c:v>388.62065395406165</c:v>
                </c:pt>
                <c:pt idx="612">
                  <c:v>386.67169747394485</c:v>
                </c:pt>
                <c:pt idx="613">
                  <c:v>385.04919920480262</c:v>
                </c:pt>
                <c:pt idx="614">
                  <c:v>385.10071801480643</c:v>
                </c:pt>
                <c:pt idx="615">
                  <c:v>386.54303350333811</c:v>
                </c:pt>
                <c:pt idx="616">
                  <c:v>387.89034736362225</c:v>
                </c:pt>
                <c:pt idx="617">
                  <c:v>388.92798444224297</c:v>
                </c:pt>
                <c:pt idx="618">
                  <c:v>389.82654154400922</c:v>
                </c:pt>
                <c:pt idx="619">
                  <c:v>390.70669403495395</c:v>
                </c:pt>
                <c:pt idx="620">
                  <c:v>392.12977191600692</c:v>
                </c:pt>
                <c:pt idx="621">
                  <c:v>392.77410873256184</c:v>
                </c:pt>
                <c:pt idx="622">
                  <c:v>392.17987862574307</c:v>
                </c:pt>
                <c:pt idx="623">
                  <c:v>390.78253813532638</c:v>
                </c:pt>
                <c:pt idx="624">
                  <c:v>388.83662556799999</c:v>
                </c:pt>
                <c:pt idx="625">
                  <c:v>387.21717549744909</c:v>
                </c:pt>
                <c:pt idx="626">
                  <c:v>387.27164826339435</c:v>
                </c:pt>
                <c:pt idx="627">
                  <c:v>388.71702040149489</c:v>
                </c:pt>
                <c:pt idx="628">
                  <c:v>390.06729640741526</c:v>
                </c:pt>
                <c:pt idx="629">
                  <c:v>391.10799861001243</c:v>
                </c:pt>
                <c:pt idx="630">
                  <c:v>392.00962515142135</c:v>
                </c:pt>
                <c:pt idx="631">
                  <c:v>392.89255375392366</c:v>
                </c:pt>
                <c:pt idx="632">
                  <c:v>394.31870930510092</c:v>
                </c:pt>
                <c:pt idx="633">
                  <c:v>394.96602863794431</c:v>
                </c:pt>
                <c:pt idx="634">
                  <c:v>394.37488473393586</c:v>
                </c:pt>
                <c:pt idx="635">
                  <c:v>392.98053502868436</c:v>
                </c:pt>
                <c:pt idx="636">
                  <c:v>391.03771722051067</c:v>
                </c:pt>
                <c:pt idx="637">
                  <c:v>389.42136626650455</c:v>
                </c:pt>
                <c:pt idx="638">
                  <c:v>389.47884233208941</c:v>
                </c:pt>
                <c:pt idx="639">
                  <c:v>390.92732217887993</c:v>
                </c:pt>
                <c:pt idx="640">
                  <c:v>392.28060981093734</c:v>
                </c:pt>
                <c:pt idx="641">
                  <c:v>393.32442833819096</c:v>
                </c:pt>
                <c:pt idx="642">
                  <c:v>394.22917559201221</c:v>
                </c:pt>
                <c:pt idx="643">
                  <c:v>395.1210660840685</c:v>
                </c:pt>
                <c:pt idx="644">
                  <c:v>396.55035935984915</c:v>
                </c:pt>
                <c:pt idx="645">
                  <c:v>397.20071940672659</c:v>
                </c:pt>
                <c:pt idx="646">
                  <c:v>396.61272192650557</c:v>
                </c:pt>
                <c:pt idx="647">
                  <c:v>395.22142136551531</c:v>
                </c:pt>
                <c:pt idx="648">
                  <c:v>393.28175870443124</c:v>
                </c:pt>
                <c:pt idx="649">
                  <c:v>391.66856733993245</c:v>
                </c:pt>
                <c:pt idx="650">
                  <c:v>391.72910530844723</c:v>
                </c:pt>
                <c:pt idx="651">
                  <c:v>393.18075350454853</c:v>
                </c:pt>
                <c:pt idx="652">
                  <c:v>394.53711152850809</c:v>
                </c:pt>
                <c:pt idx="653">
                  <c:v>395.58410718916201</c:v>
                </c:pt>
                <c:pt idx="654">
                  <c:v>396.49203604975776</c:v>
                </c:pt>
                <c:pt idx="655">
                  <c:v>397.38066469629831</c:v>
                </c:pt>
                <c:pt idx="656">
                  <c:v>398.81313946587807</c:v>
                </c:pt>
                <c:pt idx="657">
                  <c:v>399.46658264275146</c:v>
                </c:pt>
                <c:pt idx="658">
                  <c:v>398.88177547686149</c:v>
                </c:pt>
                <c:pt idx="659">
                  <c:v>397.49356659369039</c:v>
                </c:pt>
                <c:pt idx="660">
                  <c:v>395.55710309192375</c:v>
                </c:pt>
                <c:pt idx="661">
                  <c:v>393.94711539112905</c:v>
                </c:pt>
                <c:pt idx="662">
                  <c:v>394.01075797410675</c:v>
                </c:pt>
                <c:pt idx="663">
                  <c:v>395.46561871590905</c:v>
                </c:pt>
                <c:pt idx="664">
                  <c:v>396.82508996171936</c:v>
                </c:pt>
                <c:pt idx="665">
                  <c:v>397.87530707469608</c:v>
                </c:pt>
                <c:pt idx="666">
                  <c:v>398.78646192338931</c:v>
                </c:pt>
                <c:pt idx="667">
                  <c:v>399.67800826953817</c:v>
                </c:pt>
                <c:pt idx="668">
                  <c:v>401.11371767747045</c:v>
                </c:pt>
                <c:pt idx="669">
                  <c:v>401.77029548579713</c:v>
                </c:pt>
                <c:pt idx="670">
                  <c:v>401.18873192613233</c:v>
                </c:pt>
                <c:pt idx="671">
                  <c:v>399.80366636502288</c:v>
                </c:pt>
                <c:pt idx="672">
                  <c:v>397.87045546221708</c:v>
                </c:pt>
                <c:pt idx="673">
                  <c:v>396.26372494001203</c:v>
                </c:pt>
                <c:pt idx="674">
                  <c:v>396.33052399779268</c:v>
                </c:pt>
                <c:pt idx="675">
                  <c:v>397.78865094854893</c:v>
                </c:pt>
                <c:pt idx="676">
                  <c:v>399.15128742033022</c:v>
                </c:pt>
                <c:pt idx="677">
                  <c:v>400.20477979766127</c:v>
                </c:pt>
                <c:pt idx="678">
                  <c:v>401.11921452225079</c:v>
                </c:pt>
                <c:pt idx="679">
                  <c:v>402.01372730607005</c:v>
                </c:pt>
                <c:pt idx="680">
                  <c:v>403.45272538464997</c:v>
                </c:pt>
                <c:pt idx="681">
                  <c:v>404.11249018618179</c:v>
                </c:pt>
                <c:pt idx="682">
                  <c:v>403.53422441483889</c:v>
                </c:pt>
                <c:pt idx="683">
                  <c:v>402.15235468271345</c:v>
                </c:pt>
                <c:pt idx="684">
                  <c:v>400.2224507111822</c:v>
                </c:pt>
                <c:pt idx="685">
                  <c:v>398.6190317763801</c:v>
                </c:pt>
                <c:pt idx="686">
                  <c:v>398.68904003559288</c:v>
                </c:pt>
                <c:pt idx="687">
                  <c:v>400.15048775496206</c:v>
                </c:pt>
                <c:pt idx="688">
                  <c:v>401.51634232552544</c:v>
                </c:pt>
                <c:pt idx="689">
                  <c:v>402.57316467813376</c:v>
                </c:pt>
                <c:pt idx="690">
                  <c:v>403.49093406657488</c:v>
                </c:pt>
                <c:pt idx="691">
                  <c:v>404.39502315387432</c:v>
                </c:pt>
                <c:pt idx="692">
                  <c:v>405.83737407482761</c:v>
                </c:pt>
                <c:pt idx="693">
                  <c:v>406.50038805726155</c:v>
                </c:pt>
                <c:pt idx="694">
                  <c:v>405.92548442387925</c:v>
                </c:pt>
                <c:pt idx="695">
                  <c:v>404.54687288084699</c:v>
                </c:pt>
                <c:pt idx="696">
                  <c:v>402.6203403686352</c:v>
                </c:pt>
                <c:pt idx="697">
                  <c:v>401.02029764013571</c:v>
                </c:pt>
                <c:pt idx="698">
                  <c:v>401.09357772182608</c:v>
                </c:pt>
                <c:pt idx="699">
                  <c:v>402.55841100786051</c:v>
                </c:pt>
                <c:pt idx="700">
                  <c:v>403.92754647186518</c:v>
                </c:pt>
                <c:pt idx="701">
                  <c:v>404.98776377745259</c:v>
                </c:pt>
                <c:pt idx="702">
                  <c:v>405.90893289893478</c:v>
                </c:pt>
                <c:pt idx="703">
                  <c:v>406.80953651340218</c:v>
                </c:pt>
                <c:pt idx="704">
                  <c:v>408.25528704667568</c:v>
                </c:pt>
                <c:pt idx="705">
                  <c:v>408.92159553394976</c:v>
                </c:pt>
                <c:pt idx="706">
                  <c:v>408.35010093814225</c:v>
                </c:pt>
                <c:pt idx="707">
                  <c:v>406.97479303379953</c:v>
                </c:pt>
                <c:pt idx="708">
                  <c:v>405.05167901054818</c:v>
                </c:pt>
                <c:pt idx="709">
                  <c:v>403.45505958421006</c:v>
                </c:pt>
                <c:pt idx="710">
                  <c:v>403.53165712815081</c:v>
                </c:pt>
                <c:pt idx="711">
                  <c:v>404.99992320727995</c:v>
                </c:pt>
                <c:pt idx="712">
                  <c:v>406.37238533103277</c:v>
                </c:pt>
                <c:pt idx="713">
                  <c:v>407.43604494696154</c:v>
                </c:pt>
                <c:pt idx="714">
                  <c:v>408.36066122552597</c:v>
                </c:pt>
                <c:pt idx="715">
                  <c:v>409.26438257278232</c:v>
                </c:pt>
                <c:pt idx="716">
                  <c:v>410.71358950644185</c:v>
                </c:pt>
                <c:pt idx="717">
                  <c:v>411.3832475308771</c:v>
                </c:pt>
                <c:pt idx="718">
                  <c:v>410.81521891815242</c:v>
                </c:pt>
                <c:pt idx="719">
                  <c:v>409.44326983739461</c:v>
                </c:pt>
                <c:pt idx="720">
                  <c:v>407.52363140649027</c:v>
                </c:pt>
                <c:pt idx="721">
                  <c:v>405.9304924661007</c:v>
                </c:pt>
                <c:pt idx="722">
                  <c:v>406.01046288809999</c:v>
                </c:pt>
                <c:pt idx="723">
                  <c:v>407.48221910265056</c:v>
                </c:pt>
                <c:pt idx="724">
                  <c:v>408.85806345559706</c:v>
                </c:pt>
                <c:pt idx="725">
                  <c:v>409.92522288317258</c:v>
                </c:pt>
                <c:pt idx="726">
                  <c:v>410.85334390108574</c:v>
                </c:pt>
                <c:pt idx="727">
                  <c:v>411.76023506060307</c:v>
                </c:pt>
                <c:pt idx="728">
                  <c:v>413.21295613131781</c:v>
                </c:pt>
                <c:pt idx="729">
                  <c:v>413.8860196445109</c:v>
                </c:pt>
                <c:pt idx="730">
                  <c:v>413.32151491161005</c:v>
                </c:pt>
                <c:pt idx="731">
                  <c:v>411.9529807611566</c:v>
                </c:pt>
                <c:pt idx="732">
                  <c:v>410.03687597985629</c:v>
                </c:pt>
                <c:pt idx="733">
                  <c:v>408.44727566441657</c:v>
                </c:pt>
                <c:pt idx="734">
                  <c:v>408.53067530596383</c:v>
                </c:pt>
                <c:pt idx="735">
                  <c:v>410.00597995612418</c:v>
                </c:pt>
                <c:pt idx="736">
                  <c:v>411.38526303595779</c:v>
                </c:pt>
                <c:pt idx="737">
                  <c:v>412.4559807370029</c:v>
                </c:pt>
                <c:pt idx="738">
                  <c:v>413.38766503840179</c:v>
                </c:pt>
                <c:pt idx="739">
                  <c:v>414.30478903863803</c:v>
                </c:pt>
                <c:pt idx="740">
                  <c:v>415.76109281765287</c:v>
                </c:pt>
                <c:pt idx="741">
                  <c:v>416.43762827079723</c:v>
                </c:pt>
                <c:pt idx="742">
                  <c:v>415.87671617907546</c:v>
                </c:pt>
                <c:pt idx="743">
                  <c:v>414.5116635943528</c:v>
                </c:pt>
                <c:pt idx="744">
                  <c:v>412.5991614146489</c:v>
                </c:pt>
                <c:pt idx="745">
                  <c:v>411.01316877323507</c:v>
                </c:pt>
                <c:pt idx="746">
                  <c:v>411.10006454858211</c:v>
                </c:pt>
                <c:pt idx="747">
                  <c:v>412.57898687486352</c:v>
                </c:pt>
                <c:pt idx="748">
                  <c:v>413.96177578135263</c:v>
                </c:pt>
                <c:pt idx="749">
                  <c:v>415.03612118834428</c:v>
                </c:pt>
                <c:pt idx="750">
                  <c:v>415.97143830346619</c:v>
                </c:pt>
                <c:pt idx="751">
                  <c:v>416.88483787199493</c:v>
                </c:pt>
                <c:pt idx="752">
                  <c:v>418.34477433573556</c:v>
                </c:pt>
                <c:pt idx="753">
                  <c:v>419.02483016011115</c:v>
                </c:pt>
                <c:pt idx="754">
                  <c:v>418.46756082455136</c:v>
                </c:pt>
                <c:pt idx="755">
                  <c:v>417.10603837111262</c:v>
                </c:pt>
                <c:pt idx="756">
                  <c:v>415.19718904692934</c:v>
                </c:pt>
                <c:pt idx="757">
                  <c:v>413.61485440422246</c:v>
                </c:pt>
                <c:pt idx="758">
                  <c:v>413.70529508213775</c:v>
                </c:pt>
                <c:pt idx="759">
                  <c:v>415.18788554874402</c:v>
                </c:pt>
                <c:pt idx="760">
                  <c:v>416.57422918586582</c:v>
                </c:pt>
                <c:pt idx="761">
                  <c:v>417.6522529029175</c:v>
                </c:pt>
                <c:pt idx="762">
                  <c:v>418.59125350712554</c:v>
                </c:pt>
                <c:pt idx="763">
                  <c:v>419.50798455560374</c:v>
                </c:pt>
                <c:pt idx="764">
                  <c:v>420.97161438544151</c:v>
                </c:pt>
                <c:pt idx="765">
                  <c:v>421.65524938630477</c:v>
                </c:pt>
                <c:pt idx="766">
                  <c:v>421.10168365651441</c:v>
                </c:pt>
                <c:pt idx="767">
                  <c:v>419.74375030265048</c:v>
                </c:pt>
                <c:pt idx="768">
                  <c:v>417.83861485229789</c:v>
                </c:pt>
                <c:pt idx="769">
                  <c:v>416.25999931252159</c:v>
                </c:pt>
                <c:pt idx="770">
                  <c:v>416.35404410803909</c:v>
                </c:pt>
                <c:pt idx="771">
                  <c:v>417.84036398860246</c:v>
                </c:pt>
                <c:pt idx="772">
                  <c:v>419.23032173556163</c:v>
                </c:pt>
                <c:pt idx="773">
                  <c:v>420.31208520618333</c:v>
                </c:pt>
                <c:pt idx="774">
                  <c:v>421.2548308294995</c:v>
                </c:pt>
                <c:pt idx="775">
                  <c:v>422.1749490078908</c:v>
                </c:pt>
                <c:pt idx="776">
                  <c:v>423.64233389883611</c:v>
                </c:pt>
                <c:pt idx="777">
                  <c:v>424.32960786374213</c:v>
                </c:pt>
                <c:pt idx="778">
                  <c:v>423.77980760577782</c:v>
                </c:pt>
                <c:pt idx="779">
                  <c:v>422.42552330480191</c:v>
                </c:pt>
                <c:pt idx="780">
                  <c:v>420.52416376585694</c:v>
                </c:pt>
                <c:pt idx="781">
                  <c:v>418.94932945393668</c:v>
                </c:pt>
                <c:pt idx="782">
                  <c:v>419.04703857123496</c:v>
                </c:pt>
                <c:pt idx="783">
                  <c:v>420.53715016291881</c:v>
                </c:pt>
                <c:pt idx="784">
                  <c:v>421.93078239080717</c:v>
                </c:pt>
                <c:pt idx="785">
                  <c:v>423.0163480848783</c:v>
                </c:pt>
                <c:pt idx="786">
                  <c:v>423.96290128513874</c:v>
                </c:pt>
                <c:pt idx="787">
                  <c:v>424.89395385271268</c:v>
                </c:pt>
                <c:pt idx="788">
                  <c:v>426.36516707715327</c:v>
                </c:pt>
                <c:pt idx="789">
                  <c:v>427.05615101309178</c:v>
                </c:pt>
                <c:pt idx="790">
                  <c:v>426.51018970248543</c:v>
                </c:pt>
                <c:pt idx="791">
                  <c:v>425.1596256582506</c:v>
                </c:pt>
                <c:pt idx="792">
                  <c:v>423.26211570995258</c:v>
                </c:pt>
                <c:pt idx="793">
                  <c:v>421.69113640886712</c:v>
                </c:pt>
                <c:pt idx="794">
                  <c:v>421.79258134974071</c:v>
                </c:pt>
                <c:pt idx="795">
                  <c:v>423.28655864008334</c:v>
                </c:pt>
                <c:pt idx="796">
                  <c:v>424.6839370489306</c:v>
                </c:pt>
                <c:pt idx="797">
                  <c:v>425.77337915911602</c:v>
                </c:pt>
                <c:pt idx="798">
                  <c:v>426.72381423344899</c:v>
                </c:pt>
                <c:pt idx="799">
                  <c:v>427.65088702777206</c:v>
                </c:pt>
                <c:pt idx="800">
                  <c:v>429.12598198844398</c:v>
                </c:pt>
                <c:pt idx="801">
                  <c:v>429.82072764707192</c:v>
                </c:pt>
                <c:pt idx="802">
                  <c:v>429.27865883461573</c:v>
                </c:pt>
                <c:pt idx="803">
                  <c:v>427.93186694225778</c:v>
                </c:pt>
                <c:pt idx="804">
                  <c:v>426.0382602838659</c:v>
                </c:pt>
                <c:pt idx="805">
                  <c:v>424.47118976848208</c:v>
                </c:pt>
                <c:pt idx="806">
                  <c:v>424.57642264521422</c:v>
                </c:pt>
                <c:pt idx="807">
                  <c:v>426.07431955817094</c:v>
                </c:pt>
                <c:pt idx="808">
                  <c:v>427.47549640473869</c:v>
                </c:pt>
                <c:pt idx="809">
                  <c:v>428.56886900449518</c:v>
                </c:pt>
                <c:pt idx="810">
                  <c:v>429.52324010249208</c:v>
                </c:pt>
                <c:pt idx="811">
                  <c:v>430.45387277811477</c:v>
                </c:pt>
                <c:pt idx="812">
                  <c:v>431.9329143166151</c:v>
                </c:pt>
                <c:pt idx="813">
                  <c:v>432.63148453478999</c:v>
                </c:pt>
                <c:pt idx="814">
                  <c:v>432.09337324185122</c:v>
                </c:pt>
                <c:pt idx="815">
                  <c:v>430.7504165124397</c:v>
                </c:pt>
                <c:pt idx="816">
                  <c:v>428.86077834558955</c:v>
                </c:pt>
                <c:pt idx="817">
                  <c:v>427.29768190934624</c:v>
                </c:pt>
                <c:pt idx="818">
                  <c:v>427.40676599666665</c:v>
                </c:pt>
                <c:pt idx="819">
                  <c:v>428.90864800669897</c:v>
                </c:pt>
                <c:pt idx="820">
                  <c:v>430.3136867411431</c:v>
                </c:pt>
                <c:pt idx="821">
                  <c:v>431.41105548645697</c:v>
                </c:pt>
                <c:pt idx="822">
                  <c:v>432.36942835654713</c:v>
                </c:pt>
                <c:pt idx="823">
                  <c:v>433.30368037871273</c:v>
                </c:pt>
                <c:pt idx="824">
                  <c:v>434.78673441977031</c:v>
                </c:pt>
                <c:pt idx="825">
                  <c:v>435.48919308399417</c:v>
                </c:pt>
                <c:pt idx="826">
                  <c:v>434.95510541807454</c:v>
                </c:pt>
                <c:pt idx="827">
                  <c:v>433.61604791523382</c:v>
                </c:pt>
                <c:pt idx="828">
                  <c:v>431.7304445307069</c:v>
                </c:pt>
                <c:pt idx="829">
                  <c:v>430.17138855772299</c:v>
                </c:pt>
                <c:pt idx="830">
                  <c:v>430.28438818731956</c:v>
                </c:pt>
                <c:pt idx="831">
                  <c:v>431.79032186259292</c:v>
                </c:pt>
                <c:pt idx="832">
                  <c:v>433.19928699495779</c:v>
                </c:pt>
                <c:pt idx="833">
                  <c:v>434.30071863855147</c:v>
                </c:pt>
                <c:pt idx="834">
                  <c:v>435.26316012744394</c:v>
                </c:pt>
                <c:pt idx="835">
                  <c:v>436.20909618438321</c:v>
                </c:pt>
                <c:pt idx="836">
                  <c:v>437.69624102383261</c:v>
                </c:pt>
                <c:pt idx="837">
                  <c:v>438.40266400922968</c:v>
                </c:pt>
                <c:pt idx="838">
                  <c:v>437.87267848323546</c:v>
                </c:pt>
                <c:pt idx="839">
                  <c:v>436.53759629244939</c:v>
                </c:pt>
                <c:pt idx="840">
                  <c:v>434.65610642082493</c:v>
                </c:pt>
                <c:pt idx="841">
                  <c:v>433.1011697525314</c:v>
                </c:pt>
                <c:pt idx="842">
                  <c:v>433.21816132825603</c:v>
                </c:pt>
                <c:pt idx="843">
                  <c:v>434.7282257287855</c:v>
                </c:pt>
                <c:pt idx="844">
                  <c:v>436.14119387474875</c:v>
                </c:pt>
                <c:pt idx="845">
                  <c:v>437.24676769582715</c:v>
                </c:pt>
                <c:pt idx="846">
                  <c:v>438.21335719435126</c:v>
                </c:pt>
                <c:pt idx="847">
                  <c:v>439.1550406306572</c:v>
                </c:pt>
                <c:pt idx="848">
                  <c:v>440.64633333244694</c:v>
                </c:pt>
                <c:pt idx="849">
                  <c:v>441.35677593869167</c:v>
                </c:pt>
                <c:pt idx="850">
                  <c:v>440.83094977477805</c:v>
                </c:pt>
                <c:pt idx="851">
                  <c:v>439.49989834903676</c:v>
                </c:pt>
                <c:pt idx="852">
                  <c:v>437.62257937111553</c:v>
                </c:pt>
                <c:pt idx="853">
                  <c:v>436.07181946910515</c:v>
                </c:pt>
                <c:pt idx="854">
                  <c:v>436.19285867598234</c:v>
                </c:pt>
                <c:pt idx="855">
                  <c:v>437.70711142266975</c:v>
                </c:pt>
                <c:pt idx="856">
                  <c:v>439.12413842163994</c:v>
                </c:pt>
                <c:pt idx="857">
                  <c:v>440.23391220085563</c:v>
                </c:pt>
                <c:pt idx="858">
                  <c:v>441.20470757101941</c:v>
                </c:pt>
                <c:pt idx="859">
                  <c:v>442.15019494883501</c:v>
                </c:pt>
                <c:pt idx="860">
                  <c:v>443.64570480000674</c:v>
                </c:pt>
                <c:pt idx="861">
                  <c:v>444.36023417195872</c:v>
                </c:pt>
                <c:pt idx="862">
                  <c:v>443.83863684926206</c:v>
                </c:pt>
                <c:pt idx="863">
                  <c:v>442.51168351958086</c:v>
                </c:pt>
                <c:pt idx="864">
                  <c:v>440.63860510712686</c:v>
                </c:pt>
                <c:pt idx="865">
                  <c:v>439.09209174125999</c:v>
                </c:pt>
                <c:pt idx="866">
                  <c:v>439.21724619204167</c:v>
                </c:pt>
                <c:pt idx="867">
                  <c:v>440.73575724818102</c:v>
                </c:pt>
                <c:pt idx="868">
                  <c:v>442.15691090036296</c:v>
                </c:pt>
                <c:pt idx="869">
                  <c:v>443.27095479498013</c:v>
                </c:pt>
                <c:pt idx="870">
                  <c:v>444.24602629282799</c:v>
                </c:pt>
                <c:pt idx="871">
                  <c:v>445.19538115424598</c:v>
                </c:pt>
                <c:pt idx="872">
                  <c:v>446.69517859923064</c:v>
                </c:pt>
                <c:pt idx="873">
                  <c:v>447.41386300335603</c:v>
                </c:pt>
                <c:pt idx="874">
                  <c:v>446.89656516161125</c:v>
                </c:pt>
                <c:pt idx="875">
                  <c:v>445.57377838372173</c:v>
                </c:pt>
                <c:pt idx="876">
                  <c:v>443.70501137231486</c:v>
                </c:pt>
                <c:pt idx="877">
                  <c:v>442.16281547790732</c:v>
                </c:pt>
                <c:pt idx="878">
                  <c:v>442.29215391476737</c:v>
                </c:pt>
                <c:pt idx="879">
                  <c:v>443.81499441233905</c:v>
                </c:pt>
                <c:pt idx="880">
                  <c:v>445.2403436504909</c:v>
                </c:pt>
                <c:pt idx="881">
                  <c:v>446.35872898969961</c:v>
                </c:pt>
                <c:pt idx="882">
                  <c:v>447.33814804485291</c:v>
                </c:pt>
                <c:pt idx="883">
                  <c:v>448.29998798123091</c:v>
                </c:pt>
                <c:pt idx="884">
                  <c:v>449.8041566837104</c:v>
                </c:pt>
                <c:pt idx="885">
                  <c:v>450.52707719701999</c:v>
                </c:pt>
                <c:pt idx="886">
                  <c:v>450.01416273186203</c:v>
                </c:pt>
                <c:pt idx="887">
                  <c:v>448.6956238075569</c:v>
                </c:pt>
                <c:pt idx="888">
                  <c:v>446.8312523254283</c:v>
                </c:pt>
                <c:pt idx="889">
                  <c:v>445.29345814916371</c:v>
                </c:pt>
                <c:pt idx="890">
                  <c:v>445.42706221408912</c:v>
                </c:pt>
                <c:pt idx="891">
                  <c:v>446.95431663334648</c:v>
                </c:pt>
                <c:pt idx="892">
                  <c:v>448.3839433258035</c:v>
                </c:pt>
                <c:pt idx="893">
                  <c:v>449.50675482407422</c:v>
                </c:pt>
                <c:pt idx="894">
                  <c:v>450.49060627028001</c:v>
                </c:pt>
                <c:pt idx="895">
                  <c:v>451.44790203262795</c:v>
                </c:pt>
                <c:pt idx="896">
                  <c:v>452.95650296877056</c:v>
                </c:pt>
                <c:pt idx="897">
                  <c:v>453.68371868220305</c:v>
                </c:pt>
                <c:pt idx="898">
                  <c:v>453.17524873885367</c:v>
                </c:pt>
                <c:pt idx="899">
                  <c:v>451.86101692289827</c:v>
                </c:pt>
                <c:pt idx="900">
                  <c:v>450.00110228479218</c:v>
                </c:pt>
                <c:pt idx="901">
                  <c:v>448.46777122774495</c:v>
                </c:pt>
                <c:pt idx="902">
                  <c:v>448.60570042344335</c:v>
                </c:pt>
                <c:pt idx="903">
                  <c:v>450.13743033569222</c:v>
                </c:pt>
                <c:pt idx="904">
                  <c:v>451.57139415013012</c:v>
                </c:pt>
                <c:pt idx="905">
                  <c:v>452.69869354947235</c:v>
                </c:pt>
                <c:pt idx="906">
                  <c:v>453.68703921567214</c:v>
                </c:pt>
                <c:pt idx="907">
                  <c:v>454.64839971214815</c:v>
                </c:pt>
                <c:pt idx="908">
                  <c:v>456.16150691921246</c:v>
                </c:pt>
                <c:pt idx="909">
                  <c:v>456.89308958098019</c:v>
                </c:pt>
                <c:pt idx="910">
                  <c:v>456.38913840196261</c:v>
                </c:pt>
                <c:pt idx="911">
                  <c:v>455.07928564148767</c:v>
                </c:pt>
                <c:pt idx="912">
                  <c:v>453.22390229576081</c:v>
                </c:pt>
                <c:pt idx="913">
                  <c:v>451.69510891111048</c:v>
                </c:pt>
                <c:pt idx="914">
                  <c:v>451.83743548576399</c:v>
                </c:pt>
                <c:pt idx="915">
                  <c:v>453.37371565087892</c:v>
                </c:pt>
                <c:pt idx="916">
                  <c:v>454.81208903578465</c:v>
                </c:pt>
                <c:pt idx="917">
                  <c:v>455.94395130334061</c:v>
                </c:pt>
                <c:pt idx="918">
                  <c:v>456.93686626223007</c:v>
                </c:pt>
                <c:pt idx="919">
                  <c:v>457.90235939127848</c:v>
                </c:pt>
                <c:pt idx="920">
                  <c:v>459.42004814326219</c:v>
                </c:pt>
                <c:pt idx="921">
                  <c:v>460.15607070007928</c:v>
                </c:pt>
                <c:pt idx="922">
                  <c:v>459.65671376808461</c:v>
                </c:pt>
                <c:pt idx="923">
                  <c:v>458.35131321204534</c:v>
                </c:pt>
                <c:pt idx="924">
                  <c:v>456.50053685066086</c:v>
                </c:pt>
                <c:pt idx="925">
                  <c:v>454.9763569369436</c:v>
                </c:pt>
                <c:pt idx="926">
                  <c:v>455.12315434558849</c:v>
                </c:pt>
                <c:pt idx="927">
                  <c:v>456.66406077225315</c:v>
                </c:pt>
                <c:pt idx="928">
                  <c:v>458.10691738631317</c:v>
                </c:pt>
                <c:pt idx="929">
                  <c:v>459.24341874149695</c:v>
                </c:pt>
                <c:pt idx="930">
                  <c:v>460.2409793198068</c:v>
                </c:pt>
                <c:pt idx="931">
                  <c:v>461.21981348213546</c:v>
                </c:pt>
                <c:pt idx="932">
                  <c:v>462.74217317857898</c:v>
                </c:pt>
                <c:pt idx="933">
                  <c:v>463.48272226597646</c:v>
                </c:pt>
                <c:pt idx="934">
                  <c:v>462.98804922840071</c:v>
                </c:pt>
                <c:pt idx="935">
                  <c:v>461.68718775252057</c:v>
                </c:pt>
                <c:pt idx="936">
                  <c:v>459.8411082714174</c:v>
                </c:pt>
                <c:pt idx="937">
                  <c:v>458.32163185114484</c:v>
                </c:pt>
                <c:pt idx="938">
                  <c:v>458.4729873330225</c:v>
                </c:pt>
                <c:pt idx="939">
                  <c:v>460.01861029333145</c:v>
                </c:pt>
                <c:pt idx="940">
                  <c:v>461.46603761765368</c:v>
                </c:pt>
                <c:pt idx="941">
                  <c:v>462.60726858283465</c:v>
                </c:pt>
                <c:pt idx="942">
                  <c:v>463.60956543038884</c:v>
                </c:pt>
                <c:pt idx="943">
                  <c:v>464.58354387681953</c:v>
                </c:pt>
                <c:pt idx="944">
                  <c:v>466.11063967432767</c:v>
                </c:pt>
                <c:pt idx="945">
                  <c:v>466.85577843443144</c:v>
                </c:pt>
                <c:pt idx="946">
                  <c:v>466.36585462852287</c:v>
                </c:pt>
                <c:pt idx="947">
                  <c:v>465.0695955499865</c:v>
                </c:pt>
                <c:pt idx="948">
                  <c:v>463.22827846755689</c:v>
                </c:pt>
                <c:pt idx="949">
                  <c:v>461.71357115137084</c:v>
                </c:pt>
                <c:pt idx="950">
                  <c:v>461.86954828860632</c:v>
                </c:pt>
                <c:pt idx="951">
                  <c:v>463.41995357510382</c:v>
                </c:pt>
                <c:pt idx="952">
                  <c:v>464.87201536809152</c:v>
                </c:pt>
                <c:pt idx="953">
                  <c:v>466.01804191822038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2C-4C36-8520-E3508D81BE46}"/>
            </c:ext>
          </c:extLst>
        </c:ser>
        <c:ser>
          <c:idx val="0"/>
          <c:order val="1"/>
          <c:tx>
            <c:strRef>
              <c:f>'指数+定数モデル'!$G$1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'指数+定数モデル'!$F$2:$F$955</c:f>
              <c:numCache>
                <c:formatCode>m/d/yyyy</c:formatCode>
                <c:ptCount val="954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</c:numCache>
            </c:numRef>
          </c:xVal>
          <c:yVal>
            <c:numRef>
              <c:f>'指数+定数モデル'!$G$2:$G$955</c:f>
              <c:numCache>
                <c:formatCode>0.00_ ;[Red]\-0.00\ </c:formatCode>
                <c:ptCount val="954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2C-4C36-8520-E3508D81B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226672"/>
        <c:axId val="638232576"/>
      </c:scatterChart>
      <c:valAx>
        <c:axId val="638226672"/>
        <c:scaling>
          <c:orientation val="minMax"/>
          <c:max val="50406"/>
          <c:min val="2118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8232576"/>
        <c:crosses val="autoZero"/>
        <c:crossBetween val="midCat"/>
        <c:majorUnit val="3652.5"/>
      </c:valAx>
      <c:valAx>
        <c:axId val="638232576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8226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トレンド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'指数+定数モデル'!$H$1</c:f>
              <c:strCache>
                <c:ptCount val="1"/>
                <c:pt idx="0">
                  <c:v>TC(d)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'指数+定数モデル'!$F$2:$F$955</c:f>
              <c:numCache>
                <c:formatCode>m/d/yyyy</c:formatCode>
                <c:ptCount val="954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</c:numCache>
            </c:numRef>
          </c:xVal>
          <c:yVal>
            <c:numRef>
              <c:f>'指数+定数モデル'!$H$2:$H$955</c:f>
              <c:numCache>
                <c:formatCode>0.00_ ;[Red]\-0.00\ </c:formatCode>
                <c:ptCount val="954"/>
                <c:pt idx="0">
                  <c:v>313.71601885933205</c:v>
                </c:pt>
                <c:pt idx="1">
                  <c:v>313.79382543700376</c:v>
                </c:pt>
                <c:pt idx="2">
                  <c:v>313.8692264305779</c:v>
                </c:pt>
                <c:pt idx="3">
                  <c:v>314.02285876212903</c:v>
                </c:pt>
                <c:pt idx="4">
                  <c:v>314.10109736752588</c:v>
                </c:pt>
                <c:pt idx="5">
                  <c:v>314.17944613215036</c:v>
                </c:pt>
                <c:pt idx="6">
                  <c:v>314.3339385322613</c:v>
                </c:pt>
                <c:pt idx="7">
                  <c:v>314.41007545191184</c:v>
                </c:pt>
                <c:pt idx="8">
                  <c:v>314.48885925480118</c:v>
                </c:pt>
                <c:pt idx="9">
                  <c:v>314.56775398455113</c:v>
                </c:pt>
                <c:pt idx="10">
                  <c:v>314.63910921436599</c:v>
                </c:pt>
                <c:pt idx="11">
                  <c:v>314.71821549465955</c:v>
                </c:pt>
                <c:pt idx="12">
                  <c:v>314.79487600731244</c:v>
                </c:pt>
                <c:pt idx="13">
                  <c:v>314.87420160579956</c:v>
                </c:pt>
                <c:pt idx="14">
                  <c:v>314.95107465587796</c:v>
                </c:pt>
                <c:pt idx="15">
                  <c:v>315.0306201806074</c:v>
                </c:pt>
                <c:pt idx="16">
                  <c:v>315.11027770469468</c:v>
                </c:pt>
                <c:pt idx="17">
                  <c:v>315.18747241806682</c:v>
                </c:pt>
                <c:pt idx="18">
                  <c:v>315.26735078864345</c:v>
                </c:pt>
                <c:pt idx="19">
                  <c:v>315.34475952048575</c:v>
                </c:pt>
                <c:pt idx="20">
                  <c:v>315.42485934983756</c:v>
                </c:pt>
                <c:pt idx="21">
                  <c:v>315.50507195900303</c:v>
                </c:pt>
                <c:pt idx="22">
                  <c:v>315.58021180213876</c:v>
                </c:pt>
                <c:pt idx="23">
                  <c:v>315.66064314611003</c:v>
                </c:pt>
                <c:pt idx="24">
                  <c:v>315.73858775479749</c:v>
                </c:pt>
                <c:pt idx="25">
                  <c:v>315.81924209063493</c:v>
                </c:pt>
                <c:pt idx="26">
                  <c:v>315.89740279683974</c:v>
                </c:pt>
                <c:pt idx="27">
                  <c:v>315.97828074277709</c:v>
                </c:pt>
                <c:pt idx="28">
                  <c:v>316.05927256410899</c:v>
                </c:pt>
                <c:pt idx="29">
                  <c:v>316.13776032160382</c:v>
                </c:pt>
                <c:pt idx="30">
                  <c:v>316.21897668869724</c:v>
                </c:pt>
                <c:pt idx="31">
                  <c:v>316.29768204956224</c:v>
                </c:pt>
                <c:pt idx="32">
                  <c:v>316.37912358495902</c:v>
                </c:pt>
                <c:pt idx="33">
                  <c:v>316.46067978927908</c:v>
                </c:pt>
                <c:pt idx="34">
                  <c:v>316.53444215237391</c:v>
                </c:pt>
                <c:pt idx="35">
                  <c:v>316.61621704379019</c:v>
                </c:pt>
                <c:pt idx="36">
                  <c:v>316.69546366080772</c:v>
                </c:pt>
                <c:pt idx="37">
                  <c:v>316.77746526900808</c:v>
                </c:pt>
                <c:pt idx="38">
                  <c:v>316.85693159329577</c:v>
                </c:pt>
                <c:pt idx="39">
                  <c:v>316.93916054684104</c:v>
                </c:pt>
                <c:pt idx="40">
                  <c:v>317.02150527798699</c:v>
                </c:pt>
                <c:pt idx="41">
                  <c:v>317.10130411671997</c:v>
                </c:pt>
                <c:pt idx="42">
                  <c:v>317.18387714450211</c:v>
                </c:pt>
                <c:pt idx="43">
                  <c:v>317.2638972215122</c:v>
                </c:pt>
                <c:pt idx="44">
                  <c:v>317.3466991788714</c:v>
                </c:pt>
                <c:pt idx="45">
                  <c:v>317.42961772061523</c:v>
                </c:pt>
                <c:pt idx="46">
                  <c:v>317.50461223065156</c:v>
                </c:pt>
                <c:pt idx="47">
                  <c:v>317.58775311250139</c:v>
                </c:pt>
                <c:pt idx="48">
                  <c:v>317.66832348695687</c:v>
                </c:pt>
                <c:pt idx="49">
                  <c:v>317.7516948727307</c:v>
                </c:pt>
                <c:pt idx="50">
                  <c:v>317.83248862450733</c:v>
                </c:pt>
                <c:pt idx="51">
                  <c:v>317.91609115326577</c:v>
                </c:pt>
                <c:pt idx="52">
                  <c:v>317.99981139360602</c:v>
                </c:pt>
                <c:pt idx="53">
                  <c:v>318.08094321424136</c:v>
                </c:pt>
                <c:pt idx="54">
                  <c:v>318.16489556474795</c:v>
                </c:pt>
                <c:pt idx="55">
                  <c:v>318.24625231928587</c:v>
                </c:pt>
                <c:pt idx="56">
                  <c:v>318.33043742347263</c:v>
                </c:pt>
                <c:pt idx="57">
                  <c:v>318.41474105950186</c:v>
                </c:pt>
                <c:pt idx="58">
                  <c:v>318.49098829860338</c:v>
                </c:pt>
                <c:pt idx="59">
                  <c:v>318.57551798876938</c:v>
                </c:pt>
                <c:pt idx="60">
                  <c:v>318.6574342330735</c:v>
                </c:pt>
                <c:pt idx="61">
                  <c:v>318.74219827756491</c:v>
                </c:pt>
                <c:pt idx="62">
                  <c:v>318.82434163054688</c:v>
                </c:pt>
                <c:pt idx="63">
                  <c:v>318.90934067909927</c:v>
                </c:pt>
                <c:pt idx="64">
                  <c:v>318.99445940552033</c:v>
                </c:pt>
                <c:pt idx="65">
                  <c:v>319.07694647455685</c:v>
                </c:pt>
                <c:pt idx="66">
                  <c:v>319.16230118837672</c:v>
                </c:pt>
                <c:pt idx="67">
                  <c:v>319.24501694867405</c:v>
                </c:pt>
                <c:pt idx="68">
                  <c:v>319.33060830415604</c:v>
                </c:pt>
                <c:pt idx="69">
                  <c:v>319.66584546572051</c:v>
                </c:pt>
                <c:pt idx="70">
                  <c:v>319.75202934383475</c:v>
                </c:pt>
                <c:pt idx="71">
                  <c:v>319.83554863274742</c:v>
                </c:pt>
                <c:pt idx="72">
                  <c:v>319.92197145134008</c:v>
                </c:pt>
                <c:pt idx="73">
                  <c:v>320.00851595245626</c:v>
                </c:pt>
                <c:pt idx="74">
                  <c:v>320.09238471481302</c:v>
                </c:pt>
                <c:pt idx="75">
                  <c:v>320.17916915621686</c:v>
                </c:pt>
                <c:pt idx="76">
                  <c:v>320.26327044050976</c:v>
                </c:pt>
                <c:pt idx="77">
                  <c:v>320.35029548742375</c:v>
                </c:pt>
                <c:pt idx="78">
                  <c:v>320.43744306479317</c:v>
                </c:pt>
                <c:pt idx="79">
                  <c:v>320.5162624666811</c:v>
                </c:pt>
                <c:pt idx="80">
                  <c:v>320.60364372401142</c:v>
                </c:pt>
                <c:pt idx="81">
                  <c:v>320.68832337218026</c:v>
                </c:pt>
                <c:pt idx="82">
                  <c:v>320.77594688966286</c:v>
                </c:pt>
                <c:pt idx="83">
                  <c:v>320.86086130790812</c:v>
                </c:pt>
                <c:pt idx="84">
                  <c:v>320.94872775719716</c:v>
                </c:pt>
                <c:pt idx="85">
                  <c:v>321.03671792162834</c:v>
                </c:pt>
                <c:pt idx="86">
                  <c:v>321.12198765101874</c:v>
                </c:pt>
                <c:pt idx="87">
                  <c:v>321.21022176376664</c:v>
                </c:pt>
                <c:pt idx="88">
                  <c:v>321.29572789920405</c:v>
                </c:pt>
                <c:pt idx="89">
                  <c:v>321.3842066366031</c:v>
                </c:pt>
                <c:pt idx="90">
                  <c:v>321.47280995124027</c:v>
                </c:pt>
                <c:pt idx="91">
                  <c:v>321.5529459742462</c:v>
                </c:pt>
                <c:pt idx="92">
                  <c:v>321.64178687229901</c:v>
                </c:pt>
                <c:pt idx="93">
                  <c:v>321.7278810327627</c:v>
                </c:pt>
                <c:pt idx="94">
                  <c:v>321.81696823774854</c:v>
                </c:pt>
                <c:pt idx="95">
                  <c:v>321.903301089953</c:v>
                </c:pt>
                <c:pt idx="96">
                  <c:v>321.9926352847454</c:v>
                </c:pt>
                <c:pt idx="97">
                  <c:v>322.08209526125199</c:v>
                </c:pt>
                <c:pt idx="98">
                  <c:v>322.16878935981742</c:v>
                </c:pt>
                <c:pt idx="99">
                  <c:v>322.25849735962089</c:v>
                </c:pt>
                <c:pt idx="100">
                  <c:v>322.34543181322533</c:v>
                </c:pt>
                <c:pt idx="101">
                  <c:v>322.43538852395795</c:v>
                </c:pt>
                <c:pt idx="102">
                  <c:v>322.52547189290129</c:v>
                </c:pt>
                <c:pt idx="103">
                  <c:v>322.60694653022904</c:v>
                </c:pt>
                <c:pt idx="104">
                  <c:v>322.69727145124727</c:v>
                </c:pt>
                <c:pt idx="105">
                  <c:v>322.78480375241099</c:v>
                </c:pt>
                <c:pt idx="106">
                  <c:v>322.87537909474133</c:v>
                </c:pt>
                <c:pt idx="107">
                  <c:v>322.96315407481882</c:v>
                </c:pt>
                <c:pt idx="108">
                  <c:v>323.05398053274189</c:v>
                </c:pt>
                <c:pt idx="109">
                  <c:v>323.14493487347181</c:v>
                </c:pt>
                <c:pt idx="110">
                  <c:v>323.23307713426942</c:v>
                </c:pt>
                <c:pt idx="111">
                  <c:v>323.32428364134609</c:v>
                </c:pt>
                <c:pt idx="112">
                  <c:v>323.41267027213991</c:v>
                </c:pt>
                <c:pt idx="113">
                  <c:v>323.50412964468188</c:v>
                </c:pt>
                <c:pt idx="114">
                  <c:v>323.59571779116851</c:v>
                </c:pt>
                <c:pt idx="115">
                  <c:v>323.68151376553834</c:v>
                </c:pt>
                <c:pt idx="116">
                  <c:v>323.77335166721491</c:v>
                </c:pt>
                <c:pt idx="117">
                  <c:v>323.86235017147231</c:v>
                </c:pt>
                <c:pt idx="118">
                  <c:v>323.95444268912399</c:v>
                </c:pt>
                <c:pt idx="119">
                  <c:v>324.04368793726968</c:v>
                </c:pt>
                <c:pt idx="120">
                  <c:v>324.13603577680658</c:v>
                </c:pt>
                <c:pt idx="121">
                  <c:v>324.22851364124136</c:v>
                </c:pt>
                <c:pt idx="122">
                  <c:v>324.31813232221475</c:v>
                </c:pt>
                <c:pt idx="123">
                  <c:v>324.41086657688936</c:v>
                </c:pt>
                <c:pt idx="124">
                  <c:v>324.5007337211598</c:v>
                </c:pt>
                <c:pt idx="125">
                  <c:v>324.5937250769033</c:v>
                </c:pt>
                <c:pt idx="126">
                  <c:v>324.6868473636095</c:v>
                </c:pt>
                <c:pt idx="127">
                  <c:v>324.7710705074096</c:v>
                </c:pt>
                <c:pt idx="128">
                  <c:v>324.86444249483009</c:v>
                </c:pt>
                <c:pt idx="129">
                  <c:v>324.95492765475058</c:v>
                </c:pt>
                <c:pt idx="130">
                  <c:v>325.04855851132197</c:v>
                </c:pt>
                <c:pt idx="131">
                  <c:v>325.13929453680896</c:v>
                </c:pt>
                <c:pt idx="132">
                  <c:v>325.23318498023303</c:v>
                </c:pt>
                <c:pt idx="133">
                  <c:v>325.32720762052685</c:v>
                </c:pt>
                <c:pt idx="134">
                  <c:v>325.41832331676699</c:v>
                </c:pt>
                <c:pt idx="135">
                  <c:v>325.51260663011419</c:v>
                </c:pt>
                <c:pt idx="136">
                  <c:v>325.6039749400511</c:v>
                </c:pt>
                <c:pt idx="137">
                  <c:v>325.69851964915466</c:v>
                </c:pt>
                <c:pt idx="138">
                  <c:v>325.79319747632803</c:v>
                </c:pt>
                <c:pt idx="139">
                  <c:v>325.87882750684764</c:v>
                </c:pt>
                <c:pt idx="140">
                  <c:v>325.97375920580515</c:v>
                </c:pt>
                <c:pt idx="141">
                  <c:v>326.06575585489662</c:v>
                </c:pt>
                <c:pt idx="142">
                  <c:v>326.1609507472271</c:v>
                </c:pt>
                <c:pt idx="143">
                  <c:v>326.25320245241301</c:v>
                </c:pt>
                <c:pt idx="144">
                  <c:v>326.34866126780679</c:v>
                </c:pt>
                <c:pt idx="145">
                  <c:v>326.44425448832351</c:v>
                </c:pt>
                <c:pt idx="146">
                  <c:v>326.5368922063879</c:v>
                </c:pt>
                <c:pt idx="147">
                  <c:v>326.63275045431288</c:v>
                </c:pt>
                <c:pt idx="148">
                  <c:v>326.72564500580324</c:v>
                </c:pt>
                <c:pt idx="149">
                  <c:v>326.82176901591163</c:v>
                </c:pt>
                <c:pt idx="150">
                  <c:v>326.91802836773098</c:v>
                </c:pt>
                <c:pt idx="151">
                  <c:v>327.00508878599544</c:v>
                </c:pt>
                <c:pt idx="152">
                  <c:v>327.10160625034348</c:v>
                </c:pt>
                <c:pt idx="153">
                  <c:v>327.19513963693964</c:v>
                </c:pt>
                <c:pt idx="154">
                  <c:v>327.2919246911157</c:v>
                </c:pt>
                <c:pt idx="155">
                  <c:v>327.38571739433388</c:v>
                </c:pt>
                <c:pt idx="156">
                  <c:v>327.48277078021715</c:v>
                </c:pt>
                <c:pt idx="157">
                  <c:v>327.57996081636372</c:v>
                </c:pt>
                <c:pt idx="158">
                  <c:v>327.67414598052653</c:v>
                </c:pt>
                <c:pt idx="159">
                  <c:v>327.77160547117262</c:v>
                </c:pt>
                <c:pt idx="160">
                  <c:v>327.86605175897796</c:v>
                </c:pt>
                <c:pt idx="161">
                  <c:v>327.96378145117262</c:v>
                </c:pt>
                <c:pt idx="162">
                  <c:v>328.06164874586352</c:v>
                </c:pt>
                <c:pt idx="163">
                  <c:v>328.15332676566254</c:v>
                </c:pt>
                <c:pt idx="164">
                  <c:v>328.25146093839066</c:v>
                </c:pt>
                <c:pt idx="165">
                  <c:v>328.34656104880173</c:v>
                </c:pt>
                <c:pt idx="166">
                  <c:v>328.44496729360066</c:v>
                </c:pt>
                <c:pt idx="167">
                  <c:v>328.54033106429688</c:v>
                </c:pt>
                <c:pt idx="168">
                  <c:v>328.63901013547286</c:v>
                </c:pt>
                <c:pt idx="169">
                  <c:v>328.7378281458619</c:v>
                </c:pt>
                <c:pt idx="170">
                  <c:v>328.83359095138951</c:v>
                </c:pt>
                <c:pt idx="171">
                  <c:v>328.93268292975495</c:v>
                </c:pt>
                <c:pt idx="172">
                  <c:v>329.02871123285678</c:v>
                </c:pt>
                <c:pt idx="173">
                  <c:v>329.12807793876112</c:v>
                </c:pt>
                <c:pt idx="174">
                  <c:v>329.22758455206178</c:v>
                </c:pt>
                <c:pt idx="175">
                  <c:v>329.31758191034754</c:v>
                </c:pt>
                <c:pt idx="176">
                  <c:v>329.41735534347509</c:v>
                </c:pt>
                <c:pt idx="177">
                  <c:v>329.51404403246812</c:v>
                </c:pt>
                <c:pt idx="178">
                  <c:v>329.61409408243372</c:v>
                </c:pt>
                <c:pt idx="179">
                  <c:v>329.71105083596638</c:v>
                </c:pt>
                <c:pt idx="180">
                  <c:v>329.81137826967631</c:v>
                </c:pt>
                <c:pt idx="181">
                  <c:v>329.9118469634783</c:v>
                </c:pt>
                <c:pt idx="182">
                  <c:v>330.00920941743084</c:v>
                </c:pt>
                <c:pt idx="183">
                  <c:v>330.10995665564622</c:v>
                </c:pt>
                <c:pt idx="184">
                  <c:v>330.20758904211789</c:v>
                </c:pt>
                <c:pt idx="185">
                  <c:v>330.30861559699707</c:v>
                </c:pt>
                <c:pt idx="186">
                  <c:v>330.40978439632448</c:v>
                </c:pt>
                <c:pt idx="187">
                  <c:v>330.50128509540764</c:v>
                </c:pt>
                <c:pt idx="188">
                  <c:v>330.60272517159422</c:v>
                </c:pt>
                <c:pt idx="189">
                  <c:v>330.70102897522588</c:v>
                </c:pt>
                <c:pt idx="190">
                  <c:v>330.80275028893476</c:v>
                </c:pt>
                <c:pt idx="191">
                  <c:v>330.90132663493046</c:v>
                </c:pt>
                <c:pt idx="192">
                  <c:v>331.00332996587849</c:v>
                </c:pt>
                <c:pt idx="193">
                  <c:v>331.10547691656637</c:v>
                </c:pt>
                <c:pt idx="194">
                  <c:v>331.2044657399141</c:v>
                </c:pt>
                <c:pt idx="195">
                  <c:v>331.30689588789829</c:v>
                </c:pt>
                <c:pt idx="196">
                  <c:v>331.40615915279278</c:v>
                </c:pt>
                <c:pt idx="197">
                  <c:v>331.50887328322369</c:v>
                </c:pt>
                <c:pt idx="198">
                  <c:v>331.61173203419361</c:v>
                </c:pt>
                <c:pt idx="199">
                  <c:v>331.70476118629512</c:v>
                </c:pt>
                <c:pt idx="200">
                  <c:v>331.80789574560799</c:v>
                </c:pt>
                <c:pt idx="201">
                  <c:v>331.90784164320058</c:v>
                </c:pt>
                <c:pt idx="202">
                  <c:v>332.01126213790513</c:v>
                </c:pt>
                <c:pt idx="203">
                  <c:v>332.11148513048488</c:v>
                </c:pt>
                <c:pt idx="204">
                  <c:v>332.21519235332266</c:v>
                </c:pt>
                <c:pt idx="205">
                  <c:v>332.31904559496428</c:v>
                </c:pt>
                <c:pt idx="206">
                  <c:v>332.41968795503192</c:v>
                </c:pt>
                <c:pt idx="207">
                  <c:v>332.52382912457597</c:v>
                </c:pt>
                <c:pt idx="208">
                  <c:v>332.62475051053792</c:v>
                </c:pt>
                <c:pt idx="209">
                  <c:v>332.72918040625007</c:v>
                </c:pt>
                <c:pt idx="210">
                  <c:v>332.83375733828268</c:v>
                </c:pt>
                <c:pt idx="211">
                  <c:v>332.93172066786764</c:v>
                </c:pt>
                <c:pt idx="212">
                  <c:v>333.03658277470208</c:v>
                </c:pt>
                <c:pt idx="213">
                  <c:v>333.13820280838286</c:v>
                </c:pt>
                <c:pt idx="214">
                  <c:v>333.24335564014785</c:v>
                </c:pt>
                <c:pt idx="215">
                  <c:v>333.34525741027403</c:v>
                </c:pt>
                <c:pt idx="216">
                  <c:v>333.45070177298987</c:v>
                </c:pt>
                <c:pt idx="217">
                  <c:v>333.55629460038631</c:v>
                </c:pt>
                <c:pt idx="218">
                  <c:v>333.65862276258326</c:v>
                </c:pt>
                <c:pt idx="219">
                  <c:v>333.76450834079634</c:v>
                </c:pt>
                <c:pt idx="220">
                  <c:v>333.86712020268953</c:v>
                </c:pt>
                <c:pt idx="221">
                  <c:v>333.97329934335625</c:v>
                </c:pt>
                <c:pt idx="222">
                  <c:v>334.07962798326395</c:v>
                </c:pt>
                <c:pt idx="223">
                  <c:v>334.17579542766191</c:v>
                </c:pt>
                <c:pt idx="224">
                  <c:v>334.28240918017013</c:v>
                </c:pt>
                <c:pt idx="225">
                  <c:v>334.38572670303711</c:v>
                </c:pt>
                <c:pt idx="226">
                  <c:v>334.49263603682567</c:v>
                </c:pt>
                <c:pt idx="227">
                  <c:v>334.59624000234157</c:v>
                </c:pt>
                <c:pt idx="228">
                  <c:v>334.70344573689482</c:v>
                </c:pt>
                <c:pt idx="229">
                  <c:v>334.81080241612381</c:v>
                </c:pt>
                <c:pt idx="230">
                  <c:v>334.91483989628171</c:v>
                </c:pt>
                <c:pt idx="231">
                  <c:v>335.02249421651806</c:v>
                </c:pt>
                <c:pt idx="232">
                  <c:v>335.12682013537045</c:v>
                </c:pt>
                <c:pt idx="233">
                  <c:v>335.23477292180894</c:v>
                </c:pt>
                <c:pt idx="234">
                  <c:v>335.34287770476527</c:v>
                </c:pt>
                <c:pt idx="235">
                  <c:v>335.44065155678771</c:v>
                </c:pt>
                <c:pt idx="236">
                  <c:v>335.54904621494444</c:v>
                </c:pt>
                <c:pt idx="237">
                  <c:v>335.65408958232683</c:v>
                </c:pt>
                <c:pt idx="238">
                  <c:v>335.76278475923544</c:v>
                </c:pt>
                <c:pt idx="239">
                  <c:v>335.86811935408417</c:v>
                </c:pt>
                <c:pt idx="240">
                  <c:v>335.97711588291781</c:v>
                </c:pt>
                <c:pt idx="241">
                  <c:v>336.08626587784886</c:v>
                </c:pt>
                <c:pt idx="242">
                  <c:v>336.19204122888834</c:v>
                </c:pt>
                <c:pt idx="243">
                  <c:v>336.30149383670454</c:v>
                </c:pt>
                <c:pt idx="244">
                  <c:v>336.40756244459828</c:v>
                </c:pt>
                <c:pt idx="245">
                  <c:v>336.51731850427882</c:v>
                </c:pt>
                <c:pt idx="246">
                  <c:v>336.62722909946899</c:v>
                </c:pt>
                <c:pt idx="247">
                  <c:v>336.72663619299396</c:v>
                </c:pt>
                <c:pt idx="248">
                  <c:v>336.83684150554018</c:v>
                </c:pt>
                <c:pt idx="249">
                  <c:v>336.9436395464229</c:v>
                </c:pt>
                <c:pt idx="250">
                  <c:v>337.05415039766945</c:v>
                </c:pt>
                <c:pt idx="251">
                  <c:v>337.16124453076281</c:v>
                </c:pt>
                <c:pt idx="252">
                  <c:v>337.27206176780044</c:v>
                </c:pt>
                <c:pt idx="253">
                  <c:v>337.38303503447571</c:v>
                </c:pt>
                <c:pt idx="254">
                  <c:v>337.49057728627315</c:v>
                </c:pt>
                <c:pt idx="255">
                  <c:v>337.60185822076301</c:v>
                </c:pt>
                <c:pt idx="256">
                  <c:v>337.70969862805856</c:v>
                </c:pt>
                <c:pt idx="257">
                  <c:v>337.82128808335665</c:v>
                </c:pt>
                <c:pt idx="258">
                  <c:v>337.93303465556846</c:v>
                </c:pt>
                <c:pt idx="259">
                  <c:v>338.03771420650571</c:v>
                </c:pt>
                <c:pt idx="260">
                  <c:v>338.14976550468305</c:v>
                </c:pt>
                <c:pt idx="261">
                  <c:v>338.25835245795417</c:v>
                </c:pt>
                <c:pt idx="262">
                  <c:v>338.37071441273446</c:v>
                </c:pt>
                <c:pt idx="263">
                  <c:v>338.47960241788604</c:v>
                </c:pt>
                <c:pt idx="264">
                  <c:v>338.59227589054899</c:v>
                </c:pt>
                <c:pt idx="265">
                  <c:v>338.70510800641199</c:v>
                </c:pt>
                <c:pt idx="266">
                  <c:v>338.81445163644582</c:v>
                </c:pt>
                <c:pt idx="267">
                  <c:v>338.92759657368958</c:v>
                </c:pt>
                <c:pt idx="268">
                  <c:v>339.0372433534522</c:v>
                </c:pt>
                <c:pt idx="269">
                  <c:v>339.15070197935836</c:v>
                </c:pt>
                <c:pt idx="270">
                  <c:v>339.26432035395294</c:v>
                </c:pt>
                <c:pt idx="271">
                  <c:v>339.36708089646413</c:v>
                </c:pt>
                <c:pt idx="272">
                  <c:v>339.48100393055859</c:v>
                </c:pt>
                <c:pt idx="273">
                  <c:v>339.59140475037015</c:v>
                </c:pt>
                <c:pt idx="274">
                  <c:v>339.70564363036146</c:v>
                </c:pt>
                <c:pt idx="275">
                  <c:v>339.81635053090747</c:v>
                </c:pt>
                <c:pt idx="276">
                  <c:v>339.9309061324625</c:v>
                </c:pt>
                <c:pt idx="277">
                  <c:v>340.04562302723747</c:v>
                </c:pt>
                <c:pt idx="278">
                  <c:v>340.15679316354988</c:v>
                </c:pt>
                <c:pt idx="279">
                  <c:v>340.27182810516064</c:v>
                </c:pt>
                <c:pt idx="280">
                  <c:v>340.38330645509888</c:v>
                </c:pt>
                <c:pt idx="281">
                  <c:v>340.49866032531429</c:v>
                </c:pt>
                <c:pt idx="282">
                  <c:v>340.61417661270445</c:v>
                </c:pt>
                <c:pt idx="283">
                  <c:v>340.71865369577711</c:v>
                </c:pt>
                <c:pt idx="284">
                  <c:v>340.83447973178386</c:v>
                </c:pt>
                <c:pt idx="285">
                  <c:v>340.94672471746486</c:v>
                </c:pt>
                <c:pt idx="286">
                  <c:v>341.06287187534576</c:v>
                </c:pt>
                <c:pt idx="287">
                  <c:v>341.17542805461858</c:v>
                </c:pt>
                <c:pt idx="288">
                  <c:v>341.29189722466782</c:v>
                </c:pt>
                <c:pt idx="289">
                  <c:v>341.40853038222383</c:v>
                </c:pt>
                <c:pt idx="290">
                  <c:v>341.52155753528143</c:v>
                </c:pt>
                <c:pt idx="291">
                  <c:v>341.63851405241564</c:v>
                </c:pt>
                <c:pt idx="292">
                  <c:v>341.75185456758493</c:v>
                </c:pt>
                <c:pt idx="293">
                  <c:v>341.86913534079542</c:v>
                </c:pt>
                <c:pt idx="294">
                  <c:v>341.98658124424219</c:v>
                </c:pt>
                <c:pt idx="295">
                  <c:v>342.09280354144516</c:v>
                </c:pt>
                <c:pt idx="296">
                  <c:v>342.21056436763513</c:v>
                </c:pt>
                <c:pt idx="297">
                  <c:v>342.32468432464299</c:v>
                </c:pt>
                <c:pt idx="298">
                  <c:v>342.44277163681585</c:v>
                </c:pt>
                <c:pt idx="299">
                  <c:v>342.55720798567944</c:v>
                </c:pt>
                <c:pt idx="300">
                  <c:v>342.67562268900122</c:v>
                </c:pt>
                <c:pt idx="301">
                  <c:v>342.79420411912224</c:v>
                </c:pt>
                <c:pt idx="302">
                  <c:v>342.9091193090473</c:v>
                </c:pt>
                <c:pt idx="303">
                  <c:v>343.02802950023448</c:v>
                </c:pt>
                <c:pt idx="304">
                  <c:v>343.14326328675861</c:v>
                </c:pt>
                <c:pt idx="305">
                  <c:v>343.26250315048554</c:v>
                </c:pt>
                <c:pt idx="306">
                  <c:v>343.38191090282987</c:v>
                </c:pt>
                <c:pt idx="307">
                  <c:v>343.49376712934702</c:v>
                </c:pt>
                <c:pt idx="308">
                  <c:v>343.61350049921953</c:v>
                </c:pt>
                <c:pt idx="309">
                  <c:v>343.72953201381011</c:v>
                </c:pt>
                <c:pt idx="310">
                  <c:v>343.84959733844391</c:v>
                </c:pt>
                <c:pt idx="311">
                  <c:v>343.96595054458771</c:v>
                </c:pt>
                <c:pt idx="312">
                  <c:v>344.08634874431078</c:v>
                </c:pt>
                <c:pt idx="313">
                  <c:v>344.20691646357756</c:v>
                </c:pt>
                <c:pt idx="314">
                  <c:v>344.32375653157328</c:v>
                </c:pt>
                <c:pt idx="315">
                  <c:v>344.44465851879318</c:v>
                </c:pt>
                <c:pt idx="316">
                  <c:v>344.56182252001588</c:v>
                </c:pt>
                <c:pt idx="317">
                  <c:v>344.68305970193001</c:v>
                </c:pt>
                <c:pt idx="318">
                  <c:v>344.80446758466724</c:v>
                </c:pt>
                <c:pt idx="319">
                  <c:v>344.91427323837161</c:v>
                </c:pt>
                <c:pt idx="320">
                  <c:v>345.03600666761446</c:v>
                </c:pt>
                <c:pt idx="321">
                  <c:v>345.15397640475936</c:v>
                </c:pt>
                <c:pt idx="322">
                  <c:v>345.27604733382782</c:v>
                </c:pt>
                <c:pt idx="323">
                  <c:v>345.39434413615072</c:v>
                </c:pt>
                <c:pt idx="324">
                  <c:v>345.51675350074606</c:v>
                </c:pt>
                <c:pt idx="325">
                  <c:v>345.6393352165864</c:v>
                </c:pt>
                <c:pt idx="326">
                  <c:v>345.75812701343654</c:v>
                </c:pt>
                <c:pt idx="327">
                  <c:v>345.88104858093459</c:v>
                </c:pt>
                <c:pt idx="328">
                  <c:v>346.00016972208203</c:v>
                </c:pt>
                <c:pt idx="329">
                  <c:v>346.12343208345931</c:v>
                </c:pt>
                <c:pt idx="330">
                  <c:v>346.24686799709332</c:v>
                </c:pt>
                <c:pt idx="331">
                  <c:v>346.35850787484776</c:v>
                </c:pt>
                <c:pt idx="332">
                  <c:v>346.48227477300645</c:v>
                </c:pt>
                <c:pt idx="333">
                  <c:v>346.60221510931217</c:v>
                </c:pt>
                <c:pt idx="334">
                  <c:v>346.72632514498696</c:v>
                </c:pt>
                <c:pt idx="335">
                  <c:v>346.8465980098581</c:v>
                </c:pt>
                <c:pt idx="336">
                  <c:v>346.97105213438056</c:v>
                </c:pt>
                <c:pt idx="337">
                  <c:v>347.09568148915116</c:v>
                </c:pt>
                <c:pt idx="338">
                  <c:v>347.21645761707498</c:v>
                </c:pt>
                <c:pt idx="339">
                  <c:v>347.34143250047941</c:v>
                </c:pt>
                <c:pt idx="340">
                  <c:v>347.46254347415896</c:v>
                </c:pt>
                <c:pt idx="341">
                  <c:v>347.58786484415799</c:v>
                </c:pt>
                <c:pt idx="342">
                  <c:v>347.71336266547866</c:v>
                </c:pt>
                <c:pt idx="343">
                  <c:v>347.82686740666952</c:v>
                </c:pt>
                <c:pt idx="344">
                  <c:v>347.95270174137204</c:v>
                </c:pt>
                <c:pt idx="345">
                  <c:v>348.07464559427268</c:v>
                </c:pt>
                <c:pt idx="346">
                  <c:v>348.20082879835542</c:v>
                </c:pt>
                <c:pt idx="347">
                  <c:v>348.32311073447067</c:v>
                </c:pt>
                <c:pt idx="348">
                  <c:v>348.44964377515646</c:v>
                </c:pt>
                <c:pt idx="349">
                  <c:v>348.576354973185</c:v>
                </c:pt>
                <c:pt idx="350">
                  <c:v>348.69914857899835</c:v>
                </c:pt>
                <c:pt idx="351">
                  <c:v>348.82621107746672</c:v>
                </c:pt>
                <c:pt idx="352">
                  <c:v>348.949345122392</c:v>
                </c:pt>
                <c:pt idx="353">
                  <c:v>349.07675989526308</c:v>
                </c:pt>
                <c:pt idx="354">
                  <c:v>349.20435406694742</c:v>
                </c:pt>
                <c:pt idx="355">
                  <c:v>349.3238789913346</c:v>
                </c:pt>
                <c:pt idx="356">
                  <c:v>349.45182110440442</c:v>
                </c:pt>
                <c:pt idx="357">
                  <c:v>349.5758075684555</c:v>
                </c:pt>
                <c:pt idx="358">
                  <c:v>349.7041043946154</c:v>
                </c:pt>
                <c:pt idx="359">
                  <c:v>349.82843460491807</c:v>
                </c:pt>
                <c:pt idx="360">
                  <c:v>349.95708712759222</c:v>
                </c:pt>
                <c:pt idx="361">
                  <c:v>350.08592079181994</c:v>
                </c:pt>
                <c:pt idx="362">
                  <c:v>350.21077124250485</c:v>
                </c:pt>
                <c:pt idx="363">
                  <c:v>350.33996209160341</c:v>
                </c:pt>
                <c:pt idx="364">
                  <c:v>350.4651586838994</c:v>
                </c:pt>
                <c:pt idx="365">
                  <c:v>350.59470770814607</c:v>
                </c:pt>
                <c:pt idx="366">
                  <c:v>350.72443913621214</c:v>
                </c:pt>
                <c:pt idx="367">
                  <c:v>350.84177290353978</c:v>
                </c:pt>
                <c:pt idx="368">
                  <c:v>350.97185219709968</c:v>
                </c:pt>
                <c:pt idx="369">
                  <c:v>351.09790976538409</c:v>
                </c:pt>
                <c:pt idx="370">
                  <c:v>351.22834969725972</c:v>
                </c:pt>
                <c:pt idx="371">
                  <c:v>351.35475675382827</c:v>
                </c:pt>
                <c:pt idx="372">
                  <c:v>351.48555832387126</c:v>
                </c:pt>
                <c:pt idx="373">
                  <c:v>351.61654406130646</c:v>
                </c:pt>
                <c:pt idx="374">
                  <c:v>351.74348004849662</c:v>
                </c:pt>
                <c:pt idx="375">
                  <c:v>351.87482893731772</c:v>
                </c:pt>
                <c:pt idx="376">
                  <c:v>352.00211684816441</c:v>
                </c:pt>
                <c:pt idx="377">
                  <c:v>352.13382989519039</c:v>
                </c:pt>
                <c:pt idx="378">
                  <c:v>352.26572839295972</c:v>
                </c:pt>
                <c:pt idx="379">
                  <c:v>352.38502213603215</c:v>
                </c:pt>
                <c:pt idx="380">
                  <c:v>352.51727431013688</c:v>
                </c:pt>
                <c:pt idx="381">
                  <c:v>352.64543757895325</c:v>
                </c:pt>
                <c:pt idx="382">
                  <c:v>352.77805641557609</c:v>
                </c:pt>
                <c:pt idx="383">
                  <c:v>352.90657501062566</c:v>
                </c:pt>
                <c:pt idx="384">
                  <c:v>353.03956152631997</c:v>
                </c:pt>
                <c:pt idx="385">
                  <c:v>353.17273528578949</c:v>
                </c:pt>
                <c:pt idx="386">
                  <c:v>353.30179164686444</c:v>
                </c:pt>
                <c:pt idx="387">
                  <c:v>353.4353346239011</c:v>
                </c:pt>
                <c:pt idx="388">
                  <c:v>353.56474878726272</c:v>
                </c:pt>
                <c:pt idx="389">
                  <c:v>353.69866200550382</c:v>
                </c:pt>
                <c:pt idx="390">
                  <c:v>353.83276377230897</c:v>
                </c:pt>
                <c:pt idx="391">
                  <c:v>353.95405023110385</c:v>
                </c:pt>
                <c:pt idx="392">
                  <c:v>354.0885115821518</c:v>
                </c:pt>
                <c:pt idx="393">
                  <c:v>354.2188157257051</c:v>
                </c:pt>
                <c:pt idx="394">
                  <c:v>354.35364986410332</c:v>
                </c:pt>
                <c:pt idx="395">
                  <c:v>354.48431526935769</c:v>
                </c:pt>
                <c:pt idx="396">
                  <c:v>354.61952322864039</c:v>
                </c:pt>
                <c:pt idx="397">
                  <c:v>354.7549215594704</c:v>
                </c:pt>
                <c:pt idx="398">
                  <c:v>354.88613371374254</c:v>
                </c:pt>
                <c:pt idx="399">
                  <c:v>355.02190742965223</c:v>
                </c:pt>
                <c:pt idx="400">
                  <c:v>355.15348336303958</c:v>
                </c:pt>
                <c:pt idx="401">
                  <c:v>355.28963350476522</c:v>
                </c:pt>
                <c:pt idx="402">
                  <c:v>355.42597534462232</c:v>
                </c:pt>
                <c:pt idx="403">
                  <c:v>355.55369472149187</c:v>
                </c:pt>
                <c:pt idx="404">
                  <c:v>355.69040835708245</c:v>
                </c:pt>
                <c:pt idx="405">
                  <c:v>355.82289515019329</c:v>
                </c:pt>
                <c:pt idx="406">
                  <c:v>355.95998781748011</c:v>
                </c:pt>
                <c:pt idx="407">
                  <c:v>356.09284192357836</c:v>
                </c:pt>
                <c:pt idx="408">
                  <c:v>356.23031467340769</c:v>
                </c:pt>
                <c:pt idx="409">
                  <c:v>356.36798098358827</c:v>
                </c:pt>
                <c:pt idx="410">
                  <c:v>356.50139099698174</c:v>
                </c:pt>
                <c:pt idx="411">
                  <c:v>356.63943898010103</c:v>
                </c:pt>
                <c:pt idx="412">
                  <c:v>356.77321886606387</c:v>
                </c:pt>
                <c:pt idx="413">
                  <c:v>356.91164958029094</c:v>
                </c:pt>
                <c:pt idx="414">
                  <c:v>357.050275203674</c:v>
                </c:pt>
                <c:pt idx="415">
                  <c:v>357.17565320098873</c:v>
                </c:pt>
                <c:pt idx="416">
                  <c:v>357.31465053901076</c:v>
                </c:pt>
                <c:pt idx="417">
                  <c:v>357.44935042820578</c:v>
                </c:pt>
                <c:pt idx="418">
                  <c:v>357.58873312937436</c:v>
                </c:pt>
                <c:pt idx="419">
                  <c:v>357.72380646725458</c:v>
                </c:pt>
                <c:pt idx="420">
                  <c:v>357.86357559996981</c:v>
                </c:pt>
                <c:pt idx="421">
                  <c:v>358.00354152632207</c:v>
                </c:pt>
                <c:pt idx="422">
                  <c:v>358.13918005752703</c:v>
                </c:pt>
                <c:pt idx="423">
                  <c:v>358.27953403238837</c:v>
                </c:pt>
                <c:pt idx="424">
                  <c:v>358.41554861461645</c:v>
                </c:pt>
                <c:pt idx="425">
                  <c:v>358.55629171383202</c:v>
                </c:pt>
                <c:pt idx="426">
                  <c:v>358.69723297802028</c:v>
                </c:pt>
                <c:pt idx="427">
                  <c:v>358.82470532412526</c:v>
                </c:pt>
                <c:pt idx="428">
                  <c:v>358.96602451217672</c:v>
                </c:pt>
                <c:pt idx="429">
                  <c:v>359.10297446562561</c:v>
                </c:pt>
                <c:pt idx="430">
                  <c:v>359.24468545403636</c:v>
                </c:pt>
                <c:pt idx="431">
                  <c:v>359.38201509436084</c:v>
                </c:pt>
                <c:pt idx="432">
                  <c:v>359.52411896937775</c:v>
                </c:pt>
                <c:pt idx="433">
                  <c:v>359.66642292532708</c:v>
                </c:pt>
                <c:pt idx="434">
                  <c:v>359.80432720012209</c:v>
                </c:pt>
                <c:pt idx="435">
                  <c:v>359.94702568665025</c:v>
                </c:pt>
                <c:pt idx="436">
                  <c:v>360.08531229412887</c:v>
                </c:pt>
                <c:pt idx="437">
                  <c:v>360.22840640505223</c:v>
                </c:pt>
                <c:pt idx="438">
                  <c:v>360.37170199115093</c:v>
                </c:pt>
                <c:pt idx="439">
                  <c:v>360.50130367062843</c:v>
                </c:pt>
                <c:pt idx="440">
                  <c:v>360.64498349353516</c:v>
                </c:pt>
                <c:pt idx="441">
                  <c:v>360.78422109693452</c:v>
                </c:pt>
                <c:pt idx="442">
                  <c:v>360.92829926494227</c:v>
                </c:pt>
                <c:pt idx="443">
                  <c:v>361.06792289761177</c:v>
                </c:pt>
                <c:pt idx="444">
                  <c:v>361.21240051511245</c:v>
                </c:pt>
                <c:pt idx="445">
                  <c:v>361.35708155575264</c:v>
                </c:pt>
                <c:pt idx="446">
                  <c:v>361.49728942174625</c:v>
                </c:pt>
                <c:pt idx="447">
                  <c:v>361.64237158331338</c:v>
                </c:pt>
                <c:pt idx="448">
                  <c:v>361.78296816858159</c:v>
                </c:pt>
                <c:pt idx="449">
                  <c:v>361.92845256316338</c:v>
                </c:pt>
                <c:pt idx="450">
                  <c:v>362.07414179841771</c:v>
                </c:pt>
                <c:pt idx="451">
                  <c:v>362.2106174273427</c:v>
                </c:pt>
                <c:pt idx="452">
                  <c:v>362.35670394809756</c:v>
                </c:pt>
                <c:pt idx="453">
                  <c:v>362.49827384028805</c:v>
                </c:pt>
                <c:pt idx="454">
                  <c:v>362.64476537859298</c:v>
                </c:pt>
                <c:pt idx="455">
                  <c:v>362.78672776620738</c:v>
                </c:pt>
                <c:pt idx="456">
                  <c:v>362.93362544495324</c:v>
                </c:pt>
                <c:pt idx="457">
                  <c:v>363.08072995426249</c:v>
                </c:pt>
                <c:pt idx="458">
                  <c:v>363.22328636135626</c:v>
                </c:pt>
                <c:pt idx="459">
                  <c:v>363.37079871053777</c:v>
                </c:pt>
                <c:pt idx="460">
                  <c:v>363.51375034811855</c:v>
                </c:pt>
                <c:pt idx="461">
                  <c:v>363.6616716678879</c:v>
                </c:pt>
                <c:pt idx="462">
                  <c:v>363.8098012594977</c:v>
                </c:pt>
                <c:pt idx="463">
                  <c:v>363.94377498733968</c:v>
                </c:pt>
                <c:pt idx="464">
                  <c:v>364.09230177779557</c:v>
                </c:pt>
                <c:pt idx="465">
                  <c:v>364.23623649267273</c:v>
                </c:pt>
                <c:pt idx="466">
                  <c:v>364.38517506620406</c:v>
                </c:pt>
                <c:pt idx="467">
                  <c:v>364.5295088328574</c:v>
                </c:pt>
                <c:pt idx="468">
                  <c:v>364.67886033111199</c:v>
                </c:pt>
                <c:pt idx="469">
                  <c:v>364.82842211488503</c:v>
                </c:pt>
                <c:pt idx="470">
                  <c:v>364.97335982368361</c:v>
                </c:pt>
                <c:pt idx="471">
                  <c:v>365.12333625999912</c:v>
                </c:pt>
                <c:pt idx="472">
                  <c:v>365.26867580132415</c:v>
                </c:pt>
                <c:pt idx="473">
                  <c:v>365.41906803978554</c:v>
                </c:pt>
                <c:pt idx="474">
                  <c:v>365.56967202911767</c:v>
                </c:pt>
                <c:pt idx="475">
                  <c:v>365.70588369121339</c:v>
                </c:pt>
                <c:pt idx="476">
                  <c:v>365.8568915143112</c:v>
                </c:pt>
                <c:pt idx="477">
                  <c:v>366.00323055452816</c:v>
                </c:pt>
                <c:pt idx="478">
                  <c:v>366.15465703923991</c:v>
                </c:pt>
                <c:pt idx="479">
                  <c:v>366.30140179710446</c:v>
                </c:pt>
                <c:pt idx="480">
                  <c:v>366.45324810414843</c:v>
                </c:pt>
                <c:pt idx="481">
                  <c:v>366.60530820937845</c:v>
                </c:pt>
                <c:pt idx="482">
                  <c:v>366.75266699780502</c:v>
                </c:pt>
                <c:pt idx="483">
                  <c:v>366.90514868204843</c:v>
                </c:pt>
                <c:pt idx="484">
                  <c:v>367.05291601532332</c:v>
                </c:pt>
                <c:pt idx="485">
                  <c:v>367.20582044738671</c:v>
                </c:pt>
                <c:pt idx="486">
                  <c:v>367.35894016746619</c:v>
                </c:pt>
                <c:pt idx="487">
                  <c:v>367.49742714688904</c:v>
                </c:pt>
                <c:pt idx="488">
                  <c:v>367.65095744648528</c:v>
                </c:pt>
                <c:pt idx="489">
                  <c:v>367.79974097455823</c:v>
                </c:pt>
                <c:pt idx="490">
                  <c:v>367.95369692920792</c:v>
                </c:pt>
                <c:pt idx="491">
                  <c:v>368.10289295214847</c:v>
                </c:pt>
                <c:pt idx="492">
                  <c:v>368.25727574195895</c:v>
                </c:pt>
                <c:pt idx="493">
                  <c:v>368.41187590129948</c:v>
                </c:pt>
                <c:pt idx="494">
                  <c:v>368.56169621173865</c:v>
                </c:pt>
                <c:pt idx="495">
                  <c:v>368.71672499226509</c:v>
                </c:pt>
                <c:pt idx="496">
                  <c:v>368.86696067199892</c:v>
                </c:pt>
                <c:pt idx="497">
                  <c:v>369.02241926204209</c:v>
                </c:pt>
                <c:pt idx="498">
                  <c:v>369.17809673633201</c:v>
                </c:pt>
                <c:pt idx="499">
                  <c:v>369.3239289330354</c:v>
                </c:pt>
                <c:pt idx="500">
                  <c:v>369.48003093013364</c:v>
                </c:pt>
                <c:pt idx="501">
                  <c:v>369.63130664527648</c:v>
                </c:pt>
                <c:pt idx="502">
                  <c:v>369.78784142733059</c:v>
                </c:pt>
                <c:pt idx="503">
                  <c:v>369.93953654680456</c:v>
                </c:pt>
                <c:pt idx="504">
                  <c:v>370.09650531368902</c:v>
                </c:pt>
                <c:pt idx="505">
                  <c:v>370.253695091135</c:v>
                </c:pt>
                <c:pt idx="506">
                  <c:v>370.4060249551876</c:v>
                </c:pt>
                <c:pt idx="507">
                  <c:v>370.56365053340585</c:v>
                </c:pt>
                <c:pt idx="508">
                  <c:v>370.71640272436463</c:v>
                </c:pt>
                <c:pt idx="509">
                  <c:v>370.87446531159082</c:v>
                </c:pt>
                <c:pt idx="510">
                  <c:v>371.0327504494677</c:v>
                </c:pt>
                <c:pt idx="511">
                  <c:v>371.17590921844089</c:v>
                </c:pt>
                <c:pt idx="512">
                  <c:v>371.33461878653083</c:v>
                </c:pt>
                <c:pt idx="513">
                  <c:v>371.48842145311494</c:v>
                </c:pt>
                <c:pt idx="514">
                  <c:v>371.6475710355204</c:v>
                </c:pt>
                <c:pt idx="515">
                  <c:v>371.8018001122818</c:v>
                </c:pt>
                <c:pt idx="516">
                  <c:v>371.96139092892042</c:v>
                </c:pt>
                <c:pt idx="517">
                  <c:v>372.12120644794243</c:v>
                </c:pt>
                <c:pt idx="518">
                  <c:v>372.27608087223149</c:v>
                </c:pt>
                <c:pt idx="519">
                  <c:v>372.43633947176249</c:v>
                </c:pt>
                <c:pt idx="520">
                  <c:v>372.59164327762335</c:v>
                </c:pt>
                <c:pt idx="521">
                  <c:v>372.75234618608181</c:v>
                </c:pt>
                <c:pt idx="522">
                  <c:v>372.91327536273855</c:v>
                </c:pt>
                <c:pt idx="523">
                  <c:v>373.05882549543617</c:v>
                </c:pt>
                <c:pt idx="524">
                  <c:v>373.22018619210576</c:v>
                </c:pt>
                <c:pt idx="525">
                  <c:v>373.37655802102785</c:v>
                </c:pt>
                <c:pt idx="526">
                  <c:v>373.53836608213396</c:v>
                </c:pt>
                <c:pt idx="527">
                  <c:v>373.69517144410702</c:v>
                </c:pt>
                <c:pt idx="528">
                  <c:v>373.85742810994515</c:v>
                </c:pt>
                <c:pt idx="529">
                  <c:v>374.01991323165748</c:v>
                </c:pt>
                <c:pt idx="530">
                  <c:v>374.17737472122207</c:v>
                </c:pt>
                <c:pt idx="531">
                  <c:v>374.34031032478288</c:v>
                </c:pt>
                <c:pt idx="532">
                  <c:v>374.49820836842792</c:v>
                </c:pt>
                <c:pt idx="533">
                  <c:v>374.66159570277568</c:v>
                </c:pt>
                <c:pt idx="534">
                  <c:v>374.8252130849682</c:v>
                </c:pt>
                <c:pt idx="535">
                  <c:v>374.97319452739231</c:v>
                </c:pt>
                <c:pt idx="536">
                  <c:v>375.13725063782749</c:v>
                </c:pt>
                <c:pt idx="537">
                  <c:v>375.29623454508686</c:v>
                </c:pt>
                <c:pt idx="538">
                  <c:v>375.46074549285805</c:v>
                </c:pt>
                <c:pt idx="539">
                  <c:v>375.6201701750245</c:v>
                </c:pt>
                <c:pt idx="540">
                  <c:v>375.78513722114536</c:v>
                </c:pt>
                <c:pt idx="541">
                  <c:v>375.95033653933081</c:v>
                </c:pt>
                <c:pt idx="542">
                  <c:v>376.1104283092256</c:v>
                </c:pt>
                <c:pt idx="543">
                  <c:v>376.27608563423303</c:v>
                </c:pt>
                <c:pt idx="544">
                  <c:v>376.43662125052867</c:v>
                </c:pt>
                <c:pt idx="545">
                  <c:v>376.60273785215912</c:v>
                </c:pt>
                <c:pt idx="546">
                  <c:v>376.76908834441741</c:v>
                </c:pt>
                <c:pt idx="547">
                  <c:v>376.92491858138243</c:v>
                </c:pt>
                <c:pt idx="548">
                  <c:v>377.09172270110651</c:v>
                </c:pt>
                <c:pt idx="549">
                  <c:v>377.2533696561045</c:v>
                </c:pt>
                <c:pt idx="550">
                  <c:v>377.42063623188244</c:v>
                </c:pt>
                <c:pt idx="551">
                  <c:v>377.5827313449538</c:v>
                </c:pt>
                <c:pt idx="552">
                  <c:v>377.75046165892184</c:v>
                </c:pt>
                <c:pt idx="553">
                  <c:v>377.91842813560959</c:v>
                </c:pt>
                <c:pt idx="554">
                  <c:v>378.08120151041129</c:v>
                </c:pt>
                <c:pt idx="555">
                  <c:v>378.24963366572928</c:v>
                </c:pt>
                <c:pt idx="556">
                  <c:v>378.41285832154676</c:v>
                </c:pt>
                <c:pt idx="557">
                  <c:v>378.58175744656569</c:v>
                </c:pt>
                <c:pt idx="558">
                  <c:v>378.7508943799794</c:v>
                </c:pt>
                <c:pt idx="559">
                  <c:v>378.90386790295304</c:v>
                </c:pt>
                <c:pt idx="560">
                  <c:v>379.07345836488906</c:v>
                </c:pt>
                <c:pt idx="561">
                  <c:v>379.23780551539113</c:v>
                </c:pt>
                <c:pt idx="562">
                  <c:v>379.40786615837504</c:v>
                </c:pt>
                <c:pt idx="563">
                  <c:v>379.57266895310704</c:v>
                </c:pt>
                <c:pt idx="564">
                  <c:v>379.74320108069219</c:v>
                </c:pt>
                <c:pt idx="565">
                  <c:v>379.91397331592441</c:v>
                </c:pt>
                <c:pt idx="566">
                  <c:v>380.07946570225863</c:v>
                </c:pt>
                <c:pt idx="567">
                  <c:v>380.25071139494594</c:v>
                </c:pt>
                <c:pt idx="568">
                  <c:v>380.41666260061902</c:v>
                </c:pt>
                <c:pt idx="569">
                  <c:v>380.5883830633984</c:v>
                </c:pt>
                <c:pt idx="570">
                  <c:v>380.76034530699013</c:v>
                </c:pt>
                <c:pt idx="571">
                  <c:v>380.91587414205719</c:v>
                </c:pt>
                <c:pt idx="572">
                  <c:v>381.08829749003723</c:v>
                </c:pt>
                <c:pt idx="573">
                  <c:v>381.25538994085673</c:v>
                </c:pt>
                <c:pt idx="574">
                  <c:v>381.42829132391898</c:v>
                </c:pt>
                <c:pt idx="575">
                  <c:v>381.595847030176</c:v>
                </c:pt>
                <c:pt idx="576">
                  <c:v>381.76922777364888</c:v>
                </c:pt>
                <c:pt idx="577">
                  <c:v>381.94285263559357</c:v>
                </c:pt>
                <c:pt idx="578">
                  <c:v>382.11110945258184</c:v>
                </c:pt>
                <c:pt idx="579">
                  <c:v>382.28521568074603</c:v>
                </c:pt>
                <c:pt idx="580">
                  <c:v>382.45393898131846</c:v>
                </c:pt>
                <c:pt idx="581">
                  <c:v>382.62852791026586</c:v>
                </c:pt>
                <c:pt idx="582">
                  <c:v>382.80336265879902</c:v>
                </c:pt>
                <c:pt idx="583">
                  <c:v>382.96148949060051</c:v>
                </c:pt>
                <c:pt idx="584">
                  <c:v>383.13679304593745</c:v>
                </c:pt>
                <c:pt idx="585">
                  <c:v>383.3066766553315</c:v>
                </c:pt>
                <c:pt idx="586">
                  <c:v>383.48246623098112</c:v>
                </c:pt>
                <c:pt idx="587">
                  <c:v>383.65282083415968</c:v>
                </c:pt>
                <c:pt idx="588">
                  <c:v>383.82909777758891</c:v>
                </c:pt>
                <c:pt idx="589">
                  <c:v>384.00562291731262</c:v>
                </c:pt>
                <c:pt idx="590">
                  <c:v>384.17669034277026</c:v>
                </c:pt>
                <c:pt idx="591">
                  <c:v>384.35370488958807</c:v>
                </c:pt>
                <c:pt idx="592">
                  <c:v>384.52524659090085</c:v>
                </c:pt>
                <c:pt idx="593">
                  <c:v>384.70275190166944</c:v>
                </c:pt>
                <c:pt idx="594">
                  <c:v>384.88050713826226</c:v>
                </c:pt>
                <c:pt idx="595">
                  <c:v>385.04702086637928</c:v>
                </c:pt>
                <c:pt idx="596">
                  <c:v>385.22526083046768</c:v>
                </c:pt>
                <c:pt idx="597">
                  <c:v>385.39799006222466</c:v>
                </c:pt>
                <c:pt idx="598">
                  <c:v>385.57672418767163</c:v>
                </c:pt>
                <c:pt idx="599">
                  <c:v>385.74993230255848</c:v>
                </c:pt>
                <c:pt idx="600">
                  <c:v>385.92916195940165</c:v>
                </c:pt>
                <c:pt idx="601">
                  <c:v>386.10864396993253</c:v>
                </c:pt>
                <c:pt idx="602">
                  <c:v>386.28257684717306</c:v>
                </c:pt>
                <c:pt idx="603">
                  <c:v>386.46255646257396</c:v>
                </c:pt>
                <c:pt idx="604">
                  <c:v>386.63697155999103</c:v>
                </c:pt>
                <c:pt idx="605">
                  <c:v>386.81745015984654</c:v>
                </c:pt>
                <c:pt idx="606">
                  <c:v>386.99818287188958</c:v>
                </c:pt>
                <c:pt idx="607">
                  <c:v>387.16164403391849</c:v>
                </c:pt>
                <c:pt idx="608">
                  <c:v>387.34286136773028</c:v>
                </c:pt>
                <c:pt idx="609">
                  <c:v>387.51847591641149</c:v>
                </c:pt>
                <c:pt idx="610">
                  <c:v>387.7001956661901</c:v>
                </c:pt>
                <c:pt idx="611">
                  <c:v>387.87629709739753</c:v>
                </c:pt>
                <c:pt idx="612">
                  <c:v>388.05852065606609</c:v>
                </c:pt>
                <c:pt idx="613">
                  <c:v>388.24100078380792</c:v>
                </c:pt>
                <c:pt idx="614">
                  <c:v>388.41783908400032</c:v>
                </c:pt>
                <c:pt idx="615">
                  <c:v>388.60082512874186</c:v>
                </c:pt>
                <c:pt idx="616">
                  <c:v>388.77815370425014</c:v>
                </c:pt>
                <c:pt idx="617">
                  <c:v>388.96164706862083</c:v>
                </c:pt>
                <c:pt idx="618">
                  <c:v>389.14539878993941</c:v>
                </c:pt>
                <c:pt idx="619">
                  <c:v>389.3115904524891</c:v>
                </c:pt>
                <c:pt idx="620">
                  <c:v>389.49583489083261</c:v>
                </c:pt>
                <c:pt idx="621">
                  <c:v>389.67438295357113</c:v>
                </c:pt>
                <c:pt idx="622">
                  <c:v>389.859138200377</c:v>
                </c:pt>
                <c:pt idx="623">
                  <c:v>390.03818127866225</c:v>
                </c:pt>
                <c:pt idx="624">
                  <c:v>390.22344875012124</c:v>
                </c:pt>
                <c:pt idx="625">
                  <c:v>390.40897707645439</c:v>
                </c:pt>
                <c:pt idx="626">
                  <c:v>390.58876933258824</c:v>
                </c:pt>
                <c:pt idx="627">
                  <c:v>390.77481202689864</c:v>
                </c:pt>
                <c:pt idx="628">
                  <c:v>390.95510274804315</c:v>
                </c:pt>
                <c:pt idx="629">
                  <c:v>391.14166123639029</c:v>
                </c:pt>
                <c:pt idx="630">
                  <c:v>391.32848239735154</c:v>
                </c:pt>
                <c:pt idx="631">
                  <c:v>391.49745017145881</c:v>
                </c:pt>
                <c:pt idx="632">
                  <c:v>391.68477227992662</c:v>
                </c:pt>
                <c:pt idx="633">
                  <c:v>391.86630285895359</c:v>
                </c:pt>
                <c:pt idx="634">
                  <c:v>392.05414430856979</c:v>
                </c:pt>
                <c:pt idx="635">
                  <c:v>392.23617817202023</c:v>
                </c:pt>
                <c:pt idx="636">
                  <c:v>392.42454040263192</c:v>
                </c:pt>
                <c:pt idx="637">
                  <c:v>392.61316784550985</c:v>
                </c:pt>
                <c:pt idx="638">
                  <c:v>392.7959634012833</c:v>
                </c:pt>
                <c:pt idx="639">
                  <c:v>392.98511380428369</c:v>
                </c:pt>
                <c:pt idx="640">
                  <c:v>393.16841615156522</c:v>
                </c:pt>
                <c:pt idx="641">
                  <c:v>393.35809096456882</c:v>
                </c:pt>
                <c:pt idx="642">
                  <c:v>393.5480328379424</c:v>
                </c:pt>
                <c:pt idx="643">
                  <c:v>393.72596250160365</c:v>
                </c:pt>
                <c:pt idx="644">
                  <c:v>393.91642233467485</c:v>
                </c:pt>
                <c:pt idx="645">
                  <c:v>394.10099362773587</c:v>
                </c:pt>
                <c:pt idx="646">
                  <c:v>394.2919815011395</c:v>
                </c:pt>
                <c:pt idx="647">
                  <c:v>394.47706450885119</c:v>
                </c:pt>
                <c:pt idx="648">
                  <c:v>394.66858188655249</c:v>
                </c:pt>
                <c:pt idx="649">
                  <c:v>394.86036891893775</c:v>
                </c:pt>
                <c:pt idx="650">
                  <c:v>395.04622637764112</c:v>
                </c:pt>
                <c:pt idx="651">
                  <c:v>395.23854512995229</c:v>
                </c:pt>
                <c:pt idx="652">
                  <c:v>395.42491786913598</c:v>
                </c:pt>
                <c:pt idx="653">
                  <c:v>395.61776981553987</c:v>
                </c:pt>
                <c:pt idx="654">
                  <c:v>395.81089329568795</c:v>
                </c:pt>
                <c:pt idx="655">
                  <c:v>395.98556111383346</c:v>
                </c:pt>
                <c:pt idx="656">
                  <c:v>396.17920244070376</c:v>
                </c:pt>
                <c:pt idx="657">
                  <c:v>396.36685686376075</c:v>
                </c:pt>
                <c:pt idx="658">
                  <c:v>396.56103505149542</c:v>
                </c:pt>
                <c:pt idx="659">
                  <c:v>396.74920973702626</c:v>
                </c:pt>
                <c:pt idx="660">
                  <c:v>396.943926274045</c:v>
                </c:pt>
                <c:pt idx="661">
                  <c:v>397.13891697013435</c:v>
                </c:pt>
                <c:pt idx="662">
                  <c:v>397.32787904330064</c:v>
                </c:pt>
                <c:pt idx="663">
                  <c:v>397.5234103413128</c:v>
                </c:pt>
                <c:pt idx="664">
                  <c:v>397.71289630234725</c:v>
                </c:pt>
                <c:pt idx="665">
                  <c:v>397.90896970107394</c:v>
                </c:pt>
                <c:pt idx="666">
                  <c:v>398.1053191693195</c:v>
                </c:pt>
                <c:pt idx="667">
                  <c:v>398.28290468707331</c:v>
                </c:pt>
                <c:pt idx="668">
                  <c:v>398.47978065229614</c:v>
                </c:pt>
                <c:pt idx="669">
                  <c:v>398.67056970680642</c:v>
                </c:pt>
                <c:pt idx="670">
                  <c:v>398.86799150076627</c:v>
                </c:pt>
                <c:pt idx="671">
                  <c:v>399.05930950835875</c:v>
                </c:pt>
                <c:pt idx="672">
                  <c:v>399.25727864433833</c:v>
                </c:pt>
                <c:pt idx="673">
                  <c:v>399.45552651901733</c:v>
                </c:pt>
                <c:pt idx="674">
                  <c:v>399.64764506698657</c:v>
                </c:pt>
                <c:pt idx="675">
                  <c:v>399.84644257395269</c:v>
                </c:pt>
                <c:pt idx="676">
                  <c:v>400.03909376095811</c:v>
                </c:pt>
                <c:pt idx="677">
                  <c:v>400.23844242403914</c:v>
                </c:pt>
                <c:pt idx="678">
                  <c:v>400.43807176818098</c:v>
                </c:pt>
                <c:pt idx="679">
                  <c:v>400.6186237236052</c:v>
                </c:pt>
                <c:pt idx="680">
                  <c:v>400.81878835947566</c:v>
                </c:pt>
                <c:pt idx="681">
                  <c:v>401.01276440719107</c:v>
                </c:pt>
                <c:pt idx="682">
                  <c:v>401.21348398947282</c:v>
                </c:pt>
                <c:pt idx="683">
                  <c:v>401.40799782604932</c:v>
                </c:pt>
                <c:pt idx="684">
                  <c:v>401.60927389330345</c:v>
                </c:pt>
                <c:pt idx="685">
                  <c:v>401.8108333553854</c:v>
                </c:pt>
                <c:pt idx="686">
                  <c:v>402.00616110478677</c:v>
                </c:pt>
                <c:pt idx="687">
                  <c:v>402.20827938036581</c:v>
                </c:pt>
                <c:pt idx="688">
                  <c:v>402.40414866615333</c:v>
                </c:pt>
                <c:pt idx="689">
                  <c:v>402.60682730451163</c:v>
                </c:pt>
                <c:pt idx="690">
                  <c:v>402.80979131250507</c:v>
                </c:pt>
                <c:pt idx="691">
                  <c:v>402.99991957140946</c:v>
                </c:pt>
                <c:pt idx="692">
                  <c:v>403.2034370496533</c:v>
                </c:pt>
                <c:pt idx="693">
                  <c:v>403.40066227827083</c:v>
                </c:pt>
                <c:pt idx="694">
                  <c:v>403.60474399851319</c:v>
                </c:pt>
                <c:pt idx="695">
                  <c:v>403.80251602418286</c:v>
                </c:pt>
                <c:pt idx="696">
                  <c:v>404.00716355075645</c:v>
                </c:pt>
                <c:pt idx="697">
                  <c:v>404.21209921914101</c:v>
                </c:pt>
                <c:pt idx="698">
                  <c:v>404.41069879101997</c:v>
                </c:pt>
                <c:pt idx="699">
                  <c:v>404.61620263326427</c:v>
                </c:pt>
                <c:pt idx="700">
                  <c:v>404.81535281249307</c:v>
                </c:pt>
                <c:pt idx="701">
                  <c:v>405.02142640383045</c:v>
                </c:pt>
                <c:pt idx="702">
                  <c:v>405.22779014486497</c:v>
                </c:pt>
                <c:pt idx="703">
                  <c:v>405.41443293093732</c:v>
                </c:pt>
                <c:pt idx="704">
                  <c:v>405.62135002150137</c:v>
                </c:pt>
                <c:pt idx="705">
                  <c:v>405.82186975495904</c:v>
                </c:pt>
                <c:pt idx="706">
                  <c:v>406.02936051277618</c:v>
                </c:pt>
                <c:pt idx="707">
                  <c:v>406.2304361771354</c:v>
                </c:pt>
                <c:pt idx="708">
                  <c:v>406.43850219266943</c:v>
                </c:pt>
                <c:pt idx="709">
                  <c:v>406.64686116321536</c:v>
                </c:pt>
                <c:pt idx="710">
                  <c:v>406.8487781973447</c:v>
                </c:pt>
                <c:pt idx="711">
                  <c:v>407.0577148326837</c:v>
                </c:pt>
                <c:pt idx="712">
                  <c:v>407.26019167166066</c:v>
                </c:pt>
                <c:pt idx="713">
                  <c:v>407.46970757333941</c:v>
                </c:pt>
                <c:pt idx="714">
                  <c:v>407.67951847145616</c:v>
                </c:pt>
                <c:pt idx="715">
                  <c:v>407.86927899031747</c:v>
                </c:pt>
                <c:pt idx="716">
                  <c:v>408.07965248126754</c:v>
                </c:pt>
                <c:pt idx="717">
                  <c:v>408.28352175188638</c:v>
                </c:pt>
                <c:pt idx="718">
                  <c:v>408.49447849278636</c:v>
                </c:pt>
                <c:pt idx="719">
                  <c:v>408.69891298073048</c:v>
                </c:pt>
                <c:pt idx="720">
                  <c:v>408.91045458861151</c:v>
                </c:pt>
                <c:pt idx="721">
                  <c:v>409.122294045106</c:v>
                </c:pt>
                <c:pt idx="722">
                  <c:v>409.32758395729388</c:v>
                </c:pt>
                <c:pt idx="723">
                  <c:v>409.54001072805431</c:v>
                </c:pt>
                <c:pt idx="724">
                  <c:v>409.74586979622495</c:v>
                </c:pt>
                <c:pt idx="725">
                  <c:v>409.95888550955044</c:v>
                </c:pt>
                <c:pt idx="726">
                  <c:v>410.17220114701593</c:v>
                </c:pt>
                <c:pt idx="727">
                  <c:v>410.36513147813821</c:v>
                </c:pt>
                <c:pt idx="728">
                  <c:v>410.57901910614351</c:v>
                </c:pt>
                <c:pt idx="729">
                  <c:v>410.78629386552018</c:v>
                </c:pt>
                <c:pt idx="730">
                  <c:v>411.00077448624398</c:v>
                </c:pt>
                <c:pt idx="731">
                  <c:v>411.20862390449247</c:v>
                </c:pt>
                <c:pt idx="732">
                  <c:v>411.42369916197754</c:v>
                </c:pt>
                <c:pt idx="733">
                  <c:v>411.63907724342187</c:v>
                </c:pt>
                <c:pt idx="734">
                  <c:v>411.84779637515771</c:v>
                </c:pt>
                <c:pt idx="735">
                  <c:v>412.06377158152793</c:v>
                </c:pt>
                <c:pt idx="736">
                  <c:v>412.27306937658568</c:v>
                </c:pt>
                <c:pt idx="737">
                  <c:v>412.48964336338076</c:v>
                </c:pt>
                <c:pt idx="738">
                  <c:v>412.70652228433198</c:v>
                </c:pt>
                <c:pt idx="739">
                  <c:v>412.90968545617318</c:v>
                </c:pt>
                <c:pt idx="740">
                  <c:v>413.12715579247856</c:v>
                </c:pt>
                <c:pt idx="741">
                  <c:v>413.33790249180652</c:v>
                </c:pt>
                <c:pt idx="742">
                  <c:v>413.55597575370939</c:v>
                </c:pt>
                <c:pt idx="743">
                  <c:v>413.76730673768867</c:v>
                </c:pt>
                <c:pt idx="744">
                  <c:v>413.98598459677015</c:v>
                </c:pt>
                <c:pt idx="745">
                  <c:v>414.20497035224037</c:v>
                </c:pt>
                <c:pt idx="746">
                  <c:v>414.417185617776</c:v>
                </c:pt>
                <c:pt idx="747">
                  <c:v>414.63677850026727</c:v>
                </c:pt>
                <c:pt idx="748">
                  <c:v>414.84958212198052</c:v>
                </c:pt>
                <c:pt idx="749">
                  <c:v>415.06978381472214</c:v>
                </c:pt>
                <c:pt idx="750">
                  <c:v>415.29029554939638</c:v>
                </c:pt>
                <c:pt idx="751">
                  <c:v>415.48973428953008</c:v>
                </c:pt>
                <c:pt idx="752">
                  <c:v>415.71083731056126</c:v>
                </c:pt>
                <c:pt idx="753">
                  <c:v>415.92510438112043</c:v>
                </c:pt>
                <c:pt idx="754">
                  <c:v>416.14682039918529</c:v>
                </c:pt>
                <c:pt idx="755">
                  <c:v>416.36168151444849</c:v>
                </c:pt>
                <c:pt idx="756">
                  <c:v>416.58401222905059</c:v>
                </c:pt>
                <c:pt idx="757">
                  <c:v>416.80665598322776</c:v>
                </c:pt>
                <c:pt idx="758">
                  <c:v>417.02241615133164</c:v>
                </c:pt>
                <c:pt idx="759">
                  <c:v>417.24567717414777</c:v>
                </c:pt>
                <c:pt idx="760">
                  <c:v>417.46203552649371</c:v>
                </c:pt>
                <c:pt idx="761">
                  <c:v>417.68591552929536</c:v>
                </c:pt>
                <c:pt idx="762">
                  <c:v>417.91011075305573</c:v>
                </c:pt>
                <c:pt idx="763">
                  <c:v>418.11288097313889</c:v>
                </c:pt>
                <c:pt idx="764">
                  <c:v>418.33767736026721</c:v>
                </c:pt>
                <c:pt idx="765">
                  <c:v>418.55552360731406</c:v>
                </c:pt>
                <c:pt idx="766">
                  <c:v>418.78094323114834</c:v>
                </c:pt>
                <c:pt idx="767">
                  <c:v>418.99939344598636</c:v>
                </c:pt>
                <c:pt idx="768">
                  <c:v>419.22543803441914</c:v>
                </c:pt>
                <c:pt idx="769">
                  <c:v>419.45180089152689</c:v>
                </c:pt>
                <c:pt idx="770">
                  <c:v>419.67116517723298</c:v>
                </c:pt>
                <c:pt idx="771">
                  <c:v>419.89815561400621</c:v>
                </c:pt>
                <c:pt idx="772">
                  <c:v>420.11812807618952</c:v>
                </c:pt>
                <c:pt idx="773">
                  <c:v>420.34574783256119</c:v>
                </c:pt>
                <c:pt idx="774">
                  <c:v>420.57368807542969</c:v>
                </c:pt>
                <c:pt idx="775">
                  <c:v>420.77984542542595</c:v>
                </c:pt>
                <c:pt idx="776">
                  <c:v>421.00839687366181</c:v>
                </c:pt>
                <c:pt idx="777">
                  <c:v>421.22988208475141</c:v>
                </c:pt>
                <c:pt idx="778">
                  <c:v>421.45906718041175</c:v>
                </c:pt>
                <c:pt idx="779">
                  <c:v>421.68116644813779</c:v>
                </c:pt>
                <c:pt idx="780">
                  <c:v>421.91098694797819</c:v>
                </c:pt>
                <c:pt idx="781">
                  <c:v>422.14113103294198</c:v>
                </c:pt>
                <c:pt idx="782">
                  <c:v>422.36415964042885</c:v>
                </c:pt>
                <c:pt idx="783">
                  <c:v>422.59494178832256</c:v>
                </c:pt>
                <c:pt idx="784">
                  <c:v>422.81858873143506</c:v>
                </c:pt>
                <c:pt idx="785">
                  <c:v>423.05001071125616</c:v>
                </c:pt>
                <c:pt idx="786">
                  <c:v>423.28175853106893</c:v>
                </c:pt>
                <c:pt idx="787">
                  <c:v>423.49885027024783</c:v>
                </c:pt>
                <c:pt idx="788">
                  <c:v>423.73123005197897</c:v>
                </c:pt>
                <c:pt idx="789">
                  <c:v>423.95642523410106</c:v>
                </c:pt>
                <c:pt idx="790">
                  <c:v>424.18944927711937</c:v>
                </c:pt>
                <c:pt idx="791">
                  <c:v>424.41526880158648</c:v>
                </c:pt>
                <c:pt idx="792">
                  <c:v>424.64893889207383</c:v>
                </c:pt>
                <c:pt idx="793">
                  <c:v>424.88293798787242</c:v>
                </c:pt>
                <c:pt idx="794">
                  <c:v>425.1097024189346</c:v>
                </c:pt>
                <c:pt idx="795">
                  <c:v>425.34435026548709</c:v>
                </c:pt>
                <c:pt idx="796">
                  <c:v>425.57174338955849</c:v>
                </c:pt>
                <c:pt idx="797">
                  <c:v>425.80704178549388</c:v>
                </c:pt>
                <c:pt idx="798">
                  <c:v>426.04267147937918</c:v>
                </c:pt>
                <c:pt idx="799">
                  <c:v>426.2557834453072</c:v>
                </c:pt>
                <c:pt idx="800">
                  <c:v>426.49204496326968</c:v>
                </c:pt>
                <c:pt idx="801">
                  <c:v>426.7210018680812</c:v>
                </c:pt>
                <c:pt idx="802">
                  <c:v>426.95791840924966</c:v>
                </c:pt>
                <c:pt idx="803">
                  <c:v>427.18751008559366</c:v>
                </c:pt>
                <c:pt idx="804">
                  <c:v>427.42508346598714</c:v>
                </c:pt>
                <c:pt idx="805">
                  <c:v>427.66299134748738</c:v>
                </c:pt>
                <c:pt idx="806">
                  <c:v>427.89354371440811</c:v>
                </c:pt>
                <c:pt idx="807">
                  <c:v>428.13211118357469</c:v>
                </c:pt>
                <c:pt idx="808">
                  <c:v>428.36330274536658</c:v>
                </c:pt>
                <c:pt idx="809">
                  <c:v>428.60253163087305</c:v>
                </c:pt>
                <c:pt idx="810">
                  <c:v>428.84209734842227</c:v>
                </c:pt>
                <c:pt idx="811">
                  <c:v>429.05876919564992</c:v>
                </c:pt>
                <c:pt idx="812">
                  <c:v>429.29897729144079</c:v>
                </c:pt>
                <c:pt idx="813">
                  <c:v>429.53175875579927</c:v>
                </c:pt>
                <c:pt idx="814">
                  <c:v>429.77263281648516</c:v>
                </c:pt>
                <c:pt idx="815">
                  <c:v>430.00605965577557</c:v>
                </c:pt>
                <c:pt idx="816">
                  <c:v>430.2476015277108</c:v>
                </c:pt>
                <c:pt idx="817">
                  <c:v>430.48948348835154</c:v>
                </c:pt>
                <c:pt idx="818">
                  <c:v>430.72388706586054</c:v>
                </c:pt>
                <c:pt idx="819">
                  <c:v>430.96643963210272</c:v>
                </c:pt>
                <c:pt idx="820">
                  <c:v>431.20149308177099</c:v>
                </c:pt>
                <c:pt idx="821">
                  <c:v>431.44471811283483</c:v>
                </c:pt>
                <c:pt idx="822">
                  <c:v>431.68828560247732</c:v>
                </c:pt>
                <c:pt idx="823">
                  <c:v>431.90857679624787</c:v>
                </c:pt>
                <c:pt idx="824">
                  <c:v>432.15279739459601</c:v>
                </c:pt>
                <c:pt idx="825">
                  <c:v>432.38946730500345</c:v>
                </c:pt>
                <c:pt idx="826">
                  <c:v>432.63436499270847</c:v>
                </c:pt>
                <c:pt idx="827">
                  <c:v>432.8716910585697</c:v>
                </c:pt>
                <c:pt idx="828">
                  <c:v>433.11726771282815</c:v>
                </c:pt>
                <c:pt idx="829">
                  <c:v>433.36319013672829</c:v>
                </c:pt>
                <c:pt idx="830">
                  <c:v>433.60150925651345</c:v>
                </c:pt>
                <c:pt idx="831">
                  <c:v>433.84811348799667</c:v>
                </c:pt>
                <c:pt idx="832">
                  <c:v>434.08709333558568</c:v>
                </c:pt>
                <c:pt idx="833">
                  <c:v>434.33438126492933</c:v>
                </c:pt>
                <c:pt idx="834">
                  <c:v>434.58201737337413</c:v>
                </c:pt>
                <c:pt idx="835">
                  <c:v>434.81399260191836</c:v>
                </c:pt>
                <c:pt idx="836">
                  <c:v>435.06230399865831</c:v>
                </c:pt>
                <c:pt idx="837">
                  <c:v>435.30293823023896</c:v>
                </c:pt>
                <c:pt idx="838">
                  <c:v>435.55193805786939</c:v>
                </c:pt>
                <c:pt idx="839">
                  <c:v>435.79323943578527</c:v>
                </c:pt>
                <c:pt idx="840">
                  <c:v>436.04292960294617</c:v>
                </c:pt>
                <c:pt idx="841">
                  <c:v>436.29297133153671</c:v>
                </c:pt>
                <c:pt idx="842">
                  <c:v>436.53528239744992</c:v>
                </c:pt>
                <c:pt idx="843">
                  <c:v>436.78601735418926</c:v>
                </c:pt>
                <c:pt idx="844">
                  <c:v>437.02900021537664</c:v>
                </c:pt>
                <c:pt idx="845">
                  <c:v>437.28043032220501</c:v>
                </c:pt>
                <c:pt idx="846">
                  <c:v>437.53221444028145</c:v>
                </c:pt>
                <c:pt idx="847">
                  <c:v>437.75993704819234</c:v>
                </c:pt>
                <c:pt idx="848">
                  <c:v>438.01239630727264</c:v>
                </c:pt>
                <c:pt idx="849">
                  <c:v>438.25705015970095</c:v>
                </c:pt>
                <c:pt idx="850">
                  <c:v>438.51020934941198</c:v>
                </c:pt>
                <c:pt idx="851">
                  <c:v>438.75554149237263</c:v>
                </c:pt>
                <c:pt idx="852">
                  <c:v>439.00940255323678</c:v>
                </c:pt>
                <c:pt idx="853">
                  <c:v>439.26362104811045</c:v>
                </c:pt>
                <c:pt idx="854">
                  <c:v>439.50997974517622</c:v>
                </c:pt>
                <c:pt idx="855">
                  <c:v>439.76490304807351</c:v>
                </c:pt>
                <c:pt idx="856">
                  <c:v>440.01194476226783</c:v>
                </c:pt>
                <c:pt idx="857">
                  <c:v>440.26757482723349</c:v>
                </c:pt>
                <c:pt idx="858">
                  <c:v>440.5235648169496</c:v>
                </c:pt>
                <c:pt idx="859">
                  <c:v>440.75509136637015</c:v>
                </c:pt>
                <c:pt idx="860">
                  <c:v>441.01176777483244</c:v>
                </c:pt>
                <c:pt idx="861">
                  <c:v>441.26050839296801</c:v>
                </c:pt>
                <c:pt idx="862">
                  <c:v>441.51789642389599</c:v>
                </c:pt>
                <c:pt idx="863">
                  <c:v>441.76732666291673</c:v>
                </c:pt>
                <c:pt idx="864">
                  <c:v>442.02542828924811</c:v>
                </c:pt>
                <c:pt idx="865">
                  <c:v>442.28389332026529</c:v>
                </c:pt>
                <c:pt idx="866">
                  <c:v>442.53436726123556</c:v>
                </c:pt>
                <c:pt idx="867">
                  <c:v>442.79354887358477</c:v>
                </c:pt>
                <c:pt idx="868">
                  <c:v>443.04471724099085</c:v>
                </c:pt>
                <c:pt idx="869">
                  <c:v>443.30461742135799</c:v>
                </c:pt>
                <c:pt idx="870">
                  <c:v>443.56488353875818</c:v>
                </c:pt>
                <c:pt idx="871">
                  <c:v>443.80027757178112</c:v>
                </c:pt>
                <c:pt idx="872">
                  <c:v>444.06124157405634</c:v>
                </c:pt>
                <c:pt idx="873">
                  <c:v>444.31413722436531</c:v>
                </c:pt>
                <c:pt idx="874">
                  <c:v>444.57582473624518</c:v>
                </c:pt>
                <c:pt idx="875">
                  <c:v>444.8294215270576</c:v>
                </c:pt>
                <c:pt idx="876">
                  <c:v>445.0918345544361</c:v>
                </c:pt>
                <c:pt idx="877">
                  <c:v>445.35461705691262</c:v>
                </c:pt>
                <c:pt idx="878">
                  <c:v>445.60927498396126</c:v>
                </c:pt>
                <c:pt idx="879">
                  <c:v>445.8727860377428</c:v>
                </c:pt>
                <c:pt idx="880">
                  <c:v>446.12814999111879</c:v>
                </c:pt>
                <c:pt idx="881">
                  <c:v>446.39239161607748</c:v>
                </c:pt>
                <c:pt idx="882">
                  <c:v>446.6570052907831</c:v>
                </c:pt>
                <c:pt idx="883">
                  <c:v>446.90488439876606</c:v>
                </c:pt>
                <c:pt idx="884">
                  <c:v>447.1702196585361</c:v>
                </c:pt>
                <c:pt idx="885">
                  <c:v>447.42735141802928</c:v>
                </c:pt>
                <c:pt idx="886">
                  <c:v>447.69342230649596</c:v>
                </c:pt>
                <c:pt idx="887">
                  <c:v>447.95126695089277</c:v>
                </c:pt>
                <c:pt idx="888">
                  <c:v>448.21807550754954</c:v>
                </c:pt>
                <c:pt idx="889">
                  <c:v>448.48525972816901</c:v>
                </c:pt>
                <c:pt idx="890">
                  <c:v>448.74418328328301</c:v>
                </c:pt>
                <c:pt idx="891">
                  <c:v>449.01210825875023</c:v>
                </c:pt>
                <c:pt idx="892">
                  <c:v>449.27174966643139</c:v>
                </c:pt>
                <c:pt idx="893">
                  <c:v>449.54041745045208</c:v>
                </c:pt>
                <c:pt idx="894">
                  <c:v>449.8094635162102</c:v>
                </c:pt>
                <c:pt idx="895">
                  <c:v>450.0527984501631</c:v>
                </c:pt>
                <c:pt idx="896">
                  <c:v>450.32256594359626</c:v>
                </c:pt>
                <c:pt idx="897">
                  <c:v>450.58399290321233</c:v>
                </c:pt>
                <c:pt idx="898">
                  <c:v>450.8545083134876</c:v>
                </c:pt>
                <c:pt idx="899">
                  <c:v>451.11666006623415</c:v>
                </c:pt>
                <c:pt idx="900">
                  <c:v>451.38792546691343</c:v>
                </c:pt>
                <c:pt idx="901">
                  <c:v>451.65957280675025</c:v>
                </c:pt>
                <c:pt idx="902">
                  <c:v>451.92282149263724</c:v>
                </c:pt>
                <c:pt idx="903">
                  <c:v>452.19522196109597</c:v>
                </c:pt>
                <c:pt idx="904">
                  <c:v>452.45920049075801</c:v>
                </c:pt>
                <c:pt idx="905">
                  <c:v>452.73235617585021</c:v>
                </c:pt>
                <c:pt idx="906">
                  <c:v>453.00589646160233</c:v>
                </c:pt>
                <c:pt idx="907">
                  <c:v>453.25329612968329</c:v>
                </c:pt>
                <c:pt idx="908">
                  <c:v>453.52756989403815</c:v>
                </c:pt>
                <c:pt idx="909">
                  <c:v>453.79336380198947</c:v>
                </c:pt>
                <c:pt idx="910">
                  <c:v>454.06839797659654</c:v>
                </c:pt>
                <c:pt idx="911">
                  <c:v>454.33492878482355</c:v>
                </c:pt>
                <c:pt idx="912">
                  <c:v>454.61072547788206</c:v>
                </c:pt>
                <c:pt idx="913">
                  <c:v>454.88691049011578</c:v>
                </c:pt>
                <c:pt idx="914">
                  <c:v>455.15455655495788</c:v>
                </c:pt>
                <c:pt idx="915">
                  <c:v>455.43150727628267</c:v>
                </c:pt>
                <c:pt idx="916">
                  <c:v>455.69989537641254</c:v>
                </c:pt>
                <c:pt idx="917">
                  <c:v>455.97761392971847</c:v>
                </c:pt>
                <c:pt idx="918">
                  <c:v>456.25572350816026</c:v>
                </c:pt>
                <c:pt idx="919">
                  <c:v>456.50725580881362</c:v>
                </c:pt>
                <c:pt idx="920">
                  <c:v>456.78611111808789</c:v>
                </c:pt>
                <c:pt idx="921">
                  <c:v>457.05634492108857</c:v>
                </c:pt>
                <c:pt idx="922">
                  <c:v>457.33597334271855</c:v>
                </c:pt>
                <c:pt idx="923">
                  <c:v>457.60695635538121</c:v>
                </c:pt>
                <c:pt idx="924">
                  <c:v>457.88736003278211</c:v>
                </c:pt>
                <c:pt idx="925">
                  <c:v>458.1681585159489</c:v>
                </c:pt>
                <c:pt idx="926">
                  <c:v>458.44027541478238</c:v>
                </c:pt>
                <c:pt idx="927">
                  <c:v>458.7218523976569</c:v>
                </c:pt>
                <c:pt idx="928">
                  <c:v>458.99472372694106</c:v>
                </c:pt>
                <c:pt idx="929">
                  <c:v>459.27708136787481</c:v>
                </c:pt>
                <c:pt idx="930">
                  <c:v>459.55983656573699</c:v>
                </c:pt>
                <c:pt idx="931">
                  <c:v>459.82470989967061</c:v>
                </c:pt>
                <c:pt idx="932">
                  <c:v>460.10823615340468</c:v>
                </c:pt>
                <c:pt idx="933">
                  <c:v>460.38299648698575</c:v>
                </c:pt>
                <c:pt idx="934">
                  <c:v>460.66730880303464</c:v>
                </c:pt>
                <c:pt idx="935">
                  <c:v>460.94283089585645</c:v>
                </c:pt>
                <c:pt idx="936">
                  <c:v>461.22793145353864</c:v>
                </c:pt>
                <c:pt idx="937">
                  <c:v>461.51343343015014</c:v>
                </c:pt>
                <c:pt idx="938">
                  <c:v>461.79010840221639</c:v>
                </c:pt>
                <c:pt idx="939">
                  <c:v>462.0764019187352</c:v>
                </c:pt>
                <c:pt idx="940">
                  <c:v>462.35384395828157</c:v>
                </c:pt>
                <c:pt idx="941">
                  <c:v>462.64093120921251</c:v>
                </c:pt>
                <c:pt idx="942">
                  <c:v>462.92842267631903</c:v>
                </c:pt>
                <c:pt idx="943">
                  <c:v>463.18844029435468</c:v>
                </c:pt>
                <c:pt idx="944">
                  <c:v>463.47670264915337</c:v>
                </c:pt>
                <c:pt idx="945">
                  <c:v>463.75605265544073</c:v>
                </c:pt>
                <c:pt idx="946">
                  <c:v>464.0451142031568</c:v>
                </c:pt>
                <c:pt idx="947">
                  <c:v>464.32523869332238</c:v>
                </c:pt>
                <c:pt idx="948">
                  <c:v>464.61510164967814</c:v>
                </c:pt>
                <c:pt idx="949">
                  <c:v>464.90537273037614</c:v>
                </c:pt>
                <c:pt idx="950">
                  <c:v>465.18666935780021</c:v>
                </c:pt>
                <c:pt idx="951">
                  <c:v>465.47774520050757</c:v>
                </c:pt>
                <c:pt idx="952">
                  <c:v>465.75982170871941</c:v>
                </c:pt>
                <c:pt idx="953">
                  <c:v>466.05170454459824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CE-40B0-89F7-977417954264}"/>
            </c:ext>
          </c:extLst>
        </c:ser>
        <c:ser>
          <c:idx val="0"/>
          <c:order val="1"/>
          <c:tx>
            <c:strRef>
              <c:f>'指数+定数モデル'!$G$1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'指数+定数モデル'!$F$2:$F$955</c:f>
              <c:numCache>
                <c:formatCode>m/d/yyyy</c:formatCode>
                <c:ptCount val="954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</c:numCache>
            </c:numRef>
          </c:xVal>
          <c:yVal>
            <c:numRef>
              <c:f>'指数+定数モデル'!$G$2:$G$955</c:f>
              <c:numCache>
                <c:formatCode>0.00_ ;[Red]\-0.00\ </c:formatCode>
                <c:ptCount val="954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CE-40B0-89F7-977417954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226672"/>
        <c:axId val="638232576"/>
      </c:scatterChart>
      <c:valAx>
        <c:axId val="638226672"/>
        <c:scaling>
          <c:orientation val="minMax"/>
          <c:max val="50406"/>
          <c:min val="2118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8232576"/>
        <c:crosses val="autoZero"/>
        <c:crossBetween val="midCat"/>
        <c:majorUnit val="3652.5"/>
      </c:valAx>
      <c:valAx>
        <c:axId val="638232576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8226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季節変動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'指数+定数モデル'!$B$11</c:f>
              <c:strCache>
                <c:ptCount val="1"/>
                <c:pt idx="0">
                  <c:v>S(m)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'指数+定数モデル'!$A$12:$A$24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'指数+定数モデル'!$B$12:$B$24</c:f>
              <c:numCache>
                <c:formatCode>General</c:formatCode>
                <c:ptCount val="13"/>
                <c:pt idx="0">
                  <c:v>-3.3662626377861403E-2</c:v>
                </c:pt>
                <c:pt idx="1">
                  <c:v>0.68114275406980329</c:v>
                </c:pt>
                <c:pt idx="2">
                  <c:v>1.3951035824648568</c:v>
                </c:pt>
                <c:pt idx="3">
                  <c:v>2.6339370251743146</c:v>
                </c:pt>
                <c:pt idx="4">
                  <c:v>3.0997257789906989</c:v>
                </c:pt>
                <c:pt idx="5">
                  <c:v>2.3207404253660839</c:v>
                </c:pt>
                <c:pt idx="6">
                  <c:v>0.74435685666414753</c:v>
                </c:pt>
                <c:pt idx="7">
                  <c:v>-1.3868231821212227</c:v>
                </c:pt>
                <c:pt idx="8">
                  <c:v>-3.1918015790052943</c:v>
                </c:pt>
                <c:pt idx="9">
                  <c:v>-3.3171210691938846</c:v>
                </c:pt>
                <c:pt idx="10">
                  <c:v>-2.0577916254037292</c:v>
                </c:pt>
                <c:pt idx="11">
                  <c:v>-0.88780634062791353</c:v>
                </c:pt>
                <c:pt idx="12">
                  <c:v>-3.3662626377861403E-2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D2-4E1D-B253-47309C192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702840"/>
        <c:axId val="706702184"/>
      </c:scatterChart>
      <c:valAx>
        <c:axId val="706702840"/>
        <c:scaling>
          <c:orientation val="minMax"/>
          <c:max val="13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6702184"/>
        <c:crosses val="autoZero"/>
        <c:crossBetween val="midCat"/>
        <c:majorUnit val="1"/>
      </c:valAx>
      <c:valAx>
        <c:axId val="70670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06702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残差</a:t>
            </a:r>
            <a:r>
              <a:rPr lang="en-US" altLang="ja-JP"/>
              <a:t>(I)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'指数+定数モデル'!$L$1</c:f>
              <c:strCache>
                <c:ptCount val="1"/>
                <c:pt idx="0">
                  <c:v>残差(I)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1"/>
          <c:cat>
            <c:numRef>
              <c:f>'指数+定数モデル'!$F$2:$F$742</c:f>
              <c:numCache>
                <c:formatCode>m/d/yyyy</c:formatCode>
                <c:ptCount val="741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</c:numCache>
            </c:numRef>
          </c:cat>
          <c:val>
            <c:numRef>
              <c:f>'指数+定数モデル'!$L$2:$L$742</c:f>
              <c:numCache>
                <c:formatCode>0.00_ ;[Red]\-0.00\ </c:formatCode>
                <c:ptCount val="741"/>
                <c:pt idx="0">
                  <c:v>-0.5888775582030803</c:v>
                </c:pt>
                <c:pt idx="1">
                  <c:v>-1.0322375378219135</c:v>
                </c:pt>
                <c:pt idx="2">
                  <c:v>-0.54104779043137796</c:v>
                </c:pt>
                <c:pt idx="3">
                  <c:v>-1.0927843812068545</c:v>
                </c:pt>
                <c:pt idx="4">
                  <c:v>-2.2157258145953733</c:v>
                </c:pt>
                <c:pt idx="5">
                  <c:v>-2.2223554468549196</c:v>
                </c:pt>
                <c:pt idx="6">
                  <c:v>-1.0538530931424361</c:v>
                </c:pt>
                <c:pt idx="7">
                  <c:v>-1.1477308887160689</c:v>
                </c:pt>
                <c:pt idx="8">
                  <c:v>-1.124803371576661</c:v>
                </c:pt>
                <c:pt idx="9">
                  <c:v>-1.2411032613790667</c:v>
                </c:pt>
                <c:pt idx="10">
                  <c:v>-0.61578720316913405</c:v>
                </c:pt>
                <c:pt idx="11">
                  <c:v>-0.36784748016617641</c:v>
                </c:pt>
                <c:pt idx="12">
                  <c:v>-0.39539821369686479</c:v>
                </c:pt>
                <c:pt idx="13">
                  <c:v>-0.95505796883435323</c:v>
                </c:pt>
                <c:pt idx="14">
                  <c:v>-0.84456848745793422</c:v>
                </c:pt>
                <c:pt idx="15">
                  <c:v>-1.1562030015138589</c:v>
                </c:pt>
                <c:pt idx="16">
                  <c:v>-1.9215238743105942</c:v>
                </c:pt>
                <c:pt idx="17">
                  <c:v>-1.4596486511270541</c:v>
                </c:pt>
                <c:pt idx="18">
                  <c:v>-1.6004408367602991</c:v>
                </c:pt>
                <c:pt idx="19">
                  <c:v>-1.1230468201421218</c:v>
                </c:pt>
                <c:pt idx="20">
                  <c:v>-1.0388032765403068</c:v>
                </c:pt>
                <c:pt idx="21">
                  <c:v>-0.79378528692717509</c:v>
                </c:pt>
                <c:pt idx="22">
                  <c:v>-0.60468461539636564</c:v>
                </c:pt>
                <c:pt idx="23">
                  <c:v>-0.73541982871563505</c:v>
                </c:pt>
                <c:pt idx="24">
                  <c:v>-1.201686466211811</c:v>
                </c:pt>
                <c:pt idx="25">
                  <c:v>-1.4400174839989859</c:v>
                </c:pt>
                <c:pt idx="26">
                  <c:v>-1.5382403464961385</c:v>
                </c:pt>
                <c:pt idx="27">
                  <c:v>-1.3085424393441372</c:v>
                </c:pt>
                <c:pt idx="28">
                  <c:v>-1.3025290148963222</c:v>
                </c:pt>
                <c:pt idx="29">
                  <c:v>-1.0093607475900512</c:v>
                </c:pt>
                <c:pt idx="30">
                  <c:v>-0.83881493670651253</c:v>
                </c:pt>
                <c:pt idx="31">
                  <c:v>-0.78012429106564696</c:v>
                </c:pt>
                <c:pt idx="32">
                  <c:v>-0.55453904141882049</c:v>
                </c:pt>
                <c:pt idx="33">
                  <c:v>-0.55817745665109442</c:v>
                </c:pt>
                <c:pt idx="34">
                  <c:v>-0.6104542651612519</c:v>
                </c:pt>
                <c:pt idx="35">
                  <c:v>-0.22984593103552697</c:v>
                </c:pt>
                <c:pt idx="36">
                  <c:v>-0.78481056020154938</c:v>
                </c:pt>
                <c:pt idx="37">
                  <c:v>-0.67179430562583775</c:v>
                </c:pt>
                <c:pt idx="38">
                  <c:v>-0.96871155004009779</c:v>
                </c:pt>
                <c:pt idx="39">
                  <c:v>-1.2376626352802305</c:v>
                </c:pt>
                <c:pt idx="40">
                  <c:v>-1.1602963010183203</c:v>
                </c:pt>
                <c:pt idx="41">
                  <c:v>-1.5258169524739174</c:v>
                </c:pt>
                <c:pt idx="42">
                  <c:v>-0.97391448090166932</c:v>
                </c:pt>
                <c:pt idx="43">
                  <c:v>-0.63390911911568537</c:v>
                </c:pt>
                <c:pt idx="44">
                  <c:v>-0.62696344750645494</c:v>
                </c:pt>
                <c:pt idx="45">
                  <c:v>-0.43923952531497434</c:v>
                </c:pt>
                <c:pt idx="46">
                  <c:v>-0.78028418688359125</c:v>
                </c:pt>
                <c:pt idx="47">
                  <c:v>-0.3483098623242995</c:v>
                </c:pt>
                <c:pt idx="48">
                  <c:v>-0.25195073405240009</c:v>
                </c:pt>
                <c:pt idx="49">
                  <c:v>-0.5475647019032408</c:v>
                </c:pt>
                <c:pt idx="50">
                  <c:v>-1.0331545188285531</c:v>
                </c:pt>
                <c:pt idx="51">
                  <c:v>-0.87073202885545697</c:v>
                </c:pt>
                <c:pt idx="52">
                  <c:v>-1.4419901853992769</c:v>
                </c:pt>
                <c:pt idx="53">
                  <c:v>-0.65617785495254566</c:v>
                </c:pt>
                <c:pt idx="54">
                  <c:v>-0.58289606065579846</c:v>
                </c:pt>
                <c:pt idx="55">
                  <c:v>-0.34155402134200585</c:v>
                </c:pt>
                <c:pt idx="56">
                  <c:v>-0.44322520290523926</c:v>
                </c:pt>
                <c:pt idx="57">
                  <c:v>2.5883813571681458E-2</c:v>
                </c:pt>
                <c:pt idx="58">
                  <c:v>2.6091881068225575E-2</c:v>
                </c:pt>
                <c:pt idx="59">
                  <c:v>-0.17054498605631352</c:v>
                </c:pt>
                <c:pt idx="60">
                  <c:v>-0.49283998793578121</c:v>
                </c:pt>
                <c:pt idx="61">
                  <c:v>-0.41706129706903994</c:v>
                </c:pt>
                <c:pt idx="62">
                  <c:v>-0.1713015127890003</c:v>
                </c:pt>
                <c:pt idx="63">
                  <c:v>-0.24748250302195629</c:v>
                </c:pt>
                <c:pt idx="64">
                  <c:v>-0.40734217348494894</c:v>
                </c:pt>
                <c:pt idx="65">
                  <c:v>-0.23017459463704881</c:v>
                </c:pt>
                <c:pt idx="66">
                  <c:v>3.4509562972971253E-2</c:v>
                </c:pt>
                <c:pt idx="67">
                  <c:v>7.2106080461367128E-3</c:v>
                </c:pt>
                <c:pt idx="68">
                  <c:v>-0.27305432222181025</c:v>
                </c:pt>
                <c:pt idx="69">
                  <c:v>0.50557124471123416</c:v>
                </c:pt>
                <c:pt idx="70">
                  <c:v>0.18276976920083143</c:v>
                </c:pt>
                <c:pt idx="71">
                  <c:v>0.13990548941154657</c:v>
                </c:pt>
                <c:pt idx="72">
                  <c:v>-0.15485173078116077</c:v>
                </c:pt>
                <c:pt idx="73">
                  <c:v>0.11671437345097502</c:v>
                </c:pt>
                <c:pt idx="74">
                  <c:v>-9.473635438087058E-2</c:v>
                </c:pt>
                <c:pt idx="75">
                  <c:v>0.44137753081309938</c:v>
                </c:pt>
                <c:pt idx="76">
                  <c:v>0.66546409988188771</c:v>
                </c:pt>
                <c:pt idx="77">
                  <c:v>0.87663286104589133</c:v>
                </c:pt>
                <c:pt idx="78">
                  <c:v>0.67858581886298452</c:v>
                </c:pt>
                <c:pt idx="79">
                  <c:v>1.0213660491459677</c:v>
                </c:pt>
                <c:pt idx="80">
                  <c:v>1.0975807491857381</c:v>
                </c:pt>
                <c:pt idx="81">
                  <c:v>1.6180491511709647</c:v>
                </c:pt>
                <c:pt idx="82">
                  <c:v>1.2266873150289257</c:v>
                </c:pt>
                <c:pt idx="83">
                  <c:v>0.39521816457227033</c:v>
                </c:pt>
                <c:pt idx="84">
                  <c:v>0.69190457507590963</c:v>
                </c:pt>
                <c:pt idx="85">
                  <c:v>3.491634262303478E-2</c:v>
                </c:pt>
                <c:pt idx="86">
                  <c:v>0.50486658182484234</c:v>
                </c:pt>
                <c:pt idx="87">
                  <c:v>0.28243013836288355</c:v>
                </c:pt>
                <c:pt idx="88">
                  <c:v>0.98792155857614716</c:v>
                </c:pt>
                <c:pt idx="89">
                  <c:v>0.73054401022523052</c:v>
                </c:pt>
                <c:pt idx="90">
                  <c:v>0.55395270531005281</c:v>
                </c:pt>
                <c:pt idx="91">
                  <c:v>0.55804955671106882</c:v>
                </c:pt>
                <c:pt idx="92">
                  <c:v>0.57572389747332409</c:v>
                </c:pt>
                <c:pt idx="93">
                  <c:v>0.74760681175342825</c:v>
                </c:pt>
                <c:pt idx="94">
                  <c:v>0.3877086631146085</c:v>
                </c:pt>
                <c:pt idx="95">
                  <c:v>0.26765794661713471</c:v>
                </c:pt>
                <c:pt idx="96">
                  <c:v>0.24581210262414288</c:v>
                </c:pt>
                <c:pt idx="97">
                  <c:v>0.25029368224670634</c:v>
                </c:pt>
                <c:pt idx="98">
                  <c:v>0.75166829062351326</c:v>
                </c:pt>
                <c:pt idx="99">
                  <c:v>0.42070573421716517</c:v>
                </c:pt>
                <c:pt idx="100">
                  <c:v>0.42762547259746952</c:v>
                </c:pt>
                <c:pt idx="101">
                  <c:v>7.1725897580108722E-2</c:v>
                </c:pt>
                <c:pt idx="102">
                  <c:v>0.70661464697110432</c:v>
                </c:pt>
                <c:pt idx="103">
                  <c:v>0.96205011269387342</c:v>
                </c:pt>
                <c:pt idx="104">
                  <c:v>0.91120847642156377</c:v>
                </c:pt>
                <c:pt idx="105">
                  <c:v>0.88452953140171076</c:v>
                </c:pt>
                <c:pt idx="106">
                  <c:v>1.106119520107427</c:v>
                </c:pt>
                <c:pt idx="107">
                  <c:v>1.1675109314829228</c:v>
                </c:pt>
                <c:pt idx="108">
                  <c:v>0.74715735062062549</c:v>
                </c:pt>
                <c:pt idx="109">
                  <c:v>0.70313329446651096</c:v>
                </c:pt>
                <c:pt idx="110">
                  <c:v>0.52595606507554749</c:v>
                </c:pt>
                <c:pt idx="111">
                  <c:v>0.53649201594231499</c:v>
                </c:pt>
                <c:pt idx="112">
                  <c:v>0.56486393151203629</c:v>
                </c:pt>
                <c:pt idx="113">
                  <c:v>0.90046701830402753</c:v>
                </c:pt>
                <c:pt idx="114">
                  <c:v>1.126860545238344</c:v>
                </c:pt>
                <c:pt idx="115">
                  <c:v>1.1866173480032103</c:v>
                </c:pt>
                <c:pt idx="116">
                  <c:v>1.3872886923892338</c:v>
                </c:pt>
                <c:pt idx="117">
                  <c:v>1.3920759504630382</c:v>
                </c:pt>
                <c:pt idx="118">
                  <c:v>0.91518311449004841</c:v>
                </c:pt>
                <c:pt idx="119">
                  <c:v>0.64804479393382053</c:v>
                </c:pt>
                <c:pt idx="120">
                  <c:v>0.63921259468531844</c:v>
                </c:pt>
                <c:pt idx="121">
                  <c:v>0.70671206223607896</c:v>
                </c:pt>
                <c:pt idx="122">
                  <c:v>0.75101125302086302</c:v>
                </c:pt>
                <c:pt idx="123">
                  <c:v>1.0330749514856166</c:v>
                </c:pt>
                <c:pt idx="124">
                  <c:v>0.72292738053192807</c:v>
                </c:pt>
                <c:pt idx="125">
                  <c:v>0.56006245052543591</c:v>
                </c:pt>
                <c:pt idx="126">
                  <c:v>0.95799011767928732</c:v>
                </c:pt>
                <c:pt idx="127">
                  <c:v>0.53617408987446424</c:v>
                </c:pt>
                <c:pt idx="128">
                  <c:v>0.83837952000436644</c:v>
                </c:pt>
                <c:pt idx="129">
                  <c:v>0.67465343374129816</c:v>
                </c:pt>
                <c:pt idx="130">
                  <c:v>0.65929893668806017</c:v>
                </c:pt>
                <c:pt idx="131">
                  <c:v>3.6513934730919573E-3</c:v>
                </c:pt>
                <c:pt idx="132">
                  <c:v>0.18636179811176135</c:v>
                </c:pt>
                <c:pt idx="133">
                  <c:v>-0.24459395847844689</c:v>
                </c:pt>
                <c:pt idx="134">
                  <c:v>0.32120224757312599</c:v>
                </c:pt>
                <c:pt idx="135">
                  <c:v>0.60481500471041727</c:v>
                </c:pt>
                <c:pt idx="136">
                  <c:v>0.59616859942320843</c:v>
                </c:pt>
                <c:pt idx="137">
                  <c:v>0.6048570227767982</c:v>
                </c:pt>
                <c:pt idx="138">
                  <c:v>0.4943402303978246</c:v>
                </c:pt>
                <c:pt idx="139">
                  <c:v>0.34393108931249117</c:v>
                </c:pt>
                <c:pt idx="140">
                  <c:v>0.47769623097946123</c:v>
                </c:pt>
                <c:pt idx="141">
                  <c:v>1.0854816338873547</c:v>
                </c:pt>
                <c:pt idx="142">
                  <c:v>0.81169117259315726</c:v>
                </c:pt>
                <c:pt idx="143">
                  <c:v>0.65755930907715765</c:v>
                </c:pt>
                <c:pt idx="144">
                  <c:v>0.27183808568554468</c:v>
                </c:pt>
                <c:pt idx="145">
                  <c:v>0.15245290931818545</c:v>
                </c:pt>
                <c:pt idx="146">
                  <c:v>0.15977113719401359</c:v>
                </c:pt>
                <c:pt idx="147">
                  <c:v>0.56495882890914118</c:v>
                </c:pt>
                <c:pt idx="148">
                  <c:v>0.70783866517535898</c:v>
                </c:pt>
                <c:pt idx="149">
                  <c:v>0.61810638953375019</c:v>
                </c:pt>
                <c:pt idx="150">
                  <c:v>0.91917112180078675</c:v>
                </c:pt>
                <c:pt idx="151">
                  <c:v>1.2301923684602798</c:v>
                </c:pt>
                <c:pt idx="152">
                  <c:v>1.945543275517764</c:v>
                </c:pt>
                <c:pt idx="153">
                  <c:v>1.3648654159303533</c:v>
                </c:pt>
                <c:pt idx="154">
                  <c:v>1.0426651164817713</c:v>
                </c:pt>
                <c:pt idx="155">
                  <c:v>0.7700742509979932</c:v>
                </c:pt>
                <c:pt idx="156">
                  <c:v>0.66594759809589732</c:v>
                </c:pt>
                <c:pt idx="157">
                  <c:v>1.028159237358409</c:v>
                </c:pt>
                <c:pt idx="158">
                  <c:v>0.79702491133264175</c:v>
                </c:pt>
                <c:pt idx="159">
                  <c:v>0.91381384576885694</c:v>
                </c:pt>
                <c:pt idx="160">
                  <c:v>0.96824541835007949</c:v>
                </c:pt>
                <c:pt idx="161">
                  <c:v>1.1601188247947789</c:v>
                </c:pt>
                <c:pt idx="162">
                  <c:v>1.112791499933337</c:v>
                </c:pt>
                <c:pt idx="163">
                  <c:v>1.7984303481273969</c:v>
                </c:pt>
                <c:pt idx="164">
                  <c:v>1.1653979635649421</c:v>
                </c:pt>
                <c:pt idx="165">
                  <c:v>1.3762868277924554</c:v>
                </c:pt>
                <c:pt idx="166">
                  <c:v>1.6757077189667484</c:v>
                </c:pt>
                <c:pt idx="167">
                  <c:v>1.2446879209609847</c:v>
                </c:pt>
                <c:pt idx="168">
                  <c:v>0.93218695335161783</c:v>
                </c:pt>
                <c:pt idx="169">
                  <c:v>0.70602656685662168</c:v>
                </c:pt>
                <c:pt idx="170">
                  <c:v>0.31646988219563355</c:v>
                </c:pt>
                <c:pt idx="171">
                  <c:v>0.37489130435119478</c:v>
                </c:pt>
                <c:pt idx="172">
                  <c:v>0.59090489222887754</c:v>
                </c:pt>
                <c:pt idx="173">
                  <c:v>0.54441531238325069</c:v>
                </c:pt>
                <c:pt idx="174">
                  <c:v>0.3487273061315932</c:v>
                </c:pt>
                <c:pt idx="175">
                  <c:v>0.4126854928123862</c:v>
                </c:pt>
                <c:pt idx="176">
                  <c:v>0.55129236864939912</c:v>
                </c:pt>
                <c:pt idx="177">
                  <c:v>0.13376981145881928</c:v>
                </c:pt>
                <c:pt idx="178">
                  <c:v>-0.13516549220020124</c:v>
                </c:pt>
                <c:pt idx="179">
                  <c:v>-0.41459230736950303</c:v>
                </c:pt>
                <c:pt idx="180">
                  <c:v>-0.88544491244493884</c:v>
                </c:pt>
                <c:pt idx="181">
                  <c:v>-0.78995461552699453</c:v>
                </c:pt>
                <c:pt idx="182">
                  <c:v>-0.4879116517630564</c:v>
                </c:pt>
                <c:pt idx="183">
                  <c:v>-0.10783496975756179</c:v>
                </c:pt>
                <c:pt idx="184">
                  <c:v>0.67978270149001219</c:v>
                </c:pt>
                <c:pt idx="185">
                  <c:v>0.92495297061918791</c:v>
                </c:pt>
                <c:pt idx="186">
                  <c:v>0.38092715039431368</c:v>
                </c:pt>
                <c:pt idx="187">
                  <c:v>0.41638867787247591</c:v>
                </c:pt>
                <c:pt idx="188">
                  <c:v>0.58666219676854325</c:v>
                </c:pt>
                <c:pt idx="189">
                  <c:v>0.71075475421662304</c:v>
                </c:pt>
                <c:pt idx="190">
                  <c:v>0.87349071430082859</c:v>
                </c:pt>
                <c:pt idx="191">
                  <c:v>0.46568349159457512</c:v>
                </c:pt>
                <c:pt idx="192">
                  <c:v>0.22650678375725875</c:v>
                </c:pt>
                <c:pt idx="193">
                  <c:v>0.48367533756106695</c:v>
                </c:pt>
                <c:pt idx="194">
                  <c:v>0.51734467072020607</c:v>
                </c:pt>
                <c:pt idx="195">
                  <c:v>0.78910426249456123</c:v>
                </c:pt>
                <c:pt idx="196">
                  <c:v>0.94835281216489875</c:v>
                </c:pt>
                <c:pt idx="197">
                  <c:v>1.0752106568458544</c:v>
                </c:pt>
                <c:pt idx="198">
                  <c:v>0.89287478826344113</c:v>
                </c:pt>
                <c:pt idx="199">
                  <c:v>1.0598647687599509</c:v>
                </c:pt>
                <c:pt idx="200">
                  <c:v>1.1318327707822959</c:v>
                </c:pt>
                <c:pt idx="201">
                  <c:v>1.0375674221912732</c:v>
                </c:pt>
                <c:pt idx="202">
                  <c:v>0.73200256327118041</c:v>
                </c:pt>
                <c:pt idx="203">
                  <c:v>0.95584198714902868</c:v>
                </c:pt>
                <c:pt idx="204">
                  <c:v>0.76836917120141379</c:v>
                </c:pt>
                <c:pt idx="205">
                  <c:v>0.56724401595897689</c:v>
                </c:pt>
                <c:pt idx="206">
                  <c:v>0.76256688583805499</c:v>
                </c:pt>
                <c:pt idx="207">
                  <c:v>0.97603749917220739</c:v>
                </c:pt>
                <c:pt idx="208">
                  <c:v>0.97694416991004118</c:v>
                </c:pt>
                <c:pt idx="209">
                  <c:v>0.94551777987220476</c:v>
                </c:pt>
                <c:pt idx="210">
                  <c:v>0.94490009235249772</c:v>
                </c:pt>
                <c:pt idx="211">
                  <c:v>0.82682425033249274</c:v>
                </c:pt>
                <c:pt idx="212">
                  <c:v>1.0905197998764038</c:v>
                </c:pt>
                <c:pt idx="213">
                  <c:v>1.3579285873735785</c:v>
                </c:pt>
                <c:pt idx="214">
                  <c:v>1.2340960655139384</c:v>
                </c:pt>
                <c:pt idx="215">
                  <c:v>1.0396142669381447</c:v>
                </c:pt>
                <c:pt idx="216">
                  <c:v>1.1238785908686282</c:v>
                </c:pt>
                <c:pt idx="217">
                  <c:v>1.0644930213809971</c:v>
                </c:pt>
                <c:pt idx="218">
                  <c:v>1.4015016933893776</c:v>
                </c:pt>
                <c:pt idx="219">
                  <c:v>1.3967167153925857</c:v>
                </c:pt>
                <c:pt idx="220">
                  <c:v>1.2993138620616378</c:v>
                </c:pt>
                <c:pt idx="221">
                  <c:v>1.0096367169783775</c:v>
                </c:pt>
                <c:pt idx="222">
                  <c:v>1.3407707373337416</c:v>
                </c:pt>
                <c:pt idx="223">
                  <c:v>0.87089901012677728</c:v>
                </c:pt>
                <c:pt idx="224">
                  <c:v>0.84634620534444593</c:v>
                </c:pt>
                <c:pt idx="225">
                  <c:v>0.73545248202782432</c:v>
                </c:pt>
                <c:pt idx="226">
                  <c:v>0.54337646219175895</c:v>
                </c:pt>
                <c:pt idx="227">
                  <c:v>0.42059685900568411</c:v>
                </c:pt>
                <c:pt idx="228">
                  <c:v>0.56662255477357348</c:v>
                </c:pt>
                <c:pt idx="229">
                  <c:v>2.9000837118530853E-2</c:v>
                </c:pt>
                <c:pt idx="230">
                  <c:v>0.43771882708779231</c:v>
                </c:pt>
                <c:pt idx="231">
                  <c:v>0.56470259111432597</c:v>
                </c:pt>
                <c:pt idx="232">
                  <c:v>0.38901379474253872</c:v>
                </c:pt>
                <c:pt idx="233">
                  <c:v>0.23111029543105133</c:v>
                </c:pt>
                <c:pt idx="234">
                  <c:v>0.63402045883509572</c:v>
                </c:pt>
                <c:pt idx="235">
                  <c:v>0.19575513925258292</c:v>
                </c:pt>
                <c:pt idx="236">
                  <c:v>0.42298324011875366</c:v>
                </c:pt>
                <c:pt idx="237">
                  <c:v>0.74381536131755865</c:v>
                </c:pt>
                <c:pt idx="238">
                  <c:v>0.18352518460153533</c:v>
                </c:pt>
                <c:pt idx="239">
                  <c:v>7.2476210748277481E-2</c:v>
                </c:pt>
                <c:pt idx="240">
                  <c:v>-8.9707299203439561E-2</c:v>
                </c:pt>
                <c:pt idx="241">
                  <c:v>0.13446429884356803</c:v>
                </c:pt>
                <c:pt idx="242">
                  <c:v>0.3249201596944431</c:v>
                </c:pt>
                <c:pt idx="243">
                  <c:v>0.3237022113007697</c:v>
                </c:pt>
                <c:pt idx="244">
                  <c:v>0.56975610397040555</c:v>
                </c:pt>
                <c:pt idx="245">
                  <c:v>0.25365587790093969</c:v>
                </c:pt>
                <c:pt idx="246">
                  <c:v>0.54837185353881068</c:v>
                </c:pt>
                <c:pt idx="247">
                  <c:v>0.161739775458841</c:v>
                </c:pt>
                <c:pt idx="248">
                  <c:v>0.59077853071448772</c:v>
                </c:pt>
                <c:pt idx="249">
                  <c:v>0.5733653254135902</c:v>
                </c:pt>
                <c:pt idx="250">
                  <c:v>8.4890823035493668E-2</c:v>
                </c:pt>
                <c:pt idx="251">
                  <c:v>0.17560138742692288</c:v>
                </c:pt>
                <c:pt idx="252">
                  <c:v>-0.20476141432078521</c:v>
                </c:pt>
                <c:pt idx="253">
                  <c:v>0.27123345547039435</c:v>
                </c:pt>
                <c:pt idx="254">
                  <c:v>0.3134562170792492</c:v>
                </c:pt>
                <c:pt idx="255">
                  <c:v>0.25406659535923382</c:v>
                </c:pt>
                <c:pt idx="256">
                  <c:v>9.1892287430653141E-2</c:v>
                </c:pt>
                <c:pt idx="257">
                  <c:v>-0.22237454302120341</c:v>
                </c:pt>
                <c:pt idx="258">
                  <c:v>0.25417740963825963</c:v>
                </c:pt>
                <c:pt idx="259">
                  <c:v>-0.63718221102942607</c:v>
                </c:pt>
                <c:pt idx="260">
                  <c:v>2.3702529857359877E-2</c:v>
                </c:pt>
                <c:pt idx="261">
                  <c:v>-0.11192176305513613</c:v>
                </c:pt>
                <c:pt idx="262">
                  <c:v>-0.47854516189948981</c:v>
                </c:pt>
                <c:pt idx="263">
                  <c:v>-0.3360407254498341</c:v>
                </c:pt>
                <c:pt idx="264">
                  <c:v>-0.3945472915722803</c:v>
                </c:pt>
                <c:pt idx="265">
                  <c:v>-0.36669357259330582</c:v>
                </c:pt>
                <c:pt idx="266">
                  <c:v>-0.52266943274804589</c:v>
                </c:pt>
                <c:pt idx="267">
                  <c:v>-0.23019505171419041</c:v>
                </c:pt>
                <c:pt idx="268">
                  <c:v>-6.0562987175671879E-2</c:v>
                </c:pt>
                <c:pt idx="269">
                  <c:v>-0.12296064701951082</c:v>
                </c:pt>
                <c:pt idx="270">
                  <c:v>-0.53453689197726817</c:v>
                </c:pt>
                <c:pt idx="271">
                  <c:v>-0.61781552107100879</c:v>
                </c:pt>
                <c:pt idx="272">
                  <c:v>-0.38505904426710913</c:v>
                </c:pt>
                <c:pt idx="273">
                  <c:v>-0.21886947063916296</c:v>
                </c:pt>
                <c:pt idx="274">
                  <c:v>-0.223615944272467</c:v>
                </c:pt>
                <c:pt idx="275">
                  <c:v>7.0707387571587788E-2</c:v>
                </c:pt>
                <c:pt idx="276">
                  <c:v>0.11408295034124194</c:v>
                </c:pt>
                <c:pt idx="277">
                  <c:v>0.16382144823217004</c:v>
                </c:pt>
                <c:pt idx="278">
                  <c:v>-2.0327905644023758E-2</c:v>
                </c:pt>
                <c:pt idx="279">
                  <c:v>-0.14596352024312864</c:v>
                </c:pt>
                <c:pt idx="280">
                  <c:v>-0.11449988552902823</c:v>
                </c:pt>
                <c:pt idx="281">
                  <c:v>-0.28500230106357094</c:v>
                </c:pt>
                <c:pt idx="282">
                  <c:v>-0.31468063322574835</c:v>
                </c:pt>
                <c:pt idx="283">
                  <c:v>-0.58624272175802616</c:v>
                </c:pt>
                <c:pt idx="284">
                  <c:v>-0.10158324304182997</c:v>
                </c:pt>
                <c:pt idx="285">
                  <c:v>-9.3549503544409163E-2</c:v>
                </c:pt>
                <c:pt idx="286">
                  <c:v>3.3612300711808984E-2</c:v>
                </c:pt>
                <c:pt idx="287">
                  <c:v>-0.14021508871729793</c:v>
                </c:pt>
                <c:pt idx="288">
                  <c:v>9.5074042546571036E-2</c:v>
                </c:pt>
                <c:pt idx="289">
                  <c:v>0.23672880321851153</c:v>
                </c:pt>
                <c:pt idx="290">
                  <c:v>0.34443646608752942</c:v>
                </c:pt>
                <c:pt idx="291">
                  <c:v>0.32072242701190135</c:v>
                </c:pt>
                <c:pt idx="292">
                  <c:v>0.37404822695702933</c:v>
                </c:pt>
                <c:pt idx="293">
                  <c:v>0.4554727144175672</c:v>
                </c:pt>
                <c:pt idx="294">
                  <c:v>0.1477239983120171</c:v>
                </c:pt>
                <c:pt idx="295">
                  <c:v>0.38790712390999715</c:v>
                </c:pt>
                <c:pt idx="296">
                  <c:v>-9.5498607190563689E-2</c:v>
                </c:pt>
                <c:pt idx="297">
                  <c:v>-0.33558989636628667</c:v>
                </c:pt>
                <c:pt idx="298">
                  <c:v>-0.55648793781807626</c:v>
                </c:pt>
                <c:pt idx="299">
                  <c:v>-0.67843515765645179</c:v>
                </c:pt>
                <c:pt idx="300">
                  <c:v>-1.0912004931200272</c:v>
                </c:pt>
                <c:pt idx="301">
                  <c:v>-0.26759745988306349</c:v>
                </c:pt>
                <c:pt idx="302">
                  <c:v>-0.39800176014659883</c:v>
                </c:pt>
                <c:pt idx="303">
                  <c:v>-0.17976212516924761</c:v>
                </c:pt>
                <c:pt idx="304">
                  <c:v>-0.73454305386928809</c:v>
                </c:pt>
                <c:pt idx="305">
                  <c:v>-0.471159475892307</c:v>
                </c:pt>
                <c:pt idx="306">
                  <c:v>-0.43694634310031688</c:v>
                </c:pt>
                <c:pt idx="307">
                  <c:v>-0.39112928818809678</c:v>
                </c:pt>
                <c:pt idx="308">
                  <c:v>-0.80256247560618021</c:v>
                </c:pt>
                <c:pt idx="309">
                  <c:v>-0.60074220719917548</c:v>
                </c:pt>
                <c:pt idx="310">
                  <c:v>-0.62966223619002903</c:v>
                </c:pt>
                <c:pt idx="311">
                  <c:v>-0.67969259874814725</c:v>
                </c:pt>
                <c:pt idx="312">
                  <c:v>-0.58047443781043739</c:v>
                </c:pt>
                <c:pt idx="313">
                  <c:v>-5.4885115427737219E-2</c:v>
                </c:pt>
                <c:pt idx="314">
                  <c:v>-0.34336453762063002</c:v>
                </c:pt>
                <c:pt idx="315">
                  <c:v>-0.59313310661059404</c:v>
                </c:pt>
                <c:pt idx="316">
                  <c:v>-0.54598382061203665</c:v>
                </c:pt>
                <c:pt idx="317">
                  <c:v>-0.32060292444788274</c:v>
                </c:pt>
                <c:pt idx="318">
                  <c:v>-0.50438966126296236</c:v>
                </c:pt>
                <c:pt idx="319">
                  <c:v>-1.1106231791635537</c:v>
                </c:pt>
                <c:pt idx="320">
                  <c:v>-0.68005630721125954</c:v>
                </c:pt>
                <c:pt idx="321">
                  <c:v>-0.67629781624992802</c:v>
                </c:pt>
                <c:pt idx="322">
                  <c:v>-0.65321224080611273</c:v>
                </c:pt>
                <c:pt idx="323">
                  <c:v>-0.42129900718515501</c:v>
                </c:pt>
                <c:pt idx="324">
                  <c:v>-0.54006968137520062</c:v>
                </c:pt>
                <c:pt idx="325">
                  <c:v>-0.64246636241887245</c:v>
                </c:pt>
                <c:pt idx="326">
                  <c:v>-0.35899405575736409</c:v>
                </c:pt>
                <c:pt idx="327">
                  <c:v>-0.41674304446917176</c:v>
                </c:pt>
                <c:pt idx="328">
                  <c:v>-0.44763661854585735</c:v>
                </c:pt>
                <c:pt idx="329">
                  <c:v>-0.21023054291856624</c:v>
                </c:pt>
                <c:pt idx="330">
                  <c:v>-2.1989248836860043E-2</c:v>
                </c:pt>
                <c:pt idx="331">
                  <c:v>-9.6388542687407153E-2</c:v>
                </c:pt>
                <c:pt idx="332">
                  <c:v>-0.43378820181925448</c:v>
                </c:pt>
                <c:pt idx="333">
                  <c:v>-0.51805911169714136</c:v>
                </c:pt>
                <c:pt idx="334">
                  <c:v>-0.50293442964698443</c:v>
                </c:pt>
                <c:pt idx="335">
                  <c:v>-0.34904513347777311</c:v>
                </c:pt>
                <c:pt idx="336">
                  <c:v>-0.31577104774066811</c:v>
                </c:pt>
                <c:pt idx="337">
                  <c:v>-0.94612008985416196</c:v>
                </c:pt>
                <c:pt idx="338">
                  <c:v>-0.2706634521189244</c:v>
                </c:pt>
                <c:pt idx="339">
                  <c:v>-0.37635912492436319</c:v>
                </c:pt>
                <c:pt idx="340">
                  <c:v>-0.32526286646890412</c:v>
                </c:pt>
                <c:pt idx="341">
                  <c:v>-0.4657977822198518</c:v>
                </c:pt>
                <c:pt idx="342">
                  <c:v>-8.5494580451552338E-2</c:v>
                </c:pt>
                <c:pt idx="343">
                  <c:v>-0.19802901086563907</c:v>
                </c:pt>
                <c:pt idx="344">
                  <c:v>-0.39336123345367469</c:v>
                </c:pt>
                <c:pt idx="345">
                  <c:v>-0.67562862673662494</c:v>
                </c:pt>
                <c:pt idx="346">
                  <c:v>-0.73843077627850562</c:v>
                </c:pt>
                <c:pt idx="347">
                  <c:v>-0.44253240886519052</c:v>
                </c:pt>
                <c:pt idx="348">
                  <c:v>-1.0371794069648104</c:v>
                </c:pt>
                <c:pt idx="349">
                  <c:v>-1.0654466058202843</c:v>
                </c:pt>
                <c:pt idx="350">
                  <c:v>-0.97797249019555466</c:v>
                </c:pt>
                <c:pt idx="351">
                  <c:v>-1.0415805479370306</c:v>
                </c:pt>
                <c:pt idx="352">
                  <c:v>-0.898461218235866</c:v>
                </c:pt>
                <c:pt idx="353">
                  <c:v>-1.3869027311147875</c:v>
                </c:pt>
                <c:pt idx="354">
                  <c:v>-1.8445031789827908</c:v>
                </c:pt>
                <c:pt idx="355">
                  <c:v>-1.5010174262005762</c:v>
                </c:pt>
                <c:pt idx="356">
                  <c:v>-1.5042418704212537</c:v>
                </c:pt>
                <c:pt idx="357">
                  <c:v>-1.5444666525538082</c:v>
                </c:pt>
                <c:pt idx="358">
                  <c:v>-1.7751551800185439</c:v>
                </c:pt>
                <c:pt idx="359">
                  <c:v>-1.8072085384177967</c:v>
                </c:pt>
                <c:pt idx="360">
                  <c:v>-1.8597360545290371</c:v>
                </c:pt>
                <c:pt idx="361">
                  <c:v>-1.8358807871853742</c:v>
                </c:pt>
                <c:pt idx="362">
                  <c:v>-1.986349826689036</c:v>
                </c:pt>
                <c:pt idx="363">
                  <c:v>-1.787829533800334</c:v>
                </c:pt>
                <c:pt idx="364">
                  <c:v>-1.7626476567284612</c:v>
                </c:pt>
                <c:pt idx="365">
                  <c:v>-2.1989549182317774</c:v>
                </c:pt>
                <c:pt idx="366">
                  <c:v>-1.6644181097180422</c:v>
                </c:pt>
                <c:pt idx="367">
                  <c:v>-1.4431235139953742</c:v>
                </c:pt>
                <c:pt idx="368">
                  <c:v>-1.8142107777260321</c:v>
                </c:pt>
                <c:pt idx="369">
                  <c:v>-1.4723644556252111</c:v>
                </c:pt>
                <c:pt idx="370">
                  <c:v>-1.5709098773742198</c:v>
                </c:pt>
                <c:pt idx="371">
                  <c:v>-1.800886389507582</c:v>
                </c:pt>
                <c:pt idx="372">
                  <c:v>-1.5712648582500037</c:v>
                </c:pt>
                <c:pt idx="373">
                  <c:v>-1.3852575176988466</c:v>
                </c:pt>
                <c:pt idx="374">
                  <c:v>-1.5636410206972755</c:v>
                </c:pt>
                <c:pt idx="375">
                  <c:v>-1.4829626880860474</c:v>
                </c:pt>
                <c:pt idx="376">
                  <c:v>-1.4056894924634662</c:v>
                </c:pt>
                <c:pt idx="377">
                  <c:v>-1.5598327311874982</c:v>
                </c:pt>
                <c:pt idx="378">
                  <c:v>-1.7531288529704625</c:v>
                </c:pt>
                <c:pt idx="379">
                  <c:v>-1.5998742815029914</c:v>
                </c:pt>
                <c:pt idx="380">
                  <c:v>-1.0487886646888001</c:v>
                </c:pt>
                <c:pt idx="381">
                  <c:v>-1.4148366420560592</c:v>
                </c:pt>
                <c:pt idx="382">
                  <c:v>-1.1312031590578613</c:v>
                </c:pt>
                <c:pt idx="383">
                  <c:v>-1.1590681327102175</c:v>
                </c:pt>
                <c:pt idx="384">
                  <c:v>-1.257261655801301</c:v>
                </c:pt>
                <c:pt idx="385">
                  <c:v>-0.9790662932157943</c:v>
                </c:pt>
                <c:pt idx="386">
                  <c:v>-1.1953294223294506</c:v>
                </c:pt>
                <c:pt idx="387">
                  <c:v>-1.452457001502637</c:v>
                </c:pt>
                <c:pt idx="388">
                  <c:v>-1.533057553365154</c:v>
                </c:pt>
                <c:pt idx="389">
                  <c:v>-1.0550006208740683</c:v>
                </c:pt>
                <c:pt idx="390">
                  <c:v>-1.2360934736212243</c:v>
                </c:pt>
                <c:pt idx="391">
                  <c:v>-1.8108461864313199</c:v>
                </c:pt>
                <c:pt idx="392">
                  <c:v>-1.8775513926739222</c:v>
                </c:pt>
                <c:pt idx="393">
                  <c:v>-2.0214584953041594</c:v>
                </c:pt>
                <c:pt idx="394">
                  <c:v>-1.565609710530623</c:v>
                </c:pt>
                <c:pt idx="395">
                  <c:v>-0.94132787397819584</c:v>
                </c:pt>
                <c:pt idx="396">
                  <c:v>-0.77729995348084913</c:v>
                </c:pt>
                <c:pt idx="397">
                  <c:v>-0.58688001953487401</c:v>
                </c:pt>
                <c:pt idx="398">
                  <c:v>-0.64098735545132968</c:v>
                </c:pt>
                <c:pt idx="399">
                  <c:v>-0.78588419575152102</c:v>
                </c:pt>
                <c:pt idx="400">
                  <c:v>-0.7243229775883151</c:v>
                </c:pt>
                <c:pt idx="401">
                  <c:v>-0.73402912161265021</c:v>
                </c:pt>
                <c:pt idx="402">
                  <c:v>-0.61288190130790099</c:v>
                </c:pt>
                <c:pt idx="403">
                  <c:v>-0.86120169604328112</c:v>
                </c:pt>
                <c:pt idx="404">
                  <c:v>-0.82565461774322557</c:v>
                </c:pt>
                <c:pt idx="405">
                  <c:v>-0.73737907081601861</c:v>
                </c:pt>
                <c:pt idx="406">
                  <c:v>-0.96927175715381964</c:v>
                </c:pt>
                <c:pt idx="407">
                  <c:v>-0.18280121975749353</c:v>
                </c:pt>
                <c:pt idx="408">
                  <c:v>-0.15650850871355715</c:v>
                </c:pt>
                <c:pt idx="409">
                  <c:v>0.16617940458297653</c:v>
                </c:pt>
                <c:pt idx="410">
                  <c:v>-0.12573007221214993</c:v>
                </c:pt>
                <c:pt idx="411">
                  <c:v>0.42164735469725656</c:v>
                </c:pt>
                <c:pt idx="412">
                  <c:v>0.48541252543600422</c:v>
                </c:pt>
                <c:pt idx="413">
                  <c:v>0.17798695391309138</c:v>
                </c:pt>
                <c:pt idx="414">
                  <c:v>0.56141795774379943</c:v>
                </c:pt>
                <c:pt idx="415">
                  <c:v>0.19075678345359393</c:v>
                </c:pt>
                <c:pt idx="416">
                  <c:v>0.48858756418508165</c:v>
                </c:pt>
                <c:pt idx="417">
                  <c:v>0.26907620719651959</c:v>
                </c:pt>
                <c:pt idx="418">
                  <c:v>0.30947355474040705</c:v>
                </c:pt>
                <c:pt idx="419">
                  <c:v>0.89816332391870901</c:v>
                </c:pt>
                <c:pt idx="420">
                  <c:v>0.9567524178485769</c:v>
                </c:pt>
                <c:pt idx="421">
                  <c:v>1.1217399473167688</c:v>
                </c:pt>
                <c:pt idx="422">
                  <c:v>0.83205898833313086</c:v>
                </c:pt>
                <c:pt idx="423">
                  <c:v>0.88174240698464246</c:v>
                </c:pt>
                <c:pt idx="424">
                  <c:v>0.72774227398855373</c:v>
                </c:pt>
                <c:pt idx="425">
                  <c:v>0.15262908745415871</c:v>
                </c:pt>
                <c:pt idx="426">
                  <c:v>0.46837573209006678</c:v>
                </c:pt>
                <c:pt idx="427">
                  <c:v>0.24980890659008992</c:v>
                </c:pt>
                <c:pt idx="428">
                  <c:v>0.33996153735103007</c:v>
                </c:pt>
                <c:pt idx="429">
                  <c:v>0.51270024461632602</c:v>
                </c:pt>
                <c:pt idx="430">
                  <c:v>0.62542587940242811</c:v>
                </c:pt>
                <c:pt idx="431">
                  <c:v>0.57637195102495298</c:v>
                </c:pt>
                <c:pt idx="432">
                  <c:v>0.65729578725648707</c:v>
                </c:pt>
                <c:pt idx="433">
                  <c:v>0.63462134632180778</c:v>
                </c:pt>
                <c:pt idx="434">
                  <c:v>0.48720613092820031</c:v>
                </c:pt>
                <c:pt idx="435">
                  <c:v>0.30923406124651365</c:v>
                </c:pt>
                <c:pt idx="436">
                  <c:v>0.15750595350095864</c:v>
                </c:pt>
                <c:pt idx="437">
                  <c:v>0.22474377867433759</c:v>
                </c:pt>
                <c:pt idx="438">
                  <c:v>5.2844745220738787E-2</c:v>
                </c:pt>
                <c:pt idx="439">
                  <c:v>0.26640725309329127</c:v>
                </c:pt>
                <c:pt idx="440">
                  <c:v>-0.1710794812905192</c:v>
                </c:pt>
                <c:pt idx="441">
                  <c:v>8.394687592522132E-2</c:v>
                </c:pt>
                <c:pt idx="442">
                  <c:v>-1.0960309691654402E-2</c:v>
                </c:pt>
                <c:pt idx="443">
                  <c:v>-7.7720245724094639E-2</c:v>
                </c:pt>
                <c:pt idx="444">
                  <c:v>0.3755773329912131</c:v>
                </c:pt>
                <c:pt idx="445">
                  <c:v>0.11527997674733115</c:v>
                </c:pt>
                <c:pt idx="446">
                  <c:v>0.43016835255235719</c:v>
                </c:pt>
                <c:pt idx="447">
                  <c:v>2.4579957909622863E-2</c:v>
                </c:pt>
                <c:pt idx="448">
                  <c:v>0.19516182795371151</c:v>
                </c:pt>
                <c:pt idx="449">
                  <c:v>-0.15521006321449704</c:v>
                </c:pt>
                <c:pt idx="450">
                  <c:v>-0.4847154475124853</c:v>
                </c:pt>
                <c:pt idx="451">
                  <c:v>-0.41427899019242886</c:v>
                </c:pt>
                <c:pt idx="452">
                  <c:v>0.2806409732718862</c:v>
                </c:pt>
                <c:pt idx="453">
                  <c:v>0.17799961927875074</c:v>
                </c:pt>
                <c:pt idx="454">
                  <c:v>-4.494196040980114E-3</c:v>
                </c:pt>
                <c:pt idx="455">
                  <c:v>-0.11891537712847366</c:v>
                </c:pt>
                <c:pt idx="456">
                  <c:v>6.6802262831970438E-2</c:v>
                </c:pt>
                <c:pt idx="457">
                  <c:v>0.43892837525720552</c:v>
                </c:pt>
                <c:pt idx="458">
                  <c:v>0.29616529216235676</c:v>
                </c:pt>
                <c:pt idx="459">
                  <c:v>0.55300708513402697</c:v>
                </c:pt>
                <c:pt idx="460">
                  <c:v>0.29594400749067518</c:v>
                </c:pt>
                <c:pt idx="461">
                  <c:v>0.43800904151004261</c:v>
                </c:pt>
                <c:pt idx="462">
                  <c:v>0.50094401356750495</c:v>
                </c:pt>
                <c:pt idx="463">
                  <c:v>0.77887856980453307</c:v>
                </c:pt>
                <c:pt idx="464">
                  <c:v>0.36623880296986044</c:v>
                </c:pt>
                <c:pt idx="465">
                  <c:v>0.53596227166343624</c:v>
                </c:pt>
                <c:pt idx="466">
                  <c:v>1.0759154915701288</c:v>
                </c:pt>
                <c:pt idx="467">
                  <c:v>0.80386568952150128</c:v>
                </c:pt>
                <c:pt idx="468">
                  <c:v>0.79203714899074384</c:v>
                </c:pt>
                <c:pt idx="469">
                  <c:v>1.4466205358797311</c:v>
                </c:pt>
                <c:pt idx="470">
                  <c:v>0.87623875448974786</c:v>
                </c:pt>
                <c:pt idx="471">
                  <c:v>0.63554463459536237</c:v>
                </c:pt>
                <c:pt idx="472">
                  <c:v>0.10086946069628766</c:v>
                </c:pt>
                <c:pt idx="473">
                  <c:v>5.5405413407697779E-2</c:v>
                </c:pt>
                <c:pt idx="474">
                  <c:v>0.10081478318750214</c:v>
                </c:pt>
                <c:pt idx="475">
                  <c:v>-0.2090127263217596</c:v>
                </c:pt>
                <c:pt idx="476">
                  <c:v>-0.119171460514508</c:v>
                </c:pt>
                <c:pt idx="477">
                  <c:v>-0.19704366648113592</c:v>
                </c:pt>
                <c:pt idx="478">
                  <c:v>-0.40460253539401947</c:v>
                </c:pt>
                <c:pt idx="479">
                  <c:v>-0.59424134623139935</c:v>
                </c:pt>
                <c:pt idx="480">
                  <c:v>-0.71357507797279141</c:v>
                </c:pt>
                <c:pt idx="481">
                  <c:v>-0.4864933696268281</c:v>
                </c:pt>
                <c:pt idx="482">
                  <c:v>-0.79445407138888413</c:v>
                </c:pt>
                <c:pt idx="483">
                  <c:v>-0.61264294335529712</c:v>
                </c:pt>
                <c:pt idx="484">
                  <c:v>-0.80489032530459781</c:v>
                </c:pt>
                <c:pt idx="485">
                  <c:v>-0.97784217899112491</c:v>
                </c:pt>
                <c:pt idx="486">
                  <c:v>-0.82991707846400686</c:v>
                </c:pt>
                <c:pt idx="487">
                  <c:v>-0.69746927064608144</c:v>
                </c:pt>
                <c:pt idx="488">
                  <c:v>-0.85510552834040254</c:v>
                </c:pt>
                <c:pt idx="489">
                  <c:v>-0.10053324645105022</c:v>
                </c:pt>
                <c:pt idx="490">
                  <c:v>-7.5562645426032304E-2</c:v>
                </c:pt>
                <c:pt idx="491">
                  <c:v>-0.4227501911873901</c:v>
                </c:pt>
                <c:pt idx="492">
                  <c:v>-5.9547440162305065E-2</c:v>
                </c:pt>
                <c:pt idx="493">
                  <c:v>0.58007432229419464</c:v>
                </c:pt>
                <c:pt idx="494">
                  <c:v>0.11457514254476564</c:v>
                </c:pt>
                <c:pt idx="495">
                  <c:v>-2.1066633138673296E-2</c:v>
                </c:pt>
                <c:pt idx="496">
                  <c:v>-2.0845668628965086E-2</c:v>
                </c:pt>
                <c:pt idx="497">
                  <c:v>-0.15124336433575536</c:v>
                </c:pt>
                <c:pt idx="498">
                  <c:v>0.3992394904018397</c:v>
                </c:pt>
                <c:pt idx="499">
                  <c:v>0.2090325155002688</c:v>
                </c:pt>
                <c:pt idx="500">
                  <c:v>0.45396795530791678</c:v>
                </c:pt>
                <c:pt idx="501">
                  <c:v>0.90103242426721408</c:v>
                </c:pt>
                <c:pt idx="502">
                  <c:v>0.41858185269666137</c:v>
                </c:pt>
                <c:pt idx="503">
                  <c:v>0.56389340346868266</c:v>
                </c:pt>
                <c:pt idx="504">
                  <c:v>0.58968213156776983</c:v>
                </c:pt>
                <c:pt idx="505">
                  <c:v>0.44189351212969541</c:v>
                </c:pt>
                <c:pt idx="506">
                  <c:v>0.35890388599369771</c:v>
                </c:pt>
                <c:pt idx="507">
                  <c:v>0.21585890800207608</c:v>
                </c:pt>
                <c:pt idx="508">
                  <c:v>0.3085963837367558</c:v>
                </c:pt>
                <c:pt idx="509">
                  <c:v>0.56080268521299104</c:v>
                </c:pt>
                <c:pt idx="510">
                  <c:v>0.21389320353750918</c:v>
                </c:pt>
                <c:pt idx="511">
                  <c:v>0.45101280090574392</c:v>
                </c:pt>
                <c:pt idx="512">
                  <c:v>1.1085558117051164</c:v>
                </c:pt>
                <c:pt idx="513">
                  <c:v>0.56814723210567308</c:v>
                </c:pt>
                <c:pt idx="514">
                  <c:v>0.65831146088646619</c:v>
                </c:pt>
                <c:pt idx="515">
                  <c:v>0.92615696894591792</c:v>
                </c:pt>
                <c:pt idx="516">
                  <c:v>1.0245677467991641</c:v>
                </c:pt>
                <c:pt idx="517">
                  <c:v>0.96940486893714706</c:v>
                </c:pt>
                <c:pt idx="518">
                  <c:v>0.86895980303762599</c:v>
                </c:pt>
                <c:pt idx="519">
                  <c:v>0.69854784635873557</c:v>
                </c:pt>
                <c:pt idx="520">
                  <c:v>0.46383693699544892</c:v>
                </c:pt>
                <c:pt idx="521">
                  <c:v>0.27868355970394987</c:v>
                </c:pt>
                <c:pt idx="522">
                  <c:v>0.51441811680837191</c:v>
                </c:pt>
                <c:pt idx="523">
                  <c:v>0.93392907790104118</c:v>
                </c:pt>
                <c:pt idx="524">
                  <c:v>1.0041232172800392</c:v>
                </c:pt>
                <c:pt idx="525">
                  <c:v>0.92628380001855248</c:v>
                </c:pt>
                <c:pt idx="526">
                  <c:v>0.45910650750005289</c:v>
                </c:pt>
                <c:pt idx="527">
                  <c:v>0.41952830077116232</c:v>
                </c:pt>
                <c:pt idx="528">
                  <c:v>0.9906049278238811</c:v>
                </c:pt>
                <c:pt idx="529">
                  <c:v>0.12811165265219415</c:v>
                </c:pt>
                <c:pt idx="530">
                  <c:v>0.61025365202817738</c:v>
                </c:pt>
                <c:pt idx="531">
                  <c:v>0.2025186993791408</c:v>
                </c:pt>
                <c:pt idx="532">
                  <c:v>-0.16959797219993789</c:v>
                </c:pt>
                <c:pt idx="533">
                  <c:v>-5.2066923602183124E-2</c:v>
                </c:pt>
                <c:pt idx="534">
                  <c:v>-0.11364416096199648</c:v>
                </c:pt>
                <c:pt idx="535">
                  <c:v>0.25829810985715085</c:v>
                </c:pt>
                <c:pt idx="536">
                  <c:v>0.1211876630018196</c:v>
                </c:pt>
                <c:pt idx="537">
                  <c:v>4.5960324077555015E-2</c:v>
                </c:pt>
                <c:pt idx="538">
                  <c:v>-0.34851408177587473</c:v>
                </c:pt>
                <c:pt idx="539">
                  <c:v>-0.23547296831139874</c:v>
                </c:pt>
                <c:pt idx="540">
                  <c:v>-8.1685960975903527E-2</c:v>
                </c:pt>
                <c:pt idx="541">
                  <c:v>-0.22146503967451281</c:v>
                </c:pt>
                <c:pt idx="542">
                  <c:v>-0.20669275996829128</c:v>
                </c:pt>
                <c:pt idx="543">
                  <c:v>-0.13170599117074744</c:v>
                </c:pt>
                <c:pt idx="544">
                  <c:v>-0.14118509009921354</c:v>
                </c:pt>
                <c:pt idx="545">
                  <c:v>-0.22092477421875856</c:v>
                </c:pt>
                <c:pt idx="546">
                  <c:v>8.0231098487217878E-2</c:v>
                </c:pt>
                <c:pt idx="547">
                  <c:v>-6.9977836152702366E-2</c:v>
                </c:pt>
                <c:pt idx="548">
                  <c:v>-0.77434027371919001</c:v>
                </c:pt>
                <c:pt idx="549">
                  <c:v>-0.26690456490479164</c:v>
                </c:pt>
                <c:pt idx="550">
                  <c:v>0.19137665724849739</c:v>
                </c:pt>
                <c:pt idx="551">
                  <c:v>0.56708820161793483</c:v>
                </c:pt>
                <c:pt idx="552">
                  <c:v>0.53363847680060417</c:v>
                </c:pt>
                <c:pt idx="553">
                  <c:v>0.67662655660427617</c:v>
                </c:pt>
                <c:pt idx="554">
                  <c:v>0.54408044121737476</c:v>
                </c:pt>
                <c:pt idx="555">
                  <c:v>0.35184204032555044</c:v>
                </c:pt>
                <c:pt idx="556">
                  <c:v>8.5051980918876779E-2</c:v>
                </c:pt>
                <c:pt idx="557">
                  <c:v>0.20809482018785275</c:v>
                </c:pt>
                <c:pt idx="558">
                  <c:v>-0.17796286595080346</c:v>
                </c:pt>
                <c:pt idx="559">
                  <c:v>0.21897148541791012</c:v>
                </c:pt>
                <c:pt idx="560">
                  <c:v>-0.3426046099366431</c:v>
                </c:pt>
                <c:pt idx="561">
                  <c:v>9.7531294381838052E-2</c:v>
                </c:pt>
                <c:pt idx="562">
                  <c:v>-0.35139341625887255</c:v>
                </c:pt>
                <c:pt idx="563">
                  <c:v>-0.34297419022885833</c:v>
                </c:pt>
                <c:pt idx="564">
                  <c:v>-0.31362210142907543</c:v>
                </c:pt>
                <c:pt idx="565">
                  <c:v>0.30217173691909238</c:v>
                </c:pt>
                <c:pt idx="566">
                  <c:v>-3.765536693526883E-2</c:v>
                </c:pt>
                <c:pt idx="567">
                  <c:v>-0.11708023045781601</c:v>
                </c:pt>
                <c:pt idx="568">
                  <c:v>-0.43114374000884936</c:v>
                </c:pt>
                <c:pt idx="569">
                  <c:v>-0.81527956297946957</c:v>
                </c:pt>
                <c:pt idx="570">
                  <c:v>-0.57851193894003927</c:v>
                </c:pt>
                <c:pt idx="571">
                  <c:v>-0.24902227547795519</c:v>
                </c:pt>
                <c:pt idx="572">
                  <c:v>-0.63776548478847417</c:v>
                </c:pt>
                <c:pt idx="573">
                  <c:v>-0.56488428015256886</c:v>
                </c:pt>
                <c:pt idx="574">
                  <c:v>-0.28096825071492049</c:v>
                </c:pt>
                <c:pt idx="575">
                  <c:v>6.0203886840156429E-2</c:v>
                </c:pt>
                <c:pt idx="576">
                  <c:v>-9.759540847238668E-2</c:v>
                </c:pt>
                <c:pt idx="577">
                  <c:v>-5.8948943411735399E-2</c:v>
                </c:pt>
                <c:pt idx="578">
                  <c:v>-0.26601161661204742</c:v>
                </c:pt>
                <c:pt idx="579">
                  <c:v>8.7424055342296469E-2</c:v>
                </c:pt>
                <c:pt idx="580">
                  <c:v>-9.3867359309456333E-2</c:v>
                </c:pt>
                <c:pt idx="581">
                  <c:v>1.4865283888013892E-2</c:v>
                </c:pt>
                <c:pt idx="582">
                  <c:v>-0.225494587131152</c:v>
                </c:pt>
                <c:pt idx="583">
                  <c:v>1.6593073065394037E-2</c:v>
                </c:pt>
                <c:pt idx="584">
                  <c:v>-0.45926992888826135</c:v>
                </c:pt>
                <c:pt idx="585">
                  <c:v>-3.5975656778077791E-3</c:v>
                </c:pt>
                <c:pt idx="586">
                  <c:v>-6.6793343652818749E-2</c:v>
                </c:pt>
                <c:pt idx="587">
                  <c:v>-4.28223091761879E-2</c:v>
                </c:pt>
                <c:pt idx="588">
                  <c:v>0.60227459546769069</c:v>
                </c:pt>
                <c:pt idx="589">
                  <c:v>-4.6178661692692913E-2</c:v>
                </c:pt>
                <c:pt idx="590">
                  <c:v>-4.3072642364450076E-4</c:v>
                </c:pt>
                <c:pt idx="591">
                  <c:v>-6.4086735815692464E-2</c:v>
                </c:pt>
                <c:pt idx="592">
                  <c:v>2.7440250272945832E-2</c:v>
                </c:pt>
                <c:pt idx="593">
                  <c:v>-0.40091072470841027</c:v>
                </c:pt>
                <c:pt idx="594">
                  <c:v>-0.27835010766790447</c:v>
                </c:pt>
                <c:pt idx="595">
                  <c:v>0.61212444884415618</c:v>
                </c:pt>
                <c:pt idx="596">
                  <c:v>1.0891978556419986</c:v>
                </c:pt>
                <c:pt idx="597">
                  <c:v>-1.2284158784609644E-2</c:v>
                </c:pt>
                <c:pt idx="598">
                  <c:v>-0.15253538696231317</c:v>
                </c:pt>
                <c:pt idx="599">
                  <c:v>0.2442891592226033</c:v>
                </c:pt>
                <c:pt idx="600">
                  <c:v>0.46233877728042216</c:v>
                </c:pt>
                <c:pt idx="601">
                  <c:v>-0.1731576090727458</c:v>
                </c:pt>
                <c:pt idx="602">
                  <c:v>0.18545577797920032</c:v>
                </c:pt>
                <c:pt idx="603">
                  <c:v>0.39476483717021438</c:v>
                </c:pt>
                <c:pt idx="604">
                  <c:v>0.63916521936312165</c:v>
                </c:pt>
                <c:pt idx="605">
                  <c:v>0.13378753346870553</c:v>
                </c:pt>
                <c:pt idx="606">
                  <c:v>0.55932562595938862</c:v>
                </c:pt>
                <c:pt idx="607">
                  <c:v>3.6747616383365767E-2</c:v>
                </c:pt>
                <c:pt idx="608">
                  <c:v>0.40679839290459086</c:v>
                </c:pt>
                <c:pt idx="609">
                  <c:v>0.44820169540219013</c:v>
                </c:pt>
                <c:pt idx="610">
                  <c:v>0.4009360915561615</c:v>
                </c:pt>
                <c:pt idx="611">
                  <c:v>0.55065395406165862</c:v>
                </c:pt>
                <c:pt idx="612">
                  <c:v>0.59169747394486194</c:v>
                </c:pt>
                <c:pt idx="613">
                  <c:v>0.39919920480264182</c:v>
                </c:pt>
                <c:pt idx="614">
                  <c:v>0.77071801480644808</c:v>
                </c:pt>
                <c:pt idx="615">
                  <c:v>0.49303350333809703</c:v>
                </c:pt>
                <c:pt idx="616">
                  <c:v>0.40034736362224521</c:v>
                </c:pt>
                <c:pt idx="617">
                  <c:v>0.3779844422429619</c:v>
                </c:pt>
                <c:pt idx="618">
                  <c:v>-0.25345845599076711</c:v>
                </c:pt>
                <c:pt idx="619">
                  <c:v>-0.30330596504603591</c:v>
                </c:pt>
                <c:pt idx="620">
                  <c:v>-0.25022808399307905</c:v>
                </c:pt>
                <c:pt idx="621">
                  <c:v>-0.44589126743818497</c:v>
                </c:pt>
                <c:pt idx="622">
                  <c:v>-6.0121374256937088E-2</c:v>
                </c:pt>
                <c:pt idx="623">
                  <c:v>0.45253813532639242</c:v>
                </c:pt>
                <c:pt idx="624">
                  <c:v>0.3166255680000063</c:v>
                </c:pt>
                <c:pt idx="625">
                  <c:v>0.37717549744911594</c:v>
                </c:pt>
                <c:pt idx="626">
                  <c:v>0.11164826339432921</c:v>
                </c:pt>
                <c:pt idx="627">
                  <c:v>4.7020401494876296E-2</c:v>
                </c:pt>
                <c:pt idx="628">
                  <c:v>0.25729640741525373</c:v>
                </c:pt>
                <c:pt idx="629">
                  <c:v>-0.19200138998758121</c:v>
                </c:pt>
                <c:pt idx="630">
                  <c:v>8.9625151421330429E-2</c:v>
                </c:pt>
                <c:pt idx="631">
                  <c:v>0.44255375392367569</c:v>
                </c:pt>
                <c:pt idx="632">
                  <c:v>0.94870930510091966</c:v>
                </c:pt>
                <c:pt idx="633">
                  <c:v>0.68602863794433233</c:v>
                </c:pt>
                <c:pt idx="634">
                  <c:v>0.68488473393585991</c:v>
                </c:pt>
                <c:pt idx="635">
                  <c:v>0.39053502868438272</c:v>
                </c:pt>
                <c:pt idx="636">
                  <c:v>0.82771722051069219</c:v>
                </c:pt>
                <c:pt idx="637">
                  <c:v>0.421366266504549</c:v>
                </c:pt>
                <c:pt idx="638">
                  <c:v>0.54884233208940714</c:v>
                </c:pt>
                <c:pt idx="639">
                  <c:v>0.68732217887992419</c:v>
                </c:pt>
                <c:pt idx="640">
                  <c:v>0.4806098109373238</c:v>
                </c:pt>
                <c:pt idx="641">
                  <c:v>0.25442833819096222</c:v>
                </c:pt>
                <c:pt idx="642">
                  <c:v>0.87917559201218864</c:v>
                </c:pt>
                <c:pt idx="643">
                  <c:v>0.76106608406848864</c:v>
                </c:pt>
                <c:pt idx="644">
                  <c:v>0.12035935984914659</c:v>
                </c:pt>
                <c:pt idx="645">
                  <c:v>0.33071940672658684</c:v>
                </c:pt>
                <c:pt idx="646">
                  <c:v>0.73272192650557599</c:v>
                </c:pt>
                <c:pt idx="647">
                  <c:v>0.70142136551532985</c:v>
                </c:pt>
                <c:pt idx="648">
                  <c:v>0.74175870443121994</c:v>
                </c:pt>
                <c:pt idx="649">
                  <c:v>0.53856733993245598</c:v>
                </c:pt>
                <c:pt idx="650">
                  <c:v>0.71910530844724008</c:v>
                </c:pt>
                <c:pt idx="651">
                  <c:v>0.23075350454854515</c:v>
                </c:pt>
                <c:pt idx="652">
                  <c:v>0.20711152850810777</c:v>
                </c:pt>
                <c:pt idx="653">
                  <c:v>-2.5892810838001878E-2</c:v>
                </c:pt>
                <c:pt idx="654">
                  <c:v>-0.35796395024226513</c:v>
                </c:pt>
                <c:pt idx="655">
                  <c:v>0.12066469629832</c:v>
                </c:pt>
                <c:pt idx="656">
                  <c:v>0.46313946587804367</c:v>
                </c:pt>
                <c:pt idx="657">
                  <c:v>-0.51341735724855653</c:v>
                </c:pt>
                <c:pt idx="658">
                  <c:v>1.1775476861487277E-2</c:v>
                </c:pt>
                <c:pt idx="659">
                  <c:v>0.12356659369038425</c:v>
                </c:pt>
                <c:pt idx="660">
                  <c:v>0.14710309192372506</c:v>
                </c:pt>
                <c:pt idx="661">
                  <c:v>0.55711539112905939</c:v>
                </c:pt>
                <c:pt idx="662">
                  <c:v>0.31075797410676387</c:v>
                </c:pt>
                <c:pt idx="663">
                  <c:v>0.2756187159090473</c:v>
                </c:pt>
                <c:pt idx="664">
                  <c:v>5.0899617193636004E-3</c:v>
                </c:pt>
                <c:pt idx="665">
                  <c:v>-5.4692925303925222E-2</c:v>
                </c:pt>
                <c:pt idx="666">
                  <c:v>0.68646192338928813</c:v>
                </c:pt>
                <c:pt idx="667">
                  <c:v>0.20800826953814067</c:v>
                </c:pt>
                <c:pt idx="668">
                  <c:v>-0.21628232252953694</c:v>
                </c:pt>
                <c:pt idx="669">
                  <c:v>-0.10970451420286054</c:v>
                </c:pt>
                <c:pt idx="670">
                  <c:v>-0.12126807386766814</c:v>
                </c:pt>
                <c:pt idx="671">
                  <c:v>0.73366636502288429</c:v>
                </c:pt>
                <c:pt idx="672">
                  <c:v>0.66045546221710083</c:v>
                </c:pt>
                <c:pt idx="673">
                  <c:v>0.86372494001204814</c:v>
                </c:pt>
                <c:pt idx="674">
                  <c:v>0.68052399779270445</c:v>
                </c:pt>
                <c:pt idx="675">
                  <c:v>0.55865094854891595</c:v>
                </c:pt>
                <c:pt idx="676">
                  <c:v>0.36128742033019989</c:v>
                </c:pt>
                <c:pt idx="677">
                  <c:v>0.35477979766125145</c:v>
                </c:pt>
                <c:pt idx="678">
                  <c:v>0.80921452225078383</c:v>
                </c:pt>
                <c:pt idx="679">
                  <c:v>0.50372730607006133</c:v>
                </c:pt>
                <c:pt idx="680">
                  <c:v>2.7253846499775136E-3</c:v>
                </c:pt>
                <c:pt idx="681">
                  <c:v>1.2490186181764784E-2</c:v>
                </c:pt>
                <c:pt idx="682">
                  <c:v>0.65422441483889315</c:v>
                </c:pt>
                <c:pt idx="683">
                  <c:v>0.54235468271343734</c:v>
                </c:pt>
                <c:pt idx="684">
                  <c:v>1.2224507111822049</c:v>
                </c:pt>
                <c:pt idx="685">
                  <c:v>1.1190317763800977</c:v>
                </c:pt>
                <c:pt idx="686">
                  <c:v>0.40904003559290913</c:v>
                </c:pt>
                <c:pt idx="687">
                  <c:v>-8.9512245037951743E-2</c:v>
                </c:pt>
                <c:pt idx="688">
                  <c:v>-0.37365767447454346</c:v>
                </c:pt>
                <c:pt idx="689">
                  <c:v>-7.683532186621278E-2</c:v>
                </c:pt>
                <c:pt idx="690">
                  <c:v>-0.66906593342514498</c:v>
                </c:pt>
                <c:pt idx="691">
                  <c:v>-0.4549768461257031</c:v>
                </c:pt>
                <c:pt idx="692">
                  <c:v>-1.7326259251723855</c:v>
                </c:pt>
                <c:pt idx="693">
                  <c:v>-1.1596119427384792</c:v>
                </c:pt>
                <c:pt idx="694">
                  <c:v>-1.0745155761207457</c:v>
                </c:pt>
                <c:pt idx="695">
                  <c:v>4.6872880846990483E-2</c:v>
                </c:pt>
                <c:pt idx="696">
                  <c:v>0.3803403686351885</c:v>
                </c:pt>
                <c:pt idx="697">
                  <c:v>1.0297640135718211E-2</c:v>
                </c:pt>
                <c:pt idx="698">
                  <c:v>-0.4064222781739204</c:v>
                </c:pt>
                <c:pt idx="699">
                  <c:v>-1.0815889921394728</c:v>
                </c:pt>
                <c:pt idx="700">
                  <c:v>-0.62245352813482668</c:v>
                </c:pt>
                <c:pt idx="701">
                  <c:v>-1.082236222547408</c:v>
                </c:pt>
                <c:pt idx="702">
                  <c:v>-0.73106710106520723</c:v>
                </c:pt>
                <c:pt idx="703">
                  <c:v>-0.24046348659783234</c:v>
                </c:pt>
                <c:pt idx="704">
                  <c:v>-0.69471295332431282</c:v>
                </c:pt>
                <c:pt idx="705">
                  <c:v>-0.98840446605026955</c:v>
                </c:pt>
                <c:pt idx="706">
                  <c:v>-0.76989906185775681</c:v>
                </c:pt>
                <c:pt idx="707">
                  <c:v>-0.2252069662004601</c:v>
                </c:pt>
                <c:pt idx="708">
                  <c:v>-0.18832098945182452</c:v>
                </c:pt>
                <c:pt idx="709">
                  <c:v>0.18505958421008017</c:v>
                </c:pt>
                <c:pt idx="710">
                  <c:v>-0.10834287184917457</c:v>
                </c:pt>
                <c:pt idx="711">
                  <c:v>-0.17007679272006726</c:v>
                </c:pt>
                <c:pt idx="712">
                  <c:v>-0.37761466896722595</c:v>
                </c:pt>
                <c:pt idx="713">
                  <c:v>-0.61395505303846676</c:v>
                </c:pt>
                <c:pt idx="714">
                  <c:v>2.0661225525998361E-2</c:v>
                </c:pt>
                <c:pt idx="715">
                  <c:v>1.4382572782324132E-2</c:v>
                </c:pt>
                <c:pt idx="716">
                  <c:v>0.41358950644183778</c:v>
                </c:pt>
                <c:pt idx="717">
                  <c:v>8.3247530877088138E-2</c:v>
                </c:pt>
                <c:pt idx="718">
                  <c:v>-6.4781081847570476E-2</c:v>
                </c:pt>
                <c:pt idx="719">
                  <c:v>0.5432698373946323</c:v>
                </c:pt>
                <c:pt idx="720">
                  <c:v>0.42363140649024444</c:v>
                </c:pt>
                <c:pt idx="721">
                  <c:v>0.34049246610072714</c:v>
                </c:pt>
                <c:pt idx="722">
                  <c:v>2.0462888099984866E-2</c:v>
                </c:pt>
                <c:pt idx="723">
                  <c:v>-0.63778089734944388</c:v>
                </c:pt>
                <c:pt idx="724">
                  <c:v>-0.37193654440295632</c:v>
                </c:pt>
                <c:pt idx="725">
                  <c:v>-0.99477711682743575</c:v>
                </c:pt>
                <c:pt idx="726">
                  <c:v>-0.80665609891428858</c:v>
                </c:pt>
                <c:pt idx="727">
                  <c:v>-0.23976493939693455</c:v>
                </c:pt>
                <c:pt idx="728">
                  <c:v>-0.30704386868217171</c:v>
                </c:pt>
                <c:pt idx="729">
                  <c:v>-0.94398035548908865</c:v>
                </c:pt>
                <c:pt idx="730">
                  <c:v>-0.63848508838992757</c:v>
                </c:pt>
                <c:pt idx="731">
                  <c:v>0.10298076115657295</c:v>
                </c:pt>
                <c:pt idx="732">
                  <c:v>-4.3124020143693542E-2</c:v>
                </c:pt>
                <c:pt idx="733">
                  <c:v>-0.10272433558344574</c:v>
                </c:pt>
                <c:pt idx="734">
                  <c:v>0.10067530596381857</c:v>
                </c:pt>
                <c:pt idx="735">
                  <c:v>-0.28402004387584157</c:v>
                </c:pt>
                <c:pt idx="736">
                  <c:v>-0.46473696404223119</c:v>
                </c:pt>
                <c:pt idx="737">
                  <c:v>-0.91401926299710112</c:v>
                </c:pt>
                <c:pt idx="738">
                  <c:v>-0.70233496159818287</c:v>
                </c:pt>
                <c:pt idx="739">
                  <c:v>-0.20521096136195638</c:v>
                </c:pt>
                <c:pt idx="740">
                  <c:v>-0.41890718234714086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ED7D31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18BE-4B8B-861D-905D5E30B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8214208"/>
        <c:axId val="638214864"/>
      </c:barChart>
      <c:dateAx>
        <c:axId val="638214208"/>
        <c:scaling>
          <c:orientation val="minMax"/>
          <c:max val="44197"/>
          <c:min val="21186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8214864"/>
        <c:crosses val="autoZero"/>
        <c:auto val="1"/>
        <c:lblOffset val="100"/>
        <c:baseTimeUnit val="months"/>
        <c:majorUnit val="12"/>
        <c:majorTimeUnit val="months"/>
      </c:dateAx>
      <c:valAx>
        <c:axId val="63821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3821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CO2</a:t>
            </a:r>
            <a:r>
              <a:rPr lang="ja-JP" altLang="en-US"/>
              <a:t>と予測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'2次多項式モデル'!$K$1</c:f>
              <c:strCache>
                <c:ptCount val="1"/>
                <c:pt idx="0">
                  <c:v>TCS(d)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'2次多項式モデル'!$F$2:$F$955</c:f>
              <c:numCache>
                <c:formatCode>m/d/yyyy</c:formatCode>
                <c:ptCount val="954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</c:numCache>
            </c:numRef>
          </c:xVal>
          <c:yVal>
            <c:numRef>
              <c:f>'2次多項式モデル'!$K$2:$K$955</c:f>
              <c:numCache>
                <c:formatCode>0.00_ ;[Red]\-0.00\ </c:formatCode>
                <c:ptCount val="954"/>
                <c:pt idx="0">
                  <c:v>315.9853175057865</c:v>
                </c:pt>
                <c:pt idx="1">
                  <c:v>317.28655842479452</c:v>
                </c:pt>
                <c:pt idx="2">
                  <c:v>317.80471798701586</c:v>
                </c:pt>
                <c:pt idx="3">
                  <c:v>315.59097817326943</c:v>
                </c:pt>
                <c:pt idx="4">
                  <c:v>313.53551504075017</c:v>
                </c:pt>
                <c:pt idx="5">
                  <c:v>311.80521264782107</c:v>
                </c:pt>
                <c:pt idx="6">
                  <c:v>313.06921428524237</c:v>
                </c:pt>
                <c:pt idx="7">
                  <c:v>314.30109801930809</c:v>
                </c:pt>
                <c:pt idx="8">
                  <c:v>315.31982892214927</c:v>
                </c:pt>
                <c:pt idx="9">
                  <c:v>316.01956410117037</c:v>
                </c:pt>
                <c:pt idx="10">
                  <c:v>316.75898758836132</c:v>
                </c:pt>
                <c:pt idx="11">
                  <c:v>318.06244731801206</c:v>
                </c:pt>
                <c:pt idx="12">
                  <c:v>318.58275411633923</c:v>
                </c:pt>
                <c:pt idx="13">
                  <c:v>317.93113757439255</c:v>
                </c:pt>
                <c:pt idx="14">
                  <c:v>316.3733803493414</c:v>
                </c:pt>
                <c:pt idx="15">
                  <c:v>314.32013602746486</c:v>
                </c:pt>
                <c:pt idx="16">
                  <c:v>312.59205244517852</c:v>
                </c:pt>
                <c:pt idx="17">
                  <c:v>312.51455959344554</c:v>
                </c:pt>
                <c:pt idx="18">
                  <c:v>313.86042012934843</c:v>
                </c:pt>
                <c:pt idx="19">
                  <c:v>315.09445109951997</c:v>
                </c:pt>
                <c:pt idx="20">
                  <c:v>316.11540081300387</c:v>
                </c:pt>
                <c:pt idx="21">
                  <c:v>316.81735480266769</c:v>
                </c:pt>
                <c:pt idx="22">
                  <c:v>317.56100948080524</c:v>
                </c:pt>
                <c:pt idx="23">
                  <c:v>318.86669410003196</c:v>
                </c:pt>
                <c:pt idx="24">
                  <c:v>319.38915401730367</c:v>
                </c:pt>
                <c:pt idx="25">
                  <c:v>318.73976236493297</c:v>
                </c:pt>
                <c:pt idx="26">
                  <c:v>317.18415825882636</c:v>
                </c:pt>
                <c:pt idx="27">
                  <c:v>315.13313882652579</c:v>
                </c:pt>
                <c:pt idx="28">
                  <c:v>313.40728013381545</c:v>
                </c:pt>
                <c:pt idx="29">
                  <c:v>313.331940401027</c:v>
                </c:pt>
                <c:pt idx="30">
                  <c:v>314.68002582650587</c:v>
                </c:pt>
                <c:pt idx="31">
                  <c:v>315.91620991562189</c:v>
                </c:pt>
                <c:pt idx="32">
                  <c:v>316.93938451868183</c:v>
                </c:pt>
                <c:pt idx="33">
                  <c:v>317.6435633979217</c:v>
                </c:pt>
                <c:pt idx="34">
                  <c:v>318.38700054982633</c:v>
                </c:pt>
                <c:pt idx="35">
                  <c:v>319.69490397969577</c:v>
                </c:pt>
                <c:pt idx="36">
                  <c:v>320.21951113307335</c:v>
                </c:pt>
                <c:pt idx="37">
                  <c:v>319.57233829134537</c:v>
                </c:pt>
                <c:pt idx="38">
                  <c:v>318.01888142134464</c:v>
                </c:pt>
                <c:pt idx="39">
                  <c:v>315.9700807996868</c:v>
                </c:pt>
                <c:pt idx="40">
                  <c:v>314.24644091761917</c:v>
                </c:pt>
                <c:pt idx="41">
                  <c:v>314.1732484209366</c:v>
                </c:pt>
                <c:pt idx="42">
                  <c:v>315.52355265705819</c:v>
                </c:pt>
                <c:pt idx="43">
                  <c:v>316.7618839822801</c:v>
                </c:pt>
                <c:pt idx="44">
                  <c:v>317.78727739598276</c:v>
                </c:pt>
                <c:pt idx="45">
                  <c:v>318.49367508586533</c:v>
                </c:pt>
                <c:pt idx="46">
                  <c:v>319.23911632480213</c:v>
                </c:pt>
                <c:pt idx="47">
                  <c:v>320.54923856531428</c:v>
                </c:pt>
                <c:pt idx="48">
                  <c:v>321.07599295479775</c:v>
                </c:pt>
                <c:pt idx="49">
                  <c:v>320.43103892371249</c:v>
                </c:pt>
                <c:pt idx="50">
                  <c:v>318.87972928981765</c:v>
                </c:pt>
                <c:pt idx="51">
                  <c:v>316.83314747880252</c:v>
                </c:pt>
                <c:pt idx="52">
                  <c:v>315.1117264073776</c:v>
                </c:pt>
                <c:pt idx="53">
                  <c:v>315.04068114680092</c:v>
                </c:pt>
                <c:pt idx="54">
                  <c:v>316.39320419356523</c:v>
                </c:pt>
                <c:pt idx="55">
                  <c:v>317.63368275489302</c:v>
                </c:pt>
                <c:pt idx="56">
                  <c:v>318.66129497923839</c:v>
                </c:pt>
                <c:pt idx="57">
                  <c:v>319.36991147976369</c:v>
                </c:pt>
                <c:pt idx="58">
                  <c:v>320.11735680573258</c:v>
                </c:pt>
                <c:pt idx="59">
                  <c:v>321.42969785688751</c:v>
                </c:pt>
                <c:pt idx="60">
                  <c:v>321.95859948247681</c:v>
                </c:pt>
                <c:pt idx="61">
                  <c:v>321.31586426203432</c:v>
                </c:pt>
                <c:pt idx="62">
                  <c:v>319.76670186424536</c:v>
                </c:pt>
                <c:pt idx="63">
                  <c:v>317.72233886387295</c:v>
                </c:pt>
                <c:pt idx="64">
                  <c:v>316.00313660309081</c:v>
                </c:pt>
                <c:pt idx="65">
                  <c:v>315.93423857861995</c:v>
                </c:pt>
                <c:pt idx="66">
                  <c:v>317.28898043602697</c:v>
                </c:pt>
                <c:pt idx="67">
                  <c:v>318.53160623346065</c:v>
                </c:pt>
                <c:pt idx="68">
                  <c:v>319.5614372684488</c:v>
                </c:pt>
                <c:pt idx="69">
                  <c:v>322.86985627603912</c:v>
                </c:pt>
                <c:pt idx="70">
                  <c:v>322.22934594517261</c:v>
                </c:pt>
                <c:pt idx="71">
                  <c:v>320.68233666632813</c:v>
                </c:pt>
                <c:pt idx="72">
                  <c:v>318.6401985555317</c:v>
                </c:pt>
                <c:pt idx="73">
                  <c:v>316.92322118432554</c:v>
                </c:pt>
                <c:pt idx="74">
                  <c:v>316.85647627879922</c:v>
                </c:pt>
                <c:pt idx="75">
                  <c:v>318.21344302578223</c:v>
                </c:pt>
                <c:pt idx="76">
                  <c:v>319.45822194216043</c:v>
                </c:pt>
                <c:pt idx="77">
                  <c:v>320.49027786672457</c:v>
                </c:pt>
                <c:pt idx="78">
                  <c:v>321.20333806746856</c:v>
                </c:pt>
                <c:pt idx="79">
                  <c:v>321.95479705815114</c:v>
                </c:pt>
                <c:pt idx="80">
                  <c:v>323.27158180952483</c:v>
                </c:pt>
                <c:pt idx="81">
                  <c:v>323.80478379016449</c:v>
                </c:pt>
                <c:pt idx="82">
                  <c:v>323.16649226994076</c:v>
                </c:pt>
                <c:pt idx="83">
                  <c:v>321.6216302272021</c:v>
                </c:pt>
                <c:pt idx="84">
                  <c:v>319.58171092704845</c:v>
                </c:pt>
                <c:pt idx="85">
                  <c:v>317.86695236648501</c:v>
                </c:pt>
                <c:pt idx="86">
                  <c:v>317.80235469706452</c:v>
                </c:pt>
                <c:pt idx="87">
                  <c:v>319.16154025469029</c:v>
                </c:pt>
                <c:pt idx="88">
                  <c:v>320.40846640717433</c:v>
                </c:pt>
                <c:pt idx="89">
                  <c:v>321.44274114238118</c:v>
                </c:pt>
                <c:pt idx="90">
                  <c:v>322.15802015376795</c:v>
                </c:pt>
                <c:pt idx="91">
                  <c:v>322.91148323148269</c:v>
                </c:pt>
                <c:pt idx="92">
                  <c:v>324.2304867934991</c:v>
                </c:pt>
                <c:pt idx="93">
                  <c:v>324.76583601024464</c:v>
                </c:pt>
                <c:pt idx="94">
                  <c:v>324.12976330066357</c:v>
                </c:pt>
                <c:pt idx="95">
                  <c:v>322.5870484940308</c:v>
                </c:pt>
                <c:pt idx="96">
                  <c:v>320.54934800451991</c:v>
                </c:pt>
                <c:pt idx="97">
                  <c:v>318.83680825459919</c:v>
                </c:pt>
                <c:pt idx="98">
                  <c:v>318.77435782128458</c:v>
                </c:pt>
                <c:pt idx="99">
                  <c:v>320.13576218955308</c:v>
                </c:pt>
                <c:pt idx="100">
                  <c:v>321.384835578143</c:v>
                </c:pt>
                <c:pt idx="101">
                  <c:v>322.42132912399256</c:v>
                </c:pt>
                <c:pt idx="102">
                  <c:v>323.13882694602205</c:v>
                </c:pt>
                <c:pt idx="103">
                  <c:v>323.89429411076895</c:v>
                </c:pt>
                <c:pt idx="104">
                  <c:v>325.21551648342808</c:v>
                </c:pt>
                <c:pt idx="105">
                  <c:v>325.75301293627945</c:v>
                </c:pt>
                <c:pt idx="106">
                  <c:v>325.11915903734115</c:v>
                </c:pt>
                <c:pt idx="107">
                  <c:v>323.57859146681426</c:v>
                </c:pt>
                <c:pt idx="108">
                  <c:v>321.54310978794604</c:v>
                </c:pt>
                <c:pt idx="109">
                  <c:v>319.83278884866809</c:v>
                </c:pt>
                <c:pt idx="110">
                  <c:v>319.77248565145936</c:v>
                </c:pt>
                <c:pt idx="111">
                  <c:v>321.13610883037057</c:v>
                </c:pt>
                <c:pt idx="112">
                  <c:v>322.38732945506638</c:v>
                </c:pt>
                <c:pt idx="113">
                  <c:v>323.42604181155866</c:v>
                </c:pt>
                <c:pt idx="114">
                  <c:v>324.14575844423086</c:v>
                </c:pt>
                <c:pt idx="115">
                  <c:v>324.90602978840849</c:v>
                </c:pt>
                <c:pt idx="116">
                  <c:v>326.2294770506436</c:v>
                </c:pt>
                <c:pt idx="117">
                  <c:v>326.7691266224395</c:v>
                </c:pt>
                <c:pt idx="118">
                  <c:v>326.13749761307719</c:v>
                </c:pt>
                <c:pt idx="119">
                  <c:v>324.59908316149483</c:v>
                </c:pt>
                <c:pt idx="120">
                  <c:v>322.56582637220265</c:v>
                </c:pt>
                <c:pt idx="121">
                  <c:v>320.85773032250069</c:v>
                </c:pt>
                <c:pt idx="122">
                  <c:v>320.79958024423644</c:v>
                </c:pt>
                <c:pt idx="123">
                  <c:v>322.16542831272363</c:v>
                </c:pt>
                <c:pt idx="124">
                  <c:v>323.41880205636397</c:v>
                </c:pt>
                <c:pt idx="125">
                  <c:v>324.45973930243224</c:v>
                </c:pt>
                <c:pt idx="126">
                  <c:v>325.18168082468048</c:v>
                </c:pt>
                <c:pt idx="127">
                  <c:v>325.94116165414101</c:v>
                </c:pt>
                <c:pt idx="128">
                  <c:v>327.26682772701889</c:v>
                </c:pt>
                <c:pt idx="129">
                  <c:v>327.80862453492068</c:v>
                </c:pt>
                <c:pt idx="130">
                  <c:v>327.17921433620108</c:v>
                </c:pt>
                <c:pt idx="131">
                  <c:v>325.64294712072456</c:v>
                </c:pt>
                <c:pt idx="132">
                  <c:v>323.61190914207509</c:v>
                </c:pt>
                <c:pt idx="133">
                  <c:v>321.90603190301584</c:v>
                </c:pt>
                <c:pt idx="134">
                  <c:v>321.85002906085748</c:v>
                </c:pt>
                <c:pt idx="135">
                  <c:v>323.21809593998745</c:v>
                </c:pt>
                <c:pt idx="136">
                  <c:v>324.47361691973362</c:v>
                </c:pt>
                <c:pt idx="137">
                  <c:v>325.51677297644466</c:v>
                </c:pt>
                <c:pt idx="138">
                  <c:v>326.24093330933556</c:v>
                </c:pt>
                <c:pt idx="139">
                  <c:v>327.00241822582831</c:v>
                </c:pt>
                <c:pt idx="140">
                  <c:v>328.33030310934885</c:v>
                </c:pt>
                <c:pt idx="141">
                  <c:v>328.87424715335652</c:v>
                </c:pt>
                <c:pt idx="142">
                  <c:v>328.2470557652797</c:v>
                </c:pt>
                <c:pt idx="143">
                  <c:v>326.712935785909</c:v>
                </c:pt>
                <c:pt idx="144">
                  <c:v>324.68411661790225</c:v>
                </c:pt>
                <c:pt idx="145">
                  <c:v>322.98045818948577</c:v>
                </c:pt>
                <c:pt idx="146">
                  <c:v>322.92660258343324</c:v>
                </c:pt>
                <c:pt idx="147">
                  <c:v>324.29688827320598</c:v>
                </c:pt>
                <c:pt idx="148">
                  <c:v>325.55455648905797</c:v>
                </c:pt>
                <c:pt idx="149">
                  <c:v>326.59993135641173</c:v>
                </c:pt>
                <c:pt idx="150">
                  <c:v>327.32631049994541</c:v>
                </c:pt>
                <c:pt idx="151">
                  <c:v>328.08979950347026</c:v>
                </c:pt>
                <c:pt idx="152">
                  <c:v>329.41990319763357</c:v>
                </c:pt>
                <c:pt idx="153">
                  <c:v>329.96599447774707</c:v>
                </c:pt>
                <c:pt idx="154">
                  <c:v>329.34102190031297</c:v>
                </c:pt>
                <c:pt idx="155">
                  <c:v>327.80904915704821</c:v>
                </c:pt>
                <c:pt idx="156">
                  <c:v>325.78244879968418</c:v>
                </c:pt>
                <c:pt idx="157">
                  <c:v>324.08100918191036</c:v>
                </c:pt>
                <c:pt idx="158">
                  <c:v>324.02930081196376</c:v>
                </c:pt>
                <c:pt idx="159">
                  <c:v>325.40180531237917</c:v>
                </c:pt>
                <c:pt idx="160">
                  <c:v>326.6616207643371</c:v>
                </c:pt>
                <c:pt idx="161">
                  <c:v>327.70921444233358</c:v>
                </c:pt>
                <c:pt idx="162">
                  <c:v>328.43781239650997</c:v>
                </c:pt>
                <c:pt idx="163">
                  <c:v>329.2063920737076</c:v>
                </c:pt>
                <c:pt idx="164">
                  <c:v>330.5387206574469</c:v>
                </c:pt>
                <c:pt idx="165">
                  <c:v>331.08696505650494</c:v>
                </c:pt>
                <c:pt idx="166">
                  <c:v>330.46421736864681</c:v>
                </c:pt>
                <c:pt idx="167">
                  <c:v>328.93439774432653</c:v>
                </c:pt>
                <c:pt idx="168">
                  <c:v>326.91002227653854</c:v>
                </c:pt>
                <c:pt idx="169">
                  <c:v>325.21080754834077</c:v>
                </c:pt>
                <c:pt idx="170">
                  <c:v>325.16125229733865</c:v>
                </c:pt>
                <c:pt idx="171">
                  <c:v>326.53598168733004</c:v>
                </c:pt>
                <c:pt idx="172">
                  <c:v>327.79795025823245</c:v>
                </c:pt>
                <c:pt idx="173">
                  <c:v>328.84776882580496</c:v>
                </c:pt>
                <c:pt idx="174">
                  <c:v>329.57859166955734</c:v>
                </c:pt>
                <c:pt idx="175">
                  <c:v>330.34609433779588</c:v>
                </c:pt>
                <c:pt idx="176">
                  <c:v>331.68064173217795</c:v>
                </c:pt>
                <c:pt idx="177">
                  <c:v>332.23103336734181</c:v>
                </c:pt>
                <c:pt idx="178">
                  <c:v>331.61050449012646</c:v>
                </c:pt>
                <c:pt idx="179">
                  <c:v>330.082832101912</c:v>
                </c:pt>
                <c:pt idx="180">
                  <c:v>328.06067544476673</c:v>
                </c:pt>
                <c:pt idx="181">
                  <c:v>326.36367952721167</c:v>
                </c:pt>
                <c:pt idx="182">
                  <c:v>326.31627151231544</c:v>
                </c:pt>
                <c:pt idx="183">
                  <c:v>327.6932197129496</c:v>
                </c:pt>
                <c:pt idx="184">
                  <c:v>328.95733551995789</c:v>
                </c:pt>
                <c:pt idx="185">
                  <c:v>330.00937289817307</c:v>
                </c:pt>
                <c:pt idx="186">
                  <c:v>330.74241455256822</c:v>
                </c:pt>
                <c:pt idx="187">
                  <c:v>331.51192130783886</c:v>
                </c:pt>
                <c:pt idx="188">
                  <c:v>332.84868751286365</c:v>
                </c:pt>
                <c:pt idx="189">
                  <c:v>333.40122638413339</c:v>
                </c:pt>
                <c:pt idx="190">
                  <c:v>332.78291631756076</c:v>
                </c:pt>
                <c:pt idx="191">
                  <c:v>331.25739116545219</c:v>
                </c:pt>
                <c:pt idx="192">
                  <c:v>329.23745331894963</c:v>
                </c:pt>
                <c:pt idx="193">
                  <c:v>327.54267621203735</c:v>
                </c:pt>
                <c:pt idx="194">
                  <c:v>327.49741543324694</c:v>
                </c:pt>
                <c:pt idx="195">
                  <c:v>328.87658244452382</c:v>
                </c:pt>
                <c:pt idx="196">
                  <c:v>330.142845487638</c:v>
                </c:pt>
                <c:pt idx="197">
                  <c:v>331.19710167649589</c:v>
                </c:pt>
                <c:pt idx="198">
                  <c:v>331.93236214153376</c:v>
                </c:pt>
                <c:pt idx="199">
                  <c:v>332.70387298383662</c:v>
                </c:pt>
                <c:pt idx="200">
                  <c:v>334.04285799950406</c:v>
                </c:pt>
                <c:pt idx="201">
                  <c:v>334.59754410687975</c:v>
                </c:pt>
                <c:pt idx="202">
                  <c:v>333.98145285094978</c:v>
                </c:pt>
                <c:pt idx="203">
                  <c:v>332.45807493494709</c:v>
                </c:pt>
                <c:pt idx="204">
                  <c:v>330.44035589908731</c:v>
                </c:pt>
                <c:pt idx="205">
                  <c:v>328.74779760281768</c:v>
                </c:pt>
                <c:pt idx="206">
                  <c:v>328.70468406013316</c:v>
                </c:pt>
                <c:pt idx="207">
                  <c:v>330.08606988205281</c:v>
                </c:pt>
                <c:pt idx="208">
                  <c:v>331.35448016127282</c:v>
                </c:pt>
                <c:pt idx="209">
                  <c:v>332.41095516077348</c:v>
                </c:pt>
                <c:pt idx="210">
                  <c:v>333.14843443645407</c:v>
                </c:pt>
                <c:pt idx="211">
                  <c:v>333.92532244667177</c:v>
                </c:pt>
                <c:pt idx="212">
                  <c:v>335.26653235191526</c:v>
                </c:pt>
                <c:pt idx="213">
                  <c:v>335.82337157823537</c:v>
                </c:pt>
                <c:pt idx="214">
                  <c:v>335.20950521188144</c:v>
                </c:pt>
                <c:pt idx="215">
                  <c:v>333.68828041482328</c:v>
                </c:pt>
                <c:pt idx="216">
                  <c:v>331.67278626853948</c:v>
                </c:pt>
                <c:pt idx="217">
                  <c:v>329.98245286184584</c:v>
                </c:pt>
                <c:pt idx="218">
                  <c:v>329.94149243810585</c:v>
                </c:pt>
                <c:pt idx="219">
                  <c:v>331.32510314960149</c:v>
                </c:pt>
                <c:pt idx="220">
                  <c:v>332.59566654776597</c:v>
                </c:pt>
                <c:pt idx="221">
                  <c:v>333.65436643684268</c:v>
                </c:pt>
                <c:pt idx="222">
                  <c:v>334.39407060209925</c:v>
                </c:pt>
                <c:pt idx="223">
                  <c:v>335.16959510911579</c:v>
                </c:pt>
                <c:pt idx="224">
                  <c:v>336.51302382500199</c:v>
                </c:pt>
                <c:pt idx="225">
                  <c:v>337.07201028742799</c:v>
                </c:pt>
                <c:pt idx="226">
                  <c:v>336.46036273171677</c:v>
                </c:pt>
                <c:pt idx="227">
                  <c:v>334.9412851707645</c:v>
                </c:pt>
                <c:pt idx="228">
                  <c:v>332.92800983512342</c:v>
                </c:pt>
                <c:pt idx="229">
                  <c:v>331.23989523907255</c:v>
                </c:pt>
                <c:pt idx="230">
                  <c:v>331.20108205143839</c:v>
                </c:pt>
                <c:pt idx="231">
                  <c:v>332.58691157357674</c:v>
                </c:pt>
                <c:pt idx="232">
                  <c:v>333.85962220784711</c:v>
                </c:pt>
                <c:pt idx="233">
                  <c:v>334.92054090756653</c:v>
                </c:pt>
                <c:pt idx="234">
                  <c:v>335.66246388346582</c:v>
                </c:pt>
                <c:pt idx="235">
                  <c:v>336.43999247751447</c:v>
                </c:pt>
                <c:pt idx="236">
                  <c:v>337.78564000404344</c:v>
                </c:pt>
                <c:pt idx="237">
                  <c:v>338.34677370257532</c:v>
                </c:pt>
                <c:pt idx="238">
                  <c:v>337.73734495750682</c:v>
                </c:pt>
                <c:pt idx="239">
                  <c:v>336.22041463266044</c:v>
                </c:pt>
                <c:pt idx="240">
                  <c:v>334.20935810766207</c:v>
                </c:pt>
                <c:pt idx="241">
                  <c:v>332.52346232225392</c:v>
                </c:pt>
                <c:pt idx="242">
                  <c:v>332.48679637072564</c:v>
                </c:pt>
                <c:pt idx="243">
                  <c:v>333.87484470350671</c:v>
                </c:pt>
                <c:pt idx="244">
                  <c:v>335.14970257388296</c:v>
                </c:pt>
                <c:pt idx="245">
                  <c:v>336.2128400842451</c:v>
                </c:pt>
                <c:pt idx="246">
                  <c:v>336.9569818707871</c:v>
                </c:pt>
                <c:pt idx="247">
                  <c:v>337.73651455186791</c:v>
                </c:pt>
                <c:pt idx="248">
                  <c:v>339.08438088903961</c:v>
                </c:pt>
                <c:pt idx="249">
                  <c:v>339.64766182367737</c:v>
                </c:pt>
                <c:pt idx="250">
                  <c:v>339.04045188925159</c:v>
                </c:pt>
                <c:pt idx="251">
                  <c:v>337.52566880051103</c:v>
                </c:pt>
                <c:pt idx="252">
                  <c:v>335.51683108615543</c:v>
                </c:pt>
                <c:pt idx="253">
                  <c:v>333.83315411139</c:v>
                </c:pt>
                <c:pt idx="254">
                  <c:v>333.79863539596761</c:v>
                </c:pt>
                <c:pt idx="255">
                  <c:v>335.18890253939139</c:v>
                </c:pt>
                <c:pt idx="256">
                  <c:v>336.46590764587353</c:v>
                </c:pt>
                <c:pt idx="257">
                  <c:v>337.53126396687838</c:v>
                </c:pt>
                <c:pt idx="258">
                  <c:v>338.27762456406316</c:v>
                </c:pt>
                <c:pt idx="259">
                  <c:v>339.06282090730087</c:v>
                </c:pt>
                <c:pt idx="260">
                  <c:v>340.41291213404855</c:v>
                </c:pt>
                <c:pt idx="261">
                  <c:v>340.97834618763085</c:v>
                </c:pt>
                <c:pt idx="262">
                  <c:v>340.37336114278111</c:v>
                </c:pt>
                <c:pt idx="263">
                  <c:v>338.86073117298503</c:v>
                </c:pt>
                <c:pt idx="264">
                  <c:v>336.85411834820542</c:v>
                </c:pt>
                <c:pt idx="265">
                  <c:v>335.17266626301597</c:v>
                </c:pt>
                <c:pt idx="266">
                  <c:v>335.14030066653811</c:v>
                </c:pt>
                <c:pt idx="267">
                  <c:v>336.53279269953788</c:v>
                </c:pt>
                <c:pt idx="268">
                  <c:v>337.81195092496455</c:v>
                </c:pt>
                <c:pt idx="269">
                  <c:v>338.87953213554539</c:v>
                </c:pt>
                <c:pt idx="270">
                  <c:v>339.62811762230615</c:v>
                </c:pt>
                <c:pt idx="271">
                  <c:v>340.41166396810064</c:v>
                </c:pt>
                <c:pt idx="272">
                  <c:v>341.76397400549104</c:v>
                </c:pt>
                <c:pt idx="273">
                  <c:v>342.33155529517916</c:v>
                </c:pt>
                <c:pt idx="274">
                  <c:v>341.72878906097213</c:v>
                </c:pt>
                <c:pt idx="275">
                  <c:v>340.21830632728199</c:v>
                </c:pt>
                <c:pt idx="276">
                  <c:v>338.21391231314504</c:v>
                </c:pt>
                <c:pt idx="277">
                  <c:v>336.53467903859837</c:v>
                </c:pt>
                <c:pt idx="278">
                  <c:v>336.50446067822634</c:v>
                </c:pt>
                <c:pt idx="279">
                  <c:v>337.89917152186888</c:v>
                </c:pt>
                <c:pt idx="280">
                  <c:v>339.18047698340138</c:v>
                </c:pt>
                <c:pt idx="281">
                  <c:v>340.25027700462499</c:v>
                </c:pt>
                <c:pt idx="282">
                  <c:v>341.00108130202847</c:v>
                </c:pt>
                <c:pt idx="283">
                  <c:v>341.78663173485512</c:v>
                </c:pt>
                <c:pt idx="284">
                  <c:v>343.14116058288823</c:v>
                </c:pt>
                <c:pt idx="285">
                  <c:v>343.71088910868224</c:v>
                </c:pt>
                <c:pt idx="286">
                  <c:v>343.11034168511793</c:v>
                </c:pt>
                <c:pt idx="287">
                  <c:v>341.60200618753362</c:v>
                </c:pt>
                <c:pt idx="288">
                  <c:v>339.59983098403944</c:v>
                </c:pt>
                <c:pt idx="289">
                  <c:v>337.92281652013548</c:v>
                </c:pt>
                <c:pt idx="290">
                  <c:v>337.89474539586934</c:v>
                </c:pt>
                <c:pt idx="291">
                  <c:v>339.29167505015459</c:v>
                </c:pt>
                <c:pt idx="292">
                  <c:v>340.57512774779298</c:v>
                </c:pt>
                <c:pt idx="293">
                  <c:v>341.64714657965931</c:v>
                </c:pt>
                <c:pt idx="294">
                  <c:v>342.4001696877055</c:v>
                </c:pt>
                <c:pt idx="295">
                  <c:v>343.18772420756432</c:v>
                </c:pt>
                <c:pt idx="296">
                  <c:v>344.54447186624014</c:v>
                </c:pt>
                <c:pt idx="297">
                  <c:v>345.11634762814003</c:v>
                </c:pt>
                <c:pt idx="298">
                  <c:v>344.51801901521844</c:v>
                </c:pt>
                <c:pt idx="299">
                  <c:v>343.01183075374001</c:v>
                </c:pt>
                <c:pt idx="300">
                  <c:v>341.01187436088856</c:v>
                </c:pt>
                <c:pt idx="301">
                  <c:v>339.33707870762731</c:v>
                </c:pt>
                <c:pt idx="302">
                  <c:v>339.31115481946705</c:v>
                </c:pt>
                <c:pt idx="303">
                  <c:v>340.71030328439502</c:v>
                </c:pt>
                <c:pt idx="304">
                  <c:v>341.99590321813929</c:v>
                </c:pt>
                <c:pt idx="305">
                  <c:v>343.07014086064828</c:v>
                </c:pt>
                <c:pt idx="306">
                  <c:v>343.82538277933725</c:v>
                </c:pt>
                <c:pt idx="307">
                  <c:v>344.61888745559503</c:v>
                </c:pt>
                <c:pt idx="308">
                  <c:v>345.9778600038469</c:v>
                </c:pt>
                <c:pt idx="309">
                  <c:v>346.55188888469132</c:v>
                </c:pt>
                <c:pt idx="310">
                  <c:v>345.95578516134572</c:v>
                </c:pt>
                <c:pt idx="311">
                  <c:v>344.45175001881177</c:v>
                </c:pt>
                <c:pt idx="312">
                  <c:v>342.45401851553635</c:v>
                </c:pt>
                <c:pt idx="313">
                  <c:v>340.78144775185109</c:v>
                </c:pt>
                <c:pt idx="314">
                  <c:v>340.75767698263536</c:v>
                </c:pt>
                <c:pt idx="315">
                  <c:v>342.15905033713932</c:v>
                </c:pt>
                <c:pt idx="316">
                  <c:v>343.44680338982806</c:v>
                </c:pt>
                <c:pt idx="317">
                  <c:v>344.52326592191309</c:v>
                </c:pt>
                <c:pt idx="318">
                  <c:v>345.2807327301781</c:v>
                </c:pt>
                <c:pt idx="319">
                  <c:v>346.07230091475054</c:v>
                </c:pt>
                <c:pt idx="320">
                  <c:v>347.43349227364507</c:v>
                </c:pt>
                <c:pt idx="321">
                  <c:v>348.00966839059538</c:v>
                </c:pt>
                <c:pt idx="322">
                  <c:v>347.41578347789255</c:v>
                </c:pt>
                <c:pt idx="323">
                  <c:v>345.91389557146448</c:v>
                </c:pt>
                <c:pt idx="324">
                  <c:v>343.91838287883178</c:v>
                </c:pt>
                <c:pt idx="325">
                  <c:v>342.24803092578924</c:v>
                </c:pt>
                <c:pt idx="326">
                  <c:v>342.22640739267933</c:v>
                </c:pt>
                <c:pt idx="327">
                  <c:v>343.62999955782607</c:v>
                </c:pt>
                <c:pt idx="328">
                  <c:v>344.91989984662064</c:v>
                </c:pt>
                <c:pt idx="329">
                  <c:v>345.99858118934844</c:v>
                </c:pt>
                <c:pt idx="330">
                  <c:v>346.75826680825611</c:v>
                </c:pt>
                <c:pt idx="331">
                  <c:v>347.55183907986071</c:v>
                </c:pt>
                <c:pt idx="332">
                  <c:v>348.91524924939802</c:v>
                </c:pt>
                <c:pt idx="333">
                  <c:v>349.49357260245415</c:v>
                </c:pt>
                <c:pt idx="334">
                  <c:v>348.90190650039403</c:v>
                </c:pt>
                <c:pt idx="335">
                  <c:v>347.40216583007185</c:v>
                </c:pt>
                <c:pt idx="336">
                  <c:v>345.40887194808187</c:v>
                </c:pt>
                <c:pt idx="337">
                  <c:v>343.7407388056821</c:v>
                </c:pt>
                <c:pt idx="338">
                  <c:v>343.72126250867802</c:v>
                </c:pt>
                <c:pt idx="339">
                  <c:v>345.12707348446747</c:v>
                </c:pt>
                <c:pt idx="340">
                  <c:v>346.41912100936798</c:v>
                </c:pt>
                <c:pt idx="341">
                  <c:v>347.50002116273845</c:v>
                </c:pt>
                <c:pt idx="342">
                  <c:v>348.26192559228889</c:v>
                </c:pt>
                <c:pt idx="343">
                  <c:v>349.0575019509256</c:v>
                </c:pt>
                <c:pt idx="344">
                  <c:v>350.42313093110567</c:v>
                </c:pt>
                <c:pt idx="345">
                  <c:v>351.00360152026764</c:v>
                </c:pt>
                <c:pt idx="346">
                  <c:v>350.41415422885029</c:v>
                </c:pt>
                <c:pt idx="347">
                  <c:v>348.91656079463394</c:v>
                </c:pt>
                <c:pt idx="348">
                  <c:v>346.92548572328673</c:v>
                </c:pt>
                <c:pt idx="349">
                  <c:v>345.25957139152962</c:v>
                </c:pt>
                <c:pt idx="350">
                  <c:v>345.24224233063148</c:v>
                </c:pt>
                <c:pt idx="351">
                  <c:v>346.65027211706365</c:v>
                </c:pt>
                <c:pt idx="352">
                  <c:v>347.94446687806999</c:v>
                </c:pt>
                <c:pt idx="353">
                  <c:v>349.02758584208323</c:v>
                </c:pt>
                <c:pt idx="354">
                  <c:v>349.79170908227638</c:v>
                </c:pt>
                <c:pt idx="355">
                  <c:v>350.59352209155418</c:v>
                </c:pt>
                <c:pt idx="356">
                  <c:v>351.96137596131024</c:v>
                </c:pt>
                <c:pt idx="357">
                  <c:v>352.54399966941673</c:v>
                </c:pt>
                <c:pt idx="358">
                  <c:v>351.95677726757538</c:v>
                </c:pt>
                <c:pt idx="359">
                  <c:v>350.46133695230355</c:v>
                </c:pt>
                <c:pt idx="360">
                  <c:v>348.47248677053227</c:v>
                </c:pt>
                <c:pt idx="361">
                  <c:v>346.80879732835126</c:v>
                </c:pt>
                <c:pt idx="362">
                  <c:v>346.7936213863976</c:v>
                </c:pt>
                <c:pt idx="363">
                  <c:v>348.20387606240575</c:v>
                </c:pt>
                <c:pt idx="364">
                  <c:v>349.50022394235663</c:v>
                </c:pt>
                <c:pt idx="365">
                  <c:v>350.58556779594585</c:v>
                </c:pt>
                <c:pt idx="366">
                  <c:v>351.35191592571499</c:v>
                </c:pt>
                <c:pt idx="367">
                  <c:v>352.15150594906538</c:v>
                </c:pt>
                <c:pt idx="368">
                  <c:v>353.52157862946416</c:v>
                </c:pt>
                <c:pt idx="369">
                  <c:v>354.10634957367654</c:v>
                </c:pt>
                <c:pt idx="370">
                  <c:v>353.5213459824779</c:v>
                </c:pt>
                <c:pt idx="371">
                  <c:v>352.02805290331196</c:v>
                </c:pt>
                <c:pt idx="372">
                  <c:v>350.04142153218339</c:v>
                </c:pt>
                <c:pt idx="373">
                  <c:v>348.3799509006451</c:v>
                </c:pt>
                <c:pt idx="374">
                  <c:v>348.36692219479733</c:v>
                </c:pt>
                <c:pt idx="375">
                  <c:v>349.77939568144819</c:v>
                </c:pt>
                <c:pt idx="376">
                  <c:v>351.07789079750495</c:v>
                </c:pt>
                <c:pt idx="377">
                  <c:v>352.16545346173689</c:v>
                </c:pt>
                <c:pt idx="378">
                  <c:v>352.9340204021488</c:v>
                </c:pt>
                <c:pt idx="379">
                  <c:v>353.73561451253136</c:v>
                </c:pt>
                <c:pt idx="380">
                  <c:v>355.10790600357285</c:v>
                </c:pt>
                <c:pt idx="381">
                  <c:v>355.69482418389106</c:v>
                </c:pt>
                <c:pt idx="382">
                  <c:v>355.11203940333519</c:v>
                </c:pt>
                <c:pt idx="383">
                  <c:v>353.62089356027508</c:v>
                </c:pt>
                <c:pt idx="384">
                  <c:v>351.63648099978928</c:v>
                </c:pt>
                <c:pt idx="385">
                  <c:v>349.97722917889371</c:v>
                </c:pt>
                <c:pt idx="386">
                  <c:v>349.96634770915176</c:v>
                </c:pt>
                <c:pt idx="387">
                  <c:v>351.38104000644535</c:v>
                </c:pt>
                <c:pt idx="388">
                  <c:v>352.68168235860799</c:v>
                </c:pt>
                <c:pt idx="389">
                  <c:v>353.77146383348264</c:v>
                </c:pt>
                <c:pt idx="390">
                  <c:v>354.54224958453727</c:v>
                </c:pt>
                <c:pt idx="391">
                  <c:v>355.34584778195199</c:v>
                </c:pt>
                <c:pt idx="392">
                  <c:v>356.7203580836362</c:v>
                </c:pt>
                <c:pt idx="393">
                  <c:v>357.30942350006029</c:v>
                </c:pt>
                <c:pt idx="394">
                  <c:v>356.72885753014714</c:v>
                </c:pt>
                <c:pt idx="395">
                  <c:v>355.23985892319291</c:v>
                </c:pt>
                <c:pt idx="396">
                  <c:v>353.25766517334984</c:v>
                </c:pt>
                <c:pt idx="397">
                  <c:v>351.60063216309698</c:v>
                </c:pt>
                <c:pt idx="398">
                  <c:v>351.59189792946091</c:v>
                </c:pt>
                <c:pt idx="399">
                  <c:v>353.00880903739727</c:v>
                </c:pt>
                <c:pt idx="400">
                  <c:v>354.31159862566574</c:v>
                </c:pt>
                <c:pt idx="401">
                  <c:v>355.40359891118317</c:v>
                </c:pt>
                <c:pt idx="402">
                  <c:v>356.17660347288052</c:v>
                </c:pt>
                <c:pt idx="403">
                  <c:v>356.98672481517838</c:v>
                </c:pt>
                <c:pt idx="404">
                  <c:v>358.36346000643857</c:v>
                </c:pt>
                <c:pt idx="405">
                  <c:v>358.9546785418072</c:v>
                </c:pt>
                <c:pt idx="406">
                  <c:v>358.37633746147003</c:v>
                </c:pt>
                <c:pt idx="407">
                  <c:v>356.88949197346034</c:v>
                </c:pt>
                <c:pt idx="408">
                  <c:v>354.90952311319325</c:v>
                </c:pt>
                <c:pt idx="409">
                  <c:v>353.25471499251637</c:v>
                </c:pt>
                <c:pt idx="410">
                  <c:v>353.24813387782484</c:v>
                </c:pt>
                <c:pt idx="411">
                  <c:v>354.66726987533718</c:v>
                </c:pt>
                <c:pt idx="412">
                  <c:v>355.97221258255018</c:v>
                </c:pt>
                <c:pt idx="413">
                  <c:v>357.0664377576436</c:v>
                </c:pt>
                <c:pt idx="414">
                  <c:v>357.84166720891687</c:v>
                </c:pt>
                <c:pt idx="415">
                  <c:v>358.64927907104533</c:v>
                </c:pt>
                <c:pt idx="416">
                  <c:v>360.02823307294824</c:v>
                </c:pt>
                <c:pt idx="417">
                  <c:v>360.62159884442275</c:v>
                </c:pt>
                <c:pt idx="418">
                  <c:v>360.0454765747283</c:v>
                </c:pt>
                <c:pt idx="419">
                  <c:v>358.56077832282443</c:v>
                </c:pt>
                <c:pt idx="420">
                  <c:v>356.58302827320011</c:v>
                </c:pt>
                <c:pt idx="421">
                  <c:v>354.93043896316595</c:v>
                </c:pt>
                <c:pt idx="422">
                  <c:v>354.92600508458031</c:v>
                </c:pt>
                <c:pt idx="423">
                  <c:v>356.34735989273537</c:v>
                </c:pt>
                <c:pt idx="424">
                  <c:v>357.6544498360542</c:v>
                </c:pt>
                <c:pt idx="425">
                  <c:v>358.75089382179038</c:v>
                </c:pt>
                <c:pt idx="426">
                  <c:v>359.52834208370643</c:v>
                </c:pt>
                <c:pt idx="427">
                  <c:v>360.33795803286694</c:v>
                </c:pt>
                <c:pt idx="428">
                  <c:v>361.71913084541262</c:v>
                </c:pt>
                <c:pt idx="429">
                  <c:v>362.31464385299302</c:v>
                </c:pt>
                <c:pt idx="430">
                  <c:v>361.74074039394128</c:v>
                </c:pt>
                <c:pt idx="431">
                  <c:v>360.2581893781433</c:v>
                </c:pt>
                <c:pt idx="432">
                  <c:v>358.2826581391617</c:v>
                </c:pt>
                <c:pt idx="433">
                  <c:v>356.63228763977025</c:v>
                </c:pt>
                <c:pt idx="434">
                  <c:v>356.63000099729049</c:v>
                </c:pt>
                <c:pt idx="435">
                  <c:v>358.05357461608827</c:v>
                </c:pt>
                <c:pt idx="436">
                  <c:v>359.36281179551298</c:v>
                </c:pt>
                <c:pt idx="437">
                  <c:v>360.46147459189189</c:v>
                </c:pt>
                <c:pt idx="438">
                  <c:v>361.24114166445065</c:v>
                </c:pt>
                <c:pt idx="439">
                  <c:v>362.05276170064337</c:v>
                </c:pt>
                <c:pt idx="440">
                  <c:v>363.43615332383177</c:v>
                </c:pt>
                <c:pt idx="441">
                  <c:v>364.033813567518</c:v>
                </c:pt>
                <c:pt idx="442">
                  <c:v>363.46212891910898</c:v>
                </c:pt>
                <c:pt idx="443">
                  <c:v>361.98172513941688</c:v>
                </c:pt>
                <c:pt idx="444">
                  <c:v>360.00841271107799</c:v>
                </c:pt>
                <c:pt idx="445">
                  <c:v>358.36026102232933</c:v>
                </c:pt>
                <c:pt idx="446">
                  <c:v>358.36012161595539</c:v>
                </c:pt>
                <c:pt idx="447">
                  <c:v>359.78591404539594</c:v>
                </c:pt>
                <c:pt idx="448">
                  <c:v>361.09729846092648</c:v>
                </c:pt>
                <c:pt idx="449">
                  <c:v>362.1981800679481</c:v>
                </c:pt>
                <c:pt idx="450">
                  <c:v>362.98006595114964</c:v>
                </c:pt>
                <c:pt idx="451">
                  <c:v>363.79849562646757</c:v>
                </c:pt>
                <c:pt idx="452">
                  <c:v>365.18411213923196</c:v>
                </c:pt>
                <c:pt idx="453">
                  <c:v>365.78392550186271</c:v>
                </c:pt>
                <c:pt idx="454">
                  <c:v>365.21446574302968</c:v>
                </c:pt>
                <c:pt idx="455">
                  <c:v>363.73621508228206</c:v>
                </c:pt>
                <c:pt idx="456">
                  <c:v>361.76512754351921</c:v>
                </c:pt>
                <c:pt idx="457">
                  <c:v>360.11920074434653</c:v>
                </c:pt>
                <c:pt idx="458">
                  <c:v>360.12121445691707</c:v>
                </c:pt>
                <c:pt idx="459">
                  <c:v>361.54923177593361</c:v>
                </c:pt>
                <c:pt idx="460">
                  <c:v>362.86276931040874</c:v>
                </c:pt>
                <c:pt idx="461">
                  <c:v>363.96587580700634</c:v>
                </c:pt>
                <c:pt idx="462">
                  <c:v>364.74998657978381</c:v>
                </c:pt>
                <c:pt idx="463">
                  <c:v>365.56562028069021</c:v>
                </c:pt>
                <c:pt idx="464">
                  <c:v>366.95345560409737</c:v>
                </c:pt>
                <c:pt idx="465">
                  <c:v>367.55541620283395</c:v>
                </c:pt>
                <c:pt idx="466">
                  <c:v>366.98817525464369</c:v>
                </c:pt>
                <c:pt idx="467">
                  <c:v>365.51207183000196</c:v>
                </c:pt>
                <c:pt idx="468">
                  <c:v>363.54320310188177</c:v>
                </c:pt>
                <c:pt idx="469">
                  <c:v>361.89949511335186</c:v>
                </c:pt>
                <c:pt idx="470">
                  <c:v>361.90365606202829</c:v>
                </c:pt>
                <c:pt idx="471">
                  <c:v>363.33389219168754</c:v>
                </c:pt>
                <c:pt idx="472">
                  <c:v>364.64957696226855</c:v>
                </c:pt>
                <c:pt idx="473">
                  <c:v>365.75490226950882</c:v>
                </c:pt>
                <c:pt idx="474">
                  <c:v>366.54123185292906</c:v>
                </c:pt>
                <c:pt idx="475">
                  <c:v>367.35886964086762</c:v>
                </c:pt>
                <c:pt idx="476">
                  <c:v>368.7489237749175</c:v>
                </c:pt>
                <c:pt idx="477">
                  <c:v>369.35303160975997</c:v>
                </c:pt>
                <c:pt idx="478">
                  <c:v>368.78800947221237</c:v>
                </c:pt>
                <c:pt idx="479">
                  <c:v>367.31405328367651</c:v>
                </c:pt>
                <c:pt idx="480">
                  <c:v>365.3474033661991</c:v>
                </c:pt>
                <c:pt idx="481">
                  <c:v>363.70591418831191</c:v>
                </c:pt>
                <c:pt idx="482">
                  <c:v>363.71222237309416</c:v>
                </c:pt>
                <c:pt idx="483">
                  <c:v>365.14467731339619</c:v>
                </c:pt>
                <c:pt idx="484">
                  <c:v>366.46250932008303</c:v>
                </c:pt>
                <c:pt idx="485">
                  <c:v>367.57005343796607</c:v>
                </c:pt>
                <c:pt idx="486">
                  <c:v>368.35860183202902</c:v>
                </c:pt>
                <c:pt idx="487">
                  <c:v>369.17824370699975</c:v>
                </c:pt>
                <c:pt idx="488">
                  <c:v>370.57051665169234</c:v>
                </c:pt>
                <c:pt idx="489">
                  <c:v>371.17677172264064</c:v>
                </c:pt>
                <c:pt idx="490">
                  <c:v>370.61396839573587</c:v>
                </c:pt>
                <c:pt idx="491">
                  <c:v>369.14215944330584</c:v>
                </c:pt>
                <c:pt idx="492">
                  <c:v>367.17772833647115</c:v>
                </c:pt>
                <c:pt idx="493">
                  <c:v>365.53845796922667</c:v>
                </c:pt>
                <c:pt idx="494">
                  <c:v>365.54691339011487</c:v>
                </c:pt>
                <c:pt idx="495">
                  <c:v>366.98158714105955</c:v>
                </c:pt>
                <c:pt idx="496">
                  <c:v>368.30156638385228</c:v>
                </c:pt>
                <c:pt idx="497">
                  <c:v>369.41132931237803</c:v>
                </c:pt>
                <c:pt idx="498">
                  <c:v>370.20209651708376</c:v>
                </c:pt>
                <c:pt idx="499">
                  <c:v>371.0288345254217</c:v>
                </c:pt>
                <c:pt idx="500">
                  <c:v>372.42333235969028</c:v>
                </c:pt>
                <c:pt idx="501">
                  <c:v>373.03174054958316</c:v>
                </c:pt>
                <c:pt idx="502">
                  <c:v>372.47116211225432</c:v>
                </c:pt>
                <c:pt idx="503">
                  <c:v>371.00150627876889</c:v>
                </c:pt>
                <c:pt idx="504">
                  <c:v>369.03930006151018</c:v>
                </c:pt>
                <c:pt idx="505">
                  <c:v>367.40225458384168</c:v>
                </c:pt>
                <c:pt idx="506">
                  <c:v>367.41286312367436</c:v>
                </c:pt>
                <c:pt idx="507">
                  <c:v>368.84976176419508</c:v>
                </c:pt>
                <c:pt idx="508">
                  <c:v>370.17189412593228</c:v>
                </c:pt>
                <c:pt idx="509">
                  <c:v>371.28388194403408</c:v>
                </c:pt>
                <c:pt idx="510">
                  <c:v>372.07687403831574</c:v>
                </c:pt>
                <c:pt idx="511">
                  <c:v>372.90052957800009</c:v>
                </c:pt>
                <c:pt idx="512">
                  <c:v>374.29724622291144</c:v>
                </c:pt>
                <c:pt idx="513">
                  <c:v>374.90780164891015</c:v>
                </c:pt>
                <c:pt idx="514">
                  <c:v>374.34944202222408</c:v>
                </c:pt>
                <c:pt idx="515">
                  <c:v>372.88193342484448</c:v>
                </c:pt>
                <c:pt idx="516">
                  <c:v>370.92194601822848</c:v>
                </c:pt>
                <c:pt idx="517">
                  <c:v>369.28711935120276</c:v>
                </c:pt>
                <c:pt idx="518">
                  <c:v>369.29987512714126</c:v>
                </c:pt>
                <c:pt idx="519">
                  <c:v>370.73899257830476</c:v>
                </c:pt>
                <c:pt idx="520">
                  <c:v>372.06327217614779</c:v>
                </c:pt>
                <c:pt idx="521">
                  <c:v>373.1774788048923</c:v>
                </c:pt>
                <c:pt idx="522">
                  <c:v>373.97268970981673</c:v>
                </c:pt>
                <c:pt idx="523">
                  <c:v>374.79834933653325</c:v>
                </c:pt>
                <c:pt idx="524">
                  <c:v>376.19728479208726</c:v>
                </c:pt>
                <c:pt idx="525">
                  <c:v>376.80998745419191</c:v>
                </c:pt>
                <c:pt idx="526">
                  <c:v>376.2538466381485</c:v>
                </c:pt>
                <c:pt idx="527">
                  <c:v>374.78848527687478</c:v>
                </c:pt>
                <c:pt idx="528">
                  <c:v>372.83071668090156</c:v>
                </c:pt>
                <c:pt idx="529">
                  <c:v>371.1981088245185</c:v>
                </c:pt>
                <c:pt idx="530">
                  <c:v>371.21301183656294</c:v>
                </c:pt>
                <c:pt idx="531">
                  <c:v>372.6543480983691</c:v>
                </c:pt>
                <c:pt idx="532">
                  <c:v>373.98077493231807</c:v>
                </c:pt>
                <c:pt idx="533">
                  <c:v>375.0972003717053</c:v>
                </c:pt>
                <c:pt idx="534">
                  <c:v>375.89463008727245</c:v>
                </c:pt>
                <c:pt idx="535">
                  <c:v>376.72229380102112</c:v>
                </c:pt>
                <c:pt idx="536">
                  <c:v>378.12344806721791</c:v>
                </c:pt>
                <c:pt idx="537">
                  <c:v>378.73829796542833</c:v>
                </c:pt>
                <c:pt idx="538">
                  <c:v>378.18437596002769</c:v>
                </c:pt>
                <c:pt idx="539">
                  <c:v>376.72116183485986</c:v>
                </c:pt>
                <c:pt idx="540">
                  <c:v>374.7656120495293</c:v>
                </c:pt>
                <c:pt idx="541">
                  <c:v>373.13522300378901</c:v>
                </c:pt>
                <c:pt idx="542">
                  <c:v>373.15227325193928</c:v>
                </c:pt>
                <c:pt idx="543">
                  <c:v>374.59582832438821</c:v>
                </c:pt>
                <c:pt idx="544">
                  <c:v>375.92440239444301</c:v>
                </c:pt>
                <c:pt idx="545">
                  <c:v>377.04304664447301</c:v>
                </c:pt>
                <c:pt idx="546">
                  <c:v>377.84269517068287</c:v>
                </c:pt>
                <c:pt idx="547">
                  <c:v>378.67774151204088</c:v>
                </c:pt>
                <c:pt idx="548">
                  <c:v>380.08112066781365</c:v>
                </c:pt>
                <c:pt idx="549">
                  <c:v>380.69812368496861</c:v>
                </c:pt>
                <c:pt idx="550">
                  <c:v>380.14642656914401</c:v>
                </c:pt>
                <c:pt idx="551">
                  <c:v>378.68536556292065</c:v>
                </c:pt>
                <c:pt idx="552">
                  <c:v>376.73204066716613</c:v>
                </c:pt>
                <c:pt idx="553">
                  <c:v>375.10387651100183</c:v>
                </c:pt>
                <c:pt idx="554">
                  <c:v>375.12307987809663</c:v>
                </c:pt>
                <c:pt idx="555">
                  <c:v>376.56885984012149</c:v>
                </c:pt>
                <c:pt idx="556">
                  <c:v>377.89958702912088</c:v>
                </c:pt>
                <c:pt idx="557">
                  <c:v>379.02045616872681</c:v>
                </c:pt>
                <c:pt idx="558">
                  <c:v>379.82232958451272</c:v>
                </c:pt>
                <c:pt idx="559">
                  <c:v>380.65400696297502</c:v>
                </c:pt>
                <c:pt idx="560">
                  <c:v>382.05960492939056</c:v>
                </c:pt>
                <c:pt idx="561">
                  <c:v>382.6787551826514</c:v>
                </c:pt>
                <c:pt idx="562">
                  <c:v>382.12927687746947</c:v>
                </c:pt>
                <c:pt idx="563">
                  <c:v>380.67036310735199</c:v>
                </c:pt>
                <c:pt idx="564">
                  <c:v>378.71925702224019</c:v>
                </c:pt>
                <c:pt idx="565">
                  <c:v>377.09331167671866</c:v>
                </c:pt>
                <c:pt idx="566">
                  <c:v>377.11466227991929</c:v>
                </c:pt>
                <c:pt idx="567">
                  <c:v>378.56266105258692</c:v>
                </c:pt>
                <c:pt idx="568">
                  <c:v>379.89553547769214</c:v>
                </c:pt>
                <c:pt idx="569">
                  <c:v>381.01862342794084</c:v>
                </c:pt>
                <c:pt idx="570">
                  <c:v>381.8227156543694</c:v>
                </c:pt>
                <c:pt idx="571">
                  <c:v>382.65639711986387</c:v>
                </c:pt>
                <c:pt idx="572">
                  <c:v>384.06421389692213</c:v>
                </c:pt>
                <c:pt idx="573">
                  <c:v>384.68551138628885</c:v>
                </c:pt>
                <c:pt idx="574">
                  <c:v>384.13825189174969</c:v>
                </c:pt>
                <c:pt idx="575">
                  <c:v>382.68148535773804</c:v>
                </c:pt>
                <c:pt idx="576">
                  <c:v>380.73259808326901</c:v>
                </c:pt>
                <c:pt idx="577">
                  <c:v>379.10887154839014</c:v>
                </c:pt>
                <c:pt idx="578">
                  <c:v>379.13236938769666</c:v>
                </c:pt>
                <c:pt idx="579">
                  <c:v>380.582586971007</c:v>
                </c:pt>
                <c:pt idx="580">
                  <c:v>381.9176086322181</c:v>
                </c:pt>
                <c:pt idx="581">
                  <c:v>383.04291539310952</c:v>
                </c:pt>
                <c:pt idx="582">
                  <c:v>383.84922643018086</c:v>
                </c:pt>
                <c:pt idx="583">
                  <c:v>384.68491198270749</c:v>
                </c:pt>
                <c:pt idx="584">
                  <c:v>386.09494757040846</c:v>
                </c:pt>
                <c:pt idx="585">
                  <c:v>386.71839229588102</c:v>
                </c:pt>
                <c:pt idx="586">
                  <c:v>386.17335161198457</c:v>
                </c:pt>
                <c:pt idx="587">
                  <c:v>384.71873231407881</c:v>
                </c:pt>
                <c:pt idx="588">
                  <c:v>382.77206385025249</c:v>
                </c:pt>
                <c:pt idx="589">
                  <c:v>381.15055612601634</c:v>
                </c:pt>
                <c:pt idx="590">
                  <c:v>381.17620120142874</c:v>
                </c:pt>
                <c:pt idx="591">
                  <c:v>382.62863759538186</c:v>
                </c:pt>
                <c:pt idx="592">
                  <c:v>383.96580649269879</c:v>
                </c:pt>
                <c:pt idx="593">
                  <c:v>385.09333206423298</c:v>
                </c:pt>
                <c:pt idx="594">
                  <c:v>385.90186191194698</c:v>
                </c:pt>
                <c:pt idx="595">
                  <c:v>386.74521658632506</c:v>
                </c:pt>
                <c:pt idx="596">
                  <c:v>388.15747706360207</c:v>
                </c:pt>
                <c:pt idx="597">
                  <c:v>388.78307490801916</c:v>
                </c:pt>
                <c:pt idx="598">
                  <c:v>388.2402591136987</c:v>
                </c:pt>
                <c:pt idx="599">
                  <c:v>386.78779293473741</c:v>
                </c:pt>
                <c:pt idx="600">
                  <c:v>384.84334936048708</c:v>
                </c:pt>
                <c:pt idx="601">
                  <c:v>383.22406652582697</c:v>
                </c:pt>
                <c:pt idx="602">
                  <c:v>383.2518647201839</c:v>
                </c:pt>
                <c:pt idx="603">
                  <c:v>384.70652600371301</c:v>
                </c:pt>
                <c:pt idx="604">
                  <c:v>386.04584801997441</c:v>
                </c:pt>
                <c:pt idx="605">
                  <c:v>387.17559848108459</c:v>
                </c:pt>
                <c:pt idx="606">
                  <c:v>387.98635321837463</c:v>
                </c:pt>
                <c:pt idx="607">
                  <c:v>388.82605243561494</c:v>
                </c:pt>
                <c:pt idx="608">
                  <c:v>390.24053172353467</c:v>
                </c:pt>
                <c:pt idx="609">
                  <c:v>390.86827680405759</c:v>
                </c:pt>
                <c:pt idx="610">
                  <c:v>390.3276798203799</c:v>
                </c:pt>
                <c:pt idx="611">
                  <c:v>388.8773608775245</c:v>
                </c:pt>
                <c:pt idx="612">
                  <c:v>386.93513611391688</c:v>
                </c:pt>
                <c:pt idx="613">
                  <c:v>385.31807208989949</c:v>
                </c:pt>
                <c:pt idx="614">
                  <c:v>385.3480175203623</c:v>
                </c:pt>
                <c:pt idx="615">
                  <c:v>386.80489761453407</c:v>
                </c:pt>
                <c:pt idx="616">
                  <c:v>388.14636686690142</c:v>
                </c:pt>
                <c:pt idx="617">
                  <c:v>389.27833613865431</c:v>
                </c:pt>
                <c:pt idx="618">
                  <c:v>390.09130968658712</c:v>
                </c:pt>
                <c:pt idx="619">
                  <c:v>390.93301299085954</c:v>
                </c:pt>
                <c:pt idx="620">
                  <c:v>392.34971108942199</c:v>
                </c:pt>
                <c:pt idx="621">
                  <c:v>392.97960340605078</c:v>
                </c:pt>
                <c:pt idx="622">
                  <c:v>392.44122523301581</c:v>
                </c:pt>
                <c:pt idx="623">
                  <c:v>390.99305352626629</c:v>
                </c:pt>
                <c:pt idx="624">
                  <c:v>389.0530475733014</c:v>
                </c:pt>
                <c:pt idx="625">
                  <c:v>387.43820235992678</c:v>
                </c:pt>
                <c:pt idx="626">
                  <c:v>387.47029502649536</c:v>
                </c:pt>
                <c:pt idx="627">
                  <c:v>388.92939393130996</c:v>
                </c:pt>
                <c:pt idx="628">
                  <c:v>390.27301041978313</c:v>
                </c:pt>
                <c:pt idx="629">
                  <c:v>391.40719850217874</c:v>
                </c:pt>
                <c:pt idx="630">
                  <c:v>392.22239086075427</c:v>
                </c:pt>
                <c:pt idx="631">
                  <c:v>393.06609825205885</c:v>
                </c:pt>
                <c:pt idx="632">
                  <c:v>394.48501516126402</c:v>
                </c:pt>
                <c:pt idx="633">
                  <c:v>395.1170547139987</c:v>
                </c:pt>
                <c:pt idx="634">
                  <c:v>394.58089535160644</c:v>
                </c:pt>
                <c:pt idx="635">
                  <c:v>393.13487088096281</c:v>
                </c:pt>
                <c:pt idx="636">
                  <c:v>391.19708373864063</c:v>
                </c:pt>
                <c:pt idx="637">
                  <c:v>389.58445733590872</c:v>
                </c:pt>
                <c:pt idx="638">
                  <c:v>389.61869723858325</c:v>
                </c:pt>
                <c:pt idx="639">
                  <c:v>391.08001495404051</c:v>
                </c:pt>
                <c:pt idx="640">
                  <c:v>392.42577867861957</c:v>
                </c:pt>
                <c:pt idx="641">
                  <c:v>393.56218557165789</c:v>
                </c:pt>
                <c:pt idx="642">
                  <c:v>394.37959674087614</c:v>
                </c:pt>
                <c:pt idx="643">
                  <c:v>395.23125974827428</c:v>
                </c:pt>
                <c:pt idx="644">
                  <c:v>396.65240154705543</c:v>
                </c:pt>
                <c:pt idx="645">
                  <c:v>397.28659421873465</c:v>
                </c:pt>
                <c:pt idx="646">
                  <c:v>396.75265974591832</c:v>
                </c:pt>
                <c:pt idx="647">
                  <c:v>395.30878839421922</c:v>
                </c:pt>
                <c:pt idx="648">
                  <c:v>393.37322614147308</c:v>
                </c:pt>
                <c:pt idx="649">
                  <c:v>391.76282462831711</c:v>
                </c:pt>
                <c:pt idx="650">
                  <c:v>391.79921764993617</c:v>
                </c:pt>
                <c:pt idx="651">
                  <c:v>393.26276025496946</c:v>
                </c:pt>
                <c:pt idx="652">
                  <c:v>394.610677098493</c:v>
                </c:pt>
                <c:pt idx="653">
                  <c:v>395.74930888110737</c:v>
                </c:pt>
                <c:pt idx="654">
                  <c:v>396.5689449399016</c:v>
                </c:pt>
                <c:pt idx="655">
                  <c:v>397.41666599591986</c:v>
                </c:pt>
                <c:pt idx="656">
                  <c:v>398.84002660534378</c:v>
                </c:pt>
                <c:pt idx="657">
                  <c:v>399.47636651312882</c:v>
                </c:pt>
                <c:pt idx="658">
                  <c:v>398.94465085095533</c:v>
                </c:pt>
                <c:pt idx="659">
                  <c:v>397.50292673536205</c:v>
                </c:pt>
                <c:pt idx="660">
                  <c:v>395.56958329325857</c:v>
                </c:pt>
                <c:pt idx="661">
                  <c:v>393.96140059074543</c:v>
                </c:pt>
                <c:pt idx="662">
                  <c:v>393.99994084847032</c:v>
                </c:pt>
                <c:pt idx="663">
                  <c:v>395.46570226414633</c:v>
                </c:pt>
                <c:pt idx="664">
                  <c:v>396.81576634377575</c:v>
                </c:pt>
                <c:pt idx="665">
                  <c:v>397.95661693703283</c:v>
                </c:pt>
                <c:pt idx="666">
                  <c:v>398.77847180646978</c:v>
                </c:pt>
                <c:pt idx="667">
                  <c:v>399.6281969495202</c:v>
                </c:pt>
                <c:pt idx="668">
                  <c:v>401.05377636958684</c:v>
                </c:pt>
                <c:pt idx="669">
                  <c:v>401.69226351347777</c:v>
                </c:pt>
                <c:pt idx="670">
                  <c:v>401.16276666194693</c:v>
                </c:pt>
                <c:pt idx="671">
                  <c:v>399.72318978245954</c:v>
                </c:pt>
                <c:pt idx="672">
                  <c:v>397.79206515099889</c:v>
                </c:pt>
                <c:pt idx="673">
                  <c:v>396.18610125912841</c:v>
                </c:pt>
                <c:pt idx="674">
                  <c:v>396.22678875295912</c:v>
                </c:pt>
                <c:pt idx="675">
                  <c:v>397.69476897927791</c:v>
                </c:pt>
                <c:pt idx="676">
                  <c:v>399.04698029501316</c:v>
                </c:pt>
                <c:pt idx="677">
                  <c:v>400.19004969891296</c:v>
                </c:pt>
                <c:pt idx="678">
                  <c:v>401.01412337899274</c:v>
                </c:pt>
                <c:pt idx="679">
                  <c:v>401.86585260907526</c:v>
                </c:pt>
                <c:pt idx="680">
                  <c:v>403.29365083978456</c:v>
                </c:pt>
                <c:pt idx="681">
                  <c:v>403.93428521978143</c:v>
                </c:pt>
                <c:pt idx="682">
                  <c:v>403.40700717889331</c:v>
                </c:pt>
                <c:pt idx="683">
                  <c:v>401.9695775355118</c:v>
                </c:pt>
                <c:pt idx="684">
                  <c:v>400.04067171469381</c:v>
                </c:pt>
                <c:pt idx="685">
                  <c:v>398.4369266334661</c:v>
                </c:pt>
                <c:pt idx="686">
                  <c:v>398.47976136340276</c:v>
                </c:pt>
                <c:pt idx="687">
                  <c:v>399.9499604003642</c:v>
                </c:pt>
                <c:pt idx="688">
                  <c:v>401.30431895220539</c:v>
                </c:pt>
                <c:pt idx="689">
                  <c:v>402.44960716674785</c:v>
                </c:pt>
                <c:pt idx="690">
                  <c:v>403.27589965747029</c:v>
                </c:pt>
                <c:pt idx="691">
                  <c:v>404.13587099788845</c:v>
                </c:pt>
                <c:pt idx="692">
                  <c:v>405.56589411817384</c:v>
                </c:pt>
                <c:pt idx="693">
                  <c:v>406.20868161711508</c:v>
                </c:pt>
                <c:pt idx="694">
                  <c:v>405.68362846580305</c:v>
                </c:pt>
                <c:pt idx="695">
                  <c:v>404.24835194136602</c:v>
                </c:pt>
                <c:pt idx="696">
                  <c:v>402.32167101012402</c:v>
                </c:pt>
                <c:pt idx="697">
                  <c:v>400.72015081847229</c:v>
                </c:pt>
                <c:pt idx="698">
                  <c:v>400.76513866735348</c:v>
                </c:pt>
                <c:pt idx="699">
                  <c:v>402.23756259389091</c:v>
                </c:pt>
                <c:pt idx="700">
                  <c:v>403.59407426467664</c:v>
                </c:pt>
                <c:pt idx="701">
                  <c:v>404.74158736879514</c:v>
                </c:pt>
                <c:pt idx="702">
                  <c:v>405.57010474909356</c:v>
                </c:pt>
                <c:pt idx="703">
                  <c:v>406.42584764388982</c:v>
                </c:pt>
                <c:pt idx="704">
                  <c:v>407.85808957481788</c:v>
                </c:pt>
                <c:pt idx="705">
                  <c:v>408.50302430986505</c:v>
                </c:pt>
                <c:pt idx="706">
                  <c:v>407.98018996919575</c:v>
                </c:pt>
                <c:pt idx="707">
                  <c:v>406.54706068086455</c:v>
                </c:pt>
                <c:pt idx="708">
                  <c:v>404.62259856026532</c:v>
                </c:pt>
                <c:pt idx="709">
                  <c:v>403.02329717925636</c:v>
                </c:pt>
                <c:pt idx="710">
                  <c:v>403.07043226424332</c:v>
                </c:pt>
                <c:pt idx="711">
                  <c:v>404.54507500142353</c:v>
                </c:pt>
                <c:pt idx="712">
                  <c:v>405.90373390831508</c:v>
                </c:pt>
                <c:pt idx="713">
                  <c:v>407.05346582307629</c:v>
                </c:pt>
                <c:pt idx="714">
                  <c:v>407.88420201401749</c:v>
                </c:pt>
                <c:pt idx="715">
                  <c:v>408.74194899584586</c:v>
                </c:pt>
                <c:pt idx="716">
                  <c:v>410.17640973741669</c:v>
                </c:pt>
                <c:pt idx="717">
                  <c:v>410.82349170856975</c:v>
                </c:pt>
                <c:pt idx="718">
                  <c:v>410.3028761785431</c:v>
                </c:pt>
                <c:pt idx="719">
                  <c:v>408.87189412631784</c:v>
                </c:pt>
                <c:pt idx="720">
                  <c:v>406.94965081636133</c:v>
                </c:pt>
                <c:pt idx="721">
                  <c:v>405.35256824599503</c:v>
                </c:pt>
                <c:pt idx="722">
                  <c:v>405.40185056708793</c:v>
                </c:pt>
                <c:pt idx="723">
                  <c:v>406.8787121149108</c:v>
                </c:pt>
                <c:pt idx="724">
                  <c:v>408.23951825790823</c:v>
                </c:pt>
                <c:pt idx="725">
                  <c:v>409.39146898331222</c:v>
                </c:pt>
                <c:pt idx="726">
                  <c:v>410.22442398489613</c:v>
                </c:pt>
                <c:pt idx="727">
                  <c:v>411.08417505375667</c:v>
                </c:pt>
                <c:pt idx="728">
                  <c:v>412.52085460597021</c:v>
                </c:pt>
                <c:pt idx="729">
                  <c:v>413.1700838132291</c:v>
                </c:pt>
                <c:pt idx="730">
                  <c:v>412.65168709384517</c:v>
                </c:pt>
                <c:pt idx="731">
                  <c:v>411.22285227772579</c:v>
                </c:pt>
                <c:pt idx="732">
                  <c:v>409.302827778412</c:v>
                </c:pt>
                <c:pt idx="733">
                  <c:v>407.70796401868841</c:v>
                </c:pt>
                <c:pt idx="734">
                  <c:v>407.7593935758872</c:v>
                </c:pt>
                <c:pt idx="735">
                  <c:v>409.2384739343529</c:v>
                </c:pt>
                <c:pt idx="736">
                  <c:v>410.60142731345616</c:v>
                </c:pt>
                <c:pt idx="737">
                  <c:v>411.75559684950287</c:v>
                </c:pt>
                <c:pt idx="738">
                  <c:v>412.59077066172949</c:v>
                </c:pt>
                <c:pt idx="739">
                  <c:v>413.45905033516772</c:v>
                </c:pt>
                <c:pt idx="740">
                  <c:v>414.89795477695719</c:v>
                </c:pt>
                <c:pt idx="741">
                  <c:v>415.54933710316061</c:v>
                </c:pt>
                <c:pt idx="742">
                  <c:v>415.03316527335272</c:v>
                </c:pt>
                <c:pt idx="743">
                  <c:v>413.60648357617782</c:v>
                </c:pt>
                <c:pt idx="744">
                  <c:v>411.68868396644007</c:v>
                </c:pt>
                <c:pt idx="745">
                  <c:v>410.09604509629253</c:v>
                </c:pt>
                <c:pt idx="746">
                  <c:v>410.14962777243579</c:v>
                </c:pt>
                <c:pt idx="747">
                  <c:v>411.63093302047741</c:v>
                </c:pt>
                <c:pt idx="748">
                  <c:v>412.99603951852521</c:v>
                </c:pt>
                <c:pt idx="749">
                  <c:v>414.1524339441479</c:v>
                </c:pt>
                <c:pt idx="750">
                  <c:v>414.98983264595051</c:v>
                </c:pt>
                <c:pt idx="751">
                  <c:v>415.85359737952473</c:v>
                </c:pt>
                <c:pt idx="752">
                  <c:v>417.29472063195703</c:v>
                </c:pt>
                <c:pt idx="753">
                  <c:v>417.94825019426634</c:v>
                </c:pt>
                <c:pt idx="754">
                  <c:v>417.43429717510116</c:v>
                </c:pt>
                <c:pt idx="755">
                  <c:v>416.00976271403209</c:v>
                </c:pt>
                <c:pt idx="756">
                  <c:v>414.09418191493705</c:v>
                </c:pt>
                <c:pt idx="757">
                  <c:v>412.50376185543217</c:v>
                </c:pt>
                <c:pt idx="758">
                  <c:v>412.55949176768138</c:v>
                </c:pt>
                <c:pt idx="759">
                  <c:v>414.04301582636572</c:v>
                </c:pt>
                <c:pt idx="760">
                  <c:v>415.4102695605194</c:v>
                </c:pt>
                <c:pt idx="761">
                  <c:v>416.56888279678481</c:v>
                </c:pt>
                <c:pt idx="762">
                  <c:v>417.40850030923019</c:v>
                </c:pt>
                <c:pt idx="763">
                  <c:v>418.27426912983657</c:v>
                </c:pt>
                <c:pt idx="764">
                  <c:v>419.71761119291153</c:v>
                </c:pt>
                <c:pt idx="765">
                  <c:v>420.37328799132666</c:v>
                </c:pt>
                <c:pt idx="766">
                  <c:v>419.86155378280426</c:v>
                </c:pt>
                <c:pt idx="767">
                  <c:v>418.43916655784113</c:v>
                </c:pt>
                <c:pt idx="768">
                  <c:v>416.52580456938875</c:v>
                </c:pt>
                <c:pt idx="769">
                  <c:v>414.93760332052665</c:v>
                </c:pt>
                <c:pt idx="770">
                  <c:v>414.99548046888168</c:v>
                </c:pt>
                <c:pt idx="771">
                  <c:v>416.48122333820879</c:v>
                </c:pt>
                <c:pt idx="772">
                  <c:v>417.8506243084683</c:v>
                </c:pt>
                <c:pt idx="773">
                  <c:v>419.01145635537648</c:v>
                </c:pt>
                <c:pt idx="774">
                  <c:v>419.85329267846453</c:v>
                </c:pt>
                <c:pt idx="775">
                  <c:v>420.72106558610307</c:v>
                </c:pt>
                <c:pt idx="776">
                  <c:v>422.1666264598208</c:v>
                </c:pt>
                <c:pt idx="777">
                  <c:v>422.82445049434182</c:v>
                </c:pt>
                <c:pt idx="778">
                  <c:v>422.31493509646208</c:v>
                </c:pt>
                <c:pt idx="779">
                  <c:v>420.89469510760483</c:v>
                </c:pt>
                <c:pt idx="780">
                  <c:v>418.98355192979523</c:v>
                </c:pt>
                <c:pt idx="781">
                  <c:v>417.39756949157584</c:v>
                </c:pt>
                <c:pt idx="782">
                  <c:v>417.4575938760367</c:v>
                </c:pt>
                <c:pt idx="783">
                  <c:v>418.94555555600652</c:v>
                </c:pt>
                <c:pt idx="784">
                  <c:v>420.31710376237191</c:v>
                </c:pt>
                <c:pt idx="785">
                  <c:v>421.48015461992281</c:v>
                </c:pt>
                <c:pt idx="786">
                  <c:v>422.32420975365369</c:v>
                </c:pt>
                <c:pt idx="787">
                  <c:v>423.20079776011187</c:v>
                </c:pt>
                <c:pt idx="788">
                  <c:v>424.64858352340559</c:v>
                </c:pt>
                <c:pt idx="789">
                  <c:v>425.30856067687114</c:v>
                </c:pt>
                <c:pt idx="790">
                  <c:v>424.80127016856744</c:v>
                </c:pt>
                <c:pt idx="791">
                  <c:v>423.38318329865461</c:v>
                </c:pt>
                <c:pt idx="792">
                  <c:v>421.47426501042105</c:v>
                </c:pt>
                <c:pt idx="793">
                  <c:v>419.8905074617777</c:v>
                </c:pt>
                <c:pt idx="794">
                  <c:v>419.95268496518304</c:v>
                </c:pt>
                <c:pt idx="795">
                  <c:v>421.44287153472891</c:v>
                </c:pt>
                <c:pt idx="796">
                  <c:v>422.81657286003883</c:v>
                </c:pt>
                <c:pt idx="797">
                  <c:v>423.98184860716566</c:v>
                </c:pt>
                <c:pt idx="798">
                  <c:v>424.82812863047252</c:v>
                </c:pt>
                <c:pt idx="799">
                  <c:v>425.69991520282468</c:v>
                </c:pt>
                <c:pt idx="800">
                  <c:v>427.14991977676118</c:v>
                </c:pt>
                <c:pt idx="801">
                  <c:v>427.81204416633256</c:v>
                </c:pt>
                <c:pt idx="802">
                  <c:v>427.30697246867157</c:v>
                </c:pt>
                <c:pt idx="803">
                  <c:v>425.89103283486469</c:v>
                </c:pt>
                <c:pt idx="804">
                  <c:v>423.98433335727378</c:v>
                </c:pt>
                <c:pt idx="805">
                  <c:v>422.40279461927315</c:v>
                </c:pt>
                <c:pt idx="806">
                  <c:v>422.46711935878437</c:v>
                </c:pt>
                <c:pt idx="807">
                  <c:v>423.95952473897296</c:v>
                </c:pt>
                <c:pt idx="808">
                  <c:v>425.33537330038871</c:v>
                </c:pt>
                <c:pt idx="809">
                  <c:v>426.50286785815837</c:v>
                </c:pt>
                <c:pt idx="810">
                  <c:v>427.35136669210789</c:v>
                </c:pt>
                <c:pt idx="811">
                  <c:v>428.22515735149227</c:v>
                </c:pt>
                <c:pt idx="812">
                  <c:v>429.67738073607137</c:v>
                </c:pt>
                <c:pt idx="813">
                  <c:v>430.34165236174869</c:v>
                </c:pt>
                <c:pt idx="814">
                  <c:v>429.83879947473042</c:v>
                </c:pt>
                <c:pt idx="815">
                  <c:v>428.42500707702936</c:v>
                </c:pt>
                <c:pt idx="816">
                  <c:v>426.52052641008123</c:v>
                </c:pt>
                <c:pt idx="817">
                  <c:v>424.94120648272332</c:v>
                </c:pt>
                <c:pt idx="818">
                  <c:v>425.00767845834042</c:v>
                </c:pt>
                <c:pt idx="819">
                  <c:v>426.50230264917172</c:v>
                </c:pt>
                <c:pt idx="820">
                  <c:v>427.88029844669342</c:v>
                </c:pt>
                <c:pt idx="821">
                  <c:v>429.05001181510573</c:v>
                </c:pt>
                <c:pt idx="822">
                  <c:v>429.90072945969803</c:v>
                </c:pt>
                <c:pt idx="823">
                  <c:v>430.77652420611446</c:v>
                </c:pt>
                <c:pt idx="824">
                  <c:v>432.23096640133639</c:v>
                </c:pt>
                <c:pt idx="825">
                  <c:v>432.89738526311953</c:v>
                </c:pt>
                <c:pt idx="826">
                  <c:v>432.39675118674398</c:v>
                </c:pt>
                <c:pt idx="827">
                  <c:v>430.98510602514881</c:v>
                </c:pt>
                <c:pt idx="828">
                  <c:v>429.08284416884339</c:v>
                </c:pt>
                <c:pt idx="829">
                  <c:v>427.50574305212825</c:v>
                </c:pt>
                <c:pt idx="830">
                  <c:v>427.57436226385119</c:v>
                </c:pt>
                <c:pt idx="831">
                  <c:v>429.07120526532526</c:v>
                </c:pt>
                <c:pt idx="832">
                  <c:v>430.45134829895272</c:v>
                </c:pt>
                <c:pt idx="833">
                  <c:v>431.62328047800781</c:v>
                </c:pt>
                <c:pt idx="834">
                  <c:v>432.47621693324277</c:v>
                </c:pt>
                <c:pt idx="835">
                  <c:v>433.36111327272107</c:v>
                </c:pt>
                <c:pt idx="836">
                  <c:v>434.81778035751898</c:v>
                </c:pt>
                <c:pt idx="837">
                  <c:v>435.48635233824666</c:v>
                </c:pt>
                <c:pt idx="838">
                  <c:v>434.9879431514471</c:v>
                </c:pt>
                <c:pt idx="839">
                  <c:v>433.57845110879646</c:v>
                </c:pt>
                <c:pt idx="840">
                  <c:v>431.67841414206708</c:v>
                </c:pt>
                <c:pt idx="841">
                  <c:v>430.10353791492781</c:v>
                </c:pt>
                <c:pt idx="842">
                  <c:v>430.17431024559539</c:v>
                </c:pt>
                <c:pt idx="843">
                  <c:v>431.6733781366454</c:v>
                </c:pt>
                <c:pt idx="844">
                  <c:v>433.05567428921739</c:v>
                </c:pt>
                <c:pt idx="845">
                  <c:v>434.22983135784847</c:v>
                </c:pt>
                <c:pt idx="846">
                  <c:v>435.08499270265952</c:v>
                </c:pt>
                <c:pt idx="847">
                  <c:v>435.96480111378969</c:v>
                </c:pt>
                <c:pt idx="848">
                  <c:v>437.42368700923026</c:v>
                </c:pt>
                <c:pt idx="849">
                  <c:v>438.09440622606377</c:v>
                </c:pt>
                <c:pt idx="850">
                  <c:v>437.59821584990704</c:v>
                </c:pt>
                <c:pt idx="851">
                  <c:v>436.19087104336222</c:v>
                </c:pt>
                <c:pt idx="852">
                  <c:v>434.29305288727551</c:v>
                </c:pt>
                <c:pt idx="853">
                  <c:v>432.72039547077907</c:v>
                </c:pt>
                <c:pt idx="854">
                  <c:v>432.79331503755242</c:v>
                </c:pt>
                <c:pt idx="855">
                  <c:v>434.29460173924519</c:v>
                </c:pt>
                <c:pt idx="856">
                  <c:v>435.67904512792308</c:v>
                </c:pt>
                <c:pt idx="857">
                  <c:v>436.85542100719687</c:v>
                </c:pt>
                <c:pt idx="858">
                  <c:v>437.71280116265058</c:v>
                </c:pt>
                <c:pt idx="859">
                  <c:v>438.59461366081291</c:v>
                </c:pt>
                <c:pt idx="860">
                  <c:v>440.05571836689631</c:v>
                </c:pt>
                <c:pt idx="861">
                  <c:v>440.7285848198357</c:v>
                </c:pt>
                <c:pt idx="862">
                  <c:v>440.23461325432157</c:v>
                </c:pt>
                <c:pt idx="863">
                  <c:v>438.8294156838827</c:v>
                </c:pt>
                <c:pt idx="864">
                  <c:v>436.9338163384387</c:v>
                </c:pt>
                <c:pt idx="865">
                  <c:v>435.36337773258498</c:v>
                </c:pt>
                <c:pt idx="866">
                  <c:v>435.43844453546421</c:v>
                </c:pt>
                <c:pt idx="867">
                  <c:v>436.94195004779971</c:v>
                </c:pt>
                <c:pt idx="868">
                  <c:v>438.32854067258342</c:v>
                </c:pt>
                <c:pt idx="869">
                  <c:v>439.50713536249998</c:v>
                </c:pt>
                <c:pt idx="870">
                  <c:v>440.36673432859646</c:v>
                </c:pt>
                <c:pt idx="871">
                  <c:v>441.2505509137909</c:v>
                </c:pt>
                <c:pt idx="872">
                  <c:v>442.71387443051697</c:v>
                </c:pt>
                <c:pt idx="873">
                  <c:v>443.38888811956224</c:v>
                </c:pt>
                <c:pt idx="874">
                  <c:v>442.89713536469094</c:v>
                </c:pt>
                <c:pt idx="875">
                  <c:v>441.49408503035784</c:v>
                </c:pt>
                <c:pt idx="876">
                  <c:v>439.60070449555661</c:v>
                </c:pt>
                <c:pt idx="877">
                  <c:v>438.03248470034561</c:v>
                </c:pt>
                <c:pt idx="878">
                  <c:v>438.10969873933072</c:v>
                </c:pt>
                <c:pt idx="879">
                  <c:v>439.61542306230893</c:v>
                </c:pt>
                <c:pt idx="880">
                  <c:v>441.00416092319853</c:v>
                </c:pt>
                <c:pt idx="881">
                  <c:v>442.18497442375781</c:v>
                </c:pt>
                <c:pt idx="882">
                  <c:v>443.04679220049701</c:v>
                </c:pt>
                <c:pt idx="883">
                  <c:v>443.93999687299532</c:v>
                </c:pt>
                <c:pt idx="884">
                  <c:v>445.40554527929743</c:v>
                </c:pt>
                <c:pt idx="885">
                  <c:v>446.08271208728712</c:v>
                </c:pt>
                <c:pt idx="886">
                  <c:v>445.59318422199181</c:v>
                </c:pt>
                <c:pt idx="887">
                  <c:v>444.19228700660329</c:v>
                </c:pt>
                <c:pt idx="888">
                  <c:v>442.30113136137805</c:v>
                </c:pt>
                <c:pt idx="889">
                  <c:v>440.73513645574309</c:v>
                </c:pt>
                <c:pt idx="890">
                  <c:v>440.81450361367268</c:v>
                </c:pt>
                <c:pt idx="891">
                  <c:v>442.32245282622688</c:v>
                </c:pt>
                <c:pt idx="892">
                  <c:v>443.713343806061</c:v>
                </c:pt>
                <c:pt idx="893">
                  <c:v>444.89638219619633</c:v>
                </c:pt>
                <c:pt idx="894">
                  <c:v>445.76042486251146</c:v>
                </c:pt>
                <c:pt idx="895">
                  <c:v>446.64825511241963</c:v>
                </c:pt>
                <c:pt idx="896">
                  <c:v>448.1160223293644</c:v>
                </c:pt>
                <c:pt idx="897">
                  <c:v>448.79533637346003</c:v>
                </c:pt>
                <c:pt idx="898">
                  <c:v>448.30802731880749</c:v>
                </c:pt>
                <c:pt idx="899">
                  <c:v>446.90927733952475</c:v>
                </c:pt>
                <c:pt idx="900">
                  <c:v>445.02034050494228</c:v>
                </c:pt>
                <c:pt idx="901">
                  <c:v>443.45656440995003</c:v>
                </c:pt>
                <c:pt idx="902">
                  <c:v>443.53807880398546</c:v>
                </c:pt>
                <c:pt idx="903">
                  <c:v>445.04824682718242</c:v>
                </c:pt>
                <c:pt idx="904">
                  <c:v>446.44128504312243</c:v>
                </c:pt>
                <c:pt idx="905">
                  <c:v>447.62654224390042</c:v>
                </c:pt>
                <c:pt idx="906">
                  <c:v>448.49280372085832</c:v>
                </c:pt>
                <c:pt idx="907">
                  <c:v>449.3826380577986</c:v>
                </c:pt>
                <c:pt idx="908">
                  <c:v>450.85262408538614</c:v>
                </c:pt>
                <c:pt idx="909">
                  <c:v>451.53408536558766</c:v>
                </c:pt>
                <c:pt idx="910">
                  <c:v>451.04899512157778</c:v>
                </c:pt>
                <c:pt idx="911">
                  <c:v>449.65239237840098</c:v>
                </c:pt>
                <c:pt idx="912">
                  <c:v>447.76567435446117</c:v>
                </c:pt>
                <c:pt idx="913">
                  <c:v>446.20411707011164</c:v>
                </c:pt>
                <c:pt idx="914">
                  <c:v>446.287778700253</c:v>
                </c:pt>
                <c:pt idx="915">
                  <c:v>447.80016553409263</c:v>
                </c:pt>
                <c:pt idx="916">
                  <c:v>449.19535098613852</c:v>
                </c:pt>
                <c:pt idx="917">
                  <c:v>450.38282699755928</c:v>
                </c:pt>
                <c:pt idx="918">
                  <c:v>451.2513072851599</c:v>
                </c:pt>
                <c:pt idx="919">
                  <c:v>452.14314570913228</c:v>
                </c:pt>
                <c:pt idx="920">
                  <c:v>453.6153505473626</c:v>
                </c:pt>
                <c:pt idx="921">
                  <c:v>454.29895906367</c:v>
                </c:pt>
                <c:pt idx="922">
                  <c:v>453.81608763030283</c:v>
                </c:pt>
                <c:pt idx="923">
                  <c:v>452.42163212323186</c:v>
                </c:pt>
                <c:pt idx="924">
                  <c:v>450.53713290993483</c:v>
                </c:pt>
                <c:pt idx="925">
                  <c:v>448.97779443622801</c:v>
                </c:pt>
                <c:pt idx="926">
                  <c:v>449.0636033024752</c:v>
                </c:pt>
                <c:pt idx="927">
                  <c:v>450.5782089469576</c:v>
                </c:pt>
                <c:pt idx="928">
                  <c:v>451.97554163510938</c:v>
                </c:pt>
                <c:pt idx="929">
                  <c:v>453.1652364571728</c:v>
                </c:pt>
                <c:pt idx="930">
                  <c:v>454.03593555541619</c:v>
                </c:pt>
                <c:pt idx="931">
                  <c:v>454.93744856093457</c:v>
                </c:pt>
                <c:pt idx="932">
                  <c:v>456.41187828874081</c:v>
                </c:pt>
                <c:pt idx="933">
                  <c:v>457.09763992399274</c:v>
                </c:pt>
                <c:pt idx="934">
                  <c:v>456.61699338020156</c:v>
                </c:pt>
                <c:pt idx="935">
                  <c:v>455.22469099207512</c:v>
                </c:pt>
                <c:pt idx="936">
                  <c:v>453.34241666835408</c:v>
                </c:pt>
                <c:pt idx="937">
                  <c:v>451.78530308422324</c:v>
                </c:pt>
                <c:pt idx="938">
                  <c:v>451.87326506941503</c:v>
                </c:pt>
                <c:pt idx="939">
                  <c:v>453.39009560347336</c:v>
                </c:pt>
                <c:pt idx="940">
                  <c:v>454.78958141056961</c:v>
                </c:pt>
                <c:pt idx="941">
                  <c:v>455.98150112220907</c:v>
                </c:pt>
                <c:pt idx="942">
                  <c:v>456.85442511002844</c:v>
                </c:pt>
                <c:pt idx="943">
                  <c:v>457.75027719871457</c:v>
                </c:pt>
                <c:pt idx="944">
                  <c:v>459.22692573716358</c:v>
                </c:pt>
                <c:pt idx="945">
                  <c:v>459.91483460852135</c:v>
                </c:pt>
                <c:pt idx="946">
                  <c:v>459.43640687537288</c:v>
                </c:pt>
                <c:pt idx="947">
                  <c:v>458.04625172335233</c:v>
                </c:pt>
                <c:pt idx="948">
                  <c:v>456.16619621027405</c:v>
                </c:pt>
                <c:pt idx="949">
                  <c:v>454.61130143678594</c:v>
                </c:pt>
                <c:pt idx="950">
                  <c:v>454.70141065808355</c:v>
                </c:pt>
                <c:pt idx="951">
                  <c:v>456.22046000278465</c:v>
                </c:pt>
                <c:pt idx="952">
                  <c:v>457.62209304598673</c:v>
                </c:pt>
                <c:pt idx="953">
                  <c:v>458.81623156826896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29-45A9-8194-DDCBB85BA59E}"/>
            </c:ext>
          </c:extLst>
        </c:ser>
        <c:ser>
          <c:idx val="0"/>
          <c:order val="1"/>
          <c:tx>
            <c:strRef>
              <c:f>'2次多項式モデル'!$G$1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'2次多項式モデル'!$F$2:$F$955</c:f>
              <c:numCache>
                <c:formatCode>m/d/yyyy</c:formatCode>
                <c:ptCount val="954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</c:numCache>
            </c:numRef>
          </c:xVal>
          <c:yVal>
            <c:numRef>
              <c:f>'2次多項式モデル'!$G$2:$G$955</c:f>
              <c:numCache>
                <c:formatCode>0.00_ ;[Red]\-0.00\ </c:formatCode>
                <c:ptCount val="954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29-45A9-8194-DDCBB85BA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058232"/>
        <c:axId val="626058888"/>
      </c:scatterChart>
      <c:valAx>
        <c:axId val="626058232"/>
        <c:scaling>
          <c:orientation val="minMax"/>
          <c:max val="50406"/>
          <c:min val="2118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6058888"/>
        <c:crosses val="autoZero"/>
        <c:crossBetween val="midCat"/>
        <c:majorUnit val="3652.5"/>
      </c:valAx>
      <c:valAx>
        <c:axId val="626058888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6058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トレンド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'2次多項式モデル'!$H$1</c:f>
              <c:strCache>
                <c:ptCount val="1"/>
                <c:pt idx="0">
                  <c:v>TC(d)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'2次多項式モデル'!$F$2:$F$955</c:f>
              <c:numCache>
                <c:formatCode>m/d/yyyy</c:formatCode>
                <c:ptCount val="954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</c:numCache>
            </c:numRef>
          </c:xVal>
          <c:yVal>
            <c:numRef>
              <c:f>'2次多項式モデル'!$H$2:$H$955</c:f>
              <c:numCache>
                <c:formatCode>0.00_ ;[Red]\-0.00\ </c:formatCode>
                <c:ptCount val="954"/>
                <c:pt idx="0">
                  <c:v>314.61155003735519</c:v>
                </c:pt>
                <c:pt idx="1">
                  <c:v>314.67624382141679</c:v>
                </c:pt>
                <c:pt idx="2">
                  <c:v>314.73903013579707</c:v>
                </c:pt>
                <c:pt idx="3">
                  <c:v>314.86723990232565</c:v>
                </c:pt>
                <c:pt idx="4">
                  <c:v>314.93267531624593</c:v>
                </c:pt>
                <c:pt idx="5">
                  <c:v>314.99829917709746</c:v>
                </c:pt>
                <c:pt idx="6">
                  <c:v>315.12798024157149</c:v>
                </c:pt>
                <c:pt idx="7">
                  <c:v>315.19202548342207</c:v>
                </c:pt>
                <c:pt idx="8">
                  <c:v>315.25839097413228</c:v>
                </c:pt>
                <c:pt idx="9">
                  <c:v>315.3249449117738</c:v>
                </c:pt>
                <c:pt idx="10">
                  <c:v>315.38522011993001</c:v>
                </c:pt>
                <c:pt idx="11">
                  <c:v>315.45213271463433</c:v>
                </c:pt>
                <c:pt idx="12">
                  <c:v>315.51706626512043</c:v>
                </c:pt>
                <c:pt idx="13">
                  <c:v>315.58434967475409</c:v>
                </c:pt>
                <c:pt idx="14">
                  <c:v>315.64964207839762</c:v>
                </c:pt>
                <c:pt idx="15">
                  <c:v>315.71729630296062</c:v>
                </c:pt>
                <c:pt idx="16">
                  <c:v>315.78513897445492</c:v>
                </c:pt>
                <c:pt idx="17">
                  <c:v>315.85097259925391</c:v>
                </c:pt>
                <c:pt idx="18">
                  <c:v>315.91918608567755</c:v>
                </c:pt>
                <c:pt idx="19">
                  <c:v>315.98537856363396</c:v>
                </c:pt>
                <c:pt idx="20">
                  <c:v>316.05396286498689</c:v>
                </c:pt>
                <c:pt idx="21">
                  <c:v>316.12273561327112</c:v>
                </c:pt>
                <c:pt idx="22">
                  <c:v>316.18724201237393</c:v>
                </c:pt>
                <c:pt idx="23">
                  <c:v>316.25637949665423</c:v>
                </c:pt>
                <c:pt idx="24">
                  <c:v>316.32346616608487</c:v>
                </c:pt>
                <c:pt idx="25">
                  <c:v>316.39297446529451</c:v>
                </c:pt>
                <c:pt idx="26">
                  <c:v>316.46041998788257</c:v>
                </c:pt>
                <c:pt idx="27">
                  <c:v>316.53029910202156</c:v>
                </c:pt>
                <c:pt idx="28">
                  <c:v>316.60036666309185</c:v>
                </c:pt>
                <c:pt idx="29">
                  <c:v>316.66835340683537</c:v>
                </c:pt>
                <c:pt idx="30">
                  <c:v>316.73879178283499</c:v>
                </c:pt>
                <c:pt idx="31">
                  <c:v>316.80713737973588</c:v>
                </c:pt>
                <c:pt idx="32">
                  <c:v>316.87794657066485</c:v>
                </c:pt>
                <c:pt idx="33">
                  <c:v>316.94894420852512</c:v>
                </c:pt>
                <c:pt idx="34">
                  <c:v>317.01323308139501</c:v>
                </c:pt>
                <c:pt idx="35">
                  <c:v>317.08458937631804</c:v>
                </c:pt>
                <c:pt idx="36">
                  <c:v>317.15382328185456</c:v>
                </c:pt>
                <c:pt idx="37">
                  <c:v>317.22555039170692</c:v>
                </c:pt>
                <c:pt idx="38">
                  <c:v>317.29514315040086</c:v>
                </c:pt>
                <c:pt idx="39">
                  <c:v>317.36724107518256</c:v>
                </c:pt>
                <c:pt idx="40">
                  <c:v>317.43952744689557</c:v>
                </c:pt>
                <c:pt idx="41">
                  <c:v>317.50966142674497</c:v>
                </c:pt>
                <c:pt idx="42">
                  <c:v>317.58231861338732</c:v>
                </c:pt>
                <c:pt idx="43">
                  <c:v>317.65281144639408</c:v>
                </c:pt>
                <c:pt idx="44">
                  <c:v>317.72583944796577</c:v>
                </c:pt>
                <c:pt idx="45">
                  <c:v>317.79905589646876</c:v>
                </c:pt>
                <c:pt idx="46">
                  <c:v>317.86534885637082</c:v>
                </c:pt>
                <c:pt idx="47">
                  <c:v>317.93892396193655</c:v>
                </c:pt>
                <c:pt idx="48">
                  <c:v>318.01030510357896</c:v>
                </c:pt>
                <c:pt idx="49">
                  <c:v>318.08425102407404</c:v>
                </c:pt>
                <c:pt idx="50">
                  <c:v>318.15599101887386</c:v>
                </c:pt>
                <c:pt idx="51">
                  <c:v>318.23030775429828</c:v>
                </c:pt>
                <c:pt idx="52">
                  <c:v>318.304812936654</c:v>
                </c:pt>
                <c:pt idx="53">
                  <c:v>318.37709415260929</c:v>
                </c:pt>
                <c:pt idx="54">
                  <c:v>318.45197014989435</c:v>
                </c:pt>
                <c:pt idx="55">
                  <c:v>318.524610219007</c:v>
                </c:pt>
                <c:pt idx="56">
                  <c:v>318.5998570312214</c:v>
                </c:pt>
                <c:pt idx="57">
                  <c:v>318.67529229036711</c:v>
                </c:pt>
                <c:pt idx="58">
                  <c:v>318.74358933730127</c:v>
                </c:pt>
                <c:pt idx="59">
                  <c:v>318.81938325350978</c:v>
                </c:pt>
                <c:pt idx="60">
                  <c:v>318.89291163125802</c:v>
                </c:pt>
                <c:pt idx="61">
                  <c:v>318.96907636239587</c:v>
                </c:pt>
                <c:pt idx="62">
                  <c:v>319.04296359330158</c:v>
                </c:pt>
                <c:pt idx="63">
                  <c:v>319.11949913936871</c:v>
                </c:pt>
                <c:pt idx="64">
                  <c:v>319.19622313236721</c:v>
                </c:pt>
                <c:pt idx="65">
                  <c:v>319.27065158442832</c:v>
                </c:pt>
                <c:pt idx="66">
                  <c:v>319.3477463923561</c:v>
                </c:pt>
                <c:pt idx="67">
                  <c:v>319.42253369757464</c:v>
                </c:pt>
                <c:pt idx="68">
                  <c:v>319.49999932043181</c:v>
                </c:pt>
                <c:pt idx="69">
                  <c:v>319.80416842482032</c:v>
                </c:pt>
                <c:pt idx="70">
                  <c:v>319.88255804553415</c:v>
                </c:pt>
                <c:pt idx="71">
                  <c:v>319.95859839538434</c:v>
                </c:pt>
                <c:pt idx="72">
                  <c:v>320.03735883102746</c:v>
                </c:pt>
                <c:pt idx="73">
                  <c:v>320.11630771360194</c:v>
                </c:pt>
                <c:pt idx="74">
                  <c:v>320.19288928460759</c:v>
                </c:pt>
                <c:pt idx="75">
                  <c:v>320.27220898211135</c:v>
                </c:pt>
                <c:pt idx="76">
                  <c:v>320.34914940627442</c:v>
                </c:pt>
                <c:pt idx="77">
                  <c:v>320.42883991870758</c:v>
                </c:pt>
                <c:pt idx="78">
                  <c:v>320.50871887807199</c:v>
                </c:pt>
                <c:pt idx="79">
                  <c:v>320.58102958971983</c:v>
                </c:pt>
                <c:pt idx="80">
                  <c:v>320.6612672061471</c:v>
                </c:pt>
                <c:pt idx="81">
                  <c:v>320.7390959389457</c:v>
                </c:pt>
                <c:pt idx="82">
                  <c:v>320.8197043703023</c:v>
                </c:pt>
                <c:pt idx="83">
                  <c:v>320.89789195625832</c:v>
                </c:pt>
                <c:pt idx="84">
                  <c:v>320.97887120254421</c:v>
                </c:pt>
                <c:pt idx="85">
                  <c:v>321.06003889576141</c:v>
                </c:pt>
                <c:pt idx="86">
                  <c:v>321.13876770287288</c:v>
                </c:pt>
                <c:pt idx="87">
                  <c:v>321.22030621101942</c:v>
                </c:pt>
                <c:pt idx="88">
                  <c:v>321.29939387128832</c:v>
                </c:pt>
                <c:pt idx="89">
                  <c:v>321.38130319436419</c:v>
                </c:pt>
                <c:pt idx="90">
                  <c:v>321.46340096437137</c:v>
                </c:pt>
                <c:pt idx="91">
                  <c:v>321.53771576305138</c:v>
                </c:pt>
                <c:pt idx="92">
                  <c:v>321.62017219012137</c:v>
                </c:pt>
                <c:pt idx="93">
                  <c:v>321.70014815902584</c:v>
                </c:pt>
                <c:pt idx="94">
                  <c:v>321.78297540102511</c:v>
                </c:pt>
                <c:pt idx="95">
                  <c:v>321.86331022308701</c:v>
                </c:pt>
                <c:pt idx="96">
                  <c:v>321.94650828001568</c:v>
                </c:pt>
                <c:pt idx="97">
                  <c:v>322.02989478387559</c:v>
                </c:pt>
                <c:pt idx="98">
                  <c:v>322.11077082709295</c:v>
                </c:pt>
                <c:pt idx="99">
                  <c:v>322.1945281458822</c:v>
                </c:pt>
                <c:pt idx="100">
                  <c:v>322.27576304225698</c:v>
                </c:pt>
                <c:pt idx="101">
                  <c:v>322.35989117597558</c:v>
                </c:pt>
                <c:pt idx="102">
                  <c:v>322.44420775662547</c:v>
                </c:pt>
                <c:pt idx="103">
                  <c:v>322.52052664233764</c:v>
                </c:pt>
                <c:pt idx="104">
                  <c:v>322.60520188005034</c:v>
                </c:pt>
                <c:pt idx="105">
                  <c:v>322.68732508506065</c:v>
                </c:pt>
                <c:pt idx="106">
                  <c:v>322.77237113770269</c:v>
                </c:pt>
                <c:pt idx="107">
                  <c:v>322.85485319587048</c:v>
                </c:pt>
                <c:pt idx="108">
                  <c:v>322.9402700634418</c:v>
                </c:pt>
                <c:pt idx="109">
                  <c:v>323.02587537794449</c:v>
                </c:pt>
                <c:pt idx="110">
                  <c:v>323.10889865726773</c:v>
                </c:pt>
                <c:pt idx="111">
                  <c:v>323.1948747866997</c:v>
                </c:pt>
                <c:pt idx="112">
                  <c:v>323.27825691918036</c:v>
                </c:pt>
                <c:pt idx="113">
                  <c:v>323.36460386354167</c:v>
                </c:pt>
                <c:pt idx="114">
                  <c:v>323.45113925483429</c:v>
                </c:pt>
                <c:pt idx="115">
                  <c:v>323.53226231997718</c:v>
                </c:pt>
                <c:pt idx="116">
                  <c:v>323.61916244726586</c:v>
                </c:pt>
                <c:pt idx="117">
                  <c:v>323.7034387712207</c:v>
                </c:pt>
                <c:pt idx="118">
                  <c:v>323.79070971343873</c:v>
                </c:pt>
                <c:pt idx="119">
                  <c:v>323.87534489055105</c:v>
                </c:pt>
                <c:pt idx="120">
                  <c:v>323.96298664769841</c:v>
                </c:pt>
                <c:pt idx="121">
                  <c:v>324.05081685177709</c:v>
                </c:pt>
                <c:pt idx="122">
                  <c:v>324.13599325004481</c:v>
                </c:pt>
                <c:pt idx="123">
                  <c:v>324.22419426905276</c:v>
                </c:pt>
                <c:pt idx="124">
                  <c:v>324.30972952047796</c:v>
                </c:pt>
                <c:pt idx="125">
                  <c:v>324.39830135441525</c:v>
                </c:pt>
                <c:pt idx="126">
                  <c:v>324.48706163528391</c:v>
                </c:pt>
                <c:pt idx="127">
                  <c:v>324.5673941857097</c:v>
                </c:pt>
                <c:pt idx="128">
                  <c:v>324.65651312364116</c:v>
                </c:pt>
                <c:pt idx="129">
                  <c:v>324.74293668370188</c:v>
                </c:pt>
                <c:pt idx="130">
                  <c:v>324.83242643656263</c:v>
                </c:pt>
                <c:pt idx="131">
                  <c:v>324.91920884978077</c:v>
                </c:pt>
                <c:pt idx="132">
                  <c:v>325.00906941757086</c:v>
                </c:pt>
                <c:pt idx="133">
                  <c:v>325.09911843229224</c:v>
                </c:pt>
                <c:pt idx="134">
                  <c:v>325.18644206666585</c:v>
                </c:pt>
                <c:pt idx="135">
                  <c:v>325.27686189631657</c:v>
                </c:pt>
                <c:pt idx="136">
                  <c:v>325.3645443838476</c:v>
                </c:pt>
                <c:pt idx="137">
                  <c:v>325.45533502842767</c:v>
                </c:pt>
                <c:pt idx="138">
                  <c:v>325.54631411993898</c:v>
                </c:pt>
                <c:pt idx="139">
                  <c:v>325.628650757397</c:v>
                </c:pt>
                <c:pt idx="140">
                  <c:v>325.71998850597112</c:v>
                </c:pt>
                <c:pt idx="141">
                  <c:v>325.80855930213772</c:v>
                </c:pt>
                <c:pt idx="142">
                  <c:v>325.90026786564124</c:v>
                </c:pt>
                <c:pt idx="143">
                  <c:v>325.98919751496521</c:v>
                </c:pt>
                <c:pt idx="144">
                  <c:v>326.08127689339801</c:v>
                </c:pt>
                <c:pt idx="145">
                  <c:v>326.17354471876217</c:v>
                </c:pt>
                <c:pt idx="146">
                  <c:v>326.2630155892416</c:v>
                </c:pt>
                <c:pt idx="147">
                  <c:v>326.35565422953511</c:v>
                </c:pt>
                <c:pt idx="148">
                  <c:v>326.44548395317196</c:v>
                </c:pt>
                <c:pt idx="149">
                  <c:v>326.53849340839474</c:v>
                </c:pt>
                <c:pt idx="150">
                  <c:v>326.63169131054883</c:v>
                </c:pt>
                <c:pt idx="151">
                  <c:v>326.71603203503895</c:v>
                </c:pt>
                <c:pt idx="152">
                  <c:v>326.80958859425584</c:v>
                </c:pt>
                <c:pt idx="153">
                  <c:v>326.90030662652828</c:v>
                </c:pt>
                <c:pt idx="154">
                  <c:v>326.99423400067451</c:v>
                </c:pt>
                <c:pt idx="155">
                  <c:v>327.08531088610442</c:v>
                </c:pt>
                <c:pt idx="156">
                  <c:v>327.17960907517994</c:v>
                </c:pt>
                <c:pt idx="157">
                  <c:v>327.27409571118676</c:v>
                </c:pt>
                <c:pt idx="158">
                  <c:v>327.36571381777213</c:v>
                </c:pt>
                <c:pt idx="159">
                  <c:v>327.46057126870829</c:v>
                </c:pt>
                <c:pt idx="160">
                  <c:v>327.55254822845109</c:v>
                </c:pt>
                <c:pt idx="161">
                  <c:v>327.64777649431659</c:v>
                </c:pt>
                <c:pt idx="162">
                  <c:v>327.74319320711339</c:v>
                </c:pt>
                <c:pt idx="163">
                  <c:v>327.83262460527629</c:v>
                </c:pt>
                <c:pt idx="164">
                  <c:v>327.92840605406917</c:v>
                </c:pt>
                <c:pt idx="165">
                  <c:v>328.02127720528614</c:v>
                </c:pt>
                <c:pt idx="166">
                  <c:v>328.11742946900836</c:v>
                </c:pt>
                <c:pt idx="167">
                  <c:v>328.21065947338275</c:v>
                </c:pt>
                <c:pt idx="168">
                  <c:v>328.30718255203431</c:v>
                </c:pt>
                <c:pt idx="169">
                  <c:v>328.40389407761717</c:v>
                </c:pt>
                <c:pt idx="170">
                  <c:v>328.49766530314702</c:v>
                </c:pt>
                <c:pt idx="171">
                  <c:v>328.59474764365916</c:v>
                </c:pt>
                <c:pt idx="172">
                  <c:v>328.68887772234643</c:v>
                </c:pt>
                <c:pt idx="173">
                  <c:v>328.78633087778798</c:v>
                </c:pt>
                <c:pt idx="174">
                  <c:v>328.88397248016076</c:v>
                </c:pt>
                <c:pt idx="175">
                  <c:v>328.97232686936457</c:v>
                </c:pt>
                <c:pt idx="176">
                  <c:v>329.07032712880022</c:v>
                </c:pt>
                <c:pt idx="177">
                  <c:v>329.16534551612301</c:v>
                </c:pt>
                <c:pt idx="178">
                  <c:v>329.263716590488</c:v>
                </c:pt>
                <c:pt idx="179">
                  <c:v>329.35909383096822</c:v>
                </c:pt>
                <c:pt idx="180">
                  <c:v>329.45783572026249</c:v>
                </c:pt>
                <c:pt idx="181">
                  <c:v>329.55676605648807</c:v>
                </c:pt>
                <c:pt idx="182">
                  <c:v>329.65268451812381</c:v>
                </c:pt>
                <c:pt idx="183">
                  <c:v>329.75198566927872</c:v>
                </c:pt>
                <c:pt idx="184">
                  <c:v>329.84826298407188</c:v>
                </c:pt>
                <c:pt idx="185">
                  <c:v>329.94793495015608</c:v>
                </c:pt>
                <c:pt idx="186">
                  <c:v>330.04779536317164</c:v>
                </c:pt>
                <c:pt idx="187">
                  <c:v>330.13815383940755</c:v>
                </c:pt>
                <c:pt idx="188">
                  <c:v>330.23837290948592</c:v>
                </c:pt>
                <c:pt idx="189">
                  <c:v>330.3355385329146</c:v>
                </c:pt>
                <c:pt idx="190">
                  <c:v>330.4361284179223</c:v>
                </c:pt>
                <c:pt idx="191">
                  <c:v>330.53365289450841</c:v>
                </c:pt>
                <c:pt idx="192">
                  <c:v>330.6346135944454</c:v>
                </c:pt>
                <c:pt idx="193">
                  <c:v>330.73576274131375</c:v>
                </c:pt>
                <c:pt idx="194">
                  <c:v>330.83382843905531</c:v>
                </c:pt>
                <c:pt idx="195">
                  <c:v>330.93534840085294</c:v>
                </c:pt>
                <c:pt idx="196">
                  <c:v>331.03377295175198</c:v>
                </c:pt>
                <c:pt idx="197">
                  <c:v>331.1356637284789</c:v>
                </c:pt>
                <c:pt idx="198">
                  <c:v>331.23774295213718</c:v>
                </c:pt>
                <c:pt idx="199">
                  <c:v>331.33010551540531</c:v>
                </c:pt>
                <c:pt idx="200">
                  <c:v>331.43254339612633</c:v>
                </c:pt>
                <c:pt idx="201">
                  <c:v>331.53185625566095</c:v>
                </c:pt>
                <c:pt idx="202">
                  <c:v>331.63466495131132</c:v>
                </c:pt>
                <c:pt idx="203">
                  <c:v>331.73433666400331</c:v>
                </c:pt>
                <c:pt idx="204">
                  <c:v>331.83751617458307</c:v>
                </c:pt>
                <c:pt idx="205">
                  <c:v>331.94088413209408</c:v>
                </c:pt>
                <c:pt idx="206">
                  <c:v>332.04109706594153</c:v>
                </c:pt>
                <c:pt idx="207">
                  <c:v>332.14483583838194</c:v>
                </c:pt>
                <c:pt idx="208">
                  <c:v>332.2454076253868</c:v>
                </c:pt>
                <c:pt idx="209">
                  <c:v>332.3495172127565</c:v>
                </c:pt>
                <c:pt idx="210">
                  <c:v>332.45381524705749</c:v>
                </c:pt>
                <c:pt idx="211">
                  <c:v>332.55155497824046</c:v>
                </c:pt>
                <c:pt idx="212">
                  <c:v>332.65621774853753</c:v>
                </c:pt>
                <c:pt idx="213">
                  <c:v>332.75768372701657</c:v>
                </c:pt>
                <c:pt idx="214">
                  <c:v>332.86271731224298</c:v>
                </c:pt>
                <c:pt idx="215">
                  <c:v>332.9645421438795</c:v>
                </c:pt>
                <c:pt idx="216">
                  <c:v>333.06994654403525</c:v>
                </c:pt>
                <c:pt idx="217">
                  <c:v>333.17553939112224</c:v>
                </c:pt>
                <c:pt idx="218">
                  <c:v>333.27790544391422</c:v>
                </c:pt>
                <c:pt idx="219">
                  <c:v>333.38386910593061</c:v>
                </c:pt>
                <c:pt idx="220">
                  <c:v>333.48659401187996</c:v>
                </c:pt>
                <c:pt idx="221">
                  <c:v>333.59292848882569</c:v>
                </c:pt>
                <c:pt idx="222">
                  <c:v>333.69945141270267</c:v>
                </c:pt>
                <c:pt idx="223">
                  <c:v>333.79582764068448</c:v>
                </c:pt>
                <c:pt idx="224">
                  <c:v>333.90270922162426</c:v>
                </c:pt>
                <c:pt idx="225">
                  <c:v>334.00632243620919</c:v>
                </c:pt>
                <c:pt idx="226">
                  <c:v>334.11357483207831</c:v>
                </c:pt>
                <c:pt idx="227">
                  <c:v>334.21754689982072</c:v>
                </c:pt>
                <c:pt idx="228">
                  <c:v>334.32517011061918</c:v>
                </c:pt>
                <c:pt idx="229">
                  <c:v>334.43298176834895</c:v>
                </c:pt>
                <c:pt idx="230">
                  <c:v>334.53749505724676</c:v>
                </c:pt>
                <c:pt idx="231">
                  <c:v>334.64567752990587</c:v>
                </c:pt>
                <c:pt idx="232">
                  <c:v>334.7505496719611</c:v>
                </c:pt>
                <c:pt idx="233">
                  <c:v>334.85910295954955</c:v>
                </c:pt>
                <c:pt idx="234">
                  <c:v>334.96784469406924</c:v>
                </c:pt>
                <c:pt idx="235">
                  <c:v>335.06622500908315</c:v>
                </c:pt>
                <c:pt idx="236">
                  <c:v>335.17532540066571</c:v>
                </c:pt>
                <c:pt idx="237">
                  <c:v>335.28108585135652</c:v>
                </c:pt>
                <c:pt idx="238">
                  <c:v>335.39055705786836</c:v>
                </c:pt>
                <c:pt idx="239">
                  <c:v>335.49667636171665</c:v>
                </c:pt>
                <c:pt idx="240">
                  <c:v>335.60651838315783</c:v>
                </c:pt>
                <c:pt idx="241">
                  <c:v>335.71654885153032</c:v>
                </c:pt>
                <c:pt idx="242">
                  <c:v>335.82320937653401</c:v>
                </c:pt>
                <c:pt idx="243">
                  <c:v>335.93361065983584</c:v>
                </c:pt>
                <c:pt idx="244">
                  <c:v>336.04063003799695</c:v>
                </c:pt>
                <c:pt idx="245">
                  <c:v>336.15140213622811</c:v>
                </c:pt>
                <c:pt idx="246">
                  <c:v>336.26236268139053</c:v>
                </c:pt>
                <c:pt idx="247">
                  <c:v>336.3627470834366</c:v>
                </c:pt>
                <c:pt idx="248">
                  <c:v>336.47406628566188</c:v>
                </c:pt>
                <c:pt idx="249">
                  <c:v>336.58197397245857</c:v>
                </c:pt>
                <c:pt idx="250">
                  <c:v>336.69366398961313</c:v>
                </c:pt>
                <c:pt idx="251">
                  <c:v>336.80193052956724</c:v>
                </c:pt>
                <c:pt idx="252">
                  <c:v>336.9139913616512</c:v>
                </c:pt>
                <c:pt idx="253">
                  <c:v>337.0262406406664</c:v>
                </c:pt>
                <c:pt idx="254">
                  <c:v>337.13504840177598</c:v>
                </c:pt>
                <c:pt idx="255">
                  <c:v>337.24766849572052</c:v>
                </c:pt>
                <c:pt idx="256">
                  <c:v>337.35683510998751</c:v>
                </c:pt>
                <c:pt idx="257">
                  <c:v>337.4698260188614</c:v>
                </c:pt>
                <c:pt idx="258">
                  <c:v>337.58300537466658</c:v>
                </c:pt>
                <c:pt idx="259">
                  <c:v>337.68905343886956</c:v>
                </c:pt>
                <c:pt idx="260">
                  <c:v>337.80259753067082</c:v>
                </c:pt>
                <c:pt idx="261">
                  <c:v>337.91265833641205</c:v>
                </c:pt>
                <c:pt idx="262">
                  <c:v>338.02657324314265</c:v>
                </c:pt>
                <c:pt idx="263">
                  <c:v>338.13699290204124</c:v>
                </c:pt>
                <c:pt idx="264">
                  <c:v>338.25127862370118</c:v>
                </c:pt>
                <c:pt idx="265">
                  <c:v>338.36575279229237</c:v>
                </c:pt>
                <c:pt idx="266">
                  <c:v>338.47671367234648</c:v>
                </c:pt>
                <c:pt idx="267">
                  <c:v>338.591558655867</c:v>
                </c:pt>
                <c:pt idx="268">
                  <c:v>338.70287838907853</c:v>
                </c:pt>
                <c:pt idx="269">
                  <c:v>338.8180941875284</c:v>
                </c:pt>
                <c:pt idx="270">
                  <c:v>338.93349843290957</c:v>
                </c:pt>
                <c:pt idx="271">
                  <c:v>339.03789649966933</c:v>
                </c:pt>
                <c:pt idx="272">
                  <c:v>339.15365940211331</c:v>
                </c:pt>
                <c:pt idx="273">
                  <c:v>339.26586744396036</c:v>
                </c:pt>
                <c:pt idx="274">
                  <c:v>339.38200116133368</c:v>
                </c:pt>
                <c:pt idx="275">
                  <c:v>339.49456805633821</c:v>
                </c:pt>
                <c:pt idx="276">
                  <c:v>339.61107258864081</c:v>
                </c:pt>
                <c:pt idx="277">
                  <c:v>339.72776556787477</c:v>
                </c:pt>
                <c:pt idx="278">
                  <c:v>339.8408736840347</c:v>
                </c:pt>
                <c:pt idx="279">
                  <c:v>339.95793747819801</c:v>
                </c:pt>
                <c:pt idx="280">
                  <c:v>340.07140444751536</c:v>
                </c:pt>
                <c:pt idx="281">
                  <c:v>340.188839056608</c:v>
                </c:pt>
                <c:pt idx="282">
                  <c:v>340.30646211263189</c:v>
                </c:pt>
                <c:pt idx="283">
                  <c:v>340.41286426642381</c:v>
                </c:pt>
                <c:pt idx="284">
                  <c:v>340.5308459795105</c:v>
                </c:pt>
                <c:pt idx="285">
                  <c:v>340.64520125746344</c:v>
                </c:pt>
                <c:pt idx="286">
                  <c:v>340.76355378547947</c:v>
                </c:pt>
                <c:pt idx="287">
                  <c:v>340.87826791658983</c:v>
                </c:pt>
                <c:pt idx="288">
                  <c:v>340.99699125953521</c:v>
                </c:pt>
                <c:pt idx="289">
                  <c:v>341.11590304941188</c:v>
                </c:pt>
                <c:pt idx="290">
                  <c:v>341.2311584016777</c:v>
                </c:pt>
                <c:pt idx="291">
                  <c:v>341.35044100648372</c:v>
                </c:pt>
                <c:pt idx="292">
                  <c:v>341.46605521190696</c:v>
                </c:pt>
                <c:pt idx="293">
                  <c:v>341.58570863164232</c:v>
                </c:pt>
                <c:pt idx="294">
                  <c:v>341.70555049830892</c:v>
                </c:pt>
                <c:pt idx="295">
                  <c:v>341.813956739133</c:v>
                </c:pt>
                <c:pt idx="296">
                  <c:v>341.93415726286241</c:v>
                </c:pt>
                <c:pt idx="297">
                  <c:v>342.05065977692124</c:v>
                </c:pt>
                <c:pt idx="298">
                  <c:v>342.17123111557999</c:v>
                </c:pt>
                <c:pt idx="299">
                  <c:v>342.28809248279623</c:v>
                </c:pt>
                <c:pt idx="300">
                  <c:v>342.40903463638432</c:v>
                </c:pt>
                <c:pt idx="301">
                  <c:v>342.53016523690371</c:v>
                </c:pt>
                <c:pt idx="302">
                  <c:v>342.64756782527542</c:v>
                </c:pt>
                <c:pt idx="303">
                  <c:v>342.76906924072415</c:v>
                </c:pt>
                <c:pt idx="304">
                  <c:v>342.88683068225328</c:v>
                </c:pt>
                <c:pt idx="305">
                  <c:v>343.00870291263129</c:v>
                </c:pt>
                <c:pt idx="306">
                  <c:v>343.13076358994067</c:v>
                </c:pt>
                <c:pt idx="307">
                  <c:v>343.24511998716372</c:v>
                </c:pt>
                <c:pt idx="308">
                  <c:v>343.36754540046917</c:v>
                </c:pt>
                <c:pt idx="309">
                  <c:v>343.48620103347253</c:v>
                </c:pt>
                <c:pt idx="310">
                  <c:v>343.60899726170726</c:v>
                </c:pt>
                <c:pt idx="311">
                  <c:v>343.72801174786798</c:v>
                </c:pt>
                <c:pt idx="312">
                  <c:v>343.85117879103211</c:v>
                </c:pt>
                <c:pt idx="313">
                  <c:v>343.97453428112749</c:v>
                </c:pt>
                <c:pt idx="314">
                  <c:v>344.09408998844373</c:v>
                </c:pt>
                <c:pt idx="315">
                  <c:v>344.21781629346845</c:v>
                </c:pt>
                <c:pt idx="316">
                  <c:v>344.33773085394205</c:v>
                </c:pt>
                <c:pt idx="317">
                  <c:v>344.46182797389611</c:v>
                </c:pt>
                <c:pt idx="318">
                  <c:v>344.58611354078153</c:v>
                </c:pt>
                <c:pt idx="319">
                  <c:v>344.69853344631923</c:v>
                </c:pt>
                <c:pt idx="320">
                  <c:v>344.82317767026734</c:v>
                </c:pt>
                <c:pt idx="321">
                  <c:v>344.94398053937658</c:v>
                </c:pt>
                <c:pt idx="322">
                  <c:v>345.06899557825409</c:v>
                </c:pt>
                <c:pt idx="323">
                  <c:v>345.1901573005207</c:v>
                </c:pt>
                <c:pt idx="324">
                  <c:v>345.31554315432754</c:v>
                </c:pt>
                <c:pt idx="325">
                  <c:v>345.44111745506564</c:v>
                </c:pt>
                <c:pt idx="326">
                  <c:v>345.5628203984877</c:v>
                </c:pt>
                <c:pt idx="327">
                  <c:v>345.68876551415519</c:v>
                </c:pt>
                <c:pt idx="328">
                  <c:v>345.81082731073462</c:v>
                </c:pt>
                <c:pt idx="329">
                  <c:v>345.93714324133146</c:v>
                </c:pt>
                <c:pt idx="330">
                  <c:v>346.06364761885953</c:v>
                </c:pt>
                <c:pt idx="331">
                  <c:v>346.1780716114294</c:v>
                </c:pt>
                <c:pt idx="332">
                  <c:v>346.30493464602029</c:v>
                </c:pt>
                <c:pt idx="333">
                  <c:v>346.42788475123535</c:v>
                </c:pt>
                <c:pt idx="334">
                  <c:v>346.55511860075558</c:v>
                </c:pt>
                <c:pt idx="335">
                  <c:v>346.67842755912807</c:v>
                </c:pt>
                <c:pt idx="336">
                  <c:v>346.80603222357763</c:v>
                </c:pt>
                <c:pt idx="337">
                  <c:v>346.9338253349585</c:v>
                </c:pt>
                <c:pt idx="338">
                  <c:v>347.05767551448639</c:v>
                </c:pt>
                <c:pt idx="339">
                  <c:v>347.1858394407966</c:v>
                </c:pt>
                <c:pt idx="340">
                  <c:v>347.31004847348197</c:v>
                </c:pt>
                <c:pt idx="341">
                  <c:v>347.43858321472146</c:v>
                </c:pt>
                <c:pt idx="342">
                  <c:v>347.56730640289231</c:v>
                </c:pt>
                <c:pt idx="343">
                  <c:v>347.68373448249429</c:v>
                </c:pt>
                <c:pt idx="344">
                  <c:v>347.81281632772794</c:v>
                </c:pt>
                <c:pt idx="345">
                  <c:v>347.93791366904884</c:v>
                </c:pt>
                <c:pt idx="346">
                  <c:v>348.06736632921184</c:v>
                </c:pt>
                <c:pt idx="347">
                  <c:v>348.19282252369015</c:v>
                </c:pt>
                <c:pt idx="348">
                  <c:v>348.32264599878249</c:v>
                </c:pt>
                <c:pt idx="349">
                  <c:v>348.45265792080602</c:v>
                </c:pt>
                <c:pt idx="350">
                  <c:v>348.57865533643985</c:v>
                </c:pt>
                <c:pt idx="351">
                  <c:v>348.70903807339278</c:v>
                </c:pt>
                <c:pt idx="352">
                  <c:v>348.83539434218397</c:v>
                </c:pt>
                <c:pt idx="353">
                  <c:v>348.96614789406624</c:v>
                </c:pt>
                <c:pt idx="354">
                  <c:v>349.09708989287981</c:v>
                </c:pt>
                <c:pt idx="355">
                  <c:v>349.21975462312287</c:v>
                </c:pt>
                <c:pt idx="356">
                  <c:v>349.35106135793251</c:v>
                </c:pt>
                <c:pt idx="357">
                  <c:v>349.47831181819794</c:v>
                </c:pt>
                <c:pt idx="358">
                  <c:v>349.60998936793692</c:v>
                </c:pt>
                <c:pt idx="359">
                  <c:v>349.73759868135977</c:v>
                </c:pt>
                <c:pt idx="360">
                  <c:v>349.86964704602804</c:v>
                </c:pt>
                <c:pt idx="361">
                  <c:v>350.00188385762766</c:v>
                </c:pt>
                <c:pt idx="362">
                  <c:v>350.13003439220597</c:v>
                </c:pt>
                <c:pt idx="363">
                  <c:v>350.26264201873488</c:v>
                </c:pt>
                <c:pt idx="364">
                  <c:v>350.39115140647061</c:v>
                </c:pt>
                <c:pt idx="365">
                  <c:v>350.52412984792886</c:v>
                </c:pt>
                <c:pt idx="366">
                  <c:v>350.65729673631841</c:v>
                </c:pt>
                <c:pt idx="367">
                  <c:v>350.77773848063407</c:v>
                </c:pt>
                <c:pt idx="368">
                  <c:v>350.91126402608643</c:v>
                </c:pt>
                <c:pt idx="369">
                  <c:v>351.04066172245774</c:v>
                </c:pt>
                <c:pt idx="370">
                  <c:v>351.17455808283944</c:v>
                </c:pt>
                <c:pt idx="371">
                  <c:v>351.30431463236818</c:v>
                </c:pt>
                <c:pt idx="372">
                  <c:v>351.43858180767916</c:v>
                </c:pt>
                <c:pt idx="373">
                  <c:v>351.5730374299215</c:v>
                </c:pt>
                <c:pt idx="374">
                  <c:v>351.70333520060569</c:v>
                </c:pt>
                <c:pt idx="375">
                  <c:v>351.83816163777732</c:v>
                </c:pt>
                <c:pt idx="376">
                  <c:v>351.96881826161894</c:v>
                </c:pt>
                <c:pt idx="377">
                  <c:v>352.1040155137199</c:v>
                </c:pt>
                <c:pt idx="378">
                  <c:v>352.23940121275223</c:v>
                </c:pt>
                <c:pt idx="379">
                  <c:v>352.36184704410005</c:v>
                </c:pt>
                <c:pt idx="380">
                  <c:v>352.49759140019512</c:v>
                </c:pt>
                <c:pt idx="381">
                  <c:v>352.62913633267226</c:v>
                </c:pt>
                <c:pt idx="382">
                  <c:v>352.76525150369673</c:v>
                </c:pt>
                <c:pt idx="383">
                  <c:v>352.89715528933129</c:v>
                </c:pt>
                <c:pt idx="384">
                  <c:v>353.03364127528505</c:v>
                </c:pt>
                <c:pt idx="385">
                  <c:v>353.17031570817011</c:v>
                </c:pt>
                <c:pt idx="386">
                  <c:v>353.30276071496013</c:v>
                </c:pt>
                <c:pt idx="387">
                  <c:v>353.43980596277447</c:v>
                </c:pt>
                <c:pt idx="388">
                  <c:v>353.57260982272197</c:v>
                </c:pt>
                <c:pt idx="389">
                  <c:v>353.71002588546565</c:v>
                </c:pt>
                <c:pt idx="390">
                  <c:v>353.8476303951407</c:v>
                </c:pt>
                <c:pt idx="391">
                  <c:v>353.97208031352068</c:v>
                </c:pt>
                <c:pt idx="392">
                  <c:v>354.11004348025847</c:v>
                </c:pt>
                <c:pt idx="393">
                  <c:v>354.24373564884149</c:v>
                </c:pt>
                <c:pt idx="394">
                  <c:v>354.38206963050868</c:v>
                </c:pt>
                <c:pt idx="395">
                  <c:v>354.51612065224913</c:v>
                </c:pt>
                <c:pt idx="396">
                  <c:v>354.6548254488456</c:v>
                </c:pt>
                <c:pt idx="397">
                  <c:v>354.79371869237337</c:v>
                </c:pt>
                <c:pt idx="398">
                  <c:v>354.92831093526928</c:v>
                </c:pt>
                <c:pt idx="399">
                  <c:v>355.0675749937264</c:v>
                </c:pt>
                <c:pt idx="400">
                  <c:v>355.20252608977972</c:v>
                </c:pt>
                <c:pt idx="401">
                  <c:v>355.34216096316618</c:v>
                </c:pt>
                <c:pt idx="402">
                  <c:v>355.48198428348394</c:v>
                </c:pt>
                <c:pt idx="403">
                  <c:v>355.61295734674707</c:v>
                </c:pt>
                <c:pt idx="404">
                  <c:v>355.75314540306084</c:v>
                </c:pt>
                <c:pt idx="405">
                  <c:v>355.8889906905884</c:v>
                </c:pt>
                <c:pt idx="406">
                  <c:v>356.02954956183157</c:v>
                </c:pt>
                <c:pt idx="407">
                  <c:v>356.16575370251655</c:v>
                </c:pt>
                <c:pt idx="408">
                  <c:v>356.30668338868901</c:v>
                </c:pt>
                <c:pt idx="409">
                  <c:v>356.44780152179277</c:v>
                </c:pt>
                <c:pt idx="410">
                  <c:v>356.58454688363321</c:v>
                </c:pt>
                <c:pt idx="411">
                  <c:v>356.72603583166631</c:v>
                </c:pt>
                <c:pt idx="412">
                  <c:v>356.86314004666417</c:v>
                </c:pt>
                <c:pt idx="413">
                  <c:v>357.00499980962661</c:v>
                </c:pt>
                <c:pt idx="414">
                  <c:v>357.1470480195203</c:v>
                </c:pt>
                <c:pt idx="415">
                  <c:v>357.27551160261402</c:v>
                </c:pt>
                <c:pt idx="416">
                  <c:v>357.41791846957051</c:v>
                </c:pt>
                <c:pt idx="417">
                  <c:v>357.55591099320395</c:v>
                </c:pt>
                <c:pt idx="418">
                  <c:v>357.69868867508984</c:v>
                </c:pt>
                <c:pt idx="419">
                  <c:v>357.83704005188065</c:v>
                </c:pt>
                <c:pt idx="420">
                  <c:v>357.98018854869588</c:v>
                </c:pt>
                <c:pt idx="421">
                  <c:v>358.12352549244235</c:v>
                </c:pt>
                <c:pt idx="422">
                  <c:v>358.26241809038868</c:v>
                </c:pt>
                <c:pt idx="423">
                  <c:v>358.40612584906449</c:v>
                </c:pt>
                <c:pt idx="424">
                  <c:v>358.54537730016818</c:v>
                </c:pt>
                <c:pt idx="425">
                  <c:v>358.6894558737734</c:v>
                </c:pt>
                <c:pt idx="426">
                  <c:v>358.83372289430986</c:v>
                </c:pt>
                <c:pt idx="427">
                  <c:v>358.96419056443563</c:v>
                </c:pt>
                <c:pt idx="428">
                  <c:v>359.10881624203489</c:v>
                </c:pt>
                <c:pt idx="429">
                  <c:v>359.24895600177422</c:v>
                </c:pt>
                <c:pt idx="430">
                  <c:v>359.39395249430282</c:v>
                </c:pt>
                <c:pt idx="431">
                  <c:v>359.53445110719952</c:v>
                </c:pt>
                <c:pt idx="432">
                  <c:v>359.67981841465746</c:v>
                </c:pt>
                <c:pt idx="433">
                  <c:v>359.82537416904665</c:v>
                </c:pt>
                <c:pt idx="434">
                  <c:v>359.96641400309886</c:v>
                </c:pt>
                <c:pt idx="435">
                  <c:v>360.11234057241739</c:v>
                </c:pt>
                <c:pt idx="436">
                  <c:v>360.25373925962697</c:v>
                </c:pt>
                <c:pt idx="437">
                  <c:v>360.4000366438749</c:v>
                </c:pt>
                <c:pt idx="438">
                  <c:v>360.54652247505408</c:v>
                </c:pt>
                <c:pt idx="439">
                  <c:v>360.67899423221206</c:v>
                </c:pt>
                <c:pt idx="440">
                  <c:v>360.82583872045404</c:v>
                </c:pt>
                <c:pt idx="441">
                  <c:v>360.9681257162992</c:v>
                </c:pt>
                <c:pt idx="442">
                  <c:v>361.11534101947052</c:v>
                </c:pt>
                <c:pt idx="443">
                  <c:v>361.2579868684731</c:v>
                </c:pt>
                <c:pt idx="444">
                  <c:v>361.40557298657376</c:v>
                </c:pt>
                <c:pt idx="445">
                  <c:v>361.55334755160573</c:v>
                </c:pt>
                <c:pt idx="446">
                  <c:v>361.69653462176376</c:v>
                </c:pt>
                <c:pt idx="447">
                  <c:v>361.84468000172507</c:v>
                </c:pt>
                <c:pt idx="448">
                  <c:v>361.98822592504047</c:v>
                </c:pt>
                <c:pt idx="449">
                  <c:v>362.13674211993111</c:v>
                </c:pt>
                <c:pt idx="450">
                  <c:v>362.28544676175306</c:v>
                </c:pt>
                <c:pt idx="451">
                  <c:v>362.42472815803626</c:v>
                </c:pt>
                <c:pt idx="452">
                  <c:v>362.57379753585423</c:v>
                </c:pt>
                <c:pt idx="453">
                  <c:v>362.71823765064391</c:v>
                </c:pt>
                <c:pt idx="454">
                  <c:v>362.86767784339122</c:v>
                </c:pt>
                <c:pt idx="455">
                  <c:v>363.01247681133827</c:v>
                </c:pt>
                <c:pt idx="456">
                  <c:v>363.16228781901498</c:v>
                </c:pt>
                <c:pt idx="457">
                  <c:v>363.31228727362293</c:v>
                </c:pt>
                <c:pt idx="458">
                  <c:v>363.45762746272544</c:v>
                </c:pt>
                <c:pt idx="459">
                  <c:v>363.60799773226273</c:v>
                </c:pt>
                <c:pt idx="460">
                  <c:v>363.75369677452272</c:v>
                </c:pt>
                <c:pt idx="461">
                  <c:v>363.90443785898935</c:v>
                </c:pt>
                <c:pt idx="462">
                  <c:v>364.05536739038723</c:v>
                </c:pt>
                <c:pt idx="463">
                  <c:v>364.1918528122589</c:v>
                </c:pt>
                <c:pt idx="464">
                  <c:v>364.34314100071964</c:v>
                </c:pt>
                <c:pt idx="465">
                  <c:v>364.48972835161516</c:v>
                </c:pt>
                <c:pt idx="466">
                  <c:v>364.64138735500524</c:v>
                </c:pt>
                <c:pt idx="467">
                  <c:v>364.78833355905817</c:v>
                </c:pt>
                <c:pt idx="468">
                  <c:v>364.94036337737754</c:v>
                </c:pt>
                <c:pt idx="469">
                  <c:v>365.09258164262826</c:v>
                </c:pt>
                <c:pt idx="470">
                  <c:v>365.24006906783666</c:v>
                </c:pt>
                <c:pt idx="471">
                  <c:v>365.39265814801666</c:v>
                </c:pt>
                <c:pt idx="472">
                  <c:v>365.54050442638254</c:v>
                </c:pt>
                <c:pt idx="473">
                  <c:v>365.69346432149183</c:v>
                </c:pt>
                <c:pt idx="474">
                  <c:v>365.84661266353248</c:v>
                </c:pt>
                <c:pt idx="475">
                  <c:v>365.98510217243631</c:v>
                </c:pt>
                <c:pt idx="476">
                  <c:v>366.13860917153977</c:v>
                </c:pt>
                <c:pt idx="477">
                  <c:v>366.28734375854117</c:v>
                </c:pt>
                <c:pt idx="478">
                  <c:v>366.44122157257391</c:v>
                </c:pt>
                <c:pt idx="479">
                  <c:v>366.59031501273273</c:v>
                </c:pt>
                <c:pt idx="480">
                  <c:v>366.74456364169487</c:v>
                </c:pt>
                <c:pt idx="481">
                  <c:v>366.89900071758831</c:v>
                </c:pt>
                <c:pt idx="482">
                  <c:v>367.04863537890253</c:v>
                </c:pt>
                <c:pt idx="483">
                  <c:v>367.20344326972531</c:v>
                </c:pt>
                <c:pt idx="484">
                  <c:v>367.35343678419702</c:v>
                </c:pt>
                <c:pt idx="485">
                  <c:v>367.50861548994908</c:v>
                </c:pt>
                <c:pt idx="486">
                  <c:v>367.66398264263245</c:v>
                </c:pt>
                <c:pt idx="487">
                  <c:v>367.80447623856844</c:v>
                </c:pt>
                <c:pt idx="488">
                  <c:v>367.96020204831461</c:v>
                </c:pt>
                <c:pt idx="489">
                  <c:v>368.11108387142184</c:v>
                </c:pt>
                <c:pt idx="490">
                  <c:v>368.26718049609741</c:v>
                </c:pt>
                <c:pt idx="491">
                  <c:v>368.41842117236206</c:v>
                </c:pt>
                <c:pt idx="492">
                  <c:v>368.57488861196691</c:v>
                </c:pt>
                <c:pt idx="493">
                  <c:v>368.73154449850307</c:v>
                </c:pt>
                <c:pt idx="494">
                  <c:v>368.88332639592323</c:v>
                </c:pt>
                <c:pt idx="495">
                  <c:v>369.04035309738867</c:v>
                </c:pt>
                <c:pt idx="496">
                  <c:v>369.19249384796626</c:v>
                </c:pt>
                <c:pt idx="497">
                  <c:v>369.34989136436104</c:v>
                </c:pt>
                <c:pt idx="498">
                  <c:v>369.50747732768718</c:v>
                </c:pt>
                <c:pt idx="499">
                  <c:v>369.65506705699039</c:v>
                </c:pt>
                <c:pt idx="500">
                  <c:v>369.81301775631255</c:v>
                </c:pt>
                <c:pt idx="501">
                  <c:v>369.96605269836436</c:v>
                </c:pt>
                <c:pt idx="502">
                  <c:v>370.12437421261586</c:v>
                </c:pt>
                <c:pt idx="503">
                  <c:v>370.2777680078251</c:v>
                </c:pt>
                <c:pt idx="504">
                  <c:v>370.43646033700594</c:v>
                </c:pt>
                <c:pt idx="505">
                  <c:v>370.59534111311808</c:v>
                </c:pt>
                <c:pt idx="506">
                  <c:v>370.74927612948272</c:v>
                </c:pt>
                <c:pt idx="507">
                  <c:v>370.90852772052421</c:v>
                </c:pt>
                <c:pt idx="508">
                  <c:v>371.06282159004627</c:v>
                </c:pt>
                <c:pt idx="509">
                  <c:v>371.22244399601709</c:v>
                </c:pt>
                <c:pt idx="510">
                  <c:v>371.38225484891916</c:v>
                </c:pt>
                <c:pt idx="511">
                  <c:v>371.52676210956878</c:v>
                </c:pt>
                <c:pt idx="512">
                  <c:v>371.68693161953371</c:v>
                </c:pt>
                <c:pt idx="513">
                  <c:v>371.84211379769135</c:v>
                </c:pt>
                <c:pt idx="514">
                  <c:v>372.00265412258562</c:v>
                </c:pt>
                <c:pt idx="515">
                  <c:v>372.15819515390069</c:v>
                </c:pt>
                <c:pt idx="516">
                  <c:v>372.31910629372425</c:v>
                </c:pt>
                <c:pt idx="517">
                  <c:v>372.48020588047916</c:v>
                </c:pt>
                <c:pt idx="518">
                  <c:v>372.63628813294963</c:v>
                </c:pt>
                <c:pt idx="519">
                  <c:v>372.79775853463389</c:v>
                </c:pt>
                <c:pt idx="520">
                  <c:v>372.95419964026178</c:v>
                </c:pt>
                <c:pt idx="521">
                  <c:v>373.11604085687532</c:v>
                </c:pt>
                <c:pt idx="522">
                  <c:v>373.27807052042016</c:v>
                </c:pt>
                <c:pt idx="523">
                  <c:v>373.42458186810194</c:v>
                </c:pt>
                <c:pt idx="524">
                  <c:v>373.58697018870953</c:v>
                </c:pt>
                <c:pt idx="525">
                  <c:v>373.74429960297311</c:v>
                </c:pt>
                <c:pt idx="526">
                  <c:v>373.90705873851005</c:v>
                </c:pt>
                <c:pt idx="527">
                  <c:v>374.064747005931</c:v>
                </c:pt>
                <c:pt idx="528">
                  <c:v>374.22787695639732</c:v>
                </c:pt>
                <c:pt idx="529">
                  <c:v>374.3911953537949</c:v>
                </c:pt>
                <c:pt idx="530">
                  <c:v>374.54942484237131</c:v>
                </c:pt>
                <c:pt idx="531">
                  <c:v>374.71311405469822</c:v>
                </c:pt>
                <c:pt idx="532">
                  <c:v>374.87170239643206</c:v>
                </c:pt>
                <c:pt idx="533">
                  <c:v>375.03576242368831</c:v>
                </c:pt>
                <c:pt idx="534">
                  <c:v>375.20001089787587</c:v>
                </c:pt>
                <c:pt idx="535">
                  <c:v>375.34852633258981</c:v>
                </c:pt>
                <c:pt idx="536">
                  <c:v>375.51313346384018</c:v>
                </c:pt>
                <c:pt idx="537">
                  <c:v>375.67261011420953</c:v>
                </c:pt>
                <c:pt idx="538">
                  <c:v>375.83758806038924</c:v>
                </c:pt>
                <c:pt idx="539">
                  <c:v>375.99742356391607</c:v>
                </c:pt>
                <c:pt idx="540">
                  <c:v>376.16277232502506</c:v>
                </c:pt>
                <c:pt idx="541">
                  <c:v>376.32830953306541</c:v>
                </c:pt>
                <c:pt idx="542">
                  <c:v>376.48868625774764</c:v>
                </c:pt>
                <c:pt idx="543">
                  <c:v>376.65459428071733</c:v>
                </c:pt>
                <c:pt idx="544">
                  <c:v>376.81532985855699</c:v>
                </c:pt>
                <c:pt idx="545">
                  <c:v>376.98160869645602</c:v>
                </c:pt>
                <c:pt idx="546">
                  <c:v>377.1480759812863</c:v>
                </c:pt>
                <c:pt idx="547">
                  <c:v>377.30397404360957</c:v>
                </c:pt>
                <c:pt idx="548">
                  <c:v>377.47080606443592</c:v>
                </c:pt>
                <c:pt idx="549">
                  <c:v>377.63243583374981</c:v>
                </c:pt>
                <c:pt idx="550">
                  <c:v>377.79963866950555</c:v>
                </c:pt>
                <c:pt idx="551">
                  <c:v>377.96162729197687</c:v>
                </c:pt>
                <c:pt idx="552">
                  <c:v>378.1292009426619</c:v>
                </c:pt>
                <c:pt idx="553">
                  <c:v>378.29696304027823</c:v>
                </c:pt>
                <c:pt idx="554">
                  <c:v>378.459492883905</c:v>
                </c:pt>
                <c:pt idx="555">
                  <c:v>378.62762579645062</c:v>
                </c:pt>
                <c:pt idx="556">
                  <c:v>378.79051449323487</c:v>
                </c:pt>
                <c:pt idx="557">
                  <c:v>378.95901822070982</c:v>
                </c:pt>
                <c:pt idx="558">
                  <c:v>379.12771039511614</c:v>
                </c:pt>
                <c:pt idx="559">
                  <c:v>379.28023949454371</c:v>
                </c:pt>
                <c:pt idx="560">
                  <c:v>379.44929032601283</c:v>
                </c:pt>
                <c:pt idx="561">
                  <c:v>379.6130673314326</c:v>
                </c:pt>
                <c:pt idx="562">
                  <c:v>379.78248897783101</c:v>
                </c:pt>
                <c:pt idx="563">
                  <c:v>379.9466248364082</c:v>
                </c:pt>
                <c:pt idx="564">
                  <c:v>380.11641729773595</c:v>
                </c:pt>
                <c:pt idx="565">
                  <c:v>380.28639820599506</c:v>
                </c:pt>
                <c:pt idx="566">
                  <c:v>380.45107528572765</c:v>
                </c:pt>
                <c:pt idx="567">
                  <c:v>380.62142700891604</c:v>
                </c:pt>
                <c:pt idx="568">
                  <c:v>380.78646294180612</c:v>
                </c:pt>
                <c:pt idx="569">
                  <c:v>380.95718547992385</c:v>
                </c:pt>
                <c:pt idx="570">
                  <c:v>381.12809646497283</c:v>
                </c:pt>
                <c:pt idx="571">
                  <c:v>381.28262965143256</c:v>
                </c:pt>
                <c:pt idx="572">
                  <c:v>381.4538992935444</c:v>
                </c:pt>
                <c:pt idx="573">
                  <c:v>381.61982353507005</c:v>
                </c:pt>
                <c:pt idx="574">
                  <c:v>381.79146399211123</c:v>
                </c:pt>
                <c:pt idx="575">
                  <c:v>381.95774708679426</c:v>
                </c:pt>
                <c:pt idx="576">
                  <c:v>382.12975835876478</c:v>
                </c:pt>
                <c:pt idx="577">
                  <c:v>382.30195807766654</c:v>
                </c:pt>
                <c:pt idx="578">
                  <c:v>382.46878239350502</c:v>
                </c:pt>
                <c:pt idx="579">
                  <c:v>382.64135292733613</c:v>
                </c:pt>
                <c:pt idx="580">
                  <c:v>382.80853609633209</c:v>
                </c:pt>
                <c:pt idx="581">
                  <c:v>382.98147744509254</c:v>
                </c:pt>
                <c:pt idx="582">
                  <c:v>383.15460724078429</c:v>
                </c:pt>
                <c:pt idx="583">
                  <c:v>383.31114451427618</c:v>
                </c:pt>
                <c:pt idx="584">
                  <c:v>383.48463296703073</c:v>
                </c:pt>
                <c:pt idx="585">
                  <c:v>383.65270444466222</c:v>
                </c:pt>
                <c:pt idx="586">
                  <c:v>383.82656371234611</c:v>
                </c:pt>
                <c:pt idx="587">
                  <c:v>383.99499404313502</c:v>
                </c:pt>
                <c:pt idx="588">
                  <c:v>384.16922412574826</c:v>
                </c:pt>
                <c:pt idx="589">
                  <c:v>384.34364265529274</c:v>
                </c:pt>
                <c:pt idx="590">
                  <c:v>384.51261420723711</c:v>
                </c:pt>
                <c:pt idx="591">
                  <c:v>384.68740355171099</c:v>
                </c:pt>
                <c:pt idx="592">
                  <c:v>384.85673395681277</c:v>
                </c:pt>
                <c:pt idx="593">
                  <c:v>385.03189411621599</c:v>
                </c:pt>
                <c:pt idx="594">
                  <c:v>385.2072427225504</c:v>
                </c:pt>
                <c:pt idx="595">
                  <c:v>385.37144911789375</c:v>
                </c:pt>
                <c:pt idx="596">
                  <c:v>385.54716246022434</c:v>
                </c:pt>
                <c:pt idx="597">
                  <c:v>385.71738705680036</c:v>
                </c:pt>
                <c:pt idx="598">
                  <c:v>385.89347121406024</c:v>
                </c:pt>
                <c:pt idx="599">
                  <c:v>386.06405466379363</c:v>
                </c:pt>
                <c:pt idx="600">
                  <c:v>386.24050963598285</c:v>
                </c:pt>
                <c:pt idx="601">
                  <c:v>386.41715305510337</c:v>
                </c:pt>
                <c:pt idx="602">
                  <c:v>386.58827772599227</c:v>
                </c:pt>
                <c:pt idx="603">
                  <c:v>386.76529196004213</c:v>
                </c:pt>
                <c:pt idx="604">
                  <c:v>386.9367754840884</c:v>
                </c:pt>
                <c:pt idx="605">
                  <c:v>387.1141605330676</c:v>
                </c:pt>
                <c:pt idx="606">
                  <c:v>387.29173402897806</c:v>
                </c:pt>
                <c:pt idx="607">
                  <c:v>387.45228496718363</c:v>
                </c:pt>
                <c:pt idx="608">
                  <c:v>387.63021712015694</c:v>
                </c:pt>
                <c:pt idx="609">
                  <c:v>387.80258895283879</c:v>
                </c:pt>
                <c:pt idx="610">
                  <c:v>387.98089192074144</c:v>
                </c:pt>
                <c:pt idx="611">
                  <c:v>388.15362260658071</c:v>
                </c:pt>
                <c:pt idx="612">
                  <c:v>388.33229638941265</c:v>
                </c:pt>
                <c:pt idx="613">
                  <c:v>388.51115861917589</c:v>
                </c:pt>
                <c:pt idx="614">
                  <c:v>388.68443052617067</c:v>
                </c:pt>
                <c:pt idx="615">
                  <c:v>388.8636635708632</c:v>
                </c:pt>
                <c:pt idx="616">
                  <c:v>389.0372943310154</c:v>
                </c:pt>
                <c:pt idx="617">
                  <c:v>389.21689819063732</c:v>
                </c:pt>
                <c:pt idx="618">
                  <c:v>389.39669049719055</c:v>
                </c:pt>
                <c:pt idx="619">
                  <c:v>389.55924552242823</c:v>
                </c:pt>
                <c:pt idx="620">
                  <c:v>389.73939648604426</c:v>
                </c:pt>
                <c:pt idx="621">
                  <c:v>389.91391555483199</c:v>
                </c:pt>
                <c:pt idx="622">
                  <c:v>390.09443733337736</c:v>
                </c:pt>
                <c:pt idx="623">
                  <c:v>390.26931525532251</c:v>
                </c:pt>
                <c:pt idx="624">
                  <c:v>390.45020784879716</c:v>
                </c:pt>
                <c:pt idx="625">
                  <c:v>390.63128888920318</c:v>
                </c:pt>
                <c:pt idx="626">
                  <c:v>390.80670803230373</c:v>
                </c:pt>
                <c:pt idx="627">
                  <c:v>390.98815988763909</c:v>
                </c:pt>
                <c:pt idx="628">
                  <c:v>391.16393788389712</c:v>
                </c:pt>
                <c:pt idx="629">
                  <c:v>391.34576055416176</c:v>
                </c:pt>
                <c:pt idx="630">
                  <c:v>391.5277716713577</c:v>
                </c:pt>
                <c:pt idx="631">
                  <c:v>391.69233078362754</c:v>
                </c:pt>
                <c:pt idx="632">
                  <c:v>391.87470055788629</c:v>
                </c:pt>
                <c:pt idx="633">
                  <c:v>392.0513668627799</c:v>
                </c:pt>
                <c:pt idx="634">
                  <c:v>392.23410745196799</c:v>
                </c:pt>
                <c:pt idx="635">
                  <c:v>392.41113261001902</c:v>
                </c:pt>
                <c:pt idx="636">
                  <c:v>392.59424401413639</c:v>
                </c:pt>
                <c:pt idx="637">
                  <c:v>392.77754386518512</c:v>
                </c:pt>
                <c:pt idx="638">
                  <c:v>392.95511024439162</c:v>
                </c:pt>
                <c:pt idx="639">
                  <c:v>393.13878091036963</c:v>
                </c:pt>
                <c:pt idx="640">
                  <c:v>393.31670614273355</c:v>
                </c:pt>
                <c:pt idx="641">
                  <c:v>393.5007476236409</c:v>
                </c:pt>
                <c:pt idx="642">
                  <c:v>393.68497755147956</c:v>
                </c:pt>
                <c:pt idx="643">
                  <c:v>393.85749227984297</c:v>
                </c:pt>
                <c:pt idx="644">
                  <c:v>394.0420869436777</c:v>
                </c:pt>
                <c:pt idx="645">
                  <c:v>394.22090636751585</c:v>
                </c:pt>
                <c:pt idx="646">
                  <c:v>394.40587184627987</c:v>
                </c:pt>
                <c:pt idx="647">
                  <c:v>394.58505012327544</c:v>
                </c:pt>
                <c:pt idx="648">
                  <c:v>394.77038641696885</c:v>
                </c:pt>
                <c:pt idx="649">
                  <c:v>394.9559111575935</c:v>
                </c:pt>
                <c:pt idx="650">
                  <c:v>395.13563065574454</c:v>
                </c:pt>
                <c:pt idx="651">
                  <c:v>395.32152621129859</c:v>
                </c:pt>
                <c:pt idx="652">
                  <c:v>395.50160456260699</c:v>
                </c:pt>
                <c:pt idx="653">
                  <c:v>395.68787093309038</c:v>
                </c:pt>
                <c:pt idx="654">
                  <c:v>395.87432575050502</c:v>
                </c:pt>
                <c:pt idx="655">
                  <c:v>396.04289852748855</c:v>
                </c:pt>
                <c:pt idx="656">
                  <c:v>396.22971200196605</c:v>
                </c:pt>
                <c:pt idx="657">
                  <c:v>396.41067866191003</c:v>
                </c:pt>
                <c:pt idx="658">
                  <c:v>396.59786295131687</c:v>
                </c:pt>
                <c:pt idx="659">
                  <c:v>396.77918846441827</c:v>
                </c:pt>
                <c:pt idx="660">
                  <c:v>396.96674356875434</c:v>
                </c:pt>
                <c:pt idx="661">
                  <c:v>397.15448712002183</c:v>
                </c:pt>
                <c:pt idx="662">
                  <c:v>397.33635385427868</c:v>
                </c:pt>
                <c:pt idx="663">
                  <c:v>397.52446822047546</c:v>
                </c:pt>
                <c:pt idx="664">
                  <c:v>397.70669380788974</c:v>
                </c:pt>
                <c:pt idx="665">
                  <c:v>397.89517898901585</c:v>
                </c:pt>
                <c:pt idx="666">
                  <c:v>398.08385261707321</c:v>
                </c:pt>
                <c:pt idx="667">
                  <c:v>398.25442948108889</c:v>
                </c:pt>
                <c:pt idx="668">
                  <c:v>398.44346176620911</c:v>
                </c:pt>
                <c:pt idx="669">
                  <c:v>398.62657566225897</c:v>
                </c:pt>
                <c:pt idx="670">
                  <c:v>398.81597876230848</c:v>
                </c:pt>
                <c:pt idx="671">
                  <c:v>398.99945151151576</c:v>
                </c:pt>
                <c:pt idx="672">
                  <c:v>399.18922542649466</c:v>
                </c:pt>
                <c:pt idx="673">
                  <c:v>399.37918778840481</c:v>
                </c:pt>
                <c:pt idx="674">
                  <c:v>399.56320175876749</c:v>
                </c:pt>
                <c:pt idx="675">
                  <c:v>399.75353493560704</c:v>
                </c:pt>
                <c:pt idx="676">
                  <c:v>399.93790775912714</c:v>
                </c:pt>
                <c:pt idx="677">
                  <c:v>400.12861175089597</c:v>
                </c:pt>
                <c:pt idx="678">
                  <c:v>400.31950418959616</c:v>
                </c:pt>
                <c:pt idx="679">
                  <c:v>400.49208514064395</c:v>
                </c:pt>
                <c:pt idx="680">
                  <c:v>400.68333623640683</c:v>
                </c:pt>
                <c:pt idx="681">
                  <c:v>400.86859736856263</c:v>
                </c:pt>
                <c:pt idx="682">
                  <c:v>401.06021927925485</c:v>
                </c:pt>
                <c:pt idx="683">
                  <c:v>401.24583926456802</c:v>
                </c:pt>
                <c:pt idx="684">
                  <c:v>401.43783199018958</c:v>
                </c:pt>
                <c:pt idx="685">
                  <c:v>401.6300131627425</c:v>
                </c:pt>
                <c:pt idx="686">
                  <c:v>401.81617436921113</c:v>
                </c:pt>
                <c:pt idx="687">
                  <c:v>402.00872635669333</c:v>
                </c:pt>
                <c:pt idx="688">
                  <c:v>402.19524641631938</c:v>
                </c:pt>
                <c:pt idx="689">
                  <c:v>402.38816921873087</c:v>
                </c:pt>
                <c:pt idx="690">
                  <c:v>402.58128046807371</c:v>
                </c:pt>
                <c:pt idx="691">
                  <c:v>402.76210352945714</c:v>
                </c:pt>
                <c:pt idx="692">
                  <c:v>402.95557951479611</c:v>
                </c:pt>
                <c:pt idx="693">
                  <c:v>403.14299376589628</c:v>
                </c:pt>
                <c:pt idx="694">
                  <c:v>403.3368405661646</c:v>
                </c:pt>
                <c:pt idx="695">
                  <c:v>403.52461367042224</c:v>
                </c:pt>
                <c:pt idx="696">
                  <c:v>403.71883128561979</c:v>
                </c:pt>
                <c:pt idx="697">
                  <c:v>403.91323734774869</c:v>
                </c:pt>
                <c:pt idx="698">
                  <c:v>404.10155167316185</c:v>
                </c:pt>
                <c:pt idx="699">
                  <c:v>404.29632855022004</c:v>
                </c:pt>
                <c:pt idx="700">
                  <c:v>404.48500172879062</c:v>
                </c:pt>
                <c:pt idx="701">
                  <c:v>404.68014942077815</c:v>
                </c:pt>
                <c:pt idx="702">
                  <c:v>404.87548555969698</c:v>
                </c:pt>
                <c:pt idx="703">
                  <c:v>405.05208017545851</c:v>
                </c:pt>
                <c:pt idx="704">
                  <c:v>405.24777497144015</c:v>
                </c:pt>
                <c:pt idx="705">
                  <c:v>405.43733645864626</c:v>
                </c:pt>
                <c:pt idx="706">
                  <c:v>405.63340206955729</c:v>
                </c:pt>
                <c:pt idx="707">
                  <c:v>405.82332240992076</c:v>
                </c:pt>
                <c:pt idx="708">
                  <c:v>406.01975883576108</c:v>
                </c:pt>
                <c:pt idx="709">
                  <c:v>406.21638370853276</c:v>
                </c:pt>
                <c:pt idx="710">
                  <c:v>406.40684527005169</c:v>
                </c:pt>
                <c:pt idx="711">
                  <c:v>406.60384095775265</c:v>
                </c:pt>
                <c:pt idx="712">
                  <c:v>406.79466137242906</c:v>
                </c:pt>
                <c:pt idx="713">
                  <c:v>406.99202787505931</c:v>
                </c:pt>
                <c:pt idx="714">
                  <c:v>407.18958282462091</c:v>
                </c:pt>
                <c:pt idx="715">
                  <c:v>407.36818152741455</c:v>
                </c:pt>
                <c:pt idx="716">
                  <c:v>407.56609513403896</c:v>
                </c:pt>
                <c:pt idx="717">
                  <c:v>407.75780385735095</c:v>
                </c:pt>
                <c:pt idx="718">
                  <c:v>407.95608827890464</c:v>
                </c:pt>
                <c:pt idx="719">
                  <c:v>408.14815585537406</c:v>
                </c:pt>
                <c:pt idx="720">
                  <c:v>408.34681109185709</c:v>
                </c:pt>
                <c:pt idx="721">
                  <c:v>408.54565477527143</c:v>
                </c:pt>
                <c:pt idx="722">
                  <c:v>408.7382635728963</c:v>
                </c:pt>
                <c:pt idx="723">
                  <c:v>408.93747807123992</c:v>
                </c:pt>
                <c:pt idx="724">
                  <c:v>409.13044572202222</c:v>
                </c:pt>
                <c:pt idx="725">
                  <c:v>409.33003103529524</c:v>
                </c:pt>
                <c:pt idx="726">
                  <c:v>409.52980479549956</c:v>
                </c:pt>
                <c:pt idx="727">
                  <c:v>409.71040758532536</c:v>
                </c:pt>
                <c:pt idx="728">
                  <c:v>409.91054000259248</c:v>
                </c:pt>
                <c:pt idx="729">
                  <c:v>410.1043959620103</c:v>
                </c:pt>
                <c:pt idx="730">
                  <c:v>410.30489919420671</c:v>
                </c:pt>
                <c:pt idx="731">
                  <c:v>410.49911400678201</c:v>
                </c:pt>
                <c:pt idx="732">
                  <c:v>410.69998805390776</c:v>
                </c:pt>
                <c:pt idx="733">
                  <c:v>410.90105054796481</c:v>
                </c:pt>
                <c:pt idx="734">
                  <c:v>411.09580658169557</c:v>
                </c:pt>
                <c:pt idx="735">
                  <c:v>411.29723989068202</c:v>
                </c:pt>
                <c:pt idx="736">
                  <c:v>411.49235477757014</c:v>
                </c:pt>
                <c:pt idx="737">
                  <c:v>411.69415890148588</c:v>
                </c:pt>
                <c:pt idx="738">
                  <c:v>411.89615147233292</c:v>
                </c:pt>
                <c:pt idx="739">
                  <c:v>412.08528286673641</c:v>
                </c:pt>
                <c:pt idx="740">
                  <c:v>412.28764017357946</c:v>
                </c:pt>
                <c:pt idx="741">
                  <c:v>412.48364925194181</c:v>
                </c:pt>
                <c:pt idx="742">
                  <c:v>412.68637737371427</c:v>
                </c:pt>
                <c:pt idx="743">
                  <c:v>412.88274530523404</c:v>
                </c:pt>
                <c:pt idx="744">
                  <c:v>413.08584424193583</c:v>
                </c:pt>
                <c:pt idx="745">
                  <c:v>413.28913162556893</c:v>
                </c:pt>
                <c:pt idx="746">
                  <c:v>413.48604077824416</c:v>
                </c:pt>
                <c:pt idx="747">
                  <c:v>413.68969897680654</c:v>
                </c:pt>
                <c:pt idx="748">
                  <c:v>413.88696698263919</c:v>
                </c:pt>
                <c:pt idx="749">
                  <c:v>414.09099599613091</c:v>
                </c:pt>
                <c:pt idx="750">
                  <c:v>414.29521345655394</c:v>
                </c:pt>
                <c:pt idx="751">
                  <c:v>414.47982991109342</c:v>
                </c:pt>
                <c:pt idx="752">
                  <c:v>414.6844060285793</c:v>
                </c:pt>
                <c:pt idx="753">
                  <c:v>414.88256234304754</c:v>
                </c:pt>
                <c:pt idx="754">
                  <c:v>415.08750927546271</c:v>
                </c:pt>
                <c:pt idx="755">
                  <c:v>415.28602444308831</c:v>
                </c:pt>
                <c:pt idx="756">
                  <c:v>415.49134219043282</c:v>
                </c:pt>
                <c:pt idx="757">
                  <c:v>415.69684838470857</c:v>
                </c:pt>
                <c:pt idx="758">
                  <c:v>415.89590477348975</c:v>
                </c:pt>
                <c:pt idx="759">
                  <c:v>416.10178178269484</c:v>
                </c:pt>
                <c:pt idx="760">
                  <c:v>416.30119702463338</c:v>
                </c:pt>
                <c:pt idx="761">
                  <c:v>416.50744484876782</c:v>
                </c:pt>
                <c:pt idx="762">
                  <c:v>416.71388111983362</c:v>
                </c:pt>
                <c:pt idx="763">
                  <c:v>416.90050166140526</c:v>
                </c:pt>
                <c:pt idx="764">
                  <c:v>417.1072965895338</c:v>
                </c:pt>
                <c:pt idx="765">
                  <c:v>417.30760014010787</c:v>
                </c:pt>
                <c:pt idx="766">
                  <c:v>417.51476588316581</c:v>
                </c:pt>
                <c:pt idx="767">
                  <c:v>417.71542828689735</c:v>
                </c:pt>
                <c:pt idx="768">
                  <c:v>417.92296484488452</c:v>
                </c:pt>
                <c:pt idx="769">
                  <c:v>418.13068984980305</c:v>
                </c:pt>
                <c:pt idx="770">
                  <c:v>418.33189347469005</c:v>
                </c:pt>
                <c:pt idx="771">
                  <c:v>418.53998929453792</c:v>
                </c:pt>
                <c:pt idx="772">
                  <c:v>418.74155177258228</c:v>
                </c:pt>
                <c:pt idx="773">
                  <c:v>418.95001840735949</c:v>
                </c:pt>
                <c:pt idx="774">
                  <c:v>419.15867348906795</c:v>
                </c:pt>
                <c:pt idx="775">
                  <c:v>419.34729811767176</c:v>
                </c:pt>
                <c:pt idx="776">
                  <c:v>419.55631185644307</c:v>
                </c:pt>
                <c:pt idx="777">
                  <c:v>419.75876264312302</c:v>
                </c:pt>
                <c:pt idx="778">
                  <c:v>419.96814719682362</c:v>
                </c:pt>
                <c:pt idx="779">
                  <c:v>420.17095683666105</c:v>
                </c:pt>
                <c:pt idx="780">
                  <c:v>420.38071220529099</c:v>
                </c:pt>
                <c:pt idx="781">
                  <c:v>420.59065602085224</c:v>
                </c:pt>
                <c:pt idx="782">
                  <c:v>420.79400688184506</c:v>
                </c:pt>
                <c:pt idx="783">
                  <c:v>421.00432151233565</c:v>
                </c:pt>
                <c:pt idx="784">
                  <c:v>421.2080312264859</c:v>
                </c:pt>
                <c:pt idx="785">
                  <c:v>421.41871667190583</c:v>
                </c:pt>
                <c:pt idx="786">
                  <c:v>421.62959056425711</c:v>
                </c:pt>
                <c:pt idx="787">
                  <c:v>421.82703029168056</c:v>
                </c:pt>
                <c:pt idx="788">
                  <c:v>422.03826892002786</c:v>
                </c:pt>
                <c:pt idx="789">
                  <c:v>422.24287282565234</c:v>
                </c:pt>
                <c:pt idx="790">
                  <c:v>422.45448226892898</c:v>
                </c:pt>
                <c:pt idx="791">
                  <c:v>422.65944502771083</c:v>
                </c:pt>
                <c:pt idx="792">
                  <c:v>422.87142528591681</c:v>
                </c:pt>
                <c:pt idx="793">
                  <c:v>423.0835939910541</c:v>
                </c:pt>
                <c:pt idx="794">
                  <c:v>423.28909797099141</c:v>
                </c:pt>
                <c:pt idx="795">
                  <c:v>423.50163749105803</c:v>
                </c:pt>
                <c:pt idx="796">
                  <c:v>423.70750032415282</c:v>
                </c:pt>
                <c:pt idx="797">
                  <c:v>423.92041065914867</c:v>
                </c:pt>
                <c:pt idx="798">
                  <c:v>424.13350944107594</c:v>
                </c:pt>
                <c:pt idx="799">
                  <c:v>424.32614773439337</c:v>
                </c:pt>
                <c:pt idx="800">
                  <c:v>424.53960517338345</c:v>
                </c:pt>
                <c:pt idx="801">
                  <c:v>424.74635631511376</c:v>
                </c:pt>
                <c:pt idx="802">
                  <c:v>424.96018456903312</c:v>
                </c:pt>
                <c:pt idx="803">
                  <c:v>425.1672945639209</c:v>
                </c:pt>
                <c:pt idx="804">
                  <c:v>425.38149363276955</c:v>
                </c:pt>
                <c:pt idx="805">
                  <c:v>425.59588114854955</c:v>
                </c:pt>
                <c:pt idx="806">
                  <c:v>425.80353236459274</c:v>
                </c:pt>
                <c:pt idx="807">
                  <c:v>426.01829069530208</c:v>
                </c:pt>
                <c:pt idx="808">
                  <c:v>426.2263007645027</c:v>
                </c:pt>
                <c:pt idx="809">
                  <c:v>426.44142991014138</c:v>
                </c:pt>
                <c:pt idx="810">
                  <c:v>426.65674750271131</c:v>
                </c:pt>
                <c:pt idx="811">
                  <c:v>426.85138988306096</c:v>
                </c:pt>
                <c:pt idx="812">
                  <c:v>427.06706613269364</c:v>
                </c:pt>
                <c:pt idx="813">
                  <c:v>427.27596451052989</c:v>
                </c:pt>
                <c:pt idx="814">
                  <c:v>427.49201157509196</c:v>
                </c:pt>
                <c:pt idx="815">
                  <c:v>427.70126880608558</c:v>
                </c:pt>
                <c:pt idx="816">
                  <c:v>427.917686685577</c:v>
                </c:pt>
                <c:pt idx="817">
                  <c:v>428.13429301199972</c:v>
                </c:pt>
                <c:pt idx="818">
                  <c:v>428.34409146414879</c:v>
                </c:pt>
                <c:pt idx="819">
                  <c:v>428.56106860550085</c:v>
                </c:pt>
                <c:pt idx="820">
                  <c:v>428.7712259108074</c:v>
                </c:pt>
                <c:pt idx="821">
                  <c:v>428.98857386708875</c:v>
                </c:pt>
                <c:pt idx="822">
                  <c:v>429.20611027030145</c:v>
                </c:pt>
                <c:pt idx="823">
                  <c:v>429.40275673768315</c:v>
                </c:pt>
                <c:pt idx="824">
                  <c:v>429.62065179795866</c:v>
                </c:pt>
                <c:pt idx="825">
                  <c:v>429.83169741190073</c:v>
                </c:pt>
                <c:pt idx="826">
                  <c:v>430.04996328710553</c:v>
                </c:pt>
                <c:pt idx="827">
                  <c:v>430.26136775420503</c:v>
                </c:pt>
                <c:pt idx="828">
                  <c:v>430.48000444433916</c:v>
                </c:pt>
                <c:pt idx="829">
                  <c:v>430.69882958140465</c:v>
                </c:pt>
                <c:pt idx="830">
                  <c:v>430.91077526965955</c:v>
                </c:pt>
                <c:pt idx="831">
                  <c:v>431.12997122165439</c:v>
                </c:pt>
                <c:pt idx="832">
                  <c:v>431.34227576306671</c:v>
                </c:pt>
                <c:pt idx="833">
                  <c:v>431.56184252999083</c:v>
                </c:pt>
                <c:pt idx="834">
                  <c:v>431.78159774384619</c:v>
                </c:pt>
                <c:pt idx="835">
                  <c:v>431.98734580428976</c:v>
                </c:pt>
                <c:pt idx="836">
                  <c:v>432.20746575414125</c:v>
                </c:pt>
                <c:pt idx="837">
                  <c:v>432.42066448702786</c:v>
                </c:pt>
                <c:pt idx="838">
                  <c:v>432.64115525180864</c:v>
                </c:pt>
                <c:pt idx="839">
                  <c:v>432.85471283785267</c:v>
                </c:pt>
                <c:pt idx="840">
                  <c:v>433.07557441756285</c:v>
                </c:pt>
                <c:pt idx="841">
                  <c:v>433.29662444420421</c:v>
                </c:pt>
                <c:pt idx="842">
                  <c:v>433.51072325140376</c:v>
                </c:pt>
                <c:pt idx="843">
                  <c:v>433.73214409297452</c:v>
                </c:pt>
                <c:pt idx="844">
                  <c:v>433.94660175333138</c:v>
                </c:pt>
                <c:pt idx="845">
                  <c:v>434.16839340983148</c:v>
                </c:pt>
                <c:pt idx="846">
                  <c:v>434.39037351326294</c:v>
                </c:pt>
                <c:pt idx="847">
                  <c:v>434.59103364535838</c:v>
                </c:pt>
                <c:pt idx="848">
                  <c:v>434.81337240585253</c:v>
                </c:pt>
                <c:pt idx="849">
                  <c:v>435.02871837484497</c:v>
                </c:pt>
                <c:pt idx="850">
                  <c:v>435.25142795026858</c:v>
                </c:pt>
                <c:pt idx="851">
                  <c:v>435.46713277241844</c:v>
                </c:pt>
                <c:pt idx="852">
                  <c:v>435.69021316277127</c:v>
                </c:pt>
                <c:pt idx="853">
                  <c:v>435.91348200005547</c:v>
                </c:pt>
                <c:pt idx="854">
                  <c:v>436.12972804336079</c:v>
                </c:pt>
                <c:pt idx="855">
                  <c:v>436.35336769557432</c:v>
                </c:pt>
                <c:pt idx="856">
                  <c:v>436.56997259203706</c:v>
                </c:pt>
                <c:pt idx="857">
                  <c:v>436.79398305917988</c:v>
                </c:pt>
                <c:pt idx="858">
                  <c:v>437.018181973254</c:v>
                </c:pt>
                <c:pt idx="859">
                  <c:v>437.2208461923816</c:v>
                </c:pt>
                <c:pt idx="860">
                  <c:v>437.44540376351858</c:v>
                </c:pt>
                <c:pt idx="861">
                  <c:v>437.66289696861691</c:v>
                </c:pt>
                <c:pt idx="862">
                  <c:v>437.88782535468312</c:v>
                </c:pt>
                <c:pt idx="863">
                  <c:v>438.10567741293892</c:v>
                </c:pt>
                <c:pt idx="864">
                  <c:v>438.33097661393447</c:v>
                </c:pt>
                <c:pt idx="865">
                  <c:v>438.55646426186138</c:v>
                </c:pt>
                <c:pt idx="866">
                  <c:v>438.77485754127258</c:v>
                </c:pt>
                <c:pt idx="867">
                  <c:v>439.00071600412883</c:v>
                </c:pt>
                <c:pt idx="868">
                  <c:v>439.2194681366974</c:v>
                </c:pt>
                <c:pt idx="869">
                  <c:v>439.44569741448299</c:v>
                </c:pt>
                <c:pt idx="870">
                  <c:v>439.67211513919989</c:v>
                </c:pt>
                <c:pt idx="871">
                  <c:v>439.87678344535959</c:v>
                </c:pt>
                <c:pt idx="872">
                  <c:v>440.10355982713924</c:v>
                </c:pt>
                <c:pt idx="873">
                  <c:v>440.32320026834344</c:v>
                </c:pt>
                <c:pt idx="874">
                  <c:v>440.55034746505248</c:v>
                </c:pt>
                <c:pt idx="875">
                  <c:v>440.77034675941405</c:v>
                </c:pt>
                <c:pt idx="876">
                  <c:v>440.99786477105238</c:v>
                </c:pt>
                <c:pt idx="877">
                  <c:v>441.22557122962201</c:v>
                </c:pt>
                <c:pt idx="878">
                  <c:v>441.44611174513909</c:v>
                </c:pt>
                <c:pt idx="879">
                  <c:v>441.67418901863806</c:v>
                </c:pt>
                <c:pt idx="880">
                  <c:v>441.89508838731251</c:v>
                </c:pt>
                <c:pt idx="881">
                  <c:v>442.12353647574082</c:v>
                </c:pt>
                <c:pt idx="882">
                  <c:v>442.35217301110043</c:v>
                </c:pt>
                <c:pt idx="883">
                  <c:v>442.56622940456401</c:v>
                </c:pt>
                <c:pt idx="884">
                  <c:v>442.7952306759197</c:v>
                </c:pt>
                <c:pt idx="885">
                  <c:v>443.01702423606832</c:v>
                </c:pt>
                <c:pt idx="886">
                  <c:v>443.24639632235335</c:v>
                </c:pt>
                <c:pt idx="887">
                  <c:v>443.46854873565951</c:v>
                </c:pt>
                <c:pt idx="888">
                  <c:v>443.69829163687382</c:v>
                </c:pt>
                <c:pt idx="889">
                  <c:v>443.92822298501949</c:v>
                </c:pt>
                <c:pt idx="890">
                  <c:v>444.15091661948105</c:v>
                </c:pt>
                <c:pt idx="891">
                  <c:v>444.381218782556</c:v>
                </c:pt>
                <c:pt idx="892">
                  <c:v>444.60427127017499</c:v>
                </c:pt>
                <c:pt idx="893">
                  <c:v>444.83494424817934</c:v>
                </c:pt>
                <c:pt idx="894">
                  <c:v>445.06580567311488</c:v>
                </c:pt>
                <c:pt idx="895">
                  <c:v>445.27448764398832</c:v>
                </c:pt>
                <c:pt idx="896">
                  <c:v>445.50570772598667</c:v>
                </c:pt>
                <c:pt idx="897">
                  <c:v>445.72964852224123</c:v>
                </c:pt>
                <c:pt idx="898">
                  <c:v>445.96123941916903</c:v>
                </c:pt>
                <c:pt idx="899">
                  <c:v>446.18553906858097</c:v>
                </c:pt>
                <c:pt idx="900">
                  <c:v>446.41750078043805</c:v>
                </c:pt>
                <c:pt idx="901">
                  <c:v>446.64965093922643</c:v>
                </c:pt>
                <c:pt idx="902">
                  <c:v>446.87449180979382</c:v>
                </c:pt>
                <c:pt idx="903">
                  <c:v>447.10701278351155</c:v>
                </c:pt>
                <c:pt idx="904">
                  <c:v>447.33221250723642</c:v>
                </c:pt>
                <c:pt idx="905">
                  <c:v>447.56510429588343</c:v>
                </c:pt>
                <c:pt idx="906">
                  <c:v>447.79818453146174</c:v>
                </c:pt>
                <c:pt idx="907">
                  <c:v>448.00887058936729</c:v>
                </c:pt>
                <c:pt idx="908">
                  <c:v>448.24230948200841</c:v>
                </c:pt>
                <c:pt idx="909">
                  <c:v>448.46839751436886</c:v>
                </c:pt>
                <c:pt idx="910">
                  <c:v>448.70220722193932</c:v>
                </c:pt>
                <c:pt idx="911">
                  <c:v>448.92865410745719</c:v>
                </c:pt>
                <c:pt idx="912">
                  <c:v>449.16283462995693</c:v>
                </c:pt>
                <c:pt idx="913">
                  <c:v>449.39720359938804</c:v>
                </c:pt>
                <c:pt idx="914">
                  <c:v>449.62419170606137</c:v>
                </c:pt>
                <c:pt idx="915">
                  <c:v>449.85893149042175</c:v>
                </c:pt>
                <c:pt idx="916">
                  <c:v>450.08627845025251</c:v>
                </c:pt>
                <c:pt idx="917">
                  <c:v>450.32138904954229</c:v>
                </c:pt>
                <c:pt idx="918">
                  <c:v>450.55668809576332</c:v>
                </c:pt>
                <c:pt idx="919">
                  <c:v>450.76937824070097</c:v>
                </c:pt>
                <c:pt idx="920">
                  <c:v>451.00503594398486</c:v>
                </c:pt>
                <c:pt idx="921">
                  <c:v>451.2332712124512</c:v>
                </c:pt>
                <c:pt idx="922">
                  <c:v>451.46929973066437</c:v>
                </c:pt>
                <c:pt idx="923">
                  <c:v>451.69789385228808</c:v>
                </c:pt>
                <c:pt idx="924">
                  <c:v>451.93429318543059</c:v>
                </c:pt>
                <c:pt idx="925">
                  <c:v>452.17088096550441</c:v>
                </c:pt>
                <c:pt idx="926">
                  <c:v>452.40001630828357</c:v>
                </c:pt>
                <c:pt idx="927">
                  <c:v>452.63697490328673</c:v>
                </c:pt>
                <c:pt idx="928">
                  <c:v>452.86646909922337</c:v>
                </c:pt>
                <c:pt idx="929">
                  <c:v>453.10379850915581</c:v>
                </c:pt>
                <c:pt idx="930">
                  <c:v>453.34131636601961</c:v>
                </c:pt>
                <c:pt idx="931">
                  <c:v>453.56368109250326</c:v>
                </c:pt>
                <c:pt idx="932">
                  <c:v>453.80156368536308</c:v>
                </c:pt>
                <c:pt idx="933">
                  <c:v>454.03195207277395</c:v>
                </c:pt>
                <c:pt idx="934">
                  <c:v>454.27020548056311</c:v>
                </c:pt>
                <c:pt idx="935">
                  <c:v>454.50095272113134</c:v>
                </c:pt>
                <c:pt idx="936">
                  <c:v>454.73957694384984</c:v>
                </c:pt>
                <c:pt idx="937">
                  <c:v>454.97838961349964</c:v>
                </c:pt>
                <c:pt idx="938">
                  <c:v>455.20967807522339</c:v>
                </c:pt>
                <c:pt idx="939">
                  <c:v>455.44886155980248</c:v>
                </c:pt>
                <c:pt idx="940">
                  <c:v>455.6805088746836</c:v>
                </c:pt>
                <c:pt idx="941">
                  <c:v>455.92006317419208</c:v>
                </c:pt>
                <c:pt idx="942">
                  <c:v>456.15980592063187</c:v>
                </c:pt>
                <c:pt idx="943">
                  <c:v>456.37650973028326</c:v>
                </c:pt>
                <c:pt idx="944">
                  <c:v>456.61661113378585</c:v>
                </c:pt>
                <c:pt idx="945">
                  <c:v>456.84914675730255</c:v>
                </c:pt>
                <c:pt idx="946">
                  <c:v>457.08961897573442</c:v>
                </c:pt>
                <c:pt idx="947">
                  <c:v>457.32251345240854</c:v>
                </c:pt>
                <c:pt idx="948">
                  <c:v>457.56335648576982</c:v>
                </c:pt>
                <c:pt idx="949">
                  <c:v>457.80438796606234</c:v>
                </c:pt>
                <c:pt idx="950">
                  <c:v>458.03782366389191</c:v>
                </c:pt>
                <c:pt idx="951">
                  <c:v>458.27922595911377</c:v>
                </c:pt>
                <c:pt idx="952">
                  <c:v>458.51302051010072</c:v>
                </c:pt>
                <c:pt idx="953">
                  <c:v>458.75479362025197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A3-4861-8163-09640C2DECD2}"/>
            </c:ext>
          </c:extLst>
        </c:ser>
        <c:ser>
          <c:idx val="0"/>
          <c:order val="1"/>
          <c:tx>
            <c:strRef>
              <c:f>'2次多項式モデル'!$G$1</c:f>
              <c:strCache>
                <c:ptCount val="1"/>
                <c:pt idx="0">
                  <c:v>CO2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'2次多項式モデル'!$F$2:$F$955</c:f>
              <c:numCache>
                <c:formatCode>m/d/yyyy</c:formatCode>
                <c:ptCount val="954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</c:numCache>
            </c:numRef>
          </c:xVal>
          <c:yVal>
            <c:numRef>
              <c:f>'2次多項式モデル'!$G$2:$G$955</c:f>
              <c:numCache>
                <c:formatCode>0.00_ ;[Red]\-0.00\ </c:formatCode>
                <c:ptCount val="954"/>
                <c:pt idx="0">
                  <c:v>315.7</c:v>
                </c:pt>
                <c:pt idx="1">
                  <c:v>317.45999999999998</c:v>
                </c:pt>
                <c:pt idx="2">
                  <c:v>317.51</c:v>
                </c:pt>
                <c:pt idx="3">
                  <c:v>315.86</c:v>
                </c:pt>
                <c:pt idx="4">
                  <c:v>314.93</c:v>
                </c:pt>
                <c:pt idx="5">
                  <c:v>313.20999999999998</c:v>
                </c:pt>
                <c:pt idx="6">
                  <c:v>313.33</c:v>
                </c:pt>
                <c:pt idx="7">
                  <c:v>314.67</c:v>
                </c:pt>
                <c:pt idx="8">
                  <c:v>315.58</c:v>
                </c:pt>
                <c:pt idx="9">
                  <c:v>316.49</c:v>
                </c:pt>
                <c:pt idx="10">
                  <c:v>316.64999999999998</c:v>
                </c:pt>
                <c:pt idx="11">
                  <c:v>317.72000000000003</c:v>
                </c:pt>
                <c:pt idx="12">
                  <c:v>318.29000000000002</c:v>
                </c:pt>
                <c:pt idx="13">
                  <c:v>318.14999999999998</c:v>
                </c:pt>
                <c:pt idx="14">
                  <c:v>316.54000000000002</c:v>
                </c:pt>
                <c:pt idx="15">
                  <c:v>314.8</c:v>
                </c:pt>
                <c:pt idx="16">
                  <c:v>313.83999999999997</c:v>
                </c:pt>
                <c:pt idx="17">
                  <c:v>313.33</c:v>
                </c:pt>
                <c:pt idx="18">
                  <c:v>314.81</c:v>
                </c:pt>
                <c:pt idx="19">
                  <c:v>315.58</c:v>
                </c:pt>
                <c:pt idx="20">
                  <c:v>316.43</c:v>
                </c:pt>
                <c:pt idx="21">
                  <c:v>316.98</c:v>
                </c:pt>
                <c:pt idx="22">
                  <c:v>317.58</c:v>
                </c:pt>
                <c:pt idx="23">
                  <c:v>319.02999999999997</c:v>
                </c:pt>
                <c:pt idx="24">
                  <c:v>320.04000000000002</c:v>
                </c:pt>
                <c:pt idx="25">
                  <c:v>319.58</c:v>
                </c:pt>
                <c:pt idx="26">
                  <c:v>318.18</c:v>
                </c:pt>
                <c:pt idx="27">
                  <c:v>315.89999999999998</c:v>
                </c:pt>
                <c:pt idx="28">
                  <c:v>314.17</c:v>
                </c:pt>
                <c:pt idx="29">
                  <c:v>313.83</c:v>
                </c:pt>
                <c:pt idx="30">
                  <c:v>315</c:v>
                </c:pt>
                <c:pt idx="31">
                  <c:v>316.19</c:v>
                </c:pt>
                <c:pt idx="32">
                  <c:v>316.89999999999998</c:v>
                </c:pt>
                <c:pt idx="33">
                  <c:v>317.7</c:v>
                </c:pt>
                <c:pt idx="34">
                  <c:v>318.54000000000002</c:v>
                </c:pt>
                <c:pt idx="35">
                  <c:v>319.48</c:v>
                </c:pt>
                <c:pt idx="36">
                  <c:v>320.58</c:v>
                </c:pt>
                <c:pt idx="37">
                  <c:v>319.77</c:v>
                </c:pt>
                <c:pt idx="38">
                  <c:v>318.57</c:v>
                </c:pt>
                <c:pt idx="39">
                  <c:v>316.79000000000002</c:v>
                </c:pt>
                <c:pt idx="40">
                  <c:v>314.99</c:v>
                </c:pt>
                <c:pt idx="41">
                  <c:v>315.31</c:v>
                </c:pt>
                <c:pt idx="42">
                  <c:v>316.10000000000002</c:v>
                </c:pt>
                <c:pt idx="43">
                  <c:v>317.01</c:v>
                </c:pt>
                <c:pt idx="44">
                  <c:v>317.94</c:v>
                </c:pt>
                <c:pt idx="45">
                  <c:v>318.55</c:v>
                </c:pt>
                <c:pt idx="46">
                  <c:v>319.68</c:v>
                </c:pt>
                <c:pt idx="47">
                  <c:v>320.57</c:v>
                </c:pt>
                <c:pt idx="48">
                  <c:v>321.02</c:v>
                </c:pt>
                <c:pt idx="49">
                  <c:v>320.62</c:v>
                </c:pt>
                <c:pt idx="50">
                  <c:v>319.61</c:v>
                </c:pt>
                <c:pt idx="51">
                  <c:v>317.39999999999998</c:v>
                </c:pt>
                <c:pt idx="52">
                  <c:v>316.25</c:v>
                </c:pt>
                <c:pt idx="53">
                  <c:v>315.42</c:v>
                </c:pt>
                <c:pt idx="54">
                  <c:v>316.69</c:v>
                </c:pt>
                <c:pt idx="55">
                  <c:v>317.7</c:v>
                </c:pt>
                <c:pt idx="56">
                  <c:v>318.74</c:v>
                </c:pt>
                <c:pt idx="57">
                  <c:v>319.07</c:v>
                </c:pt>
                <c:pt idx="58">
                  <c:v>319.86</c:v>
                </c:pt>
                <c:pt idx="59">
                  <c:v>321.38</c:v>
                </c:pt>
                <c:pt idx="60">
                  <c:v>322.25</c:v>
                </c:pt>
                <c:pt idx="61">
                  <c:v>321.48</c:v>
                </c:pt>
                <c:pt idx="62">
                  <c:v>319.74</c:v>
                </c:pt>
                <c:pt idx="63">
                  <c:v>317.77</c:v>
                </c:pt>
                <c:pt idx="64">
                  <c:v>316.20999999999998</c:v>
                </c:pt>
                <c:pt idx="65">
                  <c:v>315.99</c:v>
                </c:pt>
                <c:pt idx="66">
                  <c:v>317.07</c:v>
                </c:pt>
                <c:pt idx="67">
                  <c:v>318.35000000000002</c:v>
                </c:pt>
                <c:pt idx="68">
                  <c:v>319.57</c:v>
                </c:pt>
                <c:pt idx="69">
                  <c:v>322.26</c:v>
                </c:pt>
                <c:pt idx="70">
                  <c:v>321.89</c:v>
                </c:pt>
                <c:pt idx="71">
                  <c:v>320.44</c:v>
                </c:pt>
                <c:pt idx="72">
                  <c:v>318.69</c:v>
                </c:pt>
                <c:pt idx="73">
                  <c:v>316.7</c:v>
                </c:pt>
                <c:pt idx="74">
                  <c:v>316.87</c:v>
                </c:pt>
                <c:pt idx="75">
                  <c:v>317.68</c:v>
                </c:pt>
                <c:pt idx="76">
                  <c:v>318.70999999999998</c:v>
                </c:pt>
                <c:pt idx="77">
                  <c:v>319.44</c:v>
                </c:pt>
                <c:pt idx="78">
                  <c:v>320.44</c:v>
                </c:pt>
                <c:pt idx="79">
                  <c:v>320.89</c:v>
                </c:pt>
                <c:pt idx="80">
                  <c:v>322.14</c:v>
                </c:pt>
                <c:pt idx="81">
                  <c:v>322.17</c:v>
                </c:pt>
                <c:pt idx="82">
                  <c:v>321.87</c:v>
                </c:pt>
                <c:pt idx="83">
                  <c:v>321.20999999999998</c:v>
                </c:pt>
                <c:pt idx="84">
                  <c:v>318.87</c:v>
                </c:pt>
                <c:pt idx="85">
                  <c:v>317.81</c:v>
                </c:pt>
                <c:pt idx="86">
                  <c:v>317.3</c:v>
                </c:pt>
                <c:pt idx="87">
                  <c:v>318.87</c:v>
                </c:pt>
                <c:pt idx="88">
                  <c:v>319.42</c:v>
                </c:pt>
                <c:pt idx="89">
                  <c:v>320.62</c:v>
                </c:pt>
                <c:pt idx="90">
                  <c:v>321.60000000000002</c:v>
                </c:pt>
                <c:pt idx="91">
                  <c:v>322.39</c:v>
                </c:pt>
                <c:pt idx="92">
                  <c:v>323.7</c:v>
                </c:pt>
                <c:pt idx="93">
                  <c:v>324.08</c:v>
                </c:pt>
                <c:pt idx="94">
                  <c:v>323.75</c:v>
                </c:pt>
                <c:pt idx="95">
                  <c:v>322.38</c:v>
                </c:pt>
                <c:pt idx="96">
                  <c:v>320.36</c:v>
                </c:pt>
                <c:pt idx="97">
                  <c:v>318.64</c:v>
                </c:pt>
                <c:pt idx="98">
                  <c:v>318.10000000000002</c:v>
                </c:pt>
                <c:pt idx="99">
                  <c:v>319.77999999999997</c:v>
                </c:pt>
                <c:pt idx="100">
                  <c:v>321.02999999999997</c:v>
                </c:pt>
                <c:pt idx="101">
                  <c:v>322.33</c:v>
                </c:pt>
                <c:pt idx="102">
                  <c:v>322.5</c:v>
                </c:pt>
                <c:pt idx="103">
                  <c:v>323.04000000000002</c:v>
                </c:pt>
                <c:pt idx="104">
                  <c:v>324.42</c:v>
                </c:pt>
                <c:pt idx="105">
                  <c:v>325</c:v>
                </c:pt>
                <c:pt idx="106">
                  <c:v>324.08999999999997</c:v>
                </c:pt>
                <c:pt idx="107">
                  <c:v>322.54000000000002</c:v>
                </c:pt>
                <c:pt idx="108">
                  <c:v>320.92</c:v>
                </c:pt>
                <c:pt idx="109">
                  <c:v>319.25</c:v>
                </c:pt>
                <c:pt idx="110">
                  <c:v>319.39</c:v>
                </c:pt>
                <c:pt idx="111">
                  <c:v>320.73</c:v>
                </c:pt>
                <c:pt idx="112">
                  <c:v>321.95999999999998</c:v>
                </c:pt>
                <c:pt idx="113">
                  <c:v>322.57</c:v>
                </c:pt>
                <c:pt idx="114">
                  <c:v>323.14999999999998</c:v>
                </c:pt>
                <c:pt idx="115">
                  <c:v>323.89</c:v>
                </c:pt>
                <c:pt idx="116">
                  <c:v>325.02</c:v>
                </c:pt>
                <c:pt idx="117">
                  <c:v>325.57</c:v>
                </c:pt>
                <c:pt idx="118">
                  <c:v>325.36</c:v>
                </c:pt>
                <c:pt idx="119">
                  <c:v>324.14</c:v>
                </c:pt>
                <c:pt idx="120">
                  <c:v>322.11</c:v>
                </c:pt>
                <c:pt idx="121">
                  <c:v>320.33</c:v>
                </c:pt>
                <c:pt idx="122">
                  <c:v>320.25</c:v>
                </c:pt>
                <c:pt idx="123">
                  <c:v>321.32</c:v>
                </c:pt>
                <c:pt idx="124">
                  <c:v>322.89</c:v>
                </c:pt>
                <c:pt idx="125">
                  <c:v>324</c:v>
                </c:pt>
                <c:pt idx="126">
                  <c:v>324.41000000000003</c:v>
                </c:pt>
                <c:pt idx="127">
                  <c:v>325.63</c:v>
                </c:pt>
                <c:pt idx="128">
                  <c:v>326.66000000000003</c:v>
                </c:pt>
                <c:pt idx="129">
                  <c:v>327.38</c:v>
                </c:pt>
                <c:pt idx="130">
                  <c:v>326.70999999999998</c:v>
                </c:pt>
                <c:pt idx="131">
                  <c:v>325.88</c:v>
                </c:pt>
                <c:pt idx="132">
                  <c:v>323.66000000000003</c:v>
                </c:pt>
                <c:pt idx="133">
                  <c:v>322.38</c:v>
                </c:pt>
                <c:pt idx="134">
                  <c:v>321.77999999999997</c:v>
                </c:pt>
                <c:pt idx="135">
                  <c:v>322.85000000000002</c:v>
                </c:pt>
                <c:pt idx="136">
                  <c:v>324.12</c:v>
                </c:pt>
                <c:pt idx="137">
                  <c:v>325.06</c:v>
                </c:pt>
                <c:pt idx="138">
                  <c:v>325.98</c:v>
                </c:pt>
                <c:pt idx="139">
                  <c:v>326.93</c:v>
                </c:pt>
                <c:pt idx="140">
                  <c:v>328.13</c:v>
                </c:pt>
                <c:pt idx="141">
                  <c:v>328.08</c:v>
                </c:pt>
                <c:pt idx="142">
                  <c:v>327.67</c:v>
                </c:pt>
                <c:pt idx="143">
                  <c:v>326.33999999999997</c:v>
                </c:pt>
                <c:pt idx="144">
                  <c:v>324.69</c:v>
                </c:pt>
                <c:pt idx="145">
                  <c:v>323.10000000000002</c:v>
                </c:pt>
                <c:pt idx="146">
                  <c:v>323.06</c:v>
                </c:pt>
                <c:pt idx="147">
                  <c:v>324.01</c:v>
                </c:pt>
                <c:pt idx="148">
                  <c:v>325.13</c:v>
                </c:pt>
                <c:pt idx="149">
                  <c:v>326.17</c:v>
                </c:pt>
                <c:pt idx="150">
                  <c:v>326.68</c:v>
                </c:pt>
                <c:pt idx="151">
                  <c:v>327.17</c:v>
                </c:pt>
                <c:pt idx="152">
                  <c:v>327.79</c:v>
                </c:pt>
                <c:pt idx="153">
                  <c:v>328.93</c:v>
                </c:pt>
                <c:pt idx="154">
                  <c:v>328.57</c:v>
                </c:pt>
                <c:pt idx="155">
                  <c:v>327.36</c:v>
                </c:pt>
                <c:pt idx="156">
                  <c:v>325.43</c:v>
                </c:pt>
                <c:pt idx="157">
                  <c:v>323.36</c:v>
                </c:pt>
                <c:pt idx="158">
                  <c:v>323.56</c:v>
                </c:pt>
                <c:pt idx="159">
                  <c:v>324.8</c:v>
                </c:pt>
                <c:pt idx="160">
                  <c:v>326.01</c:v>
                </c:pt>
                <c:pt idx="161">
                  <c:v>326.77</c:v>
                </c:pt>
                <c:pt idx="162">
                  <c:v>327.63</c:v>
                </c:pt>
                <c:pt idx="163">
                  <c:v>327.75</c:v>
                </c:pt>
                <c:pt idx="164">
                  <c:v>329.72</c:v>
                </c:pt>
                <c:pt idx="165">
                  <c:v>330.07</c:v>
                </c:pt>
                <c:pt idx="166">
                  <c:v>329.09</c:v>
                </c:pt>
                <c:pt idx="167">
                  <c:v>328.04</c:v>
                </c:pt>
                <c:pt idx="168">
                  <c:v>326.32</c:v>
                </c:pt>
                <c:pt idx="169">
                  <c:v>324.83999999999997</c:v>
                </c:pt>
                <c:pt idx="170">
                  <c:v>325.2</c:v>
                </c:pt>
                <c:pt idx="171">
                  <c:v>326.5</c:v>
                </c:pt>
                <c:pt idx="172">
                  <c:v>327.55</c:v>
                </c:pt>
                <c:pt idx="173">
                  <c:v>328.55</c:v>
                </c:pt>
                <c:pt idx="174">
                  <c:v>329.56</c:v>
                </c:pt>
                <c:pt idx="175">
                  <c:v>330.3</c:v>
                </c:pt>
                <c:pt idx="176">
                  <c:v>331.5</c:v>
                </c:pt>
                <c:pt idx="177">
                  <c:v>332.48</c:v>
                </c:pt>
                <c:pt idx="178">
                  <c:v>332.07</c:v>
                </c:pt>
                <c:pt idx="179">
                  <c:v>330.87</c:v>
                </c:pt>
                <c:pt idx="180">
                  <c:v>329.31</c:v>
                </c:pt>
                <c:pt idx="181">
                  <c:v>327.51</c:v>
                </c:pt>
                <c:pt idx="182">
                  <c:v>327.18</c:v>
                </c:pt>
                <c:pt idx="183">
                  <c:v>328.16</c:v>
                </c:pt>
                <c:pt idx="184">
                  <c:v>328.64</c:v>
                </c:pt>
                <c:pt idx="185">
                  <c:v>329.35</c:v>
                </c:pt>
                <c:pt idx="186">
                  <c:v>330.71</c:v>
                </c:pt>
                <c:pt idx="187">
                  <c:v>331.48</c:v>
                </c:pt>
                <c:pt idx="188">
                  <c:v>332.65</c:v>
                </c:pt>
                <c:pt idx="189">
                  <c:v>333.09</c:v>
                </c:pt>
                <c:pt idx="190">
                  <c:v>332.25</c:v>
                </c:pt>
                <c:pt idx="191">
                  <c:v>331.18</c:v>
                </c:pt>
                <c:pt idx="192">
                  <c:v>329.39</c:v>
                </c:pt>
                <c:pt idx="193">
                  <c:v>327.43</c:v>
                </c:pt>
                <c:pt idx="194">
                  <c:v>327.37</c:v>
                </c:pt>
                <c:pt idx="195">
                  <c:v>328.46</c:v>
                </c:pt>
                <c:pt idx="196">
                  <c:v>329.57</c:v>
                </c:pt>
                <c:pt idx="197">
                  <c:v>330.4</c:v>
                </c:pt>
                <c:pt idx="198">
                  <c:v>331.4</c:v>
                </c:pt>
                <c:pt idx="199">
                  <c:v>332.04</c:v>
                </c:pt>
                <c:pt idx="200">
                  <c:v>333.31</c:v>
                </c:pt>
                <c:pt idx="201">
                  <c:v>333.97</c:v>
                </c:pt>
                <c:pt idx="202">
                  <c:v>333.6</c:v>
                </c:pt>
                <c:pt idx="203">
                  <c:v>331.9</c:v>
                </c:pt>
                <c:pt idx="204">
                  <c:v>330.06</c:v>
                </c:pt>
                <c:pt idx="205">
                  <c:v>328.56</c:v>
                </c:pt>
                <c:pt idx="206">
                  <c:v>328.34</c:v>
                </c:pt>
                <c:pt idx="207">
                  <c:v>329.49</c:v>
                </c:pt>
                <c:pt idx="208">
                  <c:v>330.76</c:v>
                </c:pt>
                <c:pt idx="209">
                  <c:v>331.75</c:v>
                </c:pt>
                <c:pt idx="210">
                  <c:v>332.57</c:v>
                </c:pt>
                <c:pt idx="211">
                  <c:v>333.5</c:v>
                </c:pt>
                <c:pt idx="212">
                  <c:v>334.58</c:v>
                </c:pt>
                <c:pt idx="213">
                  <c:v>334.88</c:v>
                </c:pt>
                <c:pt idx="214">
                  <c:v>334.33</c:v>
                </c:pt>
                <c:pt idx="215">
                  <c:v>333.05</c:v>
                </c:pt>
                <c:pt idx="216">
                  <c:v>330.94</c:v>
                </c:pt>
                <c:pt idx="217">
                  <c:v>329.3</c:v>
                </c:pt>
                <c:pt idx="218">
                  <c:v>328.94</c:v>
                </c:pt>
                <c:pt idx="219">
                  <c:v>330.31</c:v>
                </c:pt>
                <c:pt idx="220">
                  <c:v>331.68</c:v>
                </c:pt>
                <c:pt idx="221">
                  <c:v>332.93</c:v>
                </c:pt>
                <c:pt idx="222">
                  <c:v>333.42</c:v>
                </c:pt>
                <c:pt idx="223">
                  <c:v>334.7</c:v>
                </c:pt>
                <c:pt idx="224">
                  <c:v>336.07</c:v>
                </c:pt>
                <c:pt idx="225">
                  <c:v>336.75</c:v>
                </c:pt>
                <c:pt idx="226">
                  <c:v>336.27</c:v>
                </c:pt>
                <c:pt idx="227">
                  <c:v>334.92</c:v>
                </c:pt>
                <c:pt idx="228">
                  <c:v>332.75</c:v>
                </c:pt>
                <c:pt idx="229">
                  <c:v>331.59</c:v>
                </c:pt>
                <c:pt idx="230">
                  <c:v>331.16</c:v>
                </c:pt>
                <c:pt idx="231">
                  <c:v>332.4</c:v>
                </c:pt>
                <c:pt idx="232">
                  <c:v>333.85</c:v>
                </c:pt>
                <c:pt idx="233">
                  <c:v>334.97</c:v>
                </c:pt>
                <c:pt idx="234">
                  <c:v>335.39</c:v>
                </c:pt>
                <c:pt idx="235">
                  <c:v>336.64</c:v>
                </c:pt>
                <c:pt idx="236">
                  <c:v>337.76</c:v>
                </c:pt>
                <c:pt idx="237">
                  <c:v>338.01</c:v>
                </c:pt>
                <c:pt idx="238">
                  <c:v>337.9</c:v>
                </c:pt>
                <c:pt idx="239">
                  <c:v>336.54</c:v>
                </c:pt>
                <c:pt idx="240">
                  <c:v>334.68</c:v>
                </c:pt>
                <c:pt idx="241">
                  <c:v>332.76</c:v>
                </c:pt>
                <c:pt idx="242">
                  <c:v>332.55</c:v>
                </c:pt>
                <c:pt idx="243">
                  <c:v>333.92</c:v>
                </c:pt>
                <c:pt idx="244">
                  <c:v>334.95</c:v>
                </c:pt>
                <c:pt idx="245">
                  <c:v>336.23</c:v>
                </c:pt>
                <c:pt idx="246">
                  <c:v>336.76</c:v>
                </c:pt>
                <c:pt idx="247">
                  <c:v>337.96</c:v>
                </c:pt>
                <c:pt idx="248">
                  <c:v>338.88</c:v>
                </c:pt>
                <c:pt idx="249">
                  <c:v>339.47</c:v>
                </c:pt>
                <c:pt idx="250">
                  <c:v>339.29</c:v>
                </c:pt>
                <c:pt idx="251">
                  <c:v>337.73</c:v>
                </c:pt>
                <c:pt idx="252">
                  <c:v>336.09</c:v>
                </c:pt>
                <c:pt idx="253">
                  <c:v>333.92</c:v>
                </c:pt>
                <c:pt idx="254">
                  <c:v>333.86</c:v>
                </c:pt>
                <c:pt idx="255">
                  <c:v>335.29</c:v>
                </c:pt>
                <c:pt idx="256">
                  <c:v>336.73</c:v>
                </c:pt>
                <c:pt idx="257">
                  <c:v>338.01</c:v>
                </c:pt>
                <c:pt idx="258">
                  <c:v>338.36</c:v>
                </c:pt>
                <c:pt idx="259">
                  <c:v>340.07</c:v>
                </c:pt>
                <c:pt idx="260">
                  <c:v>340.76</c:v>
                </c:pt>
                <c:pt idx="261">
                  <c:v>341.47</c:v>
                </c:pt>
                <c:pt idx="262">
                  <c:v>341.17</c:v>
                </c:pt>
                <c:pt idx="263">
                  <c:v>339.56</c:v>
                </c:pt>
                <c:pt idx="264">
                  <c:v>337.6</c:v>
                </c:pt>
                <c:pt idx="265">
                  <c:v>335.88</c:v>
                </c:pt>
                <c:pt idx="266">
                  <c:v>336.02</c:v>
                </c:pt>
                <c:pt idx="267">
                  <c:v>337.1</c:v>
                </c:pt>
                <c:pt idx="268">
                  <c:v>338.21</c:v>
                </c:pt>
                <c:pt idx="269">
                  <c:v>339.24</c:v>
                </c:pt>
                <c:pt idx="270">
                  <c:v>340.48</c:v>
                </c:pt>
                <c:pt idx="271">
                  <c:v>341.38</c:v>
                </c:pt>
                <c:pt idx="272">
                  <c:v>342.5</c:v>
                </c:pt>
                <c:pt idx="273">
                  <c:v>342.91</c:v>
                </c:pt>
                <c:pt idx="274">
                  <c:v>342.25</c:v>
                </c:pt>
                <c:pt idx="275">
                  <c:v>340.49</c:v>
                </c:pt>
                <c:pt idx="276">
                  <c:v>338.43</c:v>
                </c:pt>
                <c:pt idx="277">
                  <c:v>336.69</c:v>
                </c:pt>
                <c:pt idx="278">
                  <c:v>336.86</c:v>
                </c:pt>
                <c:pt idx="279">
                  <c:v>338.36</c:v>
                </c:pt>
                <c:pt idx="280">
                  <c:v>339.61</c:v>
                </c:pt>
                <c:pt idx="281">
                  <c:v>340.75</c:v>
                </c:pt>
                <c:pt idx="282">
                  <c:v>341.61</c:v>
                </c:pt>
                <c:pt idx="283">
                  <c:v>342.7</c:v>
                </c:pt>
                <c:pt idx="284">
                  <c:v>343.57</c:v>
                </c:pt>
                <c:pt idx="285">
                  <c:v>344.14</c:v>
                </c:pt>
                <c:pt idx="286">
                  <c:v>343.35</c:v>
                </c:pt>
                <c:pt idx="287">
                  <c:v>342.06</c:v>
                </c:pt>
                <c:pt idx="288">
                  <c:v>339.81</c:v>
                </c:pt>
                <c:pt idx="289">
                  <c:v>337.98</c:v>
                </c:pt>
                <c:pt idx="290">
                  <c:v>337.86</c:v>
                </c:pt>
                <c:pt idx="291">
                  <c:v>339.26</c:v>
                </c:pt>
                <c:pt idx="292">
                  <c:v>340.49</c:v>
                </c:pt>
                <c:pt idx="293">
                  <c:v>341.38</c:v>
                </c:pt>
                <c:pt idx="294">
                  <c:v>342.52</c:v>
                </c:pt>
                <c:pt idx="295">
                  <c:v>343.1</c:v>
                </c:pt>
                <c:pt idx="296">
                  <c:v>344.94</c:v>
                </c:pt>
                <c:pt idx="297">
                  <c:v>345.76</c:v>
                </c:pt>
                <c:pt idx="298">
                  <c:v>345.32</c:v>
                </c:pt>
                <c:pt idx="299">
                  <c:v>343.98</c:v>
                </c:pt>
                <c:pt idx="300">
                  <c:v>342.38</c:v>
                </c:pt>
                <c:pt idx="301">
                  <c:v>339.87</c:v>
                </c:pt>
                <c:pt idx="302">
                  <c:v>339.99</c:v>
                </c:pt>
                <c:pt idx="303">
                  <c:v>341.15</c:v>
                </c:pt>
                <c:pt idx="304">
                  <c:v>342.99</c:v>
                </c:pt>
                <c:pt idx="305">
                  <c:v>343.7</c:v>
                </c:pt>
                <c:pt idx="306">
                  <c:v>344.5</c:v>
                </c:pt>
                <c:pt idx="307">
                  <c:v>345.28</c:v>
                </c:pt>
                <c:pt idx="308">
                  <c:v>347.05</c:v>
                </c:pt>
                <c:pt idx="309">
                  <c:v>347.43</c:v>
                </c:pt>
                <c:pt idx="310">
                  <c:v>346.8</c:v>
                </c:pt>
                <c:pt idx="311">
                  <c:v>345.39</c:v>
                </c:pt>
                <c:pt idx="312">
                  <c:v>343.28</c:v>
                </c:pt>
                <c:pt idx="313">
                  <c:v>341.07</c:v>
                </c:pt>
                <c:pt idx="314">
                  <c:v>341.35</c:v>
                </c:pt>
                <c:pt idx="315">
                  <c:v>342.98</c:v>
                </c:pt>
                <c:pt idx="316">
                  <c:v>344.22</c:v>
                </c:pt>
                <c:pt idx="317">
                  <c:v>344.97</c:v>
                </c:pt>
                <c:pt idx="318">
                  <c:v>345.99</c:v>
                </c:pt>
                <c:pt idx="319">
                  <c:v>347.42</c:v>
                </c:pt>
                <c:pt idx="320">
                  <c:v>348.35</c:v>
                </c:pt>
                <c:pt idx="321">
                  <c:v>348.93</c:v>
                </c:pt>
                <c:pt idx="322">
                  <c:v>348.25</c:v>
                </c:pt>
                <c:pt idx="323">
                  <c:v>346.56</c:v>
                </c:pt>
                <c:pt idx="324">
                  <c:v>344.67</c:v>
                </c:pt>
                <c:pt idx="325">
                  <c:v>343.09</c:v>
                </c:pt>
                <c:pt idx="326">
                  <c:v>342.8</c:v>
                </c:pt>
                <c:pt idx="327">
                  <c:v>344.24</c:v>
                </c:pt>
                <c:pt idx="328">
                  <c:v>345.56</c:v>
                </c:pt>
                <c:pt idx="329">
                  <c:v>346.3</c:v>
                </c:pt>
                <c:pt idx="330">
                  <c:v>346.95</c:v>
                </c:pt>
                <c:pt idx="331">
                  <c:v>347.85</c:v>
                </c:pt>
                <c:pt idx="332">
                  <c:v>349.55</c:v>
                </c:pt>
                <c:pt idx="333">
                  <c:v>350.22</c:v>
                </c:pt>
                <c:pt idx="334">
                  <c:v>349.55</c:v>
                </c:pt>
                <c:pt idx="335">
                  <c:v>347.94</c:v>
                </c:pt>
                <c:pt idx="336">
                  <c:v>345.9</c:v>
                </c:pt>
                <c:pt idx="337">
                  <c:v>344.85</c:v>
                </c:pt>
                <c:pt idx="338">
                  <c:v>344.17</c:v>
                </c:pt>
                <c:pt idx="339">
                  <c:v>345.66</c:v>
                </c:pt>
                <c:pt idx="340">
                  <c:v>346.9</c:v>
                </c:pt>
                <c:pt idx="341">
                  <c:v>348.02</c:v>
                </c:pt>
                <c:pt idx="342">
                  <c:v>348.48</c:v>
                </c:pt>
                <c:pt idx="343">
                  <c:v>349.42</c:v>
                </c:pt>
                <c:pt idx="344">
                  <c:v>350.98</c:v>
                </c:pt>
                <c:pt idx="345">
                  <c:v>351.85</c:v>
                </c:pt>
                <c:pt idx="346">
                  <c:v>351.26</c:v>
                </c:pt>
                <c:pt idx="347">
                  <c:v>349.51</c:v>
                </c:pt>
                <c:pt idx="348">
                  <c:v>348.1</c:v>
                </c:pt>
                <c:pt idx="349">
                  <c:v>346.45</c:v>
                </c:pt>
                <c:pt idx="350">
                  <c:v>346.36</c:v>
                </c:pt>
                <c:pt idx="351">
                  <c:v>347.81</c:v>
                </c:pt>
                <c:pt idx="352">
                  <c:v>348.96</c:v>
                </c:pt>
                <c:pt idx="353">
                  <c:v>350.43</c:v>
                </c:pt>
                <c:pt idx="354">
                  <c:v>351.73</c:v>
                </c:pt>
                <c:pt idx="355">
                  <c:v>352.22</c:v>
                </c:pt>
                <c:pt idx="356">
                  <c:v>353.59</c:v>
                </c:pt>
                <c:pt idx="357">
                  <c:v>354.22</c:v>
                </c:pt>
                <c:pt idx="358">
                  <c:v>353.8</c:v>
                </c:pt>
                <c:pt idx="359">
                  <c:v>352.38</c:v>
                </c:pt>
                <c:pt idx="360">
                  <c:v>350.43</c:v>
                </c:pt>
                <c:pt idx="361">
                  <c:v>348.73</c:v>
                </c:pt>
                <c:pt idx="362">
                  <c:v>348.88</c:v>
                </c:pt>
                <c:pt idx="363">
                  <c:v>350.07</c:v>
                </c:pt>
                <c:pt idx="364">
                  <c:v>351.34</c:v>
                </c:pt>
                <c:pt idx="365">
                  <c:v>352.76</c:v>
                </c:pt>
                <c:pt idx="366">
                  <c:v>353.07</c:v>
                </c:pt>
                <c:pt idx="367">
                  <c:v>353.68</c:v>
                </c:pt>
                <c:pt idx="368">
                  <c:v>355.42</c:v>
                </c:pt>
                <c:pt idx="369">
                  <c:v>355.67</c:v>
                </c:pt>
                <c:pt idx="370">
                  <c:v>355.12</c:v>
                </c:pt>
                <c:pt idx="371">
                  <c:v>353.9</c:v>
                </c:pt>
                <c:pt idx="372">
                  <c:v>351.67</c:v>
                </c:pt>
                <c:pt idx="373">
                  <c:v>349.81</c:v>
                </c:pt>
                <c:pt idx="374">
                  <c:v>349.99</c:v>
                </c:pt>
                <c:pt idx="375">
                  <c:v>351.3</c:v>
                </c:pt>
                <c:pt idx="376">
                  <c:v>352.52</c:v>
                </c:pt>
                <c:pt idx="377">
                  <c:v>353.66</c:v>
                </c:pt>
                <c:pt idx="378">
                  <c:v>354.7</c:v>
                </c:pt>
                <c:pt idx="379">
                  <c:v>355.38</c:v>
                </c:pt>
                <c:pt idx="380">
                  <c:v>356.2</c:v>
                </c:pt>
                <c:pt idx="381">
                  <c:v>357.16</c:v>
                </c:pt>
                <c:pt idx="382">
                  <c:v>356.23</c:v>
                </c:pt>
                <c:pt idx="383">
                  <c:v>354.81</c:v>
                </c:pt>
                <c:pt idx="384">
                  <c:v>352.91</c:v>
                </c:pt>
                <c:pt idx="385">
                  <c:v>350.96</c:v>
                </c:pt>
                <c:pt idx="386">
                  <c:v>351.18</c:v>
                </c:pt>
                <c:pt idx="387">
                  <c:v>352.83</c:v>
                </c:pt>
                <c:pt idx="388">
                  <c:v>354.21</c:v>
                </c:pt>
                <c:pt idx="389">
                  <c:v>354.72</c:v>
                </c:pt>
                <c:pt idx="390">
                  <c:v>355.75</c:v>
                </c:pt>
                <c:pt idx="391">
                  <c:v>357.16</c:v>
                </c:pt>
                <c:pt idx="392">
                  <c:v>358.6</c:v>
                </c:pt>
                <c:pt idx="393">
                  <c:v>359.34</c:v>
                </c:pt>
                <c:pt idx="394">
                  <c:v>358.24</c:v>
                </c:pt>
                <c:pt idx="395">
                  <c:v>356.17</c:v>
                </c:pt>
                <c:pt idx="396">
                  <c:v>354.01</c:v>
                </c:pt>
                <c:pt idx="397">
                  <c:v>352.15</c:v>
                </c:pt>
                <c:pt idx="398">
                  <c:v>352.21</c:v>
                </c:pt>
                <c:pt idx="399">
                  <c:v>353.75</c:v>
                </c:pt>
                <c:pt idx="400">
                  <c:v>354.99</c:v>
                </c:pt>
                <c:pt idx="401">
                  <c:v>355.99</c:v>
                </c:pt>
                <c:pt idx="402">
                  <c:v>356.72</c:v>
                </c:pt>
                <c:pt idx="403">
                  <c:v>357.81</c:v>
                </c:pt>
                <c:pt idx="404">
                  <c:v>359.15</c:v>
                </c:pt>
                <c:pt idx="405">
                  <c:v>359.66</c:v>
                </c:pt>
                <c:pt idx="406">
                  <c:v>359.25</c:v>
                </c:pt>
                <c:pt idx="407">
                  <c:v>357.02</c:v>
                </c:pt>
                <c:pt idx="408">
                  <c:v>355</c:v>
                </c:pt>
                <c:pt idx="409">
                  <c:v>353.01</c:v>
                </c:pt>
                <c:pt idx="410">
                  <c:v>353.31</c:v>
                </c:pt>
                <c:pt idx="411">
                  <c:v>354.16</c:v>
                </c:pt>
                <c:pt idx="412">
                  <c:v>355.4</c:v>
                </c:pt>
                <c:pt idx="413">
                  <c:v>356.7</c:v>
                </c:pt>
                <c:pt idx="414">
                  <c:v>357.17</c:v>
                </c:pt>
                <c:pt idx="415">
                  <c:v>358.38</c:v>
                </c:pt>
                <c:pt idx="416">
                  <c:v>359.46</c:v>
                </c:pt>
                <c:pt idx="417">
                  <c:v>360.28</c:v>
                </c:pt>
                <c:pt idx="418">
                  <c:v>359.6</c:v>
                </c:pt>
                <c:pt idx="419">
                  <c:v>357.57</c:v>
                </c:pt>
                <c:pt idx="420">
                  <c:v>355.52</c:v>
                </c:pt>
                <c:pt idx="421">
                  <c:v>353.69</c:v>
                </c:pt>
                <c:pt idx="422">
                  <c:v>353.99</c:v>
                </c:pt>
                <c:pt idx="423">
                  <c:v>355.34</c:v>
                </c:pt>
                <c:pt idx="424">
                  <c:v>356.8</c:v>
                </c:pt>
                <c:pt idx="425">
                  <c:v>358.37</c:v>
                </c:pt>
                <c:pt idx="426">
                  <c:v>358.91</c:v>
                </c:pt>
                <c:pt idx="427">
                  <c:v>359.97</c:v>
                </c:pt>
                <c:pt idx="428">
                  <c:v>361.26</c:v>
                </c:pt>
                <c:pt idx="429">
                  <c:v>361.69</c:v>
                </c:pt>
                <c:pt idx="430">
                  <c:v>360.94</c:v>
                </c:pt>
                <c:pt idx="431">
                  <c:v>359.55</c:v>
                </c:pt>
                <c:pt idx="432">
                  <c:v>357.48</c:v>
                </c:pt>
                <c:pt idx="433">
                  <c:v>355.84</c:v>
                </c:pt>
                <c:pt idx="434">
                  <c:v>356</c:v>
                </c:pt>
                <c:pt idx="435">
                  <c:v>357.58</c:v>
                </c:pt>
                <c:pt idx="436">
                  <c:v>359.04</c:v>
                </c:pt>
                <c:pt idx="437">
                  <c:v>359.97</c:v>
                </c:pt>
                <c:pt idx="438">
                  <c:v>361</c:v>
                </c:pt>
                <c:pt idx="439">
                  <c:v>361.63</c:v>
                </c:pt>
                <c:pt idx="440">
                  <c:v>363.45</c:v>
                </c:pt>
                <c:pt idx="441">
                  <c:v>363.8</c:v>
                </c:pt>
                <c:pt idx="442">
                  <c:v>363.26</c:v>
                </c:pt>
                <c:pt idx="443">
                  <c:v>361.89</c:v>
                </c:pt>
                <c:pt idx="444">
                  <c:v>359.45</c:v>
                </c:pt>
                <c:pt idx="445">
                  <c:v>358.05</c:v>
                </c:pt>
                <c:pt idx="446">
                  <c:v>357.75</c:v>
                </c:pt>
                <c:pt idx="447">
                  <c:v>359.56</c:v>
                </c:pt>
                <c:pt idx="448">
                  <c:v>360.7</c:v>
                </c:pt>
                <c:pt idx="449">
                  <c:v>362.05</c:v>
                </c:pt>
                <c:pt idx="450">
                  <c:v>363.24</c:v>
                </c:pt>
                <c:pt idx="451">
                  <c:v>364.02</c:v>
                </c:pt>
                <c:pt idx="452">
                  <c:v>364.71</c:v>
                </c:pt>
                <c:pt idx="453">
                  <c:v>365.42</c:v>
                </c:pt>
                <c:pt idx="454">
                  <c:v>364.97</c:v>
                </c:pt>
                <c:pt idx="455">
                  <c:v>363.65</c:v>
                </c:pt>
                <c:pt idx="456">
                  <c:v>361.48</c:v>
                </c:pt>
                <c:pt idx="457">
                  <c:v>359.45</c:v>
                </c:pt>
                <c:pt idx="458">
                  <c:v>359.61</c:v>
                </c:pt>
                <c:pt idx="459">
                  <c:v>360.76</c:v>
                </c:pt>
                <c:pt idx="460">
                  <c:v>362.33</c:v>
                </c:pt>
                <c:pt idx="461">
                  <c:v>363.19</c:v>
                </c:pt>
                <c:pt idx="462">
                  <c:v>363.99</c:v>
                </c:pt>
                <c:pt idx="463">
                  <c:v>364.56</c:v>
                </c:pt>
                <c:pt idx="464">
                  <c:v>366.36</c:v>
                </c:pt>
                <c:pt idx="465">
                  <c:v>366.8</c:v>
                </c:pt>
                <c:pt idx="466">
                  <c:v>365.63</c:v>
                </c:pt>
                <c:pt idx="467">
                  <c:v>364.47</c:v>
                </c:pt>
                <c:pt idx="468">
                  <c:v>362.5</c:v>
                </c:pt>
                <c:pt idx="469">
                  <c:v>360.19</c:v>
                </c:pt>
                <c:pt idx="470">
                  <c:v>360.78</c:v>
                </c:pt>
                <c:pt idx="471">
                  <c:v>362.43</c:v>
                </c:pt>
                <c:pt idx="472">
                  <c:v>364.28</c:v>
                </c:pt>
                <c:pt idx="473">
                  <c:v>365.33</c:v>
                </c:pt>
                <c:pt idx="474">
                  <c:v>366.15</c:v>
                </c:pt>
                <c:pt idx="475">
                  <c:v>367.31</c:v>
                </c:pt>
                <c:pt idx="476">
                  <c:v>368.61</c:v>
                </c:pt>
                <c:pt idx="477">
                  <c:v>369.3</c:v>
                </c:pt>
                <c:pt idx="478">
                  <c:v>368.88</c:v>
                </c:pt>
                <c:pt idx="479">
                  <c:v>367.64</c:v>
                </c:pt>
                <c:pt idx="480">
                  <c:v>365.78</c:v>
                </c:pt>
                <c:pt idx="481">
                  <c:v>363.9</c:v>
                </c:pt>
                <c:pt idx="482">
                  <c:v>364.23</c:v>
                </c:pt>
                <c:pt idx="483">
                  <c:v>365.46</c:v>
                </c:pt>
                <c:pt idx="484">
                  <c:v>366.97</c:v>
                </c:pt>
                <c:pt idx="485">
                  <c:v>368.15</c:v>
                </c:pt>
                <c:pt idx="486">
                  <c:v>368.87</c:v>
                </c:pt>
                <c:pt idx="487">
                  <c:v>369.59</c:v>
                </c:pt>
                <c:pt idx="488">
                  <c:v>371.14</c:v>
                </c:pt>
                <c:pt idx="489">
                  <c:v>371</c:v>
                </c:pt>
                <c:pt idx="490">
                  <c:v>370.35</c:v>
                </c:pt>
                <c:pt idx="491">
                  <c:v>369.27</c:v>
                </c:pt>
                <c:pt idx="492">
                  <c:v>366.93</c:v>
                </c:pt>
                <c:pt idx="493">
                  <c:v>364.64</c:v>
                </c:pt>
                <c:pt idx="494">
                  <c:v>365.13</c:v>
                </c:pt>
                <c:pt idx="495">
                  <c:v>366.68</c:v>
                </c:pt>
                <c:pt idx="496">
                  <c:v>368</c:v>
                </c:pt>
                <c:pt idx="497">
                  <c:v>369.14</c:v>
                </c:pt>
                <c:pt idx="498">
                  <c:v>369.46</c:v>
                </c:pt>
                <c:pt idx="499">
                  <c:v>370.51</c:v>
                </c:pt>
                <c:pt idx="500">
                  <c:v>371.66</c:v>
                </c:pt>
                <c:pt idx="501">
                  <c:v>371.83</c:v>
                </c:pt>
                <c:pt idx="502">
                  <c:v>371.69</c:v>
                </c:pt>
                <c:pt idx="503">
                  <c:v>370.12</c:v>
                </c:pt>
                <c:pt idx="504">
                  <c:v>368.12</c:v>
                </c:pt>
                <c:pt idx="505">
                  <c:v>366.62</c:v>
                </c:pt>
                <c:pt idx="506">
                  <c:v>366.73</c:v>
                </c:pt>
                <c:pt idx="507">
                  <c:v>368.29</c:v>
                </c:pt>
                <c:pt idx="508">
                  <c:v>369.52</c:v>
                </c:pt>
                <c:pt idx="509">
                  <c:v>370.28</c:v>
                </c:pt>
                <c:pt idx="510">
                  <c:v>371.5</c:v>
                </c:pt>
                <c:pt idx="511">
                  <c:v>372.12</c:v>
                </c:pt>
                <c:pt idx="512">
                  <c:v>372.86</c:v>
                </c:pt>
                <c:pt idx="513">
                  <c:v>374.02</c:v>
                </c:pt>
                <c:pt idx="514">
                  <c:v>373.31</c:v>
                </c:pt>
                <c:pt idx="515">
                  <c:v>371.62</c:v>
                </c:pt>
                <c:pt idx="516">
                  <c:v>369.55</c:v>
                </c:pt>
                <c:pt idx="517">
                  <c:v>367.96</c:v>
                </c:pt>
                <c:pt idx="518">
                  <c:v>368.09</c:v>
                </c:pt>
                <c:pt idx="519">
                  <c:v>369.68</c:v>
                </c:pt>
                <c:pt idx="520">
                  <c:v>371.24</c:v>
                </c:pt>
                <c:pt idx="521">
                  <c:v>372.44</c:v>
                </c:pt>
                <c:pt idx="522">
                  <c:v>373.08</c:v>
                </c:pt>
                <c:pt idx="523">
                  <c:v>373.52</c:v>
                </c:pt>
                <c:pt idx="524">
                  <c:v>374.85</c:v>
                </c:pt>
                <c:pt idx="525">
                  <c:v>375.55</c:v>
                </c:pt>
                <c:pt idx="526">
                  <c:v>375.4</c:v>
                </c:pt>
                <c:pt idx="527">
                  <c:v>374.02</c:v>
                </c:pt>
                <c:pt idx="528">
                  <c:v>371.48</c:v>
                </c:pt>
                <c:pt idx="529">
                  <c:v>370.7</c:v>
                </c:pt>
                <c:pt idx="530">
                  <c:v>370.25</c:v>
                </c:pt>
                <c:pt idx="531">
                  <c:v>372.08</c:v>
                </c:pt>
                <c:pt idx="532">
                  <c:v>373.78</c:v>
                </c:pt>
                <c:pt idx="533">
                  <c:v>374.68</c:v>
                </c:pt>
                <c:pt idx="534">
                  <c:v>375.62</c:v>
                </c:pt>
                <c:pt idx="535">
                  <c:v>376.11</c:v>
                </c:pt>
                <c:pt idx="536">
                  <c:v>377.65</c:v>
                </c:pt>
                <c:pt idx="537">
                  <c:v>378.35</c:v>
                </c:pt>
                <c:pt idx="538">
                  <c:v>378.13</c:v>
                </c:pt>
                <c:pt idx="539">
                  <c:v>376.6</c:v>
                </c:pt>
                <c:pt idx="540">
                  <c:v>374.48</c:v>
                </c:pt>
                <c:pt idx="541">
                  <c:v>372.98</c:v>
                </c:pt>
                <c:pt idx="542">
                  <c:v>373</c:v>
                </c:pt>
                <c:pt idx="543">
                  <c:v>374.35</c:v>
                </c:pt>
                <c:pt idx="544">
                  <c:v>375.69</c:v>
                </c:pt>
                <c:pt idx="545">
                  <c:v>376.79</c:v>
                </c:pt>
                <c:pt idx="546">
                  <c:v>377.37</c:v>
                </c:pt>
                <c:pt idx="547">
                  <c:v>378.39</c:v>
                </c:pt>
                <c:pt idx="548">
                  <c:v>380.5</c:v>
                </c:pt>
                <c:pt idx="549">
                  <c:v>380.62</c:v>
                </c:pt>
                <c:pt idx="550">
                  <c:v>379.55</c:v>
                </c:pt>
                <c:pt idx="551">
                  <c:v>377.76</c:v>
                </c:pt>
                <c:pt idx="552">
                  <c:v>375.83</c:v>
                </c:pt>
                <c:pt idx="553">
                  <c:v>374.05</c:v>
                </c:pt>
                <c:pt idx="554">
                  <c:v>374.22</c:v>
                </c:pt>
                <c:pt idx="555">
                  <c:v>375.84</c:v>
                </c:pt>
                <c:pt idx="556">
                  <c:v>377.44</c:v>
                </c:pt>
                <c:pt idx="557">
                  <c:v>378.34</c:v>
                </c:pt>
                <c:pt idx="558">
                  <c:v>379.61</c:v>
                </c:pt>
                <c:pt idx="559">
                  <c:v>380.08</c:v>
                </c:pt>
                <c:pt idx="560">
                  <c:v>382.05</c:v>
                </c:pt>
                <c:pt idx="561">
                  <c:v>382.24</c:v>
                </c:pt>
                <c:pt idx="562">
                  <c:v>382.08</c:v>
                </c:pt>
                <c:pt idx="563">
                  <c:v>380.66</c:v>
                </c:pt>
                <c:pt idx="564">
                  <c:v>378.67</c:v>
                </c:pt>
                <c:pt idx="565">
                  <c:v>376.42</c:v>
                </c:pt>
                <c:pt idx="566">
                  <c:v>376.8</c:v>
                </c:pt>
                <c:pt idx="567">
                  <c:v>378.31</c:v>
                </c:pt>
                <c:pt idx="568">
                  <c:v>379.96</c:v>
                </c:pt>
                <c:pt idx="569">
                  <c:v>381.37</c:v>
                </c:pt>
                <c:pt idx="570">
                  <c:v>382.02</c:v>
                </c:pt>
                <c:pt idx="571">
                  <c:v>382.56</c:v>
                </c:pt>
                <c:pt idx="572">
                  <c:v>384.36</c:v>
                </c:pt>
                <c:pt idx="573">
                  <c:v>384.92</c:v>
                </c:pt>
                <c:pt idx="574">
                  <c:v>384.03</c:v>
                </c:pt>
                <c:pt idx="575">
                  <c:v>382.28</c:v>
                </c:pt>
                <c:pt idx="576">
                  <c:v>380.48</c:v>
                </c:pt>
                <c:pt idx="577">
                  <c:v>378.81</c:v>
                </c:pt>
                <c:pt idx="578">
                  <c:v>379.06</c:v>
                </c:pt>
                <c:pt idx="579">
                  <c:v>380.14</c:v>
                </c:pt>
                <c:pt idx="580">
                  <c:v>381.66</c:v>
                </c:pt>
                <c:pt idx="581">
                  <c:v>382.58</c:v>
                </c:pt>
                <c:pt idx="582">
                  <c:v>383.71</c:v>
                </c:pt>
                <c:pt idx="583">
                  <c:v>384.34</c:v>
                </c:pt>
                <c:pt idx="584">
                  <c:v>386.23</c:v>
                </c:pt>
                <c:pt idx="585">
                  <c:v>386.41</c:v>
                </c:pt>
                <c:pt idx="586">
                  <c:v>385.87</c:v>
                </c:pt>
                <c:pt idx="587">
                  <c:v>384.44</c:v>
                </c:pt>
                <c:pt idx="588">
                  <c:v>381.84</c:v>
                </c:pt>
                <c:pt idx="589">
                  <c:v>380.86</c:v>
                </c:pt>
                <c:pt idx="590">
                  <c:v>380.86</c:v>
                </c:pt>
                <c:pt idx="591">
                  <c:v>382.36</c:v>
                </c:pt>
                <c:pt idx="592">
                  <c:v>383.61</c:v>
                </c:pt>
                <c:pt idx="593">
                  <c:v>385.07</c:v>
                </c:pt>
                <c:pt idx="594">
                  <c:v>385.84</c:v>
                </c:pt>
                <c:pt idx="595">
                  <c:v>385.83</c:v>
                </c:pt>
                <c:pt idx="596">
                  <c:v>386.77</c:v>
                </c:pt>
                <c:pt idx="597">
                  <c:v>388.51</c:v>
                </c:pt>
                <c:pt idx="598">
                  <c:v>388.05</c:v>
                </c:pt>
                <c:pt idx="599">
                  <c:v>386.25</c:v>
                </c:pt>
                <c:pt idx="600">
                  <c:v>384.08</c:v>
                </c:pt>
                <c:pt idx="601">
                  <c:v>383.09</c:v>
                </c:pt>
                <c:pt idx="602">
                  <c:v>382.78</c:v>
                </c:pt>
                <c:pt idx="603">
                  <c:v>384.01</c:v>
                </c:pt>
                <c:pt idx="604">
                  <c:v>385.11</c:v>
                </c:pt>
                <c:pt idx="605">
                  <c:v>386.65</c:v>
                </c:pt>
                <c:pt idx="606">
                  <c:v>387.12</c:v>
                </c:pt>
                <c:pt idx="607">
                  <c:v>388.52</c:v>
                </c:pt>
                <c:pt idx="608">
                  <c:v>389.57</c:v>
                </c:pt>
                <c:pt idx="609">
                  <c:v>390.17</c:v>
                </c:pt>
                <c:pt idx="610">
                  <c:v>389.62</c:v>
                </c:pt>
                <c:pt idx="611">
                  <c:v>388.07</c:v>
                </c:pt>
                <c:pt idx="612">
                  <c:v>386.08</c:v>
                </c:pt>
                <c:pt idx="613">
                  <c:v>384.65</c:v>
                </c:pt>
                <c:pt idx="614">
                  <c:v>384.33</c:v>
                </c:pt>
                <c:pt idx="615">
                  <c:v>386.05</c:v>
                </c:pt>
                <c:pt idx="616">
                  <c:v>387.49</c:v>
                </c:pt>
                <c:pt idx="617">
                  <c:v>388.55</c:v>
                </c:pt>
                <c:pt idx="618">
                  <c:v>390.08</c:v>
                </c:pt>
                <c:pt idx="619">
                  <c:v>391.01</c:v>
                </c:pt>
                <c:pt idx="620">
                  <c:v>392.38</c:v>
                </c:pt>
                <c:pt idx="621">
                  <c:v>393.22</c:v>
                </c:pt>
                <c:pt idx="622">
                  <c:v>392.24</c:v>
                </c:pt>
                <c:pt idx="623">
                  <c:v>390.33</c:v>
                </c:pt>
                <c:pt idx="624">
                  <c:v>388.52</c:v>
                </c:pt>
                <c:pt idx="625">
                  <c:v>386.84</c:v>
                </c:pt>
                <c:pt idx="626">
                  <c:v>387.16</c:v>
                </c:pt>
                <c:pt idx="627">
                  <c:v>388.67</c:v>
                </c:pt>
                <c:pt idx="628">
                  <c:v>389.81</c:v>
                </c:pt>
                <c:pt idx="629">
                  <c:v>391.3</c:v>
                </c:pt>
                <c:pt idx="630">
                  <c:v>391.92</c:v>
                </c:pt>
                <c:pt idx="631">
                  <c:v>392.45</c:v>
                </c:pt>
                <c:pt idx="632">
                  <c:v>393.37</c:v>
                </c:pt>
                <c:pt idx="633">
                  <c:v>394.28</c:v>
                </c:pt>
                <c:pt idx="634">
                  <c:v>393.69</c:v>
                </c:pt>
                <c:pt idx="635">
                  <c:v>392.59</c:v>
                </c:pt>
                <c:pt idx="636">
                  <c:v>390.21</c:v>
                </c:pt>
                <c:pt idx="637">
                  <c:v>389</c:v>
                </c:pt>
                <c:pt idx="638">
                  <c:v>388.93</c:v>
                </c:pt>
                <c:pt idx="639">
                  <c:v>390.24</c:v>
                </c:pt>
                <c:pt idx="640">
                  <c:v>391.8</c:v>
                </c:pt>
                <c:pt idx="641">
                  <c:v>393.07</c:v>
                </c:pt>
                <c:pt idx="642">
                  <c:v>393.35</c:v>
                </c:pt>
                <c:pt idx="643">
                  <c:v>394.36</c:v>
                </c:pt>
                <c:pt idx="644">
                  <c:v>396.43</c:v>
                </c:pt>
                <c:pt idx="645">
                  <c:v>396.87</c:v>
                </c:pt>
                <c:pt idx="646">
                  <c:v>395.88</c:v>
                </c:pt>
                <c:pt idx="647">
                  <c:v>394.52</c:v>
                </c:pt>
                <c:pt idx="648">
                  <c:v>392.54</c:v>
                </c:pt>
                <c:pt idx="649">
                  <c:v>391.13</c:v>
                </c:pt>
                <c:pt idx="650">
                  <c:v>391.01</c:v>
                </c:pt>
                <c:pt idx="651">
                  <c:v>392.95</c:v>
                </c:pt>
                <c:pt idx="652">
                  <c:v>394.33</c:v>
                </c:pt>
                <c:pt idx="653">
                  <c:v>395.61</c:v>
                </c:pt>
                <c:pt idx="654">
                  <c:v>396.85</c:v>
                </c:pt>
                <c:pt idx="655">
                  <c:v>397.26</c:v>
                </c:pt>
                <c:pt idx="656">
                  <c:v>398.35</c:v>
                </c:pt>
                <c:pt idx="657">
                  <c:v>399.98</c:v>
                </c:pt>
                <c:pt idx="658">
                  <c:v>398.87</c:v>
                </c:pt>
                <c:pt idx="659">
                  <c:v>397.37</c:v>
                </c:pt>
                <c:pt idx="660">
                  <c:v>395.41</c:v>
                </c:pt>
                <c:pt idx="661">
                  <c:v>393.39</c:v>
                </c:pt>
                <c:pt idx="662">
                  <c:v>393.7</c:v>
                </c:pt>
                <c:pt idx="663">
                  <c:v>395.19</c:v>
                </c:pt>
                <c:pt idx="664">
                  <c:v>396.82</c:v>
                </c:pt>
                <c:pt idx="665">
                  <c:v>397.93</c:v>
                </c:pt>
                <c:pt idx="666">
                  <c:v>398.1</c:v>
                </c:pt>
                <c:pt idx="667">
                  <c:v>399.47</c:v>
                </c:pt>
                <c:pt idx="668">
                  <c:v>401.33</c:v>
                </c:pt>
                <c:pt idx="669">
                  <c:v>401.88</c:v>
                </c:pt>
                <c:pt idx="670">
                  <c:v>401.31</c:v>
                </c:pt>
                <c:pt idx="671">
                  <c:v>399.07</c:v>
                </c:pt>
                <c:pt idx="672">
                  <c:v>397.21</c:v>
                </c:pt>
                <c:pt idx="673">
                  <c:v>395.4</c:v>
                </c:pt>
                <c:pt idx="674">
                  <c:v>395.65</c:v>
                </c:pt>
                <c:pt idx="675">
                  <c:v>397.23</c:v>
                </c:pt>
                <c:pt idx="676">
                  <c:v>398.79</c:v>
                </c:pt>
                <c:pt idx="677">
                  <c:v>399.85</c:v>
                </c:pt>
                <c:pt idx="678">
                  <c:v>400.31</c:v>
                </c:pt>
                <c:pt idx="679">
                  <c:v>401.51</c:v>
                </c:pt>
                <c:pt idx="680">
                  <c:v>403.45</c:v>
                </c:pt>
                <c:pt idx="681">
                  <c:v>404.1</c:v>
                </c:pt>
                <c:pt idx="682">
                  <c:v>402.88</c:v>
                </c:pt>
                <c:pt idx="683">
                  <c:v>401.61</c:v>
                </c:pt>
                <c:pt idx="684">
                  <c:v>399</c:v>
                </c:pt>
                <c:pt idx="685">
                  <c:v>397.5</c:v>
                </c:pt>
                <c:pt idx="686">
                  <c:v>398.28</c:v>
                </c:pt>
                <c:pt idx="687">
                  <c:v>400.24</c:v>
                </c:pt>
                <c:pt idx="688">
                  <c:v>401.89</c:v>
                </c:pt>
                <c:pt idx="689">
                  <c:v>402.65</c:v>
                </c:pt>
                <c:pt idx="690">
                  <c:v>404.16</c:v>
                </c:pt>
                <c:pt idx="691">
                  <c:v>404.85</c:v>
                </c:pt>
                <c:pt idx="692">
                  <c:v>407.57</c:v>
                </c:pt>
                <c:pt idx="693">
                  <c:v>407.66</c:v>
                </c:pt>
                <c:pt idx="694">
                  <c:v>407</c:v>
                </c:pt>
                <c:pt idx="695">
                  <c:v>404.5</c:v>
                </c:pt>
                <c:pt idx="696">
                  <c:v>402.24</c:v>
                </c:pt>
                <c:pt idx="697">
                  <c:v>401.01</c:v>
                </c:pt>
                <c:pt idx="698">
                  <c:v>401.5</c:v>
                </c:pt>
                <c:pt idx="699">
                  <c:v>403.64</c:v>
                </c:pt>
                <c:pt idx="700">
                  <c:v>404.55</c:v>
                </c:pt>
                <c:pt idx="701">
                  <c:v>406.07</c:v>
                </c:pt>
                <c:pt idx="702">
                  <c:v>406.64</c:v>
                </c:pt>
                <c:pt idx="703">
                  <c:v>407.05</c:v>
                </c:pt>
                <c:pt idx="704">
                  <c:v>408.95</c:v>
                </c:pt>
                <c:pt idx="705">
                  <c:v>409.91</c:v>
                </c:pt>
                <c:pt idx="706">
                  <c:v>409.12</c:v>
                </c:pt>
                <c:pt idx="707">
                  <c:v>407.2</c:v>
                </c:pt>
                <c:pt idx="708">
                  <c:v>405.24</c:v>
                </c:pt>
                <c:pt idx="709">
                  <c:v>403.27</c:v>
                </c:pt>
                <c:pt idx="710">
                  <c:v>403.64</c:v>
                </c:pt>
                <c:pt idx="711">
                  <c:v>405.17</c:v>
                </c:pt>
                <c:pt idx="712">
                  <c:v>406.75</c:v>
                </c:pt>
                <c:pt idx="713">
                  <c:v>408.05</c:v>
                </c:pt>
                <c:pt idx="714">
                  <c:v>408.34</c:v>
                </c:pt>
                <c:pt idx="715">
                  <c:v>409.25</c:v>
                </c:pt>
                <c:pt idx="716">
                  <c:v>410.3</c:v>
                </c:pt>
                <c:pt idx="717">
                  <c:v>411.3</c:v>
                </c:pt>
                <c:pt idx="718">
                  <c:v>410.88</c:v>
                </c:pt>
                <c:pt idx="719">
                  <c:v>408.9</c:v>
                </c:pt>
                <c:pt idx="720">
                  <c:v>407.1</c:v>
                </c:pt>
                <c:pt idx="721">
                  <c:v>405.59</c:v>
                </c:pt>
                <c:pt idx="722">
                  <c:v>405.99</c:v>
                </c:pt>
                <c:pt idx="723">
                  <c:v>408.12</c:v>
                </c:pt>
                <c:pt idx="724">
                  <c:v>409.23</c:v>
                </c:pt>
                <c:pt idx="725">
                  <c:v>410.92</c:v>
                </c:pt>
                <c:pt idx="726">
                  <c:v>411.66</c:v>
                </c:pt>
                <c:pt idx="727">
                  <c:v>412</c:v>
                </c:pt>
                <c:pt idx="728">
                  <c:v>413.52</c:v>
                </c:pt>
                <c:pt idx="729">
                  <c:v>414.83</c:v>
                </c:pt>
                <c:pt idx="730">
                  <c:v>413.96</c:v>
                </c:pt>
                <c:pt idx="731">
                  <c:v>411.85</c:v>
                </c:pt>
                <c:pt idx="732">
                  <c:v>410.08</c:v>
                </c:pt>
                <c:pt idx="733">
                  <c:v>408.55</c:v>
                </c:pt>
                <c:pt idx="734">
                  <c:v>408.43</c:v>
                </c:pt>
                <c:pt idx="735">
                  <c:v>410.29</c:v>
                </c:pt>
                <c:pt idx="736">
                  <c:v>411.85</c:v>
                </c:pt>
                <c:pt idx="737">
                  <c:v>413.37</c:v>
                </c:pt>
                <c:pt idx="738">
                  <c:v>414.09</c:v>
                </c:pt>
                <c:pt idx="739">
                  <c:v>414.51</c:v>
                </c:pt>
                <c:pt idx="740">
                  <c:v>416.18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A3-4861-8163-09640C2DE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206520"/>
        <c:axId val="623210784"/>
      </c:scatterChart>
      <c:valAx>
        <c:axId val="623206520"/>
        <c:scaling>
          <c:orientation val="minMax"/>
          <c:max val="50406"/>
          <c:min val="2118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3210784"/>
        <c:crosses val="autoZero"/>
        <c:crossBetween val="midCat"/>
        <c:majorUnit val="3652.5"/>
      </c:valAx>
      <c:valAx>
        <c:axId val="623210784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3206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季節変動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'2次多項式モデル'!$B$11</c:f>
              <c:strCache>
                <c:ptCount val="1"/>
                <c:pt idx="0">
                  <c:v>S(m)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'2次多項式モデル'!$A$12:$A$24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xVal>
          <c:yVal>
            <c:numRef>
              <c:f>'2次多項式モデル'!$B$12:$B$24</c:f>
              <c:numCache>
                <c:formatCode>General</c:formatCode>
                <c:ptCount val="13"/>
                <c:pt idx="0">
                  <c:v>6.1437948016995841E-2</c:v>
                </c:pt>
                <c:pt idx="1">
                  <c:v>0.69461918939657585</c:v>
                </c:pt>
                <c:pt idx="2">
                  <c:v>1.3737674684313066</c:v>
                </c:pt>
                <c:pt idx="3">
                  <c:v>2.6103146033777413</c:v>
                </c:pt>
                <c:pt idx="4">
                  <c:v>3.065687851218776</c:v>
                </c:pt>
                <c:pt idx="5">
                  <c:v>2.3467878996384672</c:v>
                </c:pt>
                <c:pt idx="6">
                  <c:v>0.7237382709437985</c:v>
                </c:pt>
                <c:pt idx="7">
                  <c:v>-1.3971602754957855</c:v>
                </c:pt>
                <c:pt idx="8">
                  <c:v>-3.1930865292764237</c:v>
                </c:pt>
                <c:pt idx="9">
                  <c:v>-3.3364130058083399</c:v>
                </c:pt>
                <c:pt idx="10">
                  <c:v>-2.0587659563291303</c:v>
                </c:pt>
                <c:pt idx="11">
                  <c:v>-0.89092746411398172</c:v>
                </c:pt>
                <c:pt idx="12">
                  <c:v>6.1437948016995841E-2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8D-4CF5-9956-4E3E07690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614760"/>
        <c:axId val="695614104"/>
      </c:scatterChart>
      <c:valAx>
        <c:axId val="695614760"/>
        <c:scaling>
          <c:orientation val="minMax"/>
          <c:max val="13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5614104"/>
        <c:crosses val="autoZero"/>
        <c:crossBetween val="midCat"/>
        <c:majorUnit val="1"/>
      </c:valAx>
      <c:valAx>
        <c:axId val="69561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5614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'2次多項式モデル'!$L$1</c:f>
              <c:strCache>
                <c:ptCount val="1"/>
                <c:pt idx="0">
                  <c:v>残差(I)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1"/>
          <c:cat>
            <c:numRef>
              <c:f>'2次多項式モデル'!$F$2:$F$955</c:f>
              <c:numCache>
                <c:formatCode>m/d/yyyy</c:formatCode>
                <c:ptCount val="954"/>
                <c:pt idx="0">
                  <c:v>21245</c:v>
                </c:pt>
                <c:pt idx="1">
                  <c:v>21276</c:v>
                </c:pt>
                <c:pt idx="2">
                  <c:v>21306</c:v>
                </c:pt>
                <c:pt idx="3">
                  <c:v>21367</c:v>
                </c:pt>
                <c:pt idx="4">
                  <c:v>21398</c:v>
                </c:pt>
                <c:pt idx="5">
                  <c:v>21429</c:v>
                </c:pt>
                <c:pt idx="6">
                  <c:v>21490</c:v>
                </c:pt>
                <c:pt idx="7">
                  <c:v>21520</c:v>
                </c:pt>
                <c:pt idx="8">
                  <c:v>21551</c:v>
                </c:pt>
                <c:pt idx="9">
                  <c:v>21582</c:v>
                </c:pt>
                <c:pt idx="10">
                  <c:v>21610</c:v>
                </c:pt>
                <c:pt idx="11">
                  <c:v>21641</c:v>
                </c:pt>
                <c:pt idx="12">
                  <c:v>21671</c:v>
                </c:pt>
                <c:pt idx="13">
                  <c:v>21702</c:v>
                </c:pt>
                <c:pt idx="14">
                  <c:v>21732</c:v>
                </c:pt>
                <c:pt idx="15">
                  <c:v>21763</c:v>
                </c:pt>
                <c:pt idx="16">
                  <c:v>21794</c:v>
                </c:pt>
                <c:pt idx="17">
                  <c:v>21824</c:v>
                </c:pt>
                <c:pt idx="18">
                  <c:v>21855</c:v>
                </c:pt>
                <c:pt idx="19">
                  <c:v>21885</c:v>
                </c:pt>
                <c:pt idx="20">
                  <c:v>21916</c:v>
                </c:pt>
                <c:pt idx="21">
                  <c:v>21947</c:v>
                </c:pt>
                <c:pt idx="22">
                  <c:v>21976</c:v>
                </c:pt>
                <c:pt idx="23">
                  <c:v>22007</c:v>
                </c:pt>
                <c:pt idx="24">
                  <c:v>22037</c:v>
                </c:pt>
                <c:pt idx="25">
                  <c:v>22068</c:v>
                </c:pt>
                <c:pt idx="26">
                  <c:v>22098</c:v>
                </c:pt>
                <c:pt idx="27">
                  <c:v>22129</c:v>
                </c:pt>
                <c:pt idx="28">
                  <c:v>22160</c:v>
                </c:pt>
                <c:pt idx="29">
                  <c:v>22190</c:v>
                </c:pt>
                <c:pt idx="30">
                  <c:v>22221</c:v>
                </c:pt>
                <c:pt idx="31">
                  <c:v>22251</c:v>
                </c:pt>
                <c:pt idx="32">
                  <c:v>22282</c:v>
                </c:pt>
                <c:pt idx="33">
                  <c:v>22313</c:v>
                </c:pt>
                <c:pt idx="34">
                  <c:v>22341</c:v>
                </c:pt>
                <c:pt idx="35">
                  <c:v>22372</c:v>
                </c:pt>
                <c:pt idx="36">
                  <c:v>22402</c:v>
                </c:pt>
                <c:pt idx="37">
                  <c:v>22433</c:v>
                </c:pt>
                <c:pt idx="38">
                  <c:v>22463</c:v>
                </c:pt>
                <c:pt idx="39">
                  <c:v>22494</c:v>
                </c:pt>
                <c:pt idx="40">
                  <c:v>22525</c:v>
                </c:pt>
                <c:pt idx="41">
                  <c:v>22555</c:v>
                </c:pt>
                <c:pt idx="42">
                  <c:v>22586</c:v>
                </c:pt>
                <c:pt idx="43">
                  <c:v>22616</c:v>
                </c:pt>
                <c:pt idx="44">
                  <c:v>22647</c:v>
                </c:pt>
                <c:pt idx="45">
                  <c:v>22678</c:v>
                </c:pt>
                <c:pt idx="46">
                  <c:v>22706</c:v>
                </c:pt>
                <c:pt idx="47">
                  <c:v>22737</c:v>
                </c:pt>
                <c:pt idx="48">
                  <c:v>22767</c:v>
                </c:pt>
                <c:pt idx="49">
                  <c:v>22798</c:v>
                </c:pt>
                <c:pt idx="50">
                  <c:v>22828</c:v>
                </c:pt>
                <c:pt idx="51">
                  <c:v>22859</c:v>
                </c:pt>
                <c:pt idx="52">
                  <c:v>22890</c:v>
                </c:pt>
                <c:pt idx="53">
                  <c:v>22920</c:v>
                </c:pt>
                <c:pt idx="54">
                  <c:v>22951</c:v>
                </c:pt>
                <c:pt idx="55">
                  <c:v>22981</c:v>
                </c:pt>
                <c:pt idx="56">
                  <c:v>23012</c:v>
                </c:pt>
                <c:pt idx="57">
                  <c:v>23043</c:v>
                </c:pt>
                <c:pt idx="58">
                  <c:v>23071</c:v>
                </c:pt>
                <c:pt idx="59">
                  <c:v>23102</c:v>
                </c:pt>
                <c:pt idx="60">
                  <c:v>23132</c:v>
                </c:pt>
                <c:pt idx="61">
                  <c:v>23163</c:v>
                </c:pt>
                <c:pt idx="62">
                  <c:v>23193</c:v>
                </c:pt>
                <c:pt idx="63">
                  <c:v>23224</c:v>
                </c:pt>
                <c:pt idx="64">
                  <c:v>23255</c:v>
                </c:pt>
                <c:pt idx="65">
                  <c:v>23285</c:v>
                </c:pt>
                <c:pt idx="66">
                  <c:v>23316</c:v>
                </c:pt>
                <c:pt idx="67">
                  <c:v>23346</c:v>
                </c:pt>
                <c:pt idx="68">
                  <c:v>23377</c:v>
                </c:pt>
                <c:pt idx="69">
                  <c:v>23498</c:v>
                </c:pt>
                <c:pt idx="70">
                  <c:v>23529</c:v>
                </c:pt>
                <c:pt idx="71">
                  <c:v>23559</c:v>
                </c:pt>
                <c:pt idx="72">
                  <c:v>23590</c:v>
                </c:pt>
                <c:pt idx="73">
                  <c:v>23621</c:v>
                </c:pt>
                <c:pt idx="74">
                  <c:v>23651</c:v>
                </c:pt>
                <c:pt idx="75">
                  <c:v>23682</c:v>
                </c:pt>
                <c:pt idx="76">
                  <c:v>23712</c:v>
                </c:pt>
                <c:pt idx="77">
                  <c:v>23743</c:v>
                </c:pt>
                <c:pt idx="78">
                  <c:v>23774</c:v>
                </c:pt>
                <c:pt idx="79">
                  <c:v>23802</c:v>
                </c:pt>
                <c:pt idx="80">
                  <c:v>23833</c:v>
                </c:pt>
                <c:pt idx="81">
                  <c:v>23863</c:v>
                </c:pt>
                <c:pt idx="82">
                  <c:v>23894</c:v>
                </c:pt>
                <c:pt idx="83">
                  <c:v>23924</c:v>
                </c:pt>
                <c:pt idx="84">
                  <c:v>23955</c:v>
                </c:pt>
                <c:pt idx="85">
                  <c:v>23986</c:v>
                </c:pt>
                <c:pt idx="86">
                  <c:v>24016</c:v>
                </c:pt>
                <c:pt idx="87">
                  <c:v>24047</c:v>
                </c:pt>
                <c:pt idx="88">
                  <c:v>24077</c:v>
                </c:pt>
                <c:pt idx="89">
                  <c:v>24108</c:v>
                </c:pt>
                <c:pt idx="90">
                  <c:v>24139</c:v>
                </c:pt>
                <c:pt idx="91">
                  <c:v>24167</c:v>
                </c:pt>
                <c:pt idx="92">
                  <c:v>24198</c:v>
                </c:pt>
                <c:pt idx="93">
                  <c:v>24228</c:v>
                </c:pt>
                <c:pt idx="94">
                  <c:v>24259</c:v>
                </c:pt>
                <c:pt idx="95">
                  <c:v>24289</c:v>
                </c:pt>
                <c:pt idx="96">
                  <c:v>24320</c:v>
                </c:pt>
                <c:pt idx="97">
                  <c:v>24351</c:v>
                </c:pt>
                <c:pt idx="98">
                  <c:v>24381</c:v>
                </c:pt>
                <c:pt idx="99">
                  <c:v>24412</c:v>
                </c:pt>
                <c:pt idx="100">
                  <c:v>24442</c:v>
                </c:pt>
                <c:pt idx="101">
                  <c:v>24473</c:v>
                </c:pt>
                <c:pt idx="102">
                  <c:v>24504</c:v>
                </c:pt>
                <c:pt idx="103">
                  <c:v>24532</c:v>
                </c:pt>
                <c:pt idx="104">
                  <c:v>24563</c:v>
                </c:pt>
                <c:pt idx="105">
                  <c:v>24593</c:v>
                </c:pt>
                <c:pt idx="106">
                  <c:v>24624</c:v>
                </c:pt>
                <c:pt idx="107">
                  <c:v>24654</c:v>
                </c:pt>
                <c:pt idx="108">
                  <c:v>24685</c:v>
                </c:pt>
                <c:pt idx="109">
                  <c:v>24716</c:v>
                </c:pt>
                <c:pt idx="110">
                  <c:v>24746</c:v>
                </c:pt>
                <c:pt idx="111">
                  <c:v>24777</c:v>
                </c:pt>
                <c:pt idx="112">
                  <c:v>24807</c:v>
                </c:pt>
                <c:pt idx="113">
                  <c:v>24838</c:v>
                </c:pt>
                <c:pt idx="114">
                  <c:v>24869</c:v>
                </c:pt>
                <c:pt idx="115">
                  <c:v>24898</c:v>
                </c:pt>
                <c:pt idx="116">
                  <c:v>24929</c:v>
                </c:pt>
                <c:pt idx="117">
                  <c:v>24959</c:v>
                </c:pt>
                <c:pt idx="118">
                  <c:v>24990</c:v>
                </c:pt>
                <c:pt idx="119">
                  <c:v>25020</c:v>
                </c:pt>
                <c:pt idx="120">
                  <c:v>25051</c:v>
                </c:pt>
                <c:pt idx="121">
                  <c:v>25082</c:v>
                </c:pt>
                <c:pt idx="122">
                  <c:v>25112</c:v>
                </c:pt>
                <c:pt idx="123">
                  <c:v>25143</c:v>
                </c:pt>
                <c:pt idx="124">
                  <c:v>25173</c:v>
                </c:pt>
                <c:pt idx="125">
                  <c:v>25204</c:v>
                </c:pt>
                <c:pt idx="126">
                  <c:v>25235</c:v>
                </c:pt>
                <c:pt idx="127">
                  <c:v>25263</c:v>
                </c:pt>
                <c:pt idx="128">
                  <c:v>25294</c:v>
                </c:pt>
                <c:pt idx="129">
                  <c:v>25324</c:v>
                </c:pt>
                <c:pt idx="130">
                  <c:v>25355</c:v>
                </c:pt>
                <c:pt idx="131">
                  <c:v>25385</c:v>
                </c:pt>
                <c:pt idx="132">
                  <c:v>25416</c:v>
                </c:pt>
                <c:pt idx="133">
                  <c:v>25447</c:v>
                </c:pt>
                <c:pt idx="134">
                  <c:v>25477</c:v>
                </c:pt>
                <c:pt idx="135">
                  <c:v>25508</c:v>
                </c:pt>
                <c:pt idx="136">
                  <c:v>25538</c:v>
                </c:pt>
                <c:pt idx="137">
                  <c:v>25569</c:v>
                </c:pt>
                <c:pt idx="138">
                  <c:v>25600</c:v>
                </c:pt>
                <c:pt idx="139">
                  <c:v>25628</c:v>
                </c:pt>
                <c:pt idx="140">
                  <c:v>25659</c:v>
                </c:pt>
                <c:pt idx="141">
                  <c:v>25689</c:v>
                </c:pt>
                <c:pt idx="142">
                  <c:v>25720</c:v>
                </c:pt>
                <c:pt idx="143">
                  <c:v>25750</c:v>
                </c:pt>
                <c:pt idx="144">
                  <c:v>25781</c:v>
                </c:pt>
                <c:pt idx="145">
                  <c:v>25812</c:v>
                </c:pt>
                <c:pt idx="146">
                  <c:v>25842</c:v>
                </c:pt>
                <c:pt idx="147">
                  <c:v>25873</c:v>
                </c:pt>
                <c:pt idx="148">
                  <c:v>25903</c:v>
                </c:pt>
                <c:pt idx="149">
                  <c:v>25934</c:v>
                </c:pt>
                <c:pt idx="150">
                  <c:v>25965</c:v>
                </c:pt>
                <c:pt idx="151">
                  <c:v>25993</c:v>
                </c:pt>
                <c:pt idx="152">
                  <c:v>26024</c:v>
                </c:pt>
                <c:pt idx="153">
                  <c:v>26054</c:v>
                </c:pt>
                <c:pt idx="154">
                  <c:v>26085</c:v>
                </c:pt>
                <c:pt idx="155">
                  <c:v>26115</c:v>
                </c:pt>
                <c:pt idx="156">
                  <c:v>26146</c:v>
                </c:pt>
                <c:pt idx="157">
                  <c:v>26177</c:v>
                </c:pt>
                <c:pt idx="158">
                  <c:v>26207</c:v>
                </c:pt>
                <c:pt idx="159">
                  <c:v>26238</c:v>
                </c:pt>
                <c:pt idx="160">
                  <c:v>26268</c:v>
                </c:pt>
                <c:pt idx="161">
                  <c:v>26299</c:v>
                </c:pt>
                <c:pt idx="162">
                  <c:v>26330</c:v>
                </c:pt>
                <c:pt idx="163">
                  <c:v>26359</c:v>
                </c:pt>
                <c:pt idx="164">
                  <c:v>26390</c:v>
                </c:pt>
                <c:pt idx="165">
                  <c:v>26420</c:v>
                </c:pt>
                <c:pt idx="166">
                  <c:v>26451</c:v>
                </c:pt>
                <c:pt idx="167">
                  <c:v>26481</c:v>
                </c:pt>
                <c:pt idx="168">
                  <c:v>26512</c:v>
                </c:pt>
                <c:pt idx="169">
                  <c:v>26543</c:v>
                </c:pt>
                <c:pt idx="170">
                  <c:v>26573</c:v>
                </c:pt>
                <c:pt idx="171">
                  <c:v>26604</c:v>
                </c:pt>
                <c:pt idx="172">
                  <c:v>26634</c:v>
                </c:pt>
                <c:pt idx="173">
                  <c:v>26665</c:v>
                </c:pt>
                <c:pt idx="174">
                  <c:v>26696</c:v>
                </c:pt>
                <c:pt idx="175">
                  <c:v>26724</c:v>
                </c:pt>
                <c:pt idx="176">
                  <c:v>26755</c:v>
                </c:pt>
                <c:pt idx="177">
                  <c:v>26785</c:v>
                </c:pt>
                <c:pt idx="178">
                  <c:v>26816</c:v>
                </c:pt>
                <c:pt idx="179">
                  <c:v>26846</c:v>
                </c:pt>
                <c:pt idx="180">
                  <c:v>26877</c:v>
                </c:pt>
                <c:pt idx="181">
                  <c:v>26908</c:v>
                </c:pt>
                <c:pt idx="182">
                  <c:v>26938</c:v>
                </c:pt>
                <c:pt idx="183">
                  <c:v>26969</c:v>
                </c:pt>
                <c:pt idx="184">
                  <c:v>26999</c:v>
                </c:pt>
                <c:pt idx="185">
                  <c:v>27030</c:v>
                </c:pt>
                <c:pt idx="186">
                  <c:v>27061</c:v>
                </c:pt>
                <c:pt idx="187">
                  <c:v>27089</c:v>
                </c:pt>
                <c:pt idx="188">
                  <c:v>27120</c:v>
                </c:pt>
                <c:pt idx="189">
                  <c:v>27150</c:v>
                </c:pt>
                <c:pt idx="190">
                  <c:v>27181</c:v>
                </c:pt>
                <c:pt idx="191">
                  <c:v>27211</c:v>
                </c:pt>
                <c:pt idx="192">
                  <c:v>27242</c:v>
                </c:pt>
                <c:pt idx="193">
                  <c:v>27273</c:v>
                </c:pt>
                <c:pt idx="194">
                  <c:v>27303</c:v>
                </c:pt>
                <c:pt idx="195">
                  <c:v>27334</c:v>
                </c:pt>
                <c:pt idx="196">
                  <c:v>27364</c:v>
                </c:pt>
                <c:pt idx="197">
                  <c:v>27395</c:v>
                </c:pt>
                <c:pt idx="198">
                  <c:v>27426</c:v>
                </c:pt>
                <c:pt idx="199">
                  <c:v>27454</c:v>
                </c:pt>
                <c:pt idx="200">
                  <c:v>27485</c:v>
                </c:pt>
                <c:pt idx="201">
                  <c:v>27515</c:v>
                </c:pt>
                <c:pt idx="202">
                  <c:v>27546</c:v>
                </c:pt>
                <c:pt idx="203">
                  <c:v>27576</c:v>
                </c:pt>
                <c:pt idx="204">
                  <c:v>27607</c:v>
                </c:pt>
                <c:pt idx="205">
                  <c:v>27638</c:v>
                </c:pt>
                <c:pt idx="206">
                  <c:v>27668</c:v>
                </c:pt>
                <c:pt idx="207">
                  <c:v>27699</c:v>
                </c:pt>
                <c:pt idx="208">
                  <c:v>27729</c:v>
                </c:pt>
                <c:pt idx="209">
                  <c:v>27760</c:v>
                </c:pt>
                <c:pt idx="210">
                  <c:v>27791</c:v>
                </c:pt>
                <c:pt idx="211">
                  <c:v>27820</c:v>
                </c:pt>
                <c:pt idx="212">
                  <c:v>27851</c:v>
                </c:pt>
                <c:pt idx="213">
                  <c:v>27881</c:v>
                </c:pt>
                <c:pt idx="214">
                  <c:v>27912</c:v>
                </c:pt>
                <c:pt idx="215">
                  <c:v>27942</c:v>
                </c:pt>
                <c:pt idx="216">
                  <c:v>27973</c:v>
                </c:pt>
                <c:pt idx="217">
                  <c:v>28004</c:v>
                </c:pt>
                <c:pt idx="218">
                  <c:v>28034</c:v>
                </c:pt>
                <c:pt idx="219">
                  <c:v>28065</c:v>
                </c:pt>
                <c:pt idx="220">
                  <c:v>28095</c:v>
                </c:pt>
                <c:pt idx="221">
                  <c:v>28126</c:v>
                </c:pt>
                <c:pt idx="222">
                  <c:v>28157</c:v>
                </c:pt>
                <c:pt idx="223">
                  <c:v>28185</c:v>
                </c:pt>
                <c:pt idx="224">
                  <c:v>28216</c:v>
                </c:pt>
                <c:pt idx="225">
                  <c:v>28246</c:v>
                </c:pt>
                <c:pt idx="226">
                  <c:v>28277</c:v>
                </c:pt>
                <c:pt idx="227">
                  <c:v>28307</c:v>
                </c:pt>
                <c:pt idx="228">
                  <c:v>28338</c:v>
                </c:pt>
                <c:pt idx="229">
                  <c:v>28369</c:v>
                </c:pt>
                <c:pt idx="230">
                  <c:v>28399</c:v>
                </c:pt>
                <c:pt idx="231">
                  <c:v>28430</c:v>
                </c:pt>
                <c:pt idx="232">
                  <c:v>28460</c:v>
                </c:pt>
                <c:pt idx="233">
                  <c:v>28491</c:v>
                </c:pt>
                <c:pt idx="234">
                  <c:v>28522</c:v>
                </c:pt>
                <c:pt idx="235">
                  <c:v>28550</c:v>
                </c:pt>
                <c:pt idx="236">
                  <c:v>28581</c:v>
                </c:pt>
                <c:pt idx="237">
                  <c:v>28611</c:v>
                </c:pt>
                <c:pt idx="238">
                  <c:v>28642</c:v>
                </c:pt>
                <c:pt idx="239">
                  <c:v>28672</c:v>
                </c:pt>
                <c:pt idx="240">
                  <c:v>28703</c:v>
                </c:pt>
                <c:pt idx="241">
                  <c:v>28734</c:v>
                </c:pt>
                <c:pt idx="242">
                  <c:v>28764</c:v>
                </c:pt>
                <c:pt idx="243">
                  <c:v>28795</c:v>
                </c:pt>
                <c:pt idx="244">
                  <c:v>28825</c:v>
                </c:pt>
                <c:pt idx="245">
                  <c:v>28856</c:v>
                </c:pt>
                <c:pt idx="246">
                  <c:v>28887</c:v>
                </c:pt>
                <c:pt idx="247">
                  <c:v>28915</c:v>
                </c:pt>
                <c:pt idx="248">
                  <c:v>28946</c:v>
                </c:pt>
                <c:pt idx="249">
                  <c:v>28976</c:v>
                </c:pt>
                <c:pt idx="250">
                  <c:v>29007</c:v>
                </c:pt>
                <c:pt idx="251">
                  <c:v>29037</c:v>
                </c:pt>
                <c:pt idx="252">
                  <c:v>29068</c:v>
                </c:pt>
                <c:pt idx="253">
                  <c:v>29099</c:v>
                </c:pt>
                <c:pt idx="254">
                  <c:v>29129</c:v>
                </c:pt>
                <c:pt idx="255">
                  <c:v>29160</c:v>
                </c:pt>
                <c:pt idx="256">
                  <c:v>29190</c:v>
                </c:pt>
                <c:pt idx="257">
                  <c:v>29221</c:v>
                </c:pt>
                <c:pt idx="258">
                  <c:v>29252</c:v>
                </c:pt>
                <c:pt idx="259">
                  <c:v>29281</c:v>
                </c:pt>
                <c:pt idx="260">
                  <c:v>29312</c:v>
                </c:pt>
                <c:pt idx="261">
                  <c:v>29342</c:v>
                </c:pt>
                <c:pt idx="262">
                  <c:v>29373</c:v>
                </c:pt>
                <c:pt idx="263">
                  <c:v>29403</c:v>
                </c:pt>
                <c:pt idx="264">
                  <c:v>29434</c:v>
                </c:pt>
                <c:pt idx="265">
                  <c:v>29465</c:v>
                </c:pt>
                <c:pt idx="266">
                  <c:v>29495</c:v>
                </c:pt>
                <c:pt idx="267">
                  <c:v>29526</c:v>
                </c:pt>
                <c:pt idx="268">
                  <c:v>29556</c:v>
                </c:pt>
                <c:pt idx="269">
                  <c:v>29587</c:v>
                </c:pt>
                <c:pt idx="270">
                  <c:v>29618</c:v>
                </c:pt>
                <c:pt idx="271">
                  <c:v>29646</c:v>
                </c:pt>
                <c:pt idx="272">
                  <c:v>29677</c:v>
                </c:pt>
                <c:pt idx="273">
                  <c:v>29707</c:v>
                </c:pt>
                <c:pt idx="274">
                  <c:v>29738</c:v>
                </c:pt>
                <c:pt idx="275">
                  <c:v>29768</c:v>
                </c:pt>
                <c:pt idx="276">
                  <c:v>29799</c:v>
                </c:pt>
                <c:pt idx="277">
                  <c:v>29830</c:v>
                </c:pt>
                <c:pt idx="278">
                  <c:v>29860</c:v>
                </c:pt>
                <c:pt idx="279">
                  <c:v>29891</c:v>
                </c:pt>
                <c:pt idx="280">
                  <c:v>29921</c:v>
                </c:pt>
                <c:pt idx="281">
                  <c:v>29952</c:v>
                </c:pt>
                <c:pt idx="282">
                  <c:v>29983</c:v>
                </c:pt>
                <c:pt idx="283">
                  <c:v>30011</c:v>
                </c:pt>
                <c:pt idx="284">
                  <c:v>30042</c:v>
                </c:pt>
                <c:pt idx="285">
                  <c:v>30072</c:v>
                </c:pt>
                <c:pt idx="286">
                  <c:v>30103</c:v>
                </c:pt>
                <c:pt idx="287">
                  <c:v>30133</c:v>
                </c:pt>
                <c:pt idx="288">
                  <c:v>30164</c:v>
                </c:pt>
                <c:pt idx="289">
                  <c:v>30195</c:v>
                </c:pt>
                <c:pt idx="290">
                  <c:v>30225</c:v>
                </c:pt>
                <c:pt idx="291">
                  <c:v>30256</c:v>
                </c:pt>
                <c:pt idx="292">
                  <c:v>30286</c:v>
                </c:pt>
                <c:pt idx="293">
                  <c:v>30317</c:v>
                </c:pt>
                <c:pt idx="294">
                  <c:v>30348</c:v>
                </c:pt>
                <c:pt idx="295">
                  <c:v>30376</c:v>
                </c:pt>
                <c:pt idx="296">
                  <c:v>30407</c:v>
                </c:pt>
                <c:pt idx="297">
                  <c:v>30437</c:v>
                </c:pt>
                <c:pt idx="298">
                  <c:v>30468</c:v>
                </c:pt>
                <c:pt idx="299">
                  <c:v>30498</c:v>
                </c:pt>
                <c:pt idx="300">
                  <c:v>30529</c:v>
                </c:pt>
                <c:pt idx="301">
                  <c:v>30560</c:v>
                </c:pt>
                <c:pt idx="302">
                  <c:v>30590</c:v>
                </c:pt>
                <c:pt idx="303">
                  <c:v>30621</c:v>
                </c:pt>
                <c:pt idx="304">
                  <c:v>30651</c:v>
                </c:pt>
                <c:pt idx="305">
                  <c:v>30682</c:v>
                </c:pt>
                <c:pt idx="306">
                  <c:v>30713</c:v>
                </c:pt>
                <c:pt idx="307">
                  <c:v>30742</c:v>
                </c:pt>
                <c:pt idx="308">
                  <c:v>30773</c:v>
                </c:pt>
                <c:pt idx="309">
                  <c:v>30803</c:v>
                </c:pt>
                <c:pt idx="310">
                  <c:v>30834</c:v>
                </c:pt>
                <c:pt idx="311">
                  <c:v>30864</c:v>
                </c:pt>
                <c:pt idx="312">
                  <c:v>30895</c:v>
                </c:pt>
                <c:pt idx="313">
                  <c:v>30926</c:v>
                </c:pt>
                <c:pt idx="314">
                  <c:v>30956</c:v>
                </c:pt>
                <c:pt idx="315">
                  <c:v>30987</c:v>
                </c:pt>
                <c:pt idx="316">
                  <c:v>31017</c:v>
                </c:pt>
                <c:pt idx="317">
                  <c:v>31048</c:v>
                </c:pt>
                <c:pt idx="318">
                  <c:v>31079</c:v>
                </c:pt>
                <c:pt idx="319">
                  <c:v>31107</c:v>
                </c:pt>
                <c:pt idx="320">
                  <c:v>31138</c:v>
                </c:pt>
                <c:pt idx="321">
                  <c:v>31168</c:v>
                </c:pt>
                <c:pt idx="322">
                  <c:v>31199</c:v>
                </c:pt>
                <c:pt idx="323">
                  <c:v>31229</c:v>
                </c:pt>
                <c:pt idx="324">
                  <c:v>31260</c:v>
                </c:pt>
                <c:pt idx="325">
                  <c:v>31291</c:v>
                </c:pt>
                <c:pt idx="326">
                  <c:v>31321</c:v>
                </c:pt>
                <c:pt idx="327">
                  <c:v>31352</c:v>
                </c:pt>
                <c:pt idx="328">
                  <c:v>31382</c:v>
                </c:pt>
                <c:pt idx="329">
                  <c:v>31413</c:v>
                </c:pt>
                <c:pt idx="330">
                  <c:v>31444</c:v>
                </c:pt>
                <c:pt idx="331">
                  <c:v>31472</c:v>
                </c:pt>
                <c:pt idx="332">
                  <c:v>31503</c:v>
                </c:pt>
                <c:pt idx="333">
                  <c:v>31533</c:v>
                </c:pt>
                <c:pt idx="334">
                  <c:v>31564</c:v>
                </c:pt>
                <c:pt idx="335">
                  <c:v>31594</c:v>
                </c:pt>
                <c:pt idx="336">
                  <c:v>31625</c:v>
                </c:pt>
                <c:pt idx="337">
                  <c:v>31656</c:v>
                </c:pt>
                <c:pt idx="338">
                  <c:v>31686</c:v>
                </c:pt>
                <c:pt idx="339">
                  <c:v>31717</c:v>
                </c:pt>
                <c:pt idx="340">
                  <c:v>31747</c:v>
                </c:pt>
                <c:pt idx="341">
                  <c:v>31778</c:v>
                </c:pt>
                <c:pt idx="342">
                  <c:v>31809</c:v>
                </c:pt>
                <c:pt idx="343">
                  <c:v>31837</c:v>
                </c:pt>
                <c:pt idx="344">
                  <c:v>31868</c:v>
                </c:pt>
                <c:pt idx="345">
                  <c:v>31898</c:v>
                </c:pt>
                <c:pt idx="346">
                  <c:v>31929</c:v>
                </c:pt>
                <c:pt idx="347">
                  <c:v>31959</c:v>
                </c:pt>
                <c:pt idx="348">
                  <c:v>31990</c:v>
                </c:pt>
                <c:pt idx="349">
                  <c:v>32021</c:v>
                </c:pt>
                <c:pt idx="350">
                  <c:v>32051</c:v>
                </c:pt>
                <c:pt idx="351">
                  <c:v>32082</c:v>
                </c:pt>
                <c:pt idx="352">
                  <c:v>32112</c:v>
                </c:pt>
                <c:pt idx="353">
                  <c:v>32143</c:v>
                </c:pt>
                <c:pt idx="354">
                  <c:v>32174</c:v>
                </c:pt>
                <c:pt idx="355">
                  <c:v>32203</c:v>
                </c:pt>
                <c:pt idx="356">
                  <c:v>32234</c:v>
                </c:pt>
                <c:pt idx="357">
                  <c:v>32264</c:v>
                </c:pt>
                <c:pt idx="358">
                  <c:v>32295</c:v>
                </c:pt>
                <c:pt idx="359">
                  <c:v>32325</c:v>
                </c:pt>
                <c:pt idx="360">
                  <c:v>32356</c:v>
                </c:pt>
                <c:pt idx="361">
                  <c:v>32387</c:v>
                </c:pt>
                <c:pt idx="362">
                  <c:v>32417</c:v>
                </c:pt>
                <c:pt idx="363">
                  <c:v>32448</c:v>
                </c:pt>
                <c:pt idx="364">
                  <c:v>32478</c:v>
                </c:pt>
                <c:pt idx="365">
                  <c:v>32509</c:v>
                </c:pt>
                <c:pt idx="366">
                  <c:v>32540</c:v>
                </c:pt>
                <c:pt idx="367">
                  <c:v>32568</c:v>
                </c:pt>
                <c:pt idx="368">
                  <c:v>32599</c:v>
                </c:pt>
                <c:pt idx="369">
                  <c:v>32629</c:v>
                </c:pt>
                <c:pt idx="370">
                  <c:v>32660</c:v>
                </c:pt>
                <c:pt idx="371">
                  <c:v>32690</c:v>
                </c:pt>
                <c:pt idx="372">
                  <c:v>32721</c:v>
                </c:pt>
                <c:pt idx="373">
                  <c:v>32752</c:v>
                </c:pt>
                <c:pt idx="374">
                  <c:v>32782</c:v>
                </c:pt>
                <c:pt idx="375">
                  <c:v>32813</c:v>
                </c:pt>
                <c:pt idx="376">
                  <c:v>32843</c:v>
                </c:pt>
                <c:pt idx="377">
                  <c:v>32874</c:v>
                </c:pt>
                <c:pt idx="378">
                  <c:v>32905</c:v>
                </c:pt>
                <c:pt idx="379">
                  <c:v>32933</c:v>
                </c:pt>
                <c:pt idx="380">
                  <c:v>32964</c:v>
                </c:pt>
                <c:pt idx="381">
                  <c:v>32994</c:v>
                </c:pt>
                <c:pt idx="382">
                  <c:v>33025</c:v>
                </c:pt>
                <c:pt idx="383">
                  <c:v>33055</c:v>
                </c:pt>
                <c:pt idx="384">
                  <c:v>33086</c:v>
                </c:pt>
                <c:pt idx="385">
                  <c:v>33117</c:v>
                </c:pt>
                <c:pt idx="386">
                  <c:v>33147</c:v>
                </c:pt>
                <c:pt idx="387">
                  <c:v>33178</c:v>
                </c:pt>
                <c:pt idx="388">
                  <c:v>33208</c:v>
                </c:pt>
                <c:pt idx="389">
                  <c:v>33239</c:v>
                </c:pt>
                <c:pt idx="390">
                  <c:v>33270</c:v>
                </c:pt>
                <c:pt idx="391">
                  <c:v>33298</c:v>
                </c:pt>
                <c:pt idx="392">
                  <c:v>33329</c:v>
                </c:pt>
                <c:pt idx="393">
                  <c:v>33359</c:v>
                </c:pt>
                <c:pt idx="394">
                  <c:v>33390</c:v>
                </c:pt>
                <c:pt idx="395">
                  <c:v>33420</c:v>
                </c:pt>
                <c:pt idx="396">
                  <c:v>33451</c:v>
                </c:pt>
                <c:pt idx="397">
                  <c:v>33482</c:v>
                </c:pt>
                <c:pt idx="398">
                  <c:v>33512</c:v>
                </c:pt>
                <c:pt idx="399">
                  <c:v>33543</c:v>
                </c:pt>
                <c:pt idx="400">
                  <c:v>33573</c:v>
                </c:pt>
                <c:pt idx="401">
                  <c:v>33604</c:v>
                </c:pt>
                <c:pt idx="402">
                  <c:v>33635</c:v>
                </c:pt>
                <c:pt idx="403">
                  <c:v>33664</c:v>
                </c:pt>
                <c:pt idx="404">
                  <c:v>33695</c:v>
                </c:pt>
                <c:pt idx="405">
                  <c:v>33725</c:v>
                </c:pt>
                <c:pt idx="406">
                  <c:v>33756</c:v>
                </c:pt>
                <c:pt idx="407">
                  <c:v>33786</c:v>
                </c:pt>
                <c:pt idx="408">
                  <c:v>33817</c:v>
                </c:pt>
                <c:pt idx="409">
                  <c:v>33848</c:v>
                </c:pt>
                <c:pt idx="410">
                  <c:v>33878</c:v>
                </c:pt>
                <c:pt idx="411">
                  <c:v>33909</c:v>
                </c:pt>
                <c:pt idx="412">
                  <c:v>33939</c:v>
                </c:pt>
                <c:pt idx="413">
                  <c:v>33970</c:v>
                </c:pt>
                <c:pt idx="414">
                  <c:v>34001</c:v>
                </c:pt>
                <c:pt idx="415">
                  <c:v>34029</c:v>
                </c:pt>
                <c:pt idx="416">
                  <c:v>34060</c:v>
                </c:pt>
                <c:pt idx="417">
                  <c:v>34090</c:v>
                </c:pt>
                <c:pt idx="418">
                  <c:v>34121</c:v>
                </c:pt>
                <c:pt idx="419">
                  <c:v>34151</c:v>
                </c:pt>
                <c:pt idx="420">
                  <c:v>34182</c:v>
                </c:pt>
                <c:pt idx="421">
                  <c:v>34213</c:v>
                </c:pt>
                <c:pt idx="422">
                  <c:v>34243</c:v>
                </c:pt>
                <c:pt idx="423">
                  <c:v>34274</c:v>
                </c:pt>
                <c:pt idx="424">
                  <c:v>34304</c:v>
                </c:pt>
                <c:pt idx="425">
                  <c:v>34335</c:v>
                </c:pt>
                <c:pt idx="426">
                  <c:v>34366</c:v>
                </c:pt>
                <c:pt idx="427">
                  <c:v>34394</c:v>
                </c:pt>
                <c:pt idx="428">
                  <c:v>34425</c:v>
                </c:pt>
                <c:pt idx="429">
                  <c:v>34455</c:v>
                </c:pt>
                <c:pt idx="430">
                  <c:v>34486</c:v>
                </c:pt>
                <c:pt idx="431">
                  <c:v>34516</c:v>
                </c:pt>
                <c:pt idx="432">
                  <c:v>34547</c:v>
                </c:pt>
                <c:pt idx="433">
                  <c:v>34578</c:v>
                </c:pt>
                <c:pt idx="434">
                  <c:v>34608</c:v>
                </c:pt>
                <c:pt idx="435">
                  <c:v>34639</c:v>
                </c:pt>
                <c:pt idx="436">
                  <c:v>34669</c:v>
                </c:pt>
                <c:pt idx="437">
                  <c:v>34700</c:v>
                </c:pt>
                <c:pt idx="438">
                  <c:v>34731</c:v>
                </c:pt>
                <c:pt idx="439">
                  <c:v>34759</c:v>
                </c:pt>
                <c:pt idx="440">
                  <c:v>34790</c:v>
                </c:pt>
                <c:pt idx="441">
                  <c:v>34820</c:v>
                </c:pt>
                <c:pt idx="442">
                  <c:v>34851</c:v>
                </c:pt>
                <c:pt idx="443">
                  <c:v>34881</c:v>
                </c:pt>
                <c:pt idx="444">
                  <c:v>34912</c:v>
                </c:pt>
                <c:pt idx="445">
                  <c:v>34943</c:v>
                </c:pt>
                <c:pt idx="446">
                  <c:v>34973</c:v>
                </c:pt>
                <c:pt idx="447">
                  <c:v>35004</c:v>
                </c:pt>
                <c:pt idx="448">
                  <c:v>35034</c:v>
                </c:pt>
                <c:pt idx="449">
                  <c:v>35065</c:v>
                </c:pt>
                <c:pt idx="450">
                  <c:v>35096</c:v>
                </c:pt>
                <c:pt idx="451">
                  <c:v>35125</c:v>
                </c:pt>
                <c:pt idx="452">
                  <c:v>35156</c:v>
                </c:pt>
                <c:pt idx="453">
                  <c:v>35186</c:v>
                </c:pt>
                <c:pt idx="454">
                  <c:v>35217</c:v>
                </c:pt>
                <c:pt idx="455">
                  <c:v>35247</c:v>
                </c:pt>
                <c:pt idx="456">
                  <c:v>35278</c:v>
                </c:pt>
                <c:pt idx="457">
                  <c:v>35309</c:v>
                </c:pt>
                <c:pt idx="458">
                  <c:v>35339</c:v>
                </c:pt>
                <c:pt idx="459">
                  <c:v>35370</c:v>
                </c:pt>
                <c:pt idx="460">
                  <c:v>35400</c:v>
                </c:pt>
                <c:pt idx="461">
                  <c:v>35431</c:v>
                </c:pt>
                <c:pt idx="462">
                  <c:v>35462</c:v>
                </c:pt>
                <c:pt idx="463">
                  <c:v>35490</c:v>
                </c:pt>
                <c:pt idx="464">
                  <c:v>35521</c:v>
                </c:pt>
                <c:pt idx="465">
                  <c:v>35551</c:v>
                </c:pt>
                <c:pt idx="466">
                  <c:v>35582</c:v>
                </c:pt>
                <c:pt idx="467">
                  <c:v>35612</c:v>
                </c:pt>
                <c:pt idx="468">
                  <c:v>35643</c:v>
                </c:pt>
                <c:pt idx="469">
                  <c:v>35674</c:v>
                </c:pt>
                <c:pt idx="470">
                  <c:v>35704</c:v>
                </c:pt>
                <c:pt idx="471">
                  <c:v>35735</c:v>
                </c:pt>
                <c:pt idx="472">
                  <c:v>35765</c:v>
                </c:pt>
                <c:pt idx="473">
                  <c:v>35796</c:v>
                </c:pt>
                <c:pt idx="474">
                  <c:v>35827</c:v>
                </c:pt>
                <c:pt idx="475">
                  <c:v>35855</c:v>
                </c:pt>
                <c:pt idx="476">
                  <c:v>35886</c:v>
                </c:pt>
                <c:pt idx="477">
                  <c:v>35916</c:v>
                </c:pt>
                <c:pt idx="478">
                  <c:v>35947</c:v>
                </c:pt>
                <c:pt idx="479">
                  <c:v>35977</c:v>
                </c:pt>
                <c:pt idx="480">
                  <c:v>36008</c:v>
                </c:pt>
                <c:pt idx="481">
                  <c:v>36039</c:v>
                </c:pt>
                <c:pt idx="482">
                  <c:v>36069</c:v>
                </c:pt>
                <c:pt idx="483">
                  <c:v>36100</c:v>
                </c:pt>
                <c:pt idx="484">
                  <c:v>36130</c:v>
                </c:pt>
                <c:pt idx="485">
                  <c:v>36161</c:v>
                </c:pt>
                <c:pt idx="486">
                  <c:v>36192</c:v>
                </c:pt>
                <c:pt idx="487">
                  <c:v>36220</c:v>
                </c:pt>
                <c:pt idx="488">
                  <c:v>36251</c:v>
                </c:pt>
                <c:pt idx="489">
                  <c:v>36281</c:v>
                </c:pt>
                <c:pt idx="490">
                  <c:v>36312</c:v>
                </c:pt>
                <c:pt idx="491">
                  <c:v>36342</c:v>
                </c:pt>
                <c:pt idx="492">
                  <c:v>36373</c:v>
                </c:pt>
                <c:pt idx="493">
                  <c:v>36404</c:v>
                </c:pt>
                <c:pt idx="494">
                  <c:v>36434</c:v>
                </c:pt>
                <c:pt idx="495">
                  <c:v>36465</c:v>
                </c:pt>
                <c:pt idx="496">
                  <c:v>36495</c:v>
                </c:pt>
                <c:pt idx="497">
                  <c:v>36526</c:v>
                </c:pt>
                <c:pt idx="498">
                  <c:v>36557</c:v>
                </c:pt>
                <c:pt idx="499">
                  <c:v>36586</c:v>
                </c:pt>
                <c:pt idx="500">
                  <c:v>36617</c:v>
                </c:pt>
                <c:pt idx="501">
                  <c:v>36647</c:v>
                </c:pt>
                <c:pt idx="502">
                  <c:v>36678</c:v>
                </c:pt>
                <c:pt idx="503">
                  <c:v>36708</c:v>
                </c:pt>
                <c:pt idx="504">
                  <c:v>36739</c:v>
                </c:pt>
                <c:pt idx="505">
                  <c:v>36770</c:v>
                </c:pt>
                <c:pt idx="506">
                  <c:v>36800</c:v>
                </c:pt>
                <c:pt idx="507">
                  <c:v>36831</c:v>
                </c:pt>
                <c:pt idx="508">
                  <c:v>36861</c:v>
                </c:pt>
                <c:pt idx="509">
                  <c:v>36892</c:v>
                </c:pt>
                <c:pt idx="510">
                  <c:v>36923</c:v>
                </c:pt>
                <c:pt idx="511">
                  <c:v>36951</c:v>
                </c:pt>
                <c:pt idx="512">
                  <c:v>36982</c:v>
                </c:pt>
                <c:pt idx="513">
                  <c:v>37012</c:v>
                </c:pt>
                <c:pt idx="514">
                  <c:v>37043</c:v>
                </c:pt>
                <c:pt idx="515">
                  <c:v>37073</c:v>
                </c:pt>
                <c:pt idx="516">
                  <c:v>37104</c:v>
                </c:pt>
                <c:pt idx="517">
                  <c:v>37135</c:v>
                </c:pt>
                <c:pt idx="518">
                  <c:v>37165</c:v>
                </c:pt>
                <c:pt idx="519">
                  <c:v>37196</c:v>
                </c:pt>
                <c:pt idx="520">
                  <c:v>37226</c:v>
                </c:pt>
                <c:pt idx="521">
                  <c:v>37257</c:v>
                </c:pt>
                <c:pt idx="522">
                  <c:v>37288</c:v>
                </c:pt>
                <c:pt idx="523">
                  <c:v>37316</c:v>
                </c:pt>
                <c:pt idx="524">
                  <c:v>37347</c:v>
                </c:pt>
                <c:pt idx="525">
                  <c:v>37377</c:v>
                </c:pt>
                <c:pt idx="526">
                  <c:v>37408</c:v>
                </c:pt>
                <c:pt idx="527">
                  <c:v>37438</c:v>
                </c:pt>
                <c:pt idx="528">
                  <c:v>37469</c:v>
                </c:pt>
                <c:pt idx="529">
                  <c:v>37500</c:v>
                </c:pt>
                <c:pt idx="530">
                  <c:v>37530</c:v>
                </c:pt>
                <c:pt idx="531">
                  <c:v>37561</c:v>
                </c:pt>
                <c:pt idx="532">
                  <c:v>37591</c:v>
                </c:pt>
                <c:pt idx="533">
                  <c:v>37622</c:v>
                </c:pt>
                <c:pt idx="534">
                  <c:v>37653</c:v>
                </c:pt>
                <c:pt idx="535">
                  <c:v>37681</c:v>
                </c:pt>
                <c:pt idx="536">
                  <c:v>37712</c:v>
                </c:pt>
                <c:pt idx="537">
                  <c:v>37742</c:v>
                </c:pt>
                <c:pt idx="538">
                  <c:v>37773</c:v>
                </c:pt>
                <c:pt idx="539">
                  <c:v>37803</c:v>
                </c:pt>
                <c:pt idx="540">
                  <c:v>37834</c:v>
                </c:pt>
                <c:pt idx="541">
                  <c:v>37865</c:v>
                </c:pt>
                <c:pt idx="542">
                  <c:v>37895</c:v>
                </c:pt>
                <c:pt idx="543">
                  <c:v>37926</c:v>
                </c:pt>
                <c:pt idx="544">
                  <c:v>37956</c:v>
                </c:pt>
                <c:pt idx="545">
                  <c:v>37987</c:v>
                </c:pt>
                <c:pt idx="546">
                  <c:v>38018</c:v>
                </c:pt>
                <c:pt idx="547">
                  <c:v>38047</c:v>
                </c:pt>
                <c:pt idx="548">
                  <c:v>38078</c:v>
                </c:pt>
                <c:pt idx="549">
                  <c:v>38108</c:v>
                </c:pt>
                <c:pt idx="550">
                  <c:v>38139</c:v>
                </c:pt>
                <c:pt idx="551">
                  <c:v>38169</c:v>
                </c:pt>
                <c:pt idx="552">
                  <c:v>38200</c:v>
                </c:pt>
                <c:pt idx="553">
                  <c:v>38231</c:v>
                </c:pt>
                <c:pt idx="554">
                  <c:v>38261</c:v>
                </c:pt>
                <c:pt idx="555">
                  <c:v>38292</c:v>
                </c:pt>
                <c:pt idx="556">
                  <c:v>38322</c:v>
                </c:pt>
                <c:pt idx="557">
                  <c:v>38353</c:v>
                </c:pt>
                <c:pt idx="558">
                  <c:v>38384</c:v>
                </c:pt>
                <c:pt idx="559">
                  <c:v>38412</c:v>
                </c:pt>
                <c:pt idx="560">
                  <c:v>38443</c:v>
                </c:pt>
                <c:pt idx="561">
                  <c:v>38473</c:v>
                </c:pt>
                <c:pt idx="562">
                  <c:v>38504</c:v>
                </c:pt>
                <c:pt idx="563">
                  <c:v>38534</c:v>
                </c:pt>
                <c:pt idx="564">
                  <c:v>38565</c:v>
                </c:pt>
                <c:pt idx="565">
                  <c:v>38596</c:v>
                </c:pt>
                <c:pt idx="566">
                  <c:v>38626</c:v>
                </c:pt>
                <c:pt idx="567">
                  <c:v>38657</c:v>
                </c:pt>
                <c:pt idx="568">
                  <c:v>38687</c:v>
                </c:pt>
                <c:pt idx="569">
                  <c:v>38718</c:v>
                </c:pt>
                <c:pt idx="570">
                  <c:v>38749</c:v>
                </c:pt>
                <c:pt idx="571">
                  <c:v>38777</c:v>
                </c:pt>
                <c:pt idx="572">
                  <c:v>38808</c:v>
                </c:pt>
                <c:pt idx="573">
                  <c:v>38838</c:v>
                </c:pt>
                <c:pt idx="574">
                  <c:v>38869</c:v>
                </c:pt>
                <c:pt idx="575">
                  <c:v>38899</c:v>
                </c:pt>
                <c:pt idx="576">
                  <c:v>38930</c:v>
                </c:pt>
                <c:pt idx="577">
                  <c:v>38961</c:v>
                </c:pt>
                <c:pt idx="578">
                  <c:v>38991</c:v>
                </c:pt>
                <c:pt idx="579">
                  <c:v>39022</c:v>
                </c:pt>
                <c:pt idx="580">
                  <c:v>39052</c:v>
                </c:pt>
                <c:pt idx="581">
                  <c:v>39083</c:v>
                </c:pt>
                <c:pt idx="582">
                  <c:v>39114</c:v>
                </c:pt>
                <c:pt idx="583">
                  <c:v>39142</c:v>
                </c:pt>
                <c:pt idx="584">
                  <c:v>39173</c:v>
                </c:pt>
                <c:pt idx="585">
                  <c:v>39203</c:v>
                </c:pt>
                <c:pt idx="586">
                  <c:v>39234</c:v>
                </c:pt>
                <c:pt idx="587">
                  <c:v>39264</c:v>
                </c:pt>
                <c:pt idx="588">
                  <c:v>39295</c:v>
                </c:pt>
                <c:pt idx="589">
                  <c:v>39326</c:v>
                </c:pt>
                <c:pt idx="590">
                  <c:v>39356</c:v>
                </c:pt>
                <c:pt idx="591">
                  <c:v>39387</c:v>
                </c:pt>
                <c:pt idx="592">
                  <c:v>39417</c:v>
                </c:pt>
                <c:pt idx="593">
                  <c:v>39448</c:v>
                </c:pt>
                <c:pt idx="594">
                  <c:v>39479</c:v>
                </c:pt>
                <c:pt idx="595">
                  <c:v>39508</c:v>
                </c:pt>
                <c:pt idx="596">
                  <c:v>39539</c:v>
                </c:pt>
                <c:pt idx="597">
                  <c:v>39569</c:v>
                </c:pt>
                <c:pt idx="598">
                  <c:v>39600</c:v>
                </c:pt>
                <c:pt idx="599">
                  <c:v>39630</c:v>
                </c:pt>
                <c:pt idx="600">
                  <c:v>39661</c:v>
                </c:pt>
                <c:pt idx="601">
                  <c:v>39692</c:v>
                </c:pt>
                <c:pt idx="602">
                  <c:v>39722</c:v>
                </c:pt>
                <c:pt idx="603">
                  <c:v>39753</c:v>
                </c:pt>
                <c:pt idx="604">
                  <c:v>39783</c:v>
                </c:pt>
                <c:pt idx="605">
                  <c:v>39814</c:v>
                </c:pt>
                <c:pt idx="606">
                  <c:v>39845</c:v>
                </c:pt>
                <c:pt idx="607">
                  <c:v>39873</c:v>
                </c:pt>
                <c:pt idx="608">
                  <c:v>39904</c:v>
                </c:pt>
                <c:pt idx="609">
                  <c:v>39934</c:v>
                </c:pt>
                <c:pt idx="610">
                  <c:v>39965</c:v>
                </c:pt>
                <c:pt idx="611">
                  <c:v>39995</c:v>
                </c:pt>
                <c:pt idx="612">
                  <c:v>40026</c:v>
                </c:pt>
                <c:pt idx="613">
                  <c:v>40057</c:v>
                </c:pt>
                <c:pt idx="614">
                  <c:v>40087</c:v>
                </c:pt>
                <c:pt idx="615">
                  <c:v>40118</c:v>
                </c:pt>
                <c:pt idx="616">
                  <c:v>40148</c:v>
                </c:pt>
                <c:pt idx="617">
                  <c:v>40179</c:v>
                </c:pt>
                <c:pt idx="618">
                  <c:v>40210</c:v>
                </c:pt>
                <c:pt idx="619">
                  <c:v>40238</c:v>
                </c:pt>
                <c:pt idx="620">
                  <c:v>40269</c:v>
                </c:pt>
                <c:pt idx="621">
                  <c:v>40299</c:v>
                </c:pt>
                <c:pt idx="622">
                  <c:v>40330</c:v>
                </c:pt>
                <c:pt idx="623">
                  <c:v>40360</c:v>
                </c:pt>
                <c:pt idx="624">
                  <c:v>40391</c:v>
                </c:pt>
                <c:pt idx="625">
                  <c:v>40422</c:v>
                </c:pt>
                <c:pt idx="626">
                  <c:v>40452</c:v>
                </c:pt>
                <c:pt idx="627">
                  <c:v>40483</c:v>
                </c:pt>
                <c:pt idx="628">
                  <c:v>40513</c:v>
                </c:pt>
                <c:pt idx="629">
                  <c:v>40544</c:v>
                </c:pt>
                <c:pt idx="630">
                  <c:v>40575</c:v>
                </c:pt>
                <c:pt idx="631">
                  <c:v>40603</c:v>
                </c:pt>
                <c:pt idx="632">
                  <c:v>40634</c:v>
                </c:pt>
                <c:pt idx="633">
                  <c:v>40664</c:v>
                </c:pt>
                <c:pt idx="634">
                  <c:v>40695</c:v>
                </c:pt>
                <c:pt idx="635">
                  <c:v>40725</c:v>
                </c:pt>
                <c:pt idx="636">
                  <c:v>40756</c:v>
                </c:pt>
                <c:pt idx="637">
                  <c:v>40787</c:v>
                </c:pt>
                <c:pt idx="638">
                  <c:v>40817</c:v>
                </c:pt>
                <c:pt idx="639">
                  <c:v>40848</c:v>
                </c:pt>
                <c:pt idx="640">
                  <c:v>40878</c:v>
                </c:pt>
                <c:pt idx="641">
                  <c:v>40909</c:v>
                </c:pt>
                <c:pt idx="642">
                  <c:v>40940</c:v>
                </c:pt>
                <c:pt idx="643">
                  <c:v>40969</c:v>
                </c:pt>
                <c:pt idx="644">
                  <c:v>41000</c:v>
                </c:pt>
                <c:pt idx="645">
                  <c:v>41030</c:v>
                </c:pt>
                <c:pt idx="646">
                  <c:v>41061</c:v>
                </c:pt>
                <c:pt idx="647">
                  <c:v>41091</c:v>
                </c:pt>
                <c:pt idx="648">
                  <c:v>41122</c:v>
                </c:pt>
                <c:pt idx="649">
                  <c:v>41153</c:v>
                </c:pt>
                <c:pt idx="650">
                  <c:v>41183</c:v>
                </c:pt>
                <c:pt idx="651">
                  <c:v>41214</c:v>
                </c:pt>
                <c:pt idx="652">
                  <c:v>41244</c:v>
                </c:pt>
                <c:pt idx="653">
                  <c:v>41275</c:v>
                </c:pt>
                <c:pt idx="654">
                  <c:v>41306</c:v>
                </c:pt>
                <c:pt idx="655">
                  <c:v>41334</c:v>
                </c:pt>
                <c:pt idx="656">
                  <c:v>41365</c:v>
                </c:pt>
                <c:pt idx="657">
                  <c:v>41395</c:v>
                </c:pt>
                <c:pt idx="658">
                  <c:v>41426</c:v>
                </c:pt>
                <c:pt idx="659">
                  <c:v>41456</c:v>
                </c:pt>
                <c:pt idx="660">
                  <c:v>41487</c:v>
                </c:pt>
                <c:pt idx="661">
                  <c:v>41518</c:v>
                </c:pt>
                <c:pt idx="662">
                  <c:v>41548</c:v>
                </c:pt>
                <c:pt idx="663">
                  <c:v>41579</c:v>
                </c:pt>
                <c:pt idx="664">
                  <c:v>41609</c:v>
                </c:pt>
                <c:pt idx="665">
                  <c:v>41640</c:v>
                </c:pt>
                <c:pt idx="666">
                  <c:v>41671</c:v>
                </c:pt>
                <c:pt idx="667">
                  <c:v>41699</c:v>
                </c:pt>
                <c:pt idx="668">
                  <c:v>41730</c:v>
                </c:pt>
                <c:pt idx="669">
                  <c:v>41760</c:v>
                </c:pt>
                <c:pt idx="670">
                  <c:v>41791</c:v>
                </c:pt>
                <c:pt idx="671">
                  <c:v>41821</c:v>
                </c:pt>
                <c:pt idx="672">
                  <c:v>41852</c:v>
                </c:pt>
                <c:pt idx="673">
                  <c:v>41883</c:v>
                </c:pt>
                <c:pt idx="674">
                  <c:v>41913</c:v>
                </c:pt>
                <c:pt idx="675">
                  <c:v>41944</c:v>
                </c:pt>
                <c:pt idx="676">
                  <c:v>41974</c:v>
                </c:pt>
                <c:pt idx="677">
                  <c:v>42005</c:v>
                </c:pt>
                <c:pt idx="678">
                  <c:v>42036</c:v>
                </c:pt>
                <c:pt idx="679">
                  <c:v>42064</c:v>
                </c:pt>
                <c:pt idx="680">
                  <c:v>42095</c:v>
                </c:pt>
                <c:pt idx="681">
                  <c:v>42125</c:v>
                </c:pt>
                <c:pt idx="682">
                  <c:v>42156</c:v>
                </c:pt>
                <c:pt idx="683">
                  <c:v>42186</c:v>
                </c:pt>
                <c:pt idx="684">
                  <c:v>42217</c:v>
                </c:pt>
                <c:pt idx="685">
                  <c:v>42248</c:v>
                </c:pt>
                <c:pt idx="686">
                  <c:v>42278</c:v>
                </c:pt>
                <c:pt idx="687">
                  <c:v>42309</c:v>
                </c:pt>
                <c:pt idx="688">
                  <c:v>42339</c:v>
                </c:pt>
                <c:pt idx="689">
                  <c:v>42370</c:v>
                </c:pt>
                <c:pt idx="690">
                  <c:v>42401</c:v>
                </c:pt>
                <c:pt idx="691">
                  <c:v>42430</c:v>
                </c:pt>
                <c:pt idx="692">
                  <c:v>42461</c:v>
                </c:pt>
                <c:pt idx="693">
                  <c:v>42491</c:v>
                </c:pt>
                <c:pt idx="694">
                  <c:v>42522</c:v>
                </c:pt>
                <c:pt idx="695">
                  <c:v>42552</c:v>
                </c:pt>
                <c:pt idx="696">
                  <c:v>42583</c:v>
                </c:pt>
                <c:pt idx="697">
                  <c:v>42614</c:v>
                </c:pt>
                <c:pt idx="698">
                  <c:v>42644</c:v>
                </c:pt>
                <c:pt idx="699">
                  <c:v>42675</c:v>
                </c:pt>
                <c:pt idx="700">
                  <c:v>42705</c:v>
                </c:pt>
                <c:pt idx="701">
                  <c:v>42736</c:v>
                </c:pt>
                <c:pt idx="702">
                  <c:v>42767</c:v>
                </c:pt>
                <c:pt idx="703">
                  <c:v>42795</c:v>
                </c:pt>
                <c:pt idx="704">
                  <c:v>42826</c:v>
                </c:pt>
                <c:pt idx="705">
                  <c:v>42856</c:v>
                </c:pt>
                <c:pt idx="706">
                  <c:v>42887</c:v>
                </c:pt>
                <c:pt idx="707">
                  <c:v>42917</c:v>
                </c:pt>
                <c:pt idx="708">
                  <c:v>42948</c:v>
                </c:pt>
                <c:pt idx="709">
                  <c:v>42979</c:v>
                </c:pt>
                <c:pt idx="710">
                  <c:v>43009</c:v>
                </c:pt>
                <c:pt idx="711">
                  <c:v>43040</c:v>
                </c:pt>
                <c:pt idx="712">
                  <c:v>43070</c:v>
                </c:pt>
                <c:pt idx="713">
                  <c:v>43101</c:v>
                </c:pt>
                <c:pt idx="714">
                  <c:v>43132</c:v>
                </c:pt>
                <c:pt idx="715">
                  <c:v>43160</c:v>
                </c:pt>
                <c:pt idx="716">
                  <c:v>43191</c:v>
                </c:pt>
                <c:pt idx="717">
                  <c:v>43221</c:v>
                </c:pt>
                <c:pt idx="718">
                  <c:v>43252</c:v>
                </c:pt>
                <c:pt idx="719">
                  <c:v>43282</c:v>
                </c:pt>
                <c:pt idx="720">
                  <c:v>43313</c:v>
                </c:pt>
                <c:pt idx="721">
                  <c:v>43344</c:v>
                </c:pt>
                <c:pt idx="722">
                  <c:v>43374</c:v>
                </c:pt>
                <c:pt idx="723">
                  <c:v>43405</c:v>
                </c:pt>
                <c:pt idx="724">
                  <c:v>43435</c:v>
                </c:pt>
                <c:pt idx="725">
                  <c:v>43466</c:v>
                </c:pt>
                <c:pt idx="726">
                  <c:v>43497</c:v>
                </c:pt>
                <c:pt idx="727">
                  <c:v>43525</c:v>
                </c:pt>
                <c:pt idx="728">
                  <c:v>43556</c:v>
                </c:pt>
                <c:pt idx="729">
                  <c:v>43586</c:v>
                </c:pt>
                <c:pt idx="730">
                  <c:v>43617</c:v>
                </c:pt>
                <c:pt idx="731">
                  <c:v>43647</c:v>
                </c:pt>
                <c:pt idx="732">
                  <c:v>43678</c:v>
                </c:pt>
                <c:pt idx="733">
                  <c:v>43709</c:v>
                </c:pt>
                <c:pt idx="734">
                  <c:v>43739</c:v>
                </c:pt>
                <c:pt idx="735">
                  <c:v>43770</c:v>
                </c:pt>
                <c:pt idx="736">
                  <c:v>43800</c:v>
                </c:pt>
                <c:pt idx="737">
                  <c:v>43831</c:v>
                </c:pt>
                <c:pt idx="738">
                  <c:v>43862</c:v>
                </c:pt>
                <c:pt idx="739">
                  <c:v>43891</c:v>
                </c:pt>
                <c:pt idx="740">
                  <c:v>43922</c:v>
                </c:pt>
                <c:pt idx="741">
                  <c:v>43952</c:v>
                </c:pt>
                <c:pt idx="742">
                  <c:v>43983</c:v>
                </c:pt>
                <c:pt idx="743">
                  <c:v>44013</c:v>
                </c:pt>
                <c:pt idx="744">
                  <c:v>44044</c:v>
                </c:pt>
                <c:pt idx="745">
                  <c:v>44075</c:v>
                </c:pt>
                <c:pt idx="746">
                  <c:v>44105</c:v>
                </c:pt>
                <c:pt idx="747">
                  <c:v>44136</c:v>
                </c:pt>
                <c:pt idx="748">
                  <c:v>44166</c:v>
                </c:pt>
                <c:pt idx="749">
                  <c:v>44197</c:v>
                </c:pt>
                <c:pt idx="750">
                  <c:v>44228</c:v>
                </c:pt>
                <c:pt idx="751">
                  <c:v>44256</c:v>
                </c:pt>
                <c:pt idx="752">
                  <c:v>44287</c:v>
                </c:pt>
                <c:pt idx="753">
                  <c:v>44317</c:v>
                </c:pt>
                <c:pt idx="754">
                  <c:v>44348</c:v>
                </c:pt>
                <c:pt idx="755">
                  <c:v>44378</c:v>
                </c:pt>
                <c:pt idx="756">
                  <c:v>44409</c:v>
                </c:pt>
                <c:pt idx="757">
                  <c:v>44440</c:v>
                </c:pt>
                <c:pt idx="758">
                  <c:v>44470</c:v>
                </c:pt>
                <c:pt idx="759">
                  <c:v>44501</c:v>
                </c:pt>
                <c:pt idx="760">
                  <c:v>44531</c:v>
                </c:pt>
                <c:pt idx="761">
                  <c:v>44562</c:v>
                </c:pt>
                <c:pt idx="762">
                  <c:v>44593</c:v>
                </c:pt>
                <c:pt idx="763">
                  <c:v>44621</c:v>
                </c:pt>
                <c:pt idx="764">
                  <c:v>44652</c:v>
                </c:pt>
                <c:pt idx="765">
                  <c:v>44682</c:v>
                </c:pt>
                <c:pt idx="766">
                  <c:v>44713</c:v>
                </c:pt>
                <c:pt idx="767">
                  <c:v>44743</c:v>
                </c:pt>
                <c:pt idx="768">
                  <c:v>44774</c:v>
                </c:pt>
                <c:pt idx="769">
                  <c:v>44805</c:v>
                </c:pt>
                <c:pt idx="770">
                  <c:v>44835</c:v>
                </c:pt>
                <c:pt idx="771">
                  <c:v>44866</c:v>
                </c:pt>
                <c:pt idx="772">
                  <c:v>44896</c:v>
                </c:pt>
                <c:pt idx="773">
                  <c:v>44927</c:v>
                </c:pt>
                <c:pt idx="774">
                  <c:v>44958</c:v>
                </c:pt>
                <c:pt idx="775">
                  <c:v>44986</c:v>
                </c:pt>
                <c:pt idx="776">
                  <c:v>45017</c:v>
                </c:pt>
                <c:pt idx="777">
                  <c:v>45047</c:v>
                </c:pt>
                <c:pt idx="778">
                  <c:v>45078</c:v>
                </c:pt>
                <c:pt idx="779">
                  <c:v>45108</c:v>
                </c:pt>
                <c:pt idx="780">
                  <c:v>45139</c:v>
                </c:pt>
                <c:pt idx="781">
                  <c:v>45170</c:v>
                </c:pt>
                <c:pt idx="782">
                  <c:v>45200</c:v>
                </c:pt>
                <c:pt idx="783">
                  <c:v>45231</c:v>
                </c:pt>
                <c:pt idx="784">
                  <c:v>45261</c:v>
                </c:pt>
                <c:pt idx="785">
                  <c:v>45292</c:v>
                </c:pt>
                <c:pt idx="786">
                  <c:v>45323</c:v>
                </c:pt>
                <c:pt idx="787">
                  <c:v>45352</c:v>
                </c:pt>
                <c:pt idx="788">
                  <c:v>45383</c:v>
                </c:pt>
                <c:pt idx="789">
                  <c:v>45413</c:v>
                </c:pt>
                <c:pt idx="790">
                  <c:v>45444</c:v>
                </c:pt>
                <c:pt idx="791">
                  <c:v>45474</c:v>
                </c:pt>
                <c:pt idx="792">
                  <c:v>45505</c:v>
                </c:pt>
                <c:pt idx="793">
                  <c:v>45536</c:v>
                </c:pt>
                <c:pt idx="794">
                  <c:v>45566</c:v>
                </c:pt>
                <c:pt idx="795">
                  <c:v>45597</c:v>
                </c:pt>
                <c:pt idx="796">
                  <c:v>45627</c:v>
                </c:pt>
                <c:pt idx="797">
                  <c:v>45658</c:v>
                </c:pt>
                <c:pt idx="798">
                  <c:v>45689</c:v>
                </c:pt>
                <c:pt idx="799">
                  <c:v>45717</c:v>
                </c:pt>
                <c:pt idx="800">
                  <c:v>45748</c:v>
                </c:pt>
                <c:pt idx="801">
                  <c:v>45778</c:v>
                </c:pt>
                <c:pt idx="802">
                  <c:v>45809</c:v>
                </c:pt>
                <c:pt idx="803">
                  <c:v>45839</c:v>
                </c:pt>
                <c:pt idx="804">
                  <c:v>45870</c:v>
                </c:pt>
                <c:pt idx="805">
                  <c:v>45901</c:v>
                </c:pt>
                <c:pt idx="806">
                  <c:v>45931</c:v>
                </c:pt>
                <c:pt idx="807">
                  <c:v>45962</c:v>
                </c:pt>
                <c:pt idx="808">
                  <c:v>45992</c:v>
                </c:pt>
                <c:pt idx="809">
                  <c:v>46023</c:v>
                </c:pt>
                <c:pt idx="810">
                  <c:v>46054</c:v>
                </c:pt>
                <c:pt idx="811">
                  <c:v>46082</c:v>
                </c:pt>
                <c:pt idx="812">
                  <c:v>46113</c:v>
                </c:pt>
                <c:pt idx="813">
                  <c:v>46143</c:v>
                </c:pt>
                <c:pt idx="814">
                  <c:v>46174</c:v>
                </c:pt>
                <c:pt idx="815">
                  <c:v>46204</c:v>
                </c:pt>
                <c:pt idx="816">
                  <c:v>46235</c:v>
                </c:pt>
                <c:pt idx="817">
                  <c:v>46266</c:v>
                </c:pt>
                <c:pt idx="818">
                  <c:v>46296</c:v>
                </c:pt>
                <c:pt idx="819">
                  <c:v>46327</c:v>
                </c:pt>
                <c:pt idx="820">
                  <c:v>46357</c:v>
                </c:pt>
                <c:pt idx="821">
                  <c:v>46388</c:v>
                </c:pt>
                <c:pt idx="822">
                  <c:v>46419</c:v>
                </c:pt>
                <c:pt idx="823">
                  <c:v>46447</c:v>
                </c:pt>
                <c:pt idx="824">
                  <c:v>46478</c:v>
                </c:pt>
                <c:pt idx="825">
                  <c:v>46508</c:v>
                </c:pt>
                <c:pt idx="826">
                  <c:v>46539</c:v>
                </c:pt>
                <c:pt idx="827">
                  <c:v>46569</c:v>
                </c:pt>
                <c:pt idx="828">
                  <c:v>46600</c:v>
                </c:pt>
                <c:pt idx="829">
                  <c:v>46631</c:v>
                </c:pt>
                <c:pt idx="830">
                  <c:v>46661</c:v>
                </c:pt>
                <c:pt idx="831">
                  <c:v>46692</c:v>
                </c:pt>
                <c:pt idx="832">
                  <c:v>46722</c:v>
                </c:pt>
                <c:pt idx="833">
                  <c:v>46753</c:v>
                </c:pt>
                <c:pt idx="834">
                  <c:v>46784</c:v>
                </c:pt>
                <c:pt idx="835">
                  <c:v>46813</c:v>
                </c:pt>
                <c:pt idx="836">
                  <c:v>46844</c:v>
                </c:pt>
                <c:pt idx="837">
                  <c:v>46874</c:v>
                </c:pt>
                <c:pt idx="838">
                  <c:v>46905</c:v>
                </c:pt>
                <c:pt idx="839">
                  <c:v>46935</c:v>
                </c:pt>
                <c:pt idx="840">
                  <c:v>46966</c:v>
                </c:pt>
                <c:pt idx="841">
                  <c:v>46997</c:v>
                </c:pt>
                <c:pt idx="842">
                  <c:v>47027</c:v>
                </c:pt>
                <c:pt idx="843">
                  <c:v>47058</c:v>
                </c:pt>
                <c:pt idx="844">
                  <c:v>47088</c:v>
                </c:pt>
                <c:pt idx="845">
                  <c:v>47119</c:v>
                </c:pt>
                <c:pt idx="846">
                  <c:v>47150</c:v>
                </c:pt>
                <c:pt idx="847">
                  <c:v>47178</c:v>
                </c:pt>
                <c:pt idx="848">
                  <c:v>47209</c:v>
                </c:pt>
                <c:pt idx="849">
                  <c:v>47239</c:v>
                </c:pt>
                <c:pt idx="850">
                  <c:v>47270</c:v>
                </c:pt>
                <c:pt idx="851">
                  <c:v>47300</c:v>
                </c:pt>
                <c:pt idx="852">
                  <c:v>47331</c:v>
                </c:pt>
                <c:pt idx="853">
                  <c:v>47362</c:v>
                </c:pt>
                <c:pt idx="854">
                  <c:v>47392</c:v>
                </c:pt>
                <c:pt idx="855">
                  <c:v>47423</c:v>
                </c:pt>
                <c:pt idx="856">
                  <c:v>47453</c:v>
                </c:pt>
                <c:pt idx="857">
                  <c:v>47484</c:v>
                </c:pt>
                <c:pt idx="858">
                  <c:v>47515</c:v>
                </c:pt>
                <c:pt idx="859">
                  <c:v>47543</c:v>
                </c:pt>
                <c:pt idx="860">
                  <c:v>47574</c:v>
                </c:pt>
                <c:pt idx="861">
                  <c:v>47604</c:v>
                </c:pt>
                <c:pt idx="862">
                  <c:v>47635</c:v>
                </c:pt>
                <c:pt idx="863">
                  <c:v>47665</c:v>
                </c:pt>
                <c:pt idx="864">
                  <c:v>47696</c:v>
                </c:pt>
                <c:pt idx="865">
                  <c:v>47727</c:v>
                </c:pt>
                <c:pt idx="866">
                  <c:v>47757</c:v>
                </c:pt>
                <c:pt idx="867">
                  <c:v>47788</c:v>
                </c:pt>
                <c:pt idx="868">
                  <c:v>47818</c:v>
                </c:pt>
                <c:pt idx="869">
                  <c:v>47849</c:v>
                </c:pt>
                <c:pt idx="870">
                  <c:v>47880</c:v>
                </c:pt>
                <c:pt idx="871">
                  <c:v>47908</c:v>
                </c:pt>
                <c:pt idx="872">
                  <c:v>47939</c:v>
                </c:pt>
                <c:pt idx="873">
                  <c:v>47969</c:v>
                </c:pt>
                <c:pt idx="874">
                  <c:v>48000</c:v>
                </c:pt>
                <c:pt idx="875">
                  <c:v>48030</c:v>
                </c:pt>
                <c:pt idx="876">
                  <c:v>48061</c:v>
                </c:pt>
                <c:pt idx="877">
                  <c:v>48092</c:v>
                </c:pt>
                <c:pt idx="878">
                  <c:v>48122</c:v>
                </c:pt>
                <c:pt idx="879">
                  <c:v>48153</c:v>
                </c:pt>
                <c:pt idx="880">
                  <c:v>48183</c:v>
                </c:pt>
                <c:pt idx="881">
                  <c:v>48214</c:v>
                </c:pt>
                <c:pt idx="882">
                  <c:v>48245</c:v>
                </c:pt>
                <c:pt idx="883">
                  <c:v>48274</c:v>
                </c:pt>
                <c:pt idx="884">
                  <c:v>48305</c:v>
                </c:pt>
                <c:pt idx="885">
                  <c:v>48335</c:v>
                </c:pt>
                <c:pt idx="886">
                  <c:v>48366</c:v>
                </c:pt>
                <c:pt idx="887">
                  <c:v>48396</c:v>
                </c:pt>
                <c:pt idx="888">
                  <c:v>48427</c:v>
                </c:pt>
                <c:pt idx="889">
                  <c:v>48458</c:v>
                </c:pt>
                <c:pt idx="890">
                  <c:v>48488</c:v>
                </c:pt>
                <c:pt idx="891">
                  <c:v>48519</c:v>
                </c:pt>
                <c:pt idx="892">
                  <c:v>48549</c:v>
                </c:pt>
                <c:pt idx="893">
                  <c:v>48580</c:v>
                </c:pt>
                <c:pt idx="894">
                  <c:v>48611</c:v>
                </c:pt>
                <c:pt idx="895">
                  <c:v>48639</c:v>
                </c:pt>
                <c:pt idx="896">
                  <c:v>48670</c:v>
                </c:pt>
                <c:pt idx="897">
                  <c:v>48700</c:v>
                </c:pt>
                <c:pt idx="898">
                  <c:v>48731</c:v>
                </c:pt>
                <c:pt idx="899">
                  <c:v>48761</c:v>
                </c:pt>
                <c:pt idx="900">
                  <c:v>48792</c:v>
                </c:pt>
                <c:pt idx="901">
                  <c:v>48823</c:v>
                </c:pt>
                <c:pt idx="902">
                  <c:v>48853</c:v>
                </c:pt>
                <c:pt idx="903">
                  <c:v>48884</c:v>
                </c:pt>
                <c:pt idx="904">
                  <c:v>48914</c:v>
                </c:pt>
                <c:pt idx="905">
                  <c:v>48945</c:v>
                </c:pt>
                <c:pt idx="906">
                  <c:v>48976</c:v>
                </c:pt>
                <c:pt idx="907">
                  <c:v>49004</c:v>
                </c:pt>
                <c:pt idx="908">
                  <c:v>49035</c:v>
                </c:pt>
                <c:pt idx="909">
                  <c:v>49065</c:v>
                </c:pt>
                <c:pt idx="910">
                  <c:v>49096</c:v>
                </c:pt>
                <c:pt idx="911">
                  <c:v>49126</c:v>
                </c:pt>
                <c:pt idx="912">
                  <c:v>49157</c:v>
                </c:pt>
                <c:pt idx="913">
                  <c:v>49188</c:v>
                </c:pt>
                <c:pt idx="914">
                  <c:v>49218</c:v>
                </c:pt>
                <c:pt idx="915">
                  <c:v>49249</c:v>
                </c:pt>
                <c:pt idx="916">
                  <c:v>49279</c:v>
                </c:pt>
                <c:pt idx="917">
                  <c:v>49310</c:v>
                </c:pt>
                <c:pt idx="918">
                  <c:v>49341</c:v>
                </c:pt>
                <c:pt idx="919">
                  <c:v>49369</c:v>
                </c:pt>
                <c:pt idx="920">
                  <c:v>49400</c:v>
                </c:pt>
                <c:pt idx="921">
                  <c:v>49430</c:v>
                </c:pt>
                <c:pt idx="922">
                  <c:v>49461</c:v>
                </c:pt>
                <c:pt idx="923">
                  <c:v>49491</c:v>
                </c:pt>
                <c:pt idx="924">
                  <c:v>49522</c:v>
                </c:pt>
                <c:pt idx="925">
                  <c:v>49553</c:v>
                </c:pt>
                <c:pt idx="926">
                  <c:v>49583</c:v>
                </c:pt>
                <c:pt idx="927">
                  <c:v>49614</c:v>
                </c:pt>
                <c:pt idx="928">
                  <c:v>49644</c:v>
                </c:pt>
                <c:pt idx="929">
                  <c:v>49675</c:v>
                </c:pt>
                <c:pt idx="930">
                  <c:v>49706</c:v>
                </c:pt>
                <c:pt idx="931">
                  <c:v>49735</c:v>
                </c:pt>
                <c:pt idx="932">
                  <c:v>49766</c:v>
                </c:pt>
                <c:pt idx="933">
                  <c:v>49796</c:v>
                </c:pt>
                <c:pt idx="934">
                  <c:v>49827</c:v>
                </c:pt>
                <c:pt idx="935">
                  <c:v>49857</c:v>
                </c:pt>
                <c:pt idx="936">
                  <c:v>49888</c:v>
                </c:pt>
                <c:pt idx="937">
                  <c:v>49919</c:v>
                </c:pt>
                <c:pt idx="938">
                  <c:v>49949</c:v>
                </c:pt>
                <c:pt idx="939">
                  <c:v>49980</c:v>
                </c:pt>
                <c:pt idx="940">
                  <c:v>50010</c:v>
                </c:pt>
                <c:pt idx="941">
                  <c:v>50041</c:v>
                </c:pt>
                <c:pt idx="942">
                  <c:v>50072</c:v>
                </c:pt>
                <c:pt idx="943">
                  <c:v>50100</c:v>
                </c:pt>
                <c:pt idx="944">
                  <c:v>50131</c:v>
                </c:pt>
                <c:pt idx="945">
                  <c:v>50161</c:v>
                </c:pt>
                <c:pt idx="946">
                  <c:v>50192</c:v>
                </c:pt>
                <c:pt idx="947">
                  <c:v>50222</c:v>
                </c:pt>
                <c:pt idx="948">
                  <c:v>50253</c:v>
                </c:pt>
                <c:pt idx="949">
                  <c:v>50284</c:v>
                </c:pt>
                <c:pt idx="950">
                  <c:v>50314</c:v>
                </c:pt>
                <c:pt idx="951">
                  <c:v>50345</c:v>
                </c:pt>
                <c:pt idx="952">
                  <c:v>50375</c:v>
                </c:pt>
                <c:pt idx="953">
                  <c:v>50406</c:v>
                </c:pt>
              </c:numCache>
            </c:numRef>
          </c:cat>
          <c:val>
            <c:numRef>
              <c:f>'2次多項式モデル'!$L$2:$L$955</c:f>
              <c:numCache>
                <c:formatCode>0.00_ ;[Red]\-0.00\ </c:formatCode>
                <c:ptCount val="954"/>
                <c:pt idx="0">
                  <c:v>0.28531750578650872</c:v>
                </c:pt>
                <c:pt idx="1">
                  <c:v>-0.17344157520545878</c:v>
                </c:pt>
                <c:pt idx="2">
                  <c:v>0.29471798701587204</c:v>
                </c:pt>
                <c:pt idx="3">
                  <c:v>-0.26902182673057951</c:v>
                </c:pt>
                <c:pt idx="4">
                  <c:v>-1.3944849592498372</c:v>
                </c:pt>
                <c:pt idx="5">
                  <c:v>-1.4047873521789143</c:v>
                </c:pt>
                <c:pt idx="6">
                  <c:v>-0.26078571475761692</c:v>
                </c:pt>
                <c:pt idx="7">
                  <c:v>-0.36890198069193048</c:v>
                </c:pt>
                <c:pt idx="8">
                  <c:v>-0.26017107785071403</c:v>
                </c:pt>
                <c:pt idx="9">
                  <c:v>-0.47043589882963488</c:v>
                </c:pt>
                <c:pt idx="10">
                  <c:v>0.10898758836134448</c:v>
                </c:pt>
                <c:pt idx="11">
                  <c:v>0.34244731801203443</c:v>
                </c:pt>
                <c:pt idx="12">
                  <c:v>0.29275411633921067</c:v>
                </c:pt>
                <c:pt idx="13">
                  <c:v>-0.2188624256074263</c:v>
                </c:pt>
                <c:pt idx="14">
                  <c:v>-0.1666196506586175</c:v>
                </c:pt>
                <c:pt idx="15">
                  <c:v>-0.47986397253515634</c:v>
                </c:pt>
                <c:pt idx="16">
                  <c:v>-1.2479475548214509</c:v>
                </c:pt>
                <c:pt idx="17">
                  <c:v>-0.81544040655444405</c:v>
                </c:pt>
                <c:pt idx="18">
                  <c:v>-0.94957987065157567</c:v>
                </c:pt>
                <c:pt idx="19">
                  <c:v>-0.48554890048001198</c:v>
                </c:pt>
                <c:pt idx="20">
                  <c:v>-0.31459918699613354</c:v>
                </c:pt>
                <c:pt idx="21">
                  <c:v>-0.16264519733232419</c:v>
                </c:pt>
                <c:pt idx="22">
                  <c:v>-1.8990519194744593E-2</c:v>
                </c:pt>
                <c:pt idx="23">
                  <c:v>-0.16330589996800882</c:v>
                </c:pt>
                <c:pt idx="24">
                  <c:v>-0.65084598269635308</c:v>
                </c:pt>
                <c:pt idx="25">
                  <c:v>-0.84023763506701243</c:v>
                </c:pt>
                <c:pt idx="26">
                  <c:v>-0.9958417411736491</c:v>
                </c:pt>
                <c:pt idx="27">
                  <c:v>-0.76686117347418303</c:v>
                </c:pt>
                <c:pt idx="28">
                  <c:v>-0.76271986618456822</c:v>
                </c:pt>
                <c:pt idx="29">
                  <c:v>-0.49805959897298635</c:v>
                </c:pt>
                <c:pt idx="30">
                  <c:v>-0.31997417349413126</c:v>
                </c:pt>
                <c:pt idx="31">
                  <c:v>-0.27379008437810626</c:v>
                </c:pt>
                <c:pt idx="32">
                  <c:v>3.9384518681856662E-2</c:v>
                </c:pt>
                <c:pt idx="33">
                  <c:v>-5.6436602078292708E-2</c:v>
                </c:pt>
                <c:pt idx="34">
                  <c:v>-0.1529994501736951</c:v>
                </c:pt>
                <c:pt idx="35">
                  <c:v>0.21490397969574815</c:v>
                </c:pt>
                <c:pt idx="36">
                  <c:v>-0.36048886692663018</c:v>
                </c:pt>
                <c:pt idx="37">
                  <c:v>-0.19766170865460708</c:v>
                </c:pt>
                <c:pt idx="38">
                  <c:v>-0.5511185786553483</c:v>
                </c:pt>
                <c:pt idx="39">
                  <c:v>-0.81991920031322252</c:v>
                </c:pt>
                <c:pt idx="40">
                  <c:v>-0.74355908238084112</c:v>
                </c:pt>
                <c:pt idx="41">
                  <c:v>-1.1367515790634002</c:v>
                </c:pt>
                <c:pt idx="42">
                  <c:v>-0.57644734294183309</c:v>
                </c:pt>
                <c:pt idx="43">
                  <c:v>-0.24811601771989444</c:v>
                </c:pt>
                <c:pt idx="44">
                  <c:v>-0.15272260401724225</c:v>
                </c:pt>
                <c:pt idx="45">
                  <c:v>-5.6324914134677329E-2</c:v>
                </c:pt>
                <c:pt idx="46">
                  <c:v>-0.44088367519788108</c:v>
                </c:pt>
                <c:pt idx="47">
                  <c:v>-2.0761434685709901E-2</c:v>
                </c:pt>
                <c:pt idx="48">
                  <c:v>5.5992954797773109E-2</c:v>
                </c:pt>
                <c:pt idx="49">
                  <c:v>-0.18896107628751224</c:v>
                </c:pt>
                <c:pt idx="50">
                  <c:v>-0.73027071018236711</c:v>
                </c:pt>
                <c:pt idx="51">
                  <c:v>-0.5668525211974611</c:v>
                </c:pt>
                <c:pt idx="52">
                  <c:v>-1.1382735926223972</c:v>
                </c:pt>
                <c:pt idx="53">
                  <c:v>-0.37931885319909497</c:v>
                </c:pt>
                <c:pt idx="54">
                  <c:v>-0.29679580643477266</c:v>
                </c:pt>
                <c:pt idx="55">
                  <c:v>-6.6317245106972678E-2</c:v>
                </c:pt>
                <c:pt idx="56">
                  <c:v>-7.8705020761617561E-2</c:v>
                </c:pt>
                <c:pt idx="57">
                  <c:v>0.29991147976369348</c:v>
                </c:pt>
                <c:pt idx="58">
                  <c:v>0.25735680573257014</c:v>
                </c:pt>
                <c:pt idx="59">
                  <c:v>4.9697856887519265E-2</c:v>
                </c:pt>
                <c:pt idx="60">
                  <c:v>-0.29140051752318641</c:v>
                </c:pt>
                <c:pt idx="61">
                  <c:v>-0.16413573796569381</c:v>
                </c:pt>
                <c:pt idx="62">
                  <c:v>2.670186424535359E-2</c:v>
                </c:pt>
                <c:pt idx="63">
                  <c:v>-4.7661136127032933E-2</c:v>
                </c:pt>
                <c:pt idx="64">
                  <c:v>-0.20686339690917066</c:v>
                </c:pt>
                <c:pt idx="65">
                  <c:v>-5.5761421380054799E-2</c:v>
                </c:pt>
                <c:pt idx="66">
                  <c:v>0.21898043602698181</c:v>
                </c:pt>
                <c:pt idx="67">
                  <c:v>0.18160623346062721</c:v>
                </c:pt>
                <c:pt idx="68">
                  <c:v>-8.562731551194247E-3</c:v>
                </c:pt>
                <c:pt idx="69">
                  <c:v>0.60985627603912462</c:v>
                </c:pt>
                <c:pt idx="70">
                  <c:v>0.3393459451726244</c:v>
                </c:pt>
                <c:pt idx="71">
                  <c:v>0.24233666632812856</c:v>
                </c:pt>
                <c:pt idx="72">
                  <c:v>-4.9801444468300815E-2</c:v>
                </c:pt>
                <c:pt idx="73">
                  <c:v>0.22322118432555271</c:v>
                </c:pt>
                <c:pt idx="74">
                  <c:v>-1.3523721200783712E-2</c:v>
                </c:pt>
                <c:pt idx="75">
                  <c:v>0.53344302578221914</c:v>
                </c:pt>
                <c:pt idx="76">
                  <c:v>0.74822194216045546</c:v>
                </c:pt>
                <c:pt idx="77">
                  <c:v>1.0502778667245707</c:v>
                </c:pt>
                <c:pt idx="78">
                  <c:v>0.76333806746856681</c:v>
                </c:pt>
                <c:pt idx="79">
                  <c:v>1.0647970581511572</c:v>
                </c:pt>
                <c:pt idx="80">
                  <c:v>1.131581809524846</c:v>
                </c:pt>
                <c:pt idx="81">
                  <c:v>1.6347837901644766</c:v>
                </c:pt>
                <c:pt idx="82">
                  <c:v>1.2964922699407566</c:v>
                </c:pt>
                <c:pt idx="83">
                  <c:v>0.41163022720212439</c:v>
                </c:pt>
                <c:pt idx="84">
                  <c:v>0.71171092704844341</c:v>
                </c:pt>
                <c:pt idx="85">
                  <c:v>5.6952366485006678E-2</c:v>
                </c:pt>
                <c:pt idx="86">
                  <c:v>0.50235469706450431</c:v>
                </c:pt>
                <c:pt idx="87">
                  <c:v>0.29154025469028966</c:v>
                </c:pt>
                <c:pt idx="88">
                  <c:v>0.98846640717431455</c:v>
                </c:pt>
                <c:pt idx="89">
                  <c:v>0.82274114238117591</c:v>
                </c:pt>
                <c:pt idx="90">
                  <c:v>0.55802015376792724</c:v>
                </c:pt>
                <c:pt idx="91">
                  <c:v>0.52148323148270492</c:v>
                </c:pt>
                <c:pt idx="92">
                  <c:v>0.53048679349910799</c:v>
                </c:pt>
                <c:pt idx="93">
                  <c:v>0.68583601024465679</c:v>
                </c:pt>
                <c:pt idx="94">
                  <c:v>0.37976330066356923</c:v>
                </c:pt>
                <c:pt idx="95">
                  <c:v>0.20704849403080061</c:v>
                </c:pt>
                <c:pt idx="96">
                  <c:v>0.18934800451989986</c:v>
                </c:pt>
                <c:pt idx="97">
                  <c:v>0.1968082545992047</c:v>
                </c:pt>
                <c:pt idx="98">
                  <c:v>0.67435782128455912</c:v>
                </c:pt>
                <c:pt idx="99">
                  <c:v>0.35576218955310424</c:v>
                </c:pt>
                <c:pt idx="100">
                  <c:v>0.35483557814302458</c:v>
                </c:pt>
                <c:pt idx="101">
                  <c:v>9.1329123992579753E-2</c:v>
                </c:pt>
                <c:pt idx="102">
                  <c:v>0.63882694602204992</c:v>
                </c:pt>
                <c:pt idx="103">
                  <c:v>0.85429411076893302</c:v>
                </c:pt>
                <c:pt idx="104">
                  <c:v>0.79551648342805947</c:v>
                </c:pt>
                <c:pt idx="105">
                  <c:v>0.75301293627944688</c:v>
                </c:pt>
                <c:pt idx="106">
                  <c:v>1.0291590373411736</c:v>
                </c:pt>
                <c:pt idx="107">
                  <c:v>1.0385914668142391</c:v>
                </c:pt>
                <c:pt idx="108">
                  <c:v>0.62310978794602079</c:v>
                </c:pt>
                <c:pt idx="109">
                  <c:v>0.58278884866808767</c:v>
                </c:pt>
                <c:pt idx="110">
                  <c:v>0.38248565145937619</c:v>
                </c:pt>
                <c:pt idx="111">
                  <c:v>0.40610883037055601</c:v>
                </c:pt>
                <c:pt idx="112">
                  <c:v>0.42732945506639908</c:v>
                </c:pt>
                <c:pt idx="113">
                  <c:v>0.85604181155866854</c:v>
                </c:pt>
                <c:pt idx="114">
                  <c:v>0.99575844423088711</c:v>
                </c:pt>
                <c:pt idx="115">
                  <c:v>1.0160297884085026</c:v>
                </c:pt>
                <c:pt idx="116">
                  <c:v>1.2094770506436134</c:v>
                </c:pt>
                <c:pt idx="117">
                  <c:v>1.1991266224395076</c:v>
                </c:pt>
                <c:pt idx="118">
                  <c:v>0.77749761307717336</c:v>
                </c:pt>
                <c:pt idx="119">
                  <c:v>0.45908316149484563</c:v>
                </c:pt>
                <c:pt idx="120">
                  <c:v>0.45582637220263678</c:v>
                </c:pt>
                <c:pt idx="121">
                  <c:v>0.52773032250070173</c:v>
                </c:pt>
                <c:pt idx="122">
                  <c:v>0.54958024423643792</c:v>
                </c:pt>
                <c:pt idx="123">
                  <c:v>0.84542831272364083</c:v>
                </c:pt>
                <c:pt idx="124">
                  <c:v>0.52880205636398614</c:v>
                </c:pt>
                <c:pt idx="125">
                  <c:v>0.45973930243224004</c:v>
                </c:pt>
                <c:pt idx="126">
                  <c:v>0.77168082468045895</c:v>
                </c:pt>
                <c:pt idx="127">
                  <c:v>0.31116165414101715</c:v>
                </c:pt>
                <c:pt idx="128">
                  <c:v>0.60682772701886734</c:v>
                </c:pt>
                <c:pt idx="129">
                  <c:v>0.42862453492068653</c:v>
                </c:pt>
                <c:pt idx="130">
                  <c:v>0.4692143362011052</c:v>
                </c:pt>
                <c:pt idx="131">
                  <c:v>-0.2370528792754385</c:v>
                </c:pt>
                <c:pt idx="132">
                  <c:v>-4.8090857924933061E-2</c:v>
                </c:pt>
                <c:pt idx="133">
                  <c:v>-0.47396809698415154</c:v>
                </c:pt>
                <c:pt idx="134">
                  <c:v>7.0029060857507375E-2</c:v>
                </c:pt>
                <c:pt idx="135">
                  <c:v>0.36809593998742685</c:v>
                </c:pt>
                <c:pt idx="136">
                  <c:v>0.35361691973361076</c:v>
                </c:pt>
                <c:pt idx="137">
                  <c:v>0.45677297644465398</c:v>
                </c:pt>
                <c:pt idx="138">
                  <c:v>0.26093330933554171</c:v>
                </c:pt>
                <c:pt idx="139">
                  <c:v>7.241822582830082E-2</c:v>
                </c:pt>
                <c:pt idx="140">
                  <c:v>0.20030310934885165</c:v>
                </c:pt>
                <c:pt idx="141">
                  <c:v>0.79424715335653673</c:v>
                </c:pt>
                <c:pt idx="142">
                  <c:v>0.57705576527968105</c:v>
                </c:pt>
                <c:pt idx="143">
                  <c:v>0.37293578590902143</c:v>
                </c:pt>
                <c:pt idx="144">
                  <c:v>-5.8833820977497453E-3</c:v>
                </c:pt>
                <c:pt idx="145">
                  <c:v>-0.11954181051424939</c:v>
                </c:pt>
                <c:pt idx="146">
                  <c:v>-0.13339741656676551</c:v>
                </c:pt>
                <c:pt idx="147">
                  <c:v>0.28688827320598875</c:v>
                </c:pt>
                <c:pt idx="148">
                  <c:v>0.42455648905797716</c:v>
                </c:pt>
                <c:pt idx="149">
                  <c:v>0.42993135641171421</c:v>
                </c:pt>
                <c:pt idx="150">
                  <c:v>0.64631049994540035</c:v>
                </c:pt>
                <c:pt idx="151">
                  <c:v>0.91979950347024442</c:v>
                </c:pt>
                <c:pt idx="152">
                  <c:v>1.6299031976335527</c:v>
                </c:pt>
                <c:pt idx="153">
                  <c:v>1.0359944777470673</c:v>
                </c:pt>
                <c:pt idx="154">
                  <c:v>0.77102190031297368</c:v>
                </c:pt>
                <c:pt idx="155">
                  <c:v>0.44904915704819359</c:v>
                </c:pt>
                <c:pt idx="156">
                  <c:v>0.35244879968416853</c:v>
                </c:pt>
                <c:pt idx="157">
                  <c:v>0.7210091819103468</c:v>
                </c:pt>
                <c:pt idx="158">
                  <c:v>0.4693008119637625</c:v>
                </c:pt>
                <c:pt idx="159">
                  <c:v>0.60180531237915602</c:v>
                </c:pt>
                <c:pt idx="160">
                  <c:v>0.65162076433711036</c:v>
                </c:pt>
                <c:pt idx="161">
                  <c:v>0.93921444233359352</c:v>
                </c:pt>
                <c:pt idx="162">
                  <c:v>0.8078123965099735</c:v>
                </c:pt>
                <c:pt idx="163">
                  <c:v>1.4563920737076046</c:v>
                </c:pt>
                <c:pt idx="164">
                  <c:v>0.81872065744687461</c:v>
                </c:pt>
                <c:pt idx="165">
                  <c:v>1.0169650565049437</c:v>
                </c:pt>
                <c:pt idx="166">
                  <c:v>1.3742173686468391</c:v>
                </c:pt>
                <c:pt idx="167">
                  <c:v>0.8943977443265112</c:v>
                </c:pt>
                <c:pt idx="168">
                  <c:v>0.59002227653854789</c:v>
                </c:pt>
                <c:pt idx="169">
                  <c:v>0.37080754834079244</c:v>
                </c:pt>
                <c:pt idx="170">
                  <c:v>-3.8747702661339645E-2</c:v>
                </c:pt>
                <c:pt idx="171">
                  <c:v>3.5981687330036038E-2</c:v>
                </c:pt>
                <c:pt idx="172">
                  <c:v>0.24795025823243577</c:v>
                </c:pt>
                <c:pt idx="173">
                  <c:v>0.29776882580495112</c:v>
                </c:pt>
                <c:pt idx="174">
                  <c:v>1.8591669557338264E-2</c:v>
                </c:pt>
                <c:pt idx="175">
                  <c:v>4.6094337795864249E-2</c:v>
                </c:pt>
                <c:pt idx="176">
                  <c:v>0.18064173217794632</c:v>
                </c:pt>
                <c:pt idx="177">
                  <c:v>-0.24896663265820962</c:v>
                </c:pt>
                <c:pt idx="178">
                  <c:v>-0.45949550987353405</c:v>
                </c:pt>
                <c:pt idx="179">
                  <c:v>-0.78716789808800058</c:v>
                </c:pt>
                <c:pt idx="180">
                  <c:v>-1.2493245552332723</c:v>
                </c:pt>
                <c:pt idx="181">
                  <c:v>-1.1463204727883181</c:v>
                </c:pt>
                <c:pt idx="182">
                  <c:v>-0.86372848768456834</c:v>
                </c:pt>
                <c:pt idx="183">
                  <c:v>-0.46678028705042607</c:v>
                </c:pt>
                <c:pt idx="184">
                  <c:v>0.31733551995790776</c:v>
                </c:pt>
                <c:pt idx="185">
                  <c:v>0.65937289817304645</c:v>
                </c:pt>
                <c:pt idx="186">
                  <c:v>3.2414552568241106E-2</c:v>
                </c:pt>
                <c:pt idx="187">
                  <c:v>3.1921307838842949E-2</c:v>
                </c:pt>
                <c:pt idx="188">
                  <c:v>0.19868751286367115</c:v>
                </c:pt>
                <c:pt idx="189">
                  <c:v>0.31122638413341974</c:v>
                </c:pt>
                <c:pt idx="190">
                  <c:v>0.53291631756076185</c:v>
                </c:pt>
                <c:pt idx="191">
                  <c:v>7.7391165452183941E-2</c:v>
                </c:pt>
                <c:pt idx="192">
                  <c:v>-0.15254668105035307</c:v>
                </c:pt>
                <c:pt idx="193">
                  <c:v>0.11267621203734279</c:v>
                </c:pt>
                <c:pt idx="194">
                  <c:v>0.12741543324693794</c:v>
                </c:pt>
                <c:pt idx="195">
                  <c:v>0.41658244452383997</c:v>
                </c:pt>
                <c:pt idx="196">
                  <c:v>0.57284548763800558</c:v>
                </c:pt>
                <c:pt idx="197">
                  <c:v>0.79710167649591313</c:v>
                </c:pt>
                <c:pt idx="198">
                  <c:v>0.53236214153378114</c:v>
                </c:pt>
                <c:pt idx="199">
                  <c:v>0.66387298383659754</c:v>
                </c:pt>
                <c:pt idx="200">
                  <c:v>0.73285799950406272</c:v>
                </c:pt>
                <c:pt idx="201">
                  <c:v>0.62754410687972495</c:v>
                </c:pt>
                <c:pt idx="202">
                  <c:v>0.38145285094975634</c:v>
                </c:pt>
                <c:pt idx="203">
                  <c:v>0.5580749349471148</c:v>
                </c:pt>
                <c:pt idx="204">
                  <c:v>0.38035589908730572</c:v>
                </c:pt>
                <c:pt idx="205">
                  <c:v>0.18779760281768176</c:v>
                </c:pt>
                <c:pt idx="206">
                  <c:v>0.36468406013318599</c:v>
                </c:pt>
                <c:pt idx="207">
                  <c:v>0.59606988205280231</c:v>
                </c:pt>
                <c:pt idx="208">
                  <c:v>0.59448016127282699</c:v>
                </c:pt>
                <c:pt idx="209">
                  <c:v>0.66095516077348293</c:v>
                </c:pt>
                <c:pt idx="210">
                  <c:v>0.57843443645407433</c:v>
                </c:pt>
                <c:pt idx="211">
                  <c:v>0.4253224466717711</c:v>
                </c:pt>
                <c:pt idx="212">
                  <c:v>0.68653235191527529</c:v>
                </c:pt>
                <c:pt idx="213">
                  <c:v>0.94337157823537154</c:v>
                </c:pt>
                <c:pt idx="214">
                  <c:v>0.87950521188145103</c:v>
                </c:pt>
                <c:pt idx="215">
                  <c:v>0.6382804148232708</c:v>
                </c:pt>
                <c:pt idx="216">
                  <c:v>0.73278626853948481</c:v>
                </c:pt>
                <c:pt idx="217">
                  <c:v>0.68245286184583165</c:v>
                </c:pt>
                <c:pt idx="218">
                  <c:v>1.0014924381058563</c:v>
                </c:pt>
                <c:pt idx="219">
                  <c:v>1.0151031496014866</c:v>
                </c:pt>
                <c:pt idx="220">
                  <c:v>0.91566654776596579</c:v>
                </c:pt>
                <c:pt idx="221">
                  <c:v>0.7243664368426721</c:v>
                </c:pt>
                <c:pt idx="222">
                  <c:v>0.97407060209923202</c:v>
                </c:pt>
                <c:pt idx="223">
                  <c:v>0.46959510911580082</c:v>
                </c:pt>
                <c:pt idx="224">
                  <c:v>0.4430238250020011</c:v>
                </c:pt>
                <c:pt idx="225">
                  <c:v>0.32201028742798599</c:v>
                </c:pt>
                <c:pt idx="226">
                  <c:v>0.19036273171678886</c:v>
                </c:pt>
                <c:pt idx="227">
                  <c:v>2.1285170764485883E-2</c:v>
                </c:pt>
                <c:pt idx="228">
                  <c:v>0.17800983512341872</c:v>
                </c:pt>
                <c:pt idx="229">
                  <c:v>-0.35010476092742238</c:v>
                </c:pt>
                <c:pt idx="230">
                  <c:v>4.1082051438365852E-2</c:v>
                </c:pt>
                <c:pt idx="231">
                  <c:v>0.18691157357676502</c:v>
                </c:pt>
                <c:pt idx="232">
                  <c:v>9.6222078470873385E-3</c:v>
                </c:pt>
                <c:pt idx="233">
                  <c:v>-4.9459092433494334E-2</c:v>
                </c:pt>
                <c:pt idx="234">
                  <c:v>0.27246388346583217</c:v>
                </c:pt>
                <c:pt idx="235">
                  <c:v>-0.20000752248552089</c:v>
                </c:pt>
                <c:pt idx="236">
                  <c:v>2.5640004043452791E-2</c:v>
                </c:pt>
                <c:pt idx="237">
                  <c:v>0.33677370257532857</c:v>
                </c:pt>
                <c:pt idx="238">
                  <c:v>-0.16265504249315654</c:v>
                </c:pt>
                <c:pt idx="239">
                  <c:v>-0.31958536733958454</c:v>
                </c:pt>
                <c:pt idx="240">
                  <c:v>-0.47064189233793741</c:v>
                </c:pt>
                <c:pt idx="241">
                  <c:v>-0.23653767774607104</c:v>
                </c:pt>
                <c:pt idx="242">
                  <c:v>-6.3203629274369177E-2</c:v>
                </c:pt>
                <c:pt idx="243">
                  <c:v>-4.5155296493305741E-2</c:v>
                </c:pt>
                <c:pt idx="244">
                  <c:v>0.19970257388297341</c:v>
                </c:pt>
                <c:pt idx="245">
                  <c:v>-1.715991575491671E-2</c:v>
                </c:pt>
                <c:pt idx="246">
                  <c:v>0.19698187078711271</c:v>
                </c:pt>
                <c:pt idx="247">
                  <c:v>-0.22348544813206672</c:v>
                </c:pt>
                <c:pt idx="248">
                  <c:v>0.20438088903961216</c:v>
                </c:pt>
                <c:pt idx="249">
                  <c:v>0.17766182367734018</c:v>
                </c:pt>
                <c:pt idx="250">
                  <c:v>-0.24954811074843519</c:v>
                </c:pt>
                <c:pt idx="251">
                  <c:v>-0.20433119948899048</c:v>
                </c:pt>
                <c:pt idx="252">
                  <c:v>-0.57316891384454038</c:v>
                </c:pt>
                <c:pt idx="253">
                  <c:v>-8.6845888610014299E-2</c:v>
                </c:pt>
                <c:pt idx="254">
                  <c:v>-6.1364604032405623E-2</c:v>
                </c:pt>
                <c:pt idx="255">
                  <c:v>-0.1010974606086279</c:v>
                </c:pt>
                <c:pt idx="256">
                  <c:v>-0.26409235412648968</c:v>
                </c:pt>
                <c:pt idx="257">
                  <c:v>-0.4787360331216064</c:v>
                </c:pt>
                <c:pt idx="258">
                  <c:v>-8.2375435936853592E-2</c:v>
                </c:pt>
                <c:pt idx="259">
                  <c:v>-1.0071790926991184</c:v>
                </c:pt>
                <c:pt idx="260">
                  <c:v>-0.34708786595143692</c:v>
                </c:pt>
                <c:pt idx="261">
                  <c:v>-0.49165381236917938</c:v>
                </c:pt>
                <c:pt idx="262">
                  <c:v>-0.79663885721890892</c:v>
                </c:pt>
                <c:pt idx="263">
                  <c:v>-0.69926882701497561</c:v>
                </c:pt>
                <c:pt idx="264">
                  <c:v>-0.74588165179460475</c:v>
                </c:pt>
                <c:pt idx="265">
                  <c:v>-0.70733373698402602</c:v>
                </c:pt>
                <c:pt idx="266">
                  <c:v>-0.8796993334618719</c:v>
                </c:pt>
                <c:pt idx="267">
                  <c:v>-0.56720730046214385</c:v>
                </c:pt>
                <c:pt idx="268">
                  <c:v>-0.39804907503543063</c:v>
                </c:pt>
                <c:pt idx="269">
                  <c:v>-0.36046786445461976</c:v>
                </c:pt>
                <c:pt idx="270">
                  <c:v>-0.85188237769386888</c:v>
                </c:pt>
                <c:pt idx="271">
                  <c:v>-0.96833603189935502</c:v>
                </c:pt>
                <c:pt idx="272">
                  <c:v>-0.73602599450896378</c:v>
                </c:pt>
                <c:pt idx="273">
                  <c:v>-0.57844470482086763</c:v>
                </c:pt>
                <c:pt idx="274">
                  <c:v>-0.52121093902786697</c:v>
                </c:pt>
                <c:pt idx="275">
                  <c:v>-0.27169367271801548</c:v>
                </c:pt>
                <c:pt idx="276">
                  <c:v>-0.21608768685496216</c:v>
                </c:pt>
                <c:pt idx="277">
                  <c:v>-0.15532096140162821</c:v>
                </c:pt>
                <c:pt idx="278">
                  <c:v>-0.35553932177367642</c:v>
                </c:pt>
                <c:pt idx="279">
                  <c:v>-0.46082847813113403</c:v>
                </c:pt>
                <c:pt idx="280">
                  <c:v>-0.42952301659863679</c:v>
                </c:pt>
                <c:pt idx="281">
                  <c:v>-0.4997229953750093</c:v>
                </c:pt>
                <c:pt idx="282">
                  <c:v>-0.60891869797154641</c:v>
                </c:pt>
                <c:pt idx="283">
                  <c:v>-0.91336826514486802</c:v>
                </c:pt>
                <c:pt idx="284">
                  <c:v>-0.42883941711176021</c:v>
                </c:pt>
                <c:pt idx="285">
                  <c:v>-0.42911089131774816</c:v>
                </c:pt>
                <c:pt idx="286">
                  <c:v>-0.23965831488209233</c:v>
                </c:pt>
                <c:pt idx="287">
                  <c:v>-0.45799381246638404</c:v>
                </c:pt>
                <c:pt idx="288">
                  <c:v>-0.21016901596055959</c:v>
                </c:pt>
                <c:pt idx="289">
                  <c:v>-5.7183479864534092E-2</c:v>
                </c:pt>
                <c:pt idx="290">
                  <c:v>3.4745395869322238E-2</c:v>
                </c:pt>
                <c:pt idx="291">
                  <c:v>3.1675050154603923E-2</c:v>
                </c:pt>
                <c:pt idx="292">
                  <c:v>8.5127747792967057E-2</c:v>
                </c:pt>
                <c:pt idx="293">
                  <c:v>0.2671465796593111</c:v>
                </c:pt>
                <c:pt idx="294">
                  <c:v>-0.11983031229448216</c:v>
                </c:pt>
                <c:pt idx="295">
                  <c:v>8.7724207564292556E-2</c:v>
                </c:pt>
                <c:pt idx="296">
                  <c:v>-0.39552813375985352</c:v>
                </c:pt>
                <c:pt idx="297">
                  <c:v>-0.64365237185995738</c:v>
                </c:pt>
                <c:pt idx="298">
                  <c:v>-0.80198098478155089</c:v>
                </c:pt>
                <c:pt idx="299">
                  <c:v>-0.968169246260004</c:v>
                </c:pt>
                <c:pt idx="300">
                  <c:v>-1.3681256391114403</c:v>
                </c:pt>
                <c:pt idx="301">
                  <c:v>-0.53292129237269137</c:v>
                </c:pt>
                <c:pt idx="302">
                  <c:v>-0.67884518053296006</c:v>
                </c:pt>
                <c:pt idx="303">
                  <c:v>-0.43969671560495271</c:v>
                </c:pt>
                <c:pt idx="304">
                  <c:v>-0.99409678186071915</c:v>
                </c:pt>
                <c:pt idx="305">
                  <c:v>-0.62985913935170856</c:v>
                </c:pt>
                <c:pt idx="306">
                  <c:v>-0.67461722066275343</c:v>
                </c:pt>
                <c:pt idx="307">
                  <c:v>-0.66111254440494349</c:v>
                </c:pt>
                <c:pt idx="308">
                  <c:v>-1.072139996153112</c:v>
                </c:pt>
                <c:pt idx="309">
                  <c:v>-0.87811111530868402</c:v>
                </c:pt>
                <c:pt idx="310">
                  <c:v>-0.84421483865429536</c:v>
                </c:pt>
                <c:pt idx="311">
                  <c:v>-0.93824998118822123</c:v>
                </c:pt>
                <c:pt idx="312">
                  <c:v>-0.82598148446362529</c:v>
                </c:pt>
                <c:pt idx="313">
                  <c:v>-0.28855224814890335</c:v>
                </c:pt>
                <c:pt idx="314">
                  <c:v>-0.59232301736466297</c:v>
                </c:pt>
                <c:pt idx="315">
                  <c:v>-0.82094966286069848</c:v>
                </c:pt>
                <c:pt idx="316">
                  <c:v>-0.77319661017196495</c:v>
                </c:pt>
                <c:pt idx="317">
                  <c:v>-0.44673407808693355</c:v>
                </c:pt>
                <c:pt idx="318">
                  <c:v>-0.70926726982190758</c:v>
                </c:pt>
                <c:pt idx="319">
                  <c:v>-1.3476990852494737</c:v>
                </c:pt>
                <c:pt idx="320">
                  <c:v>-0.91650772635495059</c:v>
                </c:pt>
                <c:pt idx="321">
                  <c:v>-0.92033160940462722</c:v>
                </c:pt>
                <c:pt idx="322">
                  <c:v>-0.83421652210745378</c:v>
                </c:pt>
                <c:pt idx="323">
                  <c:v>-0.64610442853552286</c:v>
                </c:pt>
                <c:pt idx="324">
                  <c:v>-0.75161712116823765</c:v>
                </c:pt>
                <c:pt idx="325">
                  <c:v>-0.84196907421073774</c:v>
                </c:pt>
                <c:pt idx="326">
                  <c:v>-0.57359260732067696</c:v>
                </c:pt>
                <c:pt idx="327">
                  <c:v>-0.61000044217394134</c:v>
                </c:pt>
                <c:pt idx="328">
                  <c:v>-0.64010015337936466</c:v>
                </c:pt>
                <c:pt idx="329">
                  <c:v>-0.30141881065156895</c:v>
                </c:pt>
                <c:pt idx="330">
                  <c:v>-0.19173319174387871</c:v>
                </c:pt>
                <c:pt idx="331">
                  <c:v>-0.29816092013930984</c:v>
                </c:pt>
                <c:pt idx="332">
                  <c:v>-0.63475075060199515</c:v>
                </c:pt>
                <c:pt idx="333">
                  <c:v>-0.72642739754587637</c:v>
                </c:pt>
                <c:pt idx="334">
                  <c:v>-0.64809349960597729</c:v>
                </c:pt>
                <c:pt idx="335">
                  <c:v>-0.53783416992814637</c:v>
                </c:pt>
                <c:pt idx="336">
                  <c:v>-0.49112805191811049</c:v>
                </c:pt>
                <c:pt idx="337">
                  <c:v>-1.1092611943179236</c:v>
                </c:pt>
                <c:pt idx="338">
                  <c:v>-0.44873749132199237</c:v>
                </c:pt>
                <c:pt idx="339">
                  <c:v>-0.53292651553255155</c:v>
                </c:pt>
                <c:pt idx="340">
                  <c:v>-0.48087899063199302</c:v>
                </c:pt>
                <c:pt idx="341">
                  <c:v>-0.51997883726153304</c:v>
                </c:pt>
                <c:pt idx="342">
                  <c:v>-0.21807440771112852</c:v>
                </c:pt>
                <c:pt idx="343">
                  <c:v>-0.36249804907441785</c:v>
                </c:pt>
                <c:pt idx="344">
                  <c:v>-0.5568690688943434</c:v>
                </c:pt>
                <c:pt idx="345">
                  <c:v>-0.84639847973238602</c:v>
                </c:pt>
                <c:pt idx="346">
                  <c:v>-0.84584577114969761</c:v>
                </c:pt>
                <c:pt idx="347">
                  <c:v>-0.5934392053660531</c:v>
                </c:pt>
                <c:pt idx="348">
                  <c:v>-1.1745142767132961</c:v>
                </c:pt>
                <c:pt idx="349">
                  <c:v>-1.1904286084703699</c:v>
                </c:pt>
                <c:pt idx="350">
                  <c:v>-1.1177576693685296</c:v>
                </c:pt>
                <c:pt idx="351">
                  <c:v>-1.1597278829363518</c:v>
                </c:pt>
                <c:pt idx="352">
                  <c:v>-1.015533121929991</c:v>
                </c:pt>
                <c:pt idx="353">
                  <c:v>-1.4024141579167804</c:v>
                </c:pt>
                <c:pt idx="354">
                  <c:v>-1.9382909177236343</c:v>
                </c:pt>
                <c:pt idx="355">
                  <c:v>-1.6264779084458496</c:v>
                </c:pt>
                <c:pt idx="356">
                  <c:v>-1.6286240386897362</c:v>
                </c:pt>
                <c:pt idx="357">
                  <c:v>-1.6760003305832925</c:v>
                </c:pt>
                <c:pt idx="358">
                  <c:v>-1.8432227324246355</c:v>
                </c:pt>
                <c:pt idx="359">
                  <c:v>-1.918663047696441</c:v>
                </c:pt>
                <c:pt idx="360">
                  <c:v>-1.957513229467736</c:v>
                </c:pt>
                <c:pt idx="361">
                  <c:v>-1.9212026716487571</c:v>
                </c:pt>
                <c:pt idx="362">
                  <c:v>-2.0863786136023919</c:v>
                </c:pt>
                <c:pt idx="363">
                  <c:v>-1.8661239375942387</c:v>
                </c:pt>
                <c:pt idx="364">
                  <c:v>-1.8397760576433484</c:v>
                </c:pt>
                <c:pt idx="365">
                  <c:v>-2.1744322040541419</c:v>
                </c:pt>
                <c:pt idx="366">
                  <c:v>-1.7180840742850023</c:v>
                </c:pt>
                <c:pt idx="367">
                  <c:v>-1.5284940509346256</c:v>
                </c:pt>
                <c:pt idx="368">
                  <c:v>-1.898421370535857</c:v>
                </c:pt>
                <c:pt idx="369">
                  <c:v>-1.5636504263234769</c:v>
                </c:pt>
                <c:pt idx="370">
                  <c:v>-1.598654017522108</c:v>
                </c:pt>
                <c:pt idx="371">
                  <c:v>-1.8719470966880181</c:v>
                </c:pt>
                <c:pt idx="372">
                  <c:v>-1.6285784678166237</c:v>
                </c:pt>
                <c:pt idx="373">
                  <c:v>-1.4300490993549033</c:v>
                </c:pt>
                <c:pt idx="374">
                  <c:v>-1.6230778052026835</c:v>
                </c:pt>
                <c:pt idx="375">
                  <c:v>-1.5206043185518183</c:v>
                </c:pt>
                <c:pt idx="376">
                  <c:v>-1.4421092024950326</c:v>
                </c:pt>
                <c:pt idx="377">
                  <c:v>-1.4945465382631369</c:v>
                </c:pt>
                <c:pt idx="378">
                  <c:v>-1.7659795978511852</c:v>
                </c:pt>
                <c:pt idx="379">
                  <c:v>-1.6443854874686394</c:v>
                </c:pt>
                <c:pt idx="380">
                  <c:v>-1.0920939964271383</c:v>
                </c:pt>
                <c:pt idx="381">
                  <c:v>-1.4651758161089674</c:v>
                </c:pt>
                <c:pt idx="382">
                  <c:v>-1.1179605966648296</c:v>
                </c:pt>
                <c:pt idx="383">
                  <c:v>-1.1891064397249238</c:v>
                </c:pt>
                <c:pt idx="384">
                  <c:v>-1.2735190002107402</c:v>
                </c:pt>
                <c:pt idx="385">
                  <c:v>-0.98277082110627134</c:v>
                </c:pt>
                <c:pt idx="386">
                  <c:v>-1.2136522908482448</c:v>
                </c:pt>
                <c:pt idx="387">
                  <c:v>-1.448959993554638</c:v>
                </c:pt>
                <c:pt idx="388">
                  <c:v>-1.5283176413919932</c:v>
                </c:pt>
                <c:pt idx="389">
                  <c:v>-0.94853616651738548</c:v>
                </c:pt>
                <c:pt idx="390">
                  <c:v>-1.2077504154627263</c:v>
                </c:pt>
                <c:pt idx="391">
                  <c:v>-1.8141522180480365</c:v>
                </c:pt>
                <c:pt idx="392">
                  <c:v>-1.8796419163638234</c:v>
                </c:pt>
                <c:pt idx="393">
                  <c:v>-2.0305764999396843</c:v>
                </c:pt>
                <c:pt idx="394">
                  <c:v>-1.5111424698528708</c:v>
                </c:pt>
                <c:pt idx="395">
                  <c:v>-0.93014107680710367</c:v>
                </c:pt>
                <c:pt idx="396">
                  <c:v>-0.75233482665015572</c:v>
                </c:pt>
                <c:pt idx="397">
                  <c:v>-0.54936783690300217</c:v>
                </c:pt>
                <c:pt idx="398">
                  <c:v>-0.61810207053906652</c:v>
                </c:pt>
                <c:pt idx="399">
                  <c:v>-0.74119096260272954</c:v>
                </c:pt>
                <c:pt idx="400">
                  <c:v>-0.67840137433427117</c:v>
                </c:pt>
                <c:pt idx="401">
                  <c:v>-0.58640108881684228</c:v>
                </c:pt>
                <c:pt idx="402">
                  <c:v>-0.54339652711951203</c:v>
                </c:pt>
                <c:pt idx="403">
                  <c:v>-0.82327518482162532</c:v>
                </c:pt>
                <c:pt idx="404">
                  <c:v>-0.78653999356140503</c:v>
                </c:pt>
                <c:pt idx="405">
                  <c:v>-0.70532145819282732</c:v>
                </c:pt>
                <c:pt idx="406">
                  <c:v>-0.87366253852997033</c:v>
                </c:pt>
                <c:pt idx="407">
                  <c:v>-0.13050802653964411</c:v>
                </c:pt>
                <c:pt idx="408">
                  <c:v>-9.0476886806754919E-2</c:v>
                </c:pt>
                <c:pt idx="409">
                  <c:v>0.24471499251637852</c:v>
                </c:pt>
                <c:pt idx="410">
                  <c:v>-6.1866122175160854E-2</c:v>
                </c:pt>
                <c:pt idx="411">
                  <c:v>0.50726987533715828</c:v>
                </c:pt>
                <c:pt idx="412">
                  <c:v>0.57221258255020757</c:v>
                </c:pt>
                <c:pt idx="413">
                  <c:v>0.36643775764360953</c:v>
                </c:pt>
                <c:pt idx="414">
                  <c:v>0.67166720891685827</c:v>
                </c:pt>
                <c:pt idx="415">
                  <c:v>0.26927907104533233</c:v>
                </c:pt>
                <c:pt idx="416">
                  <c:v>0.56823307294826009</c:v>
                </c:pt>
                <c:pt idx="417">
                  <c:v>0.34159884442277644</c:v>
                </c:pt>
                <c:pt idx="418">
                  <c:v>0.44547657472827495</c:v>
                </c:pt>
                <c:pt idx="419">
                  <c:v>0.99077832282443978</c:v>
                </c:pt>
                <c:pt idx="420">
                  <c:v>1.0630282732001319</c:v>
                </c:pt>
                <c:pt idx="421">
                  <c:v>1.2404389631659569</c:v>
                </c:pt>
                <c:pt idx="422">
                  <c:v>0.93600508458030163</c:v>
                </c:pt>
                <c:pt idx="423">
                  <c:v>1.0073598927353942</c:v>
                </c:pt>
                <c:pt idx="424">
                  <c:v>0.85444983605418656</c:v>
                </c:pt>
                <c:pt idx="425">
                  <c:v>0.38089382179038012</c:v>
                </c:pt>
                <c:pt idx="426">
                  <c:v>0.61834208370640908</c:v>
                </c:pt>
                <c:pt idx="427">
                  <c:v>0.36795803286690898</c:v>
                </c:pt>
                <c:pt idx="428">
                  <c:v>0.45913084541263061</c:v>
                </c:pt>
                <c:pt idx="429">
                  <c:v>0.62464385299301739</c:v>
                </c:pt>
                <c:pt idx="430">
                  <c:v>0.80074039394128249</c:v>
                </c:pt>
                <c:pt idx="431">
                  <c:v>0.7081893781432882</c:v>
                </c:pt>
                <c:pt idx="432">
                  <c:v>0.80265813916167872</c:v>
                </c:pt>
                <c:pt idx="433">
                  <c:v>0.79228763977027938</c:v>
                </c:pt>
                <c:pt idx="434">
                  <c:v>0.63000099729049452</c:v>
                </c:pt>
                <c:pt idx="435">
                  <c:v>0.47357461608828544</c:v>
                </c:pt>
                <c:pt idx="436">
                  <c:v>0.32281179551296191</c:v>
                </c:pt>
                <c:pt idx="437">
                  <c:v>0.49147459189185838</c:v>
                </c:pt>
                <c:pt idx="438">
                  <c:v>0.24114166445065166</c:v>
                </c:pt>
                <c:pt idx="439">
                  <c:v>0.42276170064337748</c:v>
                </c:pt>
                <c:pt idx="440">
                  <c:v>-1.3846676168213889E-2</c:v>
                </c:pt>
                <c:pt idx="441">
                  <c:v>0.23381356751798421</c:v>
                </c:pt>
                <c:pt idx="442">
                  <c:v>0.20212891910898634</c:v>
                </c:pt>
                <c:pt idx="443">
                  <c:v>9.1725139416894308E-2</c:v>
                </c:pt>
                <c:pt idx="444">
                  <c:v>0.55841271107800594</c:v>
                </c:pt>
                <c:pt idx="445">
                  <c:v>0.31026102232931407</c:v>
                </c:pt>
                <c:pt idx="446">
                  <c:v>0.61012161595539283</c:v>
                </c:pt>
                <c:pt idx="447">
                  <c:v>0.22591404539593896</c:v>
                </c:pt>
                <c:pt idx="448">
                  <c:v>0.39729846092649268</c:v>
                </c:pt>
                <c:pt idx="449">
                  <c:v>0.1481800679480898</c:v>
                </c:pt>
                <c:pt idx="450">
                  <c:v>-0.25993404885036853</c:v>
                </c:pt>
                <c:pt idx="451">
                  <c:v>-0.22150437353241159</c:v>
                </c:pt>
                <c:pt idx="452">
                  <c:v>0.47411213923197693</c:v>
                </c:pt>
                <c:pt idx="453">
                  <c:v>0.36392550186269546</c:v>
                </c:pt>
                <c:pt idx="454">
                  <c:v>0.24446574302965018</c:v>
                </c:pt>
                <c:pt idx="455">
                  <c:v>8.6215082282080857E-2</c:v>
                </c:pt>
                <c:pt idx="456">
                  <c:v>0.28512754351919511</c:v>
                </c:pt>
                <c:pt idx="457">
                  <c:v>0.66920074434653998</c:v>
                </c:pt>
                <c:pt idx="458">
                  <c:v>0.51121445691705958</c:v>
                </c:pt>
                <c:pt idx="459">
                  <c:v>0.78923177593361515</c:v>
                </c:pt>
                <c:pt idx="460">
                  <c:v>0.53276931040875297</c:v>
                </c:pt>
                <c:pt idx="461">
                  <c:v>0.77587580700634362</c:v>
                </c:pt>
                <c:pt idx="462">
                  <c:v>0.75998657978379924</c:v>
                </c:pt>
                <c:pt idx="463">
                  <c:v>1.0056202806902093</c:v>
                </c:pt>
                <c:pt idx="464">
                  <c:v>0.59345560409735754</c:v>
                </c:pt>
                <c:pt idx="465">
                  <c:v>0.75541620283394195</c:v>
                </c:pt>
                <c:pt idx="466">
                  <c:v>1.3581752546436974</c:v>
                </c:pt>
                <c:pt idx="467">
                  <c:v>1.0420718300019303</c:v>
                </c:pt>
                <c:pt idx="468">
                  <c:v>1.0432031018817725</c:v>
                </c:pt>
                <c:pt idx="469">
                  <c:v>1.7094951133518634</c:v>
                </c:pt>
                <c:pt idx="470">
                  <c:v>1.1236560620283171</c:v>
                </c:pt>
                <c:pt idx="471">
                  <c:v>0.90389219168753243</c:v>
                </c:pt>
                <c:pt idx="472">
                  <c:v>0.36957696226858161</c:v>
                </c:pt>
                <c:pt idx="473">
                  <c:v>0.42490226950883425</c:v>
                </c:pt>
                <c:pt idx="474">
                  <c:v>0.39123185292908147</c:v>
                </c:pt>
                <c:pt idx="475">
                  <c:v>4.8869640867621911E-2</c:v>
                </c:pt>
                <c:pt idx="476">
                  <c:v>0.13892377491748675</c:v>
                </c:pt>
                <c:pt idx="477">
                  <c:v>5.3031609759955245E-2</c:v>
                </c:pt>
                <c:pt idx="478">
                  <c:v>-9.1990527787629617E-2</c:v>
                </c:pt>
                <c:pt idx="479">
                  <c:v>-0.32594671632347172</c:v>
                </c:pt>
                <c:pt idx="480">
                  <c:v>-0.43259663380086977</c:v>
                </c:pt>
                <c:pt idx="481">
                  <c:v>-0.19408581168806904</c:v>
                </c:pt>
                <c:pt idx="482">
                  <c:v>-0.51777762690585405</c:v>
                </c:pt>
                <c:pt idx="483">
                  <c:v>-0.31532268660379259</c:v>
                </c:pt>
                <c:pt idx="484">
                  <c:v>-0.50749067991699803</c:v>
                </c:pt>
                <c:pt idx="485">
                  <c:v>-0.5799465620339106</c:v>
                </c:pt>
                <c:pt idx="486">
                  <c:v>-0.51139816797098092</c:v>
                </c:pt>
                <c:pt idx="487">
                  <c:v>-0.41175629300022365</c:v>
                </c:pt>
                <c:pt idx="488">
                  <c:v>-0.56948334830764225</c:v>
                </c:pt>
                <c:pt idx="489">
                  <c:v>0.17677172264063756</c:v>
                </c:pt>
                <c:pt idx="490">
                  <c:v>0.2639683957358443</c:v>
                </c:pt>
                <c:pt idx="491">
                  <c:v>-0.12784055669413874</c:v>
                </c:pt>
                <c:pt idx="492">
                  <c:v>0.24772833647114112</c:v>
                </c:pt>
                <c:pt idx="493">
                  <c:v>0.89845796922668342</c:v>
                </c:pt>
                <c:pt idx="494">
                  <c:v>0.41691339011487116</c:v>
                </c:pt>
                <c:pt idx="495">
                  <c:v>0.30158714105954232</c:v>
                </c:pt>
                <c:pt idx="496">
                  <c:v>0.30156638385227552</c:v>
                </c:pt>
                <c:pt idx="497">
                  <c:v>0.27132931237804314</c:v>
                </c:pt>
                <c:pt idx="498">
                  <c:v>0.74209651708378033</c:v>
                </c:pt>
                <c:pt idx="499">
                  <c:v>0.51883452542170971</c:v>
                </c:pt>
                <c:pt idx="500">
                  <c:v>0.76333235969025282</c:v>
                </c:pt>
                <c:pt idx="501">
                  <c:v>1.2017405495831781</c:v>
                </c:pt>
                <c:pt idx="502">
                  <c:v>0.78116211225432153</c:v>
                </c:pt>
                <c:pt idx="503">
                  <c:v>0.88150627876888166</c:v>
                </c:pt>
                <c:pt idx="504">
                  <c:v>0.91930006151017096</c:v>
                </c:pt>
                <c:pt idx="505">
                  <c:v>0.78225458384167723</c:v>
                </c:pt>
                <c:pt idx="506">
                  <c:v>0.68286312367433766</c:v>
                </c:pt>
                <c:pt idx="507">
                  <c:v>0.55976176419505919</c:v>
                </c:pt>
                <c:pt idx="508">
                  <c:v>0.65189412593230145</c:v>
                </c:pt>
                <c:pt idx="509">
                  <c:v>1.0038819440341058</c:v>
                </c:pt>
                <c:pt idx="510">
                  <c:v>0.57687403831573647</c:v>
                </c:pt>
                <c:pt idx="511">
                  <c:v>0.78052957800008471</c:v>
                </c:pt>
                <c:pt idx="512">
                  <c:v>1.4372462229114262</c:v>
                </c:pt>
                <c:pt idx="513">
                  <c:v>0.88780164891016966</c:v>
                </c:pt>
                <c:pt idx="514">
                  <c:v>1.0394420222240797</c:v>
                </c:pt>
                <c:pt idx="515">
                  <c:v>1.2619334248444716</c:v>
                </c:pt>
                <c:pt idx="516">
                  <c:v>1.3719460182284706</c:v>
                </c:pt>
                <c:pt idx="517">
                  <c:v>1.3271193512027821</c:v>
                </c:pt>
                <c:pt idx="518">
                  <c:v>1.209875127141288</c:v>
                </c:pt>
                <c:pt idx="519">
                  <c:v>1.0589925783047534</c:v>
                </c:pt>
                <c:pt idx="520">
                  <c:v>0.82327217614778192</c:v>
                </c:pt>
                <c:pt idx="521">
                  <c:v>0.73747880489230511</c:v>
                </c:pt>
                <c:pt idx="522">
                  <c:v>0.89268970981675011</c:v>
                </c:pt>
                <c:pt idx="523">
                  <c:v>1.2783493365332674</c:v>
                </c:pt>
                <c:pt idx="524">
                  <c:v>1.3472847920872368</c:v>
                </c:pt>
                <c:pt idx="525">
                  <c:v>1.2599874541919007</c:v>
                </c:pt>
                <c:pt idx="526">
                  <c:v>0.85384663814852502</c:v>
                </c:pt>
                <c:pt idx="527">
                  <c:v>0.76848527687479873</c:v>
                </c:pt>
                <c:pt idx="528">
                  <c:v>1.3507166809015416</c:v>
                </c:pt>
                <c:pt idx="529">
                  <c:v>0.49810882451851057</c:v>
                </c:pt>
                <c:pt idx="530">
                  <c:v>0.96301183656294143</c:v>
                </c:pt>
                <c:pt idx="531">
                  <c:v>0.57434809836911427</c:v>
                </c:pt>
                <c:pt idx="532">
                  <c:v>0.2007749323180974</c:v>
                </c:pt>
                <c:pt idx="533">
                  <c:v>0.41720037170529167</c:v>
                </c:pt>
                <c:pt idx="534">
                  <c:v>0.27463008727244187</c:v>
                </c:pt>
                <c:pt idx="535">
                  <c:v>0.61229380102111008</c:v>
                </c:pt>
                <c:pt idx="536">
                  <c:v>0.4734480672179302</c:v>
                </c:pt>
                <c:pt idx="537">
                  <c:v>0.38829796542830763</c:v>
                </c:pt>
                <c:pt idx="538">
                  <c:v>5.4375960027698511E-2</c:v>
                </c:pt>
                <c:pt idx="539">
                  <c:v>0.12116183485983356</c:v>
                </c:pt>
                <c:pt idx="540">
                  <c:v>0.2856120495292771</c:v>
                </c:pt>
                <c:pt idx="541">
                  <c:v>0.1552230037889899</c:v>
                </c:pt>
                <c:pt idx="542">
                  <c:v>0.15227325193927754</c:v>
                </c:pt>
                <c:pt idx="543">
                  <c:v>0.24582832438818514</c:v>
                </c:pt>
                <c:pt idx="544">
                  <c:v>0.23440239444300914</c:v>
                </c:pt>
                <c:pt idx="545">
                  <c:v>0.25304664447298819</c:v>
                </c:pt>
                <c:pt idx="546">
                  <c:v>0.47269517068286859</c:v>
                </c:pt>
                <c:pt idx="547">
                  <c:v>0.28774151204089549</c:v>
                </c:pt>
                <c:pt idx="548">
                  <c:v>-0.41887933218634998</c:v>
                </c:pt>
                <c:pt idx="549">
                  <c:v>7.8123684968602447E-2</c:v>
                </c:pt>
                <c:pt idx="550">
                  <c:v>0.5964265691440005</c:v>
                </c:pt>
                <c:pt idx="551">
                  <c:v>0.92536556292066052</c:v>
                </c:pt>
                <c:pt idx="552">
                  <c:v>0.90204066716614761</c:v>
                </c:pt>
                <c:pt idx="553">
                  <c:v>1.0538765110018176</c:v>
                </c:pt>
                <c:pt idx="554">
                  <c:v>0.90307987809660517</c:v>
                </c:pt>
                <c:pt idx="555">
                  <c:v>0.72885984012151539</c:v>
                </c:pt>
                <c:pt idx="556">
                  <c:v>0.45958702912088256</c:v>
                </c:pt>
                <c:pt idx="557">
                  <c:v>0.68045616872683468</c:v>
                </c:pt>
                <c:pt idx="558">
                  <c:v>0.21232958451270179</c:v>
                </c:pt>
                <c:pt idx="559">
                  <c:v>0.57400696297503373</c:v>
                </c:pt>
                <c:pt idx="560">
                  <c:v>9.6049293905480226E-3</c:v>
                </c:pt>
                <c:pt idx="561">
                  <c:v>0.43875518265139135</c:v>
                </c:pt>
                <c:pt idx="562">
                  <c:v>4.9276877469480951E-2</c:v>
                </c:pt>
                <c:pt idx="563">
                  <c:v>1.0363107351963663E-2</c:v>
                </c:pt>
                <c:pt idx="564">
                  <c:v>4.925702224016959E-2</c:v>
                </c:pt>
                <c:pt idx="565">
                  <c:v>0.67331167671864023</c:v>
                </c:pt>
                <c:pt idx="566">
                  <c:v>0.31466227991927553</c:v>
                </c:pt>
                <c:pt idx="567">
                  <c:v>0.25266105258691596</c:v>
                </c:pt>
                <c:pt idx="568">
                  <c:v>-6.4464522307844163E-2</c:v>
                </c:pt>
                <c:pt idx="569">
                  <c:v>-0.35137657205916639</c:v>
                </c:pt>
                <c:pt idx="570">
                  <c:v>-0.19728434563057817</c:v>
                </c:pt>
                <c:pt idx="571">
                  <c:v>9.639711986386601E-2</c:v>
                </c:pt>
                <c:pt idx="572">
                  <c:v>-0.29578610307788722</c:v>
                </c:pt>
                <c:pt idx="573">
                  <c:v>-0.23448861371116436</c:v>
                </c:pt>
                <c:pt idx="574">
                  <c:v>0.10825189174971683</c:v>
                </c:pt>
                <c:pt idx="575">
                  <c:v>0.40148535773806771</c:v>
                </c:pt>
                <c:pt idx="576">
                  <c:v>0.25259808326899247</c:v>
                </c:pt>
                <c:pt idx="577">
                  <c:v>0.29887154839013874</c:v>
                </c:pt>
                <c:pt idx="578">
                  <c:v>7.2369387696653575E-2</c:v>
                </c:pt>
                <c:pt idx="579">
                  <c:v>0.44258697100701738</c:v>
                </c:pt>
                <c:pt idx="580">
                  <c:v>0.25760863221807995</c:v>
                </c:pt>
                <c:pt idx="581">
                  <c:v>0.46291539310954022</c:v>
                </c:pt>
                <c:pt idx="582">
                  <c:v>0.13922643018088365</c:v>
                </c:pt>
                <c:pt idx="583">
                  <c:v>0.34491198270751511</c:v>
                </c:pt>
                <c:pt idx="584">
                  <c:v>-0.13505242959155339</c:v>
                </c:pt>
                <c:pt idx="585">
                  <c:v>0.30839229588099215</c:v>
                </c:pt>
                <c:pt idx="586">
                  <c:v>0.30335161198456717</c:v>
                </c:pt>
                <c:pt idx="587">
                  <c:v>0.27873231407880894</c:v>
                </c:pt>
                <c:pt idx="588">
                  <c:v>0.93206385025251848</c:v>
                </c:pt>
                <c:pt idx="589">
                  <c:v>0.29055612601632674</c:v>
                </c:pt>
                <c:pt idx="590">
                  <c:v>0.31620120142872565</c:v>
                </c:pt>
                <c:pt idx="591">
                  <c:v>0.26863759538184695</c:v>
                </c:pt>
                <c:pt idx="592">
                  <c:v>0.3558064926987754</c:v>
                </c:pt>
                <c:pt idx="593">
                  <c:v>2.3332064232988614E-2</c:v>
                </c:pt>
                <c:pt idx="594">
                  <c:v>6.186191194700541E-2</c:v>
                </c:pt>
                <c:pt idx="595">
                  <c:v>0.91521658632507297</c:v>
                </c:pt>
                <c:pt idx="596">
                  <c:v>1.3874770636020912</c:v>
                </c:pt>
                <c:pt idx="597">
                  <c:v>0.27307490801916856</c:v>
                </c:pt>
                <c:pt idx="598">
                  <c:v>0.19025911369868709</c:v>
                </c:pt>
                <c:pt idx="599">
                  <c:v>0.53779293473741063</c:v>
                </c:pt>
                <c:pt idx="600">
                  <c:v>0.76334936048709778</c:v>
                </c:pt>
                <c:pt idx="601">
                  <c:v>0.13406652582699508</c:v>
                </c:pt>
                <c:pt idx="602">
                  <c:v>0.47186472018393033</c:v>
                </c:pt>
                <c:pt idx="603">
                  <c:v>0.69652600371301787</c:v>
                </c:pt>
                <c:pt idx="604">
                  <c:v>0.93584801997440081</c:v>
                </c:pt>
                <c:pt idx="605">
                  <c:v>0.52559848108461438</c:v>
                </c:pt>
                <c:pt idx="606">
                  <c:v>0.86635321837462698</c:v>
                </c:pt>
                <c:pt idx="607">
                  <c:v>0.30605243561495854</c:v>
                </c:pt>
                <c:pt idx="608">
                  <c:v>0.67053172353467971</c:v>
                </c:pt>
                <c:pt idx="609">
                  <c:v>0.69827680405757064</c:v>
                </c:pt>
                <c:pt idx="610">
                  <c:v>0.70767982037989441</c:v>
                </c:pt>
                <c:pt idx="611">
                  <c:v>0.80736087752450203</c:v>
                </c:pt>
                <c:pt idx="612">
                  <c:v>0.85513611391689892</c:v>
                </c:pt>
                <c:pt idx="613">
                  <c:v>0.6680720898995105</c:v>
                </c:pt>
                <c:pt idx="614">
                  <c:v>1.0180175203623207</c:v>
                </c:pt>
                <c:pt idx="615">
                  <c:v>0.7548976145340589</c:v>
                </c:pt>
                <c:pt idx="616">
                  <c:v>0.65636686690140778</c:v>
                </c:pt>
                <c:pt idx="617">
                  <c:v>0.72833613865429925</c:v>
                </c:pt>
                <c:pt idx="618">
                  <c:v>1.1309686587139822E-2</c:v>
                </c:pt>
                <c:pt idx="619">
                  <c:v>-7.6987009140452756E-2</c:v>
                </c:pt>
                <c:pt idx="620">
                  <c:v>-3.0288910578008199E-2</c:v>
                </c:pt>
                <c:pt idx="621">
                  <c:v>-0.24039659394924229</c:v>
                </c:pt>
                <c:pt idx="622">
                  <c:v>0.20122523301580486</c:v>
                </c:pt>
                <c:pt idx="623">
                  <c:v>0.6630535262663102</c:v>
                </c:pt>
                <c:pt idx="624">
                  <c:v>0.53304757330141683</c:v>
                </c:pt>
                <c:pt idx="625">
                  <c:v>0.59820235992680182</c:v>
                </c:pt>
                <c:pt idx="626">
                  <c:v>0.31029502649533924</c:v>
                </c:pt>
                <c:pt idx="627">
                  <c:v>0.25939393130994404</c:v>
                </c:pt>
                <c:pt idx="628">
                  <c:v>0.46301041978313151</c:v>
                </c:pt>
                <c:pt idx="629">
                  <c:v>0.10719850217873272</c:v>
                </c:pt>
                <c:pt idx="630">
                  <c:v>0.30239086075425803</c:v>
                </c:pt>
                <c:pt idx="631">
                  <c:v>0.61609825205886182</c:v>
                </c:pt>
                <c:pt idx="632">
                  <c:v>1.1150151612640116</c:v>
                </c:pt>
                <c:pt idx="633">
                  <c:v>0.83705471399872522</c:v>
                </c:pt>
                <c:pt idx="634">
                  <c:v>0.89089535160644573</c:v>
                </c:pt>
                <c:pt idx="635">
                  <c:v>0.54487088096283287</c:v>
                </c:pt>
                <c:pt idx="636">
                  <c:v>0.98708373864064924</c:v>
                </c:pt>
                <c:pt idx="637">
                  <c:v>0.58445733590872351</c:v>
                </c:pt>
                <c:pt idx="638">
                  <c:v>0.68869723858324505</c:v>
                </c:pt>
                <c:pt idx="639">
                  <c:v>0.8400149540404982</c:v>
                </c:pt>
                <c:pt idx="640">
                  <c:v>0.62577867861955383</c:v>
                </c:pt>
                <c:pt idx="641">
                  <c:v>0.49218557165789889</c:v>
                </c:pt>
                <c:pt idx="642">
                  <c:v>1.0295967408761157</c:v>
                </c:pt>
                <c:pt idx="643">
                  <c:v>0.87125974827426944</c:v>
                </c:pt>
                <c:pt idx="644">
                  <c:v>0.22240154705542636</c:v>
                </c:pt>
                <c:pt idx="645">
                  <c:v>0.41659421873464453</c:v>
                </c:pt>
                <c:pt idx="646">
                  <c:v>0.87265974591832673</c:v>
                </c:pt>
                <c:pt idx="647">
                  <c:v>0.78878839421923885</c:v>
                </c:pt>
                <c:pt idx="648">
                  <c:v>0.8332261414730624</c:v>
                </c:pt>
                <c:pt idx="649">
                  <c:v>0.63282462831710973</c:v>
                </c:pt>
                <c:pt idx="650">
                  <c:v>0.78921764993617671</c:v>
                </c:pt>
                <c:pt idx="651">
                  <c:v>0.31276025496947568</c:v>
                </c:pt>
                <c:pt idx="652">
                  <c:v>0.28067709849301536</c:v>
                </c:pt>
                <c:pt idx="653">
                  <c:v>0.13930888110735395</c:v>
                </c:pt>
                <c:pt idx="654">
                  <c:v>-0.28105506009842429</c:v>
                </c:pt>
                <c:pt idx="655">
                  <c:v>0.15666599591986596</c:v>
                </c:pt>
                <c:pt idx="656">
                  <c:v>0.49002660534375764</c:v>
                </c:pt>
                <c:pt idx="657">
                  <c:v>-0.50363348687119469</c:v>
                </c:pt>
                <c:pt idx="658">
                  <c:v>7.4650850955322312E-2</c:v>
                </c:pt>
                <c:pt idx="659">
                  <c:v>0.13292673536204802</c:v>
                </c:pt>
                <c:pt idx="660">
                  <c:v>0.15958329325854947</c:v>
                </c:pt>
                <c:pt idx="661">
                  <c:v>0.5714005907454407</c:v>
                </c:pt>
                <c:pt idx="662">
                  <c:v>0.29994084847032809</c:v>
                </c:pt>
                <c:pt idx="663">
                  <c:v>0.27570226414633225</c:v>
                </c:pt>
                <c:pt idx="664">
                  <c:v>-4.2336562242439868E-3</c:v>
                </c:pt>
                <c:pt idx="665">
                  <c:v>2.6616937032827082E-2</c:v>
                </c:pt>
                <c:pt idx="666">
                  <c:v>0.67847180646975858</c:v>
                </c:pt>
                <c:pt idx="667">
                  <c:v>0.15819694952017471</c:v>
                </c:pt>
                <c:pt idx="668">
                  <c:v>-0.27622363041314202</c:v>
                </c:pt>
                <c:pt idx="669">
                  <c:v>-0.18773648652222619</c:v>
                </c:pt>
                <c:pt idx="670">
                  <c:v>-0.14723333805306993</c:v>
                </c:pt>
                <c:pt idx="671">
                  <c:v>0.65318978245954895</c:v>
                </c:pt>
                <c:pt idx="672">
                  <c:v>0.58206515099891476</c:v>
                </c:pt>
                <c:pt idx="673">
                  <c:v>0.78610125912842932</c:v>
                </c:pt>
                <c:pt idx="674">
                  <c:v>0.57678875295914622</c:v>
                </c:pt>
                <c:pt idx="675">
                  <c:v>0.46476897927789196</c:v>
                </c:pt>
                <c:pt idx="676">
                  <c:v>0.25698029501313613</c:v>
                </c:pt>
                <c:pt idx="677">
                  <c:v>0.34004969891293513</c:v>
                </c:pt>
                <c:pt idx="678">
                  <c:v>0.70412337899273325</c:v>
                </c:pt>
                <c:pt idx="679">
                  <c:v>0.35585260907527072</c:v>
                </c:pt>
                <c:pt idx="680">
                  <c:v>-0.15634916021542722</c:v>
                </c:pt>
                <c:pt idx="681">
                  <c:v>-0.16571478021859321</c:v>
                </c:pt>
                <c:pt idx="682">
                  <c:v>0.52700717889331372</c:v>
                </c:pt>
                <c:pt idx="683">
                  <c:v>0.35957753551178939</c:v>
                </c:pt>
                <c:pt idx="684">
                  <c:v>1.0406717146938149</c:v>
                </c:pt>
                <c:pt idx="685">
                  <c:v>0.93692663346610061</c:v>
                </c:pt>
                <c:pt idx="686">
                  <c:v>0.19976136340278572</c:v>
                </c:pt>
                <c:pt idx="687">
                  <c:v>-0.29003959963580428</c:v>
                </c:pt>
                <c:pt idx="688">
                  <c:v>-0.58568104779459418</c:v>
                </c:pt>
                <c:pt idx="689">
                  <c:v>-0.20039283325212409</c:v>
                </c:pt>
                <c:pt idx="690">
                  <c:v>-0.88410034252973446</c:v>
                </c:pt>
                <c:pt idx="691">
                  <c:v>-0.71412900211157648</c:v>
                </c:pt>
                <c:pt idx="692">
                  <c:v>-2.004105881826149</c:v>
                </c:pt>
                <c:pt idx="693">
                  <c:v>-1.4513183828849492</c:v>
                </c:pt>
                <c:pt idx="694">
                  <c:v>-1.3163715341969464</c:v>
                </c:pt>
                <c:pt idx="695">
                  <c:v>-0.25164805863397532</c:v>
                </c:pt>
                <c:pt idx="696">
                  <c:v>8.16710101240119E-2</c:v>
                </c:pt>
                <c:pt idx="697">
                  <c:v>-0.28984918152769978</c:v>
                </c:pt>
                <c:pt idx="698">
                  <c:v>-0.73486133264651698</c:v>
                </c:pt>
                <c:pt idx="699">
                  <c:v>-1.4024374061090725</c:v>
                </c:pt>
                <c:pt idx="700">
                  <c:v>-0.9559257353233761</c:v>
                </c:pt>
                <c:pt idx="701">
                  <c:v>-1.3284126312048556</c:v>
                </c:pt>
                <c:pt idx="702">
                  <c:v>-1.069895250906427</c:v>
                </c:pt>
                <c:pt idx="703">
                  <c:v>-0.62415235611018716</c:v>
                </c:pt>
                <c:pt idx="704">
                  <c:v>-1.0919104251821068</c:v>
                </c:pt>
                <c:pt idx="705">
                  <c:v>-1.4069756901349706</c:v>
                </c:pt>
                <c:pt idx="706">
                  <c:v>-1.1398100308042558</c:v>
                </c:pt>
                <c:pt idx="707">
                  <c:v>-0.65293931913544156</c:v>
                </c:pt>
                <c:pt idx="708">
                  <c:v>-0.6174014397346923</c:v>
                </c:pt>
                <c:pt idx="709">
                  <c:v>-0.24670282074362149</c:v>
                </c:pt>
                <c:pt idx="710">
                  <c:v>-0.56956773575666375</c:v>
                </c:pt>
                <c:pt idx="711">
                  <c:v>-0.62492499857648909</c:v>
                </c:pt>
                <c:pt idx="712">
                  <c:v>-0.8462660916849245</c:v>
                </c:pt>
                <c:pt idx="713">
                  <c:v>-0.99653417692371704</c:v>
                </c:pt>
                <c:pt idx="714">
                  <c:v>-0.45579798598248544</c:v>
                </c:pt>
                <c:pt idx="715">
                  <c:v>-0.50805100415414017</c:v>
                </c:pt>
                <c:pt idx="716">
                  <c:v>-0.12359026258332051</c:v>
                </c:pt>
                <c:pt idx="717">
                  <c:v>-0.47650829143026385</c:v>
                </c:pt>
                <c:pt idx="718">
                  <c:v>-0.57712382145689389</c:v>
                </c:pt>
                <c:pt idx="719">
                  <c:v>-2.8105873682136462E-2</c:v>
                </c:pt>
                <c:pt idx="720">
                  <c:v>-0.15034918363869565</c:v>
                </c:pt>
                <c:pt idx="721">
                  <c:v>-0.23743175400494465</c:v>
                </c:pt>
                <c:pt idx="722">
                  <c:v>-0.58814943291207555</c:v>
                </c:pt>
                <c:pt idx="723">
                  <c:v>-1.2412878850892071</c:v>
                </c:pt>
                <c:pt idx="724">
                  <c:v>-0.99048174209178796</c:v>
                </c:pt>
                <c:pt idx="725">
                  <c:v>-1.5285310166877935</c:v>
                </c:pt>
                <c:pt idx="726">
                  <c:v>-1.4355760151038908</c:v>
                </c:pt>
                <c:pt idx="727">
                  <c:v>-0.91582494624333322</c:v>
                </c:pt>
                <c:pt idx="728">
                  <c:v>-0.99914539402976743</c:v>
                </c:pt>
                <c:pt idx="729">
                  <c:v>-1.6599161867708858</c:v>
                </c:pt>
                <c:pt idx="730">
                  <c:v>-1.3083129061548107</c:v>
                </c:pt>
                <c:pt idx="731">
                  <c:v>-0.62714772227423055</c:v>
                </c:pt>
                <c:pt idx="732">
                  <c:v>-0.77717222158798904</c:v>
                </c:pt>
                <c:pt idx="733">
                  <c:v>-0.84203598131159652</c:v>
                </c:pt>
                <c:pt idx="734">
                  <c:v>-0.67060642411280469</c:v>
                </c:pt>
                <c:pt idx="735">
                  <c:v>-1.0515260656471241</c:v>
                </c:pt>
                <c:pt idx="736">
                  <c:v>-1.2485726865438664</c:v>
                </c:pt>
                <c:pt idx="737">
                  <c:v>-1.6144031504971394</c:v>
                </c:pt>
                <c:pt idx="738">
                  <c:v>-1.4992293382704815</c:v>
                </c:pt>
                <c:pt idx="739">
                  <c:v>-1.0509496648322738</c:v>
                </c:pt>
                <c:pt idx="740">
                  <c:v>-1.2820452230428145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ED7D31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DAD6-499E-BF88-5709F8F2D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490312"/>
        <c:axId val="691483424"/>
      </c:barChart>
      <c:dateAx>
        <c:axId val="691490312"/>
        <c:scaling>
          <c:orientation val="minMax"/>
          <c:max val="44197"/>
          <c:min val="21186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1483424"/>
        <c:crosses val="autoZero"/>
        <c:auto val="1"/>
        <c:lblOffset val="100"/>
        <c:baseTimeUnit val="months"/>
        <c:majorUnit val="12"/>
        <c:majorTimeUnit val="months"/>
      </c:dateAx>
      <c:valAx>
        <c:axId val="691483424"/>
        <c:scaling>
          <c:orientation val="minMax"/>
          <c:max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;[Red]\-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91490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1823D3D-7811-492D-AB0B-56B68B74C078}">
  <sheetPr/>
  <sheetViews>
    <sheetView zoomScale="12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7296AF7-ADED-439E-8F08-D019D2D2DEC8}">
  <sheetPr/>
  <sheetViews>
    <sheetView zoomScale="12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394E2C7-B020-4112-997E-C483B8893971}">
  <sheetPr/>
  <sheetViews>
    <sheetView zoomScale="12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743A975-2671-47A9-8A59-E43E7A112B98}">
  <sheetPr/>
  <sheetViews>
    <sheetView zoomScale="12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1CAA300-5526-4CC7-9633-BE3BEA043EF7}">
  <sheetPr/>
  <sheetViews>
    <sheetView zoomScale="12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2B828F2-9279-43E2-AF2B-79D7CA5D7E5A}">
  <sheetPr/>
  <sheetViews>
    <sheetView zoomScale="12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1AB36BD-91F6-4B0A-841F-D0AF55C7047B}">
  <sheetPr/>
  <sheetViews>
    <sheetView zoomScale="12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4AE2508-2FC8-404E-9221-DAF9A5026F6C}">
  <sheetPr/>
  <sheetViews>
    <sheetView zoomScale="12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238" cy="608371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CCAB2F2-067F-BF9A-18BA-B551977F86D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238" cy="608371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DA7E845-82A2-B5AC-F1F4-85F54EED9B5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2238" cy="608371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C54A4ED-2CE1-9444-086F-77FEA6AA838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2238" cy="608371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861CC51-1BB9-4E10-10F5-5C324A77161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9919" cy="608371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5F421DE-25AF-02E8-42B2-F2330594127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9919" cy="608371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1A5DFD4-3922-A032-0B05-55D30890655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9919" cy="608371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27ACABB-535E-15C1-97BE-8A568AA833B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9919" cy="608371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541A975-16DD-8963-D1AC-4D8B6295611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0ED4-D569-4A52-8024-5A101C2AB103}">
  <dimension ref="A1:C742"/>
  <sheetViews>
    <sheetView tabSelected="1" zoomScaleNormal="100" workbookViewId="0"/>
  </sheetViews>
  <sheetFormatPr defaultRowHeight="18.75" x14ac:dyDescent="0.4"/>
  <cols>
    <col min="1" max="1" width="10.25" bestFit="1" customWidth="1"/>
    <col min="2" max="2" width="7.5" bestFit="1" customWidth="1"/>
    <col min="3" max="3" width="13.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s="1">
        <v>21245</v>
      </c>
      <c r="B2">
        <v>315.7</v>
      </c>
      <c r="C2">
        <v>314.44</v>
      </c>
    </row>
    <row r="3" spans="1:3" x14ac:dyDescent="0.4">
      <c r="A3" s="1">
        <v>21276</v>
      </c>
      <c r="B3">
        <v>317.45999999999998</v>
      </c>
      <c r="C3">
        <v>315.16000000000003</v>
      </c>
    </row>
    <row r="4" spans="1:3" x14ac:dyDescent="0.4">
      <c r="A4" s="1">
        <v>21306</v>
      </c>
      <c r="B4">
        <v>317.51</v>
      </c>
      <c r="C4">
        <v>314.70999999999998</v>
      </c>
    </row>
    <row r="5" spans="1:3" x14ac:dyDescent="0.4">
      <c r="A5" s="1">
        <v>21367</v>
      </c>
      <c r="B5">
        <v>315.86</v>
      </c>
      <c r="C5">
        <v>315.19</v>
      </c>
    </row>
    <row r="6" spans="1:3" x14ac:dyDescent="0.4">
      <c r="A6" s="1">
        <v>21398</v>
      </c>
      <c r="B6">
        <v>314.93</v>
      </c>
      <c r="C6">
        <v>316.19</v>
      </c>
    </row>
    <row r="7" spans="1:3" x14ac:dyDescent="0.4">
      <c r="A7" s="1">
        <v>21429</v>
      </c>
      <c r="B7">
        <v>313.20999999999998</v>
      </c>
      <c r="C7">
        <v>316.08</v>
      </c>
    </row>
    <row r="8" spans="1:3" x14ac:dyDescent="0.4">
      <c r="A8" s="1">
        <v>21490</v>
      </c>
      <c r="B8">
        <v>313.33</v>
      </c>
      <c r="C8">
        <v>315.2</v>
      </c>
    </row>
    <row r="9" spans="1:3" x14ac:dyDescent="0.4">
      <c r="A9" s="1">
        <v>21520</v>
      </c>
      <c r="B9">
        <v>314.67</v>
      </c>
      <c r="C9">
        <v>315.43</v>
      </c>
    </row>
    <row r="10" spans="1:3" x14ac:dyDescent="0.4">
      <c r="A10" s="1">
        <v>21551</v>
      </c>
      <c r="B10">
        <v>315.58</v>
      </c>
      <c r="C10">
        <v>315.54000000000002</v>
      </c>
    </row>
    <row r="11" spans="1:3" x14ac:dyDescent="0.4">
      <c r="A11" s="1">
        <v>21582</v>
      </c>
      <c r="B11">
        <v>316.49</v>
      </c>
      <c r="C11">
        <v>315.86</v>
      </c>
    </row>
    <row r="12" spans="1:3" x14ac:dyDescent="0.4">
      <c r="A12" s="1">
        <v>21610</v>
      </c>
      <c r="B12">
        <v>316.64999999999998</v>
      </c>
      <c r="C12">
        <v>315.38</v>
      </c>
    </row>
    <row r="13" spans="1:3" x14ac:dyDescent="0.4">
      <c r="A13" s="1">
        <v>21641</v>
      </c>
      <c r="B13">
        <v>317.72000000000003</v>
      </c>
      <c r="C13">
        <v>315.42</v>
      </c>
    </row>
    <row r="14" spans="1:3" x14ac:dyDescent="0.4">
      <c r="A14" s="1">
        <v>21671</v>
      </c>
      <c r="B14">
        <v>318.29000000000002</v>
      </c>
      <c r="C14">
        <v>315.49</v>
      </c>
    </row>
    <row r="15" spans="1:3" x14ac:dyDescent="0.4">
      <c r="A15" s="1">
        <v>21702</v>
      </c>
      <c r="B15">
        <v>318.14999999999998</v>
      </c>
      <c r="C15">
        <v>316.02999999999997</v>
      </c>
    </row>
    <row r="16" spans="1:3" x14ac:dyDescent="0.4">
      <c r="A16" s="1">
        <v>21732</v>
      </c>
      <c r="B16">
        <v>316.54000000000002</v>
      </c>
      <c r="C16">
        <v>315.86</v>
      </c>
    </row>
    <row r="17" spans="1:3" x14ac:dyDescent="0.4">
      <c r="A17" s="1">
        <v>21763</v>
      </c>
      <c r="B17">
        <v>314.8</v>
      </c>
      <c r="C17">
        <v>316.06</v>
      </c>
    </row>
    <row r="18" spans="1:3" x14ac:dyDescent="0.4">
      <c r="A18" s="1">
        <v>21794</v>
      </c>
      <c r="B18">
        <v>313.83999999999997</v>
      </c>
      <c r="C18">
        <v>316.73</v>
      </c>
    </row>
    <row r="19" spans="1:3" x14ac:dyDescent="0.4">
      <c r="A19" s="1">
        <v>21824</v>
      </c>
      <c r="B19">
        <v>313.33</v>
      </c>
      <c r="C19">
        <v>316.33</v>
      </c>
    </row>
    <row r="20" spans="1:3" x14ac:dyDescent="0.4">
      <c r="A20" s="1">
        <v>21855</v>
      </c>
      <c r="B20">
        <v>314.81</v>
      </c>
      <c r="C20">
        <v>316.68</v>
      </c>
    </row>
    <row r="21" spans="1:3" x14ac:dyDescent="0.4">
      <c r="A21" s="1">
        <v>21885</v>
      </c>
      <c r="B21">
        <v>315.58</v>
      </c>
      <c r="C21">
        <v>316.35000000000002</v>
      </c>
    </row>
    <row r="22" spans="1:3" x14ac:dyDescent="0.4">
      <c r="A22" s="1">
        <v>21916</v>
      </c>
      <c r="B22">
        <v>316.43</v>
      </c>
      <c r="C22">
        <v>316.39</v>
      </c>
    </row>
    <row r="23" spans="1:3" x14ac:dyDescent="0.4">
      <c r="A23" s="1">
        <v>21947</v>
      </c>
      <c r="B23">
        <v>316.98</v>
      </c>
      <c r="C23">
        <v>316.35000000000002</v>
      </c>
    </row>
    <row r="24" spans="1:3" x14ac:dyDescent="0.4">
      <c r="A24" s="1">
        <v>21976</v>
      </c>
      <c r="B24">
        <v>317.58</v>
      </c>
      <c r="C24">
        <v>316.27999999999997</v>
      </c>
    </row>
    <row r="25" spans="1:3" x14ac:dyDescent="0.4">
      <c r="A25" s="1">
        <v>22007</v>
      </c>
      <c r="B25">
        <v>319.02999999999997</v>
      </c>
      <c r="C25">
        <v>316.7</v>
      </c>
    </row>
    <row r="26" spans="1:3" x14ac:dyDescent="0.4">
      <c r="A26" s="1">
        <v>22037</v>
      </c>
      <c r="B26">
        <v>320.04000000000002</v>
      </c>
      <c r="C26">
        <v>317.22000000000003</v>
      </c>
    </row>
    <row r="27" spans="1:3" x14ac:dyDescent="0.4">
      <c r="A27" s="1">
        <v>22068</v>
      </c>
      <c r="B27">
        <v>319.58</v>
      </c>
      <c r="C27">
        <v>317.48</v>
      </c>
    </row>
    <row r="28" spans="1:3" x14ac:dyDescent="0.4">
      <c r="A28" s="1">
        <v>22098</v>
      </c>
      <c r="B28">
        <v>318.18</v>
      </c>
      <c r="C28">
        <v>317.52</v>
      </c>
    </row>
    <row r="29" spans="1:3" x14ac:dyDescent="0.4">
      <c r="A29" s="1">
        <v>22129</v>
      </c>
      <c r="B29">
        <v>315.89999999999998</v>
      </c>
      <c r="C29">
        <v>317.2</v>
      </c>
    </row>
    <row r="30" spans="1:3" x14ac:dyDescent="0.4">
      <c r="A30" s="1">
        <v>22160</v>
      </c>
      <c r="B30">
        <v>314.17</v>
      </c>
      <c r="C30">
        <v>317.08</v>
      </c>
    </row>
    <row r="31" spans="1:3" x14ac:dyDescent="0.4">
      <c r="A31" s="1">
        <v>22190</v>
      </c>
      <c r="B31">
        <v>313.83</v>
      </c>
      <c r="C31">
        <v>316.83</v>
      </c>
    </row>
    <row r="32" spans="1:3" x14ac:dyDescent="0.4">
      <c r="A32" s="1">
        <v>22221</v>
      </c>
      <c r="B32">
        <v>315</v>
      </c>
      <c r="C32">
        <v>316.88</v>
      </c>
    </row>
    <row r="33" spans="1:3" x14ac:dyDescent="0.4">
      <c r="A33" s="1">
        <v>22251</v>
      </c>
      <c r="B33">
        <v>316.19</v>
      </c>
      <c r="C33">
        <v>316.95999999999998</v>
      </c>
    </row>
    <row r="34" spans="1:3" x14ac:dyDescent="0.4">
      <c r="A34" s="1">
        <v>22282</v>
      </c>
      <c r="B34">
        <v>316.89999999999998</v>
      </c>
      <c r="C34">
        <v>316.85000000000002</v>
      </c>
    </row>
    <row r="35" spans="1:3" x14ac:dyDescent="0.4">
      <c r="A35" s="1">
        <v>22313</v>
      </c>
      <c r="B35">
        <v>317.7</v>
      </c>
      <c r="C35">
        <v>317.07</v>
      </c>
    </row>
    <row r="36" spans="1:3" x14ac:dyDescent="0.4">
      <c r="A36" s="1">
        <v>22341</v>
      </c>
      <c r="B36">
        <v>318.54000000000002</v>
      </c>
      <c r="C36">
        <v>317.26</v>
      </c>
    </row>
    <row r="37" spans="1:3" x14ac:dyDescent="0.4">
      <c r="A37" s="1">
        <v>22372</v>
      </c>
      <c r="B37">
        <v>319.48</v>
      </c>
      <c r="C37">
        <v>317.16000000000003</v>
      </c>
    </row>
    <row r="38" spans="1:3" x14ac:dyDescent="0.4">
      <c r="A38" s="1">
        <v>22402</v>
      </c>
      <c r="B38">
        <v>320.58</v>
      </c>
      <c r="C38">
        <v>317.76</v>
      </c>
    </row>
    <row r="39" spans="1:3" x14ac:dyDescent="0.4">
      <c r="A39" s="1">
        <v>22433</v>
      </c>
      <c r="B39">
        <v>319.77</v>
      </c>
      <c r="C39">
        <v>317.63</v>
      </c>
    </row>
    <row r="40" spans="1:3" x14ac:dyDescent="0.4">
      <c r="A40" s="1">
        <v>22463</v>
      </c>
      <c r="B40">
        <v>318.57</v>
      </c>
      <c r="C40">
        <v>317.88</v>
      </c>
    </row>
    <row r="41" spans="1:3" x14ac:dyDescent="0.4">
      <c r="A41" s="1">
        <v>22494</v>
      </c>
      <c r="B41">
        <v>316.79000000000002</v>
      </c>
      <c r="C41">
        <v>318.06</v>
      </c>
    </row>
    <row r="42" spans="1:3" x14ac:dyDescent="0.4">
      <c r="A42" s="1">
        <v>22525</v>
      </c>
      <c r="B42">
        <v>314.99</v>
      </c>
      <c r="C42">
        <v>317.89999999999998</v>
      </c>
    </row>
    <row r="43" spans="1:3" x14ac:dyDescent="0.4">
      <c r="A43" s="1">
        <v>22555</v>
      </c>
      <c r="B43">
        <v>315.31</v>
      </c>
      <c r="C43">
        <v>318.32</v>
      </c>
    </row>
    <row r="44" spans="1:3" x14ac:dyDescent="0.4">
      <c r="A44" s="1">
        <v>22586</v>
      </c>
      <c r="B44">
        <v>316.10000000000002</v>
      </c>
      <c r="C44">
        <v>317.99</v>
      </c>
    </row>
    <row r="45" spans="1:3" x14ac:dyDescent="0.4">
      <c r="A45" s="1">
        <v>22616</v>
      </c>
      <c r="B45">
        <v>317.01</v>
      </c>
      <c r="C45">
        <v>317.77999999999997</v>
      </c>
    </row>
    <row r="46" spans="1:3" x14ac:dyDescent="0.4">
      <c r="A46" s="1">
        <v>22647</v>
      </c>
      <c r="B46">
        <v>317.94</v>
      </c>
      <c r="C46">
        <v>317.89999999999998</v>
      </c>
    </row>
    <row r="47" spans="1:3" x14ac:dyDescent="0.4">
      <c r="A47" s="1">
        <v>22678</v>
      </c>
      <c r="B47">
        <v>318.55</v>
      </c>
      <c r="C47">
        <v>317.92</v>
      </c>
    </row>
    <row r="48" spans="1:3" x14ac:dyDescent="0.4">
      <c r="A48" s="1">
        <v>22706</v>
      </c>
      <c r="B48">
        <v>319.68</v>
      </c>
      <c r="C48">
        <v>318.39999999999998</v>
      </c>
    </row>
    <row r="49" spans="1:3" x14ac:dyDescent="0.4">
      <c r="A49" s="1">
        <v>22737</v>
      </c>
      <c r="B49">
        <v>320.57</v>
      </c>
      <c r="C49">
        <v>318.24</v>
      </c>
    </row>
    <row r="50" spans="1:3" x14ac:dyDescent="0.4">
      <c r="A50" s="1">
        <v>22767</v>
      </c>
      <c r="B50">
        <v>321.02</v>
      </c>
      <c r="C50">
        <v>318.18</v>
      </c>
    </row>
    <row r="51" spans="1:3" x14ac:dyDescent="0.4">
      <c r="A51" s="1">
        <v>22798</v>
      </c>
      <c r="B51">
        <v>320.62</v>
      </c>
      <c r="C51">
        <v>318.47000000000003</v>
      </c>
    </row>
    <row r="52" spans="1:3" x14ac:dyDescent="0.4">
      <c r="A52" s="1">
        <v>22828</v>
      </c>
      <c r="B52">
        <v>319.61</v>
      </c>
      <c r="C52">
        <v>318.93</v>
      </c>
    </row>
    <row r="53" spans="1:3" x14ac:dyDescent="0.4">
      <c r="A53" s="1">
        <v>22859</v>
      </c>
      <c r="B53">
        <v>317.39999999999998</v>
      </c>
      <c r="C53">
        <v>318.68</v>
      </c>
    </row>
    <row r="54" spans="1:3" x14ac:dyDescent="0.4">
      <c r="A54" s="1">
        <v>22890</v>
      </c>
      <c r="B54">
        <v>316.25</v>
      </c>
      <c r="C54">
        <v>319.17</v>
      </c>
    </row>
    <row r="55" spans="1:3" x14ac:dyDescent="0.4">
      <c r="A55" s="1">
        <v>22920</v>
      </c>
      <c r="B55">
        <v>315.42</v>
      </c>
      <c r="C55">
        <v>318.44</v>
      </c>
    </row>
    <row r="56" spans="1:3" x14ac:dyDescent="0.4">
      <c r="A56" s="1">
        <v>22951</v>
      </c>
      <c r="B56">
        <v>316.69</v>
      </c>
      <c r="C56">
        <v>318.58</v>
      </c>
    </row>
    <row r="57" spans="1:3" x14ac:dyDescent="0.4">
      <c r="A57" s="1">
        <v>22981</v>
      </c>
      <c r="B57">
        <v>317.7</v>
      </c>
      <c r="C57">
        <v>318.47000000000003</v>
      </c>
    </row>
    <row r="58" spans="1:3" x14ac:dyDescent="0.4">
      <c r="A58" s="1">
        <v>23012</v>
      </c>
      <c r="B58">
        <v>318.74</v>
      </c>
      <c r="C58">
        <v>318.7</v>
      </c>
    </row>
    <row r="59" spans="1:3" x14ac:dyDescent="0.4">
      <c r="A59" s="1">
        <v>23043</v>
      </c>
      <c r="B59">
        <v>319.07</v>
      </c>
      <c r="C59">
        <v>318.43</v>
      </c>
    </row>
    <row r="60" spans="1:3" x14ac:dyDescent="0.4">
      <c r="A60" s="1">
        <v>23071</v>
      </c>
      <c r="B60">
        <v>319.86</v>
      </c>
      <c r="C60">
        <v>318.57</v>
      </c>
    </row>
    <row r="61" spans="1:3" x14ac:dyDescent="0.4">
      <c r="A61" s="1">
        <v>23102</v>
      </c>
      <c r="B61">
        <v>321.38</v>
      </c>
      <c r="C61">
        <v>319.05</v>
      </c>
    </row>
    <row r="62" spans="1:3" x14ac:dyDescent="0.4">
      <c r="A62" s="1">
        <v>23132</v>
      </c>
      <c r="B62">
        <v>322.25</v>
      </c>
      <c r="C62">
        <v>319.39999999999998</v>
      </c>
    </row>
    <row r="63" spans="1:3" x14ac:dyDescent="0.4">
      <c r="A63" s="1">
        <v>23163</v>
      </c>
      <c r="B63">
        <v>321.48</v>
      </c>
      <c r="C63">
        <v>319.33</v>
      </c>
    </row>
    <row r="64" spans="1:3" x14ac:dyDescent="0.4">
      <c r="A64" s="1">
        <v>23193</v>
      </c>
      <c r="B64">
        <v>319.74</v>
      </c>
      <c r="C64">
        <v>319.06</v>
      </c>
    </row>
    <row r="65" spans="1:3" x14ac:dyDescent="0.4">
      <c r="A65" s="1">
        <v>23224</v>
      </c>
      <c r="B65">
        <v>317.77</v>
      </c>
      <c r="C65">
        <v>319.05</v>
      </c>
    </row>
    <row r="66" spans="1:3" x14ac:dyDescent="0.4">
      <c r="A66" s="1">
        <v>23255</v>
      </c>
      <c r="B66">
        <v>316.20999999999998</v>
      </c>
      <c r="C66">
        <v>319.14</v>
      </c>
    </row>
    <row r="67" spans="1:3" x14ac:dyDescent="0.4">
      <c r="A67" s="1">
        <v>23285</v>
      </c>
      <c r="B67">
        <v>315.99</v>
      </c>
      <c r="C67">
        <v>319.02</v>
      </c>
    </row>
    <row r="68" spans="1:3" x14ac:dyDescent="0.4">
      <c r="A68" s="1">
        <v>23316</v>
      </c>
      <c r="B68">
        <v>317.07</v>
      </c>
      <c r="C68">
        <v>318.97000000000003</v>
      </c>
    </row>
    <row r="69" spans="1:3" x14ac:dyDescent="0.4">
      <c r="A69" s="1">
        <v>23346</v>
      </c>
      <c r="B69">
        <v>318.35000000000002</v>
      </c>
      <c r="C69">
        <v>319.13</v>
      </c>
    </row>
    <row r="70" spans="1:3" x14ac:dyDescent="0.4">
      <c r="A70" s="1">
        <v>23377</v>
      </c>
      <c r="B70">
        <v>319.57</v>
      </c>
      <c r="C70">
        <v>319.52999999999997</v>
      </c>
    </row>
    <row r="71" spans="1:3" x14ac:dyDescent="0.4">
      <c r="A71" s="1">
        <v>23498</v>
      </c>
      <c r="B71">
        <v>322.26</v>
      </c>
      <c r="C71">
        <v>319.39999999999998</v>
      </c>
    </row>
    <row r="72" spans="1:3" x14ac:dyDescent="0.4">
      <c r="A72" s="1">
        <v>23529</v>
      </c>
      <c r="B72">
        <v>321.89</v>
      </c>
      <c r="C72">
        <v>319.75</v>
      </c>
    </row>
    <row r="73" spans="1:3" x14ac:dyDescent="0.4">
      <c r="A73" s="1">
        <v>23559</v>
      </c>
      <c r="B73">
        <v>320.44</v>
      </c>
      <c r="C73">
        <v>319.77999999999997</v>
      </c>
    </row>
    <row r="74" spans="1:3" x14ac:dyDescent="0.4">
      <c r="A74" s="1">
        <v>23590</v>
      </c>
      <c r="B74">
        <v>318.69</v>
      </c>
      <c r="C74">
        <v>320.01</v>
      </c>
    </row>
    <row r="75" spans="1:3" x14ac:dyDescent="0.4">
      <c r="A75" s="1">
        <v>23621</v>
      </c>
      <c r="B75">
        <v>316.7</v>
      </c>
      <c r="C75">
        <v>319.66000000000003</v>
      </c>
    </row>
    <row r="76" spans="1:3" x14ac:dyDescent="0.4">
      <c r="A76" s="1">
        <v>23651</v>
      </c>
      <c r="B76">
        <v>316.87</v>
      </c>
      <c r="C76">
        <v>319.91000000000003</v>
      </c>
    </row>
    <row r="77" spans="1:3" x14ac:dyDescent="0.4">
      <c r="A77" s="1">
        <v>23682</v>
      </c>
      <c r="B77">
        <v>317.68</v>
      </c>
      <c r="C77">
        <v>319.58</v>
      </c>
    </row>
    <row r="78" spans="1:3" x14ac:dyDescent="0.4">
      <c r="A78" s="1">
        <v>23712</v>
      </c>
      <c r="B78">
        <v>318.70999999999998</v>
      </c>
      <c r="C78">
        <v>319.49</v>
      </c>
    </row>
    <row r="79" spans="1:3" x14ac:dyDescent="0.4">
      <c r="A79" s="1">
        <v>23743</v>
      </c>
      <c r="B79">
        <v>319.44</v>
      </c>
      <c r="C79">
        <v>319.39999999999998</v>
      </c>
    </row>
    <row r="80" spans="1:3" x14ac:dyDescent="0.4">
      <c r="A80" s="1">
        <v>23774</v>
      </c>
      <c r="B80">
        <v>320.44</v>
      </c>
      <c r="C80">
        <v>319.81</v>
      </c>
    </row>
    <row r="81" spans="1:3" x14ac:dyDescent="0.4">
      <c r="A81" s="1">
        <v>23802</v>
      </c>
      <c r="B81">
        <v>320.89</v>
      </c>
      <c r="C81">
        <v>319.58999999999997</v>
      </c>
    </row>
    <row r="82" spans="1:3" x14ac:dyDescent="0.4">
      <c r="A82" s="1">
        <v>23833</v>
      </c>
      <c r="B82">
        <v>322.14</v>
      </c>
      <c r="C82">
        <v>319.77999999999997</v>
      </c>
    </row>
    <row r="83" spans="1:3" x14ac:dyDescent="0.4">
      <c r="A83" s="1">
        <v>23863</v>
      </c>
      <c r="B83">
        <v>322.17</v>
      </c>
      <c r="C83">
        <v>319.3</v>
      </c>
    </row>
    <row r="84" spans="1:3" x14ac:dyDescent="0.4">
      <c r="A84" s="1">
        <v>23894</v>
      </c>
      <c r="B84">
        <v>321.87</v>
      </c>
      <c r="C84">
        <v>319.7</v>
      </c>
    </row>
    <row r="85" spans="1:3" x14ac:dyDescent="0.4">
      <c r="A85" s="1">
        <v>23924</v>
      </c>
      <c r="B85">
        <v>321.20999999999998</v>
      </c>
      <c r="C85">
        <v>320.52</v>
      </c>
    </row>
    <row r="86" spans="1:3" x14ac:dyDescent="0.4">
      <c r="A86" s="1">
        <v>23955</v>
      </c>
      <c r="B86">
        <v>318.87</v>
      </c>
      <c r="C86">
        <v>320.16000000000003</v>
      </c>
    </row>
    <row r="87" spans="1:3" x14ac:dyDescent="0.4">
      <c r="A87" s="1">
        <v>23986</v>
      </c>
      <c r="B87">
        <v>317.81</v>
      </c>
      <c r="C87">
        <v>320.77</v>
      </c>
    </row>
    <row r="88" spans="1:3" x14ac:dyDescent="0.4">
      <c r="A88" s="1">
        <v>24016</v>
      </c>
      <c r="B88">
        <v>317.3</v>
      </c>
      <c r="C88">
        <v>320.36</v>
      </c>
    </row>
    <row r="89" spans="1:3" x14ac:dyDescent="0.4">
      <c r="A89" s="1">
        <v>24047</v>
      </c>
      <c r="B89">
        <v>318.87</v>
      </c>
      <c r="C89">
        <v>320.77999999999997</v>
      </c>
    </row>
    <row r="90" spans="1:3" x14ac:dyDescent="0.4">
      <c r="A90" s="1">
        <v>24077</v>
      </c>
      <c r="B90">
        <v>319.42</v>
      </c>
      <c r="C90">
        <v>320.2</v>
      </c>
    </row>
    <row r="91" spans="1:3" x14ac:dyDescent="0.4">
      <c r="A91" s="1">
        <v>24108</v>
      </c>
      <c r="B91">
        <v>320.62</v>
      </c>
      <c r="C91">
        <v>320.58</v>
      </c>
    </row>
    <row r="92" spans="1:3" x14ac:dyDescent="0.4">
      <c r="A92" s="1">
        <v>24139</v>
      </c>
      <c r="B92">
        <v>321.60000000000002</v>
      </c>
      <c r="C92">
        <v>320.95</v>
      </c>
    </row>
    <row r="93" spans="1:3" x14ac:dyDescent="0.4">
      <c r="A93" s="1">
        <v>24167</v>
      </c>
      <c r="B93">
        <v>322.39</v>
      </c>
      <c r="C93">
        <v>321.08</v>
      </c>
    </row>
    <row r="94" spans="1:3" x14ac:dyDescent="0.4">
      <c r="A94" s="1">
        <v>24198</v>
      </c>
      <c r="B94">
        <v>323.7</v>
      </c>
      <c r="C94">
        <v>321.33999999999997</v>
      </c>
    </row>
    <row r="95" spans="1:3" x14ac:dyDescent="0.4">
      <c r="A95" s="1">
        <v>24228</v>
      </c>
      <c r="B95">
        <v>324.08</v>
      </c>
      <c r="C95">
        <v>321.2</v>
      </c>
    </row>
    <row r="96" spans="1:3" x14ac:dyDescent="0.4">
      <c r="A96" s="1">
        <v>24259</v>
      </c>
      <c r="B96">
        <v>323.75</v>
      </c>
      <c r="C96">
        <v>321.57</v>
      </c>
    </row>
    <row r="97" spans="1:3" x14ac:dyDescent="0.4">
      <c r="A97" s="1">
        <v>24289</v>
      </c>
      <c r="B97">
        <v>322.38</v>
      </c>
      <c r="C97">
        <v>321.69</v>
      </c>
    </row>
    <row r="98" spans="1:3" x14ac:dyDescent="0.4">
      <c r="A98" s="1">
        <v>24320</v>
      </c>
      <c r="B98">
        <v>320.36</v>
      </c>
      <c r="C98">
        <v>321.66000000000003</v>
      </c>
    </row>
    <row r="99" spans="1:3" x14ac:dyDescent="0.4">
      <c r="A99" s="1">
        <v>24351</v>
      </c>
      <c r="B99">
        <v>318.64</v>
      </c>
      <c r="C99">
        <v>321.60000000000002</v>
      </c>
    </row>
    <row r="100" spans="1:3" x14ac:dyDescent="0.4">
      <c r="A100" s="1">
        <v>24381</v>
      </c>
      <c r="B100">
        <v>318.10000000000002</v>
      </c>
      <c r="C100">
        <v>321.17</v>
      </c>
    </row>
    <row r="101" spans="1:3" x14ac:dyDescent="0.4">
      <c r="A101" s="1">
        <v>24412</v>
      </c>
      <c r="B101">
        <v>319.77999999999997</v>
      </c>
      <c r="C101">
        <v>321.7</v>
      </c>
    </row>
    <row r="102" spans="1:3" x14ac:dyDescent="0.4">
      <c r="A102" s="1">
        <v>24442</v>
      </c>
      <c r="B102">
        <v>321.02999999999997</v>
      </c>
      <c r="C102">
        <v>321.81</v>
      </c>
    </row>
    <row r="103" spans="1:3" x14ac:dyDescent="0.4">
      <c r="A103" s="1">
        <v>24473</v>
      </c>
      <c r="B103">
        <v>322.33</v>
      </c>
      <c r="C103">
        <v>322.29000000000002</v>
      </c>
    </row>
    <row r="104" spans="1:3" x14ac:dyDescent="0.4">
      <c r="A104" s="1">
        <v>24504</v>
      </c>
      <c r="B104">
        <v>322.5</v>
      </c>
      <c r="C104">
        <v>321.85000000000002</v>
      </c>
    </row>
    <row r="105" spans="1:3" x14ac:dyDescent="0.4">
      <c r="A105" s="1">
        <v>24532</v>
      </c>
      <c r="B105">
        <v>323.04000000000002</v>
      </c>
      <c r="C105">
        <v>321.73</v>
      </c>
    </row>
    <row r="106" spans="1:3" x14ac:dyDescent="0.4">
      <c r="A106" s="1">
        <v>24563</v>
      </c>
      <c r="B106">
        <v>324.42</v>
      </c>
      <c r="C106">
        <v>322.05</v>
      </c>
    </row>
    <row r="107" spans="1:3" x14ac:dyDescent="0.4">
      <c r="A107" s="1">
        <v>24593</v>
      </c>
      <c r="B107">
        <v>325</v>
      </c>
      <c r="C107">
        <v>322.11</v>
      </c>
    </row>
    <row r="108" spans="1:3" x14ac:dyDescent="0.4">
      <c r="A108" s="1">
        <v>24624</v>
      </c>
      <c r="B108">
        <v>324.08999999999997</v>
      </c>
      <c r="C108">
        <v>321.91000000000003</v>
      </c>
    </row>
    <row r="109" spans="1:3" x14ac:dyDescent="0.4">
      <c r="A109" s="1">
        <v>24654</v>
      </c>
      <c r="B109">
        <v>322.54000000000002</v>
      </c>
      <c r="C109">
        <v>321.85000000000002</v>
      </c>
    </row>
    <row r="110" spans="1:3" x14ac:dyDescent="0.4">
      <c r="A110" s="1">
        <v>24685</v>
      </c>
      <c r="B110">
        <v>320.92</v>
      </c>
      <c r="C110">
        <v>322.22000000000003</v>
      </c>
    </row>
    <row r="111" spans="1:3" x14ac:dyDescent="0.4">
      <c r="A111" s="1">
        <v>24716</v>
      </c>
      <c r="B111">
        <v>319.25</v>
      </c>
      <c r="C111">
        <v>322.23</v>
      </c>
    </row>
    <row r="112" spans="1:3" x14ac:dyDescent="0.4">
      <c r="A112" s="1">
        <v>24746</v>
      </c>
      <c r="B112">
        <v>319.39</v>
      </c>
      <c r="C112">
        <v>322.47000000000003</v>
      </c>
    </row>
    <row r="113" spans="1:3" x14ac:dyDescent="0.4">
      <c r="A113" s="1">
        <v>24777</v>
      </c>
      <c r="B113">
        <v>320.73</v>
      </c>
      <c r="C113">
        <v>322.64999999999998</v>
      </c>
    </row>
    <row r="114" spans="1:3" x14ac:dyDescent="0.4">
      <c r="A114" s="1">
        <v>24807</v>
      </c>
      <c r="B114">
        <v>321.95999999999998</v>
      </c>
      <c r="C114">
        <v>322.74</v>
      </c>
    </row>
    <row r="115" spans="1:3" x14ac:dyDescent="0.4">
      <c r="A115" s="1">
        <v>24838</v>
      </c>
      <c r="B115">
        <v>322.57</v>
      </c>
      <c r="C115">
        <v>322.52999999999997</v>
      </c>
    </row>
    <row r="116" spans="1:3" x14ac:dyDescent="0.4">
      <c r="A116" s="1">
        <v>24869</v>
      </c>
      <c r="B116">
        <v>323.14999999999998</v>
      </c>
      <c r="C116">
        <v>322.5</v>
      </c>
    </row>
    <row r="117" spans="1:3" x14ac:dyDescent="0.4">
      <c r="A117" s="1">
        <v>24898</v>
      </c>
      <c r="B117">
        <v>323.89</v>
      </c>
      <c r="C117">
        <v>322.55</v>
      </c>
    </row>
    <row r="118" spans="1:3" x14ac:dyDescent="0.4">
      <c r="A118" s="1">
        <v>24929</v>
      </c>
      <c r="B118">
        <v>325.02</v>
      </c>
      <c r="C118">
        <v>322.62</v>
      </c>
    </row>
    <row r="119" spans="1:3" x14ac:dyDescent="0.4">
      <c r="A119" s="1">
        <v>24959</v>
      </c>
      <c r="B119">
        <v>325.57</v>
      </c>
      <c r="C119">
        <v>322.68</v>
      </c>
    </row>
    <row r="120" spans="1:3" x14ac:dyDescent="0.4">
      <c r="A120" s="1">
        <v>24990</v>
      </c>
      <c r="B120">
        <v>325.36</v>
      </c>
      <c r="C120">
        <v>323.19</v>
      </c>
    </row>
    <row r="121" spans="1:3" x14ac:dyDescent="0.4">
      <c r="A121" s="1">
        <v>25020</v>
      </c>
      <c r="B121">
        <v>324.14</v>
      </c>
      <c r="C121">
        <v>323.47000000000003</v>
      </c>
    </row>
    <row r="122" spans="1:3" x14ac:dyDescent="0.4">
      <c r="A122" s="1">
        <v>25051</v>
      </c>
      <c r="B122">
        <v>322.11</v>
      </c>
      <c r="C122">
        <v>323.44</v>
      </c>
    </row>
    <row r="123" spans="1:3" x14ac:dyDescent="0.4">
      <c r="A123" s="1">
        <v>25082</v>
      </c>
      <c r="B123">
        <v>320.33</v>
      </c>
      <c r="C123">
        <v>323.32</v>
      </c>
    </row>
    <row r="124" spans="1:3" x14ac:dyDescent="0.4">
      <c r="A124" s="1">
        <v>25112</v>
      </c>
      <c r="B124">
        <v>320.25</v>
      </c>
      <c r="C124">
        <v>323.33</v>
      </c>
    </row>
    <row r="125" spans="1:3" x14ac:dyDescent="0.4">
      <c r="A125" s="1">
        <v>25143</v>
      </c>
      <c r="B125">
        <v>321.32</v>
      </c>
      <c r="C125">
        <v>323.25</v>
      </c>
    </row>
    <row r="126" spans="1:3" x14ac:dyDescent="0.4">
      <c r="A126" s="1">
        <v>25173</v>
      </c>
      <c r="B126">
        <v>322.89</v>
      </c>
      <c r="C126">
        <v>323.68</v>
      </c>
    </row>
    <row r="127" spans="1:3" x14ac:dyDescent="0.4">
      <c r="A127" s="1">
        <v>25204</v>
      </c>
      <c r="B127">
        <v>324</v>
      </c>
      <c r="C127">
        <v>323.95999999999998</v>
      </c>
    </row>
    <row r="128" spans="1:3" x14ac:dyDescent="0.4">
      <c r="A128" s="1">
        <v>25235</v>
      </c>
      <c r="B128">
        <v>324.41000000000003</v>
      </c>
      <c r="C128">
        <v>323.77</v>
      </c>
    </row>
    <row r="129" spans="1:3" x14ac:dyDescent="0.4">
      <c r="A129" s="1">
        <v>25263</v>
      </c>
      <c r="B129">
        <v>325.63</v>
      </c>
      <c r="C129">
        <v>324.32</v>
      </c>
    </row>
    <row r="130" spans="1:3" x14ac:dyDescent="0.4">
      <c r="A130" s="1">
        <v>25294</v>
      </c>
      <c r="B130">
        <v>326.66000000000003</v>
      </c>
      <c r="C130">
        <v>324.27999999999997</v>
      </c>
    </row>
    <row r="131" spans="1:3" x14ac:dyDescent="0.4">
      <c r="A131" s="1">
        <v>25324</v>
      </c>
      <c r="B131">
        <v>327.38</v>
      </c>
      <c r="C131">
        <v>324.48</v>
      </c>
    </row>
    <row r="132" spans="1:3" x14ac:dyDescent="0.4">
      <c r="A132" s="1">
        <v>25355</v>
      </c>
      <c r="B132">
        <v>326.70999999999998</v>
      </c>
      <c r="C132">
        <v>324.51</v>
      </c>
    </row>
    <row r="133" spans="1:3" x14ac:dyDescent="0.4">
      <c r="A133" s="1">
        <v>25385</v>
      </c>
      <c r="B133">
        <v>325.88</v>
      </c>
      <c r="C133">
        <v>325.18</v>
      </c>
    </row>
    <row r="134" spans="1:3" x14ac:dyDescent="0.4">
      <c r="A134" s="1">
        <v>25416</v>
      </c>
      <c r="B134">
        <v>323.66000000000003</v>
      </c>
      <c r="C134">
        <v>324.97000000000003</v>
      </c>
    </row>
    <row r="135" spans="1:3" x14ac:dyDescent="0.4">
      <c r="A135" s="1">
        <v>25447</v>
      </c>
      <c r="B135">
        <v>322.38</v>
      </c>
      <c r="C135">
        <v>325.37</v>
      </c>
    </row>
    <row r="136" spans="1:3" x14ac:dyDescent="0.4">
      <c r="A136" s="1">
        <v>25477</v>
      </c>
      <c r="B136">
        <v>321.77999999999997</v>
      </c>
      <c r="C136">
        <v>324.88</v>
      </c>
    </row>
    <row r="137" spans="1:3" x14ac:dyDescent="0.4">
      <c r="A137" s="1">
        <v>25508</v>
      </c>
      <c r="B137">
        <v>322.85000000000002</v>
      </c>
      <c r="C137">
        <v>324.79000000000002</v>
      </c>
    </row>
    <row r="138" spans="1:3" x14ac:dyDescent="0.4">
      <c r="A138" s="1">
        <v>25538</v>
      </c>
      <c r="B138">
        <v>324.12</v>
      </c>
      <c r="C138">
        <v>324.91000000000003</v>
      </c>
    </row>
    <row r="139" spans="1:3" x14ac:dyDescent="0.4">
      <c r="A139" s="1">
        <v>25569</v>
      </c>
      <c r="B139">
        <v>325.06</v>
      </c>
      <c r="C139">
        <v>325.02</v>
      </c>
    </row>
    <row r="140" spans="1:3" x14ac:dyDescent="0.4">
      <c r="A140" s="1">
        <v>25600</v>
      </c>
      <c r="B140">
        <v>325.98</v>
      </c>
      <c r="C140">
        <v>325.33</v>
      </c>
    </row>
    <row r="141" spans="1:3" x14ac:dyDescent="0.4">
      <c r="A141" s="1">
        <v>25628</v>
      </c>
      <c r="B141">
        <v>326.93</v>
      </c>
      <c r="C141">
        <v>325.61</v>
      </c>
    </row>
    <row r="142" spans="1:3" x14ac:dyDescent="0.4">
      <c r="A142" s="1">
        <v>25659</v>
      </c>
      <c r="B142">
        <v>328.13</v>
      </c>
      <c r="C142">
        <v>325.74</v>
      </c>
    </row>
    <row r="143" spans="1:3" x14ac:dyDescent="0.4">
      <c r="A143" s="1">
        <v>25689</v>
      </c>
      <c r="B143">
        <v>328.08</v>
      </c>
      <c r="C143">
        <v>325.16000000000003</v>
      </c>
    </row>
    <row r="144" spans="1:3" x14ac:dyDescent="0.4">
      <c r="A144" s="1">
        <v>25720</v>
      </c>
      <c r="B144">
        <v>327.67</v>
      </c>
      <c r="C144">
        <v>325.45999999999998</v>
      </c>
    </row>
    <row r="145" spans="1:3" x14ac:dyDescent="0.4">
      <c r="A145" s="1">
        <v>25750</v>
      </c>
      <c r="B145">
        <v>326.33999999999997</v>
      </c>
      <c r="C145">
        <v>325.64</v>
      </c>
    </row>
    <row r="146" spans="1:3" x14ac:dyDescent="0.4">
      <c r="A146" s="1">
        <v>25781</v>
      </c>
      <c r="B146">
        <v>324.69</v>
      </c>
      <c r="C146">
        <v>326</v>
      </c>
    </row>
    <row r="147" spans="1:3" x14ac:dyDescent="0.4">
      <c r="A147" s="1">
        <v>25812</v>
      </c>
      <c r="B147">
        <v>323.10000000000002</v>
      </c>
      <c r="C147">
        <v>326.10000000000002</v>
      </c>
    </row>
    <row r="148" spans="1:3" x14ac:dyDescent="0.4">
      <c r="A148" s="1">
        <v>25842</v>
      </c>
      <c r="B148">
        <v>323.06</v>
      </c>
      <c r="C148">
        <v>326.18</v>
      </c>
    </row>
    <row r="149" spans="1:3" x14ac:dyDescent="0.4">
      <c r="A149" s="1">
        <v>25873</v>
      </c>
      <c r="B149">
        <v>324.01</v>
      </c>
      <c r="C149">
        <v>325.95</v>
      </c>
    </row>
    <row r="150" spans="1:3" x14ac:dyDescent="0.4">
      <c r="A150" s="1">
        <v>25903</v>
      </c>
      <c r="B150">
        <v>325.13</v>
      </c>
      <c r="C150">
        <v>325.93</v>
      </c>
    </row>
    <row r="151" spans="1:3" x14ac:dyDescent="0.4">
      <c r="A151" s="1">
        <v>25934</v>
      </c>
      <c r="B151">
        <v>326.17</v>
      </c>
      <c r="C151">
        <v>326.13</v>
      </c>
    </row>
    <row r="152" spans="1:3" x14ac:dyDescent="0.4">
      <c r="A152" s="1">
        <v>25965</v>
      </c>
      <c r="B152">
        <v>326.68</v>
      </c>
      <c r="C152">
        <v>326.02999999999997</v>
      </c>
    </row>
    <row r="153" spans="1:3" x14ac:dyDescent="0.4">
      <c r="A153" s="1">
        <v>25993</v>
      </c>
      <c r="B153">
        <v>327.17</v>
      </c>
      <c r="C153">
        <v>325.85000000000002</v>
      </c>
    </row>
    <row r="154" spans="1:3" x14ac:dyDescent="0.4">
      <c r="A154" s="1">
        <v>26024</v>
      </c>
      <c r="B154">
        <v>327.79</v>
      </c>
      <c r="C154">
        <v>325.38</v>
      </c>
    </row>
    <row r="155" spans="1:3" x14ac:dyDescent="0.4">
      <c r="A155" s="1">
        <v>26054</v>
      </c>
      <c r="B155">
        <v>328.93</v>
      </c>
      <c r="C155">
        <v>326</v>
      </c>
    </row>
    <row r="156" spans="1:3" x14ac:dyDescent="0.4">
      <c r="A156" s="1">
        <v>26085</v>
      </c>
      <c r="B156">
        <v>328.57</v>
      </c>
      <c r="C156">
        <v>326.36</v>
      </c>
    </row>
    <row r="157" spans="1:3" x14ac:dyDescent="0.4">
      <c r="A157" s="1">
        <v>26115</v>
      </c>
      <c r="B157">
        <v>327.36</v>
      </c>
      <c r="C157">
        <v>326.64999999999998</v>
      </c>
    </row>
    <row r="158" spans="1:3" x14ac:dyDescent="0.4">
      <c r="A158" s="1">
        <v>26146</v>
      </c>
      <c r="B158">
        <v>325.43</v>
      </c>
      <c r="C158">
        <v>326.75</v>
      </c>
    </row>
    <row r="159" spans="1:3" x14ac:dyDescent="0.4">
      <c r="A159" s="1">
        <v>26177</v>
      </c>
      <c r="B159">
        <v>323.36</v>
      </c>
      <c r="C159">
        <v>326.37</v>
      </c>
    </row>
    <row r="160" spans="1:3" x14ac:dyDescent="0.4">
      <c r="A160" s="1">
        <v>26207</v>
      </c>
      <c r="B160">
        <v>323.56</v>
      </c>
      <c r="C160">
        <v>326.68</v>
      </c>
    </row>
    <row r="161" spans="1:3" x14ac:dyDescent="0.4">
      <c r="A161" s="1">
        <v>26238</v>
      </c>
      <c r="B161">
        <v>324.8</v>
      </c>
      <c r="C161">
        <v>326.75</v>
      </c>
    </row>
    <row r="162" spans="1:3" x14ac:dyDescent="0.4">
      <c r="A162" s="1">
        <v>26268</v>
      </c>
      <c r="B162">
        <v>326.01</v>
      </c>
      <c r="C162">
        <v>326.81</v>
      </c>
    </row>
    <row r="163" spans="1:3" x14ac:dyDescent="0.4">
      <c r="A163" s="1">
        <v>26299</v>
      </c>
      <c r="B163">
        <v>326.77</v>
      </c>
      <c r="C163">
        <v>326.73</v>
      </c>
    </row>
    <row r="164" spans="1:3" x14ac:dyDescent="0.4">
      <c r="A164" s="1">
        <v>26330</v>
      </c>
      <c r="B164">
        <v>327.63</v>
      </c>
      <c r="C164">
        <v>326.98</v>
      </c>
    </row>
    <row r="165" spans="1:3" x14ac:dyDescent="0.4">
      <c r="A165" s="1">
        <v>26359</v>
      </c>
      <c r="B165">
        <v>327.75</v>
      </c>
      <c r="C165">
        <v>326.39999999999998</v>
      </c>
    </row>
    <row r="166" spans="1:3" x14ac:dyDescent="0.4">
      <c r="A166" s="1">
        <v>26390</v>
      </c>
      <c r="B166">
        <v>329.72</v>
      </c>
      <c r="C166">
        <v>327.29000000000002</v>
      </c>
    </row>
    <row r="167" spans="1:3" x14ac:dyDescent="0.4">
      <c r="A167" s="1">
        <v>26420</v>
      </c>
      <c r="B167">
        <v>330.07</v>
      </c>
      <c r="C167">
        <v>327.13</v>
      </c>
    </row>
    <row r="168" spans="1:3" x14ac:dyDescent="0.4">
      <c r="A168" s="1">
        <v>26451</v>
      </c>
      <c r="B168">
        <v>329.09</v>
      </c>
      <c r="C168">
        <v>326.89</v>
      </c>
    </row>
    <row r="169" spans="1:3" x14ac:dyDescent="0.4">
      <c r="A169" s="1">
        <v>26481</v>
      </c>
      <c r="B169">
        <v>328.04</v>
      </c>
      <c r="C169">
        <v>327.36</v>
      </c>
    </row>
    <row r="170" spans="1:3" x14ac:dyDescent="0.4">
      <c r="A170" s="1">
        <v>26512</v>
      </c>
      <c r="B170">
        <v>326.32</v>
      </c>
      <c r="C170">
        <v>327.67</v>
      </c>
    </row>
    <row r="171" spans="1:3" x14ac:dyDescent="0.4">
      <c r="A171" s="1">
        <v>26543</v>
      </c>
      <c r="B171">
        <v>324.83999999999997</v>
      </c>
      <c r="C171">
        <v>327.87</v>
      </c>
    </row>
    <row r="172" spans="1:3" x14ac:dyDescent="0.4">
      <c r="A172" s="1">
        <v>26573</v>
      </c>
      <c r="B172">
        <v>325.2</v>
      </c>
      <c r="C172">
        <v>328.33</v>
      </c>
    </row>
    <row r="173" spans="1:3" x14ac:dyDescent="0.4">
      <c r="A173" s="1">
        <v>26604</v>
      </c>
      <c r="B173">
        <v>326.5</v>
      </c>
      <c r="C173">
        <v>328.45</v>
      </c>
    </row>
    <row r="174" spans="1:3" x14ac:dyDescent="0.4">
      <c r="A174" s="1">
        <v>26634</v>
      </c>
      <c r="B174">
        <v>327.55</v>
      </c>
      <c r="C174">
        <v>328.35</v>
      </c>
    </row>
    <row r="175" spans="1:3" x14ac:dyDescent="0.4">
      <c r="A175" s="1">
        <v>26665</v>
      </c>
      <c r="B175">
        <v>328.55</v>
      </c>
      <c r="C175">
        <v>328.5</v>
      </c>
    </row>
    <row r="176" spans="1:3" x14ac:dyDescent="0.4">
      <c r="A176" s="1">
        <v>26696</v>
      </c>
      <c r="B176">
        <v>329.56</v>
      </c>
      <c r="C176">
        <v>328.9</v>
      </c>
    </row>
    <row r="177" spans="1:3" x14ac:dyDescent="0.4">
      <c r="A177" s="1">
        <v>26724</v>
      </c>
      <c r="B177">
        <v>330.3</v>
      </c>
      <c r="C177">
        <v>328.97</v>
      </c>
    </row>
    <row r="178" spans="1:3" x14ac:dyDescent="0.4">
      <c r="A178" s="1">
        <v>26755</v>
      </c>
      <c r="B178">
        <v>331.5</v>
      </c>
      <c r="C178">
        <v>329.08</v>
      </c>
    </row>
    <row r="179" spans="1:3" x14ac:dyDescent="0.4">
      <c r="A179" s="1">
        <v>26785</v>
      </c>
      <c r="B179">
        <v>332.48</v>
      </c>
      <c r="C179">
        <v>329.53</v>
      </c>
    </row>
    <row r="180" spans="1:3" x14ac:dyDescent="0.4">
      <c r="A180" s="1">
        <v>26816</v>
      </c>
      <c r="B180">
        <v>332.07</v>
      </c>
      <c r="C180">
        <v>329.84</v>
      </c>
    </row>
    <row r="181" spans="1:3" x14ac:dyDescent="0.4">
      <c r="A181" s="1">
        <v>26846</v>
      </c>
      <c r="B181">
        <v>330.87</v>
      </c>
      <c r="C181">
        <v>330.16</v>
      </c>
    </row>
    <row r="182" spans="1:3" x14ac:dyDescent="0.4">
      <c r="A182" s="1">
        <v>26877</v>
      </c>
      <c r="B182">
        <v>329.31</v>
      </c>
      <c r="C182">
        <v>330.64</v>
      </c>
    </row>
    <row r="183" spans="1:3" x14ac:dyDescent="0.4">
      <c r="A183" s="1">
        <v>26908</v>
      </c>
      <c r="B183">
        <v>327.51</v>
      </c>
      <c r="C183">
        <v>330.55</v>
      </c>
    </row>
    <row r="184" spans="1:3" x14ac:dyDescent="0.4">
      <c r="A184" s="1">
        <v>26938</v>
      </c>
      <c r="B184">
        <v>327.18</v>
      </c>
      <c r="C184">
        <v>330.32</v>
      </c>
    </row>
    <row r="185" spans="1:3" x14ac:dyDescent="0.4">
      <c r="A185" s="1">
        <v>26969</v>
      </c>
      <c r="B185">
        <v>328.16</v>
      </c>
      <c r="C185">
        <v>330.13</v>
      </c>
    </row>
    <row r="186" spans="1:3" x14ac:dyDescent="0.4">
      <c r="A186" s="1">
        <v>26999</v>
      </c>
      <c r="B186">
        <v>328.64</v>
      </c>
      <c r="C186">
        <v>329.44</v>
      </c>
    </row>
    <row r="187" spans="1:3" x14ac:dyDescent="0.4">
      <c r="A187" s="1">
        <v>27030</v>
      </c>
      <c r="B187">
        <v>329.35</v>
      </c>
      <c r="C187">
        <v>329.31</v>
      </c>
    </row>
    <row r="188" spans="1:3" x14ac:dyDescent="0.4">
      <c r="A188" s="1">
        <v>27061</v>
      </c>
      <c r="B188">
        <v>330.71</v>
      </c>
      <c r="C188">
        <v>330.05</v>
      </c>
    </row>
    <row r="189" spans="1:3" x14ac:dyDescent="0.4">
      <c r="A189" s="1">
        <v>27089</v>
      </c>
      <c r="B189">
        <v>331.48</v>
      </c>
      <c r="C189">
        <v>330.14</v>
      </c>
    </row>
    <row r="190" spans="1:3" x14ac:dyDescent="0.4">
      <c r="A190" s="1">
        <v>27120</v>
      </c>
      <c r="B190">
        <v>332.65</v>
      </c>
      <c r="C190">
        <v>330.22</v>
      </c>
    </row>
    <row r="191" spans="1:3" x14ac:dyDescent="0.4">
      <c r="A191" s="1">
        <v>27150</v>
      </c>
      <c r="B191">
        <v>333.09</v>
      </c>
      <c r="C191">
        <v>330.13</v>
      </c>
    </row>
    <row r="192" spans="1:3" x14ac:dyDescent="0.4">
      <c r="A192" s="1">
        <v>27181</v>
      </c>
      <c r="B192">
        <v>332.25</v>
      </c>
      <c r="C192">
        <v>330.01</v>
      </c>
    </row>
    <row r="193" spans="1:3" x14ac:dyDescent="0.4">
      <c r="A193" s="1">
        <v>27211</v>
      </c>
      <c r="B193">
        <v>331.18</v>
      </c>
      <c r="C193">
        <v>330.46</v>
      </c>
    </row>
    <row r="194" spans="1:3" x14ac:dyDescent="0.4">
      <c r="A194" s="1">
        <v>27242</v>
      </c>
      <c r="B194">
        <v>329.39</v>
      </c>
      <c r="C194">
        <v>330.73</v>
      </c>
    </row>
    <row r="195" spans="1:3" x14ac:dyDescent="0.4">
      <c r="A195" s="1">
        <v>27273</v>
      </c>
      <c r="B195">
        <v>327.43</v>
      </c>
      <c r="C195">
        <v>330.48</v>
      </c>
    </row>
    <row r="196" spans="1:3" x14ac:dyDescent="0.4">
      <c r="A196" s="1">
        <v>27303</v>
      </c>
      <c r="B196">
        <v>327.37</v>
      </c>
      <c r="C196">
        <v>330.52</v>
      </c>
    </row>
    <row r="197" spans="1:3" x14ac:dyDescent="0.4">
      <c r="A197" s="1">
        <v>27334</v>
      </c>
      <c r="B197">
        <v>328.46</v>
      </c>
      <c r="C197">
        <v>330.43</v>
      </c>
    </row>
    <row r="198" spans="1:3" x14ac:dyDescent="0.4">
      <c r="A198" s="1">
        <v>27364</v>
      </c>
      <c r="B198">
        <v>329.57</v>
      </c>
      <c r="C198">
        <v>330.38</v>
      </c>
    </row>
    <row r="199" spans="1:3" x14ac:dyDescent="0.4">
      <c r="A199" s="1">
        <v>27395</v>
      </c>
      <c r="B199">
        <v>330.4</v>
      </c>
      <c r="C199">
        <v>330.36</v>
      </c>
    </row>
    <row r="200" spans="1:3" x14ac:dyDescent="0.4">
      <c r="A200" s="1">
        <v>27426</v>
      </c>
      <c r="B200">
        <v>331.4</v>
      </c>
      <c r="C200">
        <v>330.74</v>
      </c>
    </row>
    <row r="201" spans="1:3" x14ac:dyDescent="0.4">
      <c r="A201" s="1">
        <v>27454</v>
      </c>
      <c r="B201">
        <v>332.04</v>
      </c>
      <c r="C201">
        <v>330.69</v>
      </c>
    </row>
    <row r="202" spans="1:3" x14ac:dyDescent="0.4">
      <c r="A202" s="1">
        <v>27485</v>
      </c>
      <c r="B202">
        <v>333.31</v>
      </c>
      <c r="C202">
        <v>330.87</v>
      </c>
    </row>
    <row r="203" spans="1:3" x14ac:dyDescent="0.4">
      <c r="A203" s="1">
        <v>27515</v>
      </c>
      <c r="B203">
        <v>333.97</v>
      </c>
      <c r="C203">
        <v>331</v>
      </c>
    </row>
    <row r="204" spans="1:3" x14ac:dyDescent="0.4">
      <c r="A204" s="1">
        <v>27546</v>
      </c>
      <c r="B204">
        <v>333.6</v>
      </c>
      <c r="C204">
        <v>331.36</v>
      </c>
    </row>
    <row r="205" spans="1:3" x14ac:dyDescent="0.4">
      <c r="A205" s="1">
        <v>27576</v>
      </c>
      <c r="B205">
        <v>331.9</v>
      </c>
      <c r="C205">
        <v>331.19</v>
      </c>
    </row>
    <row r="206" spans="1:3" x14ac:dyDescent="0.4">
      <c r="A206" s="1">
        <v>27607</v>
      </c>
      <c r="B206">
        <v>330.06</v>
      </c>
      <c r="C206">
        <v>331.39</v>
      </c>
    </row>
    <row r="207" spans="1:3" x14ac:dyDescent="0.4">
      <c r="A207" s="1">
        <v>27638</v>
      </c>
      <c r="B207">
        <v>328.56</v>
      </c>
      <c r="C207">
        <v>331.61</v>
      </c>
    </row>
    <row r="208" spans="1:3" x14ac:dyDescent="0.4">
      <c r="A208" s="1">
        <v>27668</v>
      </c>
      <c r="B208">
        <v>328.34</v>
      </c>
      <c r="C208">
        <v>331.5</v>
      </c>
    </row>
    <row r="209" spans="1:3" x14ac:dyDescent="0.4">
      <c r="A209" s="1">
        <v>27699</v>
      </c>
      <c r="B209">
        <v>329.49</v>
      </c>
      <c r="C209">
        <v>331.47</v>
      </c>
    </row>
    <row r="210" spans="1:3" x14ac:dyDescent="0.4">
      <c r="A210" s="1">
        <v>27729</v>
      </c>
      <c r="B210">
        <v>330.76</v>
      </c>
      <c r="C210">
        <v>331.57</v>
      </c>
    </row>
    <row r="211" spans="1:3" x14ac:dyDescent="0.4">
      <c r="A211" s="1">
        <v>27760</v>
      </c>
      <c r="B211">
        <v>331.75</v>
      </c>
      <c r="C211">
        <v>331.7</v>
      </c>
    </row>
    <row r="212" spans="1:3" x14ac:dyDescent="0.4">
      <c r="A212" s="1">
        <v>27791</v>
      </c>
      <c r="B212">
        <v>332.57</v>
      </c>
      <c r="C212">
        <v>331.9</v>
      </c>
    </row>
    <row r="213" spans="1:3" x14ac:dyDescent="0.4">
      <c r="A213" s="1">
        <v>27820</v>
      </c>
      <c r="B213">
        <v>333.5</v>
      </c>
      <c r="C213">
        <v>332.12</v>
      </c>
    </row>
    <row r="214" spans="1:3" x14ac:dyDescent="0.4">
      <c r="A214" s="1">
        <v>27851</v>
      </c>
      <c r="B214">
        <v>334.58</v>
      </c>
      <c r="C214">
        <v>332.12</v>
      </c>
    </row>
    <row r="215" spans="1:3" x14ac:dyDescent="0.4">
      <c r="A215" s="1">
        <v>27881</v>
      </c>
      <c r="B215">
        <v>334.88</v>
      </c>
      <c r="C215">
        <v>331.9</v>
      </c>
    </row>
    <row r="216" spans="1:3" x14ac:dyDescent="0.4">
      <c r="A216" s="1">
        <v>27912</v>
      </c>
      <c r="B216">
        <v>334.33</v>
      </c>
      <c r="C216">
        <v>332.1</v>
      </c>
    </row>
    <row r="217" spans="1:3" x14ac:dyDescent="0.4">
      <c r="A217" s="1">
        <v>27942</v>
      </c>
      <c r="B217">
        <v>333.05</v>
      </c>
      <c r="C217">
        <v>332.36</v>
      </c>
    </row>
    <row r="218" spans="1:3" x14ac:dyDescent="0.4">
      <c r="A218" s="1">
        <v>27973</v>
      </c>
      <c r="B218">
        <v>330.94</v>
      </c>
      <c r="C218">
        <v>332.31</v>
      </c>
    </row>
    <row r="219" spans="1:3" x14ac:dyDescent="0.4">
      <c r="A219" s="1">
        <v>28004</v>
      </c>
      <c r="B219">
        <v>329.3</v>
      </c>
      <c r="C219">
        <v>332.38</v>
      </c>
    </row>
    <row r="220" spans="1:3" x14ac:dyDescent="0.4">
      <c r="A220" s="1">
        <v>28034</v>
      </c>
      <c r="B220">
        <v>328.94</v>
      </c>
      <c r="C220">
        <v>332.11</v>
      </c>
    </row>
    <row r="221" spans="1:3" x14ac:dyDescent="0.4">
      <c r="A221" s="1">
        <v>28065</v>
      </c>
      <c r="B221">
        <v>330.31</v>
      </c>
      <c r="C221">
        <v>332.29</v>
      </c>
    </row>
    <row r="222" spans="1:3" x14ac:dyDescent="0.4">
      <c r="A222" s="1">
        <v>28095</v>
      </c>
      <c r="B222">
        <v>331.68</v>
      </c>
      <c r="C222">
        <v>332.49</v>
      </c>
    </row>
    <row r="223" spans="1:3" x14ac:dyDescent="0.4">
      <c r="A223" s="1">
        <v>28126</v>
      </c>
      <c r="B223">
        <v>332.93</v>
      </c>
      <c r="C223">
        <v>332.88</v>
      </c>
    </row>
    <row r="224" spans="1:3" x14ac:dyDescent="0.4">
      <c r="A224" s="1">
        <v>28157</v>
      </c>
      <c r="B224">
        <v>333.42</v>
      </c>
      <c r="C224">
        <v>332.75</v>
      </c>
    </row>
    <row r="225" spans="1:3" x14ac:dyDescent="0.4">
      <c r="A225" s="1">
        <v>28185</v>
      </c>
      <c r="B225">
        <v>334.7</v>
      </c>
      <c r="C225">
        <v>333.35</v>
      </c>
    </row>
    <row r="226" spans="1:3" x14ac:dyDescent="0.4">
      <c r="A226" s="1">
        <v>28216</v>
      </c>
      <c r="B226">
        <v>336.07</v>
      </c>
      <c r="C226">
        <v>333.62</v>
      </c>
    </row>
    <row r="227" spans="1:3" x14ac:dyDescent="0.4">
      <c r="A227" s="1">
        <v>28246</v>
      </c>
      <c r="B227">
        <v>336.75</v>
      </c>
      <c r="C227">
        <v>333.76</v>
      </c>
    </row>
    <row r="228" spans="1:3" x14ac:dyDescent="0.4">
      <c r="A228" s="1">
        <v>28277</v>
      </c>
      <c r="B228">
        <v>336.27</v>
      </c>
      <c r="C228">
        <v>334.01</v>
      </c>
    </row>
    <row r="229" spans="1:3" x14ac:dyDescent="0.4">
      <c r="A229" s="1">
        <v>28307</v>
      </c>
      <c r="B229">
        <v>334.92</v>
      </c>
      <c r="C229">
        <v>334.2</v>
      </c>
    </row>
    <row r="230" spans="1:3" x14ac:dyDescent="0.4">
      <c r="A230" s="1">
        <v>28338</v>
      </c>
      <c r="B230">
        <v>332.75</v>
      </c>
      <c r="C230">
        <v>334.1</v>
      </c>
    </row>
    <row r="231" spans="1:3" x14ac:dyDescent="0.4">
      <c r="A231" s="1">
        <v>28369</v>
      </c>
      <c r="B231">
        <v>331.59</v>
      </c>
      <c r="C231">
        <v>334.67</v>
      </c>
    </row>
    <row r="232" spans="1:3" x14ac:dyDescent="0.4">
      <c r="A232" s="1">
        <v>28399</v>
      </c>
      <c r="B232">
        <v>331.16</v>
      </c>
      <c r="C232">
        <v>334.35</v>
      </c>
    </row>
    <row r="233" spans="1:3" x14ac:dyDescent="0.4">
      <c r="A233" s="1">
        <v>28430</v>
      </c>
      <c r="B233">
        <v>332.4</v>
      </c>
      <c r="C233">
        <v>334.4</v>
      </c>
    </row>
    <row r="234" spans="1:3" x14ac:dyDescent="0.4">
      <c r="A234" s="1">
        <v>28460</v>
      </c>
      <c r="B234">
        <v>333.85</v>
      </c>
      <c r="C234">
        <v>334.66</v>
      </c>
    </row>
    <row r="235" spans="1:3" x14ac:dyDescent="0.4">
      <c r="A235" s="1">
        <v>28491</v>
      </c>
      <c r="B235">
        <v>334.97</v>
      </c>
      <c r="C235">
        <v>334.93</v>
      </c>
    </row>
    <row r="236" spans="1:3" x14ac:dyDescent="0.4">
      <c r="A236" s="1">
        <v>28522</v>
      </c>
      <c r="B236">
        <v>335.39</v>
      </c>
      <c r="C236">
        <v>334.72</v>
      </c>
    </row>
    <row r="237" spans="1:3" x14ac:dyDescent="0.4">
      <c r="A237" s="1">
        <v>28550</v>
      </c>
      <c r="B237">
        <v>336.64</v>
      </c>
      <c r="C237">
        <v>335.28</v>
      </c>
    </row>
    <row r="238" spans="1:3" x14ac:dyDescent="0.4">
      <c r="A238" s="1">
        <v>28581</v>
      </c>
      <c r="B238">
        <v>337.76</v>
      </c>
      <c r="C238">
        <v>335.3</v>
      </c>
    </row>
    <row r="239" spans="1:3" x14ac:dyDescent="0.4">
      <c r="A239" s="1">
        <v>28611</v>
      </c>
      <c r="B239">
        <v>338.01</v>
      </c>
      <c r="C239">
        <v>335.02</v>
      </c>
    </row>
    <row r="240" spans="1:3" x14ac:dyDescent="0.4">
      <c r="A240" s="1">
        <v>28642</v>
      </c>
      <c r="B240">
        <v>337.9</v>
      </c>
      <c r="C240">
        <v>335.63</v>
      </c>
    </row>
    <row r="241" spans="1:3" x14ac:dyDescent="0.4">
      <c r="A241" s="1">
        <v>28672</v>
      </c>
      <c r="B241">
        <v>336.54</v>
      </c>
      <c r="C241">
        <v>335.82</v>
      </c>
    </row>
    <row r="242" spans="1:3" x14ac:dyDescent="0.4">
      <c r="A242" s="1">
        <v>28703</v>
      </c>
      <c r="B242">
        <v>334.68</v>
      </c>
      <c r="C242">
        <v>336.03</v>
      </c>
    </row>
    <row r="243" spans="1:3" x14ac:dyDescent="0.4">
      <c r="A243" s="1">
        <v>28734</v>
      </c>
      <c r="B243">
        <v>332.76</v>
      </c>
      <c r="C243">
        <v>335.85</v>
      </c>
    </row>
    <row r="244" spans="1:3" x14ac:dyDescent="0.4">
      <c r="A244" s="1">
        <v>28764</v>
      </c>
      <c r="B244">
        <v>332.55</v>
      </c>
      <c r="C244">
        <v>335.74</v>
      </c>
    </row>
    <row r="245" spans="1:3" x14ac:dyDescent="0.4">
      <c r="A245" s="1">
        <v>28795</v>
      </c>
      <c r="B245">
        <v>333.92</v>
      </c>
      <c r="C245">
        <v>335.92</v>
      </c>
    </row>
    <row r="246" spans="1:3" x14ac:dyDescent="0.4">
      <c r="A246" s="1">
        <v>28825</v>
      </c>
      <c r="B246">
        <v>334.95</v>
      </c>
      <c r="C246">
        <v>335.77</v>
      </c>
    </row>
    <row r="247" spans="1:3" x14ac:dyDescent="0.4">
      <c r="A247" s="1">
        <v>28856</v>
      </c>
      <c r="B247">
        <v>336.23</v>
      </c>
      <c r="C247">
        <v>336.18</v>
      </c>
    </row>
    <row r="248" spans="1:3" x14ac:dyDescent="0.4">
      <c r="A248" s="1">
        <v>28887</v>
      </c>
      <c r="B248">
        <v>336.76</v>
      </c>
      <c r="C248">
        <v>336.09</v>
      </c>
    </row>
    <row r="249" spans="1:3" x14ac:dyDescent="0.4">
      <c r="A249" s="1">
        <v>28915</v>
      </c>
      <c r="B249">
        <v>337.96</v>
      </c>
      <c r="C249">
        <v>336.6</v>
      </c>
    </row>
    <row r="250" spans="1:3" x14ac:dyDescent="0.4">
      <c r="A250" s="1">
        <v>28946</v>
      </c>
      <c r="B250">
        <v>338.88</v>
      </c>
      <c r="C250">
        <v>336.41</v>
      </c>
    </row>
    <row r="251" spans="1:3" x14ac:dyDescent="0.4">
      <c r="A251" s="1">
        <v>28976</v>
      </c>
      <c r="B251">
        <v>339.47</v>
      </c>
      <c r="C251">
        <v>336.47</v>
      </c>
    </row>
    <row r="252" spans="1:3" x14ac:dyDescent="0.4">
      <c r="A252" s="1">
        <v>29007</v>
      </c>
      <c r="B252">
        <v>339.29</v>
      </c>
      <c r="C252">
        <v>337.01</v>
      </c>
    </row>
    <row r="253" spans="1:3" x14ac:dyDescent="0.4">
      <c r="A253" s="1">
        <v>29037</v>
      </c>
      <c r="B253">
        <v>337.73</v>
      </c>
      <c r="C253">
        <v>337.01</v>
      </c>
    </row>
    <row r="254" spans="1:3" x14ac:dyDescent="0.4">
      <c r="A254" s="1">
        <v>29068</v>
      </c>
      <c r="B254">
        <v>336.09</v>
      </c>
      <c r="C254">
        <v>337.44</v>
      </c>
    </row>
    <row r="255" spans="1:3" x14ac:dyDescent="0.4">
      <c r="A255" s="1">
        <v>29099</v>
      </c>
      <c r="B255">
        <v>333.92</v>
      </c>
      <c r="C255">
        <v>337.01</v>
      </c>
    </row>
    <row r="256" spans="1:3" x14ac:dyDescent="0.4">
      <c r="A256" s="1">
        <v>29129</v>
      </c>
      <c r="B256">
        <v>333.86</v>
      </c>
      <c r="C256">
        <v>337.07</v>
      </c>
    </row>
    <row r="257" spans="1:3" x14ac:dyDescent="0.4">
      <c r="A257" s="1">
        <v>29160</v>
      </c>
      <c r="B257">
        <v>335.29</v>
      </c>
      <c r="C257">
        <v>337.3</v>
      </c>
    </row>
    <row r="258" spans="1:3" x14ac:dyDescent="0.4">
      <c r="A258" s="1">
        <v>29190</v>
      </c>
      <c r="B258">
        <v>336.73</v>
      </c>
      <c r="C258">
        <v>337.55</v>
      </c>
    </row>
    <row r="259" spans="1:3" x14ac:dyDescent="0.4">
      <c r="A259" s="1">
        <v>29221</v>
      </c>
      <c r="B259">
        <v>338.01</v>
      </c>
      <c r="C259">
        <v>337.97</v>
      </c>
    </row>
    <row r="260" spans="1:3" x14ac:dyDescent="0.4">
      <c r="A260" s="1">
        <v>29252</v>
      </c>
      <c r="B260">
        <v>338.36</v>
      </c>
      <c r="C260">
        <v>337.69</v>
      </c>
    </row>
    <row r="261" spans="1:3" x14ac:dyDescent="0.4">
      <c r="A261" s="1">
        <v>29281</v>
      </c>
      <c r="B261">
        <v>340.07</v>
      </c>
      <c r="C261">
        <v>338.68</v>
      </c>
    </row>
    <row r="262" spans="1:3" x14ac:dyDescent="0.4">
      <c r="A262" s="1">
        <v>29312</v>
      </c>
      <c r="B262">
        <v>340.76</v>
      </c>
      <c r="C262">
        <v>338.26</v>
      </c>
    </row>
    <row r="263" spans="1:3" x14ac:dyDescent="0.4">
      <c r="A263" s="1">
        <v>29342</v>
      </c>
      <c r="B263">
        <v>341.47</v>
      </c>
      <c r="C263">
        <v>338.45</v>
      </c>
    </row>
    <row r="264" spans="1:3" x14ac:dyDescent="0.4">
      <c r="A264" s="1">
        <v>29373</v>
      </c>
      <c r="B264">
        <v>341.17</v>
      </c>
      <c r="C264">
        <v>338.91</v>
      </c>
    </row>
    <row r="265" spans="1:3" x14ac:dyDescent="0.4">
      <c r="A265" s="1">
        <v>29403</v>
      </c>
      <c r="B265">
        <v>339.56</v>
      </c>
      <c r="C265">
        <v>338.86</v>
      </c>
    </row>
    <row r="266" spans="1:3" x14ac:dyDescent="0.4">
      <c r="A266" s="1">
        <v>29434</v>
      </c>
      <c r="B266">
        <v>337.6</v>
      </c>
      <c r="C266">
        <v>338.99</v>
      </c>
    </row>
    <row r="267" spans="1:3" x14ac:dyDescent="0.4">
      <c r="A267" s="1">
        <v>29465</v>
      </c>
      <c r="B267">
        <v>335.88</v>
      </c>
      <c r="C267">
        <v>339</v>
      </c>
    </row>
    <row r="268" spans="1:3" x14ac:dyDescent="0.4">
      <c r="A268" s="1">
        <v>29495</v>
      </c>
      <c r="B268">
        <v>336.02</v>
      </c>
      <c r="C268">
        <v>339.23</v>
      </c>
    </row>
    <row r="269" spans="1:3" x14ac:dyDescent="0.4">
      <c r="A269" s="1">
        <v>29526</v>
      </c>
      <c r="B269">
        <v>337.1</v>
      </c>
      <c r="C269">
        <v>339.11</v>
      </c>
    </row>
    <row r="270" spans="1:3" x14ac:dyDescent="0.4">
      <c r="A270" s="1">
        <v>29556</v>
      </c>
      <c r="B270">
        <v>338.21</v>
      </c>
      <c r="C270">
        <v>339.03</v>
      </c>
    </row>
    <row r="271" spans="1:3" x14ac:dyDescent="0.4">
      <c r="A271" s="1">
        <v>29587</v>
      </c>
      <c r="B271">
        <v>339.24</v>
      </c>
      <c r="C271">
        <v>339.19</v>
      </c>
    </row>
    <row r="272" spans="1:3" x14ac:dyDescent="0.4">
      <c r="A272" s="1">
        <v>29618</v>
      </c>
      <c r="B272">
        <v>340.48</v>
      </c>
      <c r="C272">
        <v>339.8</v>
      </c>
    </row>
    <row r="273" spans="1:3" x14ac:dyDescent="0.4">
      <c r="A273" s="1">
        <v>29646</v>
      </c>
      <c r="B273">
        <v>341.38</v>
      </c>
      <c r="C273">
        <v>340.01</v>
      </c>
    </row>
    <row r="274" spans="1:3" x14ac:dyDescent="0.4">
      <c r="A274" s="1">
        <v>29677</v>
      </c>
      <c r="B274">
        <v>342.5</v>
      </c>
      <c r="C274">
        <v>340.02</v>
      </c>
    </row>
    <row r="275" spans="1:3" x14ac:dyDescent="0.4">
      <c r="A275" s="1">
        <v>29707</v>
      </c>
      <c r="B275">
        <v>342.91</v>
      </c>
      <c r="C275">
        <v>339.89</v>
      </c>
    </row>
    <row r="276" spans="1:3" x14ac:dyDescent="0.4">
      <c r="A276" s="1">
        <v>29738</v>
      </c>
      <c r="B276">
        <v>342.25</v>
      </c>
      <c r="C276">
        <v>339.96</v>
      </c>
    </row>
    <row r="277" spans="1:3" x14ac:dyDescent="0.4">
      <c r="A277" s="1">
        <v>29768</v>
      </c>
      <c r="B277">
        <v>340.49</v>
      </c>
      <c r="C277">
        <v>339.76</v>
      </c>
    </row>
    <row r="278" spans="1:3" x14ac:dyDescent="0.4">
      <c r="A278" s="1">
        <v>29799</v>
      </c>
      <c r="B278">
        <v>338.43</v>
      </c>
      <c r="C278">
        <v>339.8</v>
      </c>
    </row>
    <row r="279" spans="1:3" x14ac:dyDescent="0.4">
      <c r="A279" s="1">
        <v>29830</v>
      </c>
      <c r="B279">
        <v>336.69</v>
      </c>
      <c r="C279">
        <v>339.81</v>
      </c>
    </row>
    <row r="280" spans="1:3" x14ac:dyDescent="0.4">
      <c r="A280" s="1">
        <v>29860</v>
      </c>
      <c r="B280">
        <v>336.86</v>
      </c>
      <c r="C280">
        <v>340.08</v>
      </c>
    </row>
    <row r="281" spans="1:3" x14ac:dyDescent="0.4">
      <c r="A281" s="1">
        <v>29891</v>
      </c>
      <c r="B281">
        <v>338.36</v>
      </c>
      <c r="C281">
        <v>340.38</v>
      </c>
    </row>
    <row r="282" spans="1:3" x14ac:dyDescent="0.4">
      <c r="A282" s="1">
        <v>29921</v>
      </c>
      <c r="B282">
        <v>339.61</v>
      </c>
      <c r="C282">
        <v>340.44</v>
      </c>
    </row>
    <row r="283" spans="1:3" x14ac:dyDescent="0.4">
      <c r="A283" s="1">
        <v>29952</v>
      </c>
      <c r="B283">
        <v>340.75</v>
      </c>
      <c r="C283">
        <v>340.71</v>
      </c>
    </row>
    <row r="284" spans="1:3" x14ac:dyDescent="0.4">
      <c r="A284" s="1">
        <v>29983</v>
      </c>
      <c r="B284">
        <v>341.61</v>
      </c>
      <c r="C284">
        <v>340.94</v>
      </c>
    </row>
    <row r="285" spans="1:3" x14ac:dyDescent="0.4">
      <c r="A285" s="1">
        <v>30011</v>
      </c>
      <c r="B285">
        <v>342.7</v>
      </c>
      <c r="C285">
        <v>341.32</v>
      </c>
    </row>
    <row r="286" spans="1:3" x14ac:dyDescent="0.4">
      <c r="A286" s="1">
        <v>30042</v>
      </c>
      <c r="B286">
        <v>343.57</v>
      </c>
      <c r="C286">
        <v>341.08</v>
      </c>
    </row>
    <row r="287" spans="1:3" x14ac:dyDescent="0.4">
      <c r="A287" s="1">
        <v>30072</v>
      </c>
      <c r="B287">
        <v>344.14</v>
      </c>
      <c r="C287">
        <v>341.1</v>
      </c>
    </row>
    <row r="288" spans="1:3" x14ac:dyDescent="0.4">
      <c r="A288" s="1">
        <v>30103</v>
      </c>
      <c r="B288">
        <v>343.35</v>
      </c>
      <c r="C288">
        <v>341.05</v>
      </c>
    </row>
    <row r="289" spans="1:3" x14ac:dyDescent="0.4">
      <c r="A289" s="1">
        <v>30133</v>
      </c>
      <c r="B289">
        <v>342.06</v>
      </c>
      <c r="C289">
        <v>341.32</v>
      </c>
    </row>
    <row r="290" spans="1:3" x14ac:dyDescent="0.4">
      <c r="A290" s="1">
        <v>30164</v>
      </c>
      <c r="B290">
        <v>339.81</v>
      </c>
      <c r="C290">
        <v>341.18</v>
      </c>
    </row>
    <row r="291" spans="1:3" x14ac:dyDescent="0.4">
      <c r="A291" s="1">
        <v>30195</v>
      </c>
      <c r="B291">
        <v>337.98</v>
      </c>
      <c r="C291">
        <v>341.1</v>
      </c>
    </row>
    <row r="292" spans="1:3" x14ac:dyDescent="0.4">
      <c r="A292" s="1">
        <v>30225</v>
      </c>
      <c r="B292">
        <v>337.86</v>
      </c>
      <c r="C292">
        <v>341.1</v>
      </c>
    </row>
    <row r="293" spans="1:3" x14ac:dyDescent="0.4">
      <c r="A293" s="1">
        <v>30256</v>
      </c>
      <c r="B293">
        <v>339.26</v>
      </c>
      <c r="C293">
        <v>341.29</v>
      </c>
    </row>
    <row r="294" spans="1:3" x14ac:dyDescent="0.4">
      <c r="A294" s="1">
        <v>30286</v>
      </c>
      <c r="B294">
        <v>340.49</v>
      </c>
      <c r="C294">
        <v>341.32</v>
      </c>
    </row>
    <row r="295" spans="1:3" x14ac:dyDescent="0.4">
      <c r="A295" s="1">
        <v>30317</v>
      </c>
      <c r="B295">
        <v>341.38</v>
      </c>
      <c r="C295">
        <v>341.33</v>
      </c>
    </row>
    <row r="296" spans="1:3" x14ac:dyDescent="0.4">
      <c r="A296" s="1">
        <v>30348</v>
      </c>
      <c r="B296">
        <v>342.52</v>
      </c>
      <c r="C296">
        <v>341.84</v>
      </c>
    </row>
    <row r="297" spans="1:3" x14ac:dyDescent="0.4">
      <c r="A297" s="1">
        <v>30376</v>
      </c>
      <c r="B297">
        <v>343.1</v>
      </c>
      <c r="C297">
        <v>341.72</v>
      </c>
    </row>
    <row r="298" spans="1:3" x14ac:dyDescent="0.4">
      <c r="A298" s="1">
        <v>30407</v>
      </c>
      <c r="B298">
        <v>344.94</v>
      </c>
      <c r="C298">
        <v>342.44</v>
      </c>
    </row>
    <row r="299" spans="1:3" x14ac:dyDescent="0.4">
      <c r="A299" s="1">
        <v>30437</v>
      </c>
      <c r="B299">
        <v>345.76</v>
      </c>
      <c r="C299">
        <v>342.71</v>
      </c>
    </row>
    <row r="300" spans="1:3" x14ac:dyDescent="0.4">
      <c r="A300" s="1">
        <v>30468</v>
      </c>
      <c r="B300">
        <v>345.32</v>
      </c>
      <c r="C300">
        <v>343.01</v>
      </c>
    </row>
    <row r="301" spans="1:3" x14ac:dyDescent="0.4">
      <c r="A301" s="1">
        <v>30498</v>
      </c>
      <c r="B301">
        <v>343.98</v>
      </c>
      <c r="C301">
        <v>343.25</v>
      </c>
    </row>
    <row r="302" spans="1:3" x14ac:dyDescent="0.4">
      <c r="A302" s="1">
        <v>30529</v>
      </c>
      <c r="B302">
        <v>342.38</v>
      </c>
      <c r="C302">
        <v>343.75</v>
      </c>
    </row>
    <row r="303" spans="1:3" x14ac:dyDescent="0.4">
      <c r="A303" s="1">
        <v>30560</v>
      </c>
      <c r="B303">
        <v>339.87</v>
      </c>
      <c r="C303">
        <v>343</v>
      </c>
    </row>
    <row r="304" spans="1:3" x14ac:dyDescent="0.4">
      <c r="A304" s="1">
        <v>30590</v>
      </c>
      <c r="B304">
        <v>339.99</v>
      </c>
      <c r="C304">
        <v>343.24</v>
      </c>
    </row>
    <row r="305" spans="1:3" x14ac:dyDescent="0.4">
      <c r="A305" s="1">
        <v>30621</v>
      </c>
      <c r="B305">
        <v>341.15</v>
      </c>
      <c r="C305">
        <v>343.19</v>
      </c>
    </row>
    <row r="306" spans="1:3" x14ac:dyDescent="0.4">
      <c r="A306" s="1">
        <v>30651</v>
      </c>
      <c r="B306">
        <v>342.99</v>
      </c>
      <c r="C306">
        <v>343.82</v>
      </c>
    </row>
    <row r="307" spans="1:3" x14ac:dyDescent="0.4">
      <c r="A307" s="1">
        <v>30682</v>
      </c>
      <c r="B307">
        <v>343.7</v>
      </c>
      <c r="C307">
        <v>343.65</v>
      </c>
    </row>
    <row r="308" spans="1:3" x14ac:dyDescent="0.4">
      <c r="A308" s="1">
        <v>30713</v>
      </c>
      <c r="B308">
        <v>344.5</v>
      </c>
      <c r="C308">
        <v>343.83</v>
      </c>
    </row>
    <row r="309" spans="1:3" x14ac:dyDescent="0.4">
      <c r="A309" s="1">
        <v>30742</v>
      </c>
      <c r="B309">
        <v>345.28</v>
      </c>
      <c r="C309">
        <v>343.87</v>
      </c>
    </row>
    <row r="310" spans="1:3" x14ac:dyDescent="0.4">
      <c r="A310" s="1">
        <v>30773</v>
      </c>
      <c r="B310">
        <v>347.05</v>
      </c>
      <c r="C310">
        <v>344.52</v>
      </c>
    </row>
    <row r="311" spans="1:3" x14ac:dyDescent="0.4">
      <c r="A311" s="1">
        <v>30803</v>
      </c>
      <c r="B311">
        <v>347.43</v>
      </c>
      <c r="C311">
        <v>344.38</v>
      </c>
    </row>
    <row r="312" spans="1:3" x14ac:dyDescent="0.4">
      <c r="A312" s="1">
        <v>30834</v>
      </c>
      <c r="B312">
        <v>346.8</v>
      </c>
      <c r="C312">
        <v>344.51</v>
      </c>
    </row>
    <row r="313" spans="1:3" x14ac:dyDescent="0.4">
      <c r="A313" s="1">
        <v>30864</v>
      </c>
      <c r="B313">
        <v>345.39</v>
      </c>
      <c r="C313">
        <v>344.69</v>
      </c>
    </row>
    <row r="314" spans="1:3" x14ac:dyDescent="0.4">
      <c r="A314" s="1">
        <v>30895</v>
      </c>
      <c r="B314">
        <v>343.28</v>
      </c>
      <c r="C314">
        <v>344.68</v>
      </c>
    </row>
    <row r="315" spans="1:3" x14ac:dyDescent="0.4">
      <c r="A315" s="1">
        <v>30926</v>
      </c>
      <c r="B315">
        <v>341.07</v>
      </c>
      <c r="C315">
        <v>344.23</v>
      </c>
    </row>
    <row r="316" spans="1:3" x14ac:dyDescent="0.4">
      <c r="A316" s="1">
        <v>30956</v>
      </c>
      <c r="B316">
        <v>341.35</v>
      </c>
      <c r="C316">
        <v>344.6</v>
      </c>
    </row>
    <row r="317" spans="1:3" x14ac:dyDescent="0.4">
      <c r="A317" s="1">
        <v>30987</v>
      </c>
      <c r="B317">
        <v>342.98</v>
      </c>
      <c r="C317">
        <v>345.01</v>
      </c>
    </row>
    <row r="318" spans="1:3" x14ac:dyDescent="0.4">
      <c r="A318" s="1">
        <v>31017</v>
      </c>
      <c r="B318">
        <v>344.22</v>
      </c>
      <c r="C318">
        <v>345.05</v>
      </c>
    </row>
    <row r="319" spans="1:3" x14ac:dyDescent="0.4">
      <c r="A319" s="1">
        <v>31048</v>
      </c>
      <c r="B319">
        <v>344.97</v>
      </c>
      <c r="C319">
        <v>344.92</v>
      </c>
    </row>
    <row r="320" spans="1:3" x14ac:dyDescent="0.4">
      <c r="A320" s="1">
        <v>31079</v>
      </c>
      <c r="B320">
        <v>345.99</v>
      </c>
      <c r="C320">
        <v>345.31</v>
      </c>
    </row>
    <row r="321" spans="1:3" x14ac:dyDescent="0.4">
      <c r="A321" s="1">
        <v>31107</v>
      </c>
      <c r="B321">
        <v>347.42</v>
      </c>
      <c r="C321">
        <v>346.04</v>
      </c>
    </row>
    <row r="322" spans="1:3" x14ac:dyDescent="0.4">
      <c r="A322" s="1">
        <v>31138</v>
      </c>
      <c r="B322">
        <v>348.35</v>
      </c>
      <c r="C322">
        <v>345.83</v>
      </c>
    </row>
    <row r="323" spans="1:3" x14ac:dyDescent="0.4">
      <c r="A323" s="1">
        <v>31168</v>
      </c>
      <c r="B323">
        <v>348.93</v>
      </c>
      <c r="C323">
        <v>345.86</v>
      </c>
    </row>
    <row r="324" spans="1:3" x14ac:dyDescent="0.4">
      <c r="A324" s="1">
        <v>31199</v>
      </c>
      <c r="B324">
        <v>348.25</v>
      </c>
      <c r="C324">
        <v>345.93</v>
      </c>
    </row>
    <row r="325" spans="1:3" x14ac:dyDescent="0.4">
      <c r="A325" s="1">
        <v>31229</v>
      </c>
      <c r="B325">
        <v>346.56</v>
      </c>
      <c r="C325">
        <v>345.82</v>
      </c>
    </row>
    <row r="326" spans="1:3" x14ac:dyDescent="0.4">
      <c r="A326" s="1">
        <v>31260</v>
      </c>
      <c r="B326">
        <v>344.67</v>
      </c>
      <c r="C326">
        <v>346.06</v>
      </c>
    </row>
    <row r="327" spans="1:3" x14ac:dyDescent="0.4">
      <c r="A327" s="1">
        <v>31291</v>
      </c>
      <c r="B327">
        <v>343.09</v>
      </c>
      <c r="C327">
        <v>346.24</v>
      </c>
    </row>
    <row r="328" spans="1:3" x14ac:dyDescent="0.4">
      <c r="A328" s="1">
        <v>31321</v>
      </c>
      <c r="B328">
        <v>342.8</v>
      </c>
      <c r="C328">
        <v>346.07</v>
      </c>
    </row>
    <row r="329" spans="1:3" x14ac:dyDescent="0.4">
      <c r="A329" s="1">
        <v>31352</v>
      </c>
      <c r="B329">
        <v>344.24</v>
      </c>
      <c r="C329">
        <v>346.29</v>
      </c>
    </row>
    <row r="330" spans="1:3" x14ac:dyDescent="0.4">
      <c r="A330" s="1">
        <v>31382</v>
      </c>
      <c r="B330">
        <v>345.56</v>
      </c>
      <c r="C330">
        <v>346.39</v>
      </c>
    </row>
    <row r="331" spans="1:3" x14ac:dyDescent="0.4">
      <c r="A331" s="1">
        <v>31413</v>
      </c>
      <c r="B331">
        <v>346.3</v>
      </c>
      <c r="C331">
        <v>346.25</v>
      </c>
    </row>
    <row r="332" spans="1:3" x14ac:dyDescent="0.4">
      <c r="A332" s="1">
        <v>31444</v>
      </c>
      <c r="B332">
        <v>346.95</v>
      </c>
      <c r="C332">
        <v>346.27</v>
      </c>
    </row>
    <row r="333" spans="1:3" x14ac:dyDescent="0.4">
      <c r="A333" s="1">
        <v>31472</v>
      </c>
      <c r="B333">
        <v>347.85</v>
      </c>
      <c r="C333">
        <v>346.46</v>
      </c>
    </row>
    <row r="334" spans="1:3" x14ac:dyDescent="0.4">
      <c r="A334" s="1">
        <v>31503</v>
      </c>
      <c r="B334">
        <v>349.55</v>
      </c>
      <c r="C334">
        <v>347.03</v>
      </c>
    </row>
    <row r="335" spans="1:3" x14ac:dyDescent="0.4">
      <c r="A335" s="1">
        <v>31533</v>
      </c>
      <c r="B335">
        <v>350.22</v>
      </c>
      <c r="C335">
        <v>347.14</v>
      </c>
    </row>
    <row r="336" spans="1:3" x14ac:dyDescent="0.4">
      <c r="A336" s="1">
        <v>31564</v>
      </c>
      <c r="B336">
        <v>349.55</v>
      </c>
      <c r="C336">
        <v>347.23</v>
      </c>
    </row>
    <row r="337" spans="1:3" x14ac:dyDescent="0.4">
      <c r="A337" s="1">
        <v>31594</v>
      </c>
      <c r="B337">
        <v>347.94</v>
      </c>
      <c r="C337">
        <v>347.2</v>
      </c>
    </row>
    <row r="338" spans="1:3" x14ac:dyDescent="0.4">
      <c r="A338" s="1">
        <v>31625</v>
      </c>
      <c r="B338">
        <v>345.9</v>
      </c>
      <c r="C338">
        <v>347.29</v>
      </c>
    </row>
    <row r="339" spans="1:3" x14ac:dyDescent="0.4">
      <c r="A339" s="1">
        <v>31656</v>
      </c>
      <c r="B339">
        <v>344.85</v>
      </c>
      <c r="C339">
        <v>348.02</v>
      </c>
    </row>
    <row r="340" spans="1:3" x14ac:dyDescent="0.4">
      <c r="A340" s="1">
        <v>31686</v>
      </c>
      <c r="B340">
        <v>344.17</v>
      </c>
      <c r="C340">
        <v>347.45</v>
      </c>
    </row>
    <row r="341" spans="1:3" x14ac:dyDescent="0.4">
      <c r="A341" s="1">
        <v>31717</v>
      </c>
      <c r="B341">
        <v>345.66</v>
      </c>
      <c r="C341">
        <v>347.71</v>
      </c>
    </row>
    <row r="342" spans="1:3" x14ac:dyDescent="0.4">
      <c r="A342" s="1">
        <v>31747</v>
      </c>
      <c r="B342">
        <v>346.9</v>
      </c>
      <c r="C342">
        <v>347.74</v>
      </c>
    </row>
    <row r="343" spans="1:3" x14ac:dyDescent="0.4">
      <c r="A343" s="1">
        <v>31778</v>
      </c>
      <c r="B343">
        <v>348.02</v>
      </c>
      <c r="C343">
        <v>347.98</v>
      </c>
    </row>
    <row r="344" spans="1:3" x14ac:dyDescent="0.4">
      <c r="A344" s="1">
        <v>31809</v>
      </c>
      <c r="B344">
        <v>348.48</v>
      </c>
      <c r="C344">
        <v>347.79</v>
      </c>
    </row>
    <row r="345" spans="1:3" x14ac:dyDescent="0.4">
      <c r="A345" s="1">
        <v>31837</v>
      </c>
      <c r="B345">
        <v>349.42</v>
      </c>
      <c r="C345">
        <v>348.02</v>
      </c>
    </row>
    <row r="346" spans="1:3" x14ac:dyDescent="0.4">
      <c r="A346" s="1">
        <v>31868</v>
      </c>
      <c r="B346">
        <v>350.98</v>
      </c>
      <c r="C346">
        <v>348.45</v>
      </c>
    </row>
    <row r="347" spans="1:3" x14ac:dyDescent="0.4">
      <c r="A347" s="1">
        <v>31898</v>
      </c>
      <c r="B347">
        <v>351.85</v>
      </c>
      <c r="C347">
        <v>348.76</v>
      </c>
    </row>
    <row r="348" spans="1:3" x14ac:dyDescent="0.4">
      <c r="A348" s="1">
        <v>31929</v>
      </c>
      <c r="B348">
        <v>351.26</v>
      </c>
      <c r="C348">
        <v>348.92</v>
      </c>
    </row>
    <row r="349" spans="1:3" x14ac:dyDescent="0.4">
      <c r="A349" s="1">
        <v>31959</v>
      </c>
      <c r="B349">
        <v>349.51</v>
      </c>
      <c r="C349">
        <v>348.77</v>
      </c>
    </row>
    <row r="350" spans="1:3" x14ac:dyDescent="0.4">
      <c r="A350" s="1">
        <v>31990</v>
      </c>
      <c r="B350">
        <v>348.1</v>
      </c>
      <c r="C350">
        <v>349.49</v>
      </c>
    </row>
    <row r="351" spans="1:3" x14ac:dyDescent="0.4">
      <c r="A351" s="1">
        <v>32021</v>
      </c>
      <c r="B351">
        <v>346.45</v>
      </c>
      <c r="C351">
        <v>349.62</v>
      </c>
    </row>
    <row r="352" spans="1:3" x14ac:dyDescent="0.4">
      <c r="A352" s="1">
        <v>32051</v>
      </c>
      <c r="B352">
        <v>346.36</v>
      </c>
      <c r="C352">
        <v>349.65</v>
      </c>
    </row>
    <row r="353" spans="1:3" x14ac:dyDescent="0.4">
      <c r="A353" s="1">
        <v>32082</v>
      </c>
      <c r="B353">
        <v>347.81</v>
      </c>
      <c r="C353">
        <v>349.87</v>
      </c>
    </row>
    <row r="354" spans="1:3" x14ac:dyDescent="0.4">
      <c r="A354" s="1">
        <v>32112</v>
      </c>
      <c r="B354">
        <v>348.96</v>
      </c>
      <c r="C354">
        <v>349.81</v>
      </c>
    </row>
    <row r="355" spans="1:3" x14ac:dyDescent="0.4">
      <c r="A355" s="1">
        <v>32143</v>
      </c>
      <c r="B355">
        <v>350.43</v>
      </c>
      <c r="C355">
        <v>350.39</v>
      </c>
    </row>
    <row r="356" spans="1:3" x14ac:dyDescent="0.4">
      <c r="A356" s="1">
        <v>32174</v>
      </c>
      <c r="B356">
        <v>351.73</v>
      </c>
      <c r="C356">
        <v>351.04</v>
      </c>
    </row>
    <row r="357" spans="1:3" x14ac:dyDescent="0.4">
      <c r="A357" s="1">
        <v>32203</v>
      </c>
      <c r="B357">
        <v>352.22</v>
      </c>
      <c r="C357">
        <v>350.79</v>
      </c>
    </row>
    <row r="358" spans="1:3" x14ac:dyDescent="0.4">
      <c r="A358" s="1">
        <v>32234</v>
      </c>
      <c r="B358">
        <v>353.59</v>
      </c>
      <c r="C358">
        <v>351.02</v>
      </c>
    </row>
    <row r="359" spans="1:3" x14ac:dyDescent="0.4">
      <c r="A359" s="1">
        <v>32264</v>
      </c>
      <c r="B359">
        <v>354.22</v>
      </c>
      <c r="C359">
        <v>351.12</v>
      </c>
    </row>
    <row r="360" spans="1:3" x14ac:dyDescent="0.4">
      <c r="A360" s="1">
        <v>32295</v>
      </c>
      <c r="B360">
        <v>353.8</v>
      </c>
      <c r="C360">
        <v>351.48</v>
      </c>
    </row>
    <row r="361" spans="1:3" x14ac:dyDescent="0.4">
      <c r="A361" s="1">
        <v>32325</v>
      </c>
      <c r="B361">
        <v>352.38</v>
      </c>
      <c r="C361">
        <v>351.66</v>
      </c>
    </row>
    <row r="362" spans="1:3" x14ac:dyDescent="0.4">
      <c r="A362" s="1">
        <v>32356</v>
      </c>
      <c r="B362">
        <v>350.43</v>
      </c>
      <c r="C362">
        <v>351.85</v>
      </c>
    </row>
    <row r="363" spans="1:3" x14ac:dyDescent="0.4">
      <c r="A363" s="1">
        <v>32387</v>
      </c>
      <c r="B363">
        <v>348.73</v>
      </c>
      <c r="C363">
        <v>351.92</v>
      </c>
    </row>
    <row r="364" spans="1:3" x14ac:dyDescent="0.4">
      <c r="A364" s="1">
        <v>32417</v>
      </c>
      <c r="B364">
        <v>348.88</v>
      </c>
      <c r="C364">
        <v>352.18</v>
      </c>
    </row>
    <row r="365" spans="1:3" x14ac:dyDescent="0.4">
      <c r="A365" s="1">
        <v>32448</v>
      </c>
      <c r="B365">
        <v>350.07</v>
      </c>
      <c r="C365">
        <v>352.13</v>
      </c>
    </row>
    <row r="366" spans="1:3" x14ac:dyDescent="0.4">
      <c r="A366" s="1">
        <v>32478</v>
      </c>
      <c r="B366">
        <v>351.34</v>
      </c>
      <c r="C366">
        <v>352.18</v>
      </c>
    </row>
    <row r="367" spans="1:3" x14ac:dyDescent="0.4">
      <c r="A367" s="1">
        <v>32509</v>
      </c>
      <c r="B367">
        <v>352.76</v>
      </c>
      <c r="C367">
        <v>352.71</v>
      </c>
    </row>
    <row r="368" spans="1:3" x14ac:dyDescent="0.4">
      <c r="A368" s="1">
        <v>32540</v>
      </c>
      <c r="B368">
        <v>353.07</v>
      </c>
      <c r="C368">
        <v>352.38</v>
      </c>
    </row>
    <row r="369" spans="1:3" x14ac:dyDescent="0.4">
      <c r="A369" s="1">
        <v>32568</v>
      </c>
      <c r="B369">
        <v>353.68</v>
      </c>
      <c r="C369">
        <v>352.27</v>
      </c>
    </row>
    <row r="370" spans="1:3" x14ac:dyDescent="0.4">
      <c r="A370" s="1">
        <v>32599</v>
      </c>
      <c r="B370">
        <v>355.42</v>
      </c>
      <c r="C370">
        <v>352.87</v>
      </c>
    </row>
    <row r="371" spans="1:3" x14ac:dyDescent="0.4">
      <c r="A371" s="1">
        <v>32629</v>
      </c>
      <c r="B371">
        <v>355.67</v>
      </c>
      <c r="C371">
        <v>352.56</v>
      </c>
    </row>
    <row r="372" spans="1:3" x14ac:dyDescent="0.4">
      <c r="A372" s="1">
        <v>32660</v>
      </c>
      <c r="B372">
        <v>355.12</v>
      </c>
      <c r="C372">
        <v>352.77</v>
      </c>
    </row>
    <row r="373" spans="1:3" x14ac:dyDescent="0.4">
      <c r="A373" s="1">
        <v>32690</v>
      </c>
      <c r="B373">
        <v>353.9</v>
      </c>
      <c r="C373">
        <v>353.15</v>
      </c>
    </row>
    <row r="374" spans="1:3" x14ac:dyDescent="0.4">
      <c r="A374" s="1">
        <v>32721</v>
      </c>
      <c r="B374">
        <v>351.67</v>
      </c>
      <c r="C374">
        <v>353.07</v>
      </c>
    </row>
    <row r="375" spans="1:3" x14ac:dyDescent="0.4">
      <c r="A375" s="1">
        <v>32752</v>
      </c>
      <c r="B375">
        <v>349.81</v>
      </c>
      <c r="C375">
        <v>353</v>
      </c>
    </row>
    <row r="376" spans="1:3" x14ac:dyDescent="0.4">
      <c r="A376" s="1">
        <v>32782</v>
      </c>
      <c r="B376">
        <v>349.99</v>
      </c>
      <c r="C376">
        <v>353.3</v>
      </c>
    </row>
    <row r="377" spans="1:3" x14ac:dyDescent="0.4">
      <c r="A377" s="1">
        <v>32813</v>
      </c>
      <c r="B377">
        <v>351.3</v>
      </c>
      <c r="C377">
        <v>353.37</v>
      </c>
    </row>
    <row r="378" spans="1:3" x14ac:dyDescent="0.4">
      <c r="A378" s="1">
        <v>32843</v>
      </c>
      <c r="B378">
        <v>352.52</v>
      </c>
      <c r="C378">
        <v>353.37</v>
      </c>
    </row>
    <row r="379" spans="1:3" x14ac:dyDescent="0.4">
      <c r="A379" s="1">
        <v>32874</v>
      </c>
      <c r="B379">
        <v>353.66</v>
      </c>
      <c r="C379">
        <v>353.62</v>
      </c>
    </row>
    <row r="380" spans="1:3" x14ac:dyDescent="0.4">
      <c r="A380" s="1">
        <v>32905</v>
      </c>
      <c r="B380">
        <v>354.7</v>
      </c>
      <c r="C380">
        <v>354</v>
      </c>
    </row>
    <row r="381" spans="1:3" x14ac:dyDescent="0.4">
      <c r="A381" s="1">
        <v>32933</v>
      </c>
      <c r="B381">
        <v>355.38</v>
      </c>
      <c r="C381">
        <v>353.97</v>
      </c>
    </row>
    <row r="382" spans="1:3" x14ac:dyDescent="0.4">
      <c r="A382" s="1">
        <v>32964</v>
      </c>
      <c r="B382">
        <v>356.2</v>
      </c>
      <c r="C382">
        <v>353.64</v>
      </c>
    </row>
    <row r="383" spans="1:3" x14ac:dyDescent="0.4">
      <c r="A383" s="1">
        <v>32994</v>
      </c>
      <c r="B383">
        <v>357.16</v>
      </c>
      <c r="C383">
        <v>354.04</v>
      </c>
    </row>
    <row r="384" spans="1:3" x14ac:dyDescent="0.4">
      <c r="A384" s="1">
        <v>33025</v>
      </c>
      <c r="B384">
        <v>356.23</v>
      </c>
      <c r="C384">
        <v>353.87</v>
      </c>
    </row>
    <row r="385" spans="1:3" x14ac:dyDescent="0.4">
      <c r="A385" s="1">
        <v>33055</v>
      </c>
      <c r="B385">
        <v>354.81</v>
      </c>
      <c r="C385">
        <v>354.06</v>
      </c>
    </row>
    <row r="386" spans="1:3" x14ac:dyDescent="0.4">
      <c r="A386" s="1">
        <v>33086</v>
      </c>
      <c r="B386">
        <v>352.91</v>
      </c>
      <c r="C386">
        <v>354.31</v>
      </c>
    </row>
    <row r="387" spans="1:3" x14ac:dyDescent="0.4">
      <c r="A387" s="1">
        <v>33117</v>
      </c>
      <c r="B387">
        <v>350.96</v>
      </c>
      <c r="C387">
        <v>354.17</v>
      </c>
    </row>
    <row r="388" spans="1:3" x14ac:dyDescent="0.4">
      <c r="A388" s="1">
        <v>33147</v>
      </c>
      <c r="B388">
        <v>351.18</v>
      </c>
      <c r="C388">
        <v>354.5</v>
      </c>
    </row>
    <row r="389" spans="1:3" x14ac:dyDescent="0.4">
      <c r="A389" s="1">
        <v>33178</v>
      </c>
      <c r="B389">
        <v>352.83</v>
      </c>
      <c r="C389">
        <v>354.91</v>
      </c>
    </row>
    <row r="390" spans="1:3" x14ac:dyDescent="0.4">
      <c r="A390" s="1">
        <v>33208</v>
      </c>
      <c r="B390">
        <v>354.21</v>
      </c>
      <c r="C390">
        <v>355.06</v>
      </c>
    </row>
    <row r="391" spans="1:3" x14ac:dyDescent="0.4">
      <c r="A391" s="1">
        <v>33239</v>
      </c>
      <c r="B391">
        <v>354.72</v>
      </c>
      <c r="C391">
        <v>354.68</v>
      </c>
    </row>
    <row r="392" spans="1:3" x14ac:dyDescent="0.4">
      <c r="A392" s="1">
        <v>33270</v>
      </c>
      <c r="B392">
        <v>355.75</v>
      </c>
      <c r="C392">
        <v>355.05</v>
      </c>
    </row>
    <row r="393" spans="1:3" x14ac:dyDescent="0.4">
      <c r="A393" s="1">
        <v>33298</v>
      </c>
      <c r="B393">
        <v>357.16</v>
      </c>
      <c r="C393">
        <v>355.74</v>
      </c>
    </row>
    <row r="394" spans="1:3" x14ac:dyDescent="0.4">
      <c r="A394" s="1">
        <v>33329</v>
      </c>
      <c r="B394">
        <v>358.6</v>
      </c>
      <c r="C394">
        <v>356.03</v>
      </c>
    </row>
    <row r="395" spans="1:3" x14ac:dyDescent="0.4">
      <c r="A395" s="1">
        <v>33359</v>
      </c>
      <c r="B395">
        <v>359.34</v>
      </c>
      <c r="C395">
        <v>356.21</v>
      </c>
    </row>
    <row r="396" spans="1:3" x14ac:dyDescent="0.4">
      <c r="A396" s="1">
        <v>33390</v>
      </c>
      <c r="B396">
        <v>358.24</v>
      </c>
      <c r="C396">
        <v>355.88</v>
      </c>
    </row>
    <row r="397" spans="1:3" x14ac:dyDescent="0.4">
      <c r="A397" s="1">
        <v>33420</v>
      </c>
      <c r="B397">
        <v>356.17</v>
      </c>
      <c r="C397">
        <v>355.42</v>
      </c>
    </row>
    <row r="398" spans="1:3" x14ac:dyDescent="0.4">
      <c r="A398" s="1">
        <v>33451</v>
      </c>
      <c r="B398">
        <v>354.01</v>
      </c>
      <c r="C398">
        <v>355.42</v>
      </c>
    </row>
    <row r="399" spans="1:3" x14ac:dyDescent="0.4">
      <c r="A399" s="1">
        <v>33482</v>
      </c>
      <c r="B399">
        <v>352.15</v>
      </c>
      <c r="C399">
        <v>355.37</v>
      </c>
    </row>
    <row r="400" spans="1:3" x14ac:dyDescent="0.4">
      <c r="A400" s="1">
        <v>33512</v>
      </c>
      <c r="B400">
        <v>352.21</v>
      </c>
      <c r="C400">
        <v>355.55</v>
      </c>
    </row>
    <row r="401" spans="1:3" x14ac:dyDescent="0.4">
      <c r="A401" s="1">
        <v>33543</v>
      </c>
      <c r="B401">
        <v>353.75</v>
      </c>
      <c r="C401">
        <v>355.83</v>
      </c>
    </row>
    <row r="402" spans="1:3" x14ac:dyDescent="0.4">
      <c r="A402" s="1">
        <v>33573</v>
      </c>
      <c r="B402">
        <v>354.99</v>
      </c>
      <c r="C402">
        <v>355.84</v>
      </c>
    </row>
    <row r="403" spans="1:3" x14ac:dyDescent="0.4">
      <c r="A403" s="1">
        <v>33604</v>
      </c>
      <c r="B403">
        <v>355.99</v>
      </c>
      <c r="C403">
        <v>355.94</v>
      </c>
    </row>
    <row r="404" spans="1:3" x14ac:dyDescent="0.4">
      <c r="A404" s="1">
        <v>33635</v>
      </c>
      <c r="B404">
        <v>356.72</v>
      </c>
      <c r="C404">
        <v>356.02</v>
      </c>
    </row>
    <row r="405" spans="1:3" x14ac:dyDescent="0.4">
      <c r="A405" s="1">
        <v>33664</v>
      </c>
      <c r="B405">
        <v>357.81</v>
      </c>
      <c r="C405">
        <v>356.36</v>
      </c>
    </row>
    <row r="406" spans="1:3" x14ac:dyDescent="0.4">
      <c r="A406" s="1">
        <v>33695</v>
      </c>
      <c r="B406">
        <v>359.15</v>
      </c>
      <c r="C406">
        <v>356.55</v>
      </c>
    </row>
    <row r="407" spans="1:3" x14ac:dyDescent="0.4">
      <c r="A407" s="1">
        <v>33725</v>
      </c>
      <c r="B407">
        <v>359.66</v>
      </c>
      <c r="C407">
        <v>356.53</v>
      </c>
    </row>
    <row r="408" spans="1:3" x14ac:dyDescent="0.4">
      <c r="A408" s="1">
        <v>33756</v>
      </c>
      <c r="B408">
        <v>359.25</v>
      </c>
      <c r="C408">
        <v>356.9</v>
      </c>
    </row>
    <row r="409" spans="1:3" x14ac:dyDescent="0.4">
      <c r="A409" s="1">
        <v>33786</v>
      </c>
      <c r="B409">
        <v>357.02</v>
      </c>
      <c r="C409">
        <v>356.3</v>
      </c>
    </row>
    <row r="410" spans="1:3" x14ac:dyDescent="0.4">
      <c r="A410" s="1">
        <v>33817</v>
      </c>
      <c r="B410">
        <v>355</v>
      </c>
      <c r="C410">
        <v>356.44</v>
      </c>
    </row>
    <row r="411" spans="1:3" x14ac:dyDescent="0.4">
      <c r="A411" s="1">
        <v>33848</v>
      </c>
      <c r="B411">
        <v>353.01</v>
      </c>
      <c r="C411">
        <v>356.25</v>
      </c>
    </row>
    <row r="412" spans="1:3" x14ac:dyDescent="0.4">
      <c r="A412" s="1">
        <v>33878</v>
      </c>
      <c r="B412">
        <v>353.31</v>
      </c>
      <c r="C412">
        <v>356.64</v>
      </c>
    </row>
    <row r="413" spans="1:3" x14ac:dyDescent="0.4">
      <c r="A413" s="1">
        <v>33909</v>
      </c>
      <c r="B413">
        <v>354.16</v>
      </c>
      <c r="C413">
        <v>356.25</v>
      </c>
    </row>
    <row r="414" spans="1:3" x14ac:dyDescent="0.4">
      <c r="A414" s="1">
        <v>33939</v>
      </c>
      <c r="B414">
        <v>355.4</v>
      </c>
      <c r="C414">
        <v>356.25</v>
      </c>
    </row>
    <row r="415" spans="1:3" x14ac:dyDescent="0.4">
      <c r="A415" s="1">
        <v>33970</v>
      </c>
      <c r="B415">
        <v>356.7</v>
      </c>
      <c r="C415">
        <v>356.66</v>
      </c>
    </row>
    <row r="416" spans="1:3" x14ac:dyDescent="0.4">
      <c r="A416" s="1">
        <v>34001</v>
      </c>
      <c r="B416">
        <v>357.17</v>
      </c>
      <c r="C416">
        <v>356.46</v>
      </c>
    </row>
    <row r="417" spans="1:3" x14ac:dyDescent="0.4">
      <c r="A417" s="1">
        <v>34029</v>
      </c>
      <c r="B417">
        <v>358.38</v>
      </c>
      <c r="C417">
        <v>356.95</v>
      </c>
    </row>
    <row r="418" spans="1:3" x14ac:dyDescent="0.4">
      <c r="A418" s="1">
        <v>34060</v>
      </c>
      <c r="B418">
        <v>359.46</v>
      </c>
      <c r="C418">
        <v>356.88</v>
      </c>
    </row>
    <row r="419" spans="1:3" x14ac:dyDescent="0.4">
      <c r="A419" s="1">
        <v>34090</v>
      </c>
      <c r="B419">
        <v>360.28</v>
      </c>
      <c r="C419">
        <v>357.13</v>
      </c>
    </row>
    <row r="420" spans="1:3" x14ac:dyDescent="0.4">
      <c r="A420" s="1">
        <v>34121</v>
      </c>
      <c r="B420">
        <v>359.6</v>
      </c>
      <c r="C420">
        <v>357.22</v>
      </c>
    </row>
    <row r="421" spans="1:3" x14ac:dyDescent="0.4">
      <c r="A421" s="1">
        <v>34151</v>
      </c>
      <c r="B421">
        <v>357.57</v>
      </c>
      <c r="C421">
        <v>356.81</v>
      </c>
    </row>
    <row r="422" spans="1:3" x14ac:dyDescent="0.4">
      <c r="A422" s="1">
        <v>34182</v>
      </c>
      <c r="B422">
        <v>355.52</v>
      </c>
      <c r="C422">
        <v>356.94</v>
      </c>
    </row>
    <row r="423" spans="1:3" x14ac:dyDescent="0.4">
      <c r="A423" s="1">
        <v>34213</v>
      </c>
      <c r="B423">
        <v>353.69</v>
      </c>
      <c r="C423">
        <v>356.93</v>
      </c>
    </row>
    <row r="424" spans="1:3" x14ac:dyDescent="0.4">
      <c r="A424" s="1">
        <v>34243</v>
      </c>
      <c r="B424">
        <v>353.99</v>
      </c>
      <c r="C424">
        <v>357.34</v>
      </c>
    </row>
    <row r="425" spans="1:3" x14ac:dyDescent="0.4">
      <c r="A425" s="1">
        <v>34274</v>
      </c>
      <c r="B425">
        <v>355.34</v>
      </c>
      <c r="C425">
        <v>357.44</v>
      </c>
    </row>
    <row r="426" spans="1:3" x14ac:dyDescent="0.4">
      <c r="A426" s="1">
        <v>34304</v>
      </c>
      <c r="B426">
        <v>356.8</v>
      </c>
      <c r="C426">
        <v>357.66</v>
      </c>
    </row>
    <row r="427" spans="1:3" x14ac:dyDescent="0.4">
      <c r="A427" s="1">
        <v>34335</v>
      </c>
      <c r="B427">
        <v>358.37</v>
      </c>
      <c r="C427">
        <v>358.32</v>
      </c>
    </row>
    <row r="428" spans="1:3" x14ac:dyDescent="0.4">
      <c r="A428" s="1">
        <v>34366</v>
      </c>
      <c r="B428">
        <v>358.91</v>
      </c>
      <c r="C428">
        <v>358.21</v>
      </c>
    </row>
    <row r="429" spans="1:3" x14ac:dyDescent="0.4">
      <c r="A429" s="1">
        <v>34394</v>
      </c>
      <c r="B429">
        <v>359.97</v>
      </c>
      <c r="C429">
        <v>358.54</v>
      </c>
    </row>
    <row r="430" spans="1:3" x14ac:dyDescent="0.4">
      <c r="A430" s="1">
        <v>34425</v>
      </c>
      <c r="B430">
        <v>361.26</v>
      </c>
      <c r="C430">
        <v>358.67</v>
      </c>
    </row>
    <row r="431" spans="1:3" x14ac:dyDescent="0.4">
      <c r="A431" s="1">
        <v>34455</v>
      </c>
      <c r="B431">
        <v>361.69</v>
      </c>
      <c r="C431">
        <v>358.53</v>
      </c>
    </row>
    <row r="432" spans="1:3" x14ac:dyDescent="0.4">
      <c r="A432" s="1">
        <v>34486</v>
      </c>
      <c r="B432">
        <v>360.94</v>
      </c>
      <c r="C432">
        <v>358.56</v>
      </c>
    </row>
    <row r="433" spans="1:3" x14ac:dyDescent="0.4">
      <c r="A433" s="1">
        <v>34516</v>
      </c>
      <c r="B433">
        <v>359.55</v>
      </c>
      <c r="C433">
        <v>358.79</v>
      </c>
    </row>
    <row r="434" spans="1:3" x14ac:dyDescent="0.4">
      <c r="A434" s="1">
        <v>34547</v>
      </c>
      <c r="B434">
        <v>357.48</v>
      </c>
      <c r="C434">
        <v>358.9</v>
      </c>
    </row>
    <row r="435" spans="1:3" x14ac:dyDescent="0.4">
      <c r="A435" s="1">
        <v>34578</v>
      </c>
      <c r="B435">
        <v>355.84</v>
      </c>
      <c r="C435">
        <v>359.09</v>
      </c>
    </row>
    <row r="436" spans="1:3" x14ac:dyDescent="0.4">
      <c r="A436" s="1">
        <v>34608</v>
      </c>
      <c r="B436">
        <v>356</v>
      </c>
      <c r="C436">
        <v>359.36</v>
      </c>
    </row>
    <row r="437" spans="1:3" x14ac:dyDescent="0.4">
      <c r="A437" s="1">
        <v>34639</v>
      </c>
      <c r="B437">
        <v>357.58</v>
      </c>
      <c r="C437">
        <v>359.69</v>
      </c>
    </row>
    <row r="438" spans="1:3" x14ac:dyDescent="0.4">
      <c r="A438" s="1">
        <v>34669</v>
      </c>
      <c r="B438">
        <v>359.04</v>
      </c>
      <c r="C438">
        <v>359.9</v>
      </c>
    </row>
    <row r="439" spans="1:3" x14ac:dyDescent="0.4">
      <c r="A439" s="1">
        <v>34700</v>
      </c>
      <c r="B439">
        <v>359.97</v>
      </c>
      <c r="C439">
        <v>359.92</v>
      </c>
    </row>
    <row r="440" spans="1:3" x14ac:dyDescent="0.4">
      <c r="A440" s="1">
        <v>34731</v>
      </c>
      <c r="B440">
        <v>361</v>
      </c>
      <c r="C440">
        <v>360.3</v>
      </c>
    </row>
    <row r="441" spans="1:3" x14ac:dyDescent="0.4">
      <c r="A441" s="1">
        <v>34759</v>
      </c>
      <c r="B441">
        <v>361.63</v>
      </c>
      <c r="C441">
        <v>360.2</v>
      </c>
    </row>
    <row r="442" spans="1:3" x14ac:dyDescent="0.4">
      <c r="A442" s="1">
        <v>34790</v>
      </c>
      <c r="B442">
        <v>363.45</v>
      </c>
      <c r="C442">
        <v>360.85</v>
      </c>
    </row>
    <row r="443" spans="1:3" x14ac:dyDescent="0.4">
      <c r="A443" s="1">
        <v>34820</v>
      </c>
      <c r="B443">
        <v>363.8</v>
      </c>
      <c r="C443">
        <v>360.63</v>
      </c>
    </row>
    <row r="444" spans="1:3" x14ac:dyDescent="0.4">
      <c r="A444" s="1">
        <v>34851</v>
      </c>
      <c r="B444">
        <v>363.26</v>
      </c>
      <c r="C444">
        <v>360.87</v>
      </c>
    </row>
    <row r="445" spans="1:3" x14ac:dyDescent="0.4">
      <c r="A445" s="1">
        <v>34881</v>
      </c>
      <c r="B445">
        <v>361.89</v>
      </c>
      <c r="C445">
        <v>361.13</v>
      </c>
    </row>
    <row r="446" spans="1:3" x14ac:dyDescent="0.4">
      <c r="A446" s="1">
        <v>34912</v>
      </c>
      <c r="B446">
        <v>359.45</v>
      </c>
      <c r="C446">
        <v>360.88</v>
      </c>
    </row>
    <row r="447" spans="1:3" x14ac:dyDescent="0.4">
      <c r="A447" s="1">
        <v>34943</v>
      </c>
      <c r="B447">
        <v>358.05</v>
      </c>
      <c r="C447">
        <v>361.31</v>
      </c>
    </row>
    <row r="448" spans="1:3" x14ac:dyDescent="0.4">
      <c r="A448" s="1">
        <v>34973</v>
      </c>
      <c r="B448">
        <v>357.75</v>
      </c>
      <c r="C448">
        <v>361.13</v>
      </c>
    </row>
    <row r="449" spans="1:3" x14ac:dyDescent="0.4">
      <c r="A449" s="1">
        <v>35004</v>
      </c>
      <c r="B449">
        <v>359.56</v>
      </c>
      <c r="C449">
        <v>361.68</v>
      </c>
    </row>
    <row r="450" spans="1:3" x14ac:dyDescent="0.4">
      <c r="A450" s="1">
        <v>35034</v>
      </c>
      <c r="B450">
        <v>360.7</v>
      </c>
      <c r="C450">
        <v>361.56</v>
      </c>
    </row>
    <row r="451" spans="1:3" x14ac:dyDescent="0.4">
      <c r="A451" s="1">
        <v>35065</v>
      </c>
      <c r="B451">
        <v>362.05</v>
      </c>
      <c r="C451">
        <v>362</v>
      </c>
    </row>
    <row r="452" spans="1:3" x14ac:dyDescent="0.4">
      <c r="A452" s="1">
        <v>35096</v>
      </c>
      <c r="B452">
        <v>363.24</v>
      </c>
      <c r="C452">
        <v>362.54</v>
      </c>
    </row>
    <row r="453" spans="1:3" x14ac:dyDescent="0.4">
      <c r="A453" s="1">
        <v>35125</v>
      </c>
      <c r="B453">
        <v>364.02</v>
      </c>
      <c r="C453">
        <v>362.56</v>
      </c>
    </row>
    <row r="454" spans="1:3" x14ac:dyDescent="0.4">
      <c r="A454" s="1">
        <v>35156</v>
      </c>
      <c r="B454">
        <v>364.71</v>
      </c>
      <c r="C454">
        <v>362.08</v>
      </c>
    </row>
    <row r="455" spans="1:3" x14ac:dyDescent="0.4">
      <c r="A455" s="1">
        <v>35186</v>
      </c>
      <c r="B455">
        <v>365.42</v>
      </c>
      <c r="C455">
        <v>362.24</v>
      </c>
    </row>
    <row r="456" spans="1:3" x14ac:dyDescent="0.4">
      <c r="A456" s="1">
        <v>35217</v>
      </c>
      <c r="B456">
        <v>364.97</v>
      </c>
      <c r="C456">
        <v>362.59</v>
      </c>
    </row>
    <row r="457" spans="1:3" x14ac:dyDescent="0.4">
      <c r="A457" s="1">
        <v>35247</v>
      </c>
      <c r="B457">
        <v>363.65</v>
      </c>
      <c r="C457">
        <v>362.92</v>
      </c>
    </row>
    <row r="458" spans="1:3" x14ac:dyDescent="0.4">
      <c r="A458" s="1">
        <v>35278</v>
      </c>
      <c r="B458">
        <v>361.48</v>
      </c>
      <c r="C458">
        <v>362.94</v>
      </c>
    </row>
    <row r="459" spans="1:3" x14ac:dyDescent="0.4">
      <c r="A459" s="1">
        <v>35309</v>
      </c>
      <c r="B459">
        <v>359.45</v>
      </c>
      <c r="C459">
        <v>362.73</v>
      </c>
    </row>
    <row r="460" spans="1:3" x14ac:dyDescent="0.4">
      <c r="A460" s="1">
        <v>35339</v>
      </c>
      <c r="B460">
        <v>359.61</v>
      </c>
      <c r="C460">
        <v>362.99</v>
      </c>
    </row>
    <row r="461" spans="1:3" x14ac:dyDescent="0.4">
      <c r="A461" s="1">
        <v>35370</v>
      </c>
      <c r="B461">
        <v>360.76</v>
      </c>
      <c r="C461">
        <v>362.87</v>
      </c>
    </row>
    <row r="462" spans="1:3" x14ac:dyDescent="0.4">
      <c r="A462" s="1">
        <v>35400</v>
      </c>
      <c r="B462">
        <v>362.33</v>
      </c>
      <c r="C462">
        <v>363.19</v>
      </c>
    </row>
    <row r="463" spans="1:3" x14ac:dyDescent="0.4">
      <c r="A463" s="1">
        <v>35431</v>
      </c>
      <c r="B463">
        <v>363.19</v>
      </c>
      <c r="C463">
        <v>363.14</v>
      </c>
    </row>
    <row r="464" spans="1:3" x14ac:dyDescent="0.4">
      <c r="A464" s="1">
        <v>35462</v>
      </c>
      <c r="B464">
        <v>363.99</v>
      </c>
      <c r="C464">
        <v>363.28</v>
      </c>
    </row>
    <row r="465" spans="1:3" x14ac:dyDescent="0.4">
      <c r="A465" s="1">
        <v>35490</v>
      </c>
      <c r="B465">
        <v>364.56</v>
      </c>
      <c r="C465">
        <v>363.12</v>
      </c>
    </row>
    <row r="466" spans="1:3" x14ac:dyDescent="0.4">
      <c r="A466" s="1">
        <v>35521</v>
      </c>
      <c r="B466">
        <v>366.36</v>
      </c>
      <c r="C466">
        <v>363.74</v>
      </c>
    </row>
    <row r="467" spans="1:3" x14ac:dyDescent="0.4">
      <c r="A467" s="1">
        <v>35551</v>
      </c>
      <c r="B467">
        <v>366.8</v>
      </c>
      <c r="C467">
        <v>363.61</v>
      </c>
    </row>
    <row r="468" spans="1:3" x14ac:dyDescent="0.4">
      <c r="A468" s="1">
        <v>35582</v>
      </c>
      <c r="B468">
        <v>365.63</v>
      </c>
      <c r="C468">
        <v>363.22</v>
      </c>
    </row>
    <row r="469" spans="1:3" x14ac:dyDescent="0.4">
      <c r="A469" s="1">
        <v>35612</v>
      </c>
      <c r="B469">
        <v>364.47</v>
      </c>
      <c r="C469">
        <v>363.7</v>
      </c>
    </row>
    <row r="470" spans="1:3" x14ac:dyDescent="0.4">
      <c r="A470" s="1">
        <v>35643</v>
      </c>
      <c r="B470">
        <v>362.5</v>
      </c>
      <c r="C470">
        <v>363.94</v>
      </c>
    </row>
    <row r="471" spans="1:3" x14ac:dyDescent="0.4">
      <c r="A471" s="1">
        <v>35674</v>
      </c>
      <c r="B471">
        <v>360.19</v>
      </c>
      <c r="C471">
        <v>363.47</v>
      </c>
    </row>
    <row r="472" spans="1:3" x14ac:dyDescent="0.4">
      <c r="A472" s="1">
        <v>35704</v>
      </c>
      <c r="B472">
        <v>360.78</v>
      </c>
      <c r="C472">
        <v>364.17</v>
      </c>
    </row>
    <row r="473" spans="1:3" x14ac:dyDescent="0.4">
      <c r="A473" s="1">
        <v>35735</v>
      </c>
      <c r="B473">
        <v>362.43</v>
      </c>
      <c r="C473">
        <v>364.56</v>
      </c>
    </row>
    <row r="474" spans="1:3" x14ac:dyDescent="0.4">
      <c r="A474" s="1">
        <v>35765</v>
      </c>
      <c r="B474">
        <v>364.28</v>
      </c>
      <c r="C474">
        <v>365.14</v>
      </c>
    </row>
    <row r="475" spans="1:3" x14ac:dyDescent="0.4">
      <c r="A475" s="1">
        <v>35796</v>
      </c>
      <c r="B475">
        <v>365.33</v>
      </c>
      <c r="C475">
        <v>365.28</v>
      </c>
    </row>
    <row r="476" spans="1:3" x14ac:dyDescent="0.4">
      <c r="A476" s="1">
        <v>35827</v>
      </c>
      <c r="B476">
        <v>366.15</v>
      </c>
      <c r="C476">
        <v>365.44</v>
      </c>
    </row>
    <row r="477" spans="1:3" x14ac:dyDescent="0.4">
      <c r="A477" s="1">
        <v>35855</v>
      </c>
      <c r="B477">
        <v>367.31</v>
      </c>
      <c r="C477">
        <v>365.87</v>
      </c>
    </row>
    <row r="478" spans="1:3" x14ac:dyDescent="0.4">
      <c r="A478" s="1">
        <v>35886</v>
      </c>
      <c r="B478">
        <v>368.61</v>
      </c>
      <c r="C478">
        <v>365.99</v>
      </c>
    </row>
    <row r="479" spans="1:3" x14ac:dyDescent="0.4">
      <c r="A479" s="1">
        <v>35916</v>
      </c>
      <c r="B479">
        <v>369.3</v>
      </c>
      <c r="C479">
        <v>366.11</v>
      </c>
    </row>
    <row r="480" spans="1:3" x14ac:dyDescent="0.4">
      <c r="A480" s="1">
        <v>35947</v>
      </c>
      <c r="B480">
        <v>368.88</v>
      </c>
      <c r="C480">
        <v>366.46</v>
      </c>
    </row>
    <row r="481" spans="1:3" x14ac:dyDescent="0.4">
      <c r="A481" s="1">
        <v>35977</v>
      </c>
      <c r="B481">
        <v>367.64</v>
      </c>
      <c r="C481">
        <v>366.87</v>
      </c>
    </row>
    <row r="482" spans="1:3" x14ac:dyDescent="0.4">
      <c r="A482" s="1">
        <v>36008</v>
      </c>
      <c r="B482">
        <v>365.78</v>
      </c>
      <c r="C482">
        <v>367.22</v>
      </c>
    </row>
    <row r="483" spans="1:3" x14ac:dyDescent="0.4">
      <c r="A483" s="1">
        <v>36039</v>
      </c>
      <c r="B483">
        <v>363.9</v>
      </c>
      <c r="C483">
        <v>367.19</v>
      </c>
    </row>
    <row r="484" spans="1:3" x14ac:dyDescent="0.4">
      <c r="A484" s="1">
        <v>36069</v>
      </c>
      <c r="B484">
        <v>364.23</v>
      </c>
      <c r="C484">
        <v>367.64</v>
      </c>
    </row>
    <row r="485" spans="1:3" x14ac:dyDescent="0.4">
      <c r="A485" s="1">
        <v>36100</v>
      </c>
      <c r="B485">
        <v>365.46</v>
      </c>
      <c r="C485">
        <v>367.59</v>
      </c>
    </row>
    <row r="486" spans="1:3" x14ac:dyDescent="0.4">
      <c r="A486" s="1">
        <v>36130</v>
      </c>
      <c r="B486">
        <v>366.97</v>
      </c>
      <c r="C486">
        <v>367.84</v>
      </c>
    </row>
    <row r="487" spans="1:3" x14ac:dyDescent="0.4">
      <c r="A487" s="1">
        <v>36161</v>
      </c>
      <c r="B487">
        <v>368.15</v>
      </c>
      <c r="C487">
        <v>368.1</v>
      </c>
    </row>
    <row r="488" spans="1:3" x14ac:dyDescent="0.4">
      <c r="A488" s="1">
        <v>36192</v>
      </c>
      <c r="B488">
        <v>368.87</v>
      </c>
      <c r="C488">
        <v>368.16</v>
      </c>
    </row>
    <row r="489" spans="1:3" x14ac:dyDescent="0.4">
      <c r="A489" s="1">
        <v>36220</v>
      </c>
      <c r="B489">
        <v>369.59</v>
      </c>
      <c r="C489">
        <v>368.14</v>
      </c>
    </row>
    <row r="490" spans="1:3" x14ac:dyDescent="0.4">
      <c r="A490" s="1">
        <v>36251</v>
      </c>
      <c r="B490">
        <v>371.14</v>
      </c>
      <c r="C490">
        <v>368.51</v>
      </c>
    </row>
    <row r="491" spans="1:3" x14ac:dyDescent="0.4">
      <c r="A491" s="1">
        <v>36281</v>
      </c>
      <c r="B491">
        <v>371</v>
      </c>
      <c r="C491">
        <v>367.8</v>
      </c>
    </row>
    <row r="492" spans="1:3" x14ac:dyDescent="0.4">
      <c r="A492" s="1">
        <v>36312</v>
      </c>
      <c r="B492">
        <v>370.35</v>
      </c>
      <c r="C492">
        <v>367.93</v>
      </c>
    </row>
    <row r="493" spans="1:3" x14ac:dyDescent="0.4">
      <c r="A493" s="1">
        <v>36342</v>
      </c>
      <c r="B493">
        <v>369.27</v>
      </c>
      <c r="C493">
        <v>368.49</v>
      </c>
    </row>
    <row r="494" spans="1:3" x14ac:dyDescent="0.4">
      <c r="A494" s="1">
        <v>36373</v>
      </c>
      <c r="B494">
        <v>366.93</v>
      </c>
      <c r="C494">
        <v>368.37</v>
      </c>
    </row>
    <row r="495" spans="1:3" x14ac:dyDescent="0.4">
      <c r="A495" s="1">
        <v>36404</v>
      </c>
      <c r="B495">
        <v>364.64</v>
      </c>
      <c r="C495">
        <v>367.94</v>
      </c>
    </row>
    <row r="496" spans="1:3" x14ac:dyDescent="0.4">
      <c r="A496" s="1">
        <v>36434</v>
      </c>
      <c r="B496">
        <v>365.13</v>
      </c>
      <c r="C496">
        <v>368.55</v>
      </c>
    </row>
    <row r="497" spans="1:3" x14ac:dyDescent="0.4">
      <c r="A497" s="1">
        <v>36465</v>
      </c>
      <c r="B497">
        <v>366.68</v>
      </c>
      <c r="C497">
        <v>368.81</v>
      </c>
    </row>
    <row r="498" spans="1:3" x14ac:dyDescent="0.4">
      <c r="A498" s="1">
        <v>36495</v>
      </c>
      <c r="B498">
        <v>368</v>
      </c>
      <c r="C498">
        <v>368.88</v>
      </c>
    </row>
    <row r="499" spans="1:3" x14ac:dyDescent="0.4">
      <c r="A499" s="1">
        <v>36526</v>
      </c>
      <c r="B499">
        <v>369.14</v>
      </c>
      <c r="C499">
        <v>369.09</v>
      </c>
    </row>
    <row r="500" spans="1:3" x14ac:dyDescent="0.4">
      <c r="A500" s="1">
        <v>36557</v>
      </c>
      <c r="B500">
        <v>369.46</v>
      </c>
      <c r="C500">
        <v>368.75</v>
      </c>
    </row>
    <row r="501" spans="1:3" x14ac:dyDescent="0.4">
      <c r="A501" s="1">
        <v>36586</v>
      </c>
      <c r="B501">
        <v>370.51</v>
      </c>
      <c r="C501">
        <v>369.03</v>
      </c>
    </row>
    <row r="502" spans="1:3" x14ac:dyDescent="0.4">
      <c r="A502" s="1">
        <v>36617</v>
      </c>
      <c r="B502">
        <v>371.66</v>
      </c>
      <c r="C502">
        <v>369</v>
      </c>
    </row>
    <row r="503" spans="1:3" x14ac:dyDescent="0.4">
      <c r="A503" s="1">
        <v>36647</v>
      </c>
      <c r="B503">
        <v>371.83</v>
      </c>
      <c r="C503">
        <v>368.61</v>
      </c>
    </row>
    <row r="504" spans="1:3" x14ac:dyDescent="0.4">
      <c r="A504" s="1">
        <v>36678</v>
      </c>
      <c r="B504">
        <v>371.69</v>
      </c>
      <c r="C504">
        <v>369.28</v>
      </c>
    </row>
    <row r="505" spans="1:3" x14ac:dyDescent="0.4">
      <c r="A505" s="1">
        <v>36708</v>
      </c>
      <c r="B505">
        <v>370.12</v>
      </c>
      <c r="C505">
        <v>369.37</v>
      </c>
    </row>
    <row r="506" spans="1:3" x14ac:dyDescent="0.4">
      <c r="A506" s="1">
        <v>36739</v>
      </c>
      <c r="B506">
        <v>368.12</v>
      </c>
      <c r="C506">
        <v>369.6</v>
      </c>
    </row>
    <row r="507" spans="1:3" x14ac:dyDescent="0.4">
      <c r="A507" s="1">
        <v>36770</v>
      </c>
      <c r="B507">
        <v>366.62</v>
      </c>
      <c r="C507">
        <v>369.94</v>
      </c>
    </row>
    <row r="508" spans="1:3" x14ac:dyDescent="0.4">
      <c r="A508" s="1">
        <v>36800</v>
      </c>
      <c r="B508">
        <v>366.73</v>
      </c>
      <c r="C508">
        <v>370.15</v>
      </c>
    </row>
    <row r="509" spans="1:3" x14ac:dyDescent="0.4">
      <c r="A509" s="1">
        <v>36831</v>
      </c>
      <c r="B509">
        <v>368.29</v>
      </c>
      <c r="C509">
        <v>370.43</v>
      </c>
    </row>
    <row r="510" spans="1:3" x14ac:dyDescent="0.4">
      <c r="A510" s="1">
        <v>36861</v>
      </c>
      <c r="B510">
        <v>369.52</v>
      </c>
      <c r="C510">
        <v>370.4</v>
      </c>
    </row>
    <row r="511" spans="1:3" x14ac:dyDescent="0.4">
      <c r="A511" s="1">
        <v>36892</v>
      </c>
      <c r="B511">
        <v>370.28</v>
      </c>
      <c r="C511">
        <v>370.23</v>
      </c>
    </row>
    <row r="512" spans="1:3" x14ac:dyDescent="0.4">
      <c r="A512" s="1">
        <v>36923</v>
      </c>
      <c r="B512">
        <v>371.5</v>
      </c>
      <c r="C512">
        <v>370.78</v>
      </c>
    </row>
    <row r="513" spans="1:3" x14ac:dyDescent="0.4">
      <c r="A513" s="1">
        <v>36951</v>
      </c>
      <c r="B513">
        <v>372.12</v>
      </c>
      <c r="C513">
        <v>370.66</v>
      </c>
    </row>
    <row r="514" spans="1:3" x14ac:dyDescent="0.4">
      <c r="A514" s="1">
        <v>36982</v>
      </c>
      <c r="B514">
        <v>372.86</v>
      </c>
      <c r="C514">
        <v>370.21</v>
      </c>
    </row>
    <row r="515" spans="1:3" x14ac:dyDescent="0.4">
      <c r="A515" s="1">
        <v>37012</v>
      </c>
      <c r="B515">
        <v>374.02</v>
      </c>
      <c r="C515">
        <v>370.79</v>
      </c>
    </row>
    <row r="516" spans="1:3" x14ac:dyDescent="0.4">
      <c r="A516" s="1">
        <v>37043</v>
      </c>
      <c r="B516">
        <v>373.31</v>
      </c>
      <c r="C516">
        <v>370.87</v>
      </c>
    </row>
    <row r="517" spans="1:3" x14ac:dyDescent="0.4">
      <c r="A517" s="1">
        <v>37073</v>
      </c>
      <c r="B517">
        <v>371.62</v>
      </c>
      <c r="C517">
        <v>370.84</v>
      </c>
    </row>
    <row r="518" spans="1:3" x14ac:dyDescent="0.4">
      <c r="A518" s="1">
        <v>37104</v>
      </c>
      <c r="B518">
        <v>369.55</v>
      </c>
      <c r="C518">
        <v>371</v>
      </c>
    </row>
    <row r="519" spans="1:3" x14ac:dyDescent="0.4">
      <c r="A519" s="1">
        <v>37135</v>
      </c>
      <c r="B519">
        <v>367.96</v>
      </c>
      <c r="C519">
        <v>371.28</v>
      </c>
    </row>
    <row r="520" spans="1:3" x14ac:dyDescent="0.4">
      <c r="A520" s="1">
        <v>37165</v>
      </c>
      <c r="B520">
        <v>368.09</v>
      </c>
      <c r="C520">
        <v>371.53</v>
      </c>
    </row>
    <row r="521" spans="1:3" x14ac:dyDescent="0.4">
      <c r="A521" s="1">
        <v>37196</v>
      </c>
      <c r="B521">
        <v>369.68</v>
      </c>
      <c r="C521">
        <v>371.83</v>
      </c>
    </row>
    <row r="522" spans="1:3" x14ac:dyDescent="0.4">
      <c r="A522" s="1">
        <v>37226</v>
      </c>
      <c r="B522">
        <v>371.24</v>
      </c>
      <c r="C522">
        <v>372.12</v>
      </c>
    </row>
    <row r="523" spans="1:3" x14ac:dyDescent="0.4">
      <c r="A523" s="1">
        <v>37257</v>
      </c>
      <c r="B523">
        <v>372.44</v>
      </c>
      <c r="C523">
        <v>372.39</v>
      </c>
    </row>
    <row r="524" spans="1:3" x14ac:dyDescent="0.4">
      <c r="A524" s="1">
        <v>37288</v>
      </c>
      <c r="B524">
        <v>373.08</v>
      </c>
      <c r="C524">
        <v>372.36</v>
      </c>
    </row>
    <row r="525" spans="1:3" x14ac:dyDescent="0.4">
      <c r="A525" s="1">
        <v>37316</v>
      </c>
      <c r="B525">
        <v>373.52</v>
      </c>
      <c r="C525">
        <v>372.05</v>
      </c>
    </row>
    <row r="526" spans="1:3" x14ac:dyDescent="0.4">
      <c r="A526" s="1">
        <v>37347</v>
      </c>
      <c r="B526">
        <v>374.85</v>
      </c>
      <c r="C526">
        <v>372.2</v>
      </c>
    </row>
    <row r="527" spans="1:3" x14ac:dyDescent="0.4">
      <c r="A527" s="1">
        <v>37377</v>
      </c>
      <c r="B527">
        <v>375.55</v>
      </c>
      <c r="C527">
        <v>372.31</v>
      </c>
    </row>
    <row r="528" spans="1:3" x14ac:dyDescent="0.4">
      <c r="A528" s="1">
        <v>37408</v>
      </c>
      <c r="B528">
        <v>375.4</v>
      </c>
      <c r="C528">
        <v>372.95</v>
      </c>
    </row>
    <row r="529" spans="1:3" x14ac:dyDescent="0.4">
      <c r="A529" s="1">
        <v>37438</v>
      </c>
      <c r="B529">
        <v>374.02</v>
      </c>
      <c r="C529">
        <v>373.24</v>
      </c>
    </row>
    <row r="530" spans="1:3" x14ac:dyDescent="0.4">
      <c r="A530" s="1">
        <v>37469</v>
      </c>
      <c r="B530">
        <v>371.48</v>
      </c>
      <c r="C530">
        <v>372.94</v>
      </c>
    </row>
    <row r="531" spans="1:3" x14ac:dyDescent="0.4">
      <c r="A531" s="1">
        <v>37500</v>
      </c>
      <c r="B531">
        <v>370.7</v>
      </c>
      <c r="C531">
        <v>374.03</v>
      </c>
    </row>
    <row r="532" spans="1:3" x14ac:dyDescent="0.4">
      <c r="A532" s="1">
        <v>37530</v>
      </c>
      <c r="B532">
        <v>370.25</v>
      </c>
      <c r="C532">
        <v>373.7</v>
      </c>
    </row>
    <row r="533" spans="1:3" x14ac:dyDescent="0.4">
      <c r="A533" s="1">
        <v>37561</v>
      </c>
      <c r="B533">
        <v>372.08</v>
      </c>
      <c r="C533">
        <v>374.24</v>
      </c>
    </row>
    <row r="534" spans="1:3" x14ac:dyDescent="0.4">
      <c r="A534" s="1">
        <v>37591</v>
      </c>
      <c r="B534">
        <v>373.78</v>
      </c>
      <c r="C534">
        <v>374.66</v>
      </c>
    </row>
    <row r="535" spans="1:3" x14ac:dyDescent="0.4">
      <c r="A535" s="1">
        <v>37622</v>
      </c>
      <c r="B535">
        <v>374.68</v>
      </c>
      <c r="C535">
        <v>374.63</v>
      </c>
    </row>
    <row r="536" spans="1:3" x14ac:dyDescent="0.4">
      <c r="A536" s="1">
        <v>37653</v>
      </c>
      <c r="B536">
        <v>375.62</v>
      </c>
      <c r="C536">
        <v>374.9</v>
      </c>
    </row>
    <row r="537" spans="1:3" x14ac:dyDescent="0.4">
      <c r="A537" s="1">
        <v>37681</v>
      </c>
      <c r="B537">
        <v>376.11</v>
      </c>
      <c r="C537">
        <v>374.64</v>
      </c>
    </row>
    <row r="538" spans="1:3" x14ac:dyDescent="0.4">
      <c r="A538" s="1">
        <v>37712</v>
      </c>
      <c r="B538">
        <v>377.65</v>
      </c>
      <c r="C538">
        <v>374.99</v>
      </c>
    </row>
    <row r="539" spans="1:3" x14ac:dyDescent="0.4">
      <c r="A539" s="1">
        <v>37742</v>
      </c>
      <c r="B539">
        <v>378.35</v>
      </c>
      <c r="C539">
        <v>375.11</v>
      </c>
    </row>
    <row r="540" spans="1:3" x14ac:dyDescent="0.4">
      <c r="A540" s="1">
        <v>37773</v>
      </c>
      <c r="B540">
        <v>378.13</v>
      </c>
      <c r="C540">
        <v>375.67</v>
      </c>
    </row>
    <row r="541" spans="1:3" x14ac:dyDescent="0.4">
      <c r="A541" s="1">
        <v>37803</v>
      </c>
      <c r="B541">
        <v>376.6</v>
      </c>
      <c r="C541">
        <v>375.82</v>
      </c>
    </row>
    <row r="542" spans="1:3" x14ac:dyDescent="0.4">
      <c r="A542" s="1">
        <v>37834</v>
      </c>
      <c r="B542">
        <v>374.48</v>
      </c>
      <c r="C542">
        <v>375.95</v>
      </c>
    </row>
    <row r="543" spans="1:3" x14ac:dyDescent="0.4">
      <c r="A543" s="1">
        <v>37865</v>
      </c>
      <c r="B543">
        <v>372.98</v>
      </c>
      <c r="C543">
        <v>376.32</v>
      </c>
    </row>
    <row r="544" spans="1:3" x14ac:dyDescent="0.4">
      <c r="A544" s="1">
        <v>37895</v>
      </c>
      <c r="B544">
        <v>373</v>
      </c>
      <c r="C544">
        <v>376.46</v>
      </c>
    </row>
    <row r="545" spans="1:3" x14ac:dyDescent="0.4">
      <c r="A545" s="1">
        <v>37926</v>
      </c>
      <c r="B545">
        <v>374.35</v>
      </c>
      <c r="C545">
        <v>376.51</v>
      </c>
    </row>
    <row r="546" spans="1:3" x14ac:dyDescent="0.4">
      <c r="A546" s="1">
        <v>37956</v>
      </c>
      <c r="B546">
        <v>375.69</v>
      </c>
      <c r="C546">
        <v>376.57</v>
      </c>
    </row>
    <row r="547" spans="1:3" x14ac:dyDescent="0.4">
      <c r="A547" s="1">
        <v>37987</v>
      </c>
      <c r="B547">
        <v>376.79</v>
      </c>
      <c r="C547">
        <v>376.74</v>
      </c>
    </row>
    <row r="548" spans="1:3" x14ac:dyDescent="0.4">
      <c r="A548" s="1">
        <v>38018</v>
      </c>
      <c r="B548">
        <v>377.37</v>
      </c>
      <c r="C548">
        <v>376.64</v>
      </c>
    </row>
    <row r="549" spans="1:3" x14ac:dyDescent="0.4">
      <c r="A549" s="1">
        <v>38047</v>
      </c>
      <c r="B549">
        <v>378.39</v>
      </c>
      <c r="C549">
        <v>376.89</v>
      </c>
    </row>
    <row r="550" spans="1:3" x14ac:dyDescent="0.4">
      <c r="A550" s="1">
        <v>38078</v>
      </c>
      <c r="B550">
        <v>380.5</v>
      </c>
      <c r="C550">
        <v>377.8</v>
      </c>
    </row>
    <row r="551" spans="1:3" x14ac:dyDescent="0.4">
      <c r="A551" s="1">
        <v>38108</v>
      </c>
      <c r="B551">
        <v>380.62</v>
      </c>
      <c r="C551">
        <v>377.36</v>
      </c>
    </row>
    <row r="552" spans="1:3" x14ac:dyDescent="0.4">
      <c r="A552" s="1">
        <v>38139</v>
      </c>
      <c r="B552">
        <v>379.55</v>
      </c>
      <c r="C552">
        <v>377.11</v>
      </c>
    </row>
    <row r="553" spans="1:3" x14ac:dyDescent="0.4">
      <c r="A553" s="1">
        <v>38169</v>
      </c>
      <c r="B553">
        <v>377.76</v>
      </c>
      <c r="C553">
        <v>377.01</v>
      </c>
    </row>
    <row r="554" spans="1:3" x14ac:dyDescent="0.4">
      <c r="A554" s="1">
        <v>38200</v>
      </c>
      <c r="B554">
        <v>375.83</v>
      </c>
      <c r="C554">
        <v>377.33</v>
      </c>
    </row>
    <row r="555" spans="1:3" x14ac:dyDescent="0.4">
      <c r="A555" s="1">
        <v>38231</v>
      </c>
      <c r="B555">
        <v>374.05</v>
      </c>
      <c r="C555">
        <v>377.41</v>
      </c>
    </row>
    <row r="556" spans="1:3" x14ac:dyDescent="0.4">
      <c r="A556" s="1">
        <v>38261</v>
      </c>
      <c r="B556">
        <v>374.22</v>
      </c>
      <c r="C556">
        <v>377.69</v>
      </c>
    </row>
    <row r="557" spans="1:3" x14ac:dyDescent="0.4">
      <c r="A557" s="1">
        <v>38292</v>
      </c>
      <c r="B557">
        <v>375.84</v>
      </c>
      <c r="C557">
        <v>378.01</v>
      </c>
    </row>
    <row r="558" spans="1:3" x14ac:dyDescent="0.4">
      <c r="A558" s="1">
        <v>38322</v>
      </c>
      <c r="B558">
        <v>377.44</v>
      </c>
      <c r="C558">
        <v>378.33</v>
      </c>
    </row>
    <row r="559" spans="1:3" x14ac:dyDescent="0.4">
      <c r="A559" s="1">
        <v>38353</v>
      </c>
      <c r="B559">
        <v>378.34</v>
      </c>
      <c r="C559">
        <v>378.29</v>
      </c>
    </row>
    <row r="560" spans="1:3" x14ac:dyDescent="0.4">
      <c r="A560" s="1">
        <v>38384</v>
      </c>
      <c r="B560">
        <v>379.61</v>
      </c>
      <c r="C560">
        <v>378.88</v>
      </c>
    </row>
    <row r="561" spans="1:3" x14ac:dyDescent="0.4">
      <c r="A561" s="1">
        <v>38412</v>
      </c>
      <c r="B561">
        <v>380.08</v>
      </c>
      <c r="C561">
        <v>378.61</v>
      </c>
    </row>
    <row r="562" spans="1:3" x14ac:dyDescent="0.4">
      <c r="A562" s="1">
        <v>38443</v>
      </c>
      <c r="B562">
        <v>382.05</v>
      </c>
      <c r="C562">
        <v>379.37</v>
      </c>
    </row>
    <row r="563" spans="1:3" x14ac:dyDescent="0.4">
      <c r="A563" s="1">
        <v>38473</v>
      </c>
      <c r="B563">
        <v>382.24</v>
      </c>
      <c r="C563">
        <v>378.97</v>
      </c>
    </row>
    <row r="564" spans="1:3" x14ac:dyDescent="0.4">
      <c r="A564" s="1">
        <v>38504</v>
      </c>
      <c r="B564">
        <v>382.08</v>
      </c>
      <c r="C564">
        <v>379.61</v>
      </c>
    </row>
    <row r="565" spans="1:3" x14ac:dyDescent="0.4">
      <c r="A565" s="1">
        <v>38534</v>
      </c>
      <c r="B565">
        <v>380.66</v>
      </c>
      <c r="C565">
        <v>379.88</v>
      </c>
    </row>
    <row r="566" spans="1:3" x14ac:dyDescent="0.4">
      <c r="A566" s="1">
        <v>38565</v>
      </c>
      <c r="B566">
        <v>378.67</v>
      </c>
      <c r="C566">
        <v>380.14</v>
      </c>
    </row>
    <row r="567" spans="1:3" x14ac:dyDescent="0.4">
      <c r="A567" s="1">
        <v>38596</v>
      </c>
      <c r="B567">
        <v>376.42</v>
      </c>
      <c r="C567">
        <v>379.78</v>
      </c>
    </row>
    <row r="568" spans="1:3" x14ac:dyDescent="0.4">
      <c r="A568" s="1">
        <v>38626</v>
      </c>
      <c r="B568">
        <v>376.8</v>
      </c>
      <c r="C568">
        <v>380.28</v>
      </c>
    </row>
    <row r="569" spans="1:3" x14ac:dyDescent="0.4">
      <c r="A569" s="1">
        <v>38657</v>
      </c>
      <c r="B569">
        <v>378.31</v>
      </c>
      <c r="C569">
        <v>380.49</v>
      </c>
    </row>
    <row r="570" spans="1:3" x14ac:dyDescent="0.4">
      <c r="A570" s="1">
        <v>38687</v>
      </c>
      <c r="B570">
        <v>379.96</v>
      </c>
      <c r="C570">
        <v>380.85</v>
      </c>
    </row>
    <row r="571" spans="1:3" x14ac:dyDescent="0.4">
      <c r="A571" s="1">
        <v>38718</v>
      </c>
      <c r="B571">
        <v>381.37</v>
      </c>
      <c r="C571">
        <v>381.32</v>
      </c>
    </row>
    <row r="572" spans="1:3" x14ac:dyDescent="0.4">
      <c r="A572" s="1">
        <v>38749</v>
      </c>
      <c r="B572">
        <v>382.02</v>
      </c>
      <c r="C572">
        <v>381.29</v>
      </c>
    </row>
    <row r="573" spans="1:3" x14ac:dyDescent="0.4">
      <c r="A573" s="1">
        <v>38777</v>
      </c>
      <c r="B573">
        <v>382.56</v>
      </c>
      <c r="C573">
        <v>381.08</v>
      </c>
    </row>
    <row r="574" spans="1:3" x14ac:dyDescent="0.4">
      <c r="A574" s="1">
        <v>38808</v>
      </c>
      <c r="B574">
        <v>384.36</v>
      </c>
      <c r="C574">
        <v>381.68</v>
      </c>
    </row>
    <row r="575" spans="1:3" x14ac:dyDescent="0.4">
      <c r="A575" s="1">
        <v>38838</v>
      </c>
      <c r="B575">
        <v>384.92</v>
      </c>
      <c r="C575">
        <v>381.65</v>
      </c>
    </row>
    <row r="576" spans="1:3" x14ac:dyDescent="0.4">
      <c r="A576" s="1">
        <v>38869</v>
      </c>
      <c r="B576">
        <v>384.03</v>
      </c>
      <c r="C576">
        <v>381.55</v>
      </c>
    </row>
    <row r="577" spans="1:3" x14ac:dyDescent="0.4">
      <c r="A577" s="1">
        <v>38899</v>
      </c>
      <c r="B577">
        <v>382.28</v>
      </c>
      <c r="C577">
        <v>381.49</v>
      </c>
    </row>
    <row r="578" spans="1:3" x14ac:dyDescent="0.4">
      <c r="A578" s="1">
        <v>38930</v>
      </c>
      <c r="B578">
        <v>380.48</v>
      </c>
      <c r="C578">
        <v>381.95</v>
      </c>
    </row>
    <row r="579" spans="1:3" x14ac:dyDescent="0.4">
      <c r="A579" s="1">
        <v>38961</v>
      </c>
      <c r="B579">
        <v>378.81</v>
      </c>
      <c r="C579">
        <v>382.18</v>
      </c>
    </row>
    <row r="580" spans="1:3" x14ac:dyDescent="0.4">
      <c r="A580" s="1">
        <v>38991</v>
      </c>
      <c r="B580">
        <v>379.06</v>
      </c>
      <c r="C580">
        <v>382.55</v>
      </c>
    </row>
    <row r="581" spans="1:3" x14ac:dyDescent="0.4">
      <c r="A581" s="1">
        <v>39022</v>
      </c>
      <c r="B581">
        <v>380.14</v>
      </c>
      <c r="C581">
        <v>382.33</v>
      </c>
    </row>
    <row r="582" spans="1:3" x14ac:dyDescent="0.4">
      <c r="A582" s="1">
        <v>39052</v>
      </c>
      <c r="B582">
        <v>381.66</v>
      </c>
      <c r="C582">
        <v>382.55</v>
      </c>
    </row>
    <row r="583" spans="1:3" x14ac:dyDescent="0.4">
      <c r="A583" s="1">
        <v>39083</v>
      </c>
      <c r="B583">
        <v>382.58</v>
      </c>
      <c r="C583">
        <v>382.53</v>
      </c>
    </row>
    <row r="584" spans="1:3" x14ac:dyDescent="0.4">
      <c r="A584" s="1">
        <v>39114</v>
      </c>
      <c r="B584">
        <v>383.71</v>
      </c>
      <c r="C584">
        <v>382.98</v>
      </c>
    </row>
    <row r="585" spans="1:3" x14ac:dyDescent="0.4">
      <c r="A585" s="1">
        <v>39142</v>
      </c>
      <c r="B585">
        <v>384.34</v>
      </c>
      <c r="C585">
        <v>382.85</v>
      </c>
    </row>
    <row r="586" spans="1:3" x14ac:dyDescent="0.4">
      <c r="A586" s="1">
        <v>39173</v>
      </c>
      <c r="B586">
        <v>386.23</v>
      </c>
      <c r="C586">
        <v>383.53</v>
      </c>
    </row>
    <row r="587" spans="1:3" x14ac:dyDescent="0.4">
      <c r="A587" s="1">
        <v>39203</v>
      </c>
      <c r="B587">
        <v>386.41</v>
      </c>
      <c r="C587">
        <v>383.13</v>
      </c>
    </row>
    <row r="588" spans="1:3" x14ac:dyDescent="0.4">
      <c r="A588" s="1">
        <v>39234</v>
      </c>
      <c r="B588">
        <v>385.87</v>
      </c>
      <c r="C588">
        <v>383.39</v>
      </c>
    </row>
    <row r="589" spans="1:3" x14ac:dyDescent="0.4">
      <c r="A589" s="1">
        <v>39264</v>
      </c>
      <c r="B589">
        <v>384.44</v>
      </c>
      <c r="C589">
        <v>383.65</v>
      </c>
    </row>
    <row r="590" spans="1:3" x14ac:dyDescent="0.4">
      <c r="A590" s="1">
        <v>39295</v>
      </c>
      <c r="B590">
        <v>381.84</v>
      </c>
      <c r="C590">
        <v>383.32</v>
      </c>
    </row>
    <row r="591" spans="1:3" x14ac:dyDescent="0.4">
      <c r="A591" s="1">
        <v>39326</v>
      </c>
      <c r="B591">
        <v>380.86</v>
      </c>
      <c r="C591">
        <v>384.25</v>
      </c>
    </row>
    <row r="592" spans="1:3" x14ac:dyDescent="0.4">
      <c r="A592" s="1">
        <v>39356</v>
      </c>
      <c r="B592">
        <v>380.86</v>
      </c>
      <c r="C592">
        <v>384.36</v>
      </c>
    </row>
    <row r="593" spans="1:3" x14ac:dyDescent="0.4">
      <c r="A593" s="1">
        <v>39387</v>
      </c>
      <c r="B593">
        <v>382.36</v>
      </c>
      <c r="C593">
        <v>384.55</v>
      </c>
    </row>
    <row r="594" spans="1:3" x14ac:dyDescent="0.4">
      <c r="A594" s="1">
        <v>39417</v>
      </c>
      <c r="B594">
        <v>383.61</v>
      </c>
      <c r="C594">
        <v>384.51</v>
      </c>
    </row>
    <row r="595" spans="1:3" x14ac:dyDescent="0.4">
      <c r="A595" s="1">
        <v>39448</v>
      </c>
      <c r="B595">
        <v>385.07</v>
      </c>
      <c r="C595">
        <v>385.02</v>
      </c>
    </row>
    <row r="596" spans="1:3" x14ac:dyDescent="0.4">
      <c r="A596" s="1">
        <v>39479</v>
      </c>
      <c r="B596">
        <v>385.84</v>
      </c>
      <c r="C596">
        <v>385.11</v>
      </c>
    </row>
    <row r="597" spans="1:3" x14ac:dyDescent="0.4">
      <c r="A597" s="1">
        <v>39508</v>
      </c>
      <c r="B597">
        <v>385.83</v>
      </c>
      <c r="C597">
        <v>384.31</v>
      </c>
    </row>
    <row r="598" spans="1:3" x14ac:dyDescent="0.4">
      <c r="A598" s="1">
        <v>39539</v>
      </c>
      <c r="B598">
        <v>386.77</v>
      </c>
      <c r="C598">
        <v>384.04</v>
      </c>
    </row>
    <row r="599" spans="1:3" x14ac:dyDescent="0.4">
      <c r="A599" s="1">
        <v>39569</v>
      </c>
      <c r="B599">
        <v>388.51</v>
      </c>
      <c r="C599">
        <v>385.22</v>
      </c>
    </row>
    <row r="600" spans="1:3" x14ac:dyDescent="0.4">
      <c r="A600" s="1">
        <v>39600</v>
      </c>
      <c r="B600">
        <v>388.05</v>
      </c>
      <c r="C600">
        <v>385.58</v>
      </c>
    </row>
    <row r="601" spans="1:3" x14ac:dyDescent="0.4">
      <c r="A601" s="1">
        <v>39630</v>
      </c>
      <c r="B601">
        <v>386.25</v>
      </c>
      <c r="C601">
        <v>385.49</v>
      </c>
    </row>
    <row r="602" spans="1:3" x14ac:dyDescent="0.4">
      <c r="A602" s="1">
        <v>39661</v>
      </c>
      <c r="B602">
        <v>384.08</v>
      </c>
      <c r="C602">
        <v>385.6</v>
      </c>
    </row>
    <row r="603" spans="1:3" x14ac:dyDescent="0.4">
      <c r="A603" s="1">
        <v>39692</v>
      </c>
      <c r="B603">
        <v>383.09</v>
      </c>
      <c r="C603">
        <v>386.49</v>
      </c>
    </row>
    <row r="604" spans="1:3" x14ac:dyDescent="0.4">
      <c r="A604" s="1">
        <v>39722</v>
      </c>
      <c r="B604">
        <v>382.78</v>
      </c>
      <c r="C604">
        <v>386.28</v>
      </c>
    </row>
    <row r="605" spans="1:3" x14ac:dyDescent="0.4">
      <c r="A605" s="1">
        <v>39753</v>
      </c>
      <c r="B605">
        <v>384.01</v>
      </c>
      <c r="C605">
        <v>386.2</v>
      </c>
    </row>
    <row r="606" spans="1:3" x14ac:dyDescent="0.4">
      <c r="A606" s="1">
        <v>39783</v>
      </c>
      <c r="B606">
        <v>385.11</v>
      </c>
      <c r="C606">
        <v>386.01</v>
      </c>
    </row>
    <row r="607" spans="1:3" x14ac:dyDescent="0.4">
      <c r="A607" s="1">
        <v>39814</v>
      </c>
      <c r="B607">
        <v>386.65</v>
      </c>
      <c r="C607">
        <v>386.61</v>
      </c>
    </row>
    <row r="608" spans="1:3" x14ac:dyDescent="0.4">
      <c r="A608" s="1">
        <v>39845</v>
      </c>
      <c r="B608">
        <v>387.12</v>
      </c>
      <c r="C608">
        <v>386.39</v>
      </c>
    </row>
    <row r="609" spans="1:3" x14ac:dyDescent="0.4">
      <c r="A609" s="1">
        <v>39873</v>
      </c>
      <c r="B609">
        <v>388.52</v>
      </c>
      <c r="C609">
        <v>387.02</v>
      </c>
    </row>
    <row r="610" spans="1:3" x14ac:dyDescent="0.4">
      <c r="A610" s="1">
        <v>39904</v>
      </c>
      <c r="B610">
        <v>389.57</v>
      </c>
      <c r="C610">
        <v>386.86</v>
      </c>
    </row>
    <row r="611" spans="1:3" x14ac:dyDescent="0.4">
      <c r="A611" s="1">
        <v>39934</v>
      </c>
      <c r="B611">
        <v>390.17</v>
      </c>
      <c r="C611">
        <v>386.86</v>
      </c>
    </row>
    <row r="612" spans="1:3" x14ac:dyDescent="0.4">
      <c r="A612" s="1">
        <v>39965</v>
      </c>
      <c r="B612">
        <v>389.62</v>
      </c>
      <c r="C612">
        <v>387.12</v>
      </c>
    </row>
    <row r="613" spans="1:3" x14ac:dyDescent="0.4">
      <c r="A613" s="1">
        <v>39995</v>
      </c>
      <c r="B613">
        <v>388.07</v>
      </c>
      <c r="C613">
        <v>387.27</v>
      </c>
    </row>
    <row r="614" spans="1:3" x14ac:dyDescent="0.4">
      <c r="A614" s="1">
        <v>40026</v>
      </c>
      <c r="B614">
        <v>386.08</v>
      </c>
      <c r="C614">
        <v>387.57</v>
      </c>
    </row>
    <row r="615" spans="1:3" x14ac:dyDescent="0.4">
      <c r="A615" s="1">
        <v>40057</v>
      </c>
      <c r="B615">
        <v>384.65</v>
      </c>
      <c r="C615">
        <v>388.06</v>
      </c>
    </row>
    <row r="616" spans="1:3" x14ac:dyDescent="0.4">
      <c r="A616" s="1">
        <v>40087</v>
      </c>
      <c r="B616">
        <v>384.33</v>
      </c>
      <c r="C616">
        <v>387.85</v>
      </c>
    </row>
    <row r="617" spans="1:3" x14ac:dyDescent="0.4">
      <c r="A617" s="1">
        <v>40118</v>
      </c>
      <c r="B617">
        <v>386.05</v>
      </c>
      <c r="C617">
        <v>388.25</v>
      </c>
    </row>
    <row r="618" spans="1:3" x14ac:dyDescent="0.4">
      <c r="A618" s="1">
        <v>40148</v>
      </c>
      <c r="B618">
        <v>387.49</v>
      </c>
      <c r="C618">
        <v>388.39</v>
      </c>
    </row>
    <row r="619" spans="1:3" x14ac:dyDescent="0.4">
      <c r="A619" s="1">
        <v>40179</v>
      </c>
      <c r="B619">
        <v>388.55</v>
      </c>
      <c r="C619">
        <v>388.5</v>
      </c>
    </row>
    <row r="620" spans="1:3" x14ac:dyDescent="0.4">
      <c r="A620" s="1">
        <v>40210</v>
      </c>
      <c r="B620">
        <v>390.08</v>
      </c>
      <c r="C620">
        <v>389.34</v>
      </c>
    </row>
    <row r="621" spans="1:3" x14ac:dyDescent="0.4">
      <c r="A621" s="1">
        <v>40238</v>
      </c>
      <c r="B621">
        <v>391.01</v>
      </c>
      <c r="C621">
        <v>389.51</v>
      </c>
    </row>
    <row r="622" spans="1:3" x14ac:dyDescent="0.4">
      <c r="A622" s="1">
        <v>40269</v>
      </c>
      <c r="B622">
        <v>392.38</v>
      </c>
      <c r="C622">
        <v>389.66</v>
      </c>
    </row>
    <row r="623" spans="1:3" x14ac:dyDescent="0.4">
      <c r="A623" s="1">
        <v>40299</v>
      </c>
      <c r="B623">
        <v>393.22</v>
      </c>
      <c r="C623">
        <v>389.9</v>
      </c>
    </row>
    <row r="624" spans="1:3" x14ac:dyDescent="0.4">
      <c r="A624" s="1">
        <v>40330</v>
      </c>
      <c r="B624">
        <v>392.24</v>
      </c>
      <c r="C624">
        <v>389.73</v>
      </c>
    </row>
    <row r="625" spans="1:3" x14ac:dyDescent="0.4">
      <c r="A625" s="1">
        <v>40360</v>
      </c>
      <c r="B625">
        <v>390.33</v>
      </c>
      <c r="C625">
        <v>389.53</v>
      </c>
    </row>
    <row r="626" spans="1:3" x14ac:dyDescent="0.4">
      <c r="A626" s="1">
        <v>40391</v>
      </c>
      <c r="B626">
        <v>388.52</v>
      </c>
      <c r="C626">
        <v>390.01</v>
      </c>
    </row>
    <row r="627" spans="1:3" x14ac:dyDescent="0.4">
      <c r="A627" s="1">
        <v>40422</v>
      </c>
      <c r="B627">
        <v>386.84</v>
      </c>
      <c r="C627">
        <v>390.25</v>
      </c>
    </row>
    <row r="628" spans="1:3" x14ac:dyDescent="0.4">
      <c r="A628" s="1">
        <v>40452</v>
      </c>
      <c r="B628">
        <v>387.16</v>
      </c>
      <c r="C628">
        <v>390.7</v>
      </c>
    </row>
    <row r="629" spans="1:3" x14ac:dyDescent="0.4">
      <c r="A629" s="1">
        <v>40483</v>
      </c>
      <c r="B629">
        <v>388.67</v>
      </c>
      <c r="C629">
        <v>390.88</v>
      </c>
    </row>
    <row r="630" spans="1:3" x14ac:dyDescent="0.4">
      <c r="A630" s="1">
        <v>40513</v>
      </c>
      <c r="B630">
        <v>389.81</v>
      </c>
      <c r="C630">
        <v>390.71</v>
      </c>
    </row>
    <row r="631" spans="1:3" x14ac:dyDescent="0.4">
      <c r="A631" s="1">
        <v>40544</v>
      </c>
      <c r="B631">
        <v>391.3</v>
      </c>
      <c r="C631">
        <v>391.25</v>
      </c>
    </row>
    <row r="632" spans="1:3" x14ac:dyDescent="0.4">
      <c r="A632" s="1">
        <v>40575</v>
      </c>
      <c r="B632">
        <v>391.92</v>
      </c>
      <c r="C632">
        <v>391.18</v>
      </c>
    </row>
    <row r="633" spans="1:3" x14ac:dyDescent="0.4">
      <c r="A633" s="1">
        <v>40603</v>
      </c>
      <c r="B633">
        <v>392.45</v>
      </c>
      <c r="C633">
        <v>390.95</v>
      </c>
    </row>
    <row r="634" spans="1:3" x14ac:dyDescent="0.4">
      <c r="A634" s="1">
        <v>40634</v>
      </c>
      <c r="B634">
        <v>393.37</v>
      </c>
      <c r="C634">
        <v>390.64</v>
      </c>
    </row>
    <row r="635" spans="1:3" x14ac:dyDescent="0.4">
      <c r="A635" s="1">
        <v>40664</v>
      </c>
      <c r="B635">
        <v>394.28</v>
      </c>
      <c r="C635">
        <v>390.96</v>
      </c>
    </row>
    <row r="636" spans="1:3" x14ac:dyDescent="0.4">
      <c r="A636" s="1">
        <v>40695</v>
      </c>
      <c r="B636">
        <v>393.69</v>
      </c>
      <c r="C636">
        <v>391.18</v>
      </c>
    </row>
    <row r="637" spans="1:3" x14ac:dyDescent="0.4">
      <c r="A637" s="1">
        <v>40725</v>
      </c>
      <c r="B637">
        <v>392.59</v>
      </c>
      <c r="C637">
        <v>391.79</v>
      </c>
    </row>
    <row r="638" spans="1:3" x14ac:dyDescent="0.4">
      <c r="A638" s="1">
        <v>40756</v>
      </c>
      <c r="B638">
        <v>390.21</v>
      </c>
      <c r="C638">
        <v>391.71</v>
      </c>
    </row>
    <row r="639" spans="1:3" x14ac:dyDescent="0.4">
      <c r="A639" s="1">
        <v>40787</v>
      </c>
      <c r="B639">
        <v>389</v>
      </c>
      <c r="C639">
        <v>392.43</v>
      </c>
    </row>
    <row r="640" spans="1:3" x14ac:dyDescent="0.4">
      <c r="A640" s="1">
        <v>40817</v>
      </c>
      <c r="B640">
        <v>388.93</v>
      </c>
      <c r="C640">
        <v>392.48</v>
      </c>
    </row>
    <row r="641" spans="1:3" x14ac:dyDescent="0.4">
      <c r="A641" s="1">
        <v>40848</v>
      </c>
      <c r="B641">
        <v>390.24</v>
      </c>
      <c r="C641">
        <v>392.46</v>
      </c>
    </row>
    <row r="642" spans="1:3" x14ac:dyDescent="0.4">
      <c r="A642" s="1">
        <v>40878</v>
      </c>
      <c r="B642">
        <v>391.8</v>
      </c>
      <c r="C642">
        <v>392.71</v>
      </c>
    </row>
    <row r="643" spans="1:3" x14ac:dyDescent="0.4">
      <c r="A643" s="1">
        <v>40909</v>
      </c>
      <c r="B643">
        <v>393.07</v>
      </c>
      <c r="C643">
        <v>393.02</v>
      </c>
    </row>
    <row r="644" spans="1:3" x14ac:dyDescent="0.4">
      <c r="A644" s="1">
        <v>40940</v>
      </c>
      <c r="B644">
        <v>393.35</v>
      </c>
      <c r="C644">
        <v>392.61</v>
      </c>
    </row>
    <row r="645" spans="1:3" x14ac:dyDescent="0.4">
      <c r="A645" s="1">
        <v>40969</v>
      </c>
      <c r="B645">
        <v>394.36</v>
      </c>
      <c r="C645">
        <v>392.82</v>
      </c>
    </row>
    <row r="646" spans="1:3" x14ac:dyDescent="0.4">
      <c r="A646" s="1">
        <v>41000</v>
      </c>
      <c r="B646">
        <v>396.43</v>
      </c>
      <c r="C646">
        <v>393.66</v>
      </c>
    </row>
    <row r="647" spans="1:3" x14ac:dyDescent="0.4">
      <c r="A647" s="1">
        <v>41030</v>
      </c>
      <c r="B647">
        <v>396.87</v>
      </c>
      <c r="C647">
        <v>393.53</v>
      </c>
    </row>
    <row r="648" spans="1:3" x14ac:dyDescent="0.4">
      <c r="A648" s="1">
        <v>41061</v>
      </c>
      <c r="B648">
        <v>395.88</v>
      </c>
      <c r="C648">
        <v>393.38</v>
      </c>
    </row>
    <row r="649" spans="1:3" x14ac:dyDescent="0.4">
      <c r="A649" s="1">
        <v>41091</v>
      </c>
      <c r="B649">
        <v>394.52</v>
      </c>
      <c r="C649">
        <v>393.75</v>
      </c>
    </row>
    <row r="650" spans="1:3" x14ac:dyDescent="0.4">
      <c r="A650" s="1">
        <v>41122</v>
      </c>
      <c r="B650">
        <v>392.54</v>
      </c>
      <c r="C650">
        <v>394.07</v>
      </c>
    </row>
    <row r="651" spans="1:3" x14ac:dyDescent="0.4">
      <c r="A651" s="1">
        <v>41153</v>
      </c>
      <c r="B651">
        <v>391.13</v>
      </c>
      <c r="C651">
        <v>394.57</v>
      </c>
    </row>
    <row r="652" spans="1:3" x14ac:dyDescent="0.4">
      <c r="A652" s="1">
        <v>41183</v>
      </c>
      <c r="B652">
        <v>391.01</v>
      </c>
      <c r="C652">
        <v>394.56</v>
      </c>
    </row>
    <row r="653" spans="1:3" x14ac:dyDescent="0.4">
      <c r="A653" s="1">
        <v>41214</v>
      </c>
      <c r="B653">
        <v>392.95</v>
      </c>
      <c r="C653">
        <v>395.17</v>
      </c>
    </row>
    <row r="654" spans="1:3" x14ac:dyDescent="0.4">
      <c r="A654" s="1">
        <v>41244</v>
      </c>
      <c r="B654">
        <v>394.33</v>
      </c>
      <c r="C654">
        <v>395.24</v>
      </c>
    </row>
    <row r="655" spans="1:3" x14ac:dyDescent="0.4">
      <c r="A655" s="1">
        <v>41275</v>
      </c>
      <c r="B655">
        <v>395.61</v>
      </c>
      <c r="C655">
        <v>395.55</v>
      </c>
    </row>
    <row r="656" spans="1:3" x14ac:dyDescent="0.4">
      <c r="A656" s="1">
        <v>41306</v>
      </c>
      <c r="B656">
        <v>396.85</v>
      </c>
      <c r="C656">
        <v>396.1</v>
      </c>
    </row>
    <row r="657" spans="1:3" x14ac:dyDescent="0.4">
      <c r="A657" s="1">
        <v>41334</v>
      </c>
      <c r="B657">
        <v>397.26</v>
      </c>
      <c r="C657">
        <v>395.74</v>
      </c>
    </row>
    <row r="658" spans="1:3" x14ac:dyDescent="0.4">
      <c r="A658" s="1">
        <v>41365</v>
      </c>
      <c r="B658">
        <v>398.35</v>
      </c>
      <c r="C658">
        <v>395.6</v>
      </c>
    </row>
    <row r="659" spans="1:3" x14ac:dyDescent="0.4">
      <c r="A659" s="1">
        <v>41395</v>
      </c>
      <c r="B659">
        <v>399.98</v>
      </c>
      <c r="C659">
        <v>396.63</v>
      </c>
    </row>
    <row r="660" spans="1:3" x14ac:dyDescent="0.4">
      <c r="A660" s="1">
        <v>41426</v>
      </c>
      <c r="B660">
        <v>398.87</v>
      </c>
      <c r="C660">
        <v>396.34</v>
      </c>
    </row>
    <row r="661" spans="1:3" x14ac:dyDescent="0.4">
      <c r="A661" s="1">
        <v>41456</v>
      </c>
      <c r="B661">
        <v>397.37</v>
      </c>
      <c r="C661">
        <v>396.56</v>
      </c>
    </row>
    <row r="662" spans="1:3" x14ac:dyDescent="0.4">
      <c r="A662" s="1">
        <v>41487</v>
      </c>
      <c r="B662">
        <v>395.41</v>
      </c>
      <c r="C662">
        <v>396.92</v>
      </c>
    </row>
    <row r="663" spans="1:3" x14ac:dyDescent="0.4">
      <c r="A663" s="1">
        <v>41518</v>
      </c>
      <c r="B663">
        <v>393.39</v>
      </c>
      <c r="C663">
        <v>396.84</v>
      </c>
    </row>
    <row r="664" spans="1:3" x14ac:dyDescent="0.4">
      <c r="A664" s="1">
        <v>41548</v>
      </c>
      <c r="B664">
        <v>393.7</v>
      </c>
      <c r="C664">
        <v>397.26</v>
      </c>
    </row>
    <row r="665" spans="1:3" x14ac:dyDescent="0.4">
      <c r="A665" s="1">
        <v>41579</v>
      </c>
      <c r="B665">
        <v>395.19</v>
      </c>
      <c r="C665">
        <v>397.43</v>
      </c>
    </row>
    <row r="666" spans="1:3" x14ac:dyDescent="0.4">
      <c r="A666" s="1">
        <v>41609</v>
      </c>
      <c r="B666">
        <v>396.82</v>
      </c>
      <c r="C666">
        <v>397.73</v>
      </c>
    </row>
    <row r="667" spans="1:3" x14ac:dyDescent="0.4">
      <c r="A667" s="1">
        <v>41640</v>
      </c>
      <c r="B667">
        <v>397.93</v>
      </c>
      <c r="C667">
        <v>397.87</v>
      </c>
    </row>
    <row r="668" spans="1:3" x14ac:dyDescent="0.4">
      <c r="A668" s="1">
        <v>41671</v>
      </c>
      <c r="B668">
        <v>398.1</v>
      </c>
      <c r="C668">
        <v>397.35</v>
      </c>
    </row>
    <row r="669" spans="1:3" x14ac:dyDescent="0.4">
      <c r="A669" s="1">
        <v>41699</v>
      </c>
      <c r="B669">
        <v>399.47</v>
      </c>
      <c r="C669">
        <v>397.95</v>
      </c>
    </row>
    <row r="670" spans="1:3" x14ac:dyDescent="0.4">
      <c r="A670" s="1">
        <v>41730</v>
      </c>
      <c r="B670">
        <v>401.33</v>
      </c>
      <c r="C670">
        <v>398.57</v>
      </c>
    </row>
    <row r="671" spans="1:3" x14ac:dyDescent="0.4">
      <c r="A671" s="1">
        <v>41760</v>
      </c>
      <c r="B671">
        <v>401.88</v>
      </c>
      <c r="C671">
        <v>398.52</v>
      </c>
    </row>
    <row r="672" spans="1:3" x14ac:dyDescent="0.4">
      <c r="A672" s="1">
        <v>41791</v>
      </c>
      <c r="B672">
        <v>401.31</v>
      </c>
      <c r="C672">
        <v>398.77</v>
      </c>
    </row>
    <row r="673" spans="1:3" x14ac:dyDescent="0.4">
      <c r="A673" s="1">
        <v>41821</v>
      </c>
      <c r="B673">
        <v>399.07</v>
      </c>
      <c r="C673">
        <v>398.26</v>
      </c>
    </row>
    <row r="674" spans="1:3" x14ac:dyDescent="0.4">
      <c r="A674" s="1">
        <v>41852</v>
      </c>
      <c r="B674">
        <v>397.21</v>
      </c>
      <c r="C674">
        <v>398.72</v>
      </c>
    </row>
    <row r="675" spans="1:3" x14ac:dyDescent="0.4">
      <c r="A675" s="1">
        <v>41883</v>
      </c>
      <c r="B675">
        <v>395.4</v>
      </c>
      <c r="C675">
        <v>398.86</v>
      </c>
    </row>
    <row r="676" spans="1:3" x14ac:dyDescent="0.4">
      <c r="A676" s="1">
        <v>41913</v>
      </c>
      <c r="B676">
        <v>395.65</v>
      </c>
      <c r="C676">
        <v>399.23</v>
      </c>
    </row>
    <row r="677" spans="1:3" x14ac:dyDescent="0.4">
      <c r="A677" s="1">
        <v>41944</v>
      </c>
      <c r="B677">
        <v>397.23</v>
      </c>
      <c r="C677">
        <v>399.46</v>
      </c>
    </row>
    <row r="678" spans="1:3" x14ac:dyDescent="0.4">
      <c r="A678" s="1">
        <v>41974</v>
      </c>
      <c r="B678">
        <v>398.79</v>
      </c>
      <c r="C678">
        <v>399.7</v>
      </c>
    </row>
    <row r="679" spans="1:3" x14ac:dyDescent="0.4">
      <c r="A679" s="1">
        <v>42005</v>
      </c>
      <c r="B679">
        <v>399.85</v>
      </c>
      <c r="C679">
        <v>399.8</v>
      </c>
    </row>
    <row r="680" spans="1:3" x14ac:dyDescent="0.4">
      <c r="A680" s="1">
        <v>42036</v>
      </c>
      <c r="B680">
        <v>400.31</v>
      </c>
      <c r="C680">
        <v>399.56</v>
      </c>
    </row>
    <row r="681" spans="1:3" x14ac:dyDescent="0.4">
      <c r="A681" s="1">
        <v>42064</v>
      </c>
      <c r="B681">
        <v>401.51</v>
      </c>
      <c r="C681">
        <v>399.99</v>
      </c>
    </row>
    <row r="682" spans="1:3" x14ac:dyDescent="0.4">
      <c r="A682" s="1">
        <v>42095</v>
      </c>
      <c r="B682">
        <v>403.45</v>
      </c>
      <c r="C682">
        <v>400.69</v>
      </c>
    </row>
    <row r="683" spans="1:3" x14ac:dyDescent="0.4">
      <c r="A683" s="1">
        <v>42125</v>
      </c>
      <c r="B683">
        <v>404.1</v>
      </c>
      <c r="C683">
        <v>400.74</v>
      </c>
    </row>
    <row r="684" spans="1:3" x14ac:dyDescent="0.4">
      <c r="A684" s="1">
        <v>42156</v>
      </c>
      <c r="B684">
        <v>402.88</v>
      </c>
      <c r="C684">
        <v>400.33</v>
      </c>
    </row>
    <row r="685" spans="1:3" x14ac:dyDescent="0.4">
      <c r="A685" s="1">
        <v>42186</v>
      </c>
      <c r="B685">
        <v>401.61</v>
      </c>
      <c r="C685">
        <v>400.8</v>
      </c>
    </row>
    <row r="686" spans="1:3" x14ac:dyDescent="0.4">
      <c r="A686" s="1">
        <v>42217</v>
      </c>
      <c r="B686">
        <v>399</v>
      </c>
      <c r="C686">
        <v>400.51</v>
      </c>
    </row>
    <row r="687" spans="1:3" x14ac:dyDescent="0.4">
      <c r="A687" s="1">
        <v>42248</v>
      </c>
      <c r="B687">
        <v>397.5</v>
      </c>
      <c r="C687">
        <v>400.96</v>
      </c>
    </row>
    <row r="688" spans="1:3" x14ac:dyDescent="0.4">
      <c r="A688" s="1">
        <v>42278</v>
      </c>
      <c r="B688">
        <v>398.28</v>
      </c>
      <c r="C688">
        <v>401.87</v>
      </c>
    </row>
    <row r="689" spans="1:3" x14ac:dyDescent="0.4">
      <c r="A689" s="1">
        <v>42309</v>
      </c>
      <c r="B689">
        <v>400.24</v>
      </c>
      <c r="C689">
        <v>402.48</v>
      </c>
    </row>
    <row r="690" spans="1:3" x14ac:dyDescent="0.4">
      <c r="A690" s="1">
        <v>42339</v>
      </c>
      <c r="B690">
        <v>401.89</v>
      </c>
      <c r="C690">
        <v>402.81</v>
      </c>
    </row>
    <row r="691" spans="1:3" x14ac:dyDescent="0.4">
      <c r="A691" s="1">
        <v>42370</v>
      </c>
      <c r="B691">
        <v>402.65</v>
      </c>
      <c r="C691">
        <v>402.6</v>
      </c>
    </row>
    <row r="692" spans="1:3" x14ac:dyDescent="0.4">
      <c r="A692" s="1">
        <v>42401</v>
      </c>
      <c r="B692">
        <v>404.16</v>
      </c>
      <c r="C692">
        <v>403.41</v>
      </c>
    </row>
    <row r="693" spans="1:3" x14ac:dyDescent="0.4">
      <c r="A693" s="1">
        <v>42430</v>
      </c>
      <c r="B693">
        <v>404.85</v>
      </c>
      <c r="C693">
        <v>403.3</v>
      </c>
    </row>
    <row r="694" spans="1:3" x14ac:dyDescent="0.4">
      <c r="A694" s="1">
        <v>42461</v>
      </c>
      <c r="B694">
        <v>407.57</v>
      </c>
      <c r="C694">
        <v>404.77</v>
      </c>
    </row>
    <row r="695" spans="1:3" x14ac:dyDescent="0.4">
      <c r="A695" s="1">
        <v>42491</v>
      </c>
      <c r="B695">
        <v>407.66</v>
      </c>
      <c r="C695">
        <v>404.28</v>
      </c>
    </row>
    <row r="696" spans="1:3" x14ac:dyDescent="0.4">
      <c r="A696" s="1">
        <v>42522</v>
      </c>
      <c r="B696">
        <v>407</v>
      </c>
      <c r="C696">
        <v>404.48</v>
      </c>
    </row>
    <row r="697" spans="1:3" x14ac:dyDescent="0.4">
      <c r="A697" s="1">
        <v>42552</v>
      </c>
      <c r="B697">
        <v>404.5</v>
      </c>
      <c r="C697">
        <v>403.72</v>
      </c>
    </row>
    <row r="698" spans="1:3" x14ac:dyDescent="0.4">
      <c r="A698" s="1">
        <v>42583</v>
      </c>
      <c r="B698">
        <v>402.24</v>
      </c>
      <c r="C698">
        <v>403.79</v>
      </c>
    </row>
    <row r="699" spans="1:3" x14ac:dyDescent="0.4">
      <c r="A699" s="1">
        <v>42614</v>
      </c>
      <c r="B699">
        <v>401.01</v>
      </c>
      <c r="C699">
        <v>404.5</v>
      </c>
    </row>
    <row r="700" spans="1:3" x14ac:dyDescent="0.4">
      <c r="A700" s="1">
        <v>42644</v>
      </c>
      <c r="B700">
        <v>401.5</v>
      </c>
      <c r="C700">
        <v>405.09</v>
      </c>
    </row>
    <row r="701" spans="1:3" x14ac:dyDescent="0.4">
      <c r="A701" s="1">
        <v>42675</v>
      </c>
      <c r="B701">
        <v>403.64</v>
      </c>
      <c r="C701">
        <v>405.88</v>
      </c>
    </row>
    <row r="702" spans="1:3" x14ac:dyDescent="0.4">
      <c r="A702" s="1">
        <v>42705</v>
      </c>
      <c r="B702">
        <v>404.55</v>
      </c>
      <c r="C702">
        <v>405.47</v>
      </c>
    </row>
    <row r="703" spans="1:3" x14ac:dyDescent="0.4">
      <c r="A703" s="1">
        <v>42736</v>
      </c>
      <c r="B703">
        <v>406.07</v>
      </c>
      <c r="C703">
        <v>406.02</v>
      </c>
    </row>
    <row r="704" spans="1:3" x14ac:dyDescent="0.4">
      <c r="A704" s="1">
        <v>42767</v>
      </c>
      <c r="B704">
        <v>406.64</v>
      </c>
      <c r="C704">
        <v>405.89</v>
      </c>
    </row>
    <row r="705" spans="1:3" x14ac:dyDescent="0.4">
      <c r="A705" s="1">
        <v>42795</v>
      </c>
      <c r="B705">
        <v>407.05</v>
      </c>
      <c r="C705">
        <v>405.52</v>
      </c>
    </row>
    <row r="706" spans="1:3" x14ac:dyDescent="0.4">
      <c r="A706" s="1">
        <v>42826</v>
      </c>
      <c r="B706">
        <v>408.95</v>
      </c>
      <c r="C706">
        <v>406.17</v>
      </c>
    </row>
    <row r="707" spans="1:3" x14ac:dyDescent="0.4">
      <c r="A707" s="1">
        <v>42856</v>
      </c>
      <c r="B707">
        <v>409.91</v>
      </c>
      <c r="C707">
        <v>406.52</v>
      </c>
    </row>
    <row r="708" spans="1:3" x14ac:dyDescent="0.4">
      <c r="A708" s="1">
        <v>42887</v>
      </c>
      <c r="B708">
        <v>409.12</v>
      </c>
      <c r="C708">
        <v>406.56</v>
      </c>
    </row>
    <row r="709" spans="1:3" x14ac:dyDescent="0.4">
      <c r="A709" s="1">
        <v>42917</v>
      </c>
      <c r="B709">
        <v>407.2</v>
      </c>
      <c r="C709">
        <v>406.38</v>
      </c>
    </row>
    <row r="710" spans="1:3" x14ac:dyDescent="0.4">
      <c r="A710" s="1">
        <v>42948</v>
      </c>
      <c r="B710">
        <v>405.24</v>
      </c>
      <c r="C710">
        <v>406.76</v>
      </c>
    </row>
    <row r="711" spans="1:3" x14ac:dyDescent="0.4">
      <c r="A711" s="1">
        <v>42979</v>
      </c>
      <c r="B711">
        <v>403.27</v>
      </c>
      <c r="C711">
        <v>406.75</v>
      </c>
    </row>
    <row r="712" spans="1:3" x14ac:dyDescent="0.4">
      <c r="A712" s="1">
        <v>43009</v>
      </c>
      <c r="B712">
        <v>403.64</v>
      </c>
      <c r="C712">
        <v>407.25</v>
      </c>
    </row>
    <row r="713" spans="1:3" x14ac:dyDescent="0.4">
      <c r="A713" s="1">
        <v>43040</v>
      </c>
      <c r="B713">
        <v>405.17</v>
      </c>
      <c r="C713">
        <v>407.43</v>
      </c>
    </row>
    <row r="714" spans="1:3" x14ac:dyDescent="0.4">
      <c r="A714" s="1">
        <v>43070</v>
      </c>
      <c r="B714">
        <v>406.75</v>
      </c>
      <c r="C714">
        <v>407.68</v>
      </c>
    </row>
    <row r="715" spans="1:3" x14ac:dyDescent="0.4">
      <c r="A715" s="1">
        <v>43101</v>
      </c>
      <c r="B715">
        <v>408.05</v>
      </c>
      <c r="C715">
        <v>408</v>
      </c>
    </row>
    <row r="716" spans="1:3" x14ac:dyDescent="0.4">
      <c r="A716" s="1">
        <v>43132</v>
      </c>
      <c r="B716">
        <v>408.34</v>
      </c>
      <c r="C716">
        <v>407.59</v>
      </c>
    </row>
    <row r="717" spans="1:3" x14ac:dyDescent="0.4">
      <c r="A717" s="1">
        <v>43160</v>
      </c>
      <c r="B717">
        <v>409.25</v>
      </c>
      <c r="C717">
        <v>407.72</v>
      </c>
    </row>
    <row r="718" spans="1:3" x14ac:dyDescent="0.4">
      <c r="A718" s="1">
        <v>43191</v>
      </c>
      <c r="B718">
        <v>410.3</v>
      </c>
      <c r="C718">
        <v>407.52</v>
      </c>
    </row>
    <row r="719" spans="1:3" x14ac:dyDescent="0.4">
      <c r="A719" s="1">
        <v>43221</v>
      </c>
      <c r="B719">
        <v>411.3</v>
      </c>
      <c r="C719">
        <v>407.91</v>
      </c>
    </row>
    <row r="720" spans="1:3" x14ac:dyDescent="0.4">
      <c r="A720" s="1">
        <v>43252</v>
      </c>
      <c r="B720">
        <v>410.88</v>
      </c>
      <c r="C720">
        <v>408.31</v>
      </c>
    </row>
    <row r="721" spans="1:3" x14ac:dyDescent="0.4">
      <c r="A721" s="1">
        <v>43282</v>
      </c>
      <c r="B721">
        <v>408.9</v>
      </c>
      <c r="C721">
        <v>408.08</v>
      </c>
    </row>
    <row r="722" spans="1:3" x14ac:dyDescent="0.4">
      <c r="A722" s="1">
        <v>43313</v>
      </c>
      <c r="B722">
        <v>407.1</v>
      </c>
      <c r="C722">
        <v>408.63</v>
      </c>
    </row>
    <row r="723" spans="1:3" x14ac:dyDescent="0.4">
      <c r="A723" s="1">
        <v>43344</v>
      </c>
      <c r="B723">
        <v>405.59</v>
      </c>
      <c r="C723">
        <v>409.08</v>
      </c>
    </row>
    <row r="724" spans="1:3" x14ac:dyDescent="0.4">
      <c r="A724" s="1">
        <v>43374</v>
      </c>
      <c r="B724">
        <v>405.99</v>
      </c>
      <c r="C724">
        <v>409.61</v>
      </c>
    </row>
    <row r="725" spans="1:3" x14ac:dyDescent="0.4">
      <c r="A725" s="1">
        <v>43405</v>
      </c>
      <c r="B725">
        <v>408.12</v>
      </c>
      <c r="C725">
        <v>410.38</v>
      </c>
    </row>
    <row r="726" spans="1:3" x14ac:dyDescent="0.4">
      <c r="A726" s="1">
        <v>43435</v>
      </c>
      <c r="B726">
        <v>409.23</v>
      </c>
      <c r="C726">
        <v>410.15</v>
      </c>
    </row>
    <row r="727" spans="1:3" x14ac:dyDescent="0.4">
      <c r="A727" s="1">
        <v>43466</v>
      </c>
      <c r="B727">
        <v>410.92</v>
      </c>
      <c r="C727">
        <v>410.87</v>
      </c>
    </row>
    <row r="728" spans="1:3" x14ac:dyDescent="0.4">
      <c r="A728" s="1">
        <v>43497</v>
      </c>
      <c r="B728">
        <v>411.66</v>
      </c>
      <c r="C728">
        <v>410.9</v>
      </c>
    </row>
    <row r="729" spans="1:3" x14ac:dyDescent="0.4">
      <c r="A729" s="1">
        <v>43525</v>
      </c>
      <c r="B729">
        <v>412</v>
      </c>
      <c r="C729">
        <v>410.46</v>
      </c>
    </row>
    <row r="730" spans="1:3" x14ac:dyDescent="0.4">
      <c r="A730" s="1">
        <v>43556</v>
      </c>
      <c r="B730">
        <v>413.52</v>
      </c>
      <c r="C730">
        <v>410.72</v>
      </c>
    </row>
    <row r="731" spans="1:3" x14ac:dyDescent="0.4">
      <c r="A731" s="1">
        <v>43586</v>
      </c>
      <c r="B731">
        <v>414.83</v>
      </c>
      <c r="C731">
        <v>411.42</v>
      </c>
    </row>
    <row r="732" spans="1:3" x14ac:dyDescent="0.4">
      <c r="A732" s="1">
        <v>43617</v>
      </c>
      <c r="B732">
        <v>413.96</v>
      </c>
      <c r="C732">
        <v>411.38</v>
      </c>
    </row>
    <row r="733" spans="1:3" x14ac:dyDescent="0.4">
      <c r="A733" s="1">
        <v>43647</v>
      </c>
      <c r="B733">
        <v>411.85</v>
      </c>
      <c r="C733">
        <v>411.03</v>
      </c>
    </row>
    <row r="734" spans="1:3" x14ac:dyDescent="0.4">
      <c r="A734" s="1">
        <v>43678</v>
      </c>
      <c r="B734">
        <v>410.08</v>
      </c>
      <c r="C734">
        <v>411.62</v>
      </c>
    </row>
    <row r="735" spans="1:3" x14ac:dyDescent="0.4">
      <c r="A735" s="1">
        <v>43709</v>
      </c>
      <c r="B735">
        <v>408.55</v>
      </c>
      <c r="C735">
        <v>412.06</v>
      </c>
    </row>
    <row r="736" spans="1:3" x14ac:dyDescent="0.4">
      <c r="A736" s="1">
        <v>43739</v>
      </c>
      <c r="B736">
        <v>408.43</v>
      </c>
      <c r="C736">
        <v>412.06</v>
      </c>
    </row>
    <row r="737" spans="1:3" x14ac:dyDescent="0.4">
      <c r="A737" s="1">
        <v>43770</v>
      </c>
      <c r="B737">
        <v>410.29</v>
      </c>
      <c r="C737">
        <v>412.56</v>
      </c>
    </row>
    <row r="738" spans="1:3" x14ac:dyDescent="0.4">
      <c r="A738" s="1">
        <v>43800</v>
      </c>
      <c r="B738">
        <v>411.85</v>
      </c>
      <c r="C738">
        <v>412.78</v>
      </c>
    </row>
    <row r="739" spans="1:3" x14ac:dyDescent="0.4">
      <c r="A739" s="1">
        <v>43831</v>
      </c>
      <c r="B739">
        <v>413.37</v>
      </c>
      <c r="C739">
        <v>413.32</v>
      </c>
    </row>
    <row r="740" spans="1:3" x14ac:dyDescent="0.4">
      <c r="A740" s="1">
        <v>43862</v>
      </c>
      <c r="B740">
        <v>414.09</v>
      </c>
      <c r="C740">
        <v>413.33</v>
      </c>
    </row>
    <row r="741" spans="1:3" x14ac:dyDescent="0.4">
      <c r="A741" s="1">
        <v>43891</v>
      </c>
      <c r="B741">
        <v>414.51</v>
      </c>
      <c r="C741">
        <v>412.94</v>
      </c>
    </row>
    <row r="742" spans="1:3" x14ac:dyDescent="0.4">
      <c r="A742" s="1">
        <v>43922</v>
      </c>
      <c r="B742">
        <v>416.18</v>
      </c>
      <c r="C742">
        <v>413.35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D6106-6282-4FD3-B770-00918416C7B0}">
  <dimension ref="A1:M955"/>
  <sheetViews>
    <sheetView workbookViewId="0"/>
  </sheetViews>
  <sheetFormatPr defaultRowHeight="18.75" x14ac:dyDescent="0.4"/>
  <cols>
    <col min="1" max="1" width="15.125" style="2" bestFit="1" customWidth="1"/>
    <col min="2" max="3" width="12.75" customWidth="1"/>
    <col min="4" max="4" width="9" customWidth="1"/>
    <col min="5" max="5" width="34.5" customWidth="1"/>
    <col min="6" max="6" width="10.25" bestFit="1" customWidth="1"/>
    <col min="7" max="8" width="7.5" style="16" bestFit="1" customWidth="1"/>
    <col min="9" max="9" width="5.75" bestFit="1" customWidth="1"/>
    <col min="10" max="10" width="8.375" style="16" bestFit="1" customWidth="1"/>
    <col min="11" max="11" width="7.625" style="16" bestFit="1" customWidth="1"/>
    <col min="12" max="12" width="7.25" style="16" bestFit="1" customWidth="1"/>
    <col min="13" max="13" width="11.875" style="16" bestFit="1" customWidth="1"/>
  </cols>
  <sheetData>
    <row r="1" spans="1:13" ht="20.25" x14ac:dyDescent="0.4">
      <c r="A1" s="2" t="s">
        <v>3</v>
      </c>
      <c r="B1" s="18" t="s">
        <v>30</v>
      </c>
      <c r="D1" t="s">
        <v>6</v>
      </c>
      <c r="F1" s="3" t="s">
        <v>13</v>
      </c>
      <c r="G1" s="15" t="s">
        <v>16</v>
      </c>
      <c r="H1" s="15" t="s">
        <v>33</v>
      </c>
      <c r="I1" s="3" t="s">
        <v>14</v>
      </c>
      <c r="J1" s="15" t="s">
        <v>29</v>
      </c>
      <c r="K1" s="15" t="s">
        <v>34</v>
      </c>
      <c r="L1" s="15" t="s">
        <v>35</v>
      </c>
      <c r="M1" s="15" t="s">
        <v>37</v>
      </c>
    </row>
    <row r="2" spans="1:13" x14ac:dyDescent="0.4">
      <c r="A2" s="2" t="s">
        <v>4</v>
      </c>
      <c r="B2" s="18" t="s">
        <v>29</v>
      </c>
      <c r="D2" t="s">
        <v>27</v>
      </c>
      <c r="F2" s="1">
        <v>21245</v>
      </c>
      <c r="G2" s="16">
        <v>315.7</v>
      </c>
      <c r="H2" s="16">
        <f t="shared" ref="H2" si="0">EXP(_A*F2+_B)+_C</f>
        <v>313.71601885933205</v>
      </c>
      <c r="I2">
        <f>MONTH(F2)</f>
        <v>3</v>
      </c>
      <c r="J2" s="16" cm="1">
        <f t="array" ref="J2">INDEX(Sm,I2)</f>
        <v>1.3951035824648568</v>
      </c>
      <c r="K2" s="16">
        <f>H2+J2</f>
        <v>315.11112244179691</v>
      </c>
      <c r="L2" s="16">
        <f>K2-G2</f>
        <v>-0.5888775582030803</v>
      </c>
      <c r="M2" s="16">
        <f>L2*L2</f>
        <v>0.34677677855522221</v>
      </c>
    </row>
    <row r="3" spans="1:13" ht="20.25" x14ac:dyDescent="0.4">
      <c r="A3" s="2" t="s">
        <v>5</v>
      </c>
      <c r="B3" s="18" t="s">
        <v>31</v>
      </c>
      <c r="D3" t="s">
        <v>7</v>
      </c>
      <c r="F3" s="1">
        <v>21276</v>
      </c>
      <c r="G3" s="16">
        <v>317.45999999999998</v>
      </c>
      <c r="H3" s="16">
        <f t="shared" ref="H3:H66" si="1">EXP(_A*F3+_B)+_C</f>
        <v>313.79382543700376</v>
      </c>
      <c r="I3">
        <f t="shared" ref="I3:I66" si="2">MONTH(F3)</f>
        <v>4</v>
      </c>
      <c r="J3" s="16" cm="1">
        <f t="array" ref="J3">INDEX(Sm,I3)</f>
        <v>2.6339370251743146</v>
      </c>
      <c r="K3" s="16">
        <f t="shared" ref="K3:K66" si="3">H3+J3</f>
        <v>316.42776246217807</v>
      </c>
      <c r="L3" s="16">
        <f t="shared" ref="L3:L66" si="4">K3-G3</f>
        <v>-1.0322375378219135</v>
      </c>
      <c r="M3" s="16">
        <f t="shared" ref="M3:M66" si="5">L3*L3</f>
        <v>1.0655143344886464</v>
      </c>
    </row>
    <row r="4" spans="1:13" x14ac:dyDescent="0.4">
      <c r="F4" s="1">
        <v>21306</v>
      </c>
      <c r="G4" s="16">
        <v>317.51</v>
      </c>
      <c r="H4" s="16">
        <f t="shared" si="1"/>
        <v>313.8692264305779</v>
      </c>
      <c r="I4">
        <f t="shared" si="2"/>
        <v>5</v>
      </c>
      <c r="J4" s="16" cm="1">
        <f t="array" ref="J4">INDEX(Sm,I4)</f>
        <v>3.0997257789906989</v>
      </c>
      <c r="K4" s="16">
        <f t="shared" si="3"/>
        <v>316.96895220956861</v>
      </c>
      <c r="L4" s="16">
        <f t="shared" si="4"/>
        <v>-0.54104779043137796</v>
      </c>
      <c r="M4" s="16">
        <f t="shared" si="5"/>
        <v>0.29273271153067626</v>
      </c>
    </row>
    <row r="5" spans="1:13" ht="19.5" thickBot="1" x14ac:dyDescent="0.45">
      <c r="A5" s="4" t="s">
        <v>18</v>
      </c>
      <c r="F5" s="1">
        <v>21367</v>
      </c>
      <c r="G5" s="16">
        <v>315.86</v>
      </c>
      <c r="H5" s="16">
        <f t="shared" si="1"/>
        <v>314.02285876212903</v>
      </c>
      <c r="I5">
        <f t="shared" si="2"/>
        <v>7</v>
      </c>
      <c r="J5" s="16" cm="1">
        <f t="array" ref="J5">INDEX(Sm,I5)</f>
        <v>0.74435685666414753</v>
      </c>
      <c r="K5" s="16">
        <f t="shared" si="3"/>
        <v>314.76721561879316</v>
      </c>
      <c r="L5" s="16">
        <f t="shared" si="4"/>
        <v>-1.0927843812068545</v>
      </c>
      <c r="M5" s="16">
        <f t="shared" si="5"/>
        <v>1.1941777038096479</v>
      </c>
    </row>
    <row r="6" spans="1:13" x14ac:dyDescent="0.4">
      <c r="A6" s="2" t="s">
        <v>8</v>
      </c>
      <c r="B6" s="8">
        <v>4.5387109551567739E-5</v>
      </c>
      <c r="D6" t="s">
        <v>24</v>
      </c>
      <c r="F6" s="1">
        <v>21398</v>
      </c>
      <c r="G6" s="16">
        <v>314.93</v>
      </c>
      <c r="H6" s="16">
        <f t="shared" si="1"/>
        <v>314.10109736752588</v>
      </c>
      <c r="I6">
        <f t="shared" si="2"/>
        <v>8</v>
      </c>
      <c r="J6" s="16" cm="1">
        <f t="array" ref="J6">INDEX(Sm,I6)</f>
        <v>-1.3868231821212227</v>
      </c>
      <c r="K6" s="16">
        <f t="shared" si="3"/>
        <v>312.71427418540463</v>
      </c>
      <c r="L6" s="16">
        <f t="shared" si="4"/>
        <v>-2.2157258145953733</v>
      </c>
      <c r="M6" s="16">
        <f t="shared" si="5"/>
        <v>4.9094408854643303</v>
      </c>
    </row>
    <row r="7" spans="1:13" ht="19.5" thickBot="1" x14ac:dyDescent="0.45">
      <c r="A7" s="2" t="s">
        <v>9</v>
      </c>
      <c r="B7" s="9">
        <v>3.047813188761141</v>
      </c>
      <c r="F7" s="1">
        <v>21429</v>
      </c>
      <c r="G7" s="16">
        <v>313.20999999999998</v>
      </c>
      <c r="H7" s="16">
        <f t="shared" si="1"/>
        <v>314.17944613215036</v>
      </c>
      <c r="I7">
        <f t="shared" si="2"/>
        <v>9</v>
      </c>
      <c r="J7" s="16" cm="1">
        <f t="array" ref="J7">INDEX(Sm,I7)</f>
        <v>-3.1918015790052943</v>
      </c>
      <c r="K7" s="16">
        <f t="shared" si="3"/>
        <v>310.98764455314506</v>
      </c>
      <c r="L7" s="16">
        <f t="shared" si="4"/>
        <v>-2.2223554468549196</v>
      </c>
      <c r="M7" s="16">
        <f t="shared" si="5"/>
        <v>4.9388637321657294</v>
      </c>
    </row>
    <row r="8" spans="1:13" ht="19.5" thickBot="1" x14ac:dyDescent="0.45">
      <c r="A8" s="2" t="s">
        <v>10</v>
      </c>
      <c r="B8" s="10">
        <v>258.45529982872404</v>
      </c>
      <c r="D8" s="7"/>
      <c r="E8" t="s">
        <v>26</v>
      </c>
      <c r="F8" s="1">
        <v>21490</v>
      </c>
      <c r="G8" s="16">
        <v>313.33</v>
      </c>
      <c r="H8" s="16">
        <f t="shared" si="1"/>
        <v>314.3339385322613</v>
      </c>
      <c r="I8">
        <f t="shared" si="2"/>
        <v>11</v>
      </c>
      <c r="J8" s="16" cm="1">
        <f t="array" ref="J8">INDEX(Sm,I8)</f>
        <v>-2.0577916254037292</v>
      </c>
      <c r="K8" s="16">
        <f t="shared" si="3"/>
        <v>312.27614690685755</v>
      </c>
      <c r="L8" s="16">
        <f t="shared" si="4"/>
        <v>-1.0538530931424361</v>
      </c>
      <c r="M8" s="16">
        <f t="shared" si="5"/>
        <v>1.1106063419258803</v>
      </c>
    </row>
    <row r="9" spans="1:13" ht="19.5" thickBot="1" x14ac:dyDescent="0.45">
      <c r="F9" s="1">
        <v>21520</v>
      </c>
      <c r="G9" s="16">
        <v>314.67</v>
      </c>
      <c r="H9" s="16">
        <f t="shared" si="1"/>
        <v>314.41007545191184</v>
      </c>
      <c r="I9">
        <f t="shared" si="2"/>
        <v>12</v>
      </c>
      <c r="J9" s="16" cm="1">
        <f t="array" ref="J9">INDEX(Sm,I9)</f>
        <v>-0.88780634062791353</v>
      </c>
      <c r="K9" s="16">
        <f t="shared" si="3"/>
        <v>313.52226911128395</v>
      </c>
      <c r="L9" s="16">
        <f t="shared" si="4"/>
        <v>-1.1477308887160689</v>
      </c>
      <c r="M9" s="16">
        <f t="shared" si="5"/>
        <v>1.3172861929129773</v>
      </c>
    </row>
    <row r="10" spans="1:13" ht="19.5" thickBot="1" x14ac:dyDescent="0.45">
      <c r="A10" s="4" t="s">
        <v>17</v>
      </c>
      <c r="D10" s="11"/>
      <c r="E10" t="s">
        <v>22</v>
      </c>
      <c r="F10" s="1">
        <v>21551</v>
      </c>
      <c r="G10" s="16">
        <v>315.58</v>
      </c>
      <c r="H10" s="16">
        <f t="shared" si="1"/>
        <v>314.48885925480118</v>
      </c>
      <c r="I10">
        <f t="shared" si="2"/>
        <v>1</v>
      </c>
      <c r="J10" s="16" cm="1">
        <f t="array" ref="J10">INDEX(Sm,I10)</f>
        <v>-3.3662626377861403E-2</v>
      </c>
      <c r="K10" s="16">
        <f t="shared" si="3"/>
        <v>314.45519662842332</v>
      </c>
      <c r="L10" s="16">
        <f t="shared" si="4"/>
        <v>-1.124803371576661</v>
      </c>
      <c r="M10" s="16">
        <f t="shared" si="5"/>
        <v>1.265182624710224</v>
      </c>
    </row>
    <row r="11" spans="1:13" ht="19.5" thickBot="1" x14ac:dyDescent="0.45">
      <c r="A11" s="2" t="s">
        <v>11</v>
      </c>
      <c r="B11" s="2" t="s">
        <v>32</v>
      </c>
      <c r="F11" s="1">
        <v>21582</v>
      </c>
      <c r="G11" s="16">
        <v>316.49</v>
      </c>
      <c r="H11" s="16">
        <f t="shared" si="1"/>
        <v>314.56775398455113</v>
      </c>
      <c r="I11">
        <f t="shared" si="2"/>
        <v>2</v>
      </c>
      <c r="J11" s="16" cm="1">
        <f t="array" ref="J11">INDEX(Sm,I11)</f>
        <v>0.68114275406980329</v>
      </c>
      <c r="K11" s="16">
        <f t="shared" si="3"/>
        <v>315.24889673862094</v>
      </c>
      <c r="L11" s="16">
        <f t="shared" si="4"/>
        <v>-1.2411032613790667</v>
      </c>
      <c r="M11" s="16">
        <f t="shared" si="5"/>
        <v>1.5403373054057559</v>
      </c>
    </row>
    <row r="12" spans="1:13" ht="19.5" thickBot="1" x14ac:dyDescent="0.45">
      <c r="A12" s="2">
        <v>1</v>
      </c>
      <c r="B12" s="8">
        <v>-3.3662626377861403E-2</v>
      </c>
      <c r="D12" s="6"/>
      <c r="E12" t="s">
        <v>23</v>
      </c>
      <c r="F12" s="1">
        <v>21610</v>
      </c>
      <c r="G12" s="16">
        <v>316.64999999999998</v>
      </c>
      <c r="H12" s="16">
        <f t="shared" si="1"/>
        <v>314.63910921436599</v>
      </c>
      <c r="I12">
        <f t="shared" si="2"/>
        <v>3</v>
      </c>
      <c r="J12" s="16" cm="1">
        <f t="array" ref="J12">INDEX(Sm,I12)</f>
        <v>1.3951035824648568</v>
      </c>
      <c r="K12" s="16">
        <f t="shared" si="3"/>
        <v>316.03421279683084</v>
      </c>
      <c r="L12" s="16">
        <f t="shared" si="4"/>
        <v>-0.61578720316913405</v>
      </c>
      <c r="M12" s="16">
        <f t="shared" si="5"/>
        <v>0.37919387958686435</v>
      </c>
    </row>
    <row r="13" spans="1:13" x14ac:dyDescent="0.4">
      <c r="A13" s="2">
        <v>2</v>
      </c>
      <c r="B13" s="9">
        <v>0.68114275406980329</v>
      </c>
      <c r="F13" s="1">
        <v>21641</v>
      </c>
      <c r="G13" s="16">
        <v>317.72000000000003</v>
      </c>
      <c r="H13" s="16">
        <f t="shared" si="1"/>
        <v>314.71821549465955</v>
      </c>
      <c r="I13">
        <f t="shared" si="2"/>
        <v>4</v>
      </c>
      <c r="J13" s="16" cm="1">
        <f t="array" ref="J13">INDEX(Sm,I13)</f>
        <v>2.6339370251743146</v>
      </c>
      <c r="K13" s="16">
        <f t="shared" si="3"/>
        <v>317.35215251983385</v>
      </c>
      <c r="L13" s="16">
        <f t="shared" si="4"/>
        <v>-0.36784748016617641</v>
      </c>
      <c r="M13" s="16">
        <f t="shared" si="5"/>
        <v>0.13531176866460554</v>
      </c>
    </row>
    <row r="14" spans="1:13" x14ac:dyDescent="0.4">
      <c r="A14" s="2">
        <v>3</v>
      </c>
      <c r="B14" s="9">
        <v>1.3951035824648568</v>
      </c>
      <c r="F14" s="1">
        <v>21671</v>
      </c>
      <c r="G14" s="16">
        <v>318.29000000000002</v>
      </c>
      <c r="H14" s="16">
        <f t="shared" si="1"/>
        <v>314.79487600731244</v>
      </c>
      <c r="I14">
        <f t="shared" si="2"/>
        <v>5</v>
      </c>
      <c r="J14" s="16" cm="1">
        <f t="array" ref="J14">INDEX(Sm,I14)</f>
        <v>3.0997257789906989</v>
      </c>
      <c r="K14" s="16">
        <f t="shared" si="3"/>
        <v>317.89460178630316</v>
      </c>
      <c r="L14" s="16">
        <f t="shared" si="4"/>
        <v>-0.39539821369686479</v>
      </c>
      <c r="M14" s="16">
        <f t="shared" si="5"/>
        <v>0.15633974739467155</v>
      </c>
    </row>
    <row r="15" spans="1:13" x14ac:dyDescent="0.4">
      <c r="A15" s="2">
        <v>4</v>
      </c>
      <c r="B15" s="9">
        <v>2.6339370251743146</v>
      </c>
      <c r="F15" s="1">
        <v>21702</v>
      </c>
      <c r="G15" s="16">
        <v>318.14999999999998</v>
      </c>
      <c r="H15" s="16">
        <f t="shared" si="1"/>
        <v>314.87420160579956</v>
      </c>
      <c r="I15">
        <f t="shared" si="2"/>
        <v>6</v>
      </c>
      <c r="J15" s="16" cm="1">
        <f t="array" ref="J15">INDEX(Sm,I15)</f>
        <v>2.3207404253660839</v>
      </c>
      <c r="K15" s="16">
        <f t="shared" si="3"/>
        <v>317.19494203116562</v>
      </c>
      <c r="L15" s="16">
        <f t="shared" si="4"/>
        <v>-0.95505796883435323</v>
      </c>
      <c r="M15" s="16">
        <f t="shared" si="5"/>
        <v>0.91213572383400043</v>
      </c>
    </row>
    <row r="16" spans="1:13" x14ac:dyDescent="0.4">
      <c r="A16" s="2">
        <v>5</v>
      </c>
      <c r="B16" s="9">
        <v>3.0997257789906989</v>
      </c>
      <c r="F16" s="1">
        <v>21732</v>
      </c>
      <c r="G16" s="16">
        <v>316.54000000000002</v>
      </c>
      <c r="H16" s="16">
        <f t="shared" si="1"/>
        <v>314.95107465587796</v>
      </c>
      <c r="I16">
        <f t="shared" si="2"/>
        <v>7</v>
      </c>
      <c r="J16" s="16" cm="1">
        <f t="array" ref="J16">INDEX(Sm,I16)</f>
        <v>0.74435685666414753</v>
      </c>
      <c r="K16" s="16">
        <f t="shared" si="3"/>
        <v>315.69543151254209</v>
      </c>
      <c r="L16" s="16">
        <f t="shared" si="4"/>
        <v>-0.84456848745793422</v>
      </c>
      <c r="M16" s="16">
        <f t="shared" si="5"/>
        <v>0.71329593000698277</v>
      </c>
    </row>
    <row r="17" spans="1:13" x14ac:dyDescent="0.4">
      <c r="A17" s="2">
        <v>6</v>
      </c>
      <c r="B17" s="9">
        <v>2.3207404253660839</v>
      </c>
      <c r="F17" s="1">
        <v>21763</v>
      </c>
      <c r="G17" s="16">
        <v>314.8</v>
      </c>
      <c r="H17" s="16">
        <f t="shared" si="1"/>
        <v>315.0306201806074</v>
      </c>
      <c r="I17">
        <f t="shared" si="2"/>
        <v>8</v>
      </c>
      <c r="J17" s="16" cm="1">
        <f t="array" ref="J17">INDEX(Sm,I17)</f>
        <v>-1.3868231821212227</v>
      </c>
      <c r="K17" s="16">
        <f t="shared" si="3"/>
        <v>313.64379699848615</v>
      </c>
      <c r="L17" s="16">
        <f t="shared" si="4"/>
        <v>-1.1562030015138589</v>
      </c>
      <c r="M17" s="16">
        <f t="shared" si="5"/>
        <v>1.3368053807096565</v>
      </c>
    </row>
    <row r="18" spans="1:13" x14ac:dyDescent="0.4">
      <c r="A18" s="2">
        <v>7</v>
      </c>
      <c r="B18" s="9">
        <v>0.74435685666414753</v>
      </c>
      <c r="F18" s="1">
        <v>21794</v>
      </c>
      <c r="G18" s="16">
        <v>313.83999999999997</v>
      </c>
      <c r="H18" s="16">
        <f t="shared" si="1"/>
        <v>315.11027770469468</v>
      </c>
      <c r="I18">
        <f t="shared" si="2"/>
        <v>9</v>
      </c>
      <c r="J18" s="16" cm="1">
        <f t="array" ref="J18">INDEX(Sm,I18)</f>
        <v>-3.1918015790052943</v>
      </c>
      <c r="K18" s="16">
        <f t="shared" si="3"/>
        <v>311.91847612568938</v>
      </c>
      <c r="L18" s="16">
        <f t="shared" si="4"/>
        <v>-1.9215238743105942</v>
      </c>
      <c r="M18" s="16">
        <f t="shared" si="5"/>
        <v>3.6922539995455965</v>
      </c>
    </row>
    <row r="19" spans="1:13" x14ac:dyDescent="0.4">
      <c r="A19" s="2">
        <v>8</v>
      </c>
      <c r="B19" s="9">
        <v>-1.3868231821212227</v>
      </c>
      <c r="F19" s="1">
        <v>21824</v>
      </c>
      <c r="G19" s="16">
        <v>313.33</v>
      </c>
      <c r="H19" s="16">
        <f t="shared" si="1"/>
        <v>315.18747241806682</v>
      </c>
      <c r="I19">
        <f t="shared" si="2"/>
        <v>10</v>
      </c>
      <c r="J19" s="16" cm="1">
        <f t="array" ref="J19">INDEX(Sm,I19)</f>
        <v>-3.3171210691938846</v>
      </c>
      <c r="K19" s="16">
        <f t="shared" si="3"/>
        <v>311.87035134887293</v>
      </c>
      <c r="L19" s="16">
        <f t="shared" si="4"/>
        <v>-1.4596486511270541</v>
      </c>
      <c r="M19" s="16">
        <f t="shared" si="5"/>
        <v>2.1305741847370285</v>
      </c>
    </row>
    <row r="20" spans="1:13" x14ac:dyDescent="0.4">
      <c r="A20" s="2">
        <v>9</v>
      </c>
      <c r="B20" s="9">
        <v>-3.1918015790052943</v>
      </c>
      <c r="F20" s="1">
        <v>21855</v>
      </c>
      <c r="G20" s="16">
        <v>314.81</v>
      </c>
      <c r="H20" s="16">
        <f t="shared" si="1"/>
        <v>315.26735078864345</v>
      </c>
      <c r="I20">
        <f t="shared" si="2"/>
        <v>11</v>
      </c>
      <c r="J20" s="16" cm="1">
        <f t="array" ref="J20">INDEX(Sm,I20)</f>
        <v>-2.0577916254037292</v>
      </c>
      <c r="K20" s="16">
        <f t="shared" si="3"/>
        <v>313.2095591632397</v>
      </c>
      <c r="L20" s="16">
        <f t="shared" si="4"/>
        <v>-1.6004408367602991</v>
      </c>
      <c r="M20" s="16">
        <f t="shared" si="5"/>
        <v>2.5614108719700064</v>
      </c>
    </row>
    <row r="21" spans="1:13" x14ac:dyDescent="0.4">
      <c r="A21" s="2">
        <v>10</v>
      </c>
      <c r="B21" s="9">
        <v>-3.3171210691938846</v>
      </c>
      <c r="F21" s="1">
        <v>21885</v>
      </c>
      <c r="G21" s="16">
        <v>315.58</v>
      </c>
      <c r="H21" s="16">
        <f t="shared" si="1"/>
        <v>315.34475952048575</v>
      </c>
      <c r="I21">
        <f t="shared" si="2"/>
        <v>12</v>
      </c>
      <c r="J21" s="16" cm="1">
        <f t="array" ref="J21">INDEX(Sm,I21)</f>
        <v>-0.88780634062791353</v>
      </c>
      <c r="K21" s="16">
        <f t="shared" si="3"/>
        <v>314.45695317985786</v>
      </c>
      <c r="L21" s="16">
        <f t="shared" si="4"/>
        <v>-1.1230468201421218</v>
      </c>
      <c r="M21" s="16">
        <f t="shared" si="5"/>
        <v>1.2612341602313313</v>
      </c>
    </row>
    <row r="22" spans="1:13" x14ac:dyDescent="0.4">
      <c r="A22" s="2">
        <v>11</v>
      </c>
      <c r="B22" s="9">
        <v>-2.0577916254037292</v>
      </c>
      <c r="F22" s="1">
        <v>21916</v>
      </c>
      <c r="G22" s="16">
        <v>316.43</v>
      </c>
      <c r="H22" s="16">
        <f t="shared" si="1"/>
        <v>315.42485934983756</v>
      </c>
      <c r="I22">
        <f t="shared" si="2"/>
        <v>1</v>
      </c>
      <c r="J22" s="16" cm="1">
        <f t="array" ref="J22">INDEX(Sm,I22)</f>
        <v>-3.3662626377861403E-2</v>
      </c>
      <c r="K22" s="16">
        <f t="shared" si="3"/>
        <v>315.3911967234597</v>
      </c>
      <c r="L22" s="16">
        <f t="shared" si="4"/>
        <v>-1.0388032765403068</v>
      </c>
      <c r="M22" s="16">
        <f t="shared" si="5"/>
        <v>1.0791122473508772</v>
      </c>
    </row>
    <row r="23" spans="1:13" ht="19.5" thickBot="1" x14ac:dyDescent="0.45">
      <c r="A23" s="2">
        <v>12</v>
      </c>
      <c r="B23" s="10">
        <v>-0.88780634062791353</v>
      </c>
      <c r="F23" s="1">
        <v>21947</v>
      </c>
      <c r="G23" s="16">
        <v>316.98</v>
      </c>
      <c r="H23" s="16">
        <f t="shared" si="1"/>
        <v>315.50507195900303</v>
      </c>
      <c r="I23">
        <f t="shared" si="2"/>
        <v>2</v>
      </c>
      <c r="J23" s="16" cm="1">
        <f t="array" ref="J23">INDEX(Sm,I23)</f>
        <v>0.68114275406980329</v>
      </c>
      <c r="K23" s="16">
        <f t="shared" si="3"/>
        <v>316.18621471307284</v>
      </c>
      <c r="L23" s="16">
        <f t="shared" si="4"/>
        <v>-0.79378528692717509</v>
      </c>
      <c r="M23" s="16">
        <f t="shared" si="5"/>
        <v>0.63009508174205764</v>
      </c>
    </row>
    <row r="24" spans="1:13" ht="19.5" thickBot="1" x14ac:dyDescent="0.45">
      <c r="A24" s="12">
        <v>13</v>
      </c>
      <c r="B24" s="13">
        <f>B12</f>
        <v>-3.3662626377861403E-2</v>
      </c>
      <c r="C24" s="14" t="s">
        <v>36</v>
      </c>
      <c r="D24" s="14"/>
      <c r="F24" s="1">
        <v>21976</v>
      </c>
      <c r="G24" s="16">
        <v>317.58</v>
      </c>
      <c r="H24" s="16">
        <f t="shared" si="1"/>
        <v>315.58021180213876</v>
      </c>
      <c r="I24">
        <f t="shared" si="2"/>
        <v>3</v>
      </c>
      <c r="J24" s="16" cm="1">
        <f t="array" ref="J24">INDEX(Sm,I24)</f>
        <v>1.3951035824648568</v>
      </c>
      <c r="K24" s="16">
        <f t="shared" si="3"/>
        <v>316.97531538460362</v>
      </c>
      <c r="L24" s="16">
        <f t="shared" si="4"/>
        <v>-0.60468461539636564</v>
      </c>
      <c r="M24" s="16">
        <f t="shared" si="5"/>
        <v>0.36564348409705066</v>
      </c>
    </row>
    <row r="25" spans="1:13" ht="19.5" thickBot="1" x14ac:dyDescent="0.45">
      <c r="A25" s="5" t="s">
        <v>12</v>
      </c>
      <c r="B25" s="7">
        <f>SUM(B12:B23)</f>
        <v>0</v>
      </c>
      <c r="F25" s="1">
        <v>22007</v>
      </c>
      <c r="G25" s="16">
        <v>319.02999999999997</v>
      </c>
      <c r="H25" s="16">
        <f t="shared" si="1"/>
        <v>315.66064314611003</v>
      </c>
      <c r="I25">
        <f t="shared" si="2"/>
        <v>4</v>
      </c>
      <c r="J25" s="16" cm="1">
        <f t="array" ref="J25">INDEX(Sm,I25)</f>
        <v>2.6339370251743146</v>
      </c>
      <c r="K25" s="16">
        <f t="shared" si="3"/>
        <v>318.29458017128434</v>
      </c>
      <c r="L25" s="16">
        <f t="shared" si="4"/>
        <v>-0.73541982871563505</v>
      </c>
      <c r="M25" s="16">
        <f t="shared" si="5"/>
        <v>0.54084232446813396</v>
      </c>
    </row>
    <row r="26" spans="1:13" ht="19.5" thickBot="1" x14ac:dyDescent="0.45">
      <c r="F26" s="1">
        <v>22037</v>
      </c>
      <c r="G26" s="16">
        <v>320.04000000000002</v>
      </c>
      <c r="H26" s="16">
        <f t="shared" si="1"/>
        <v>315.73858775479749</v>
      </c>
      <c r="I26">
        <f t="shared" si="2"/>
        <v>5</v>
      </c>
      <c r="J26" s="16" cm="1">
        <f t="array" ref="J26">INDEX(Sm,I26)</f>
        <v>3.0997257789906989</v>
      </c>
      <c r="K26" s="16">
        <f t="shared" si="3"/>
        <v>318.83831353378821</v>
      </c>
      <c r="L26" s="16">
        <f t="shared" si="4"/>
        <v>-1.201686466211811</v>
      </c>
      <c r="M26" s="16">
        <f t="shared" si="5"/>
        <v>1.4440503630766299</v>
      </c>
    </row>
    <row r="27" spans="1:13" ht="19.5" thickBot="1" x14ac:dyDescent="0.45">
      <c r="A27" s="2" t="s">
        <v>15</v>
      </c>
      <c r="B27" s="11">
        <f>SUM(M2:M742)</f>
        <v>401.29597508580753</v>
      </c>
      <c r="F27" s="1">
        <v>22068</v>
      </c>
      <c r="G27" s="16">
        <v>319.58</v>
      </c>
      <c r="H27" s="16">
        <f t="shared" si="1"/>
        <v>315.81924209063493</v>
      </c>
      <c r="I27">
        <f t="shared" si="2"/>
        <v>6</v>
      </c>
      <c r="J27" s="16" cm="1">
        <f t="array" ref="J27">INDEX(Sm,I27)</f>
        <v>2.3207404253660839</v>
      </c>
      <c r="K27" s="16">
        <f t="shared" si="3"/>
        <v>318.139982516001</v>
      </c>
      <c r="L27" s="16">
        <f t="shared" si="4"/>
        <v>-1.4400174839989859</v>
      </c>
      <c r="M27" s="16">
        <f t="shared" si="5"/>
        <v>2.0736503542227696</v>
      </c>
    </row>
    <row r="28" spans="1:13" x14ac:dyDescent="0.4">
      <c r="F28" s="1">
        <v>22098</v>
      </c>
      <c r="G28" s="16">
        <v>318.18</v>
      </c>
      <c r="H28" s="16">
        <f t="shared" si="1"/>
        <v>315.89740279683974</v>
      </c>
      <c r="I28">
        <f t="shared" si="2"/>
        <v>7</v>
      </c>
      <c r="J28" s="16" cm="1">
        <f t="array" ref="J28">INDEX(Sm,I28)</f>
        <v>0.74435685666414753</v>
      </c>
      <c r="K28" s="16">
        <f t="shared" si="3"/>
        <v>316.64175965350387</v>
      </c>
      <c r="L28" s="16">
        <f t="shared" si="4"/>
        <v>-1.5382403464961385</v>
      </c>
      <c r="M28" s="16">
        <f t="shared" si="5"/>
        <v>2.3661833635885601</v>
      </c>
    </row>
    <row r="29" spans="1:13" x14ac:dyDescent="0.4">
      <c r="F29" s="1">
        <v>22129</v>
      </c>
      <c r="G29" s="16">
        <v>315.89999999999998</v>
      </c>
      <c r="H29" s="16">
        <f t="shared" si="1"/>
        <v>315.97828074277709</v>
      </c>
      <c r="I29">
        <f t="shared" si="2"/>
        <v>8</v>
      </c>
      <c r="J29" s="16" cm="1">
        <f t="array" ref="J29">INDEX(Sm,I29)</f>
        <v>-1.3868231821212227</v>
      </c>
      <c r="K29" s="16">
        <f t="shared" si="3"/>
        <v>314.59145756065584</v>
      </c>
      <c r="L29" s="16">
        <f t="shared" si="4"/>
        <v>-1.3085424393441372</v>
      </c>
      <c r="M29" s="16">
        <f t="shared" si="5"/>
        <v>1.7122833155647048</v>
      </c>
    </row>
    <row r="30" spans="1:13" x14ac:dyDescent="0.4">
      <c r="F30" s="1">
        <v>22160</v>
      </c>
      <c r="G30" s="16">
        <v>314.17</v>
      </c>
      <c r="H30" s="16">
        <f t="shared" si="1"/>
        <v>316.05927256410899</v>
      </c>
      <c r="I30">
        <f t="shared" si="2"/>
        <v>9</v>
      </c>
      <c r="J30" s="16" cm="1">
        <f t="array" ref="J30">INDEX(Sm,I30)</f>
        <v>-3.1918015790052943</v>
      </c>
      <c r="K30" s="16">
        <f t="shared" si="3"/>
        <v>312.86747098510369</v>
      </c>
      <c r="L30" s="16">
        <f t="shared" si="4"/>
        <v>-1.3025290148963222</v>
      </c>
      <c r="M30" s="16">
        <f t="shared" si="5"/>
        <v>1.6965818346467836</v>
      </c>
    </row>
    <row r="31" spans="1:13" x14ac:dyDescent="0.4">
      <c r="F31" s="1">
        <v>22190</v>
      </c>
      <c r="G31" s="16">
        <v>313.83</v>
      </c>
      <c r="H31" s="16">
        <f t="shared" si="1"/>
        <v>316.13776032160382</v>
      </c>
      <c r="I31">
        <f t="shared" si="2"/>
        <v>10</v>
      </c>
      <c r="J31" s="16" cm="1">
        <f t="array" ref="J31">INDEX(Sm,I31)</f>
        <v>-3.3171210691938846</v>
      </c>
      <c r="K31" s="16">
        <f t="shared" si="3"/>
        <v>312.82063925240993</v>
      </c>
      <c r="L31" s="16">
        <f t="shared" si="4"/>
        <v>-1.0093607475900512</v>
      </c>
      <c r="M31" s="16">
        <f t="shared" si="5"/>
        <v>1.018809118775547</v>
      </c>
    </row>
    <row r="32" spans="1:13" x14ac:dyDescent="0.4">
      <c r="F32" s="1">
        <v>22221</v>
      </c>
      <c r="G32" s="16">
        <v>315</v>
      </c>
      <c r="H32" s="16">
        <f t="shared" si="1"/>
        <v>316.21897668869724</v>
      </c>
      <c r="I32">
        <f t="shared" si="2"/>
        <v>11</v>
      </c>
      <c r="J32" s="16" cm="1">
        <f t="array" ref="J32">INDEX(Sm,I32)</f>
        <v>-2.0577916254037292</v>
      </c>
      <c r="K32" s="16">
        <f t="shared" si="3"/>
        <v>314.16118506329349</v>
      </c>
      <c r="L32" s="16">
        <f t="shared" si="4"/>
        <v>-0.83881493670651253</v>
      </c>
      <c r="M32" s="16">
        <f t="shared" si="5"/>
        <v>0.70361049804195064</v>
      </c>
    </row>
    <row r="33" spans="1:13" x14ac:dyDescent="0.4">
      <c r="F33" s="1">
        <v>22251</v>
      </c>
      <c r="G33" s="16">
        <v>316.19</v>
      </c>
      <c r="H33" s="16">
        <f t="shared" si="1"/>
        <v>316.29768204956224</v>
      </c>
      <c r="I33">
        <f t="shared" si="2"/>
        <v>12</v>
      </c>
      <c r="J33" s="16" cm="1">
        <f t="array" ref="J33">INDEX(Sm,I33)</f>
        <v>-0.88780634062791353</v>
      </c>
      <c r="K33" s="16">
        <f t="shared" si="3"/>
        <v>315.40987570893435</v>
      </c>
      <c r="L33" s="16">
        <f t="shared" si="4"/>
        <v>-0.78012429106564696</v>
      </c>
      <c r="M33" s="16">
        <f t="shared" si="5"/>
        <v>0.60859390951067827</v>
      </c>
    </row>
    <row r="34" spans="1:13" x14ac:dyDescent="0.4">
      <c r="F34" s="1">
        <v>22282</v>
      </c>
      <c r="G34" s="16">
        <v>316.89999999999998</v>
      </c>
      <c r="H34" s="16">
        <f t="shared" si="1"/>
        <v>316.37912358495902</v>
      </c>
      <c r="I34">
        <f t="shared" si="2"/>
        <v>1</v>
      </c>
      <c r="J34" s="16" cm="1">
        <f t="array" ref="J34">INDEX(Sm,I34)</f>
        <v>-3.3662626377861403E-2</v>
      </c>
      <c r="K34" s="16">
        <f t="shared" si="3"/>
        <v>316.34546095858116</v>
      </c>
      <c r="L34" s="16">
        <f t="shared" si="4"/>
        <v>-0.55453904141882049</v>
      </c>
      <c r="M34" s="16">
        <f t="shared" si="5"/>
        <v>0.30751354845770429</v>
      </c>
    </row>
    <row r="35" spans="1:13" x14ac:dyDescent="0.4">
      <c r="F35" s="1">
        <v>22313</v>
      </c>
      <c r="G35" s="16">
        <v>317.7</v>
      </c>
      <c r="H35" s="16">
        <f t="shared" si="1"/>
        <v>316.46067978927908</v>
      </c>
      <c r="I35">
        <f t="shared" si="2"/>
        <v>2</v>
      </c>
      <c r="J35" s="16" cm="1">
        <f t="array" ref="J35">INDEX(Sm,I35)</f>
        <v>0.68114275406980329</v>
      </c>
      <c r="K35" s="16">
        <f t="shared" si="3"/>
        <v>317.14182254334889</v>
      </c>
      <c r="L35" s="16">
        <f t="shared" si="4"/>
        <v>-0.55817745665109442</v>
      </c>
      <c r="M35" s="16">
        <f t="shared" si="5"/>
        <v>0.31156207311348438</v>
      </c>
    </row>
    <row r="36" spans="1:13" x14ac:dyDescent="0.4">
      <c r="A36" s="4" t="s">
        <v>25</v>
      </c>
      <c r="F36" s="1">
        <v>22341</v>
      </c>
      <c r="G36" s="16">
        <v>318.54000000000002</v>
      </c>
      <c r="H36" s="16">
        <f t="shared" si="1"/>
        <v>316.53444215237391</v>
      </c>
      <c r="I36">
        <f t="shared" si="2"/>
        <v>3</v>
      </c>
      <c r="J36" s="16" cm="1">
        <f t="array" ref="J36">INDEX(Sm,I36)</f>
        <v>1.3951035824648568</v>
      </c>
      <c r="K36" s="16">
        <f t="shared" si="3"/>
        <v>317.92954573483877</v>
      </c>
      <c r="L36" s="16">
        <f t="shared" si="4"/>
        <v>-0.6104542651612519</v>
      </c>
      <c r="M36" s="16">
        <f t="shared" si="5"/>
        <v>0.37265440985356402</v>
      </c>
    </row>
    <row r="37" spans="1:13" x14ac:dyDescent="0.4">
      <c r="A37" s="2" t="s">
        <v>19</v>
      </c>
      <c r="B37">
        <v>1E-4</v>
      </c>
      <c r="F37" s="1">
        <v>22372</v>
      </c>
      <c r="G37" s="16">
        <v>319.48</v>
      </c>
      <c r="H37" s="16">
        <f t="shared" si="1"/>
        <v>316.61621704379019</v>
      </c>
      <c r="I37">
        <f t="shared" si="2"/>
        <v>4</v>
      </c>
      <c r="J37" s="16" cm="1">
        <f t="array" ref="J37">INDEX(Sm,I37)</f>
        <v>2.6339370251743146</v>
      </c>
      <c r="K37" s="16">
        <f t="shared" si="3"/>
        <v>319.25015406896449</v>
      </c>
      <c r="L37" s="16">
        <f t="shared" si="4"/>
        <v>-0.22984593103552697</v>
      </c>
      <c r="M37" s="16">
        <f t="shared" si="5"/>
        <v>5.2829152013588225E-2</v>
      </c>
    </row>
    <row r="38" spans="1:13" x14ac:dyDescent="0.4">
      <c r="A38" s="17" t="s">
        <v>20</v>
      </c>
      <c r="B38">
        <v>0</v>
      </c>
      <c r="F38" s="1">
        <v>22402</v>
      </c>
      <c r="G38" s="16">
        <v>320.58</v>
      </c>
      <c r="H38" s="16">
        <f t="shared" si="1"/>
        <v>316.69546366080772</v>
      </c>
      <c r="I38">
        <f t="shared" si="2"/>
        <v>5</v>
      </c>
      <c r="J38" s="16" cm="1">
        <f t="array" ref="J38">INDEX(Sm,I38)</f>
        <v>3.0997257789906989</v>
      </c>
      <c r="K38" s="16">
        <f t="shared" si="3"/>
        <v>319.79518943979843</v>
      </c>
      <c r="L38" s="16">
        <f t="shared" si="4"/>
        <v>-0.78481056020154938</v>
      </c>
      <c r="M38" s="16">
        <f t="shared" si="5"/>
        <v>0.61592761540386975</v>
      </c>
    </row>
    <row r="39" spans="1:13" x14ac:dyDescent="0.4">
      <c r="A39" s="2" t="s">
        <v>21</v>
      </c>
      <c r="B39">
        <v>300</v>
      </c>
      <c r="F39" s="1">
        <v>22433</v>
      </c>
      <c r="G39" s="16">
        <v>319.77</v>
      </c>
      <c r="H39" s="16">
        <f t="shared" si="1"/>
        <v>316.77746526900808</v>
      </c>
      <c r="I39">
        <f t="shared" si="2"/>
        <v>6</v>
      </c>
      <c r="J39" s="16" cm="1">
        <f t="array" ref="J39">INDEX(Sm,I39)</f>
        <v>2.3207404253660839</v>
      </c>
      <c r="K39" s="16">
        <f t="shared" si="3"/>
        <v>319.09820569437414</v>
      </c>
      <c r="L39" s="16">
        <f t="shared" si="4"/>
        <v>-0.67179430562583775</v>
      </c>
      <c r="M39" s="16">
        <f t="shared" si="5"/>
        <v>0.45130758907130147</v>
      </c>
    </row>
    <row r="40" spans="1:13" x14ac:dyDescent="0.4">
      <c r="F40" s="1">
        <v>22463</v>
      </c>
      <c r="G40" s="16">
        <v>318.57</v>
      </c>
      <c r="H40" s="16">
        <f t="shared" si="1"/>
        <v>316.85693159329577</v>
      </c>
      <c r="I40">
        <f t="shared" si="2"/>
        <v>7</v>
      </c>
      <c r="J40" s="16" cm="1">
        <f t="array" ref="J40">INDEX(Sm,I40)</f>
        <v>0.74435685666414753</v>
      </c>
      <c r="K40" s="16">
        <f t="shared" si="3"/>
        <v>317.6012884499599</v>
      </c>
      <c r="L40" s="16">
        <f t="shared" si="4"/>
        <v>-0.96871155004009779</v>
      </c>
      <c r="M40" s="16">
        <f t="shared" si="5"/>
        <v>0.93840206718108887</v>
      </c>
    </row>
    <row r="41" spans="1:13" x14ac:dyDescent="0.4">
      <c r="F41" s="1">
        <v>22494</v>
      </c>
      <c r="G41" s="16">
        <v>316.79000000000002</v>
      </c>
      <c r="H41" s="16">
        <f t="shared" si="1"/>
        <v>316.93916054684104</v>
      </c>
      <c r="I41">
        <f t="shared" si="2"/>
        <v>8</v>
      </c>
      <c r="J41" s="16" cm="1">
        <f t="array" ref="J41">INDEX(Sm,I41)</f>
        <v>-1.3868231821212227</v>
      </c>
      <c r="K41" s="16">
        <f t="shared" si="3"/>
        <v>315.55233736471979</v>
      </c>
      <c r="L41" s="16">
        <f t="shared" si="4"/>
        <v>-1.2376626352802305</v>
      </c>
      <c r="M41" s="16">
        <f t="shared" si="5"/>
        <v>1.5318087987688047</v>
      </c>
    </row>
    <row r="42" spans="1:13" x14ac:dyDescent="0.4">
      <c r="F42" s="1">
        <v>22525</v>
      </c>
      <c r="G42" s="16">
        <v>314.99</v>
      </c>
      <c r="H42" s="16">
        <f t="shared" si="1"/>
        <v>317.02150527798699</v>
      </c>
      <c r="I42">
        <f t="shared" si="2"/>
        <v>9</v>
      </c>
      <c r="J42" s="16" cm="1">
        <f t="array" ref="J42">INDEX(Sm,I42)</f>
        <v>-3.1918015790052943</v>
      </c>
      <c r="K42" s="16">
        <f t="shared" si="3"/>
        <v>313.82970369898169</v>
      </c>
      <c r="L42" s="16">
        <f t="shared" si="4"/>
        <v>-1.1602963010183203</v>
      </c>
      <c r="M42" s="16">
        <f t="shared" si="5"/>
        <v>1.3462875061567965</v>
      </c>
    </row>
    <row r="43" spans="1:13" x14ac:dyDescent="0.4">
      <c r="F43" s="1">
        <v>22555</v>
      </c>
      <c r="G43" s="16">
        <v>315.31</v>
      </c>
      <c r="H43" s="16">
        <f t="shared" si="1"/>
        <v>317.10130411671997</v>
      </c>
      <c r="I43">
        <f t="shared" si="2"/>
        <v>10</v>
      </c>
      <c r="J43" s="16" cm="1">
        <f t="array" ref="J43">INDEX(Sm,I43)</f>
        <v>-3.3171210691938846</v>
      </c>
      <c r="K43" s="16">
        <f t="shared" si="3"/>
        <v>313.78418304752608</v>
      </c>
      <c r="L43" s="16">
        <f t="shared" si="4"/>
        <v>-1.5258169524739174</v>
      </c>
      <c r="M43" s="16">
        <f t="shared" si="5"/>
        <v>2.3281173724567927</v>
      </c>
    </row>
    <row r="44" spans="1:13" x14ac:dyDescent="0.4">
      <c r="F44" s="1">
        <v>22586</v>
      </c>
      <c r="G44" s="16">
        <v>316.10000000000002</v>
      </c>
      <c r="H44" s="16">
        <f t="shared" si="1"/>
        <v>317.18387714450211</v>
      </c>
      <c r="I44">
        <f t="shared" si="2"/>
        <v>11</v>
      </c>
      <c r="J44" s="16" cm="1">
        <f t="array" ref="J44">INDEX(Sm,I44)</f>
        <v>-2.0577916254037292</v>
      </c>
      <c r="K44" s="16">
        <f t="shared" si="3"/>
        <v>315.12608551909835</v>
      </c>
      <c r="L44" s="16">
        <f t="shared" si="4"/>
        <v>-0.97391448090166932</v>
      </c>
      <c r="M44" s="16">
        <f t="shared" si="5"/>
        <v>0.94850941610996797</v>
      </c>
    </row>
    <row r="45" spans="1:13" x14ac:dyDescent="0.4">
      <c r="F45" s="1">
        <v>22616</v>
      </c>
      <c r="G45" s="16">
        <v>317.01</v>
      </c>
      <c r="H45" s="16">
        <f t="shared" si="1"/>
        <v>317.2638972215122</v>
      </c>
      <c r="I45">
        <f t="shared" si="2"/>
        <v>12</v>
      </c>
      <c r="J45" s="16" cm="1">
        <f t="array" ref="J45">INDEX(Sm,I45)</f>
        <v>-0.88780634062791353</v>
      </c>
      <c r="K45" s="16">
        <f t="shared" si="3"/>
        <v>316.37609088088431</v>
      </c>
      <c r="L45" s="16">
        <f t="shared" si="4"/>
        <v>-0.63390911911568537</v>
      </c>
      <c r="M45" s="16">
        <f t="shared" si="5"/>
        <v>0.4018407712980242</v>
      </c>
    </row>
    <row r="46" spans="1:13" x14ac:dyDescent="0.4">
      <c r="F46" s="1">
        <v>22647</v>
      </c>
      <c r="G46" s="16">
        <v>317.94</v>
      </c>
      <c r="H46" s="16">
        <f t="shared" si="1"/>
        <v>317.3466991788714</v>
      </c>
      <c r="I46">
        <f t="shared" si="2"/>
        <v>1</v>
      </c>
      <c r="J46" s="16" cm="1">
        <f t="array" ref="J46">INDEX(Sm,I46)</f>
        <v>-3.3662626377861403E-2</v>
      </c>
      <c r="K46" s="16">
        <f t="shared" si="3"/>
        <v>317.31303655249354</v>
      </c>
      <c r="L46" s="16">
        <f t="shared" si="4"/>
        <v>-0.62696344750645494</v>
      </c>
      <c r="M46" s="16">
        <f t="shared" si="5"/>
        <v>0.39308316450917929</v>
      </c>
    </row>
    <row r="47" spans="1:13" x14ac:dyDescent="0.4">
      <c r="F47" s="1">
        <v>22678</v>
      </c>
      <c r="G47" s="16">
        <v>318.55</v>
      </c>
      <c r="H47" s="16">
        <f t="shared" si="1"/>
        <v>317.42961772061523</v>
      </c>
      <c r="I47">
        <f t="shared" si="2"/>
        <v>2</v>
      </c>
      <c r="J47" s="16" cm="1">
        <f t="array" ref="J47">INDEX(Sm,I47)</f>
        <v>0.68114275406980329</v>
      </c>
      <c r="K47" s="16">
        <f t="shared" si="3"/>
        <v>318.11076047468504</v>
      </c>
      <c r="L47" s="16">
        <f t="shared" si="4"/>
        <v>-0.43923952531497434</v>
      </c>
      <c r="M47" s="16">
        <f t="shared" si="5"/>
        <v>0.19293136059892399</v>
      </c>
    </row>
    <row r="48" spans="1:13" x14ac:dyDescent="0.4">
      <c r="F48" s="1">
        <v>22706</v>
      </c>
      <c r="G48" s="16">
        <v>319.68</v>
      </c>
      <c r="H48" s="16">
        <f t="shared" si="1"/>
        <v>317.50461223065156</v>
      </c>
      <c r="I48">
        <f t="shared" si="2"/>
        <v>3</v>
      </c>
      <c r="J48" s="16" cm="1">
        <f t="array" ref="J48">INDEX(Sm,I48)</f>
        <v>1.3951035824648568</v>
      </c>
      <c r="K48" s="16">
        <f t="shared" si="3"/>
        <v>318.89971581311642</v>
      </c>
      <c r="L48" s="16">
        <f t="shared" si="4"/>
        <v>-0.78028418688359125</v>
      </c>
      <c r="M48" s="16">
        <f t="shared" si="5"/>
        <v>0.60884341230058714</v>
      </c>
    </row>
    <row r="49" spans="6:13" x14ac:dyDescent="0.4">
      <c r="F49" s="1">
        <v>22737</v>
      </c>
      <c r="G49" s="16">
        <v>320.57</v>
      </c>
      <c r="H49" s="16">
        <f t="shared" si="1"/>
        <v>317.58775311250139</v>
      </c>
      <c r="I49">
        <f t="shared" si="2"/>
        <v>4</v>
      </c>
      <c r="J49" s="16" cm="1">
        <f t="array" ref="J49">INDEX(Sm,I49)</f>
        <v>2.6339370251743146</v>
      </c>
      <c r="K49" s="16">
        <f t="shared" si="3"/>
        <v>320.22169013767569</v>
      </c>
      <c r="L49" s="16">
        <f t="shared" si="4"/>
        <v>-0.3483098623242995</v>
      </c>
      <c r="M49" s="16">
        <f t="shared" si="5"/>
        <v>0.12131976019237248</v>
      </c>
    </row>
    <row r="50" spans="6:13" x14ac:dyDescent="0.4">
      <c r="F50" s="1">
        <v>22767</v>
      </c>
      <c r="G50" s="16">
        <v>321.02</v>
      </c>
      <c r="H50" s="16">
        <f t="shared" si="1"/>
        <v>317.66832348695687</v>
      </c>
      <c r="I50">
        <f t="shared" si="2"/>
        <v>5</v>
      </c>
      <c r="J50" s="16" cm="1">
        <f t="array" ref="J50">INDEX(Sm,I50)</f>
        <v>3.0997257789906989</v>
      </c>
      <c r="K50" s="16">
        <f t="shared" si="3"/>
        <v>320.76804926594758</v>
      </c>
      <c r="L50" s="16">
        <f t="shared" si="4"/>
        <v>-0.25195073405240009</v>
      </c>
      <c r="M50" s="16">
        <f t="shared" si="5"/>
        <v>6.3479172389543245E-2</v>
      </c>
    </row>
    <row r="51" spans="6:13" x14ac:dyDescent="0.4">
      <c r="F51" s="1">
        <v>22798</v>
      </c>
      <c r="G51" s="16">
        <v>320.62</v>
      </c>
      <c r="H51" s="16">
        <f t="shared" si="1"/>
        <v>317.7516948727307</v>
      </c>
      <c r="I51">
        <f t="shared" si="2"/>
        <v>6</v>
      </c>
      <c r="J51" s="16" cm="1">
        <f t="array" ref="J51">INDEX(Sm,I51)</f>
        <v>2.3207404253660839</v>
      </c>
      <c r="K51" s="16">
        <f t="shared" si="3"/>
        <v>320.07243529809676</v>
      </c>
      <c r="L51" s="16">
        <f t="shared" si="4"/>
        <v>-0.5475647019032408</v>
      </c>
      <c r="M51" s="16">
        <f t="shared" si="5"/>
        <v>0.29982710277038493</v>
      </c>
    </row>
    <row r="52" spans="6:13" x14ac:dyDescent="0.4">
      <c r="F52" s="1">
        <v>22828</v>
      </c>
      <c r="G52" s="16">
        <v>319.61</v>
      </c>
      <c r="H52" s="16">
        <f t="shared" si="1"/>
        <v>317.83248862450733</v>
      </c>
      <c r="I52">
        <f t="shared" si="2"/>
        <v>7</v>
      </c>
      <c r="J52" s="16" cm="1">
        <f t="array" ref="J52">INDEX(Sm,I52)</f>
        <v>0.74435685666414753</v>
      </c>
      <c r="K52" s="16">
        <f t="shared" si="3"/>
        <v>318.57684548117146</v>
      </c>
      <c r="L52" s="16">
        <f t="shared" si="4"/>
        <v>-1.0331545188285531</v>
      </c>
      <c r="M52" s="16">
        <f t="shared" si="5"/>
        <v>1.0674082597758592</v>
      </c>
    </row>
    <row r="53" spans="6:13" x14ac:dyDescent="0.4">
      <c r="F53" s="1">
        <v>22859</v>
      </c>
      <c r="G53" s="16">
        <v>317.39999999999998</v>
      </c>
      <c r="H53" s="16">
        <f t="shared" si="1"/>
        <v>317.91609115326577</v>
      </c>
      <c r="I53">
        <f t="shared" si="2"/>
        <v>8</v>
      </c>
      <c r="J53" s="16" cm="1">
        <f t="array" ref="J53">INDEX(Sm,I53)</f>
        <v>-1.3868231821212227</v>
      </c>
      <c r="K53" s="16">
        <f t="shared" si="3"/>
        <v>316.52926797114452</v>
      </c>
      <c r="L53" s="16">
        <f t="shared" si="4"/>
        <v>-0.87073202885545697</v>
      </c>
      <c r="M53" s="16">
        <f t="shared" si="5"/>
        <v>0.75817426607474037</v>
      </c>
    </row>
    <row r="54" spans="6:13" x14ac:dyDescent="0.4">
      <c r="F54" s="1">
        <v>22890</v>
      </c>
      <c r="G54" s="16">
        <v>316.25</v>
      </c>
      <c r="H54" s="16">
        <f t="shared" si="1"/>
        <v>317.99981139360602</v>
      </c>
      <c r="I54">
        <f t="shared" si="2"/>
        <v>9</v>
      </c>
      <c r="J54" s="16" cm="1">
        <f t="array" ref="J54">INDEX(Sm,I54)</f>
        <v>-3.1918015790052943</v>
      </c>
      <c r="K54" s="16">
        <f t="shared" si="3"/>
        <v>314.80800981460072</v>
      </c>
      <c r="L54" s="16">
        <f t="shared" si="4"/>
        <v>-1.4419901853992769</v>
      </c>
      <c r="M54" s="16">
        <f t="shared" si="5"/>
        <v>2.079335694787841</v>
      </c>
    </row>
    <row r="55" spans="6:13" x14ac:dyDescent="0.4">
      <c r="F55" s="1">
        <v>22920</v>
      </c>
      <c r="G55" s="16">
        <v>315.42</v>
      </c>
      <c r="H55" s="16">
        <f t="shared" si="1"/>
        <v>318.08094321424136</v>
      </c>
      <c r="I55">
        <f t="shared" si="2"/>
        <v>10</v>
      </c>
      <c r="J55" s="16" cm="1">
        <f t="array" ref="J55">INDEX(Sm,I55)</f>
        <v>-3.3171210691938846</v>
      </c>
      <c r="K55" s="16">
        <f t="shared" si="3"/>
        <v>314.76382214504747</v>
      </c>
      <c r="L55" s="16">
        <f t="shared" si="4"/>
        <v>-0.65617785495254566</v>
      </c>
      <c r="M55" s="16">
        <f t="shared" si="5"/>
        <v>0.43056937733012407</v>
      </c>
    </row>
    <row r="56" spans="6:13" x14ac:dyDescent="0.4">
      <c r="F56" s="1">
        <v>22951</v>
      </c>
      <c r="G56" s="16">
        <v>316.69</v>
      </c>
      <c r="H56" s="16">
        <f t="shared" si="1"/>
        <v>318.16489556474795</v>
      </c>
      <c r="I56">
        <f t="shared" si="2"/>
        <v>11</v>
      </c>
      <c r="J56" s="16" cm="1">
        <f t="array" ref="J56">INDEX(Sm,I56)</f>
        <v>-2.0577916254037292</v>
      </c>
      <c r="K56" s="16">
        <f t="shared" si="3"/>
        <v>316.1071039393442</v>
      </c>
      <c r="L56" s="16">
        <f t="shared" si="4"/>
        <v>-0.58289606065579846</v>
      </c>
      <c r="M56" s="16">
        <f t="shared" si="5"/>
        <v>0.3397678175280483</v>
      </c>
    </row>
    <row r="57" spans="6:13" x14ac:dyDescent="0.4">
      <c r="F57" s="1">
        <v>22981</v>
      </c>
      <c r="G57" s="16">
        <v>317.7</v>
      </c>
      <c r="H57" s="16">
        <f t="shared" si="1"/>
        <v>318.24625231928587</v>
      </c>
      <c r="I57">
        <f t="shared" si="2"/>
        <v>12</v>
      </c>
      <c r="J57" s="16" cm="1">
        <f t="array" ref="J57">INDEX(Sm,I57)</f>
        <v>-0.88780634062791353</v>
      </c>
      <c r="K57" s="16">
        <f t="shared" si="3"/>
        <v>317.35844597865798</v>
      </c>
      <c r="L57" s="16">
        <f t="shared" si="4"/>
        <v>-0.34155402134200585</v>
      </c>
      <c r="M57" s="16">
        <f t="shared" si="5"/>
        <v>0.11665914949489539</v>
      </c>
    </row>
    <row r="58" spans="6:13" x14ac:dyDescent="0.4">
      <c r="F58" s="1">
        <v>23012</v>
      </c>
      <c r="G58" s="16">
        <v>318.74</v>
      </c>
      <c r="H58" s="16">
        <f t="shared" si="1"/>
        <v>318.33043742347263</v>
      </c>
      <c r="I58">
        <f t="shared" si="2"/>
        <v>1</v>
      </c>
      <c r="J58" s="16" cm="1">
        <f t="array" ref="J58">INDEX(Sm,I58)</f>
        <v>-3.3662626377861403E-2</v>
      </c>
      <c r="K58" s="16">
        <f t="shared" si="3"/>
        <v>318.29677479709477</v>
      </c>
      <c r="L58" s="16">
        <f t="shared" si="4"/>
        <v>-0.44322520290523926</v>
      </c>
      <c r="M58" s="16">
        <f t="shared" si="5"/>
        <v>0.19644858049039052</v>
      </c>
    </row>
    <row r="59" spans="6:13" x14ac:dyDescent="0.4">
      <c r="F59" s="1">
        <v>23043</v>
      </c>
      <c r="G59" s="16">
        <v>319.07</v>
      </c>
      <c r="H59" s="16">
        <f t="shared" si="1"/>
        <v>318.41474105950186</v>
      </c>
      <c r="I59">
        <f t="shared" si="2"/>
        <v>2</v>
      </c>
      <c r="J59" s="16" cm="1">
        <f t="array" ref="J59">INDEX(Sm,I59)</f>
        <v>0.68114275406980329</v>
      </c>
      <c r="K59" s="16">
        <f t="shared" si="3"/>
        <v>319.09588381357167</v>
      </c>
      <c r="L59" s="16">
        <f t="shared" si="4"/>
        <v>2.5883813571681458E-2</v>
      </c>
      <c r="M59" s="16">
        <f t="shared" si="5"/>
        <v>6.6997180501356124E-4</v>
      </c>
    </row>
    <row r="60" spans="6:13" x14ac:dyDescent="0.4">
      <c r="F60" s="1">
        <v>23071</v>
      </c>
      <c r="G60" s="16">
        <v>319.86</v>
      </c>
      <c r="H60" s="16">
        <f t="shared" si="1"/>
        <v>318.49098829860338</v>
      </c>
      <c r="I60">
        <f t="shared" si="2"/>
        <v>3</v>
      </c>
      <c r="J60" s="16" cm="1">
        <f t="array" ref="J60">INDEX(Sm,I60)</f>
        <v>1.3951035824648568</v>
      </c>
      <c r="K60" s="16">
        <f t="shared" si="3"/>
        <v>319.88609188106824</v>
      </c>
      <c r="L60" s="16">
        <f t="shared" si="4"/>
        <v>2.6091881068225575E-2</v>
      </c>
      <c r="M60" s="16">
        <f t="shared" si="5"/>
        <v>6.8078625767842814E-4</v>
      </c>
    </row>
    <row r="61" spans="6:13" x14ac:dyDescent="0.4">
      <c r="F61" s="1">
        <v>23102</v>
      </c>
      <c r="G61" s="16">
        <v>321.38</v>
      </c>
      <c r="H61" s="16">
        <f t="shared" si="1"/>
        <v>318.57551798876938</v>
      </c>
      <c r="I61">
        <f t="shared" si="2"/>
        <v>4</v>
      </c>
      <c r="J61" s="16" cm="1">
        <f t="array" ref="J61">INDEX(Sm,I61)</f>
        <v>2.6339370251743146</v>
      </c>
      <c r="K61" s="16">
        <f t="shared" si="3"/>
        <v>321.20945501394368</v>
      </c>
      <c r="L61" s="16">
        <f t="shared" si="4"/>
        <v>-0.17054498605631352</v>
      </c>
      <c r="M61" s="16">
        <f t="shared" si="5"/>
        <v>2.9085592268948173E-2</v>
      </c>
    </row>
    <row r="62" spans="6:13" x14ac:dyDescent="0.4">
      <c r="F62" s="1">
        <v>23132</v>
      </c>
      <c r="G62" s="16">
        <v>322.25</v>
      </c>
      <c r="H62" s="16">
        <f t="shared" si="1"/>
        <v>318.6574342330735</v>
      </c>
      <c r="I62">
        <f t="shared" si="2"/>
        <v>5</v>
      </c>
      <c r="J62" s="16" cm="1">
        <f t="array" ref="J62">INDEX(Sm,I62)</f>
        <v>3.0997257789906989</v>
      </c>
      <c r="K62" s="16">
        <f t="shared" si="3"/>
        <v>321.75716001206422</v>
      </c>
      <c r="L62" s="16">
        <f t="shared" si="4"/>
        <v>-0.49283998793578121</v>
      </c>
      <c r="M62" s="16">
        <f t="shared" si="5"/>
        <v>0.24289125370854098</v>
      </c>
    </row>
    <row r="63" spans="6:13" x14ac:dyDescent="0.4">
      <c r="F63" s="1">
        <v>23163</v>
      </c>
      <c r="G63" s="16">
        <v>321.48</v>
      </c>
      <c r="H63" s="16">
        <f t="shared" si="1"/>
        <v>318.74219827756491</v>
      </c>
      <c r="I63">
        <f t="shared" si="2"/>
        <v>6</v>
      </c>
      <c r="J63" s="16" cm="1">
        <f t="array" ref="J63">INDEX(Sm,I63)</f>
        <v>2.3207404253660839</v>
      </c>
      <c r="K63" s="16">
        <f t="shared" si="3"/>
        <v>321.06293870293098</v>
      </c>
      <c r="L63" s="16">
        <f t="shared" si="4"/>
        <v>-0.41706129706903994</v>
      </c>
      <c r="M63" s="16">
        <f t="shared" si="5"/>
        <v>0.17394012551290999</v>
      </c>
    </row>
    <row r="64" spans="6:13" x14ac:dyDescent="0.4">
      <c r="F64" s="1">
        <v>23193</v>
      </c>
      <c r="G64" s="16">
        <v>319.74</v>
      </c>
      <c r="H64" s="16">
        <f t="shared" si="1"/>
        <v>318.82434163054688</v>
      </c>
      <c r="I64">
        <f t="shared" si="2"/>
        <v>7</v>
      </c>
      <c r="J64" s="16" cm="1">
        <f t="array" ref="J64">INDEX(Sm,I64)</f>
        <v>0.74435685666414753</v>
      </c>
      <c r="K64" s="16">
        <f t="shared" si="3"/>
        <v>319.56869848721101</v>
      </c>
      <c r="L64" s="16">
        <f t="shared" si="4"/>
        <v>-0.1713015127890003</v>
      </c>
      <c r="M64" s="16">
        <f t="shared" si="5"/>
        <v>2.9344208283800032E-2</v>
      </c>
    </row>
    <row r="65" spans="6:13" x14ac:dyDescent="0.4">
      <c r="F65" s="1">
        <v>23224</v>
      </c>
      <c r="G65" s="16">
        <v>317.77</v>
      </c>
      <c r="H65" s="16">
        <f t="shared" si="1"/>
        <v>318.90934067909927</v>
      </c>
      <c r="I65">
        <f t="shared" si="2"/>
        <v>8</v>
      </c>
      <c r="J65" s="16" cm="1">
        <f t="array" ref="J65">INDEX(Sm,I65)</f>
        <v>-1.3868231821212227</v>
      </c>
      <c r="K65" s="16">
        <f t="shared" si="3"/>
        <v>317.52251749697803</v>
      </c>
      <c r="L65" s="16">
        <f t="shared" si="4"/>
        <v>-0.24748250302195629</v>
      </c>
      <c r="M65" s="16">
        <f t="shared" si="5"/>
        <v>6.1247589302012607E-2</v>
      </c>
    </row>
    <row r="66" spans="6:13" x14ac:dyDescent="0.4">
      <c r="F66" s="1">
        <v>23255</v>
      </c>
      <c r="G66" s="16">
        <v>316.20999999999998</v>
      </c>
      <c r="H66" s="16">
        <f t="shared" si="1"/>
        <v>318.99445940552033</v>
      </c>
      <c r="I66">
        <f t="shared" si="2"/>
        <v>9</v>
      </c>
      <c r="J66" s="16" cm="1">
        <f t="array" ref="J66">INDEX(Sm,I66)</f>
        <v>-3.1918015790052943</v>
      </c>
      <c r="K66" s="16">
        <f t="shared" si="3"/>
        <v>315.80265782651503</v>
      </c>
      <c r="L66" s="16">
        <f t="shared" si="4"/>
        <v>-0.40734217348494894</v>
      </c>
      <c r="M66" s="16">
        <f t="shared" si="5"/>
        <v>0.16592764629944223</v>
      </c>
    </row>
    <row r="67" spans="6:13" x14ac:dyDescent="0.4">
      <c r="F67" s="1">
        <v>23285</v>
      </c>
      <c r="G67" s="16">
        <v>315.99</v>
      </c>
      <c r="H67" s="16">
        <f t="shared" ref="H67:H130" si="6">EXP(_A*F67+_B)+_C</f>
        <v>319.07694647455685</v>
      </c>
      <c r="I67">
        <f t="shared" ref="I67:I130" si="7">MONTH(F67)</f>
        <v>10</v>
      </c>
      <c r="J67" s="16" cm="1">
        <f t="array" ref="J67">INDEX(Sm,I67)</f>
        <v>-3.3171210691938846</v>
      </c>
      <c r="K67" s="16">
        <f t="shared" ref="K67:K130" si="8">H67+J67</f>
        <v>315.75982540536296</v>
      </c>
      <c r="L67" s="16">
        <f t="shared" ref="L67:L130" si="9">K67-G67</f>
        <v>-0.23017459463704881</v>
      </c>
      <c r="M67" s="16">
        <f t="shared" ref="M67:M130" si="10">L67*L67</f>
        <v>5.2980344016329742E-2</v>
      </c>
    </row>
    <row r="68" spans="6:13" x14ac:dyDescent="0.4">
      <c r="F68" s="1">
        <v>23316</v>
      </c>
      <c r="G68" s="16">
        <v>317.07</v>
      </c>
      <c r="H68" s="16">
        <f t="shared" si="6"/>
        <v>319.16230118837672</v>
      </c>
      <c r="I68">
        <f t="shared" si="7"/>
        <v>11</v>
      </c>
      <c r="J68" s="16" cm="1">
        <f t="array" ref="J68">INDEX(Sm,I68)</f>
        <v>-2.0577916254037292</v>
      </c>
      <c r="K68" s="16">
        <f t="shared" si="8"/>
        <v>317.10450956297296</v>
      </c>
      <c r="L68" s="16">
        <f t="shared" si="9"/>
        <v>3.4509562972971253E-2</v>
      </c>
      <c r="M68" s="16">
        <f t="shared" si="10"/>
        <v>1.1909099365854684E-3</v>
      </c>
    </row>
    <row r="69" spans="6:13" x14ac:dyDescent="0.4">
      <c r="F69" s="1">
        <v>23346</v>
      </c>
      <c r="G69" s="16">
        <v>318.35000000000002</v>
      </c>
      <c r="H69" s="16">
        <f t="shared" si="6"/>
        <v>319.24501694867405</v>
      </c>
      <c r="I69">
        <f t="shared" si="7"/>
        <v>12</v>
      </c>
      <c r="J69" s="16" cm="1">
        <f t="array" ref="J69">INDEX(Sm,I69)</f>
        <v>-0.88780634062791353</v>
      </c>
      <c r="K69" s="16">
        <f t="shared" si="8"/>
        <v>318.35721060804616</v>
      </c>
      <c r="L69" s="16">
        <f t="shared" si="9"/>
        <v>7.2106080461367128E-3</v>
      </c>
      <c r="M69" s="16">
        <f t="shared" si="10"/>
        <v>5.1992868395011505E-5</v>
      </c>
    </row>
    <row r="70" spans="6:13" x14ac:dyDescent="0.4">
      <c r="F70" s="1">
        <v>23377</v>
      </c>
      <c r="G70" s="16">
        <v>319.57</v>
      </c>
      <c r="H70" s="16">
        <f t="shared" si="6"/>
        <v>319.33060830415604</v>
      </c>
      <c r="I70">
        <f t="shared" si="7"/>
        <v>1</v>
      </c>
      <c r="J70" s="16" cm="1">
        <f t="array" ref="J70">INDEX(Sm,I70)</f>
        <v>-3.3662626377861403E-2</v>
      </c>
      <c r="K70" s="16">
        <f t="shared" si="8"/>
        <v>319.29694567777818</v>
      </c>
      <c r="L70" s="16">
        <f t="shared" si="9"/>
        <v>-0.27305432222181025</v>
      </c>
      <c r="M70" s="16">
        <f t="shared" si="10"/>
        <v>7.4558662884012181E-2</v>
      </c>
    </row>
    <row r="71" spans="6:13" x14ac:dyDescent="0.4">
      <c r="F71" s="1">
        <v>23498</v>
      </c>
      <c r="G71" s="16">
        <v>322.26</v>
      </c>
      <c r="H71" s="16">
        <f t="shared" si="6"/>
        <v>319.66584546572051</v>
      </c>
      <c r="I71">
        <f t="shared" si="7"/>
        <v>5</v>
      </c>
      <c r="J71" s="16" cm="1">
        <f t="array" ref="J71">INDEX(Sm,I71)</f>
        <v>3.0997257789906989</v>
      </c>
      <c r="K71" s="16">
        <f t="shared" si="8"/>
        <v>322.76557124471123</v>
      </c>
      <c r="L71" s="16">
        <f t="shared" si="9"/>
        <v>0.50557124471123416</v>
      </c>
      <c r="M71" s="16">
        <f t="shared" si="10"/>
        <v>0.2556022834788666</v>
      </c>
    </row>
    <row r="72" spans="6:13" x14ac:dyDescent="0.4">
      <c r="F72" s="1">
        <v>23529</v>
      </c>
      <c r="G72" s="16">
        <v>321.89</v>
      </c>
      <c r="H72" s="16">
        <f t="shared" si="6"/>
        <v>319.75202934383475</v>
      </c>
      <c r="I72">
        <f t="shared" si="7"/>
        <v>6</v>
      </c>
      <c r="J72" s="16" cm="1">
        <f t="array" ref="J72">INDEX(Sm,I72)</f>
        <v>2.3207404253660839</v>
      </c>
      <c r="K72" s="16">
        <f t="shared" si="8"/>
        <v>322.07276976920082</v>
      </c>
      <c r="L72" s="16">
        <f t="shared" si="9"/>
        <v>0.18276976920083143</v>
      </c>
      <c r="M72" s="16">
        <f t="shared" si="10"/>
        <v>3.3404788533725194E-2</v>
      </c>
    </row>
    <row r="73" spans="6:13" x14ac:dyDescent="0.4">
      <c r="F73" s="1">
        <v>23559</v>
      </c>
      <c r="G73" s="16">
        <v>320.44</v>
      </c>
      <c r="H73" s="16">
        <f t="shared" si="6"/>
        <v>319.83554863274742</v>
      </c>
      <c r="I73">
        <f t="shared" si="7"/>
        <v>7</v>
      </c>
      <c r="J73" s="16" cm="1">
        <f t="array" ref="J73">INDEX(Sm,I73)</f>
        <v>0.74435685666414753</v>
      </c>
      <c r="K73" s="16">
        <f t="shared" si="8"/>
        <v>320.57990548941154</v>
      </c>
      <c r="L73" s="16">
        <f t="shared" si="9"/>
        <v>0.13990548941154657</v>
      </c>
      <c r="M73" s="16">
        <f t="shared" si="10"/>
        <v>1.9573545967484368E-2</v>
      </c>
    </row>
    <row r="74" spans="6:13" x14ac:dyDescent="0.4">
      <c r="F74" s="1">
        <v>23590</v>
      </c>
      <c r="G74" s="16">
        <v>318.69</v>
      </c>
      <c r="H74" s="16">
        <f t="shared" si="6"/>
        <v>319.92197145134008</v>
      </c>
      <c r="I74">
        <f t="shared" si="7"/>
        <v>8</v>
      </c>
      <c r="J74" s="16" cm="1">
        <f t="array" ref="J74">INDEX(Sm,I74)</f>
        <v>-1.3868231821212227</v>
      </c>
      <c r="K74" s="16">
        <f t="shared" si="8"/>
        <v>318.53514826921884</v>
      </c>
      <c r="L74" s="16">
        <f t="shared" si="9"/>
        <v>-0.15485173078116077</v>
      </c>
      <c r="M74" s="16">
        <f t="shared" si="10"/>
        <v>2.3979058525921092E-2</v>
      </c>
    </row>
    <row r="75" spans="6:13" x14ac:dyDescent="0.4">
      <c r="F75" s="1">
        <v>23621</v>
      </c>
      <c r="G75" s="16">
        <v>316.7</v>
      </c>
      <c r="H75" s="16">
        <f t="shared" si="6"/>
        <v>320.00851595245626</v>
      </c>
      <c r="I75">
        <f t="shared" si="7"/>
        <v>9</v>
      </c>
      <c r="J75" s="16" cm="1">
        <f t="array" ref="J75">INDEX(Sm,I75)</f>
        <v>-3.1918015790052943</v>
      </c>
      <c r="K75" s="16">
        <f t="shared" si="8"/>
        <v>316.81671437345096</v>
      </c>
      <c r="L75" s="16">
        <f t="shared" si="9"/>
        <v>0.11671437345097502</v>
      </c>
      <c r="M75" s="16">
        <f t="shared" si="10"/>
        <v>1.3622244970053663E-2</v>
      </c>
    </row>
    <row r="76" spans="6:13" x14ac:dyDescent="0.4">
      <c r="F76" s="1">
        <v>23651</v>
      </c>
      <c r="G76" s="16">
        <v>316.87</v>
      </c>
      <c r="H76" s="16">
        <f t="shared" si="6"/>
        <v>320.09238471481302</v>
      </c>
      <c r="I76">
        <f t="shared" si="7"/>
        <v>10</v>
      </c>
      <c r="J76" s="16" cm="1">
        <f t="array" ref="J76">INDEX(Sm,I76)</f>
        <v>-3.3171210691938846</v>
      </c>
      <c r="K76" s="16">
        <f t="shared" si="8"/>
        <v>316.77526364561913</v>
      </c>
      <c r="L76" s="16">
        <f t="shared" si="9"/>
        <v>-9.473635438087058E-2</v>
      </c>
      <c r="M76" s="16">
        <f t="shared" si="10"/>
        <v>8.974976841377897E-3</v>
      </c>
    </row>
    <row r="77" spans="6:13" x14ac:dyDescent="0.4">
      <c r="F77" s="1">
        <v>23682</v>
      </c>
      <c r="G77" s="16">
        <v>317.68</v>
      </c>
      <c r="H77" s="16">
        <f t="shared" si="6"/>
        <v>320.17916915621686</v>
      </c>
      <c r="I77">
        <f t="shared" si="7"/>
        <v>11</v>
      </c>
      <c r="J77" s="16" cm="1">
        <f t="array" ref="J77">INDEX(Sm,I77)</f>
        <v>-2.0577916254037292</v>
      </c>
      <c r="K77" s="16">
        <f t="shared" si="8"/>
        <v>318.12137753081311</v>
      </c>
      <c r="L77" s="16">
        <f t="shared" si="9"/>
        <v>0.44137753081309938</v>
      </c>
      <c r="M77" s="16">
        <f t="shared" si="10"/>
        <v>0.19481412470666851</v>
      </c>
    </row>
    <row r="78" spans="6:13" x14ac:dyDescent="0.4">
      <c r="F78" s="1">
        <v>23712</v>
      </c>
      <c r="G78" s="16">
        <v>318.70999999999998</v>
      </c>
      <c r="H78" s="16">
        <f t="shared" si="6"/>
        <v>320.26327044050976</v>
      </c>
      <c r="I78">
        <f t="shared" si="7"/>
        <v>12</v>
      </c>
      <c r="J78" s="16" cm="1">
        <f t="array" ref="J78">INDEX(Sm,I78)</f>
        <v>-0.88780634062791353</v>
      </c>
      <c r="K78" s="16">
        <f t="shared" si="8"/>
        <v>319.37546409988187</v>
      </c>
      <c r="L78" s="16">
        <f t="shared" si="9"/>
        <v>0.66546409988188771</v>
      </c>
      <c r="M78" s="16">
        <f t="shared" si="10"/>
        <v>0.442842468231611</v>
      </c>
    </row>
    <row r="79" spans="6:13" x14ac:dyDescent="0.4">
      <c r="F79" s="1">
        <v>23743</v>
      </c>
      <c r="G79" s="16">
        <v>319.44</v>
      </c>
      <c r="H79" s="16">
        <f t="shared" si="6"/>
        <v>320.35029548742375</v>
      </c>
      <c r="I79">
        <f t="shared" si="7"/>
        <v>1</v>
      </c>
      <c r="J79" s="16" cm="1">
        <f t="array" ref="J79">INDEX(Sm,I79)</f>
        <v>-3.3662626377861403E-2</v>
      </c>
      <c r="K79" s="16">
        <f t="shared" si="8"/>
        <v>320.31663286104589</v>
      </c>
      <c r="L79" s="16">
        <f t="shared" si="9"/>
        <v>0.87663286104589133</v>
      </c>
      <c r="M79" s="16">
        <f t="shared" si="10"/>
        <v>0.76848517306550501</v>
      </c>
    </row>
    <row r="80" spans="6:13" x14ac:dyDescent="0.4">
      <c r="F80" s="1">
        <v>23774</v>
      </c>
      <c r="G80" s="16">
        <v>320.44</v>
      </c>
      <c r="H80" s="16">
        <f t="shared" si="6"/>
        <v>320.43744306479317</v>
      </c>
      <c r="I80">
        <f t="shared" si="7"/>
        <v>2</v>
      </c>
      <c r="J80" s="16" cm="1">
        <f t="array" ref="J80">INDEX(Sm,I80)</f>
        <v>0.68114275406980329</v>
      </c>
      <c r="K80" s="16">
        <f t="shared" si="8"/>
        <v>321.11858581886298</v>
      </c>
      <c r="L80" s="16">
        <f t="shared" si="9"/>
        <v>0.67858581886298452</v>
      </c>
      <c r="M80" s="16">
        <f t="shared" si="10"/>
        <v>0.46047871356194725</v>
      </c>
    </row>
    <row r="81" spans="6:13" x14ac:dyDescent="0.4">
      <c r="F81" s="1">
        <v>23802</v>
      </c>
      <c r="G81" s="16">
        <v>320.89</v>
      </c>
      <c r="H81" s="16">
        <f t="shared" si="6"/>
        <v>320.5162624666811</v>
      </c>
      <c r="I81">
        <f t="shared" si="7"/>
        <v>3</v>
      </c>
      <c r="J81" s="16" cm="1">
        <f t="array" ref="J81">INDEX(Sm,I81)</f>
        <v>1.3951035824648568</v>
      </c>
      <c r="K81" s="16">
        <f t="shared" si="8"/>
        <v>321.91136604914595</v>
      </c>
      <c r="L81" s="16">
        <f t="shared" si="9"/>
        <v>1.0213660491459677</v>
      </c>
      <c r="M81" s="16">
        <f t="shared" si="10"/>
        <v>1.0431886063480433</v>
      </c>
    </row>
    <row r="82" spans="6:13" x14ac:dyDescent="0.4">
      <c r="F82" s="1">
        <v>23833</v>
      </c>
      <c r="G82" s="16">
        <v>322.14</v>
      </c>
      <c r="H82" s="16">
        <f t="shared" si="6"/>
        <v>320.60364372401142</v>
      </c>
      <c r="I82">
        <f t="shared" si="7"/>
        <v>4</v>
      </c>
      <c r="J82" s="16" cm="1">
        <f t="array" ref="J82">INDEX(Sm,I82)</f>
        <v>2.6339370251743146</v>
      </c>
      <c r="K82" s="16">
        <f t="shared" si="8"/>
        <v>323.23758074918572</v>
      </c>
      <c r="L82" s="16">
        <f t="shared" si="9"/>
        <v>1.0975807491857381</v>
      </c>
      <c r="M82" s="16">
        <f t="shared" si="10"/>
        <v>1.2046835009831263</v>
      </c>
    </row>
    <row r="83" spans="6:13" x14ac:dyDescent="0.4">
      <c r="F83" s="1">
        <v>23863</v>
      </c>
      <c r="G83" s="16">
        <v>322.17</v>
      </c>
      <c r="H83" s="16">
        <f t="shared" si="6"/>
        <v>320.68832337218026</v>
      </c>
      <c r="I83">
        <f t="shared" si="7"/>
        <v>5</v>
      </c>
      <c r="J83" s="16" cm="1">
        <f t="array" ref="J83">INDEX(Sm,I83)</f>
        <v>3.0997257789906989</v>
      </c>
      <c r="K83" s="16">
        <f t="shared" si="8"/>
        <v>323.78804915117098</v>
      </c>
      <c r="L83" s="16">
        <f t="shared" si="9"/>
        <v>1.6180491511709647</v>
      </c>
      <c r="M83" s="16">
        <f t="shared" si="10"/>
        <v>2.6180830556050796</v>
      </c>
    </row>
    <row r="84" spans="6:13" x14ac:dyDescent="0.4">
      <c r="F84" s="1">
        <v>23894</v>
      </c>
      <c r="G84" s="16">
        <v>321.87</v>
      </c>
      <c r="H84" s="16">
        <f t="shared" si="6"/>
        <v>320.77594688966286</v>
      </c>
      <c r="I84">
        <f t="shared" si="7"/>
        <v>6</v>
      </c>
      <c r="J84" s="16" cm="1">
        <f t="array" ref="J84">INDEX(Sm,I84)</f>
        <v>2.3207404253660839</v>
      </c>
      <c r="K84" s="16">
        <f t="shared" si="8"/>
        <v>323.09668731502893</v>
      </c>
      <c r="L84" s="16">
        <f t="shared" si="9"/>
        <v>1.2266873150289257</v>
      </c>
      <c r="M84" s="16">
        <f t="shared" si="10"/>
        <v>1.5047617688528747</v>
      </c>
    </row>
    <row r="85" spans="6:13" x14ac:dyDescent="0.4">
      <c r="F85" s="1">
        <v>23924</v>
      </c>
      <c r="G85" s="16">
        <v>321.20999999999998</v>
      </c>
      <c r="H85" s="16">
        <f t="shared" si="6"/>
        <v>320.86086130790812</v>
      </c>
      <c r="I85">
        <f t="shared" si="7"/>
        <v>7</v>
      </c>
      <c r="J85" s="16" cm="1">
        <f t="array" ref="J85">INDEX(Sm,I85)</f>
        <v>0.74435685666414753</v>
      </c>
      <c r="K85" s="16">
        <f t="shared" si="8"/>
        <v>321.60521816457225</v>
      </c>
      <c r="L85" s="16">
        <f t="shared" si="9"/>
        <v>0.39521816457227033</v>
      </c>
      <c r="M85" s="16">
        <f t="shared" si="10"/>
        <v>0.15619739760787416</v>
      </c>
    </row>
    <row r="86" spans="6:13" x14ac:dyDescent="0.4">
      <c r="F86" s="1">
        <v>23955</v>
      </c>
      <c r="G86" s="16">
        <v>318.87</v>
      </c>
      <c r="H86" s="16">
        <f t="shared" si="6"/>
        <v>320.94872775719716</v>
      </c>
      <c r="I86">
        <f t="shared" si="7"/>
        <v>8</v>
      </c>
      <c r="J86" s="16" cm="1">
        <f t="array" ref="J86">INDEX(Sm,I86)</f>
        <v>-1.3868231821212227</v>
      </c>
      <c r="K86" s="16">
        <f t="shared" si="8"/>
        <v>319.56190457507591</v>
      </c>
      <c r="L86" s="16">
        <f t="shared" si="9"/>
        <v>0.69190457507590963</v>
      </c>
      <c r="M86" s="16">
        <f t="shared" si="10"/>
        <v>0.47873194101097505</v>
      </c>
    </row>
    <row r="87" spans="6:13" x14ac:dyDescent="0.4">
      <c r="F87" s="1">
        <v>23986</v>
      </c>
      <c r="G87" s="16">
        <v>317.81</v>
      </c>
      <c r="H87" s="16">
        <f t="shared" si="6"/>
        <v>321.03671792162834</v>
      </c>
      <c r="I87">
        <f t="shared" si="7"/>
        <v>9</v>
      </c>
      <c r="J87" s="16" cm="1">
        <f t="array" ref="J87">INDEX(Sm,I87)</f>
        <v>-3.1918015790052943</v>
      </c>
      <c r="K87" s="16">
        <f t="shared" si="8"/>
        <v>317.84491634262304</v>
      </c>
      <c r="L87" s="16">
        <f t="shared" si="9"/>
        <v>3.491634262303478E-2</v>
      </c>
      <c r="M87" s="16">
        <f t="shared" si="10"/>
        <v>1.2191509821691553E-3</v>
      </c>
    </row>
    <row r="88" spans="6:13" x14ac:dyDescent="0.4">
      <c r="F88" s="1">
        <v>24016</v>
      </c>
      <c r="G88" s="16">
        <v>317.3</v>
      </c>
      <c r="H88" s="16">
        <f t="shared" si="6"/>
        <v>321.12198765101874</v>
      </c>
      <c r="I88">
        <f t="shared" si="7"/>
        <v>10</v>
      </c>
      <c r="J88" s="16" cm="1">
        <f t="array" ref="J88">INDEX(Sm,I88)</f>
        <v>-3.3171210691938846</v>
      </c>
      <c r="K88" s="16">
        <f t="shared" si="8"/>
        <v>317.80486658182485</v>
      </c>
      <c r="L88" s="16">
        <f t="shared" si="9"/>
        <v>0.50486658182484234</v>
      </c>
      <c r="M88" s="16">
        <f t="shared" si="10"/>
        <v>0.25489026544350024</v>
      </c>
    </row>
    <row r="89" spans="6:13" x14ac:dyDescent="0.4">
      <c r="F89" s="1">
        <v>24047</v>
      </c>
      <c r="G89" s="16">
        <v>318.87</v>
      </c>
      <c r="H89" s="16">
        <f t="shared" si="6"/>
        <v>321.21022176376664</v>
      </c>
      <c r="I89">
        <f t="shared" si="7"/>
        <v>11</v>
      </c>
      <c r="J89" s="16" cm="1">
        <f t="array" ref="J89">INDEX(Sm,I89)</f>
        <v>-2.0577916254037292</v>
      </c>
      <c r="K89" s="16">
        <f t="shared" si="8"/>
        <v>319.15243013836289</v>
      </c>
      <c r="L89" s="16">
        <f t="shared" si="9"/>
        <v>0.28243013836288355</v>
      </c>
      <c r="M89" s="16">
        <f t="shared" si="10"/>
        <v>7.9766783055677554E-2</v>
      </c>
    </row>
    <row r="90" spans="6:13" x14ac:dyDescent="0.4">
      <c r="F90" s="1">
        <v>24077</v>
      </c>
      <c r="G90" s="16">
        <v>319.42</v>
      </c>
      <c r="H90" s="16">
        <f t="shared" si="6"/>
        <v>321.29572789920405</v>
      </c>
      <c r="I90">
        <f t="shared" si="7"/>
        <v>12</v>
      </c>
      <c r="J90" s="16" cm="1">
        <f t="array" ref="J90">INDEX(Sm,I90)</f>
        <v>-0.88780634062791353</v>
      </c>
      <c r="K90" s="16">
        <f t="shared" si="8"/>
        <v>320.40792155857616</v>
      </c>
      <c r="L90" s="16">
        <f t="shared" si="9"/>
        <v>0.98792155857614716</v>
      </c>
      <c r="M90" s="16">
        <f t="shared" si="10"/>
        <v>0.97598900589952375</v>
      </c>
    </row>
    <row r="91" spans="6:13" x14ac:dyDescent="0.4">
      <c r="F91" s="1">
        <v>24108</v>
      </c>
      <c r="G91" s="16">
        <v>320.62</v>
      </c>
      <c r="H91" s="16">
        <f t="shared" si="6"/>
        <v>321.3842066366031</v>
      </c>
      <c r="I91">
        <f t="shared" si="7"/>
        <v>1</v>
      </c>
      <c r="J91" s="16" cm="1">
        <f t="array" ref="J91">INDEX(Sm,I91)</f>
        <v>-3.3662626377861403E-2</v>
      </c>
      <c r="K91" s="16">
        <f t="shared" si="8"/>
        <v>321.35054401022524</v>
      </c>
      <c r="L91" s="16">
        <f t="shared" si="9"/>
        <v>0.73054401022523052</v>
      </c>
      <c r="M91" s="16">
        <f t="shared" si="10"/>
        <v>0.53369455087596174</v>
      </c>
    </row>
    <row r="92" spans="6:13" x14ac:dyDescent="0.4">
      <c r="F92" s="1">
        <v>24139</v>
      </c>
      <c r="G92" s="16">
        <v>321.60000000000002</v>
      </c>
      <c r="H92" s="16">
        <f t="shared" si="6"/>
        <v>321.47280995124027</v>
      </c>
      <c r="I92">
        <f t="shared" si="7"/>
        <v>2</v>
      </c>
      <c r="J92" s="16" cm="1">
        <f t="array" ref="J92">INDEX(Sm,I92)</f>
        <v>0.68114275406980329</v>
      </c>
      <c r="K92" s="16">
        <f t="shared" si="8"/>
        <v>322.15395270531008</v>
      </c>
      <c r="L92" s="16">
        <f t="shared" si="9"/>
        <v>0.55395270531005281</v>
      </c>
      <c r="M92" s="16">
        <f t="shared" si="10"/>
        <v>0.30686359972032623</v>
      </c>
    </row>
    <row r="93" spans="6:13" x14ac:dyDescent="0.4">
      <c r="F93" s="1">
        <v>24167</v>
      </c>
      <c r="G93" s="16">
        <v>322.39</v>
      </c>
      <c r="H93" s="16">
        <f t="shared" si="6"/>
        <v>321.5529459742462</v>
      </c>
      <c r="I93">
        <f t="shared" si="7"/>
        <v>3</v>
      </c>
      <c r="J93" s="16" cm="1">
        <f t="array" ref="J93">INDEX(Sm,I93)</f>
        <v>1.3951035824648568</v>
      </c>
      <c r="K93" s="16">
        <f t="shared" si="8"/>
        <v>322.94804955671106</v>
      </c>
      <c r="L93" s="16">
        <f t="shared" si="9"/>
        <v>0.55804955671106882</v>
      </c>
      <c r="M93" s="16">
        <f t="shared" si="10"/>
        <v>0.31141930774542043</v>
      </c>
    </row>
    <row r="94" spans="6:13" x14ac:dyDescent="0.4">
      <c r="F94" s="1">
        <v>24198</v>
      </c>
      <c r="G94" s="16">
        <v>323.7</v>
      </c>
      <c r="H94" s="16">
        <f t="shared" si="6"/>
        <v>321.64178687229901</v>
      </c>
      <c r="I94">
        <f t="shared" si="7"/>
        <v>4</v>
      </c>
      <c r="J94" s="16" cm="1">
        <f t="array" ref="J94">INDEX(Sm,I94)</f>
        <v>2.6339370251743146</v>
      </c>
      <c r="K94" s="16">
        <f t="shared" si="8"/>
        <v>324.27572389747331</v>
      </c>
      <c r="L94" s="16">
        <f t="shared" si="9"/>
        <v>0.57572389747332409</v>
      </c>
      <c r="M94" s="16">
        <f t="shared" si="10"/>
        <v>0.33145800612187459</v>
      </c>
    </row>
    <row r="95" spans="6:13" x14ac:dyDescent="0.4">
      <c r="F95" s="1">
        <v>24228</v>
      </c>
      <c r="G95" s="16">
        <v>324.08</v>
      </c>
      <c r="H95" s="16">
        <f t="shared" si="6"/>
        <v>321.7278810327627</v>
      </c>
      <c r="I95">
        <f t="shared" si="7"/>
        <v>5</v>
      </c>
      <c r="J95" s="16" cm="1">
        <f t="array" ref="J95">INDEX(Sm,I95)</f>
        <v>3.0997257789906989</v>
      </c>
      <c r="K95" s="16">
        <f t="shared" si="8"/>
        <v>324.82760681175341</v>
      </c>
      <c r="L95" s="16">
        <f t="shared" si="9"/>
        <v>0.74760681175342825</v>
      </c>
      <c r="M95" s="16">
        <f t="shared" si="10"/>
        <v>0.55891594498012587</v>
      </c>
    </row>
    <row r="96" spans="6:13" x14ac:dyDescent="0.4">
      <c r="F96" s="1">
        <v>24259</v>
      </c>
      <c r="G96" s="16">
        <v>323.75</v>
      </c>
      <c r="H96" s="16">
        <f t="shared" si="6"/>
        <v>321.81696823774854</v>
      </c>
      <c r="I96">
        <f t="shared" si="7"/>
        <v>6</v>
      </c>
      <c r="J96" s="16" cm="1">
        <f t="array" ref="J96">INDEX(Sm,I96)</f>
        <v>2.3207404253660839</v>
      </c>
      <c r="K96" s="16">
        <f t="shared" si="8"/>
        <v>324.13770866311461</v>
      </c>
      <c r="L96" s="16">
        <f t="shared" si="9"/>
        <v>0.3877086631146085</v>
      </c>
      <c r="M96" s="16">
        <f t="shared" si="10"/>
        <v>0.150318007454117</v>
      </c>
    </row>
    <row r="97" spans="6:13" x14ac:dyDescent="0.4">
      <c r="F97" s="1">
        <v>24289</v>
      </c>
      <c r="G97" s="16">
        <v>322.38</v>
      </c>
      <c r="H97" s="16">
        <f t="shared" si="6"/>
        <v>321.903301089953</v>
      </c>
      <c r="I97">
        <f t="shared" si="7"/>
        <v>7</v>
      </c>
      <c r="J97" s="16" cm="1">
        <f t="array" ref="J97">INDEX(Sm,I97)</f>
        <v>0.74435685666414753</v>
      </c>
      <c r="K97" s="16">
        <f t="shared" si="8"/>
        <v>322.64765794661713</v>
      </c>
      <c r="L97" s="16">
        <f t="shared" si="9"/>
        <v>0.26765794661713471</v>
      </c>
      <c r="M97" s="16">
        <f t="shared" si="10"/>
        <v>7.1640776387300931E-2</v>
      </c>
    </row>
    <row r="98" spans="6:13" x14ac:dyDescent="0.4">
      <c r="F98" s="1">
        <v>24320</v>
      </c>
      <c r="G98" s="16">
        <v>320.36</v>
      </c>
      <c r="H98" s="16">
        <f t="shared" si="6"/>
        <v>321.9926352847454</v>
      </c>
      <c r="I98">
        <f t="shared" si="7"/>
        <v>8</v>
      </c>
      <c r="J98" s="16" cm="1">
        <f t="array" ref="J98">INDEX(Sm,I98)</f>
        <v>-1.3868231821212227</v>
      </c>
      <c r="K98" s="16">
        <f t="shared" si="8"/>
        <v>320.60581210262416</v>
      </c>
      <c r="L98" s="16">
        <f t="shared" si="9"/>
        <v>0.24581210262414288</v>
      </c>
      <c r="M98" s="16">
        <f t="shared" si="10"/>
        <v>6.0423589796502149E-2</v>
      </c>
    </row>
    <row r="99" spans="6:13" x14ac:dyDescent="0.4">
      <c r="F99" s="1">
        <v>24351</v>
      </c>
      <c r="G99" s="16">
        <v>318.64</v>
      </c>
      <c r="H99" s="16">
        <f t="shared" si="6"/>
        <v>322.08209526125199</v>
      </c>
      <c r="I99">
        <f t="shared" si="7"/>
        <v>9</v>
      </c>
      <c r="J99" s="16" cm="1">
        <f t="array" ref="J99">INDEX(Sm,I99)</f>
        <v>-3.1918015790052943</v>
      </c>
      <c r="K99" s="16">
        <f t="shared" si="8"/>
        <v>318.89029368224669</v>
      </c>
      <c r="L99" s="16">
        <f t="shared" si="9"/>
        <v>0.25029368224670634</v>
      </c>
      <c r="M99" s="16">
        <f t="shared" si="10"/>
        <v>6.2646927372615194E-2</v>
      </c>
    </row>
    <row r="100" spans="6:13" x14ac:dyDescent="0.4">
      <c r="F100" s="1">
        <v>24381</v>
      </c>
      <c r="G100" s="16">
        <v>318.10000000000002</v>
      </c>
      <c r="H100" s="16">
        <f t="shared" si="6"/>
        <v>322.16878935981742</v>
      </c>
      <c r="I100">
        <f t="shared" si="7"/>
        <v>10</v>
      </c>
      <c r="J100" s="16" cm="1">
        <f t="array" ref="J100">INDEX(Sm,I100)</f>
        <v>-3.3171210691938846</v>
      </c>
      <c r="K100" s="16">
        <f t="shared" si="8"/>
        <v>318.85166829062354</v>
      </c>
      <c r="L100" s="16">
        <f t="shared" si="9"/>
        <v>0.75166829062351326</v>
      </c>
      <c r="M100" s="16">
        <f t="shared" si="10"/>
        <v>0.56500521912887436</v>
      </c>
    </row>
    <row r="101" spans="6:13" x14ac:dyDescent="0.4">
      <c r="F101" s="1">
        <v>24412</v>
      </c>
      <c r="G101" s="16">
        <v>319.77999999999997</v>
      </c>
      <c r="H101" s="16">
        <f t="shared" si="6"/>
        <v>322.25849735962089</v>
      </c>
      <c r="I101">
        <f t="shared" si="7"/>
        <v>11</v>
      </c>
      <c r="J101" s="16" cm="1">
        <f t="array" ref="J101">INDEX(Sm,I101)</f>
        <v>-2.0577916254037292</v>
      </c>
      <c r="K101" s="16">
        <f t="shared" si="8"/>
        <v>320.20070573421714</v>
      </c>
      <c r="L101" s="16">
        <f t="shared" si="9"/>
        <v>0.42070573421716517</v>
      </c>
      <c r="M101" s="16">
        <f t="shared" si="10"/>
        <v>0.17699331480320402</v>
      </c>
    </row>
    <row r="102" spans="6:13" x14ac:dyDescent="0.4">
      <c r="F102" s="1">
        <v>24442</v>
      </c>
      <c r="G102" s="16">
        <v>321.02999999999997</v>
      </c>
      <c r="H102" s="16">
        <f t="shared" si="6"/>
        <v>322.34543181322533</v>
      </c>
      <c r="I102">
        <f t="shared" si="7"/>
        <v>12</v>
      </c>
      <c r="J102" s="16" cm="1">
        <f t="array" ref="J102">INDEX(Sm,I102)</f>
        <v>-0.88780634062791353</v>
      </c>
      <c r="K102" s="16">
        <f t="shared" si="8"/>
        <v>321.45762547259744</v>
      </c>
      <c r="L102" s="16">
        <f t="shared" si="9"/>
        <v>0.42762547259746952</v>
      </c>
      <c r="M102" s="16">
        <f t="shared" si="10"/>
        <v>0.18286354481420916</v>
      </c>
    </row>
    <row r="103" spans="6:13" x14ac:dyDescent="0.4">
      <c r="F103" s="1">
        <v>24473</v>
      </c>
      <c r="G103" s="16">
        <v>322.33</v>
      </c>
      <c r="H103" s="16">
        <f t="shared" si="6"/>
        <v>322.43538852395795</v>
      </c>
      <c r="I103">
        <f t="shared" si="7"/>
        <v>1</v>
      </c>
      <c r="J103" s="16" cm="1">
        <f t="array" ref="J103">INDEX(Sm,I103)</f>
        <v>-3.3662626377861403E-2</v>
      </c>
      <c r="K103" s="16">
        <f t="shared" si="8"/>
        <v>322.40172589758009</v>
      </c>
      <c r="L103" s="16">
        <f t="shared" si="9"/>
        <v>7.1725897580108722E-2</v>
      </c>
      <c r="M103" s="16">
        <f t="shared" si="10"/>
        <v>5.1446043836722464E-3</v>
      </c>
    </row>
    <row r="104" spans="6:13" x14ac:dyDescent="0.4">
      <c r="F104" s="1">
        <v>24504</v>
      </c>
      <c r="G104" s="16">
        <v>322.5</v>
      </c>
      <c r="H104" s="16">
        <f t="shared" si="6"/>
        <v>322.52547189290129</v>
      </c>
      <c r="I104">
        <f t="shared" si="7"/>
        <v>2</v>
      </c>
      <c r="J104" s="16" cm="1">
        <f t="array" ref="J104">INDEX(Sm,I104)</f>
        <v>0.68114275406980329</v>
      </c>
      <c r="K104" s="16">
        <f t="shared" si="8"/>
        <v>323.2066146469711</v>
      </c>
      <c r="L104" s="16">
        <f t="shared" si="9"/>
        <v>0.70661464697110432</v>
      </c>
      <c r="M104" s="16">
        <f t="shared" si="10"/>
        <v>0.49930425931409839</v>
      </c>
    </row>
    <row r="105" spans="6:13" x14ac:dyDescent="0.4">
      <c r="F105" s="1">
        <v>24532</v>
      </c>
      <c r="G105" s="16">
        <v>323.04000000000002</v>
      </c>
      <c r="H105" s="16">
        <f t="shared" si="6"/>
        <v>322.60694653022904</v>
      </c>
      <c r="I105">
        <f t="shared" si="7"/>
        <v>3</v>
      </c>
      <c r="J105" s="16" cm="1">
        <f t="array" ref="J105">INDEX(Sm,I105)</f>
        <v>1.3951035824648568</v>
      </c>
      <c r="K105" s="16">
        <f t="shared" si="8"/>
        <v>324.00205011269389</v>
      </c>
      <c r="L105" s="16">
        <f t="shared" si="9"/>
        <v>0.96205011269387342</v>
      </c>
      <c r="M105" s="16">
        <f t="shared" si="10"/>
        <v>0.92554041933429454</v>
      </c>
    </row>
    <row r="106" spans="6:13" x14ac:dyDescent="0.4">
      <c r="F106" s="1">
        <v>24563</v>
      </c>
      <c r="G106" s="16">
        <v>324.42</v>
      </c>
      <c r="H106" s="16">
        <f t="shared" si="6"/>
        <v>322.69727145124727</v>
      </c>
      <c r="I106">
        <f t="shared" si="7"/>
        <v>4</v>
      </c>
      <c r="J106" s="16" cm="1">
        <f t="array" ref="J106">INDEX(Sm,I106)</f>
        <v>2.6339370251743146</v>
      </c>
      <c r="K106" s="16">
        <f t="shared" si="8"/>
        <v>325.33120847642158</v>
      </c>
      <c r="L106" s="16">
        <f t="shared" si="9"/>
        <v>0.91120847642156377</v>
      </c>
      <c r="M106" s="16">
        <f t="shared" si="10"/>
        <v>0.83030088750250752</v>
      </c>
    </row>
    <row r="107" spans="6:13" x14ac:dyDescent="0.4">
      <c r="F107" s="1">
        <v>24593</v>
      </c>
      <c r="G107" s="16">
        <v>325</v>
      </c>
      <c r="H107" s="16">
        <f t="shared" si="6"/>
        <v>322.78480375241099</v>
      </c>
      <c r="I107">
        <f t="shared" si="7"/>
        <v>5</v>
      </c>
      <c r="J107" s="16" cm="1">
        <f t="array" ref="J107">INDEX(Sm,I107)</f>
        <v>3.0997257789906989</v>
      </c>
      <c r="K107" s="16">
        <f t="shared" si="8"/>
        <v>325.88452953140171</v>
      </c>
      <c r="L107" s="16">
        <f t="shared" si="9"/>
        <v>0.88452953140171076</v>
      </c>
      <c r="M107" s="16">
        <f t="shared" si="10"/>
        <v>0.78239249192172999</v>
      </c>
    </row>
    <row r="108" spans="6:13" x14ac:dyDescent="0.4">
      <c r="F108" s="1">
        <v>24624</v>
      </c>
      <c r="G108" s="16">
        <v>324.08999999999997</v>
      </c>
      <c r="H108" s="16">
        <f t="shared" si="6"/>
        <v>322.87537909474133</v>
      </c>
      <c r="I108">
        <f t="shared" si="7"/>
        <v>6</v>
      </c>
      <c r="J108" s="16" cm="1">
        <f t="array" ref="J108">INDEX(Sm,I108)</f>
        <v>2.3207404253660839</v>
      </c>
      <c r="K108" s="16">
        <f t="shared" si="8"/>
        <v>325.1961195201074</v>
      </c>
      <c r="L108" s="16">
        <f t="shared" si="9"/>
        <v>1.106119520107427</v>
      </c>
      <c r="M108" s="16">
        <f t="shared" si="10"/>
        <v>1.2235003927626846</v>
      </c>
    </row>
    <row r="109" spans="6:13" x14ac:dyDescent="0.4">
      <c r="F109" s="1">
        <v>24654</v>
      </c>
      <c r="G109" s="16">
        <v>322.54000000000002</v>
      </c>
      <c r="H109" s="16">
        <f t="shared" si="6"/>
        <v>322.96315407481882</v>
      </c>
      <c r="I109">
        <f t="shared" si="7"/>
        <v>7</v>
      </c>
      <c r="J109" s="16" cm="1">
        <f t="array" ref="J109">INDEX(Sm,I109)</f>
        <v>0.74435685666414753</v>
      </c>
      <c r="K109" s="16">
        <f t="shared" si="8"/>
        <v>323.70751093148294</v>
      </c>
      <c r="L109" s="16">
        <f t="shared" si="9"/>
        <v>1.1675109314829228</v>
      </c>
      <c r="M109" s="16">
        <f t="shared" si="10"/>
        <v>1.3630817751321223</v>
      </c>
    </row>
    <row r="110" spans="6:13" x14ac:dyDescent="0.4">
      <c r="F110" s="1">
        <v>24685</v>
      </c>
      <c r="G110" s="16">
        <v>320.92</v>
      </c>
      <c r="H110" s="16">
        <f t="shared" si="6"/>
        <v>323.05398053274189</v>
      </c>
      <c r="I110">
        <f t="shared" si="7"/>
        <v>8</v>
      </c>
      <c r="J110" s="16" cm="1">
        <f t="array" ref="J110">INDEX(Sm,I110)</f>
        <v>-1.3868231821212227</v>
      </c>
      <c r="K110" s="16">
        <f t="shared" si="8"/>
        <v>321.66715735062064</v>
      </c>
      <c r="L110" s="16">
        <f t="shared" si="9"/>
        <v>0.74715735062062549</v>
      </c>
      <c r="M110" s="16">
        <f t="shared" si="10"/>
        <v>0.55824410658643231</v>
      </c>
    </row>
    <row r="111" spans="6:13" x14ac:dyDescent="0.4">
      <c r="F111" s="1">
        <v>24716</v>
      </c>
      <c r="G111" s="16">
        <v>319.25</v>
      </c>
      <c r="H111" s="16">
        <f t="shared" si="6"/>
        <v>323.14493487347181</v>
      </c>
      <c r="I111">
        <f t="shared" si="7"/>
        <v>9</v>
      </c>
      <c r="J111" s="16" cm="1">
        <f t="array" ref="J111">INDEX(Sm,I111)</f>
        <v>-3.1918015790052943</v>
      </c>
      <c r="K111" s="16">
        <f t="shared" si="8"/>
        <v>319.95313329446651</v>
      </c>
      <c r="L111" s="16">
        <f t="shared" si="9"/>
        <v>0.70313329446651096</v>
      </c>
      <c r="M111" s="16">
        <f t="shared" si="10"/>
        <v>0.49439642978732923</v>
      </c>
    </row>
    <row r="112" spans="6:13" x14ac:dyDescent="0.4">
      <c r="F112" s="1">
        <v>24746</v>
      </c>
      <c r="G112" s="16">
        <v>319.39</v>
      </c>
      <c r="H112" s="16">
        <f t="shared" si="6"/>
        <v>323.23307713426942</v>
      </c>
      <c r="I112">
        <f t="shared" si="7"/>
        <v>10</v>
      </c>
      <c r="J112" s="16" cm="1">
        <f t="array" ref="J112">INDEX(Sm,I112)</f>
        <v>-3.3171210691938846</v>
      </c>
      <c r="K112" s="16">
        <f t="shared" si="8"/>
        <v>319.91595606507553</v>
      </c>
      <c r="L112" s="16">
        <f t="shared" si="9"/>
        <v>0.52595606507554749</v>
      </c>
      <c r="M112" s="16">
        <f t="shared" si="10"/>
        <v>0.27662978238975355</v>
      </c>
    </row>
    <row r="113" spans="6:13" x14ac:dyDescent="0.4">
      <c r="F113" s="1">
        <v>24777</v>
      </c>
      <c r="G113" s="16">
        <v>320.73</v>
      </c>
      <c r="H113" s="16">
        <f t="shared" si="6"/>
        <v>323.32428364134609</v>
      </c>
      <c r="I113">
        <f t="shared" si="7"/>
        <v>11</v>
      </c>
      <c r="J113" s="16" cm="1">
        <f t="array" ref="J113">INDEX(Sm,I113)</f>
        <v>-2.0577916254037292</v>
      </c>
      <c r="K113" s="16">
        <f t="shared" si="8"/>
        <v>321.26649201594233</v>
      </c>
      <c r="L113" s="16">
        <f t="shared" si="9"/>
        <v>0.53649201594231499</v>
      </c>
      <c r="M113" s="16">
        <f t="shared" si="10"/>
        <v>0.28782368316984919</v>
      </c>
    </row>
    <row r="114" spans="6:13" x14ac:dyDescent="0.4">
      <c r="F114" s="1">
        <v>24807</v>
      </c>
      <c r="G114" s="16">
        <v>321.95999999999998</v>
      </c>
      <c r="H114" s="16">
        <f t="shared" si="6"/>
        <v>323.41267027213991</v>
      </c>
      <c r="I114">
        <f t="shared" si="7"/>
        <v>12</v>
      </c>
      <c r="J114" s="16" cm="1">
        <f t="array" ref="J114">INDEX(Sm,I114)</f>
        <v>-0.88780634062791353</v>
      </c>
      <c r="K114" s="16">
        <f t="shared" si="8"/>
        <v>322.52486393151202</v>
      </c>
      <c r="L114" s="16">
        <f t="shared" si="9"/>
        <v>0.56486393151203629</v>
      </c>
      <c r="M114" s="16">
        <f t="shared" si="10"/>
        <v>0.31907126112323442</v>
      </c>
    </row>
    <row r="115" spans="6:13" x14ac:dyDescent="0.4">
      <c r="F115" s="1">
        <v>24838</v>
      </c>
      <c r="G115" s="16">
        <v>322.57</v>
      </c>
      <c r="H115" s="16">
        <f t="shared" si="6"/>
        <v>323.50412964468188</v>
      </c>
      <c r="I115">
        <f t="shared" si="7"/>
        <v>1</v>
      </c>
      <c r="J115" s="16" cm="1">
        <f t="array" ref="J115">INDEX(Sm,I115)</f>
        <v>-3.3662626377861403E-2</v>
      </c>
      <c r="K115" s="16">
        <f t="shared" si="8"/>
        <v>323.47046701830402</v>
      </c>
      <c r="L115" s="16">
        <f t="shared" si="9"/>
        <v>0.90046701830402753</v>
      </c>
      <c r="M115" s="16">
        <f t="shared" si="10"/>
        <v>0.8108408510533458</v>
      </c>
    </row>
    <row r="116" spans="6:13" x14ac:dyDescent="0.4">
      <c r="F116" s="1">
        <v>24869</v>
      </c>
      <c r="G116" s="16">
        <v>323.14999999999998</v>
      </c>
      <c r="H116" s="16">
        <f t="shared" si="6"/>
        <v>323.59571779116851</v>
      </c>
      <c r="I116">
        <f t="shared" si="7"/>
        <v>2</v>
      </c>
      <c r="J116" s="16" cm="1">
        <f t="array" ref="J116">INDEX(Sm,I116)</f>
        <v>0.68114275406980329</v>
      </c>
      <c r="K116" s="16">
        <f t="shared" si="8"/>
        <v>324.27686054523832</v>
      </c>
      <c r="L116" s="16">
        <f t="shared" si="9"/>
        <v>1.126860545238344</v>
      </c>
      <c r="M116" s="16">
        <f t="shared" si="10"/>
        <v>1.269814688414858</v>
      </c>
    </row>
    <row r="117" spans="6:13" x14ac:dyDescent="0.4">
      <c r="F117" s="1">
        <v>24898</v>
      </c>
      <c r="G117" s="16">
        <v>323.89</v>
      </c>
      <c r="H117" s="16">
        <f t="shared" si="6"/>
        <v>323.68151376553834</v>
      </c>
      <c r="I117">
        <f t="shared" si="7"/>
        <v>3</v>
      </c>
      <c r="J117" s="16" cm="1">
        <f t="array" ref="J117">INDEX(Sm,I117)</f>
        <v>1.3951035824648568</v>
      </c>
      <c r="K117" s="16">
        <f t="shared" si="8"/>
        <v>325.0766173480032</v>
      </c>
      <c r="L117" s="16">
        <f t="shared" si="9"/>
        <v>1.1866173480032103</v>
      </c>
      <c r="M117" s="16">
        <f t="shared" si="10"/>
        <v>1.408060730582172</v>
      </c>
    </row>
    <row r="118" spans="6:13" x14ac:dyDescent="0.4">
      <c r="F118" s="1">
        <v>24929</v>
      </c>
      <c r="G118" s="16">
        <v>325.02</v>
      </c>
      <c r="H118" s="16">
        <f t="shared" si="6"/>
        <v>323.77335166721491</v>
      </c>
      <c r="I118">
        <f t="shared" si="7"/>
        <v>4</v>
      </c>
      <c r="J118" s="16" cm="1">
        <f t="array" ref="J118">INDEX(Sm,I118)</f>
        <v>2.6339370251743146</v>
      </c>
      <c r="K118" s="16">
        <f t="shared" si="8"/>
        <v>326.40728869238922</v>
      </c>
      <c r="L118" s="16">
        <f t="shared" si="9"/>
        <v>1.3872886923892338</v>
      </c>
      <c r="M118" s="16">
        <f t="shared" si="10"/>
        <v>1.9245699160310301</v>
      </c>
    </row>
    <row r="119" spans="6:13" x14ac:dyDescent="0.4">
      <c r="F119" s="1">
        <v>24959</v>
      </c>
      <c r="G119" s="16">
        <v>325.57</v>
      </c>
      <c r="H119" s="16">
        <f t="shared" si="6"/>
        <v>323.86235017147231</v>
      </c>
      <c r="I119">
        <f t="shared" si="7"/>
        <v>5</v>
      </c>
      <c r="J119" s="16" cm="1">
        <f t="array" ref="J119">INDEX(Sm,I119)</f>
        <v>3.0997257789906989</v>
      </c>
      <c r="K119" s="16">
        <f t="shared" si="8"/>
        <v>326.96207595046303</v>
      </c>
      <c r="L119" s="16">
        <f t="shared" si="9"/>
        <v>1.3920759504630382</v>
      </c>
      <c r="M119" s="16">
        <f t="shared" si="10"/>
        <v>1.9378754518575712</v>
      </c>
    </row>
    <row r="120" spans="6:13" x14ac:dyDescent="0.4">
      <c r="F120" s="1">
        <v>24990</v>
      </c>
      <c r="G120" s="16">
        <v>325.36</v>
      </c>
      <c r="H120" s="16">
        <f t="shared" si="6"/>
        <v>323.95444268912399</v>
      </c>
      <c r="I120">
        <f t="shared" si="7"/>
        <v>6</v>
      </c>
      <c r="J120" s="16" cm="1">
        <f t="array" ref="J120">INDEX(Sm,I120)</f>
        <v>2.3207404253660839</v>
      </c>
      <c r="K120" s="16">
        <f t="shared" si="8"/>
        <v>326.27518311449006</v>
      </c>
      <c r="L120" s="16">
        <f t="shared" si="9"/>
        <v>0.91518311449004841</v>
      </c>
      <c r="M120" s="16">
        <f t="shared" si="10"/>
        <v>0.83756013304770505</v>
      </c>
    </row>
    <row r="121" spans="6:13" x14ac:dyDescent="0.4">
      <c r="F121" s="1">
        <v>25020</v>
      </c>
      <c r="G121" s="16">
        <v>324.14</v>
      </c>
      <c r="H121" s="16">
        <f t="shared" si="6"/>
        <v>324.04368793726968</v>
      </c>
      <c r="I121">
        <f t="shared" si="7"/>
        <v>7</v>
      </c>
      <c r="J121" s="16" cm="1">
        <f t="array" ref="J121">INDEX(Sm,I121)</f>
        <v>0.74435685666414753</v>
      </c>
      <c r="K121" s="16">
        <f t="shared" si="8"/>
        <v>324.78804479393381</v>
      </c>
      <c r="L121" s="16">
        <f t="shared" si="9"/>
        <v>0.64804479393382053</v>
      </c>
      <c r="M121" s="16">
        <f t="shared" si="10"/>
        <v>0.41996205494472794</v>
      </c>
    </row>
    <row r="122" spans="6:13" x14ac:dyDescent="0.4">
      <c r="F122" s="1">
        <v>25051</v>
      </c>
      <c r="G122" s="16">
        <v>322.11</v>
      </c>
      <c r="H122" s="16">
        <f t="shared" si="6"/>
        <v>324.13603577680658</v>
      </c>
      <c r="I122">
        <f t="shared" si="7"/>
        <v>8</v>
      </c>
      <c r="J122" s="16" cm="1">
        <f t="array" ref="J122">INDEX(Sm,I122)</f>
        <v>-1.3868231821212227</v>
      </c>
      <c r="K122" s="16">
        <f t="shared" si="8"/>
        <v>322.74921259468533</v>
      </c>
      <c r="L122" s="16">
        <f t="shared" si="9"/>
        <v>0.63921259468531844</v>
      </c>
      <c r="M122" s="16">
        <f t="shared" si="10"/>
        <v>0.4085927412043372</v>
      </c>
    </row>
    <row r="123" spans="6:13" x14ac:dyDescent="0.4">
      <c r="F123" s="1">
        <v>25082</v>
      </c>
      <c r="G123" s="16">
        <v>320.33</v>
      </c>
      <c r="H123" s="16">
        <f t="shared" si="6"/>
        <v>324.22851364124136</v>
      </c>
      <c r="I123">
        <f t="shared" si="7"/>
        <v>9</v>
      </c>
      <c r="J123" s="16" cm="1">
        <f t="array" ref="J123">INDEX(Sm,I123)</f>
        <v>-3.1918015790052943</v>
      </c>
      <c r="K123" s="16">
        <f t="shared" si="8"/>
        <v>321.03671206223606</v>
      </c>
      <c r="L123" s="16">
        <f t="shared" si="9"/>
        <v>0.70671206223607896</v>
      </c>
      <c r="M123" s="16">
        <f t="shared" si="10"/>
        <v>0.49944193890997157</v>
      </c>
    </row>
    <row r="124" spans="6:13" x14ac:dyDescent="0.4">
      <c r="F124" s="1">
        <v>25112</v>
      </c>
      <c r="G124" s="16">
        <v>320.25</v>
      </c>
      <c r="H124" s="16">
        <f t="shared" si="6"/>
        <v>324.31813232221475</v>
      </c>
      <c r="I124">
        <f t="shared" si="7"/>
        <v>10</v>
      </c>
      <c r="J124" s="16" cm="1">
        <f t="array" ref="J124">INDEX(Sm,I124)</f>
        <v>-3.3171210691938846</v>
      </c>
      <c r="K124" s="16">
        <f t="shared" si="8"/>
        <v>321.00101125302086</v>
      </c>
      <c r="L124" s="16">
        <f t="shared" si="9"/>
        <v>0.75101125302086302</v>
      </c>
      <c r="M124" s="16">
        <f t="shared" si="10"/>
        <v>0.56401790216396674</v>
      </c>
    </row>
    <row r="125" spans="6:13" x14ac:dyDescent="0.4">
      <c r="F125" s="1">
        <v>25143</v>
      </c>
      <c r="G125" s="16">
        <v>321.32</v>
      </c>
      <c r="H125" s="16">
        <f t="shared" si="6"/>
        <v>324.41086657688936</v>
      </c>
      <c r="I125">
        <f t="shared" si="7"/>
        <v>11</v>
      </c>
      <c r="J125" s="16" cm="1">
        <f t="array" ref="J125">INDEX(Sm,I125)</f>
        <v>-2.0577916254037292</v>
      </c>
      <c r="K125" s="16">
        <f t="shared" si="8"/>
        <v>322.35307495148561</v>
      </c>
      <c r="L125" s="16">
        <f t="shared" si="9"/>
        <v>1.0330749514856166</v>
      </c>
      <c r="M125" s="16">
        <f t="shared" si="10"/>
        <v>1.0672438553870089</v>
      </c>
    </row>
    <row r="126" spans="6:13" x14ac:dyDescent="0.4">
      <c r="F126" s="1">
        <v>25173</v>
      </c>
      <c r="G126" s="16">
        <v>322.89</v>
      </c>
      <c r="H126" s="16">
        <f t="shared" si="6"/>
        <v>324.5007337211598</v>
      </c>
      <c r="I126">
        <f t="shared" si="7"/>
        <v>12</v>
      </c>
      <c r="J126" s="16" cm="1">
        <f t="array" ref="J126">INDEX(Sm,I126)</f>
        <v>-0.88780634062791353</v>
      </c>
      <c r="K126" s="16">
        <f t="shared" si="8"/>
        <v>323.61292738053191</v>
      </c>
      <c r="L126" s="16">
        <f t="shared" si="9"/>
        <v>0.72292738053192807</v>
      </c>
      <c r="M126" s="16">
        <f t="shared" si="10"/>
        <v>0.52262399752275512</v>
      </c>
    </row>
    <row r="127" spans="6:13" x14ac:dyDescent="0.4">
      <c r="F127" s="1">
        <v>25204</v>
      </c>
      <c r="G127" s="16">
        <v>324</v>
      </c>
      <c r="H127" s="16">
        <f t="shared" si="6"/>
        <v>324.5937250769033</v>
      </c>
      <c r="I127">
        <f t="shared" si="7"/>
        <v>1</v>
      </c>
      <c r="J127" s="16" cm="1">
        <f t="array" ref="J127">INDEX(Sm,I127)</f>
        <v>-3.3662626377861403E-2</v>
      </c>
      <c r="K127" s="16">
        <f t="shared" si="8"/>
        <v>324.56006245052544</v>
      </c>
      <c r="L127" s="16">
        <f t="shared" si="9"/>
        <v>0.56006245052543591</v>
      </c>
      <c r="M127" s="16">
        <f t="shared" si="10"/>
        <v>0.31366994848855634</v>
      </c>
    </row>
    <row r="128" spans="6:13" x14ac:dyDescent="0.4">
      <c r="F128" s="1">
        <v>25235</v>
      </c>
      <c r="G128" s="16">
        <v>324.41000000000003</v>
      </c>
      <c r="H128" s="16">
        <f t="shared" si="6"/>
        <v>324.6868473636095</v>
      </c>
      <c r="I128">
        <f t="shared" si="7"/>
        <v>2</v>
      </c>
      <c r="J128" s="16" cm="1">
        <f t="array" ref="J128">INDEX(Sm,I128)</f>
        <v>0.68114275406980329</v>
      </c>
      <c r="K128" s="16">
        <f t="shared" si="8"/>
        <v>325.36799011767931</v>
      </c>
      <c r="L128" s="16">
        <f t="shared" si="9"/>
        <v>0.95799011767928732</v>
      </c>
      <c r="M128" s="16">
        <f t="shared" si="10"/>
        <v>0.91774506557117475</v>
      </c>
    </row>
    <row r="129" spans="6:13" x14ac:dyDescent="0.4">
      <c r="F129" s="1">
        <v>25263</v>
      </c>
      <c r="G129" s="16">
        <v>325.63</v>
      </c>
      <c r="H129" s="16">
        <f t="shared" si="6"/>
        <v>324.7710705074096</v>
      </c>
      <c r="I129">
        <f t="shared" si="7"/>
        <v>3</v>
      </c>
      <c r="J129" s="16" cm="1">
        <f t="array" ref="J129">INDEX(Sm,I129)</f>
        <v>1.3951035824648568</v>
      </c>
      <c r="K129" s="16">
        <f t="shared" si="8"/>
        <v>326.16617408987446</v>
      </c>
      <c r="L129" s="16">
        <f t="shared" si="9"/>
        <v>0.53617408987446424</v>
      </c>
      <c r="M129" s="16">
        <f t="shared" si="10"/>
        <v>0.28748265465271006</v>
      </c>
    </row>
    <row r="130" spans="6:13" x14ac:dyDescent="0.4">
      <c r="F130" s="1">
        <v>25294</v>
      </c>
      <c r="G130" s="16">
        <v>326.66000000000003</v>
      </c>
      <c r="H130" s="16">
        <f t="shared" si="6"/>
        <v>324.86444249483009</v>
      </c>
      <c r="I130">
        <f t="shared" si="7"/>
        <v>4</v>
      </c>
      <c r="J130" s="16" cm="1">
        <f t="array" ref="J130">INDEX(Sm,I130)</f>
        <v>2.6339370251743146</v>
      </c>
      <c r="K130" s="16">
        <f t="shared" si="8"/>
        <v>327.49837952000439</v>
      </c>
      <c r="L130" s="16">
        <f t="shared" si="9"/>
        <v>0.83837952000436644</v>
      </c>
      <c r="M130" s="16">
        <f t="shared" si="10"/>
        <v>0.70288021956275182</v>
      </c>
    </row>
    <row r="131" spans="6:13" x14ac:dyDescent="0.4">
      <c r="F131" s="1">
        <v>25324</v>
      </c>
      <c r="G131" s="16">
        <v>327.38</v>
      </c>
      <c r="H131" s="16">
        <f t="shared" ref="H131:H194" si="11">EXP(_A*F131+_B)+_C</f>
        <v>324.95492765475058</v>
      </c>
      <c r="I131">
        <f t="shared" ref="I131:I194" si="12">MONTH(F131)</f>
        <v>5</v>
      </c>
      <c r="J131" s="16" cm="1">
        <f t="array" ref="J131">INDEX(Sm,I131)</f>
        <v>3.0997257789906989</v>
      </c>
      <c r="K131" s="16">
        <f t="shared" ref="K131:K194" si="13">H131+J131</f>
        <v>328.05465343374129</v>
      </c>
      <c r="L131" s="16">
        <f t="shared" ref="L131:L194" si="14">K131-G131</f>
        <v>0.67465343374129816</v>
      </c>
      <c r="M131" s="16">
        <f t="shared" ref="M131:M194" si="15">L131*L131</f>
        <v>0.45515725565892418</v>
      </c>
    </row>
    <row r="132" spans="6:13" x14ac:dyDescent="0.4">
      <c r="F132" s="1">
        <v>25355</v>
      </c>
      <c r="G132" s="16">
        <v>326.70999999999998</v>
      </c>
      <c r="H132" s="16">
        <f t="shared" si="11"/>
        <v>325.04855851132197</v>
      </c>
      <c r="I132">
        <f t="shared" si="12"/>
        <v>6</v>
      </c>
      <c r="J132" s="16" cm="1">
        <f t="array" ref="J132">INDEX(Sm,I132)</f>
        <v>2.3207404253660839</v>
      </c>
      <c r="K132" s="16">
        <f t="shared" si="13"/>
        <v>327.36929893668804</v>
      </c>
      <c r="L132" s="16">
        <f t="shared" si="14"/>
        <v>0.65929893668806017</v>
      </c>
      <c r="M132" s="16">
        <f t="shared" si="15"/>
        <v>0.43467508791800674</v>
      </c>
    </row>
    <row r="133" spans="6:13" x14ac:dyDescent="0.4">
      <c r="F133" s="1">
        <v>25385</v>
      </c>
      <c r="G133" s="16">
        <v>325.88</v>
      </c>
      <c r="H133" s="16">
        <f t="shared" si="11"/>
        <v>325.13929453680896</v>
      </c>
      <c r="I133">
        <f t="shared" si="12"/>
        <v>7</v>
      </c>
      <c r="J133" s="16" cm="1">
        <f t="array" ref="J133">INDEX(Sm,I133)</f>
        <v>0.74435685666414753</v>
      </c>
      <c r="K133" s="16">
        <f t="shared" si="13"/>
        <v>325.88365139347309</v>
      </c>
      <c r="L133" s="16">
        <f t="shared" si="14"/>
        <v>3.6513934730919573E-3</v>
      </c>
      <c r="M133" s="16">
        <f t="shared" si="15"/>
        <v>1.3332674295338546E-5</v>
      </c>
    </row>
    <row r="134" spans="6:13" x14ac:dyDescent="0.4">
      <c r="F134" s="1">
        <v>25416</v>
      </c>
      <c r="G134" s="16">
        <v>323.66000000000003</v>
      </c>
      <c r="H134" s="16">
        <f t="shared" si="11"/>
        <v>325.23318498023303</v>
      </c>
      <c r="I134">
        <f t="shared" si="12"/>
        <v>8</v>
      </c>
      <c r="J134" s="16" cm="1">
        <f t="array" ref="J134">INDEX(Sm,I134)</f>
        <v>-1.3868231821212227</v>
      </c>
      <c r="K134" s="16">
        <f t="shared" si="13"/>
        <v>323.84636179811179</v>
      </c>
      <c r="L134" s="16">
        <f t="shared" si="14"/>
        <v>0.18636179811176135</v>
      </c>
      <c r="M134" s="16">
        <f t="shared" si="15"/>
        <v>3.4730719795448894E-2</v>
      </c>
    </row>
    <row r="135" spans="6:13" x14ac:dyDescent="0.4">
      <c r="F135" s="1">
        <v>25447</v>
      </c>
      <c r="G135" s="16">
        <v>322.38</v>
      </c>
      <c r="H135" s="16">
        <f t="shared" si="11"/>
        <v>325.32720762052685</v>
      </c>
      <c r="I135">
        <f t="shared" si="12"/>
        <v>9</v>
      </c>
      <c r="J135" s="16" cm="1">
        <f t="array" ref="J135">INDEX(Sm,I135)</f>
        <v>-3.1918015790052943</v>
      </c>
      <c r="K135" s="16">
        <f t="shared" si="13"/>
        <v>322.13540604152155</v>
      </c>
      <c r="L135" s="16">
        <f t="shared" si="14"/>
        <v>-0.24459395847844689</v>
      </c>
      <c r="M135" s="16">
        <f t="shared" si="15"/>
        <v>5.9826204524156205E-2</v>
      </c>
    </row>
    <row r="136" spans="6:13" x14ac:dyDescent="0.4">
      <c r="F136" s="1">
        <v>25477</v>
      </c>
      <c r="G136" s="16">
        <v>321.77999999999997</v>
      </c>
      <c r="H136" s="16">
        <f t="shared" si="11"/>
        <v>325.41832331676699</v>
      </c>
      <c r="I136">
        <f t="shared" si="12"/>
        <v>10</v>
      </c>
      <c r="J136" s="16" cm="1">
        <f t="array" ref="J136">INDEX(Sm,I136)</f>
        <v>-3.3171210691938846</v>
      </c>
      <c r="K136" s="16">
        <f t="shared" si="13"/>
        <v>322.1012022475731</v>
      </c>
      <c r="L136" s="16">
        <f t="shared" si="14"/>
        <v>0.32120224757312599</v>
      </c>
      <c r="M136" s="16">
        <f t="shared" si="15"/>
        <v>0.10317088384602772</v>
      </c>
    </row>
    <row r="137" spans="6:13" x14ac:dyDescent="0.4">
      <c r="F137" s="1">
        <v>25508</v>
      </c>
      <c r="G137" s="16">
        <v>322.85000000000002</v>
      </c>
      <c r="H137" s="16">
        <f t="shared" si="11"/>
        <v>325.51260663011419</v>
      </c>
      <c r="I137">
        <f t="shared" si="12"/>
        <v>11</v>
      </c>
      <c r="J137" s="16" cm="1">
        <f t="array" ref="J137">INDEX(Sm,I137)</f>
        <v>-2.0577916254037292</v>
      </c>
      <c r="K137" s="16">
        <f t="shared" si="13"/>
        <v>323.45481500471044</v>
      </c>
      <c r="L137" s="16">
        <f t="shared" si="14"/>
        <v>0.60481500471041727</v>
      </c>
      <c r="M137" s="16">
        <f t="shared" si="15"/>
        <v>0.36580118992286209</v>
      </c>
    </row>
    <row r="138" spans="6:13" x14ac:dyDescent="0.4">
      <c r="F138" s="1">
        <v>25538</v>
      </c>
      <c r="G138" s="16">
        <v>324.12</v>
      </c>
      <c r="H138" s="16">
        <f t="shared" si="11"/>
        <v>325.6039749400511</v>
      </c>
      <c r="I138">
        <f t="shared" si="12"/>
        <v>12</v>
      </c>
      <c r="J138" s="16" cm="1">
        <f t="array" ref="J138">INDEX(Sm,I138)</f>
        <v>-0.88780634062791353</v>
      </c>
      <c r="K138" s="16">
        <f t="shared" si="13"/>
        <v>324.71616859942321</v>
      </c>
      <c r="L138" s="16">
        <f t="shared" si="14"/>
        <v>0.59616859942320843</v>
      </c>
      <c r="M138" s="16">
        <f t="shared" si="15"/>
        <v>0.35541699893822998</v>
      </c>
    </row>
    <row r="139" spans="6:13" x14ac:dyDescent="0.4">
      <c r="F139" s="1">
        <v>25569</v>
      </c>
      <c r="G139" s="16">
        <v>325.06</v>
      </c>
      <c r="H139" s="16">
        <f t="shared" si="11"/>
        <v>325.69851964915466</v>
      </c>
      <c r="I139">
        <f t="shared" si="12"/>
        <v>1</v>
      </c>
      <c r="J139" s="16" cm="1">
        <f t="array" ref="J139">INDEX(Sm,I139)</f>
        <v>-3.3662626377861403E-2</v>
      </c>
      <c r="K139" s="16">
        <f t="shared" si="13"/>
        <v>325.6648570227768</v>
      </c>
      <c r="L139" s="16">
        <f t="shared" si="14"/>
        <v>0.6048570227767982</v>
      </c>
      <c r="M139" s="16">
        <f t="shared" si="15"/>
        <v>0.36585201800241218</v>
      </c>
    </row>
    <row r="140" spans="6:13" x14ac:dyDescent="0.4">
      <c r="F140" s="1">
        <v>25600</v>
      </c>
      <c r="G140" s="16">
        <v>325.98</v>
      </c>
      <c r="H140" s="16">
        <f t="shared" si="11"/>
        <v>325.79319747632803</v>
      </c>
      <c r="I140">
        <f t="shared" si="12"/>
        <v>2</v>
      </c>
      <c r="J140" s="16" cm="1">
        <f t="array" ref="J140">INDEX(Sm,I140)</f>
        <v>0.68114275406980329</v>
      </c>
      <c r="K140" s="16">
        <f t="shared" si="13"/>
        <v>326.47434023039784</v>
      </c>
      <c r="L140" s="16">
        <f t="shared" si="14"/>
        <v>0.4943402303978246</v>
      </c>
      <c r="M140" s="16">
        <f t="shared" si="15"/>
        <v>0.2443722633897743</v>
      </c>
    </row>
    <row r="141" spans="6:13" x14ac:dyDescent="0.4">
      <c r="F141" s="1">
        <v>25628</v>
      </c>
      <c r="G141" s="16">
        <v>326.93</v>
      </c>
      <c r="H141" s="16">
        <f t="shared" si="11"/>
        <v>325.87882750684764</v>
      </c>
      <c r="I141">
        <f t="shared" si="12"/>
        <v>3</v>
      </c>
      <c r="J141" s="16" cm="1">
        <f t="array" ref="J141">INDEX(Sm,I141)</f>
        <v>1.3951035824648568</v>
      </c>
      <c r="K141" s="16">
        <f t="shared" si="13"/>
        <v>327.2739310893125</v>
      </c>
      <c r="L141" s="16">
        <f t="shared" si="14"/>
        <v>0.34393108931249117</v>
      </c>
      <c r="M141" s="16">
        <f t="shared" si="15"/>
        <v>0.11828859419567678</v>
      </c>
    </row>
    <row r="142" spans="6:13" x14ac:dyDescent="0.4">
      <c r="F142" s="1">
        <v>25659</v>
      </c>
      <c r="G142" s="16">
        <v>328.13</v>
      </c>
      <c r="H142" s="16">
        <f t="shared" si="11"/>
        <v>325.97375920580515</v>
      </c>
      <c r="I142">
        <f t="shared" si="12"/>
        <v>4</v>
      </c>
      <c r="J142" s="16" cm="1">
        <f t="array" ref="J142">INDEX(Sm,I142)</f>
        <v>2.6339370251743146</v>
      </c>
      <c r="K142" s="16">
        <f t="shared" si="13"/>
        <v>328.60769623097946</v>
      </c>
      <c r="L142" s="16">
        <f t="shared" si="14"/>
        <v>0.47769623097946123</v>
      </c>
      <c r="M142" s="16">
        <f t="shared" si="15"/>
        <v>0.22819368909198279</v>
      </c>
    </row>
    <row r="143" spans="6:13" x14ac:dyDescent="0.4">
      <c r="F143" s="1">
        <v>25689</v>
      </c>
      <c r="G143" s="16">
        <v>328.08</v>
      </c>
      <c r="H143" s="16">
        <f t="shared" si="11"/>
        <v>326.06575585489662</v>
      </c>
      <c r="I143">
        <f t="shared" si="12"/>
        <v>5</v>
      </c>
      <c r="J143" s="16" cm="1">
        <f t="array" ref="J143">INDEX(Sm,I143)</f>
        <v>3.0997257789906989</v>
      </c>
      <c r="K143" s="16">
        <f t="shared" si="13"/>
        <v>329.16548163388734</v>
      </c>
      <c r="L143" s="16">
        <f t="shared" si="14"/>
        <v>1.0854816338873547</v>
      </c>
      <c r="M143" s="16">
        <f t="shared" si="15"/>
        <v>1.1782703775067613</v>
      </c>
    </row>
    <row r="144" spans="6:13" x14ac:dyDescent="0.4">
      <c r="F144" s="1">
        <v>25720</v>
      </c>
      <c r="G144" s="16">
        <v>327.67</v>
      </c>
      <c r="H144" s="16">
        <f t="shared" si="11"/>
        <v>326.1609507472271</v>
      </c>
      <c r="I144">
        <f t="shared" si="12"/>
        <v>6</v>
      </c>
      <c r="J144" s="16" cm="1">
        <f t="array" ref="J144">INDEX(Sm,I144)</f>
        <v>2.3207404253660839</v>
      </c>
      <c r="K144" s="16">
        <f t="shared" si="13"/>
        <v>328.48169117259317</v>
      </c>
      <c r="L144" s="16">
        <f t="shared" si="14"/>
        <v>0.81169117259315726</v>
      </c>
      <c r="M144" s="16">
        <f t="shared" si="15"/>
        <v>0.65884255966565464</v>
      </c>
    </row>
    <row r="145" spans="6:13" x14ac:dyDescent="0.4">
      <c r="F145" s="1">
        <v>25750</v>
      </c>
      <c r="G145" s="16">
        <v>326.33999999999997</v>
      </c>
      <c r="H145" s="16">
        <f t="shared" si="11"/>
        <v>326.25320245241301</v>
      </c>
      <c r="I145">
        <f t="shared" si="12"/>
        <v>7</v>
      </c>
      <c r="J145" s="16" cm="1">
        <f t="array" ref="J145">INDEX(Sm,I145)</f>
        <v>0.74435685666414753</v>
      </c>
      <c r="K145" s="16">
        <f t="shared" si="13"/>
        <v>326.99755930907713</v>
      </c>
      <c r="L145" s="16">
        <f t="shared" si="14"/>
        <v>0.65755930907715765</v>
      </c>
      <c r="M145" s="16">
        <f t="shared" si="15"/>
        <v>0.43238424495402894</v>
      </c>
    </row>
    <row r="146" spans="6:13" x14ac:dyDescent="0.4">
      <c r="F146" s="1">
        <v>25781</v>
      </c>
      <c r="G146" s="16">
        <v>324.69</v>
      </c>
      <c r="H146" s="16">
        <f t="shared" si="11"/>
        <v>326.34866126780679</v>
      </c>
      <c r="I146">
        <f t="shared" si="12"/>
        <v>8</v>
      </c>
      <c r="J146" s="16" cm="1">
        <f t="array" ref="J146">INDEX(Sm,I146)</f>
        <v>-1.3868231821212227</v>
      </c>
      <c r="K146" s="16">
        <f t="shared" si="13"/>
        <v>324.96183808568554</v>
      </c>
      <c r="L146" s="16">
        <f t="shared" si="14"/>
        <v>0.27183808568554468</v>
      </c>
      <c r="M146" s="16">
        <f t="shared" si="15"/>
        <v>7.3895944829181534E-2</v>
      </c>
    </row>
    <row r="147" spans="6:13" x14ac:dyDescent="0.4">
      <c r="F147" s="1">
        <v>25812</v>
      </c>
      <c r="G147" s="16">
        <v>323.10000000000002</v>
      </c>
      <c r="H147" s="16">
        <f t="shared" si="11"/>
        <v>326.44425448832351</v>
      </c>
      <c r="I147">
        <f t="shared" si="12"/>
        <v>9</v>
      </c>
      <c r="J147" s="16" cm="1">
        <f t="array" ref="J147">INDEX(Sm,I147)</f>
        <v>-3.1918015790052943</v>
      </c>
      <c r="K147" s="16">
        <f t="shared" si="13"/>
        <v>323.25245290931821</v>
      </c>
      <c r="L147" s="16">
        <f t="shared" si="14"/>
        <v>0.15245290931818545</v>
      </c>
      <c r="M147" s="16">
        <f t="shared" si="15"/>
        <v>2.3241889559578875E-2</v>
      </c>
    </row>
    <row r="148" spans="6:13" x14ac:dyDescent="0.4">
      <c r="F148" s="1">
        <v>25842</v>
      </c>
      <c r="G148" s="16">
        <v>323.06</v>
      </c>
      <c r="H148" s="16">
        <f t="shared" si="11"/>
        <v>326.5368922063879</v>
      </c>
      <c r="I148">
        <f t="shared" si="12"/>
        <v>10</v>
      </c>
      <c r="J148" s="16" cm="1">
        <f t="array" ref="J148">INDEX(Sm,I148)</f>
        <v>-3.3171210691938846</v>
      </c>
      <c r="K148" s="16">
        <f t="shared" si="13"/>
        <v>323.21977113719402</v>
      </c>
      <c r="L148" s="16">
        <f t="shared" si="14"/>
        <v>0.15977113719401359</v>
      </c>
      <c r="M148" s="16">
        <f t="shared" si="15"/>
        <v>2.5526816280268313E-2</v>
      </c>
    </row>
    <row r="149" spans="6:13" x14ac:dyDescent="0.4">
      <c r="F149" s="1">
        <v>25873</v>
      </c>
      <c r="G149" s="16">
        <v>324.01</v>
      </c>
      <c r="H149" s="16">
        <f t="shared" si="11"/>
        <v>326.63275045431288</v>
      </c>
      <c r="I149">
        <f t="shared" si="12"/>
        <v>11</v>
      </c>
      <c r="J149" s="16" cm="1">
        <f t="array" ref="J149">INDEX(Sm,I149)</f>
        <v>-2.0577916254037292</v>
      </c>
      <c r="K149" s="16">
        <f t="shared" si="13"/>
        <v>324.57495882890913</v>
      </c>
      <c r="L149" s="16">
        <f t="shared" si="14"/>
        <v>0.56495882890914118</v>
      </c>
      <c r="M149" s="16">
        <f t="shared" si="15"/>
        <v>0.31917847836238827</v>
      </c>
    </row>
    <row r="150" spans="6:13" x14ac:dyDescent="0.4">
      <c r="F150" s="1">
        <v>25903</v>
      </c>
      <c r="G150" s="16">
        <v>325.13</v>
      </c>
      <c r="H150" s="16">
        <f t="shared" si="11"/>
        <v>326.72564500580324</v>
      </c>
      <c r="I150">
        <f t="shared" si="12"/>
        <v>12</v>
      </c>
      <c r="J150" s="16" cm="1">
        <f t="array" ref="J150">INDEX(Sm,I150)</f>
        <v>-0.88780634062791353</v>
      </c>
      <c r="K150" s="16">
        <f t="shared" si="13"/>
        <v>325.83783866517535</v>
      </c>
      <c r="L150" s="16">
        <f t="shared" si="14"/>
        <v>0.70783866517535898</v>
      </c>
      <c r="M150" s="16">
        <f t="shared" si="15"/>
        <v>0.50103557591723391</v>
      </c>
    </row>
    <row r="151" spans="6:13" x14ac:dyDescent="0.4">
      <c r="F151" s="1">
        <v>25934</v>
      </c>
      <c r="G151" s="16">
        <v>326.17</v>
      </c>
      <c r="H151" s="16">
        <f t="shared" si="11"/>
        <v>326.82176901591163</v>
      </c>
      <c r="I151">
        <f t="shared" si="12"/>
        <v>1</v>
      </c>
      <c r="J151" s="16" cm="1">
        <f t="array" ref="J151">INDEX(Sm,I151)</f>
        <v>-3.3662626377861403E-2</v>
      </c>
      <c r="K151" s="16">
        <f t="shared" si="13"/>
        <v>326.78810638953377</v>
      </c>
      <c r="L151" s="16">
        <f t="shared" si="14"/>
        <v>0.61810638953375019</v>
      </c>
      <c r="M151" s="16">
        <f t="shared" si="15"/>
        <v>0.38205550878244815</v>
      </c>
    </row>
    <row r="152" spans="6:13" x14ac:dyDescent="0.4">
      <c r="F152" s="1">
        <v>25965</v>
      </c>
      <c r="G152" s="16">
        <v>326.68</v>
      </c>
      <c r="H152" s="16">
        <f t="shared" si="11"/>
        <v>326.91802836773098</v>
      </c>
      <c r="I152">
        <f t="shared" si="12"/>
        <v>2</v>
      </c>
      <c r="J152" s="16" cm="1">
        <f t="array" ref="J152">INDEX(Sm,I152)</f>
        <v>0.68114275406980329</v>
      </c>
      <c r="K152" s="16">
        <f t="shared" si="13"/>
        <v>327.59917112180079</v>
      </c>
      <c r="L152" s="16">
        <f t="shared" si="14"/>
        <v>0.91917112180078675</v>
      </c>
      <c r="M152" s="16">
        <f t="shared" si="15"/>
        <v>0.84487555115251678</v>
      </c>
    </row>
    <row r="153" spans="6:13" x14ac:dyDescent="0.4">
      <c r="F153" s="1">
        <v>25993</v>
      </c>
      <c r="G153" s="16">
        <v>327.17</v>
      </c>
      <c r="H153" s="16">
        <f t="shared" si="11"/>
        <v>327.00508878599544</v>
      </c>
      <c r="I153">
        <f t="shared" si="12"/>
        <v>3</v>
      </c>
      <c r="J153" s="16" cm="1">
        <f t="array" ref="J153">INDEX(Sm,I153)</f>
        <v>1.3951035824648568</v>
      </c>
      <c r="K153" s="16">
        <f t="shared" si="13"/>
        <v>328.4001923684603</v>
      </c>
      <c r="L153" s="16">
        <f t="shared" si="14"/>
        <v>1.2301923684602798</v>
      </c>
      <c r="M153" s="16">
        <f t="shared" si="15"/>
        <v>1.5133732634179129</v>
      </c>
    </row>
    <row r="154" spans="6:13" x14ac:dyDescent="0.4">
      <c r="F154" s="1">
        <v>26024</v>
      </c>
      <c r="G154" s="16">
        <v>327.79</v>
      </c>
      <c r="H154" s="16">
        <f t="shared" si="11"/>
        <v>327.10160625034348</v>
      </c>
      <c r="I154">
        <f t="shared" si="12"/>
        <v>4</v>
      </c>
      <c r="J154" s="16" cm="1">
        <f t="array" ref="J154">INDEX(Sm,I154)</f>
        <v>2.6339370251743146</v>
      </c>
      <c r="K154" s="16">
        <f t="shared" si="13"/>
        <v>329.73554327551778</v>
      </c>
      <c r="L154" s="16">
        <f t="shared" si="14"/>
        <v>1.945543275517764</v>
      </c>
      <c r="M154" s="16">
        <f t="shared" si="15"/>
        <v>3.7851386369123898</v>
      </c>
    </row>
    <row r="155" spans="6:13" x14ac:dyDescent="0.4">
      <c r="F155" s="1">
        <v>26054</v>
      </c>
      <c r="G155" s="16">
        <v>328.93</v>
      </c>
      <c r="H155" s="16">
        <f t="shared" si="11"/>
        <v>327.19513963693964</v>
      </c>
      <c r="I155">
        <f t="shared" si="12"/>
        <v>5</v>
      </c>
      <c r="J155" s="16" cm="1">
        <f t="array" ref="J155">INDEX(Sm,I155)</f>
        <v>3.0997257789906989</v>
      </c>
      <c r="K155" s="16">
        <f t="shared" si="13"/>
        <v>330.29486541593036</v>
      </c>
      <c r="L155" s="16">
        <f t="shared" si="14"/>
        <v>1.3648654159303533</v>
      </c>
      <c r="M155" s="16">
        <f t="shared" si="15"/>
        <v>1.8628576036027362</v>
      </c>
    </row>
    <row r="156" spans="6:13" x14ac:dyDescent="0.4">
      <c r="F156" s="1">
        <v>26085</v>
      </c>
      <c r="G156" s="16">
        <v>328.57</v>
      </c>
      <c r="H156" s="16">
        <f t="shared" si="11"/>
        <v>327.2919246911157</v>
      </c>
      <c r="I156">
        <f t="shared" si="12"/>
        <v>6</v>
      </c>
      <c r="J156" s="16" cm="1">
        <f t="array" ref="J156">INDEX(Sm,I156)</f>
        <v>2.3207404253660839</v>
      </c>
      <c r="K156" s="16">
        <f t="shared" si="13"/>
        <v>329.61266511648176</v>
      </c>
      <c r="L156" s="16">
        <f t="shared" si="14"/>
        <v>1.0426651164817713</v>
      </c>
      <c r="M156" s="16">
        <f t="shared" si="15"/>
        <v>1.0871505451279457</v>
      </c>
    </row>
    <row r="157" spans="6:13" x14ac:dyDescent="0.4">
      <c r="F157" s="1">
        <v>26115</v>
      </c>
      <c r="G157" s="16">
        <v>327.36</v>
      </c>
      <c r="H157" s="16">
        <f t="shared" si="11"/>
        <v>327.38571739433388</v>
      </c>
      <c r="I157">
        <f t="shared" si="12"/>
        <v>7</v>
      </c>
      <c r="J157" s="16" cm="1">
        <f t="array" ref="J157">INDEX(Sm,I157)</f>
        <v>0.74435685666414753</v>
      </c>
      <c r="K157" s="16">
        <f t="shared" si="13"/>
        <v>328.13007425099801</v>
      </c>
      <c r="L157" s="16">
        <f t="shared" si="14"/>
        <v>0.7700742509979932</v>
      </c>
      <c r="M157" s="16">
        <f t="shared" si="15"/>
        <v>0.59301435205012021</v>
      </c>
    </row>
    <row r="158" spans="6:13" x14ac:dyDescent="0.4">
      <c r="F158" s="1">
        <v>26146</v>
      </c>
      <c r="G158" s="16">
        <v>325.43</v>
      </c>
      <c r="H158" s="16">
        <f t="shared" si="11"/>
        <v>327.48277078021715</v>
      </c>
      <c r="I158">
        <f t="shared" si="12"/>
        <v>8</v>
      </c>
      <c r="J158" s="16" cm="1">
        <f t="array" ref="J158">INDEX(Sm,I158)</f>
        <v>-1.3868231821212227</v>
      </c>
      <c r="K158" s="16">
        <f t="shared" si="13"/>
        <v>326.0959475980959</v>
      </c>
      <c r="L158" s="16">
        <f t="shared" si="14"/>
        <v>0.66594759809589732</v>
      </c>
      <c r="M158" s="16">
        <f t="shared" si="15"/>
        <v>0.4434862034096948</v>
      </c>
    </row>
    <row r="159" spans="6:13" x14ac:dyDescent="0.4">
      <c r="F159" s="1">
        <v>26177</v>
      </c>
      <c r="G159" s="16">
        <v>323.36</v>
      </c>
      <c r="H159" s="16">
        <f t="shared" si="11"/>
        <v>327.57996081636372</v>
      </c>
      <c r="I159">
        <f t="shared" si="12"/>
        <v>9</v>
      </c>
      <c r="J159" s="16" cm="1">
        <f t="array" ref="J159">INDEX(Sm,I159)</f>
        <v>-3.1918015790052943</v>
      </c>
      <c r="K159" s="16">
        <f t="shared" si="13"/>
        <v>324.38815923735842</v>
      </c>
      <c r="L159" s="16">
        <f t="shared" si="14"/>
        <v>1.028159237358409</v>
      </c>
      <c r="M159" s="16">
        <f t="shared" si="15"/>
        <v>1.0571114173654252</v>
      </c>
    </row>
    <row r="160" spans="6:13" x14ac:dyDescent="0.4">
      <c r="F160" s="1">
        <v>26207</v>
      </c>
      <c r="G160" s="16">
        <v>323.56</v>
      </c>
      <c r="H160" s="16">
        <f t="shared" si="11"/>
        <v>327.67414598052653</v>
      </c>
      <c r="I160">
        <f t="shared" si="12"/>
        <v>10</v>
      </c>
      <c r="J160" s="16" cm="1">
        <f t="array" ref="J160">INDEX(Sm,I160)</f>
        <v>-3.3171210691938846</v>
      </c>
      <c r="K160" s="16">
        <f t="shared" si="13"/>
        <v>324.35702491133264</v>
      </c>
      <c r="L160" s="16">
        <f t="shared" si="14"/>
        <v>0.79702491133264175</v>
      </c>
      <c r="M160" s="16">
        <f t="shared" si="15"/>
        <v>0.63524870928480548</v>
      </c>
    </row>
    <row r="161" spans="6:13" x14ac:dyDescent="0.4">
      <c r="F161" s="1">
        <v>26238</v>
      </c>
      <c r="G161" s="16">
        <v>324.8</v>
      </c>
      <c r="H161" s="16">
        <f t="shared" si="11"/>
        <v>327.77160547117262</v>
      </c>
      <c r="I161">
        <f t="shared" si="12"/>
        <v>11</v>
      </c>
      <c r="J161" s="16" cm="1">
        <f t="array" ref="J161">INDEX(Sm,I161)</f>
        <v>-2.0577916254037292</v>
      </c>
      <c r="K161" s="16">
        <f t="shared" si="13"/>
        <v>325.71381384576887</v>
      </c>
      <c r="L161" s="16">
        <f t="shared" si="14"/>
        <v>0.91381384576885694</v>
      </c>
      <c r="M161" s="16">
        <f t="shared" si="15"/>
        <v>0.83505574471886823</v>
      </c>
    </row>
    <row r="162" spans="6:13" x14ac:dyDescent="0.4">
      <c r="F162" s="1">
        <v>26268</v>
      </c>
      <c r="G162" s="16">
        <v>326.01</v>
      </c>
      <c r="H162" s="16">
        <f t="shared" si="11"/>
        <v>327.86605175897796</v>
      </c>
      <c r="I162">
        <f t="shared" si="12"/>
        <v>12</v>
      </c>
      <c r="J162" s="16" cm="1">
        <f t="array" ref="J162">INDEX(Sm,I162)</f>
        <v>-0.88780634062791353</v>
      </c>
      <c r="K162" s="16">
        <f t="shared" si="13"/>
        <v>326.97824541835007</v>
      </c>
      <c r="L162" s="16">
        <f t="shared" si="14"/>
        <v>0.96824541835007949</v>
      </c>
      <c r="M162" s="16">
        <f t="shared" si="15"/>
        <v>0.93749919015592043</v>
      </c>
    </row>
    <row r="163" spans="6:13" x14ac:dyDescent="0.4">
      <c r="F163" s="1">
        <v>26299</v>
      </c>
      <c r="G163" s="16">
        <v>326.77</v>
      </c>
      <c r="H163" s="16">
        <f t="shared" si="11"/>
        <v>327.96378145117262</v>
      </c>
      <c r="I163">
        <f t="shared" si="12"/>
        <v>1</v>
      </c>
      <c r="J163" s="16" cm="1">
        <f t="array" ref="J163">INDEX(Sm,I163)</f>
        <v>-3.3662626377861403E-2</v>
      </c>
      <c r="K163" s="16">
        <f t="shared" si="13"/>
        <v>327.93011882479476</v>
      </c>
      <c r="L163" s="16">
        <f t="shared" si="14"/>
        <v>1.1601188247947789</v>
      </c>
      <c r="M163" s="16">
        <f t="shared" si="15"/>
        <v>1.345875687643219</v>
      </c>
    </row>
    <row r="164" spans="6:13" x14ac:dyDescent="0.4">
      <c r="F164" s="1">
        <v>26330</v>
      </c>
      <c r="G164" s="16">
        <v>327.63</v>
      </c>
      <c r="H164" s="16">
        <f t="shared" si="11"/>
        <v>328.06164874586352</v>
      </c>
      <c r="I164">
        <f t="shared" si="12"/>
        <v>2</v>
      </c>
      <c r="J164" s="16" cm="1">
        <f t="array" ref="J164">INDEX(Sm,I164)</f>
        <v>0.68114275406980329</v>
      </c>
      <c r="K164" s="16">
        <f t="shared" si="13"/>
        <v>328.74279149993333</v>
      </c>
      <c r="L164" s="16">
        <f t="shared" si="14"/>
        <v>1.112791499933337</v>
      </c>
      <c r="M164" s="16">
        <f t="shared" si="15"/>
        <v>1.238304922323886</v>
      </c>
    </row>
    <row r="165" spans="6:13" x14ac:dyDescent="0.4">
      <c r="F165" s="1">
        <v>26359</v>
      </c>
      <c r="G165" s="16">
        <v>327.75</v>
      </c>
      <c r="H165" s="16">
        <f t="shared" si="11"/>
        <v>328.15332676566254</v>
      </c>
      <c r="I165">
        <f t="shared" si="12"/>
        <v>3</v>
      </c>
      <c r="J165" s="16" cm="1">
        <f t="array" ref="J165">INDEX(Sm,I165)</f>
        <v>1.3951035824648568</v>
      </c>
      <c r="K165" s="16">
        <f t="shared" si="13"/>
        <v>329.5484303481274</v>
      </c>
      <c r="L165" s="16">
        <f t="shared" si="14"/>
        <v>1.7984303481273969</v>
      </c>
      <c r="M165" s="16">
        <f t="shared" si="15"/>
        <v>3.2343517170656297</v>
      </c>
    </row>
    <row r="166" spans="6:13" x14ac:dyDescent="0.4">
      <c r="F166" s="1">
        <v>26390</v>
      </c>
      <c r="G166" s="16">
        <v>329.72</v>
      </c>
      <c r="H166" s="16">
        <f t="shared" si="11"/>
        <v>328.25146093839066</v>
      </c>
      <c r="I166">
        <f t="shared" si="12"/>
        <v>4</v>
      </c>
      <c r="J166" s="16" cm="1">
        <f t="array" ref="J166">INDEX(Sm,I166)</f>
        <v>2.6339370251743146</v>
      </c>
      <c r="K166" s="16">
        <f t="shared" si="13"/>
        <v>330.88539796356497</v>
      </c>
      <c r="L166" s="16">
        <f t="shared" si="14"/>
        <v>1.1653979635649421</v>
      </c>
      <c r="M166" s="16">
        <f t="shared" si="15"/>
        <v>1.3581524134813141</v>
      </c>
    </row>
    <row r="167" spans="6:13" x14ac:dyDescent="0.4">
      <c r="F167" s="1">
        <v>26420</v>
      </c>
      <c r="G167" s="16">
        <v>330.07</v>
      </c>
      <c r="H167" s="16">
        <f t="shared" si="11"/>
        <v>328.34656104880173</v>
      </c>
      <c r="I167">
        <f t="shared" si="12"/>
        <v>5</v>
      </c>
      <c r="J167" s="16" cm="1">
        <f t="array" ref="J167">INDEX(Sm,I167)</f>
        <v>3.0997257789906989</v>
      </c>
      <c r="K167" s="16">
        <f t="shared" si="13"/>
        <v>331.44628682779245</v>
      </c>
      <c r="L167" s="16">
        <f t="shared" si="14"/>
        <v>1.3762868277924554</v>
      </c>
      <c r="M167" s="16">
        <f t="shared" si="15"/>
        <v>1.8941654323550197</v>
      </c>
    </row>
    <row r="168" spans="6:13" x14ac:dyDescent="0.4">
      <c r="F168" s="1">
        <v>26451</v>
      </c>
      <c r="G168" s="16">
        <v>329.09</v>
      </c>
      <c r="H168" s="16">
        <f t="shared" si="11"/>
        <v>328.44496729360066</v>
      </c>
      <c r="I168">
        <f t="shared" si="12"/>
        <v>6</v>
      </c>
      <c r="J168" s="16" cm="1">
        <f t="array" ref="J168">INDEX(Sm,I168)</f>
        <v>2.3207404253660839</v>
      </c>
      <c r="K168" s="16">
        <f t="shared" si="13"/>
        <v>330.76570771896672</v>
      </c>
      <c r="L168" s="16">
        <f t="shared" si="14"/>
        <v>1.6757077189667484</v>
      </c>
      <c r="M168" s="16">
        <f t="shared" si="15"/>
        <v>2.807996359404743</v>
      </c>
    </row>
    <row r="169" spans="6:13" x14ac:dyDescent="0.4">
      <c r="F169" s="1">
        <v>26481</v>
      </c>
      <c r="G169" s="16">
        <v>328.04</v>
      </c>
      <c r="H169" s="16">
        <f t="shared" si="11"/>
        <v>328.54033106429688</v>
      </c>
      <c r="I169">
        <f t="shared" si="12"/>
        <v>7</v>
      </c>
      <c r="J169" s="16" cm="1">
        <f t="array" ref="J169">INDEX(Sm,I169)</f>
        <v>0.74435685666414753</v>
      </c>
      <c r="K169" s="16">
        <f t="shared" si="13"/>
        <v>329.28468792096101</v>
      </c>
      <c r="L169" s="16">
        <f t="shared" si="14"/>
        <v>1.2446879209609847</v>
      </c>
      <c r="M169" s="16">
        <f t="shared" si="15"/>
        <v>1.5492480205861785</v>
      </c>
    </row>
    <row r="170" spans="6:13" x14ac:dyDescent="0.4">
      <c r="F170" s="1">
        <v>26512</v>
      </c>
      <c r="G170" s="16">
        <v>326.32</v>
      </c>
      <c r="H170" s="16">
        <f t="shared" si="11"/>
        <v>328.63901013547286</v>
      </c>
      <c r="I170">
        <f t="shared" si="12"/>
        <v>8</v>
      </c>
      <c r="J170" s="16" cm="1">
        <f t="array" ref="J170">INDEX(Sm,I170)</f>
        <v>-1.3868231821212227</v>
      </c>
      <c r="K170" s="16">
        <f t="shared" si="13"/>
        <v>327.25218695335161</v>
      </c>
      <c r="L170" s="16">
        <f t="shared" si="14"/>
        <v>0.93218695335161783</v>
      </c>
      <c r="M170" s="16">
        <f t="shared" si="15"/>
        <v>0.8689725159989713</v>
      </c>
    </row>
    <row r="171" spans="6:13" x14ac:dyDescent="0.4">
      <c r="F171" s="1">
        <v>26543</v>
      </c>
      <c r="G171" s="16">
        <v>324.83999999999997</v>
      </c>
      <c r="H171" s="16">
        <f t="shared" si="11"/>
        <v>328.7378281458619</v>
      </c>
      <c r="I171">
        <f t="shared" si="12"/>
        <v>9</v>
      </c>
      <c r="J171" s="16" cm="1">
        <f t="array" ref="J171">INDEX(Sm,I171)</f>
        <v>-3.1918015790052943</v>
      </c>
      <c r="K171" s="16">
        <f t="shared" si="13"/>
        <v>325.5460265668566</v>
      </c>
      <c r="L171" s="16">
        <f t="shared" si="14"/>
        <v>0.70602656685662168</v>
      </c>
      <c r="M171" s="16">
        <f t="shared" si="15"/>
        <v>0.49847351310734767</v>
      </c>
    </row>
    <row r="172" spans="6:13" x14ac:dyDescent="0.4">
      <c r="F172" s="1">
        <v>26573</v>
      </c>
      <c r="G172" s="16">
        <v>325.2</v>
      </c>
      <c r="H172" s="16">
        <f t="shared" si="11"/>
        <v>328.83359095138951</v>
      </c>
      <c r="I172">
        <f t="shared" si="12"/>
        <v>10</v>
      </c>
      <c r="J172" s="16" cm="1">
        <f t="array" ref="J172">INDEX(Sm,I172)</f>
        <v>-3.3171210691938846</v>
      </c>
      <c r="K172" s="16">
        <f t="shared" si="13"/>
        <v>325.51646988219562</v>
      </c>
      <c r="L172" s="16">
        <f t="shared" si="14"/>
        <v>0.31646988219563355</v>
      </c>
      <c r="M172" s="16">
        <f t="shared" si="15"/>
        <v>0.10015318633691818</v>
      </c>
    </row>
    <row r="173" spans="6:13" x14ac:dyDescent="0.4">
      <c r="F173" s="1">
        <v>26604</v>
      </c>
      <c r="G173" s="16">
        <v>326.5</v>
      </c>
      <c r="H173" s="16">
        <f t="shared" si="11"/>
        <v>328.93268292975495</v>
      </c>
      <c r="I173">
        <f t="shared" si="12"/>
        <v>11</v>
      </c>
      <c r="J173" s="16" cm="1">
        <f t="array" ref="J173">INDEX(Sm,I173)</f>
        <v>-2.0577916254037292</v>
      </c>
      <c r="K173" s="16">
        <f t="shared" si="13"/>
        <v>326.87489130435119</v>
      </c>
      <c r="L173" s="16">
        <f t="shared" si="14"/>
        <v>0.37489130435119478</v>
      </c>
      <c r="M173" s="16">
        <f t="shared" si="15"/>
        <v>0.14054349007814015</v>
      </c>
    </row>
    <row r="174" spans="6:13" x14ac:dyDescent="0.4">
      <c r="F174" s="1">
        <v>26634</v>
      </c>
      <c r="G174" s="16">
        <v>327.55</v>
      </c>
      <c r="H174" s="16">
        <f t="shared" si="11"/>
        <v>329.02871123285678</v>
      </c>
      <c r="I174">
        <f t="shared" si="12"/>
        <v>12</v>
      </c>
      <c r="J174" s="16" cm="1">
        <f t="array" ref="J174">INDEX(Sm,I174)</f>
        <v>-0.88780634062791353</v>
      </c>
      <c r="K174" s="16">
        <f t="shared" si="13"/>
        <v>328.14090489222889</v>
      </c>
      <c r="L174" s="16">
        <f t="shared" si="14"/>
        <v>0.59090489222887754</v>
      </c>
      <c r="M174" s="16">
        <f t="shared" si="15"/>
        <v>0.3491685916600214</v>
      </c>
    </row>
    <row r="175" spans="6:13" x14ac:dyDescent="0.4">
      <c r="F175" s="1">
        <v>26665</v>
      </c>
      <c r="G175" s="16">
        <v>328.55</v>
      </c>
      <c r="H175" s="16">
        <f t="shared" si="11"/>
        <v>329.12807793876112</v>
      </c>
      <c r="I175">
        <f t="shared" si="12"/>
        <v>1</v>
      </c>
      <c r="J175" s="16" cm="1">
        <f t="array" ref="J175">INDEX(Sm,I175)</f>
        <v>-3.3662626377861403E-2</v>
      </c>
      <c r="K175" s="16">
        <f t="shared" si="13"/>
        <v>329.09441531238326</v>
      </c>
      <c r="L175" s="16">
        <f t="shared" si="14"/>
        <v>0.54441531238325069</v>
      </c>
      <c r="M175" s="16">
        <f t="shared" si="15"/>
        <v>0.29638803235735245</v>
      </c>
    </row>
    <row r="176" spans="6:13" x14ac:dyDescent="0.4">
      <c r="F176" s="1">
        <v>26696</v>
      </c>
      <c r="G176" s="16">
        <v>329.56</v>
      </c>
      <c r="H176" s="16">
        <f t="shared" si="11"/>
        <v>329.22758455206178</v>
      </c>
      <c r="I176">
        <f t="shared" si="12"/>
        <v>2</v>
      </c>
      <c r="J176" s="16" cm="1">
        <f t="array" ref="J176">INDEX(Sm,I176)</f>
        <v>0.68114275406980329</v>
      </c>
      <c r="K176" s="16">
        <f t="shared" si="13"/>
        <v>329.9087273061316</v>
      </c>
      <c r="L176" s="16">
        <f t="shared" si="14"/>
        <v>0.3487273061315932</v>
      </c>
      <c r="M176" s="16">
        <f t="shared" si="15"/>
        <v>0.12161073404179791</v>
      </c>
    </row>
    <row r="177" spans="6:13" x14ac:dyDescent="0.4">
      <c r="F177" s="1">
        <v>26724</v>
      </c>
      <c r="G177" s="16">
        <v>330.3</v>
      </c>
      <c r="H177" s="16">
        <f t="shared" si="11"/>
        <v>329.31758191034754</v>
      </c>
      <c r="I177">
        <f t="shared" si="12"/>
        <v>3</v>
      </c>
      <c r="J177" s="16" cm="1">
        <f t="array" ref="J177">INDEX(Sm,I177)</f>
        <v>1.3951035824648568</v>
      </c>
      <c r="K177" s="16">
        <f t="shared" si="13"/>
        <v>330.7126854928124</v>
      </c>
      <c r="L177" s="16">
        <f t="shared" si="14"/>
        <v>0.4126854928123862</v>
      </c>
      <c r="M177" s="16">
        <f t="shared" si="15"/>
        <v>0.17030931597780205</v>
      </c>
    </row>
    <row r="178" spans="6:13" x14ac:dyDescent="0.4">
      <c r="F178" s="1">
        <v>26755</v>
      </c>
      <c r="G178" s="16">
        <v>331.5</v>
      </c>
      <c r="H178" s="16">
        <f t="shared" si="11"/>
        <v>329.41735534347509</v>
      </c>
      <c r="I178">
        <f t="shared" si="12"/>
        <v>4</v>
      </c>
      <c r="J178" s="16" cm="1">
        <f t="array" ref="J178">INDEX(Sm,I178)</f>
        <v>2.6339370251743146</v>
      </c>
      <c r="K178" s="16">
        <f t="shared" si="13"/>
        <v>332.0512923686494</v>
      </c>
      <c r="L178" s="16">
        <f t="shared" si="14"/>
        <v>0.55129236864939912</v>
      </c>
      <c r="M178" s="16">
        <f t="shared" si="15"/>
        <v>0.30392327573106498</v>
      </c>
    </row>
    <row r="179" spans="6:13" x14ac:dyDescent="0.4">
      <c r="F179" s="1">
        <v>26785</v>
      </c>
      <c r="G179" s="16">
        <v>332.48</v>
      </c>
      <c r="H179" s="16">
        <f t="shared" si="11"/>
        <v>329.51404403246812</v>
      </c>
      <c r="I179">
        <f t="shared" si="12"/>
        <v>5</v>
      </c>
      <c r="J179" s="16" cm="1">
        <f t="array" ref="J179">INDEX(Sm,I179)</f>
        <v>3.0997257789906989</v>
      </c>
      <c r="K179" s="16">
        <f t="shared" si="13"/>
        <v>332.61376981145884</v>
      </c>
      <c r="L179" s="16">
        <f t="shared" si="14"/>
        <v>0.13376981145881928</v>
      </c>
      <c r="M179" s="16">
        <f t="shared" si="15"/>
        <v>1.7894362457728057E-2</v>
      </c>
    </row>
    <row r="180" spans="6:13" x14ac:dyDescent="0.4">
      <c r="F180" s="1">
        <v>26816</v>
      </c>
      <c r="G180" s="16">
        <v>332.07</v>
      </c>
      <c r="H180" s="16">
        <f t="shared" si="11"/>
        <v>329.61409408243372</v>
      </c>
      <c r="I180">
        <f t="shared" si="12"/>
        <v>6</v>
      </c>
      <c r="J180" s="16" cm="1">
        <f t="array" ref="J180">INDEX(Sm,I180)</f>
        <v>2.3207404253660839</v>
      </c>
      <c r="K180" s="16">
        <f t="shared" si="13"/>
        <v>331.93483450779979</v>
      </c>
      <c r="L180" s="16">
        <f t="shared" si="14"/>
        <v>-0.13516549220020124</v>
      </c>
      <c r="M180" s="16">
        <f t="shared" si="15"/>
        <v>1.8269710281722664E-2</v>
      </c>
    </row>
    <row r="181" spans="6:13" x14ac:dyDescent="0.4">
      <c r="F181" s="1">
        <v>26846</v>
      </c>
      <c r="G181" s="16">
        <v>330.87</v>
      </c>
      <c r="H181" s="16">
        <f t="shared" si="11"/>
        <v>329.71105083596638</v>
      </c>
      <c r="I181">
        <f t="shared" si="12"/>
        <v>7</v>
      </c>
      <c r="J181" s="16" cm="1">
        <f t="array" ref="J181">INDEX(Sm,I181)</f>
        <v>0.74435685666414753</v>
      </c>
      <c r="K181" s="16">
        <f t="shared" si="13"/>
        <v>330.4554076926305</v>
      </c>
      <c r="L181" s="16">
        <f t="shared" si="14"/>
        <v>-0.41459230736950303</v>
      </c>
      <c r="M181" s="16">
        <f t="shared" si="15"/>
        <v>0.17188678132996849</v>
      </c>
    </row>
    <row r="182" spans="6:13" x14ac:dyDescent="0.4">
      <c r="F182" s="1">
        <v>26877</v>
      </c>
      <c r="G182" s="16">
        <v>329.31</v>
      </c>
      <c r="H182" s="16">
        <f t="shared" si="11"/>
        <v>329.81137826967631</v>
      </c>
      <c r="I182">
        <f t="shared" si="12"/>
        <v>8</v>
      </c>
      <c r="J182" s="16" cm="1">
        <f t="array" ref="J182">INDEX(Sm,I182)</f>
        <v>-1.3868231821212227</v>
      </c>
      <c r="K182" s="16">
        <f t="shared" si="13"/>
        <v>328.42455508755506</v>
      </c>
      <c r="L182" s="16">
        <f t="shared" si="14"/>
        <v>-0.88544491244493884</v>
      </c>
      <c r="M182" s="16">
        <f t="shared" si="15"/>
        <v>0.78401269297462539</v>
      </c>
    </row>
    <row r="183" spans="6:13" x14ac:dyDescent="0.4">
      <c r="F183" s="1">
        <v>26908</v>
      </c>
      <c r="G183" s="16">
        <v>327.51</v>
      </c>
      <c r="H183" s="16">
        <f t="shared" si="11"/>
        <v>329.9118469634783</v>
      </c>
      <c r="I183">
        <f t="shared" si="12"/>
        <v>9</v>
      </c>
      <c r="J183" s="16" cm="1">
        <f t="array" ref="J183">INDEX(Sm,I183)</f>
        <v>-3.1918015790052943</v>
      </c>
      <c r="K183" s="16">
        <f t="shared" si="13"/>
        <v>326.720045384473</v>
      </c>
      <c r="L183" s="16">
        <f t="shared" si="14"/>
        <v>-0.78995461552699453</v>
      </c>
      <c r="M183" s="16">
        <f t="shared" si="15"/>
        <v>0.62402829459240172</v>
      </c>
    </row>
    <row r="184" spans="6:13" x14ac:dyDescent="0.4">
      <c r="F184" s="1">
        <v>26938</v>
      </c>
      <c r="G184" s="16">
        <v>327.18</v>
      </c>
      <c r="H184" s="16">
        <f t="shared" si="11"/>
        <v>330.00920941743084</v>
      </c>
      <c r="I184">
        <f t="shared" si="12"/>
        <v>10</v>
      </c>
      <c r="J184" s="16" cm="1">
        <f t="array" ref="J184">INDEX(Sm,I184)</f>
        <v>-3.3171210691938846</v>
      </c>
      <c r="K184" s="16">
        <f t="shared" si="13"/>
        <v>326.69208834823695</v>
      </c>
      <c r="L184" s="16">
        <f t="shared" si="14"/>
        <v>-0.4879116517630564</v>
      </c>
      <c r="M184" s="16">
        <f t="shared" si="15"/>
        <v>0.23805777992615401</v>
      </c>
    </row>
    <row r="185" spans="6:13" x14ac:dyDescent="0.4">
      <c r="F185" s="1">
        <v>26969</v>
      </c>
      <c r="G185" s="16">
        <v>328.16</v>
      </c>
      <c r="H185" s="16">
        <f t="shared" si="11"/>
        <v>330.10995665564622</v>
      </c>
      <c r="I185">
        <f t="shared" si="12"/>
        <v>11</v>
      </c>
      <c r="J185" s="16" cm="1">
        <f t="array" ref="J185">INDEX(Sm,I185)</f>
        <v>-2.0577916254037292</v>
      </c>
      <c r="K185" s="16">
        <f t="shared" si="13"/>
        <v>328.05216503024246</v>
      </c>
      <c r="L185" s="16">
        <f t="shared" si="14"/>
        <v>-0.10783496975756179</v>
      </c>
      <c r="M185" s="16">
        <f t="shared" si="15"/>
        <v>1.1628380702614266E-2</v>
      </c>
    </row>
    <row r="186" spans="6:13" x14ac:dyDescent="0.4">
      <c r="F186" s="1">
        <v>26999</v>
      </c>
      <c r="G186" s="16">
        <v>328.64</v>
      </c>
      <c r="H186" s="16">
        <f t="shared" si="11"/>
        <v>330.20758904211789</v>
      </c>
      <c r="I186">
        <f t="shared" si="12"/>
        <v>12</v>
      </c>
      <c r="J186" s="16" cm="1">
        <f t="array" ref="J186">INDEX(Sm,I186)</f>
        <v>-0.88780634062791353</v>
      </c>
      <c r="K186" s="16">
        <f t="shared" si="13"/>
        <v>329.31978270149</v>
      </c>
      <c r="L186" s="16">
        <f t="shared" si="14"/>
        <v>0.67978270149001219</v>
      </c>
      <c r="M186" s="16">
        <f t="shared" si="15"/>
        <v>0.46210452124505902</v>
      </c>
    </row>
    <row r="187" spans="6:13" x14ac:dyDescent="0.4">
      <c r="F187" s="1">
        <v>27030</v>
      </c>
      <c r="G187" s="16">
        <v>329.35</v>
      </c>
      <c r="H187" s="16">
        <f t="shared" si="11"/>
        <v>330.30861559699707</v>
      </c>
      <c r="I187">
        <f t="shared" si="12"/>
        <v>1</v>
      </c>
      <c r="J187" s="16" cm="1">
        <f t="array" ref="J187">INDEX(Sm,I187)</f>
        <v>-3.3662626377861403E-2</v>
      </c>
      <c r="K187" s="16">
        <f t="shared" si="13"/>
        <v>330.27495297061921</v>
      </c>
      <c r="L187" s="16">
        <f t="shared" si="14"/>
        <v>0.92495297061918791</v>
      </c>
      <c r="M187" s="16">
        <f t="shared" si="15"/>
        <v>0.85553799785726026</v>
      </c>
    </row>
    <row r="188" spans="6:13" x14ac:dyDescent="0.4">
      <c r="F188" s="1">
        <v>27061</v>
      </c>
      <c r="G188" s="16">
        <v>330.71</v>
      </c>
      <c r="H188" s="16">
        <f t="shared" si="11"/>
        <v>330.40978439632448</v>
      </c>
      <c r="I188">
        <f t="shared" si="12"/>
        <v>2</v>
      </c>
      <c r="J188" s="16" cm="1">
        <f t="array" ref="J188">INDEX(Sm,I188)</f>
        <v>0.68114275406980329</v>
      </c>
      <c r="K188" s="16">
        <f t="shared" si="13"/>
        <v>331.09092715039429</v>
      </c>
      <c r="L188" s="16">
        <f t="shared" si="14"/>
        <v>0.38092715039431368</v>
      </c>
      <c r="M188" s="16">
        <f t="shared" si="15"/>
        <v>0.14510549390753208</v>
      </c>
    </row>
    <row r="189" spans="6:13" x14ac:dyDescent="0.4">
      <c r="F189" s="1">
        <v>27089</v>
      </c>
      <c r="G189" s="16">
        <v>331.48</v>
      </c>
      <c r="H189" s="16">
        <f t="shared" si="11"/>
        <v>330.50128509540764</v>
      </c>
      <c r="I189">
        <f t="shared" si="12"/>
        <v>3</v>
      </c>
      <c r="J189" s="16" cm="1">
        <f t="array" ref="J189">INDEX(Sm,I189)</f>
        <v>1.3951035824648568</v>
      </c>
      <c r="K189" s="16">
        <f t="shared" si="13"/>
        <v>331.89638867787249</v>
      </c>
      <c r="L189" s="16">
        <f t="shared" si="14"/>
        <v>0.41638867787247591</v>
      </c>
      <c r="M189" s="16">
        <f t="shared" si="15"/>
        <v>0.1733795310603885</v>
      </c>
    </row>
    <row r="190" spans="6:13" x14ac:dyDescent="0.4">
      <c r="F190" s="1">
        <v>27120</v>
      </c>
      <c r="G190" s="16">
        <v>332.65</v>
      </c>
      <c r="H190" s="16">
        <f t="shared" si="11"/>
        <v>330.60272517159422</v>
      </c>
      <c r="I190">
        <f t="shared" si="12"/>
        <v>4</v>
      </c>
      <c r="J190" s="16" cm="1">
        <f t="array" ref="J190">INDEX(Sm,I190)</f>
        <v>2.6339370251743146</v>
      </c>
      <c r="K190" s="16">
        <f t="shared" si="13"/>
        <v>333.23666219676852</v>
      </c>
      <c r="L190" s="16">
        <f t="shared" si="14"/>
        <v>0.58666219676854325</v>
      </c>
      <c r="M190" s="16">
        <f t="shared" si="15"/>
        <v>0.34417253311729296</v>
      </c>
    </row>
    <row r="191" spans="6:13" x14ac:dyDescent="0.4">
      <c r="F191" s="1">
        <v>27150</v>
      </c>
      <c r="G191" s="16">
        <v>333.09</v>
      </c>
      <c r="H191" s="16">
        <f t="shared" si="11"/>
        <v>330.70102897522588</v>
      </c>
      <c r="I191">
        <f t="shared" si="12"/>
        <v>5</v>
      </c>
      <c r="J191" s="16" cm="1">
        <f t="array" ref="J191">INDEX(Sm,I191)</f>
        <v>3.0997257789906989</v>
      </c>
      <c r="K191" s="16">
        <f t="shared" si="13"/>
        <v>333.8007547542166</v>
      </c>
      <c r="L191" s="16">
        <f t="shared" si="14"/>
        <v>0.71075475421662304</v>
      </c>
      <c r="M191" s="16">
        <f t="shared" si="15"/>
        <v>0.50517232064153228</v>
      </c>
    </row>
    <row r="192" spans="6:13" x14ac:dyDescent="0.4">
      <c r="F192" s="1">
        <v>27181</v>
      </c>
      <c r="G192" s="16">
        <v>332.25</v>
      </c>
      <c r="H192" s="16">
        <f t="shared" si="11"/>
        <v>330.80275028893476</v>
      </c>
      <c r="I192">
        <f t="shared" si="12"/>
        <v>6</v>
      </c>
      <c r="J192" s="16" cm="1">
        <f t="array" ref="J192">INDEX(Sm,I192)</f>
        <v>2.3207404253660839</v>
      </c>
      <c r="K192" s="16">
        <f t="shared" si="13"/>
        <v>333.12349071430083</v>
      </c>
      <c r="L192" s="16">
        <f t="shared" si="14"/>
        <v>0.87349071430082859</v>
      </c>
      <c r="M192" s="16">
        <f t="shared" si="15"/>
        <v>0.76298602796977177</v>
      </c>
    </row>
    <row r="193" spans="6:13" x14ac:dyDescent="0.4">
      <c r="F193" s="1">
        <v>27211</v>
      </c>
      <c r="G193" s="16">
        <v>331.18</v>
      </c>
      <c r="H193" s="16">
        <f t="shared" si="11"/>
        <v>330.90132663493046</v>
      </c>
      <c r="I193">
        <f t="shared" si="12"/>
        <v>7</v>
      </c>
      <c r="J193" s="16" cm="1">
        <f t="array" ref="J193">INDEX(Sm,I193)</f>
        <v>0.74435685666414753</v>
      </c>
      <c r="K193" s="16">
        <f t="shared" si="13"/>
        <v>331.64568349159458</v>
      </c>
      <c r="L193" s="16">
        <f t="shared" si="14"/>
        <v>0.46568349159457512</v>
      </c>
      <c r="M193" s="16">
        <f t="shared" si="15"/>
        <v>0.21686111434371472</v>
      </c>
    </row>
    <row r="194" spans="6:13" x14ac:dyDescent="0.4">
      <c r="F194" s="1">
        <v>27242</v>
      </c>
      <c r="G194" s="16">
        <v>329.39</v>
      </c>
      <c r="H194" s="16">
        <f t="shared" si="11"/>
        <v>331.00332996587849</v>
      </c>
      <c r="I194">
        <f t="shared" si="12"/>
        <v>8</v>
      </c>
      <c r="J194" s="16" cm="1">
        <f t="array" ref="J194">INDEX(Sm,I194)</f>
        <v>-1.3868231821212227</v>
      </c>
      <c r="K194" s="16">
        <f t="shared" si="13"/>
        <v>329.61650678375725</v>
      </c>
      <c r="L194" s="16">
        <f t="shared" si="14"/>
        <v>0.22650678375725875</v>
      </c>
      <c r="M194" s="16">
        <f t="shared" si="15"/>
        <v>5.1305323088057575E-2</v>
      </c>
    </row>
    <row r="195" spans="6:13" x14ac:dyDescent="0.4">
      <c r="F195" s="1">
        <v>27273</v>
      </c>
      <c r="G195" s="16">
        <v>327.43</v>
      </c>
      <c r="H195" s="16">
        <f t="shared" ref="H195:H258" si="16">EXP(_A*F195+_B)+_C</f>
        <v>331.10547691656637</v>
      </c>
      <c r="I195">
        <f t="shared" ref="I195:I258" si="17">MONTH(F195)</f>
        <v>9</v>
      </c>
      <c r="J195" s="16" cm="1">
        <f t="array" ref="J195">INDEX(Sm,I195)</f>
        <v>-3.1918015790052943</v>
      </c>
      <c r="K195" s="16">
        <f t="shared" ref="K195:K258" si="18">H195+J195</f>
        <v>327.91367533756107</v>
      </c>
      <c r="L195" s="16">
        <f t="shared" ref="L195:L258" si="19">K195-G195</f>
        <v>0.48367533756106695</v>
      </c>
      <c r="M195" s="16">
        <f t="shared" ref="M195:M258" si="20">L195*L195</f>
        <v>0.23394183216481207</v>
      </c>
    </row>
    <row r="196" spans="6:13" x14ac:dyDescent="0.4">
      <c r="F196" s="1">
        <v>27303</v>
      </c>
      <c r="G196" s="16">
        <v>327.37</v>
      </c>
      <c r="H196" s="16">
        <f t="shared" si="16"/>
        <v>331.2044657399141</v>
      </c>
      <c r="I196">
        <f t="shared" si="17"/>
        <v>10</v>
      </c>
      <c r="J196" s="16" cm="1">
        <f t="array" ref="J196">INDEX(Sm,I196)</f>
        <v>-3.3171210691938846</v>
      </c>
      <c r="K196" s="16">
        <f t="shared" si="18"/>
        <v>327.88734467072021</v>
      </c>
      <c r="L196" s="16">
        <f t="shared" si="19"/>
        <v>0.51734467072020607</v>
      </c>
      <c r="M196" s="16">
        <f t="shared" si="20"/>
        <v>0.26764550832259842</v>
      </c>
    </row>
    <row r="197" spans="6:13" x14ac:dyDescent="0.4">
      <c r="F197" s="1">
        <v>27334</v>
      </c>
      <c r="G197" s="16">
        <v>328.46</v>
      </c>
      <c r="H197" s="16">
        <f t="shared" si="16"/>
        <v>331.30689588789829</v>
      </c>
      <c r="I197">
        <f t="shared" si="17"/>
        <v>11</v>
      </c>
      <c r="J197" s="16" cm="1">
        <f t="array" ref="J197">INDEX(Sm,I197)</f>
        <v>-2.0577916254037292</v>
      </c>
      <c r="K197" s="16">
        <f t="shared" si="18"/>
        <v>329.24910426249454</v>
      </c>
      <c r="L197" s="16">
        <f t="shared" si="19"/>
        <v>0.78910426249456123</v>
      </c>
      <c r="M197" s="16">
        <f t="shared" si="20"/>
        <v>0.62268553708708541</v>
      </c>
    </row>
    <row r="198" spans="6:13" x14ac:dyDescent="0.4">
      <c r="F198" s="1">
        <v>27364</v>
      </c>
      <c r="G198" s="16">
        <v>329.57</v>
      </c>
      <c r="H198" s="16">
        <f t="shared" si="16"/>
        <v>331.40615915279278</v>
      </c>
      <c r="I198">
        <f t="shared" si="17"/>
        <v>12</v>
      </c>
      <c r="J198" s="16" cm="1">
        <f t="array" ref="J198">INDEX(Sm,I198)</f>
        <v>-0.88780634062791353</v>
      </c>
      <c r="K198" s="16">
        <f t="shared" si="18"/>
        <v>330.51835281216489</v>
      </c>
      <c r="L198" s="16">
        <f t="shared" si="19"/>
        <v>0.94835281216489875</v>
      </c>
      <c r="M198" s="16">
        <f t="shared" si="20"/>
        <v>0.89937305634107179</v>
      </c>
    </row>
    <row r="199" spans="6:13" x14ac:dyDescent="0.4">
      <c r="F199" s="1">
        <v>27395</v>
      </c>
      <c r="G199" s="16">
        <v>330.4</v>
      </c>
      <c r="H199" s="16">
        <f t="shared" si="16"/>
        <v>331.50887328322369</v>
      </c>
      <c r="I199">
        <f t="shared" si="17"/>
        <v>1</v>
      </c>
      <c r="J199" s="16" cm="1">
        <f t="array" ref="J199">INDEX(Sm,I199)</f>
        <v>-3.3662626377861403E-2</v>
      </c>
      <c r="K199" s="16">
        <f t="shared" si="18"/>
        <v>331.47521065684583</v>
      </c>
      <c r="L199" s="16">
        <f t="shared" si="19"/>
        <v>1.0752106568458544</v>
      </c>
      <c r="M199" s="16">
        <f t="shared" si="20"/>
        <v>1.1560779565948935</v>
      </c>
    </row>
    <row r="200" spans="6:13" x14ac:dyDescent="0.4">
      <c r="F200" s="1">
        <v>27426</v>
      </c>
      <c r="G200" s="16">
        <v>331.4</v>
      </c>
      <c r="H200" s="16">
        <f t="shared" si="16"/>
        <v>331.61173203419361</v>
      </c>
      <c r="I200">
        <f t="shared" si="17"/>
        <v>2</v>
      </c>
      <c r="J200" s="16" cm="1">
        <f t="array" ref="J200">INDEX(Sm,I200)</f>
        <v>0.68114275406980329</v>
      </c>
      <c r="K200" s="16">
        <f t="shared" si="18"/>
        <v>332.29287478826342</v>
      </c>
      <c r="L200" s="16">
        <f t="shared" si="19"/>
        <v>0.89287478826344113</v>
      </c>
      <c r="M200" s="16">
        <f t="shared" si="20"/>
        <v>0.79722538751648486</v>
      </c>
    </row>
    <row r="201" spans="6:13" x14ac:dyDescent="0.4">
      <c r="F201" s="1">
        <v>27454</v>
      </c>
      <c r="G201" s="16">
        <v>332.04</v>
      </c>
      <c r="H201" s="16">
        <f t="shared" si="16"/>
        <v>331.70476118629512</v>
      </c>
      <c r="I201">
        <f t="shared" si="17"/>
        <v>3</v>
      </c>
      <c r="J201" s="16" cm="1">
        <f t="array" ref="J201">INDEX(Sm,I201)</f>
        <v>1.3951035824648568</v>
      </c>
      <c r="K201" s="16">
        <f t="shared" si="18"/>
        <v>333.09986476875997</v>
      </c>
      <c r="L201" s="16">
        <f t="shared" si="19"/>
        <v>1.0598647687599509</v>
      </c>
      <c r="M201" s="16">
        <f t="shared" si="20"/>
        <v>1.1233133280585843</v>
      </c>
    </row>
    <row r="202" spans="6:13" x14ac:dyDescent="0.4">
      <c r="F202" s="1">
        <v>27485</v>
      </c>
      <c r="G202" s="16">
        <v>333.31</v>
      </c>
      <c r="H202" s="16">
        <f t="shared" si="16"/>
        <v>331.80789574560799</v>
      </c>
      <c r="I202">
        <f t="shared" si="17"/>
        <v>4</v>
      </c>
      <c r="J202" s="16" cm="1">
        <f t="array" ref="J202">INDEX(Sm,I202)</f>
        <v>2.6339370251743146</v>
      </c>
      <c r="K202" s="16">
        <f t="shared" si="18"/>
        <v>334.4418327707823</v>
      </c>
      <c r="L202" s="16">
        <f t="shared" si="19"/>
        <v>1.1318327707822959</v>
      </c>
      <c r="M202" s="16">
        <f t="shared" si="20"/>
        <v>1.2810454210167292</v>
      </c>
    </row>
    <row r="203" spans="6:13" x14ac:dyDescent="0.4">
      <c r="F203" s="1">
        <v>27515</v>
      </c>
      <c r="G203" s="16">
        <v>333.97</v>
      </c>
      <c r="H203" s="16">
        <f t="shared" si="16"/>
        <v>331.90784164320058</v>
      </c>
      <c r="I203">
        <f t="shared" si="17"/>
        <v>5</v>
      </c>
      <c r="J203" s="16" cm="1">
        <f t="array" ref="J203">INDEX(Sm,I203)</f>
        <v>3.0997257789906989</v>
      </c>
      <c r="K203" s="16">
        <f t="shared" si="18"/>
        <v>335.0075674221913</v>
      </c>
      <c r="L203" s="16">
        <f t="shared" si="19"/>
        <v>1.0375674221912732</v>
      </c>
      <c r="M203" s="16">
        <f t="shared" si="20"/>
        <v>1.0765461555926437</v>
      </c>
    </row>
    <row r="204" spans="6:13" x14ac:dyDescent="0.4">
      <c r="F204" s="1">
        <v>27546</v>
      </c>
      <c r="G204" s="16">
        <v>333.6</v>
      </c>
      <c r="H204" s="16">
        <f t="shared" si="16"/>
        <v>332.01126213790513</v>
      </c>
      <c r="I204">
        <f t="shared" si="17"/>
        <v>6</v>
      </c>
      <c r="J204" s="16" cm="1">
        <f t="array" ref="J204">INDEX(Sm,I204)</f>
        <v>2.3207404253660839</v>
      </c>
      <c r="K204" s="16">
        <f t="shared" si="18"/>
        <v>334.3320025632712</v>
      </c>
      <c r="L204" s="16">
        <f t="shared" si="19"/>
        <v>0.73200256327118041</v>
      </c>
      <c r="M204" s="16">
        <f t="shared" si="20"/>
        <v>0.53582775263557847</v>
      </c>
    </row>
    <row r="205" spans="6:13" x14ac:dyDescent="0.4">
      <c r="F205" s="1">
        <v>27576</v>
      </c>
      <c r="G205" s="16">
        <v>331.9</v>
      </c>
      <c r="H205" s="16">
        <f t="shared" si="16"/>
        <v>332.11148513048488</v>
      </c>
      <c r="I205">
        <f t="shared" si="17"/>
        <v>7</v>
      </c>
      <c r="J205" s="16" cm="1">
        <f t="array" ref="J205">INDEX(Sm,I205)</f>
        <v>0.74435685666414753</v>
      </c>
      <c r="K205" s="16">
        <f t="shared" si="18"/>
        <v>332.85584198714901</v>
      </c>
      <c r="L205" s="16">
        <f t="shared" si="19"/>
        <v>0.95584198714902868</v>
      </c>
      <c r="M205" s="16">
        <f t="shared" si="20"/>
        <v>0.91363390439700387</v>
      </c>
    </row>
    <row r="206" spans="6:13" x14ac:dyDescent="0.4">
      <c r="F206" s="1">
        <v>27607</v>
      </c>
      <c r="G206" s="16">
        <v>330.06</v>
      </c>
      <c r="H206" s="16">
        <f t="shared" si="16"/>
        <v>332.21519235332266</v>
      </c>
      <c r="I206">
        <f t="shared" si="17"/>
        <v>8</v>
      </c>
      <c r="J206" s="16" cm="1">
        <f t="array" ref="J206">INDEX(Sm,I206)</f>
        <v>-1.3868231821212227</v>
      </c>
      <c r="K206" s="16">
        <f t="shared" si="18"/>
        <v>330.82836917120142</v>
      </c>
      <c r="L206" s="16">
        <f t="shared" si="19"/>
        <v>0.76836917120141379</v>
      </c>
      <c r="M206" s="16">
        <f t="shared" si="20"/>
        <v>0.59039118325274753</v>
      </c>
    </row>
    <row r="207" spans="6:13" x14ac:dyDescent="0.4">
      <c r="F207" s="1">
        <v>27638</v>
      </c>
      <c r="G207" s="16">
        <v>328.56</v>
      </c>
      <c r="H207" s="16">
        <f t="shared" si="16"/>
        <v>332.31904559496428</v>
      </c>
      <c r="I207">
        <f t="shared" si="17"/>
        <v>9</v>
      </c>
      <c r="J207" s="16" cm="1">
        <f t="array" ref="J207">INDEX(Sm,I207)</f>
        <v>-3.1918015790052943</v>
      </c>
      <c r="K207" s="16">
        <f t="shared" si="18"/>
        <v>329.12724401595898</v>
      </c>
      <c r="L207" s="16">
        <f t="shared" si="19"/>
        <v>0.56724401595897689</v>
      </c>
      <c r="M207" s="16">
        <f t="shared" si="20"/>
        <v>0.32176577364126802</v>
      </c>
    </row>
    <row r="208" spans="6:13" x14ac:dyDescent="0.4">
      <c r="F208" s="1">
        <v>27668</v>
      </c>
      <c r="G208" s="16">
        <v>328.34</v>
      </c>
      <c r="H208" s="16">
        <f t="shared" si="16"/>
        <v>332.41968795503192</v>
      </c>
      <c r="I208">
        <f t="shared" si="17"/>
        <v>10</v>
      </c>
      <c r="J208" s="16" cm="1">
        <f t="array" ref="J208">INDEX(Sm,I208)</f>
        <v>-3.3171210691938846</v>
      </c>
      <c r="K208" s="16">
        <f t="shared" si="18"/>
        <v>329.10256688583803</v>
      </c>
      <c r="L208" s="16">
        <f t="shared" si="19"/>
        <v>0.76256688583805499</v>
      </c>
      <c r="M208" s="16">
        <f t="shared" si="20"/>
        <v>0.58150825537674922</v>
      </c>
    </row>
    <row r="209" spans="6:13" x14ac:dyDescent="0.4">
      <c r="F209" s="1">
        <v>27699</v>
      </c>
      <c r="G209" s="16">
        <v>329.49</v>
      </c>
      <c r="H209" s="16">
        <f t="shared" si="16"/>
        <v>332.52382912457597</v>
      </c>
      <c r="I209">
        <f t="shared" si="17"/>
        <v>11</v>
      </c>
      <c r="J209" s="16" cm="1">
        <f t="array" ref="J209">INDEX(Sm,I209)</f>
        <v>-2.0577916254037292</v>
      </c>
      <c r="K209" s="16">
        <f t="shared" si="18"/>
        <v>330.46603749917222</v>
      </c>
      <c r="L209" s="16">
        <f t="shared" si="19"/>
        <v>0.97603749917220739</v>
      </c>
      <c r="M209" s="16">
        <f t="shared" si="20"/>
        <v>0.95264919979033669</v>
      </c>
    </row>
    <row r="210" spans="6:13" x14ac:dyDescent="0.4">
      <c r="F210" s="1">
        <v>27729</v>
      </c>
      <c r="G210" s="16">
        <v>330.76</v>
      </c>
      <c r="H210" s="16">
        <f t="shared" si="16"/>
        <v>332.62475051053792</v>
      </c>
      <c r="I210">
        <f t="shared" si="17"/>
        <v>12</v>
      </c>
      <c r="J210" s="16" cm="1">
        <f t="array" ref="J210">INDEX(Sm,I210)</f>
        <v>-0.88780634062791353</v>
      </c>
      <c r="K210" s="16">
        <f t="shared" si="18"/>
        <v>331.73694416991003</v>
      </c>
      <c r="L210" s="16">
        <f t="shared" si="19"/>
        <v>0.97694416991004118</v>
      </c>
      <c r="M210" s="16">
        <f t="shared" si="20"/>
        <v>0.95441991112121938</v>
      </c>
    </row>
    <row r="211" spans="6:13" x14ac:dyDescent="0.4">
      <c r="F211" s="1">
        <v>27760</v>
      </c>
      <c r="G211" s="16">
        <v>331.75</v>
      </c>
      <c r="H211" s="16">
        <f t="shared" si="16"/>
        <v>332.72918040625007</v>
      </c>
      <c r="I211">
        <f t="shared" si="17"/>
        <v>1</v>
      </c>
      <c r="J211" s="16" cm="1">
        <f t="array" ref="J211">INDEX(Sm,I211)</f>
        <v>-3.3662626377861403E-2</v>
      </c>
      <c r="K211" s="16">
        <f t="shared" si="18"/>
        <v>332.6955177798722</v>
      </c>
      <c r="L211" s="16">
        <f t="shared" si="19"/>
        <v>0.94551777987220476</v>
      </c>
      <c r="M211" s="16">
        <f t="shared" si="20"/>
        <v>0.89400387205446308</v>
      </c>
    </row>
    <row r="212" spans="6:13" x14ac:dyDescent="0.4">
      <c r="F212" s="1">
        <v>27791</v>
      </c>
      <c r="G212" s="16">
        <v>332.57</v>
      </c>
      <c r="H212" s="16">
        <f t="shared" si="16"/>
        <v>332.83375733828268</v>
      </c>
      <c r="I212">
        <f t="shared" si="17"/>
        <v>2</v>
      </c>
      <c r="J212" s="16" cm="1">
        <f t="array" ref="J212">INDEX(Sm,I212)</f>
        <v>0.68114275406980329</v>
      </c>
      <c r="K212" s="16">
        <f t="shared" si="18"/>
        <v>333.51490009235249</v>
      </c>
      <c r="L212" s="16">
        <f t="shared" si="19"/>
        <v>0.94490009235249772</v>
      </c>
      <c r="M212" s="16">
        <f t="shared" si="20"/>
        <v>0.8928361845277587</v>
      </c>
    </row>
    <row r="213" spans="6:13" x14ac:dyDescent="0.4">
      <c r="F213" s="1">
        <v>27820</v>
      </c>
      <c r="G213" s="16">
        <v>333.5</v>
      </c>
      <c r="H213" s="16">
        <f t="shared" si="16"/>
        <v>332.93172066786764</v>
      </c>
      <c r="I213">
        <f t="shared" si="17"/>
        <v>3</v>
      </c>
      <c r="J213" s="16" cm="1">
        <f t="array" ref="J213">INDEX(Sm,I213)</f>
        <v>1.3951035824648568</v>
      </c>
      <c r="K213" s="16">
        <f t="shared" si="18"/>
        <v>334.32682425033249</v>
      </c>
      <c r="L213" s="16">
        <f t="shared" si="19"/>
        <v>0.82682425033249274</v>
      </c>
      <c r="M213" s="16">
        <f t="shared" si="20"/>
        <v>0.68363834093788867</v>
      </c>
    </row>
    <row r="214" spans="6:13" x14ac:dyDescent="0.4">
      <c r="F214" s="1">
        <v>27851</v>
      </c>
      <c r="G214" s="16">
        <v>334.58</v>
      </c>
      <c r="H214" s="16">
        <f t="shared" si="16"/>
        <v>333.03658277470208</v>
      </c>
      <c r="I214">
        <f t="shared" si="17"/>
        <v>4</v>
      </c>
      <c r="J214" s="16" cm="1">
        <f t="array" ref="J214">INDEX(Sm,I214)</f>
        <v>2.6339370251743146</v>
      </c>
      <c r="K214" s="16">
        <f t="shared" si="18"/>
        <v>335.67051979987639</v>
      </c>
      <c r="L214" s="16">
        <f t="shared" si="19"/>
        <v>1.0905197998764038</v>
      </c>
      <c r="M214" s="16">
        <f t="shared" si="20"/>
        <v>1.1892334339224717</v>
      </c>
    </row>
    <row r="215" spans="6:13" x14ac:dyDescent="0.4">
      <c r="F215" s="1">
        <v>27881</v>
      </c>
      <c r="G215" s="16">
        <v>334.88</v>
      </c>
      <c r="H215" s="16">
        <f t="shared" si="16"/>
        <v>333.13820280838286</v>
      </c>
      <c r="I215">
        <f t="shared" si="17"/>
        <v>5</v>
      </c>
      <c r="J215" s="16" cm="1">
        <f t="array" ref="J215">INDEX(Sm,I215)</f>
        <v>3.0997257789906989</v>
      </c>
      <c r="K215" s="16">
        <f t="shared" si="18"/>
        <v>336.23792858737357</v>
      </c>
      <c r="L215" s="16">
        <f t="shared" si="19"/>
        <v>1.3579285873735785</v>
      </c>
      <c r="M215" s="16">
        <f t="shared" si="20"/>
        <v>1.8439700484064023</v>
      </c>
    </row>
    <row r="216" spans="6:13" x14ac:dyDescent="0.4">
      <c r="F216" s="1">
        <v>27912</v>
      </c>
      <c r="G216" s="16">
        <v>334.33</v>
      </c>
      <c r="H216" s="16">
        <f t="shared" si="16"/>
        <v>333.24335564014785</v>
      </c>
      <c r="I216">
        <f t="shared" si="17"/>
        <v>6</v>
      </c>
      <c r="J216" s="16" cm="1">
        <f t="array" ref="J216">INDEX(Sm,I216)</f>
        <v>2.3207404253660839</v>
      </c>
      <c r="K216" s="16">
        <f t="shared" si="18"/>
        <v>335.56409606551392</v>
      </c>
      <c r="L216" s="16">
        <f t="shared" si="19"/>
        <v>1.2340960655139384</v>
      </c>
      <c r="M216" s="16">
        <f t="shared" si="20"/>
        <v>1.5229930989169829</v>
      </c>
    </row>
    <row r="217" spans="6:13" x14ac:dyDescent="0.4">
      <c r="F217" s="1">
        <v>27942</v>
      </c>
      <c r="G217" s="16">
        <v>333.05</v>
      </c>
      <c r="H217" s="16">
        <f t="shared" si="16"/>
        <v>333.34525741027403</v>
      </c>
      <c r="I217">
        <f t="shared" si="17"/>
        <v>7</v>
      </c>
      <c r="J217" s="16" cm="1">
        <f t="array" ref="J217">INDEX(Sm,I217)</f>
        <v>0.74435685666414753</v>
      </c>
      <c r="K217" s="16">
        <f t="shared" si="18"/>
        <v>334.08961426693816</v>
      </c>
      <c r="L217" s="16">
        <f t="shared" si="19"/>
        <v>1.0396142669381447</v>
      </c>
      <c r="M217" s="16">
        <f t="shared" si="20"/>
        <v>1.0807978240213361</v>
      </c>
    </row>
    <row r="218" spans="6:13" x14ac:dyDescent="0.4">
      <c r="F218" s="1">
        <v>27973</v>
      </c>
      <c r="G218" s="16">
        <v>330.94</v>
      </c>
      <c r="H218" s="16">
        <f t="shared" si="16"/>
        <v>333.45070177298987</v>
      </c>
      <c r="I218">
        <f t="shared" si="17"/>
        <v>8</v>
      </c>
      <c r="J218" s="16" cm="1">
        <f t="array" ref="J218">INDEX(Sm,I218)</f>
        <v>-1.3868231821212227</v>
      </c>
      <c r="K218" s="16">
        <f t="shared" si="18"/>
        <v>332.06387859086863</v>
      </c>
      <c r="L218" s="16">
        <f t="shared" si="19"/>
        <v>1.1238785908686282</v>
      </c>
      <c r="M218" s="16">
        <f t="shared" si="20"/>
        <v>1.2631030870128532</v>
      </c>
    </row>
    <row r="219" spans="6:13" x14ac:dyDescent="0.4">
      <c r="F219" s="1">
        <v>28004</v>
      </c>
      <c r="G219" s="16">
        <v>329.3</v>
      </c>
      <c r="H219" s="16">
        <f t="shared" si="16"/>
        <v>333.55629460038631</v>
      </c>
      <c r="I219">
        <f t="shared" si="17"/>
        <v>9</v>
      </c>
      <c r="J219" s="16" cm="1">
        <f t="array" ref="J219">INDEX(Sm,I219)</f>
        <v>-3.1918015790052943</v>
      </c>
      <c r="K219" s="16">
        <f t="shared" si="18"/>
        <v>330.36449302138101</v>
      </c>
      <c r="L219" s="16">
        <f t="shared" si="19"/>
        <v>1.0644930213809971</v>
      </c>
      <c r="M219" s="16">
        <f t="shared" si="20"/>
        <v>1.1331453925688439</v>
      </c>
    </row>
    <row r="220" spans="6:13" x14ac:dyDescent="0.4">
      <c r="F220" s="1">
        <v>28034</v>
      </c>
      <c r="G220" s="16">
        <v>328.94</v>
      </c>
      <c r="H220" s="16">
        <f t="shared" si="16"/>
        <v>333.65862276258326</v>
      </c>
      <c r="I220">
        <f t="shared" si="17"/>
        <v>10</v>
      </c>
      <c r="J220" s="16" cm="1">
        <f t="array" ref="J220">INDEX(Sm,I220)</f>
        <v>-3.3171210691938846</v>
      </c>
      <c r="K220" s="16">
        <f t="shared" si="18"/>
        <v>330.34150169338938</v>
      </c>
      <c r="L220" s="16">
        <f t="shared" si="19"/>
        <v>1.4015016933893776</v>
      </c>
      <c r="M220" s="16">
        <f t="shared" si="20"/>
        <v>1.9642069965732929</v>
      </c>
    </row>
    <row r="221" spans="6:13" x14ac:dyDescent="0.4">
      <c r="F221" s="1">
        <v>28065</v>
      </c>
      <c r="G221" s="16">
        <v>330.31</v>
      </c>
      <c r="H221" s="16">
        <f t="shared" si="16"/>
        <v>333.76450834079634</v>
      </c>
      <c r="I221">
        <f t="shared" si="17"/>
        <v>11</v>
      </c>
      <c r="J221" s="16" cm="1">
        <f t="array" ref="J221">INDEX(Sm,I221)</f>
        <v>-2.0577916254037292</v>
      </c>
      <c r="K221" s="16">
        <f t="shared" si="18"/>
        <v>331.70671671539259</v>
      </c>
      <c r="L221" s="16">
        <f t="shared" si="19"/>
        <v>1.3967167153925857</v>
      </c>
      <c r="M221" s="16">
        <f t="shared" si="20"/>
        <v>1.9508175830570531</v>
      </c>
    </row>
    <row r="222" spans="6:13" x14ac:dyDescent="0.4">
      <c r="F222" s="1">
        <v>28095</v>
      </c>
      <c r="G222" s="16">
        <v>331.68</v>
      </c>
      <c r="H222" s="16">
        <f t="shared" si="16"/>
        <v>333.86712020268953</v>
      </c>
      <c r="I222">
        <f t="shared" si="17"/>
        <v>12</v>
      </c>
      <c r="J222" s="16" cm="1">
        <f t="array" ref="J222">INDEX(Sm,I222)</f>
        <v>-0.88780634062791353</v>
      </c>
      <c r="K222" s="16">
        <f t="shared" si="18"/>
        <v>332.97931386206164</v>
      </c>
      <c r="L222" s="16">
        <f t="shared" si="19"/>
        <v>1.2993138620616378</v>
      </c>
      <c r="M222" s="16">
        <f t="shared" si="20"/>
        <v>1.6882165121455288</v>
      </c>
    </row>
    <row r="223" spans="6:13" x14ac:dyDescent="0.4">
      <c r="F223" s="1">
        <v>28126</v>
      </c>
      <c r="G223" s="16">
        <v>332.93</v>
      </c>
      <c r="H223" s="16">
        <f t="shared" si="16"/>
        <v>333.97329934335625</v>
      </c>
      <c r="I223">
        <f t="shared" si="17"/>
        <v>1</v>
      </c>
      <c r="J223" s="16" cm="1">
        <f t="array" ref="J223">INDEX(Sm,I223)</f>
        <v>-3.3662626377861403E-2</v>
      </c>
      <c r="K223" s="16">
        <f t="shared" si="18"/>
        <v>333.93963671697838</v>
      </c>
      <c r="L223" s="16">
        <f t="shared" si="19"/>
        <v>1.0096367169783775</v>
      </c>
      <c r="M223" s="16">
        <f t="shared" si="20"/>
        <v>1.0193663002708764</v>
      </c>
    </row>
    <row r="224" spans="6:13" x14ac:dyDescent="0.4">
      <c r="F224" s="1">
        <v>28157</v>
      </c>
      <c r="G224" s="16">
        <v>333.42</v>
      </c>
      <c r="H224" s="16">
        <f t="shared" si="16"/>
        <v>334.07962798326395</v>
      </c>
      <c r="I224">
        <f t="shared" si="17"/>
        <v>2</v>
      </c>
      <c r="J224" s="16" cm="1">
        <f t="array" ref="J224">INDEX(Sm,I224)</f>
        <v>0.68114275406980329</v>
      </c>
      <c r="K224" s="16">
        <f t="shared" si="18"/>
        <v>334.76077073733376</v>
      </c>
      <c r="L224" s="16">
        <f t="shared" si="19"/>
        <v>1.3407707373337416</v>
      </c>
      <c r="M224" s="16">
        <f t="shared" si="20"/>
        <v>1.7976661700904653</v>
      </c>
    </row>
    <row r="225" spans="6:13" x14ac:dyDescent="0.4">
      <c r="F225" s="1">
        <v>28185</v>
      </c>
      <c r="G225" s="16">
        <v>334.7</v>
      </c>
      <c r="H225" s="16">
        <f t="shared" si="16"/>
        <v>334.17579542766191</v>
      </c>
      <c r="I225">
        <f t="shared" si="17"/>
        <v>3</v>
      </c>
      <c r="J225" s="16" cm="1">
        <f t="array" ref="J225">INDEX(Sm,I225)</f>
        <v>1.3951035824648568</v>
      </c>
      <c r="K225" s="16">
        <f t="shared" si="18"/>
        <v>335.57089901012677</v>
      </c>
      <c r="L225" s="16">
        <f t="shared" si="19"/>
        <v>0.87089901012677728</v>
      </c>
      <c r="M225" s="16">
        <f t="shared" si="20"/>
        <v>0.75846508583980055</v>
      </c>
    </row>
    <row r="226" spans="6:13" x14ac:dyDescent="0.4">
      <c r="F226" s="1">
        <v>28216</v>
      </c>
      <c r="G226" s="16">
        <v>336.07</v>
      </c>
      <c r="H226" s="16">
        <f t="shared" si="16"/>
        <v>334.28240918017013</v>
      </c>
      <c r="I226">
        <f t="shared" si="17"/>
        <v>4</v>
      </c>
      <c r="J226" s="16" cm="1">
        <f t="array" ref="J226">INDEX(Sm,I226)</f>
        <v>2.6339370251743146</v>
      </c>
      <c r="K226" s="16">
        <f t="shared" si="18"/>
        <v>336.91634620534444</v>
      </c>
      <c r="L226" s="16">
        <f t="shared" si="19"/>
        <v>0.84634620534444593</v>
      </c>
      <c r="M226" s="16">
        <f t="shared" si="20"/>
        <v>0.71630189930094301</v>
      </c>
    </row>
    <row r="227" spans="6:13" x14ac:dyDescent="0.4">
      <c r="F227" s="1">
        <v>28246</v>
      </c>
      <c r="G227" s="16">
        <v>336.75</v>
      </c>
      <c r="H227" s="16">
        <f t="shared" si="16"/>
        <v>334.38572670303711</v>
      </c>
      <c r="I227">
        <f t="shared" si="17"/>
        <v>5</v>
      </c>
      <c r="J227" s="16" cm="1">
        <f t="array" ref="J227">INDEX(Sm,I227)</f>
        <v>3.0997257789906989</v>
      </c>
      <c r="K227" s="16">
        <f t="shared" si="18"/>
        <v>337.48545248202782</v>
      </c>
      <c r="L227" s="16">
        <f t="shared" si="19"/>
        <v>0.73545248202782432</v>
      </c>
      <c r="M227" s="16">
        <f t="shared" si="20"/>
        <v>0.5408903533208872</v>
      </c>
    </row>
    <row r="228" spans="6:13" x14ac:dyDescent="0.4">
      <c r="F228" s="1">
        <v>28277</v>
      </c>
      <c r="G228" s="16">
        <v>336.27</v>
      </c>
      <c r="H228" s="16">
        <f t="shared" si="16"/>
        <v>334.49263603682567</v>
      </c>
      <c r="I228">
        <f t="shared" si="17"/>
        <v>6</v>
      </c>
      <c r="J228" s="16" cm="1">
        <f t="array" ref="J228">INDEX(Sm,I228)</f>
        <v>2.3207404253660839</v>
      </c>
      <c r="K228" s="16">
        <f t="shared" si="18"/>
        <v>336.81337646219174</v>
      </c>
      <c r="L228" s="16">
        <f t="shared" si="19"/>
        <v>0.54337646219175895</v>
      </c>
      <c r="M228" s="16">
        <f t="shared" si="20"/>
        <v>0.29525797966403206</v>
      </c>
    </row>
    <row r="229" spans="6:13" x14ac:dyDescent="0.4">
      <c r="F229" s="1">
        <v>28307</v>
      </c>
      <c r="G229" s="16">
        <v>334.92</v>
      </c>
      <c r="H229" s="16">
        <f t="shared" si="16"/>
        <v>334.59624000234157</v>
      </c>
      <c r="I229">
        <f t="shared" si="17"/>
        <v>7</v>
      </c>
      <c r="J229" s="16" cm="1">
        <f t="array" ref="J229">INDEX(Sm,I229)</f>
        <v>0.74435685666414753</v>
      </c>
      <c r="K229" s="16">
        <f t="shared" si="18"/>
        <v>335.3405968590057</v>
      </c>
      <c r="L229" s="16">
        <f t="shared" si="19"/>
        <v>0.42059685900568411</v>
      </c>
      <c r="M229" s="16">
        <f t="shared" si="20"/>
        <v>0.17690171780544731</v>
      </c>
    </row>
    <row r="230" spans="6:13" x14ac:dyDescent="0.4">
      <c r="F230" s="1">
        <v>28338</v>
      </c>
      <c r="G230" s="16">
        <v>332.75</v>
      </c>
      <c r="H230" s="16">
        <f t="shared" si="16"/>
        <v>334.70344573689482</v>
      </c>
      <c r="I230">
        <f t="shared" si="17"/>
        <v>8</v>
      </c>
      <c r="J230" s="16" cm="1">
        <f t="array" ref="J230">INDEX(Sm,I230)</f>
        <v>-1.3868231821212227</v>
      </c>
      <c r="K230" s="16">
        <f t="shared" si="18"/>
        <v>333.31662255477357</v>
      </c>
      <c r="L230" s="16">
        <f t="shared" si="19"/>
        <v>0.56662255477357348</v>
      </c>
      <c r="M230" s="16">
        <f t="shared" si="20"/>
        <v>0.32106111957813127</v>
      </c>
    </row>
    <row r="231" spans="6:13" x14ac:dyDescent="0.4">
      <c r="F231" s="1">
        <v>28369</v>
      </c>
      <c r="G231" s="16">
        <v>331.59</v>
      </c>
      <c r="H231" s="16">
        <f t="shared" si="16"/>
        <v>334.81080241612381</v>
      </c>
      <c r="I231">
        <f t="shared" si="17"/>
        <v>9</v>
      </c>
      <c r="J231" s="16" cm="1">
        <f t="array" ref="J231">INDEX(Sm,I231)</f>
        <v>-3.1918015790052943</v>
      </c>
      <c r="K231" s="16">
        <f t="shared" si="18"/>
        <v>331.61900083711851</v>
      </c>
      <c r="L231" s="16">
        <f t="shared" si="19"/>
        <v>2.9000837118530853E-2</v>
      </c>
      <c r="M231" s="16">
        <f t="shared" si="20"/>
        <v>8.4104855357555698E-4</v>
      </c>
    </row>
    <row r="232" spans="6:13" x14ac:dyDescent="0.4">
      <c r="F232" s="1">
        <v>28399</v>
      </c>
      <c r="G232" s="16">
        <v>331.16</v>
      </c>
      <c r="H232" s="16">
        <f t="shared" si="16"/>
        <v>334.91483989628171</v>
      </c>
      <c r="I232">
        <f t="shared" si="17"/>
        <v>10</v>
      </c>
      <c r="J232" s="16" cm="1">
        <f t="array" ref="J232">INDEX(Sm,I232)</f>
        <v>-3.3171210691938846</v>
      </c>
      <c r="K232" s="16">
        <f t="shared" si="18"/>
        <v>331.59771882708782</v>
      </c>
      <c r="L232" s="16">
        <f t="shared" si="19"/>
        <v>0.43771882708779231</v>
      </c>
      <c r="M232" s="16">
        <f t="shared" si="20"/>
        <v>0.19159777158711261</v>
      </c>
    </row>
    <row r="233" spans="6:13" x14ac:dyDescent="0.4">
      <c r="F233" s="1">
        <v>28430</v>
      </c>
      <c r="G233" s="16">
        <v>332.4</v>
      </c>
      <c r="H233" s="16">
        <f t="shared" si="16"/>
        <v>335.02249421651806</v>
      </c>
      <c r="I233">
        <f t="shared" si="17"/>
        <v>11</v>
      </c>
      <c r="J233" s="16" cm="1">
        <f t="array" ref="J233">INDEX(Sm,I233)</f>
        <v>-2.0577916254037292</v>
      </c>
      <c r="K233" s="16">
        <f t="shared" si="18"/>
        <v>332.9647025911143</v>
      </c>
      <c r="L233" s="16">
        <f t="shared" si="19"/>
        <v>0.56470259111432597</v>
      </c>
      <c r="M233" s="16">
        <f t="shared" si="20"/>
        <v>0.31888901641123363</v>
      </c>
    </row>
    <row r="234" spans="6:13" x14ac:dyDescent="0.4">
      <c r="F234" s="1">
        <v>28460</v>
      </c>
      <c r="G234" s="16">
        <v>333.85</v>
      </c>
      <c r="H234" s="16">
        <f t="shared" si="16"/>
        <v>335.12682013537045</v>
      </c>
      <c r="I234">
        <f t="shared" si="17"/>
        <v>12</v>
      </c>
      <c r="J234" s="16" cm="1">
        <f t="array" ref="J234">INDEX(Sm,I234)</f>
        <v>-0.88780634062791353</v>
      </c>
      <c r="K234" s="16">
        <f t="shared" si="18"/>
        <v>334.23901379474256</v>
      </c>
      <c r="L234" s="16">
        <f t="shared" si="19"/>
        <v>0.38901379474253872</v>
      </c>
      <c r="M234" s="16">
        <f t="shared" si="20"/>
        <v>0.15133173249999005</v>
      </c>
    </row>
    <row r="235" spans="6:13" x14ac:dyDescent="0.4">
      <c r="F235" s="1">
        <v>28491</v>
      </c>
      <c r="G235" s="16">
        <v>334.97</v>
      </c>
      <c r="H235" s="16">
        <f t="shared" si="16"/>
        <v>335.23477292180894</v>
      </c>
      <c r="I235">
        <f t="shared" si="17"/>
        <v>1</v>
      </c>
      <c r="J235" s="16" cm="1">
        <f t="array" ref="J235">INDEX(Sm,I235)</f>
        <v>-3.3662626377861403E-2</v>
      </c>
      <c r="K235" s="16">
        <f t="shared" si="18"/>
        <v>335.20111029543108</v>
      </c>
      <c r="L235" s="16">
        <f t="shared" si="19"/>
        <v>0.23111029543105133</v>
      </c>
      <c r="M235" s="16">
        <f t="shared" si="20"/>
        <v>5.3411968654227822E-2</v>
      </c>
    </row>
    <row r="236" spans="6:13" x14ac:dyDescent="0.4">
      <c r="F236" s="1">
        <v>28522</v>
      </c>
      <c r="G236" s="16">
        <v>335.39</v>
      </c>
      <c r="H236" s="16">
        <f t="shared" si="16"/>
        <v>335.34287770476527</v>
      </c>
      <c r="I236">
        <f t="shared" si="17"/>
        <v>2</v>
      </c>
      <c r="J236" s="16" cm="1">
        <f t="array" ref="J236">INDEX(Sm,I236)</f>
        <v>0.68114275406980329</v>
      </c>
      <c r="K236" s="16">
        <f t="shared" si="18"/>
        <v>336.02402045883508</v>
      </c>
      <c r="L236" s="16">
        <f t="shared" si="19"/>
        <v>0.63402045883509572</v>
      </c>
      <c r="M236" s="16">
        <f t="shared" si="20"/>
        <v>0.40198194222146533</v>
      </c>
    </row>
    <row r="237" spans="6:13" x14ac:dyDescent="0.4">
      <c r="F237" s="1">
        <v>28550</v>
      </c>
      <c r="G237" s="16">
        <v>336.64</v>
      </c>
      <c r="H237" s="16">
        <f t="shared" si="16"/>
        <v>335.44065155678771</v>
      </c>
      <c r="I237">
        <f t="shared" si="17"/>
        <v>3</v>
      </c>
      <c r="J237" s="16" cm="1">
        <f t="array" ref="J237">INDEX(Sm,I237)</f>
        <v>1.3951035824648568</v>
      </c>
      <c r="K237" s="16">
        <f t="shared" si="18"/>
        <v>336.83575513925257</v>
      </c>
      <c r="L237" s="16">
        <f t="shared" si="19"/>
        <v>0.19575513925258292</v>
      </c>
      <c r="M237" s="16">
        <f t="shared" si="20"/>
        <v>3.8320074543798134E-2</v>
      </c>
    </row>
    <row r="238" spans="6:13" x14ac:dyDescent="0.4">
      <c r="F238" s="1">
        <v>28581</v>
      </c>
      <c r="G238" s="16">
        <v>337.76</v>
      </c>
      <c r="H238" s="16">
        <f t="shared" si="16"/>
        <v>335.54904621494444</v>
      </c>
      <c r="I238">
        <f t="shared" si="17"/>
        <v>4</v>
      </c>
      <c r="J238" s="16" cm="1">
        <f t="array" ref="J238">INDEX(Sm,I238)</f>
        <v>2.6339370251743146</v>
      </c>
      <c r="K238" s="16">
        <f t="shared" si="18"/>
        <v>338.18298324011874</v>
      </c>
      <c r="L238" s="16">
        <f t="shared" si="19"/>
        <v>0.42298324011875366</v>
      </c>
      <c r="M238" s="16">
        <f t="shared" si="20"/>
        <v>0.1789148214213592</v>
      </c>
    </row>
    <row r="239" spans="6:13" x14ac:dyDescent="0.4">
      <c r="F239" s="1">
        <v>28611</v>
      </c>
      <c r="G239" s="16">
        <v>338.01</v>
      </c>
      <c r="H239" s="16">
        <f t="shared" si="16"/>
        <v>335.65408958232683</v>
      </c>
      <c r="I239">
        <f t="shared" si="17"/>
        <v>5</v>
      </c>
      <c r="J239" s="16" cm="1">
        <f t="array" ref="J239">INDEX(Sm,I239)</f>
        <v>3.0997257789906989</v>
      </c>
      <c r="K239" s="16">
        <f t="shared" si="18"/>
        <v>338.75381536131755</v>
      </c>
      <c r="L239" s="16">
        <f t="shared" si="19"/>
        <v>0.74381536131755865</v>
      </c>
      <c r="M239" s="16">
        <f t="shared" si="20"/>
        <v>0.55326129173197036</v>
      </c>
    </row>
    <row r="240" spans="6:13" x14ac:dyDescent="0.4">
      <c r="F240" s="1">
        <v>28642</v>
      </c>
      <c r="G240" s="16">
        <v>337.9</v>
      </c>
      <c r="H240" s="16">
        <f t="shared" si="16"/>
        <v>335.76278475923544</v>
      </c>
      <c r="I240">
        <f t="shared" si="17"/>
        <v>6</v>
      </c>
      <c r="J240" s="16" cm="1">
        <f t="array" ref="J240">INDEX(Sm,I240)</f>
        <v>2.3207404253660839</v>
      </c>
      <c r="K240" s="16">
        <f t="shared" si="18"/>
        <v>338.08352518460151</v>
      </c>
      <c r="L240" s="16">
        <f t="shared" si="19"/>
        <v>0.18352518460153533</v>
      </c>
      <c r="M240" s="16">
        <f t="shared" si="20"/>
        <v>3.3681493383027623E-2</v>
      </c>
    </row>
    <row r="241" spans="6:13" x14ac:dyDescent="0.4">
      <c r="F241" s="1">
        <v>28672</v>
      </c>
      <c r="G241" s="16">
        <v>336.54</v>
      </c>
      <c r="H241" s="16">
        <f t="shared" si="16"/>
        <v>335.86811935408417</v>
      </c>
      <c r="I241">
        <f t="shared" si="17"/>
        <v>7</v>
      </c>
      <c r="J241" s="16" cm="1">
        <f t="array" ref="J241">INDEX(Sm,I241)</f>
        <v>0.74435685666414753</v>
      </c>
      <c r="K241" s="16">
        <f t="shared" si="18"/>
        <v>336.6124762107483</v>
      </c>
      <c r="L241" s="16">
        <f t="shared" si="19"/>
        <v>7.2476210748277481E-2</v>
      </c>
      <c r="M241" s="16">
        <f t="shared" si="20"/>
        <v>5.2528011244287326E-3</v>
      </c>
    </row>
    <row r="242" spans="6:13" x14ac:dyDescent="0.4">
      <c r="F242" s="1">
        <v>28703</v>
      </c>
      <c r="G242" s="16">
        <v>334.68</v>
      </c>
      <c r="H242" s="16">
        <f t="shared" si="16"/>
        <v>335.97711588291781</v>
      </c>
      <c r="I242">
        <f t="shared" si="17"/>
        <v>8</v>
      </c>
      <c r="J242" s="16" cm="1">
        <f t="array" ref="J242">INDEX(Sm,I242)</f>
        <v>-1.3868231821212227</v>
      </c>
      <c r="K242" s="16">
        <f t="shared" si="18"/>
        <v>334.59029270079657</v>
      </c>
      <c r="L242" s="16">
        <f t="shared" si="19"/>
        <v>-8.9707299203439561E-2</v>
      </c>
      <c r="M242" s="16">
        <f t="shared" si="20"/>
        <v>8.0473995303754278E-3</v>
      </c>
    </row>
    <row r="243" spans="6:13" x14ac:dyDescent="0.4">
      <c r="F243" s="1">
        <v>28734</v>
      </c>
      <c r="G243" s="16">
        <v>332.76</v>
      </c>
      <c r="H243" s="16">
        <f t="shared" si="16"/>
        <v>336.08626587784886</v>
      </c>
      <c r="I243">
        <f t="shared" si="17"/>
        <v>9</v>
      </c>
      <c r="J243" s="16" cm="1">
        <f t="array" ref="J243">INDEX(Sm,I243)</f>
        <v>-3.1918015790052943</v>
      </c>
      <c r="K243" s="16">
        <f t="shared" si="18"/>
        <v>332.89446429884356</v>
      </c>
      <c r="L243" s="16">
        <f t="shared" si="19"/>
        <v>0.13446429884356803</v>
      </c>
      <c r="M243" s="16">
        <f t="shared" si="20"/>
        <v>1.808064766349237E-2</v>
      </c>
    </row>
    <row r="244" spans="6:13" x14ac:dyDescent="0.4">
      <c r="F244" s="1">
        <v>28764</v>
      </c>
      <c r="G244" s="16">
        <v>332.55</v>
      </c>
      <c r="H244" s="16">
        <f t="shared" si="16"/>
        <v>336.19204122888834</v>
      </c>
      <c r="I244">
        <f t="shared" si="17"/>
        <v>10</v>
      </c>
      <c r="J244" s="16" cm="1">
        <f t="array" ref="J244">INDEX(Sm,I244)</f>
        <v>-3.3171210691938846</v>
      </c>
      <c r="K244" s="16">
        <f t="shared" si="18"/>
        <v>332.87492015969445</v>
      </c>
      <c r="L244" s="16">
        <f t="shared" si="19"/>
        <v>0.3249201596944431</v>
      </c>
      <c r="M244" s="16">
        <f t="shared" si="20"/>
        <v>0.10557311017586241</v>
      </c>
    </row>
    <row r="245" spans="6:13" x14ac:dyDescent="0.4">
      <c r="F245" s="1">
        <v>28795</v>
      </c>
      <c r="G245" s="16">
        <v>333.92</v>
      </c>
      <c r="H245" s="16">
        <f t="shared" si="16"/>
        <v>336.30149383670454</v>
      </c>
      <c r="I245">
        <f t="shared" si="17"/>
        <v>11</v>
      </c>
      <c r="J245" s="16" cm="1">
        <f t="array" ref="J245">INDEX(Sm,I245)</f>
        <v>-2.0577916254037292</v>
      </c>
      <c r="K245" s="16">
        <f t="shared" si="18"/>
        <v>334.24370221130079</v>
      </c>
      <c r="L245" s="16">
        <f t="shared" si="19"/>
        <v>0.3237022113007697</v>
      </c>
      <c r="M245" s="16">
        <f t="shared" si="20"/>
        <v>0.10478312160100815</v>
      </c>
    </row>
    <row r="246" spans="6:13" x14ac:dyDescent="0.4">
      <c r="F246" s="1">
        <v>28825</v>
      </c>
      <c r="G246" s="16">
        <v>334.95</v>
      </c>
      <c r="H246" s="16">
        <f t="shared" si="16"/>
        <v>336.40756244459828</v>
      </c>
      <c r="I246">
        <f t="shared" si="17"/>
        <v>12</v>
      </c>
      <c r="J246" s="16" cm="1">
        <f t="array" ref="J246">INDEX(Sm,I246)</f>
        <v>-0.88780634062791353</v>
      </c>
      <c r="K246" s="16">
        <f t="shared" si="18"/>
        <v>335.51975610397039</v>
      </c>
      <c r="L246" s="16">
        <f t="shared" si="19"/>
        <v>0.56975610397040555</v>
      </c>
      <c r="M246" s="16">
        <f t="shared" si="20"/>
        <v>0.32462201801153556</v>
      </c>
    </row>
    <row r="247" spans="6:13" x14ac:dyDescent="0.4">
      <c r="F247" s="1">
        <v>28856</v>
      </c>
      <c r="G247" s="16">
        <v>336.23</v>
      </c>
      <c r="H247" s="16">
        <f t="shared" si="16"/>
        <v>336.51731850427882</v>
      </c>
      <c r="I247">
        <f t="shared" si="17"/>
        <v>1</v>
      </c>
      <c r="J247" s="16" cm="1">
        <f t="array" ref="J247">INDEX(Sm,I247)</f>
        <v>-3.3662626377861403E-2</v>
      </c>
      <c r="K247" s="16">
        <f t="shared" si="18"/>
        <v>336.48365587790096</v>
      </c>
      <c r="L247" s="16">
        <f t="shared" si="19"/>
        <v>0.25365587790093969</v>
      </c>
      <c r="M247" s="16">
        <f t="shared" si="20"/>
        <v>6.4341304393696425E-2</v>
      </c>
    </row>
    <row r="248" spans="6:13" x14ac:dyDescent="0.4">
      <c r="F248" s="1">
        <v>28887</v>
      </c>
      <c r="G248" s="16">
        <v>336.76</v>
      </c>
      <c r="H248" s="16">
        <f t="shared" si="16"/>
        <v>336.62722909946899</v>
      </c>
      <c r="I248">
        <f t="shared" si="17"/>
        <v>2</v>
      </c>
      <c r="J248" s="16" cm="1">
        <f t="array" ref="J248">INDEX(Sm,I248)</f>
        <v>0.68114275406980329</v>
      </c>
      <c r="K248" s="16">
        <f t="shared" si="18"/>
        <v>337.3083718535388</v>
      </c>
      <c r="L248" s="16">
        <f t="shared" si="19"/>
        <v>0.54837185353881068</v>
      </c>
      <c r="M248" s="16">
        <f t="shared" si="20"/>
        <v>0.30071168975359086</v>
      </c>
    </row>
    <row r="249" spans="6:13" x14ac:dyDescent="0.4">
      <c r="F249" s="1">
        <v>28915</v>
      </c>
      <c r="G249" s="16">
        <v>337.96</v>
      </c>
      <c r="H249" s="16">
        <f t="shared" si="16"/>
        <v>336.72663619299396</v>
      </c>
      <c r="I249">
        <f t="shared" si="17"/>
        <v>3</v>
      </c>
      <c r="J249" s="16" cm="1">
        <f t="array" ref="J249">INDEX(Sm,I249)</f>
        <v>1.3951035824648568</v>
      </c>
      <c r="K249" s="16">
        <f t="shared" si="18"/>
        <v>338.12173977545882</v>
      </c>
      <c r="L249" s="16">
        <f t="shared" si="19"/>
        <v>0.161739775458841</v>
      </c>
      <c r="M249" s="16">
        <f t="shared" si="20"/>
        <v>2.6159754965476303E-2</v>
      </c>
    </row>
    <row r="250" spans="6:13" x14ac:dyDescent="0.4">
      <c r="F250" s="1">
        <v>28946</v>
      </c>
      <c r="G250" s="16">
        <v>338.88</v>
      </c>
      <c r="H250" s="16">
        <f t="shared" si="16"/>
        <v>336.83684150554018</v>
      </c>
      <c r="I250">
        <f t="shared" si="17"/>
        <v>4</v>
      </c>
      <c r="J250" s="16" cm="1">
        <f t="array" ref="J250">INDEX(Sm,I250)</f>
        <v>2.6339370251743146</v>
      </c>
      <c r="K250" s="16">
        <f t="shared" si="18"/>
        <v>339.47077853071448</v>
      </c>
      <c r="L250" s="16">
        <f t="shared" si="19"/>
        <v>0.59077853071448772</v>
      </c>
      <c r="M250" s="16">
        <f t="shared" si="20"/>
        <v>0.34901927235316893</v>
      </c>
    </row>
    <row r="251" spans="6:13" x14ac:dyDescent="0.4">
      <c r="F251" s="1">
        <v>28976</v>
      </c>
      <c r="G251" s="16">
        <v>339.47</v>
      </c>
      <c r="H251" s="16">
        <f t="shared" si="16"/>
        <v>336.9436395464229</v>
      </c>
      <c r="I251">
        <f t="shared" si="17"/>
        <v>5</v>
      </c>
      <c r="J251" s="16" cm="1">
        <f t="array" ref="J251">INDEX(Sm,I251)</f>
        <v>3.0997257789906989</v>
      </c>
      <c r="K251" s="16">
        <f t="shared" si="18"/>
        <v>340.04336532541362</v>
      </c>
      <c r="L251" s="16">
        <f t="shared" si="19"/>
        <v>0.5733653254135902</v>
      </c>
      <c r="M251" s="16">
        <f t="shared" si="20"/>
        <v>0.32874779638663221</v>
      </c>
    </row>
    <row r="252" spans="6:13" x14ac:dyDescent="0.4">
      <c r="F252" s="1">
        <v>29007</v>
      </c>
      <c r="G252" s="16">
        <v>339.29</v>
      </c>
      <c r="H252" s="16">
        <f t="shared" si="16"/>
        <v>337.05415039766945</v>
      </c>
      <c r="I252">
        <f t="shared" si="17"/>
        <v>6</v>
      </c>
      <c r="J252" s="16" cm="1">
        <f t="array" ref="J252">INDEX(Sm,I252)</f>
        <v>2.3207404253660839</v>
      </c>
      <c r="K252" s="16">
        <f t="shared" si="18"/>
        <v>339.37489082303551</v>
      </c>
      <c r="L252" s="16">
        <f t="shared" si="19"/>
        <v>8.4890823035493668E-2</v>
      </c>
      <c r="M252" s="16">
        <f t="shared" si="20"/>
        <v>7.2064518356435023E-3</v>
      </c>
    </row>
    <row r="253" spans="6:13" x14ac:dyDescent="0.4">
      <c r="F253" s="1">
        <v>29037</v>
      </c>
      <c r="G253" s="16">
        <v>337.73</v>
      </c>
      <c r="H253" s="16">
        <f t="shared" si="16"/>
        <v>337.16124453076281</v>
      </c>
      <c r="I253">
        <f t="shared" si="17"/>
        <v>7</v>
      </c>
      <c r="J253" s="16" cm="1">
        <f t="array" ref="J253">INDEX(Sm,I253)</f>
        <v>0.74435685666414753</v>
      </c>
      <c r="K253" s="16">
        <f t="shared" si="18"/>
        <v>337.90560138742694</v>
      </c>
      <c r="L253" s="16">
        <f t="shared" si="19"/>
        <v>0.17560138742692288</v>
      </c>
      <c r="M253" s="16">
        <f t="shared" si="20"/>
        <v>3.083584726626027E-2</v>
      </c>
    </row>
    <row r="254" spans="6:13" x14ac:dyDescent="0.4">
      <c r="F254" s="1">
        <v>29068</v>
      </c>
      <c r="G254" s="16">
        <v>336.09</v>
      </c>
      <c r="H254" s="16">
        <f t="shared" si="16"/>
        <v>337.27206176780044</v>
      </c>
      <c r="I254">
        <f t="shared" si="17"/>
        <v>8</v>
      </c>
      <c r="J254" s="16" cm="1">
        <f t="array" ref="J254">INDEX(Sm,I254)</f>
        <v>-1.3868231821212227</v>
      </c>
      <c r="K254" s="16">
        <f t="shared" si="18"/>
        <v>335.88523858567919</v>
      </c>
      <c r="L254" s="16">
        <f t="shared" si="19"/>
        <v>-0.20476141432078521</v>
      </c>
      <c r="M254" s="16">
        <f t="shared" si="20"/>
        <v>4.1927236794648264E-2</v>
      </c>
    </row>
    <row r="255" spans="6:13" x14ac:dyDescent="0.4">
      <c r="F255" s="1">
        <v>29099</v>
      </c>
      <c r="G255" s="16">
        <v>333.92</v>
      </c>
      <c r="H255" s="16">
        <f t="shared" si="16"/>
        <v>337.38303503447571</v>
      </c>
      <c r="I255">
        <f t="shared" si="17"/>
        <v>9</v>
      </c>
      <c r="J255" s="16" cm="1">
        <f t="array" ref="J255">INDEX(Sm,I255)</f>
        <v>-3.1918015790052943</v>
      </c>
      <c r="K255" s="16">
        <f t="shared" si="18"/>
        <v>334.19123345547041</v>
      </c>
      <c r="L255" s="16">
        <f t="shared" si="19"/>
        <v>0.27123345547039435</v>
      </c>
      <c r="M255" s="16">
        <f t="shared" si="20"/>
        <v>7.3567587366410392E-2</v>
      </c>
    </row>
    <row r="256" spans="6:13" x14ac:dyDescent="0.4">
      <c r="F256" s="1">
        <v>29129</v>
      </c>
      <c r="G256" s="16">
        <v>333.86</v>
      </c>
      <c r="H256" s="16">
        <f t="shared" si="16"/>
        <v>337.49057728627315</v>
      </c>
      <c r="I256">
        <f t="shared" si="17"/>
        <v>10</v>
      </c>
      <c r="J256" s="16" cm="1">
        <f t="array" ref="J256">INDEX(Sm,I256)</f>
        <v>-3.3171210691938846</v>
      </c>
      <c r="K256" s="16">
        <f t="shared" si="18"/>
        <v>334.17345621707926</v>
      </c>
      <c r="L256" s="16">
        <f t="shared" si="19"/>
        <v>0.3134562170792492</v>
      </c>
      <c r="M256" s="16">
        <f t="shared" si="20"/>
        <v>9.8254800025633401E-2</v>
      </c>
    </row>
    <row r="257" spans="6:13" x14ac:dyDescent="0.4">
      <c r="F257" s="1">
        <v>29160</v>
      </c>
      <c r="G257" s="16">
        <v>335.29</v>
      </c>
      <c r="H257" s="16">
        <f t="shared" si="16"/>
        <v>337.60185822076301</v>
      </c>
      <c r="I257">
        <f t="shared" si="17"/>
        <v>11</v>
      </c>
      <c r="J257" s="16" cm="1">
        <f t="array" ref="J257">INDEX(Sm,I257)</f>
        <v>-2.0577916254037292</v>
      </c>
      <c r="K257" s="16">
        <f t="shared" si="18"/>
        <v>335.54406659535925</v>
      </c>
      <c r="L257" s="16">
        <f t="shared" si="19"/>
        <v>0.25406659535923382</v>
      </c>
      <c r="M257" s="16">
        <f t="shared" si="20"/>
        <v>6.4549834877432655E-2</v>
      </c>
    </row>
    <row r="258" spans="6:13" x14ac:dyDescent="0.4">
      <c r="F258" s="1">
        <v>29190</v>
      </c>
      <c r="G258" s="16">
        <v>336.73</v>
      </c>
      <c r="H258" s="16">
        <f t="shared" si="16"/>
        <v>337.70969862805856</v>
      </c>
      <c r="I258">
        <f t="shared" si="17"/>
        <v>12</v>
      </c>
      <c r="J258" s="16" cm="1">
        <f t="array" ref="J258">INDEX(Sm,I258)</f>
        <v>-0.88780634062791353</v>
      </c>
      <c r="K258" s="16">
        <f t="shared" si="18"/>
        <v>336.82189228743067</v>
      </c>
      <c r="L258" s="16">
        <f t="shared" si="19"/>
        <v>9.1892287430653141E-2</v>
      </c>
      <c r="M258" s="16">
        <f t="shared" si="20"/>
        <v>8.4441924892377732E-3</v>
      </c>
    </row>
    <row r="259" spans="6:13" x14ac:dyDescent="0.4">
      <c r="F259" s="1">
        <v>29221</v>
      </c>
      <c r="G259" s="16">
        <v>338.01</v>
      </c>
      <c r="H259" s="16">
        <f t="shared" ref="H259:H322" si="21">EXP(_A*F259+_B)+_C</f>
        <v>337.82128808335665</v>
      </c>
      <c r="I259">
        <f t="shared" ref="I259:I322" si="22">MONTH(F259)</f>
        <v>1</v>
      </c>
      <c r="J259" s="16" cm="1">
        <f t="array" ref="J259">INDEX(Sm,I259)</f>
        <v>-3.3662626377861403E-2</v>
      </c>
      <c r="K259" s="16">
        <f t="shared" ref="K259:K322" si="23">H259+J259</f>
        <v>337.78762545697879</v>
      </c>
      <c r="L259" s="16">
        <f t="shared" ref="L259:L322" si="24">K259-G259</f>
        <v>-0.22237454302120341</v>
      </c>
      <c r="M259" s="16">
        <f t="shared" ref="M259:M322" si="25">L259*L259</f>
        <v>4.9450437383889045E-2</v>
      </c>
    </row>
    <row r="260" spans="6:13" x14ac:dyDescent="0.4">
      <c r="F260" s="1">
        <v>29252</v>
      </c>
      <c r="G260" s="16">
        <v>338.36</v>
      </c>
      <c r="H260" s="16">
        <f t="shared" si="21"/>
        <v>337.93303465556846</v>
      </c>
      <c r="I260">
        <f t="shared" si="22"/>
        <v>2</v>
      </c>
      <c r="J260" s="16" cm="1">
        <f t="array" ref="J260">INDEX(Sm,I260)</f>
        <v>0.68114275406980329</v>
      </c>
      <c r="K260" s="16">
        <f t="shared" si="23"/>
        <v>338.61417740963827</v>
      </c>
      <c r="L260" s="16">
        <f t="shared" si="24"/>
        <v>0.25417740963825963</v>
      </c>
      <c r="M260" s="16">
        <f t="shared" si="25"/>
        <v>6.4606155570415644E-2</v>
      </c>
    </row>
    <row r="261" spans="6:13" x14ac:dyDescent="0.4">
      <c r="F261" s="1">
        <v>29281</v>
      </c>
      <c r="G261" s="16">
        <v>340.07</v>
      </c>
      <c r="H261" s="16">
        <f t="shared" si="21"/>
        <v>338.03771420650571</v>
      </c>
      <c r="I261">
        <f t="shared" si="22"/>
        <v>3</v>
      </c>
      <c r="J261" s="16" cm="1">
        <f t="array" ref="J261">INDEX(Sm,I261)</f>
        <v>1.3951035824648568</v>
      </c>
      <c r="K261" s="16">
        <f t="shared" si="23"/>
        <v>339.43281778897057</v>
      </c>
      <c r="L261" s="16">
        <f t="shared" si="24"/>
        <v>-0.63718221102942607</v>
      </c>
      <c r="M261" s="16">
        <f t="shared" si="25"/>
        <v>0.40600117005234804</v>
      </c>
    </row>
    <row r="262" spans="6:13" x14ac:dyDescent="0.4">
      <c r="F262" s="1">
        <v>29312</v>
      </c>
      <c r="G262" s="16">
        <v>340.76</v>
      </c>
      <c r="H262" s="16">
        <f t="shared" si="21"/>
        <v>338.14976550468305</v>
      </c>
      <c r="I262">
        <f t="shared" si="22"/>
        <v>4</v>
      </c>
      <c r="J262" s="16" cm="1">
        <f t="array" ref="J262">INDEX(Sm,I262)</f>
        <v>2.6339370251743146</v>
      </c>
      <c r="K262" s="16">
        <f t="shared" si="23"/>
        <v>340.78370252985735</v>
      </c>
      <c r="L262" s="16">
        <f t="shared" si="24"/>
        <v>2.3702529857359877E-2</v>
      </c>
      <c r="M262" s="16">
        <f t="shared" si="25"/>
        <v>5.6180992163903649E-4</v>
      </c>
    </row>
    <row r="263" spans="6:13" x14ac:dyDescent="0.4">
      <c r="F263" s="1">
        <v>29342</v>
      </c>
      <c r="G263" s="16">
        <v>341.47</v>
      </c>
      <c r="H263" s="16">
        <f t="shared" si="21"/>
        <v>338.25835245795417</v>
      </c>
      <c r="I263">
        <f t="shared" si="22"/>
        <v>5</v>
      </c>
      <c r="J263" s="16" cm="1">
        <f t="array" ref="J263">INDEX(Sm,I263)</f>
        <v>3.0997257789906989</v>
      </c>
      <c r="K263" s="16">
        <f t="shared" si="23"/>
        <v>341.35807823694489</v>
      </c>
      <c r="L263" s="16">
        <f t="shared" si="24"/>
        <v>-0.11192176305513613</v>
      </c>
      <c r="M263" s="16">
        <f t="shared" si="25"/>
        <v>1.2526481045370033E-2</v>
      </c>
    </row>
    <row r="264" spans="6:13" x14ac:dyDescent="0.4">
      <c r="F264" s="1">
        <v>29373</v>
      </c>
      <c r="G264" s="16">
        <v>341.17</v>
      </c>
      <c r="H264" s="16">
        <f t="shared" si="21"/>
        <v>338.37071441273446</v>
      </c>
      <c r="I264">
        <f t="shared" si="22"/>
        <v>6</v>
      </c>
      <c r="J264" s="16" cm="1">
        <f t="array" ref="J264">INDEX(Sm,I264)</f>
        <v>2.3207404253660839</v>
      </c>
      <c r="K264" s="16">
        <f t="shared" si="23"/>
        <v>340.69145483810053</v>
      </c>
      <c r="L264" s="16">
        <f t="shared" si="24"/>
        <v>-0.47854516189948981</v>
      </c>
      <c r="M264" s="16">
        <f t="shared" si="25"/>
        <v>0.22900547197740892</v>
      </c>
    </row>
    <row r="265" spans="6:13" x14ac:dyDescent="0.4">
      <c r="F265" s="1">
        <v>29403</v>
      </c>
      <c r="G265" s="16">
        <v>339.56</v>
      </c>
      <c r="H265" s="16">
        <f t="shared" si="21"/>
        <v>338.47960241788604</v>
      </c>
      <c r="I265">
        <f t="shared" si="22"/>
        <v>7</v>
      </c>
      <c r="J265" s="16" cm="1">
        <f t="array" ref="J265">INDEX(Sm,I265)</f>
        <v>0.74435685666414753</v>
      </c>
      <c r="K265" s="16">
        <f t="shared" si="23"/>
        <v>339.22395927455017</v>
      </c>
      <c r="L265" s="16">
        <f t="shared" si="24"/>
        <v>-0.3360407254498341</v>
      </c>
      <c r="M265" s="16">
        <f t="shared" si="25"/>
        <v>0.11292336916085077</v>
      </c>
    </row>
    <row r="266" spans="6:13" x14ac:dyDescent="0.4">
      <c r="F266" s="1">
        <v>29434</v>
      </c>
      <c r="G266" s="16">
        <v>337.6</v>
      </c>
      <c r="H266" s="16">
        <f t="shared" si="21"/>
        <v>338.59227589054899</v>
      </c>
      <c r="I266">
        <f t="shared" si="22"/>
        <v>8</v>
      </c>
      <c r="J266" s="16" cm="1">
        <f t="array" ref="J266">INDEX(Sm,I266)</f>
        <v>-1.3868231821212227</v>
      </c>
      <c r="K266" s="16">
        <f t="shared" si="23"/>
        <v>337.20545270842774</v>
      </c>
      <c r="L266" s="16">
        <f t="shared" si="24"/>
        <v>-0.3945472915722803</v>
      </c>
      <c r="M266" s="16">
        <f t="shared" si="25"/>
        <v>0.15566756528702197</v>
      </c>
    </row>
    <row r="267" spans="6:13" x14ac:dyDescent="0.4">
      <c r="F267" s="1">
        <v>29465</v>
      </c>
      <c r="G267" s="16">
        <v>335.88</v>
      </c>
      <c r="H267" s="16">
        <f t="shared" si="21"/>
        <v>338.70510800641199</v>
      </c>
      <c r="I267">
        <f t="shared" si="22"/>
        <v>9</v>
      </c>
      <c r="J267" s="16" cm="1">
        <f t="array" ref="J267">INDEX(Sm,I267)</f>
        <v>-3.1918015790052943</v>
      </c>
      <c r="K267" s="16">
        <f t="shared" si="23"/>
        <v>335.51330642740669</v>
      </c>
      <c r="L267" s="16">
        <f t="shared" si="24"/>
        <v>-0.36669357259330582</v>
      </c>
      <c r="M267" s="16">
        <f t="shared" si="25"/>
        <v>0.13446417618124204</v>
      </c>
    </row>
    <row r="268" spans="6:13" x14ac:dyDescent="0.4">
      <c r="F268" s="1">
        <v>29495</v>
      </c>
      <c r="G268" s="16">
        <v>336.02</v>
      </c>
      <c r="H268" s="16">
        <f t="shared" si="21"/>
        <v>338.81445163644582</v>
      </c>
      <c r="I268">
        <f t="shared" si="22"/>
        <v>10</v>
      </c>
      <c r="J268" s="16" cm="1">
        <f t="array" ref="J268">INDEX(Sm,I268)</f>
        <v>-3.3171210691938846</v>
      </c>
      <c r="K268" s="16">
        <f t="shared" si="23"/>
        <v>335.49733056725194</v>
      </c>
      <c r="L268" s="16">
        <f t="shared" si="24"/>
        <v>-0.52266943274804589</v>
      </c>
      <c r="M268" s="16">
        <f t="shared" si="25"/>
        <v>0.27318333592916405</v>
      </c>
    </row>
    <row r="269" spans="6:13" x14ac:dyDescent="0.4">
      <c r="F269" s="1">
        <v>29526</v>
      </c>
      <c r="G269" s="16">
        <v>337.1</v>
      </c>
      <c r="H269" s="16">
        <f t="shared" si="21"/>
        <v>338.92759657368958</v>
      </c>
      <c r="I269">
        <f t="shared" si="22"/>
        <v>11</v>
      </c>
      <c r="J269" s="16" cm="1">
        <f t="array" ref="J269">INDEX(Sm,I269)</f>
        <v>-2.0577916254037292</v>
      </c>
      <c r="K269" s="16">
        <f t="shared" si="23"/>
        <v>336.86980494828583</v>
      </c>
      <c r="L269" s="16">
        <f t="shared" si="24"/>
        <v>-0.23019505171419041</v>
      </c>
      <c r="M269" s="16">
        <f t="shared" si="25"/>
        <v>5.2989761833698801E-2</v>
      </c>
    </row>
    <row r="270" spans="6:13" x14ac:dyDescent="0.4">
      <c r="F270" s="1">
        <v>29556</v>
      </c>
      <c r="G270" s="16">
        <v>338.21</v>
      </c>
      <c r="H270" s="16">
        <f t="shared" si="21"/>
        <v>339.0372433534522</v>
      </c>
      <c r="I270">
        <f t="shared" si="22"/>
        <v>12</v>
      </c>
      <c r="J270" s="16" cm="1">
        <f t="array" ref="J270">INDEX(Sm,I270)</f>
        <v>-0.88780634062791353</v>
      </c>
      <c r="K270" s="16">
        <f t="shared" si="23"/>
        <v>338.14943701282431</v>
      </c>
      <c r="L270" s="16">
        <f t="shared" si="24"/>
        <v>-6.0562987175671879E-2</v>
      </c>
      <c r="M270" s="16">
        <f t="shared" si="25"/>
        <v>3.6678754156405963E-3</v>
      </c>
    </row>
    <row r="271" spans="6:13" x14ac:dyDescent="0.4">
      <c r="F271" s="1">
        <v>29587</v>
      </c>
      <c r="G271" s="16">
        <v>339.24</v>
      </c>
      <c r="H271" s="16">
        <f t="shared" si="21"/>
        <v>339.15070197935836</v>
      </c>
      <c r="I271">
        <f t="shared" si="22"/>
        <v>1</v>
      </c>
      <c r="J271" s="16" cm="1">
        <f t="array" ref="J271">INDEX(Sm,I271)</f>
        <v>-3.3662626377861403E-2</v>
      </c>
      <c r="K271" s="16">
        <f t="shared" si="23"/>
        <v>339.1170393529805</v>
      </c>
      <c r="L271" s="16">
        <f t="shared" si="24"/>
        <v>-0.12296064701951082</v>
      </c>
      <c r="M271" s="16">
        <f t="shared" si="25"/>
        <v>1.5119320715456734E-2</v>
      </c>
    </row>
    <row r="272" spans="6:13" x14ac:dyDescent="0.4">
      <c r="F272" s="1">
        <v>29618</v>
      </c>
      <c r="G272" s="16">
        <v>340.48</v>
      </c>
      <c r="H272" s="16">
        <f t="shared" si="21"/>
        <v>339.26432035395294</v>
      </c>
      <c r="I272">
        <f t="shared" si="22"/>
        <v>2</v>
      </c>
      <c r="J272" s="16" cm="1">
        <f t="array" ref="J272">INDEX(Sm,I272)</f>
        <v>0.68114275406980329</v>
      </c>
      <c r="K272" s="16">
        <f t="shared" si="23"/>
        <v>339.94546310802275</v>
      </c>
      <c r="L272" s="16">
        <f t="shared" si="24"/>
        <v>-0.53453689197726817</v>
      </c>
      <c r="M272" s="16">
        <f t="shared" si="25"/>
        <v>0.28572968888471767</v>
      </c>
    </row>
    <row r="273" spans="6:13" x14ac:dyDescent="0.4">
      <c r="F273" s="1">
        <v>29646</v>
      </c>
      <c r="G273" s="16">
        <v>341.38</v>
      </c>
      <c r="H273" s="16">
        <f t="shared" si="21"/>
        <v>339.36708089646413</v>
      </c>
      <c r="I273">
        <f t="shared" si="22"/>
        <v>3</v>
      </c>
      <c r="J273" s="16" cm="1">
        <f t="array" ref="J273">INDEX(Sm,I273)</f>
        <v>1.3951035824648568</v>
      </c>
      <c r="K273" s="16">
        <f t="shared" si="23"/>
        <v>340.76218447892899</v>
      </c>
      <c r="L273" s="16">
        <f t="shared" si="24"/>
        <v>-0.61781552107100879</v>
      </c>
      <c r="M273" s="16">
        <f t="shared" si="25"/>
        <v>0.38169601807624209</v>
      </c>
    </row>
    <row r="274" spans="6:13" x14ac:dyDescent="0.4">
      <c r="F274" s="1">
        <v>29677</v>
      </c>
      <c r="G274" s="16">
        <v>342.5</v>
      </c>
      <c r="H274" s="16">
        <f t="shared" si="21"/>
        <v>339.48100393055859</v>
      </c>
      <c r="I274">
        <f t="shared" si="22"/>
        <v>4</v>
      </c>
      <c r="J274" s="16" cm="1">
        <f t="array" ref="J274">INDEX(Sm,I274)</f>
        <v>2.6339370251743146</v>
      </c>
      <c r="K274" s="16">
        <f t="shared" si="23"/>
        <v>342.11494095573289</v>
      </c>
      <c r="L274" s="16">
        <f t="shared" si="24"/>
        <v>-0.38505904426710913</v>
      </c>
      <c r="M274" s="16">
        <f t="shared" si="25"/>
        <v>0.14827046757189952</v>
      </c>
    </row>
    <row r="275" spans="6:13" x14ac:dyDescent="0.4">
      <c r="F275" s="1">
        <v>29707</v>
      </c>
      <c r="G275" s="16">
        <v>342.91</v>
      </c>
      <c r="H275" s="16">
        <f t="shared" si="21"/>
        <v>339.59140475037015</v>
      </c>
      <c r="I275">
        <f t="shared" si="22"/>
        <v>5</v>
      </c>
      <c r="J275" s="16" cm="1">
        <f t="array" ref="J275">INDEX(Sm,I275)</f>
        <v>3.0997257789906989</v>
      </c>
      <c r="K275" s="16">
        <f t="shared" si="23"/>
        <v>342.69113052936086</v>
      </c>
      <c r="L275" s="16">
        <f t="shared" si="24"/>
        <v>-0.21886947063916296</v>
      </c>
      <c r="M275" s="16">
        <f t="shared" si="25"/>
        <v>4.7903845177867416E-2</v>
      </c>
    </row>
    <row r="276" spans="6:13" x14ac:dyDescent="0.4">
      <c r="F276" s="1">
        <v>29738</v>
      </c>
      <c r="G276" s="16">
        <v>342.25</v>
      </c>
      <c r="H276" s="16">
        <f t="shared" si="21"/>
        <v>339.70564363036146</v>
      </c>
      <c r="I276">
        <f t="shared" si="22"/>
        <v>6</v>
      </c>
      <c r="J276" s="16" cm="1">
        <f t="array" ref="J276">INDEX(Sm,I276)</f>
        <v>2.3207404253660839</v>
      </c>
      <c r="K276" s="16">
        <f t="shared" si="23"/>
        <v>342.02638405572753</v>
      </c>
      <c r="L276" s="16">
        <f t="shared" si="24"/>
        <v>-0.223615944272467</v>
      </c>
      <c r="M276" s="16">
        <f t="shared" si="25"/>
        <v>5.0004090532867071E-2</v>
      </c>
    </row>
    <row r="277" spans="6:13" x14ac:dyDescent="0.4">
      <c r="F277" s="1">
        <v>29768</v>
      </c>
      <c r="G277" s="16">
        <v>340.49</v>
      </c>
      <c r="H277" s="16">
        <f t="shared" si="21"/>
        <v>339.81635053090747</v>
      </c>
      <c r="I277">
        <f t="shared" si="22"/>
        <v>7</v>
      </c>
      <c r="J277" s="16" cm="1">
        <f t="array" ref="J277">INDEX(Sm,I277)</f>
        <v>0.74435685666414753</v>
      </c>
      <c r="K277" s="16">
        <f t="shared" si="23"/>
        <v>340.5607073875716</v>
      </c>
      <c r="L277" s="16">
        <f t="shared" si="24"/>
        <v>7.0707387571587788E-2</v>
      </c>
      <c r="M277" s="16">
        <f t="shared" si="25"/>
        <v>4.9995346571987268E-3</v>
      </c>
    </row>
    <row r="278" spans="6:13" x14ac:dyDescent="0.4">
      <c r="F278" s="1">
        <v>29799</v>
      </c>
      <c r="G278" s="16">
        <v>338.43</v>
      </c>
      <c r="H278" s="16">
        <f t="shared" si="21"/>
        <v>339.9309061324625</v>
      </c>
      <c r="I278">
        <f t="shared" si="22"/>
        <v>8</v>
      </c>
      <c r="J278" s="16" cm="1">
        <f t="array" ref="J278">INDEX(Sm,I278)</f>
        <v>-1.3868231821212227</v>
      </c>
      <c r="K278" s="16">
        <f t="shared" si="23"/>
        <v>338.54408295034125</v>
      </c>
      <c r="L278" s="16">
        <f t="shared" si="24"/>
        <v>0.11408295034124194</v>
      </c>
      <c r="M278" s="16">
        <f t="shared" si="25"/>
        <v>1.3014919558562274E-2</v>
      </c>
    </row>
    <row r="279" spans="6:13" x14ac:dyDescent="0.4">
      <c r="F279" s="1">
        <v>29830</v>
      </c>
      <c r="G279" s="16">
        <v>336.69</v>
      </c>
      <c r="H279" s="16">
        <f t="shared" si="21"/>
        <v>340.04562302723747</v>
      </c>
      <c r="I279">
        <f t="shared" si="22"/>
        <v>9</v>
      </c>
      <c r="J279" s="16" cm="1">
        <f t="array" ref="J279">INDEX(Sm,I279)</f>
        <v>-3.1918015790052943</v>
      </c>
      <c r="K279" s="16">
        <f t="shared" si="23"/>
        <v>336.85382144823217</v>
      </c>
      <c r="L279" s="16">
        <f t="shared" si="24"/>
        <v>0.16382144823217004</v>
      </c>
      <c r="M279" s="16">
        <f t="shared" si="25"/>
        <v>2.6837466900885568E-2</v>
      </c>
    </row>
    <row r="280" spans="6:13" x14ac:dyDescent="0.4">
      <c r="F280" s="1">
        <v>29860</v>
      </c>
      <c r="G280" s="16">
        <v>336.86</v>
      </c>
      <c r="H280" s="16">
        <f t="shared" si="21"/>
        <v>340.15679316354988</v>
      </c>
      <c r="I280">
        <f t="shared" si="22"/>
        <v>10</v>
      </c>
      <c r="J280" s="16" cm="1">
        <f t="array" ref="J280">INDEX(Sm,I280)</f>
        <v>-3.3171210691938846</v>
      </c>
      <c r="K280" s="16">
        <f t="shared" si="23"/>
        <v>336.83967209435599</v>
      </c>
      <c r="L280" s="16">
        <f t="shared" si="24"/>
        <v>-2.0327905644023758E-2</v>
      </c>
      <c r="M280" s="16">
        <f t="shared" si="25"/>
        <v>4.1322374787233296E-4</v>
      </c>
    </row>
    <row r="281" spans="6:13" x14ac:dyDescent="0.4">
      <c r="F281" s="1">
        <v>29891</v>
      </c>
      <c r="G281" s="16">
        <v>338.36</v>
      </c>
      <c r="H281" s="16">
        <f t="shared" si="21"/>
        <v>340.27182810516064</v>
      </c>
      <c r="I281">
        <f t="shared" si="22"/>
        <v>11</v>
      </c>
      <c r="J281" s="16" cm="1">
        <f t="array" ref="J281">INDEX(Sm,I281)</f>
        <v>-2.0577916254037292</v>
      </c>
      <c r="K281" s="16">
        <f t="shared" si="23"/>
        <v>338.21403647975689</v>
      </c>
      <c r="L281" s="16">
        <f t="shared" si="24"/>
        <v>-0.14596352024312864</v>
      </c>
      <c r="M281" s="16">
        <f t="shared" si="25"/>
        <v>2.1305349241766226E-2</v>
      </c>
    </row>
    <row r="282" spans="6:13" x14ac:dyDescent="0.4">
      <c r="F282" s="1">
        <v>29921</v>
      </c>
      <c r="G282" s="16">
        <v>339.61</v>
      </c>
      <c r="H282" s="16">
        <f t="shared" si="21"/>
        <v>340.38330645509888</v>
      </c>
      <c r="I282">
        <f t="shared" si="22"/>
        <v>12</v>
      </c>
      <c r="J282" s="16" cm="1">
        <f t="array" ref="J282">INDEX(Sm,I282)</f>
        <v>-0.88780634062791353</v>
      </c>
      <c r="K282" s="16">
        <f t="shared" si="23"/>
        <v>339.49550011447099</v>
      </c>
      <c r="L282" s="16">
        <f t="shared" si="24"/>
        <v>-0.11449988552902823</v>
      </c>
      <c r="M282" s="16">
        <f t="shared" si="25"/>
        <v>1.311022378616057E-2</v>
      </c>
    </row>
    <row r="283" spans="6:13" x14ac:dyDescent="0.4">
      <c r="F283" s="1">
        <v>29952</v>
      </c>
      <c r="G283" s="16">
        <v>340.75</v>
      </c>
      <c r="H283" s="16">
        <f t="shared" si="21"/>
        <v>340.49866032531429</v>
      </c>
      <c r="I283">
        <f t="shared" si="22"/>
        <v>1</v>
      </c>
      <c r="J283" s="16" cm="1">
        <f t="array" ref="J283">INDEX(Sm,I283)</f>
        <v>-3.3662626377861403E-2</v>
      </c>
      <c r="K283" s="16">
        <f t="shared" si="23"/>
        <v>340.46499769893643</v>
      </c>
      <c r="L283" s="16">
        <f t="shared" si="24"/>
        <v>-0.28500230106357094</v>
      </c>
      <c r="M283" s="16">
        <f t="shared" si="25"/>
        <v>8.1226311611530336E-2</v>
      </c>
    </row>
    <row r="284" spans="6:13" x14ac:dyDescent="0.4">
      <c r="F284" s="1">
        <v>29983</v>
      </c>
      <c r="G284" s="16">
        <v>341.61</v>
      </c>
      <c r="H284" s="16">
        <f t="shared" si="21"/>
        <v>340.61417661270445</v>
      </c>
      <c r="I284">
        <f t="shared" si="22"/>
        <v>2</v>
      </c>
      <c r="J284" s="16" cm="1">
        <f t="array" ref="J284">INDEX(Sm,I284)</f>
        <v>0.68114275406980329</v>
      </c>
      <c r="K284" s="16">
        <f t="shared" si="23"/>
        <v>341.29531936677427</v>
      </c>
      <c r="L284" s="16">
        <f t="shared" si="24"/>
        <v>-0.31468063322574835</v>
      </c>
      <c r="M284" s="16">
        <f t="shared" si="25"/>
        <v>9.9023900927357952E-2</v>
      </c>
    </row>
    <row r="285" spans="6:13" x14ac:dyDescent="0.4">
      <c r="F285" s="1">
        <v>30011</v>
      </c>
      <c r="G285" s="16">
        <v>342.7</v>
      </c>
      <c r="H285" s="16">
        <f t="shared" si="21"/>
        <v>340.71865369577711</v>
      </c>
      <c r="I285">
        <f t="shared" si="22"/>
        <v>3</v>
      </c>
      <c r="J285" s="16" cm="1">
        <f t="array" ref="J285">INDEX(Sm,I285)</f>
        <v>1.3951035824648568</v>
      </c>
      <c r="K285" s="16">
        <f t="shared" si="23"/>
        <v>342.11375727824196</v>
      </c>
      <c r="L285" s="16">
        <f t="shared" si="24"/>
        <v>-0.58624272175802616</v>
      </c>
      <c r="M285" s="16">
        <f t="shared" si="25"/>
        <v>0.34368052881425848</v>
      </c>
    </row>
    <row r="286" spans="6:13" x14ac:dyDescent="0.4">
      <c r="F286" s="1">
        <v>30042</v>
      </c>
      <c r="G286" s="16">
        <v>343.57</v>
      </c>
      <c r="H286" s="16">
        <f t="shared" si="21"/>
        <v>340.83447973178386</v>
      </c>
      <c r="I286">
        <f t="shared" si="22"/>
        <v>4</v>
      </c>
      <c r="J286" s="16" cm="1">
        <f t="array" ref="J286">INDEX(Sm,I286)</f>
        <v>2.6339370251743146</v>
      </c>
      <c r="K286" s="16">
        <f t="shared" si="23"/>
        <v>343.46841675695816</v>
      </c>
      <c r="L286" s="16">
        <f t="shared" si="24"/>
        <v>-0.10158324304182997</v>
      </c>
      <c r="M286" s="16">
        <f t="shared" si="25"/>
        <v>1.0319155266895497E-2</v>
      </c>
    </row>
    <row r="287" spans="6:13" x14ac:dyDescent="0.4">
      <c r="F287" s="1">
        <v>30072</v>
      </c>
      <c r="G287" s="16">
        <v>344.14</v>
      </c>
      <c r="H287" s="16">
        <f t="shared" si="21"/>
        <v>340.94672471746486</v>
      </c>
      <c r="I287">
        <f t="shared" si="22"/>
        <v>5</v>
      </c>
      <c r="J287" s="16" cm="1">
        <f t="array" ref="J287">INDEX(Sm,I287)</f>
        <v>3.0997257789906989</v>
      </c>
      <c r="K287" s="16">
        <f t="shared" si="23"/>
        <v>344.04645049645558</v>
      </c>
      <c r="L287" s="16">
        <f t="shared" si="24"/>
        <v>-9.3549503544409163E-2</v>
      </c>
      <c r="M287" s="16">
        <f t="shared" si="25"/>
        <v>8.751509613405423E-3</v>
      </c>
    </row>
    <row r="288" spans="6:13" x14ac:dyDescent="0.4">
      <c r="F288" s="1">
        <v>30103</v>
      </c>
      <c r="G288" s="16">
        <v>343.35</v>
      </c>
      <c r="H288" s="16">
        <f t="shared" si="21"/>
        <v>341.06287187534576</v>
      </c>
      <c r="I288">
        <f t="shared" si="22"/>
        <v>6</v>
      </c>
      <c r="J288" s="16" cm="1">
        <f t="array" ref="J288">INDEX(Sm,I288)</f>
        <v>2.3207404253660839</v>
      </c>
      <c r="K288" s="16">
        <f t="shared" si="23"/>
        <v>343.38361230071183</v>
      </c>
      <c r="L288" s="16">
        <f t="shared" si="24"/>
        <v>3.3612300711808984E-2</v>
      </c>
      <c r="M288" s="16">
        <f t="shared" si="25"/>
        <v>1.1297867591410747E-3</v>
      </c>
    </row>
    <row r="289" spans="6:13" x14ac:dyDescent="0.4">
      <c r="F289" s="1">
        <v>30133</v>
      </c>
      <c r="G289" s="16">
        <v>342.06</v>
      </c>
      <c r="H289" s="16">
        <f t="shared" si="21"/>
        <v>341.17542805461858</v>
      </c>
      <c r="I289">
        <f t="shared" si="22"/>
        <v>7</v>
      </c>
      <c r="J289" s="16" cm="1">
        <f t="array" ref="J289">INDEX(Sm,I289)</f>
        <v>0.74435685666414753</v>
      </c>
      <c r="K289" s="16">
        <f t="shared" si="23"/>
        <v>341.9197849112827</v>
      </c>
      <c r="L289" s="16">
        <f t="shared" si="24"/>
        <v>-0.14021508871729793</v>
      </c>
      <c r="M289" s="16">
        <f t="shared" si="25"/>
        <v>1.9660271103999729E-2</v>
      </c>
    </row>
    <row r="290" spans="6:13" x14ac:dyDescent="0.4">
      <c r="F290" s="1">
        <v>30164</v>
      </c>
      <c r="G290" s="16">
        <v>339.81</v>
      </c>
      <c r="H290" s="16">
        <f t="shared" si="21"/>
        <v>341.29189722466782</v>
      </c>
      <c r="I290">
        <f t="shared" si="22"/>
        <v>8</v>
      </c>
      <c r="J290" s="16" cm="1">
        <f t="array" ref="J290">INDEX(Sm,I290)</f>
        <v>-1.3868231821212227</v>
      </c>
      <c r="K290" s="16">
        <f t="shared" si="23"/>
        <v>339.90507404254657</v>
      </c>
      <c r="L290" s="16">
        <f t="shared" si="24"/>
        <v>9.5074042546571036E-2</v>
      </c>
      <c r="M290" s="16">
        <f t="shared" si="25"/>
        <v>9.0390735661472002E-3</v>
      </c>
    </row>
    <row r="291" spans="6:13" x14ac:dyDescent="0.4">
      <c r="F291" s="1">
        <v>30195</v>
      </c>
      <c r="G291" s="16">
        <v>337.98</v>
      </c>
      <c r="H291" s="16">
        <f t="shared" si="21"/>
        <v>341.40853038222383</v>
      </c>
      <c r="I291">
        <f t="shared" si="22"/>
        <v>9</v>
      </c>
      <c r="J291" s="16" cm="1">
        <f t="array" ref="J291">INDEX(Sm,I291)</f>
        <v>-3.1918015790052943</v>
      </c>
      <c r="K291" s="16">
        <f t="shared" si="23"/>
        <v>338.21672880321853</v>
      </c>
      <c r="L291" s="16">
        <f t="shared" si="24"/>
        <v>0.23672880321851153</v>
      </c>
      <c r="M291" s="16">
        <f t="shared" si="25"/>
        <v>5.6040526273268755E-2</v>
      </c>
    </row>
    <row r="292" spans="6:13" x14ac:dyDescent="0.4">
      <c r="F292" s="1">
        <v>30225</v>
      </c>
      <c r="G292" s="16">
        <v>337.86</v>
      </c>
      <c r="H292" s="16">
        <f t="shared" si="21"/>
        <v>341.52155753528143</v>
      </c>
      <c r="I292">
        <f t="shared" si="22"/>
        <v>10</v>
      </c>
      <c r="J292" s="16" cm="1">
        <f t="array" ref="J292">INDEX(Sm,I292)</f>
        <v>-3.3171210691938846</v>
      </c>
      <c r="K292" s="16">
        <f t="shared" si="23"/>
        <v>338.20443646608754</v>
      </c>
      <c r="L292" s="16">
        <f t="shared" si="24"/>
        <v>0.34443646608752942</v>
      </c>
      <c r="M292" s="16">
        <f t="shared" si="25"/>
        <v>0.11863647917086581</v>
      </c>
    </row>
    <row r="293" spans="6:13" x14ac:dyDescent="0.4">
      <c r="F293" s="1">
        <v>30256</v>
      </c>
      <c r="G293" s="16">
        <v>339.26</v>
      </c>
      <c r="H293" s="16">
        <f t="shared" si="21"/>
        <v>341.63851405241564</v>
      </c>
      <c r="I293">
        <f t="shared" si="22"/>
        <v>11</v>
      </c>
      <c r="J293" s="16" cm="1">
        <f t="array" ref="J293">INDEX(Sm,I293)</f>
        <v>-2.0577916254037292</v>
      </c>
      <c r="K293" s="16">
        <f t="shared" si="23"/>
        <v>339.58072242701189</v>
      </c>
      <c r="L293" s="16">
        <f t="shared" si="24"/>
        <v>0.32072242701190135</v>
      </c>
      <c r="M293" s="16">
        <f t="shared" si="25"/>
        <v>0.10286287518840438</v>
      </c>
    </row>
    <row r="294" spans="6:13" x14ac:dyDescent="0.4">
      <c r="F294" s="1">
        <v>30286</v>
      </c>
      <c r="G294" s="16">
        <v>340.49</v>
      </c>
      <c r="H294" s="16">
        <f t="shared" si="21"/>
        <v>341.75185456758493</v>
      </c>
      <c r="I294">
        <f t="shared" si="22"/>
        <v>12</v>
      </c>
      <c r="J294" s="16" cm="1">
        <f t="array" ref="J294">INDEX(Sm,I294)</f>
        <v>-0.88780634062791353</v>
      </c>
      <c r="K294" s="16">
        <f t="shared" si="23"/>
        <v>340.86404822695704</v>
      </c>
      <c r="L294" s="16">
        <f t="shared" si="24"/>
        <v>0.37404822695702933</v>
      </c>
      <c r="M294" s="16">
        <f t="shared" si="25"/>
        <v>0.13991207608969733</v>
      </c>
    </row>
    <row r="295" spans="6:13" x14ac:dyDescent="0.4">
      <c r="F295" s="1">
        <v>30317</v>
      </c>
      <c r="G295" s="16">
        <v>341.38</v>
      </c>
      <c r="H295" s="16">
        <f t="shared" si="21"/>
        <v>341.86913534079542</v>
      </c>
      <c r="I295">
        <f t="shared" si="22"/>
        <v>1</v>
      </c>
      <c r="J295" s="16" cm="1">
        <f t="array" ref="J295">INDEX(Sm,I295)</f>
        <v>-3.3662626377861403E-2</v>
      </c>
      <c r="K295" s="16">
        <f t="shared" si="23"/>
        <v>341.83547271441756</v>
      </c>
      <c r="L295" s="16">
        <f t="shared" si="24"/>
        <v>0.4554727144175672</v>
      </c>
      <c r="M295" s="16">
        <f t="shared" si="25"/>
        <v>0.20745539357890674</v>
      </c>
    </row>
    <row r="296" spans="6:13" x14ac:dyDescent="0.4">
      <c r="F296" s="1">
        <v>30348</v>
      </c>
      <c r="G296" s="16">
        <v>342.52</v>
      </c>
      <c r="H296" s="16">
        <f t="shared" si="21"/>
        <v>341.98658124424219</v>
      </c>
      <c r="I296">
        <f t="shared" si="22"/>
        <v>2</v>
      </c>
      <c r="J296" s="16" cm="1">
        <f t="array" ref="J296">INDEX(Sm,I296)</f>
        <v>0.68114275406980329</v>
      </c>
      <c r="K296" s="16">
        <f t="shared" si="23"/>
        <v>342.667723998312</v>
      </c>
      <c r="L296" s="16">
        <f t="shared" si="24"/>
        <v>0.1477239983120171</v>
      </c>
      <c r="M296" s="16">
        <f t="shared" si="25"/>
        <v>2.1822379677288832E-2</v>
      </c>
    </row>
    <row r="297" spans="6:13" x14ac:dyDescent="0.4">
      <c r="F297" s="1">
        <v>30376</v>
      </c>
      <c r="G297" s="16">
        <v>343.1</v>
      </c>
      <c r="H297" s="16">
        <f t="shared" si="21"/>
        <v>342.09280354144516</v>
      </c>
      <c r="I297">
        <f t="shared" si="22"/>
        <v>3</v>
      </c>
      <c r="J297" s="16" cm="1">
        <f t="array" ref="J297">INDEX(Sm,I297)</f>
        <v>1.3951035824648568</v>
      </c>
      <c r="K297" s="16">
        <f t="shared" si="23"/>
        <v>343.48790712391002</v>
      </c>
      <c r="L297" s="16">
        <f t="shared" si="24"/>
        <v>0.38790712390999715</v>
      </c>
      <c r="M297" s="16">
        <f t="shared" si="25"/>
        <v>0.15047193678012588</v>
      </c>
    </row>
    <row r="298" spans="6:13" x14ac:dyDescent="0.4">
      <c r="F298" s="1">
        <v>30407</v>
      </c>
      <c r="G298" s="16">
        <v>344.94</v>
      </c>
      <c r="H298" s="16">
        <f t="shared" si="21"/>
        <v>342.21056436763513</v>
      </c>
      <c r="I298">
        <f t="shared" si="22"/>
        <v>4</v>
      </c>
      <c r="J298" s="16" cm="1">
        <f t="array" ref="J298">INDEX(Sm,I298)</f>
        <v>2.6339370251743146</v>
      </c>
      <c r="K298" s="16">
        <f t="shared" si="23"/>
        <v>344.84450139280943</v>
      </c>
      <c r="L298" s="16">
        <f t="shared" si="24"/>
        <v>-9.5498607190563689E-2</v>
      </c>
      <c r="M298" s="16">
        <f t="shared" si="25"/>
        <v>9.1199839753375832E-3</v>
      </c>
    </row>
    <row r="299" spans="6:13" x14ac:dyDescent="0.4">
      <c r="F299" s="1">
        <v>30437</v>
      </c>
      <c r="G299" s="16">
        <v>345.76</v>
      </c>
      <c r="H299" s="16">
        <f t="shared" si="21"/>
        <v>342.32468432464299</v>
      </c>
      <c r="I299">
        <f t="shared" si="22"/>
        <v>5</v>
      </c>
      <c r="J299" s="16" cm="1">
        <f t="array" ref="J299">INDEX(Sm,I299)</f>
        <v>3.0997257789906989</v>
      </c>
      <c r="K299" s="16">
        <f t="shared" si="23"/>
        <v>345.4244101036337</v>
      </c>
      <c r="L299" s="16">
        <f t="shared" si="24"/>
        <v>-0.33558989636628667</v>
      </c>
      <c r="M299" s="16">
        <f t="shared" si="25"/>
        <v>0.11262057854313502</v>
      </c>
    </row>
    <row r="300" spans="6:13" x14ac:dyDescent="0.4">
      <c r="F300" s="1">
        <v>30468</v>
      </c>
      <c r="G300" s="16">
        <v>345.32</v>
      </c>
      <c r="H300" s="16">
        <f t="shared" si="21"/>
        <v>342.44277163681585</v>
      </c>
      <c r="I300">
        <f t="shared" si="22"/>
        <v>6</v>
      </c>
      <c r="J300" s="16" cm="1">
        <f t="array" ref="J300">INDEX(Sm,I300)</f>
        <v>2.3207404253660839</v>
      </c>
      <c r="K300" s="16">
        <f t="shared" si="23"/>
        <v>344.76351206218192</v>
      </c>
      <c r="L300" s="16">
        <f t="shared" si="24"/>
        <v>-0.55648793781807626</v>
      </c>
      <c r="M300" s="16">
        <f t="shared" si="25"/>
        <v>0.3096788249370151</v>
      </c>
    </row>
    <row r="301" spans="6:13" x14ac:dyDescent="0.4">
      <c r="F301" s="1">
        <v>30498</v>
      </c>
      <c r="G301" s="16">
        <v>343.98</v>
      </c>
      <c r="H301" s="16">
        <f t="shared" si="21"/>
        <v>342.55720798567944</v>
      </c>
      <c r="I301">
        <f t="shared" si="22"/>
        <v>7</v>
      </c>
      <c r="J301" s="16" cm="1">
        <f t="array" ref="J301">INDEX(Sm,I301)</f>
        <v>0.74435685666414753</v>
      </c>
      <c r="K301" s="16">
        <f t="shared" si="23"/>
        <v>343.30156484234357</v>
      </c>
      <c r="L301" s="16">
        <f t="shared" si="24"/>
        <v>-0.67843515765645179</v>
      </c>
      <c r="M301" s="16">
        <f t="shared" si="25"/>
        <v>0.46027426314433462</v>
      </c>
    </row>
    <row r="302" spans="6:13" x14ac:dyDescent="0.4">
      <c r="F302" s="1">
        <v>30529</v>
      </c>
      <c r="G302" s="16">
        <v>342.38</v>
      </c>
      <c r="H302" s="16">
        <f t="shared" si="21"/>
        <v>342.67562268900122</v>
      </c>
      <c r="I302">
        <f t="shared" si="22"/>
        <v>8</v>
      </c>
      <c r="J302" s="16" cm="1">
        <f t="array" ref="J302">INDEX(Sm,I302)</f>
        <v>-1.3868231821212227</v>
      </c>
      <c r="K302" s="16">
        <f t="shared" si="23"/>
        <v>341.28879950687997</v>
      </c>
      <c r="L302" s="16">
        <f t="shared" si="24"/>
        <v>-1.0912004931200272</v>
      </c>
      <c r="M302" s="16">
        <f t="shared" si="25"/>
        <v>1.1907185161853906</v>
      </c>
    </row>
    <row r="303" spans="6:13" x14ac:dyDescent="0.4">
      <c r="F303" s="1">
        <v>30560</v>
      </c>
      <c r="G303" s="16">
        <v>339.87</v>
      </c>
      <c r="H303" s="16">
        <f t="shared" si="21"/>
        <v>342.79420411912224</v>
      </c>
      <c r="I303">
        <f t="shared" si="22"/>
        <v>9</v>
      </c>
      <c r="J303" s="16" cm="1">
        <f t="array" ref="J303">INDEX(Sm,I303)</f>
        <v>-3.1918015790052943</v>
      </c>
      <c r="K303" s="16">
        <f t="shared" si="23"/>
        <v>339.60240254011694</v>
      </c>
      <c r="L303" s="16">
        <f t="shared" si="24"/>
        <v>-0.26759745988306349</v>
      </c>
      <c r="M303" s="16">
        <f t="shared" si="25"/>
        <v>7.1608400535867769E-2</v>
      </c>
    </row>
    <row r="304" spans="6:13" x14ac:dyDescent="0.4">
      <c r="F304" s="1">
        <v>30590</v>
      </c>
      <c r="G304" s="16">
        <v>339.99</v>
      </c>
      <c r="H304" s="16">
        <f t="shared" si="21"/>
        <v>342.9091193090473</v>
      </c>
      <c r="I304">
        <f t="shared" si="22"/>
        <v>10</v>
      </c>
      <c r="J304" s="16" cm="1">
        <f t="array" ref="J304">INDEX(Sm,I304)</f>
        <v>-3.3171210691938846</v>
      </c>
      <c r="K304" s="16">
        <f t="shared" si="23"/>
        <v>339.59199823985341</v>
      </c>
      <c r="L304" s="16">
        <f t="shared" si="24"/>
        <v>-0.39800176014659883</v>
      </c>
      <c r="M304" s="16">
        <f t="shared" si="25"/>
        <v>0.15840540107979079</v>
      </c>
    </row>
    <row r="305" spans="6:13" x14ac:dyDescent="0.4">
      <c r="F305" s="1">
        <v>30621</v>
      </c>
      <c r="G305" s="16">
        <v>341.15</v>
      </c>
      <c r="H305" s="16">
        <f t="shared" si="21"/>
        <v>343.02802950023448</v>
      </c>
      <c r="I305">
        <f t="shared" si="22"/>
        <v>11</v>
      </c>
      <c r="J305" s="16" cm="1">
        <f t="array" ref="J305">INDEX(Sm,I305)</f>
        <v>-2.0577916254037292</v>
      </c>
      <c r="K305" s="16">
        <f t="shared" si="23"/>
        <v>340.97023787483073</v>
      </c>
      <c r="L305" s="16">
        <f t="shared" si="24"/>
        <v>-0.17976212516924761</v>
      </c>
      <c r="M305" s="16">
        <f t="shared" si="25"/>
        <v>3.2314421645364244E-2</v>
      </c>
    </row>
    <row r="306" spans="6:13" x14ac:dyDescent="0.4">
      <c r="F306" s="1">
        <v>30651</v>
      </c>
      <c r="G306" s="16">
        <v>342.99</v>
      </c>
      <c r="H306" s="16">
        <f t="shared" si="21"/>
        <v>343.14326328675861</v>
      </c>
      <c r="I306">
        <f t="shared" si="22"/>
        <v>12</v>
      </c>
      <c r="J306" s="16" cm="1">
        <f t="array" ref="J306">INDEX(Sm,I306)</f>
        <v>-0.88780634062791353</v>
      </c>
      <c r="K306" s="16">
        <f t="shared" si="23"/>
        <v>342.25545694613072</v>
      </c>
      <c r="L306" s="16">
        <f t="shared" si="24"/>
        <v>-0.73454305386928809</v>
      </c>
      <c r="M306" s="16">
        <f t="shared" si="25"/>
        <v>0.53955349798761987</v>
      </c>
    </row>
    <row r="307" spans="6:13" x14ac:dyDescent="0.4">
      <c r="F307" s="1">
        <v>30682</v>
      </c>
      <c r="G307" s="16">
        <v>343.7</v>
      </c>
      <c r="H307" s="16">
        <f t="shared" si="21"/>
        <v>343.26250315048554</v>
      </c>
      <c r="I307">
        <f t="shared" si="22"/>
        <v>1</v>
      </c>
      <c r="J307" s="16" cm="1">
        <f t="array" ref="J307">INDEX(Sm,I307)</f>
        <v>-3.3662626377861403E-2</v>
      </c>
      <c r="K307" s="16">
        <f t="shared" si="23"/>
        <v>343.22884052410768</v>
      </c>
      <c r="L307" s="16">
        <f t="shared" si="24"/>
        <v>-0.471159475892307</v>
      </c>
      <c r="M307" s="16">
        <f t="shared" si="25"/>
        <v>0.22199125172311343</v>
      </c>
    </row>
    <row r="308" spans="6:13" x14ac:dyDescent="0.4">
      <c r="F308" s="1">
        <v>30713</v>
      </c>
      <c r="G308" s="16">
        <v>344.5</v>
      </c>
      <c r="H308" s="16">
        <f t="shared" si="21"/>
        <v>343.38191090282987</v>
      </c>
      <c r="I308">
        <f t="shared" si="22"/>
        <v>2</v>
      </c>
      <c r="J308" s="16" cm="1">
        <f t="array" ref="J308">INDEX(Sm,I308)</f>
        <v>0.68114275406980329</v>
      </c>
      <c r="K308" s="16">
        <f t="shared" si="23"/>
        <v>344.06305365689968</v>
      </c>
      <c r="L308" s="16">
        <f t="shared" si="24"/>
        <v>-0.43694634310031688</v>
      </c>
      <c r="M308" s="16">
        <f t="shared" si="25"/>
        <v>0.19092210674873983</v>
      </c>
    </row>
    <row r="309" spans="6:13" x14ac:dyDescent="0.4">
      <c r="F309" s="1">
        <v>30742</v>
      </c>
      <c r="G309" s="16">
        <v>345.28</v>
      </c>
      <c r="H309" s="16">
        <f t="shared" si="21"/>
        <v>343.49376712934702</v>
      </c>
      <c r="I309">
        <f t="shared" si="22"/>
        <v>3</v>
      </c>
      <c r="J309" s="16" cm="1">
        <f t="array" ref="J309">INDEX(Sm,I309)</f>
        <v>1.3951035824648568</v>
      </c>
      <c r="K309" s="16">
        <f t="shared" si="23"/>
        <v>344.88887071181188</v>
      </c>
      <c r="L309" s="16">
        <f t="shared" si="24"/>
        <v>-0.39112928818809678</v>
      </c>
      <c r="M309" s="16">
        <f t="shared" si="25"/>
        <v>0.15298212007852727</v>
      </c>
    </row>
    <row r="310" spans="6:13" x14ac:dyDescent="0.4">
      <c r="F310" s="1">
        <v>30773</v>
      </c>
      <c r="G310" s="16">
        <v>347.05</v>
      </c>
      <c r="H310" s="16">
        <f t="shared" si="21"/>
        <v>343.61350049921953</v>
      </c>
      <c r="I310">
        <f t="shared" si="22"/>
        <v>4</v>
      </c>
      <c r="J310" s="16" cm="1">
        <f t="array" ref="J310">INDEX(Sm,I310)</f>
        <v>2.6339370251743146</v>
      </c>
      <c r="K310" s="16">
        <f t="shared" si="23"/>
        <v>346.24743752439383</v>
      </c>
      <c r="L310" s="16">
        <f t="shared" si="24"/>
        <v>-0.80256247560618021</v>
      </c>
      <c r="M310" s="16">
        <f t="shared" si="25"/>
        <v>0.64410652725112061</v>
      </c>
    </row>
    <row r="311" spans="6:13" x14ac:dyDescent="0.4">
      <c r="F311" s="1">
        <v>30803</v>
      </c>
      <c r="G311" s="16">
        <v>347.43</v>
      </c>
      <c r="H311" s="16">
        <f t="shared" si="21"/>
        <v>343.72953201381011</v>
      </c>
      <c r="I311">
        <f t="shared" si="22"/>
        <v>5</v>
      </c>
      <c r="J311" s="16" cm="1">
        <f t="array" ref="J311">INDEX(Sm,I311)</f>
        <v>3.0997257789906989</v>
      </c>
      <c r="K311" s="16">
        <f t="shared" si="23"/>
        <v>346.82925779280083</v>
      </c>
      <c r="L311" s="16">
        <f t="shared" si="24"/>
        <v>-0.60074220719917548</v>
      </c>
      <c r="M311" s="16">
        <f t="shared" si="25"/>
        <v>0.36089119951053711</v>
      </c>
    </row>
    <row r="312" spans="6:13" x14ac:dyDescent="0.4">
      <c r="F312" s="1">
        <v>30834</v>
      </c>
      <c r="G312" s="16">
        <v>346.8</v>
      </c>
      <c r="H312" s="16">
        <f t="shared" si="21"/>
        <v>343.84959733844391</v>
      </c>
      <c r="I312">
        <f t="shared" si="22"/>
        <v>6</v>
      </c>
      <c r="J312" s="16" cm="1">
        <f t="array" ref="J312">INDEX(Sm,I312)</f>
        <v>2.3207404253660839</v>
      </c>
      <c r="K312" s="16">
        <f t="shared" si="23"/>
        <v>346.17033776380998</v>
      </c>
      <c r="L312" s="16">
        <f t="shared" si="24"/>
        <v>-0.62966223619002903</v>
      </c>
      <c r="M312" s="16">
        <f t="shared" si="25"/>
        <v>0.3964745316838279</v>
      </c>
    </row>
    <row r="313" spans="6:13" x14ac:dyDescent="0.4">
      <c r="F313" s="1">
        <v>30864</v>
      </c>
      <c r="G313" s="16">
        <v>345.39</v>
      </c>
      <c r="H313" s="16">
        <f t="shared" si="21"/>
        <v>343.96595054458771</v>
      </c>
      <c r="I313">
        <f t="shared" si="22"/>
        <v>7</v>
      </c>
      <c r="J313" s="16" cm="1">
        <f t="array" ref="J313">INDEX(Sm,I313)</f>
        <v>0.74435685666414753</v>
      </c>
      <c r="K313" s="16">
        <f t="shared" si="23"/>
        <v>344.71030740125184</v>
      </c>
      <c r="L313" s="16">
        <f t="shared" si="24"/>
        <v>-0.67969259874814725</v>
      </c>
      <c r="M313" s="16">
        <f t="shared" si="25"/>
        <v>0.46198202879300992</v>
      </c>
    </row>
    <row r="314" spans="6:13" x14ac:dyDescent="0.4">
      <c r="F314" s="1">
        <v>30895</v>
      </c>
      <c r="G314" s="16">
        <v>343.28</v>
      </c>
      <c r="H314" s="16">
        <f t="shared" si="21"/>
        <v>344.08634874431078</v>
      </c>
      <c r="I314">
        <f t="shared" si="22"/>
        <v>8</v>
      </c>
      <c r="J314" s="16" cm="1">
        <f t="array" ref="J314">INDEX(Sm,I314)</f>
        <v>-1.3868231821212227</v>
      </c>
      <c r="K314" s="16">
        <f t="shared" si="23"/>
        <v>342.69952556218954</v>
      </c>
      <c r="L314" s="16">
        <f t="shared" si="24"/>
        <v>-0.58047443781043739</v>
      </c>
      <c r="M314" s="16">
        <f t="shared" si="25"/>
        <v>0.33695057295134334</v>
      </c>
    </row>
    <row r="315" spans="6:13" x14ac:dyDescent="0.4">
      <c r="F315" s="1">
        <v>30926</v>
      </c>
      <c r="G315" s="16">
        <v>341.07</v>
      </c>
      <c r="H315" s="16">
        <f t="shared" si="21"/>
        <v>344.20691646357756</v>
      </c>
      <c r="I315">
        <f t="shared" si="22"/>
        <v>9</v>
      </c>
      <c r="J315" s="16" cm="1">
        <f t="array" ref="J315">INDEX(Sm,I315)</f>
        <v>-3.1918015790052943</v>
      </c>
      <c r="K315" s="16">
        <f t="shared" si="23"/>
        <v>341.01511488457226</v>
      </c>
      <c r="L315" s="16">
        <f t="shared" si="24"/>
        <v>-5.4885115427737219E-2</v>
      </c>
      <c r="M315" s="16">
        <f t="shared" si="25"/>
        <v>3.0123758955160379E-3</v>
      </c>
    </row>
    <row r="316" spans="6:13" x14ac:dyDescent="0.4">
      <c r="F316" s="1">
        <v>30956</v>
      </c>
      <c r="G316" s="16">
        <v>341.35</v>
      </c>
      <c r="H316" s="16">
        <f t="shared" si="21"/>
        <v>344.32375653157328</v>
      </c>
      <c r="I316">
        <f t="shared" si="22"/>
        <v>10</v>
      </c>
      <c r="J316" s="16" cm="1">
        <f t="array" ref="J316">INDEX(Sm,I316)</f>
        <v>-3.3171210691938846</v>
      </c>
      <c r="K316" s="16">
        <f t="shared" si="23"/>
        <v>341.00663546237939</v>
      </c>
      <c r="L316" s="16">
        <f t="shared" si="24"/>
        <v>-0.34336453762063002</v>
      </c>
      <c r="M316" s="16">
        <f t="shared" si="25"/>
        <v>0.11789920569542904</v>
      </c>
    </row>
    <row r="317" spans="6:13" x14ac:dyDescent="0.4">
      <c r="F317" s="1">
        <v>30987</v>
      </c>
      <c r="G317" s="16">
        <v>342.98</v>
      </c>
      <c r="H317" s="16">
        <f t="shared" si="21"/>
        <v>344.44465851879318</v>
      </c>
      <c r="I317">
        <f t="shared" si="22"/>
        <v>11</v>
      </c>
      <c r="J317" s="16" cm="1">
        <f t="array" ref="J317">INDEX(Sm,I317)</f>
        <v>-2.0577916254037292</v>
      </c>
      <c r="K317" s="16">
        <f t="shared" si="23"/>
        <v>342.38686689338942</v>
      </c>
      <c r="L317" s="16">
        <f t="shared" si="24"/>
        <v>-0.59313310661059404</v>
      </c>
      <c r="M317" s="16">
        <f t="shared" si="25"/>
        <v>0.35180688215753431</v>
      </c>
    </row>
    <row r="318" spans="6:13" x14ac:dyDescent="0.4">
      <c r="F318" s="1">
        <v>31017</v>
      </c>
      <c r="G318" s="16">
        <v>344.22</v>
      </c>
      <c r="H318" s="16">
        <f t="shared" si="21"/>
        <v>344.56182252001588</v>
      </c>
      <c r="I318">
        <f t="shared" si="22"/>
        <v>12</v>
      </c>
      <c r="J318" s="16" cm="1">
        <f t="array" ref="J318">INDEX(Sm,I318)</f>
        <v>-0.88780634062791353</v>
      </c>
      <c r="K318" s="16">
        <f t="shared" si="23"/>
        <v>343.67401617938799</v>
      </c>
      <c r="L318" s="16">
        <f t="shared" si="24"/>
        <v>-0.54598382061203665</v>
      </c>
      <c r="M318" s="16">
        <f t="shared" si="25"/>
        <v>0.29809833237011663</v>
      </c>
    </row>
    <row r="319" spans="6:13" x14ac:dyDescent="0.4">
      <c r="F319" s="1">
        <v>31048</v>
      </c>
      <c r="G319" s="16">
        <v>344.97</v>
      </c>
      <c r="H319" s="16">
        <f t="shared" si="21"/>
        <v>344.68305970193001</v>
      </c>
      <c r="I319">
        <f t="shared" si="22"/>
        <v>1</v>
      </c>
      <c r="J319" s="16" cm="1">
        <f t="array" ref="J319">INDEX(Sm,I319)</f>
        <v>-3.3662626377861403E-2</v>
      </c>
      <c r="K319" s="16">
        <f t="shared" si="23"/>
        <v>344.64939707555214</v>
      </c>
      <c r="L319" s="16">
        <f t="shared" si="24"/>
        <v>-0.32060292444788274</v>
      </c>
      <c r="M319" s="16">
        <f t="shared" si="25"/>
        <v>0.10278623516453481</v>
      </c>
    </row>
    <row r="320" spans="6:13" x14ac:dyDescent="0.4">
      <c r="F320" s="1">
        <v>31079</v>
      </c>
      <c r="G320" s="16">
        <v>345.99</v>
      </c>
      <c r="H320" s="16">
        <f t="shared" si="21"/>
        <v>344.80446758466724</v>
      </c>
      <c r="I320">
        <f t="shared" si="22"/>
        <v>2</v>
      </c>
      <c r="J320" s="16" cm="1">
        <f t="array" ref="J320">INDEX(Sm,I320)</f>
        <v>0.68114275406980329</v>
      </c>
      <c r="K320" s="16">
        <f t="shared" si="23"/>
        <v>345.48561033873705</v>
      </c>
      <c r="L320" s="16">
        <f t="shared" si="24"/>
        <v>-0.50438966126296236</v>
      </c>
      <c r="M320" s="16">
        <f t="shared" si="25"/>
        <v>0.25440893038896589</v>
      </c>
    </row>
    <row r="321" spans="6:13" x14ac:dyDescent="0.4">
      <c r="F321" s="1">
        <v>31107</v>
      </c>
      <c r="G321" s="16">
        <v>347.42</v>
      </c>
      <c r="H321" s="16">
        <f t="shared" si="21"/>
        <v>344.91427323837161</v>
      </c>
      <c r="I321">
        <f t="shared" si="22"/>
        <v>3</v>
      </c>
      <c r="J321" s="16" cm="1">
        <f t="array" ref="J321">INDEX(Sm,I321)</f>
        <v>1.3951035824648568</v>
      </c>
      <c r="K321" s="16">
        <f t="shared" si="23"/>
        <v>346.30937682083646</v>
      </c>
      <c r="L321" s="16">
        <f t="shared" si="24"/>
        <v>-1.1106231791635537</v>
      </c>
      <c r="M321" s="16">
        <f t="shared" si="25"/>
        <v>1.233483846095359</v>
      </c>
    </row>
    <row r="322" spans="6:13" x14ac:dyDescent="0.4">
      <c r="F322" s="1">
        <v>31138</v>
      </c>
      <c r="G322" s="16">
        <v>348.35</v>
      </c>
      <c r="H322" s="16">
        <f t="shared" si="21"/>
        <v>345.03600666761446</v>
      </c>
      <c r="I322">
        <f t="shared" si="22"/>
        <v>4</v>
      </c>
      <c r="J322" s="16" cm="1">
        <f t="array" ref="J322">INDEX(Sm,I322)</f>
        <v>2.6339370251743146</v>
      </c>
      <c r="K322" s="16">
        <f t="shared" si="23"/>
        <v>347.66994369278876</v>
      </c>
      <c r="L322" s="16">
        <f t="shared" si="24"/>
        <v>-0.68005630721125954</v>
      </c>
      <c r="M322" s="16">
        <f t="shared" si="25"/>
        <v>0.46247658097781502</v>
      </c>
    </row>
    <row r="323" spans="6:13" x14ac:dyDescent="0.4">
      <c r="F323" s="1">
        <v>31168</v>
      </c>
      <c r="G323" s="16">
        <v>348.93</v>
      </c>
      <c r="H323" s="16">
        <f t="shared" ref="H323:H386" si="26">EXP(_A*F323+_B)+_C</f>
        <v>345.15397640475936</v>
      </c>
      <c r="I323">
        <f t="shared" ref="I323:I386" si="27">MONTH(F323)</f>
        <v>5</v>
      </c>
      <c r="J323" s="16" cm="1">
        <f t="array" ref="J323">INDEX(Sm,I323)</f>
        <v>3.0997257789906989</v>
      </c>
      <c r="K323" s="16">
        <f t="shared" ref="K323:K386" si="28">H323+J323</f>
        <v>348.25370218375008</v>
      </c>
      <c r="L323" s="16">
        <f t="shared" ref="L323:L386" si="29">K323-G323</f>
        <v>-0.67629781624992802</v>
      </c>
      <c r="M323" s="16">
        <f t="shared" ref="M323:M386" si="30">L323*L323</f>
        <v>0.45737873626442138</v>
      </c>
    </row>
    <row r="324" spans="6:13" x14ac:dyDescent="0.4">
      <c r="F324" s="1">
        <v>31199</v>
      </c>
      <c r="G324" s="16">
        <v>348.25</v>
      </c>
      <c r="H324" s="16">
        <f t="shared" si="26"/>
        <v>345.27604733382782</v>
      </c>
      <c r="I324">
        <f t="shared" si="27"/>
        <v>6</v>
      </c>
      <c r="J324" s="16" cm="1">
        <f t="array" ref="J324">INDEX(Sm,I324)</f>
        <v>2.3207404253660839</v>
      </c>
      <c r="K324" s="16">
        <f t="shared" si="28"/>
        <v>347.59678775919389</v>
      </c>
      <c r="L324" s="16">
        <f t="shared" si="29"/>
        <v>-0.65321224080611273</v>
      </c>
      <c r="M324" s="16">
        <f t="shared" si="30"/>
        <v>0.42668623153894303</v>
      </c>
    </row>
    <row r="325" spans="6:13" x14ac:dyDescent="0.4">
      <c r="F325" s="1">
        <v>31229</v>
      </c>
      <c r="G325" s="16">
        <v>346.56</v>
      </c>
      <c r="H325" s="16">
        <f t="shared" si="26"/>
        <v>345.39434413615072</v>
      </c>
      <c r="I325">
        <f t="shared" si="27"/>
        <v>7</v>
      </c>
      <c r="J325" s="16" cm="1">
        <f t="array" ref="J325">INDEX(Sm,I325)</f>
        <v>0.74435685666414753</v>
      </c>
      <c r="K325" s="16">
        <f t="shared" si="28"/>
        <v>346.13870099281485</v>
      </c>
      <c r="L325" s="16">
        <f t="shared" si="29"/>
        <v>-0.42129900718515501</v>
      </c>
      <c r="M325" s="16">
        <f t="shared" si="30"/>
        <v>0.1774928534551973</v>
      </c>
    </row>
    <row r="326" spans="6:13" x14ac:dyDescent="0.4">
      <c r="F326" s="1">
        <v>31260</v>
      </c>
      <c r="G326" s="16">
        <v>344.67</v>
      </c>
      <c r="H326" s="16">
        <f t="shared" si="26"/>
        <v>345.51675350074606</v>
      </c>
      <c r="I326">
        <f t="shared" si="27"/>
        <v>8</v>
      </c>
      <c r="J326" s="16" cm="1">
        <f t="array" ref="J326">INDEX(Sm,I326)</f>
        <v>-1.3868231821212227</v>
      </c>
      <c r="K326" s="16">
        <f t="shared" si="28"/>
        <v>344.12993031862482</v>
      </c>
      <c r="L326" s="16">
        <f t="shared" si="29"/>
        <v>-0.54006968137520062</v>
      </c>
      <c r="M326" s="16">
        <f t="shared" si="30"/>
        <v>0.29167526074071071</v>
      </c>
    </row>
    <row r="327" spans="6:13" x14ac:dyDescent="0.4">
      <c r="F327" s="1">
        <v>31291</v>
      </c>
      <c r="G327" s="16">
        <v>343.09</v>
      </c>
      <c r="H327" s="16">
        <f t="shared" si="26"/>
        <v>345.6393352165864</v>
      </c>
      <c r="I327">
        <f t="shared" si="27"/>
        <v>9</v>
      </c>
      <c r="J327" s="16" cm="1">
        <f t="array" ref="J327">INDEX(Sm,I327)</f>
        <v>-3.1918015790052943</v>
      </c>
      <c r="K327" s="16">
        <f t="shared" si="28"/>
        <v>342.4475336375811</v>
      </c>
      <c r="L327" s="16">
        <f t="shared" si="29"/>
        <v>-0.64246636241887245</v>
      </c>
      <c r="M327" s="16">
        <f t="shared" si="30"/>
        <v>0.41276302683973798</v>
      </c>
    </row>
    <row r="328" spans="6:13" x14ac:dyDescent="0.4">
      <c r="F328" s="1">
        <v>31321</v>
      </c>
      <c r="G328" s="16">
        <v>342.8</v>
      </c>
      <c r="H328" s="16">
        <f t="shared" si="26"/>
        <v>345.75812701343654</v>
      </c>
      <c r="I328">
        <f t="shared" si="27"/>
        <v>10</v>
      </c>
      <c r="J328" s="16" cm="1">
        <f t="array" ref="J328">INDEX(Sm,I328)</f>
        <v>-3.3171210691938846</v>
      </c>
      <c r="K328" s="16">
        <f t="shared" si="28"/>
        <v>342.44100594424265</v>
      </c>
      <c r="L328" s="16">
        <f t="shared" si="29"/>
        <v>-0.35899405575736409</v>
      </c>
      <c r="M328" s="16">
        <f t="shared" si="30"/>
        <v>0.12887673206912145</v>
      </c>
    </row>
    <row r="329" spans="6:13" x14ac:dyDescent="0.4">
      <c r="F329" s="1">
        <v>31352</v>
      </c>
      <c r="G329" s="16">
        <v>344.24</v>
      </c>
      <c r="H329" s="16">
        <f t="shared" si="26"/>
        <v>345.88104858093459</v>
      </c>
      <c r="I329">
        <f t="shared" si="27"/>
        <v>11</v>
      </c>
      <c r="J329" s="16" cm="1">
        <f t="array" ref="J329">INDEX(Sm,I329)</f>
        <v>-2.0577916254037292</v>
      </c>
      <c r="K329" s="16">
        <f t="shared" si="28"/>
        <v>343.82325695553084</v>
      </c>
      <c r="L329" s="16">
        <f t="shared" si="29"/>
        <v>-0.41674304446917176</v>
      </c>
      <c r="M329" s="16">
        <f t="shared" si="30"/>
        <v>0.17367476511343408</v>
      </c>
    </row>
    <row r="330" spans="6:13" x14ac:dyDescent="0.4">
      <c r="F330" s="1">
        <v>31382</v>
      </c>
      <c r="G330" s="16">
        <v>345.56</v>
      </c>
      <c r="H330" s="16">
        <f t="shared" si="26"/>
        <v>346.00016972208203</v>
      </c>
      <c r="I330">
        <f t="shared" si="27"/>
        <v>12</v>
      </c>
      <c r="J330" s="16" cm="1">
        <f t="array" ref="J330">INDEX(Sm,I330)</f>
        <v>-0.88780634062791353</v>
      </c>
      <c r="K330" s="16">
        <f t="shared" si="28"/>
        <v>345.11236338145414</v>
      </c>
      <c r="L330" s="16">
        <f t="shared" si="29"/>
        <v>-0.44763661854585735</v>
      </c>
      <c r="M330" s="16">
        <f t="shared" si="30"/>
        <v>0.2003785422631694</v>
      </c>
    </row>
    <row r="331" spans="6:13" x14ac:dyDescent="0.4">
      <c r="F331" s="1">
        <v>31413</v>
      </c>
      <c r="G331" s="16">
        <v>346.3</v>
      </c>
      <c r="H331" s="16">
        <f t="shared" si="26"/>
        <v>346.12343208345931</v>
      </c>
      <c r="I331">
        <f t="shared" si="27"/>
        <v>1</v>
      </c>
      <c r="J331" s="16" cm="1">
        <f t="array" ref="J331">INDEX(Sm,I331)</f>
        <v>-3.3662626377861403E-2</v>
      </c>
      <c r="K331" s="16">
        <f t="shared" si="28"/>
        <v>346.08976945708145</v>
      </c>
      <c r="L331" s="16">
        <f t="shared" si="29"/>
        <v>-0.21023054291856624</v>
      </c>
      <c r="M331" s="16">
        <f t="shared" si="30"/>
        <v>4.4196881175835125E-2</v>
      </c>
    </row>
    <row r="332" spans="6:13" x14ac:dyDescent="0.4">
      <c r="F332" s="1">
        <v>31444</v>
      </c>
      <c r="G332" s="16">
        <v>346.95</v>
      </c>
      <c r="H332" s="16">
        <f t="shared" si="26"/>
        <v>346.24686799709332</v>
      </c>
      <c r="I332">
        <f t="shared" si="27"/>
        <v>2</v>
      </c>
      <c r="J332" s="16" cm="1">
        <f t="array" ref="J332">INDEX(Sm,I332)</f>
        <v>0.68114275406980329</v>
      </c>
      <c r="K332" s="16">
        <f t="shared" si="28"/>
        <v>346.92801075116313</v>
      </c>
      <c r="L332" s="16">
        <f t="shared" si="29"/>
        <v>-2.1989248836860043E-2</v>
      </c>
      <c r="M332" s="16">
        <f t="shared" si="30"/>
        <v>4.8352706440935072E-4</v>
      </c>
    </row>
    <row r="333" spans="6:13" x14ac:dyDescent="0.4">
      <c r="F333" s="1">
        <v>31472</v>
      </c>
      <c r="G333" s="16">
        <v>347.85</v>
      </c>
      <c r="H333" s="16">
        <f t="shared" si="26"/>
        <v>346.35850787484776</v>
      </c>
      <c r="I333">
        <f t="shared" si="27"/>
        <v>3</v>
      </c>
      <c r="J333" s="16" cm="1">
        <f t="array" ref="J333">INDEX(Sm,I333)</f>
        <v>1.3951035824648568</v>
      </c>
      <c r="K333" s="16">
        <f t="shared" si="28"/>
        <v>347.75361145731262</v>
      </c>
      <c r="L333" s="16">
        <f t="shared" si="29"/>
        <v>-9.6388542687407153E-2</v>
      </c>
      <c r="M333" s="16">
        <f t="shared" si="30"/>
        <v>9.2907511614021103E-3</v>
      </c>
    </row>
    <row r="334" spans="6:13" x14ac:dyDescent="0.4">
      <c r="F334" s="1">
        <v>31503</v>
      </c>
      <c r="G334" s="16">
        <v>349.55</v>
      </c>
      <c r="H334" s="16">
        <f t="shared" si="26"/>
        <v>346.48227477300645</v>
      </c>
      <c r="I334">
        <f t="shared" si="27"/>
        <v>4</v>
      </c>
      <c r="J334" s="16" cm="1">
        <f t="array" ref="J334">INDEX(Sm,I334)</f>
        <v>2.6339370251743146</v>
      </c>
      <c r="K334" s="16">
        <f t="shared" si="28"/>
        <v>349.11621179818076</v>
      </c>
      <c r="L334" s="16">
        <f t="shared" si="29"/>
        <v>-0.43378820181925448</v>
      </c>
      <c r="M334" s="16">
        <f t="shared" si="30"/>
        <v>0.18817220403758225</v>
      </c>
    </row>
    <row r="335" spans="6:13" x14ac:dyDescent="0.4">
      <c r="F335" s="1">
        <v>31533</v>
      </c>
      <c r="G335" s="16">
        <v>350.22</v>
      </c>
      <c r="H335" s="16">
        <f t="shared" si="26"/>
        <v>346.60221510931217</v>
      </c>
      <c r="I335">
        <f t="shared" si="27"/>
        <v>5</v>
      </c>
      <c r="J335" s="16" cm="1">
        <f t="array" ref="J335">INDEX(Sm,I335)</f>
        <v>3.0997257789906989</v>
      </c>
      <c r="K335" s="16">
        <f t="shared" si="28"/>
        <v>349.70194088830289</v>
      </c>
      <c r="L335" s="16">
        <f t="shared" si="29"/>
        <v>-0.51805911169714136</v>
      </c>
      <c r="M335" s="16">
        <f t="shared" si="30"/>
        <v>0.26838524321243118</v>
      </c>
    </row>
    <row r="336" spans="6:13" x14ac:dyDescent="0.4">
      <c r="F336" s="1">
        <v>31564</v>
      </c>
      <c r="G336" s="16">
        <v>349.55</v>
      </c>
      <c r="H336" s="16">
        <f t="shared" si="26"/>
        <v>346.72632514498696</v>
      </c>
      <c r="I336">
        <f t="shared" si="27"/>
        <v>6</v>
      </c>
      <c r="J336" s="16" cm="1">
        <f t="array" ref="J336">INDEX(Sm,I336)</f>
        <v>2.3207404253660839</v>
      </c>
      <c r="K336" s="16">
        <f t="shared" si="28"/>
        <v>349.04706557035303</v>
      </c>
      <c r="L336" s="16">
        <f t="shared" si="29"/>
        <v>-0.50293442964698443</v>
      </c>
      <c r="M336" s="16">
        <f t="shared" si="30"/>
        <v>0.25294304052433753</v>
      </c>
    </row>
    <row r="337" spans="6:13" x14ac:dyDescent="0.4">
      <c r="F337" s="1">
        <v>31594</v>
      </c>
      <c r="G337" s="16">
        <v>347.94</v>
      </c>
      <c r="H337" s="16">
        <f t="shared" si="26"/>
        <v>346.8465980098581</v>
      </c>
      <c r="I337">
        <f t="shared" si="27"/>
        <v>7</v>
      </c>
      <c r="J337" s="16" cm="1">
        <f t="array" ref="J337">INDEX(Sm,I337)</f>
        <v>0.74435685666414753</v>
      </c>
      <c r="K337" s="16">
        <f t="shared" si="28"/>
        <v>347.59095486652222</v>
      </c>
      <c r="L337" s="16">
        <f t="shared" si="29"/>
        <v>-0.34904513347777311</v>
      </c>
      <c r="M337" s="16">
        <f t="shared" si="30"/>
        <v>0.12183250520451644</v>
      </c>
    </row>
    <row r="338" spans="6:13" x14ac:dyDescent="0.4">
      <c r="F338" s="1">
        <v>31625</v>
      </c>
      <c r="G338" s="16">
        <v>345.9</v>
      </c>
      <c r="H338" s="16">
        <f t="shared" si="26"/>
        <v>346.97105213438056</v>
      </c>
      <c r="I338">
        <f t="shared" si="27"/>
        <v>8</v>
      </c>
      <c r="J338" s="16" cm="1">
        <f t="array" ref="J338">INDEX(Sm,I338)</f>
        <v>-1.3868231821212227</v>
      </c>
      <c r="K338" s="16">
        <f t="shared" si="28"/>
        <v>345.58422895225931</v>
      </c>
      <c r="L338" s="16">
        <f t="shared" si="29"/>
        <v>-0.31577104774066811</v>
      </c>
      <c r="M338" s="16">
        <f t="shared" si="30"/>
        <v>9.9711354591239296E-2</v>
      </c>
    </row>
    <row r="339" spans="6:13" x14ac:dyDescent="0.4">
      <c r="F339" s="1">
        <v>31656</v>
      </c>
      <c r="G339" s="16">
        <v>344.85</v>
      </c>
      <c r="H339" s="16">
        <f t="shared" si="26"/>
        <v>347.09568148915116</v>
      </c>
      <c r="I339">
        <f t="shared" si="27"/>
        <v>9</v>
      </c>
      <c r="J339" s="16" cm="1">
        <f t="array" ref="J339">INDEX(Sm,I339)</f>
        <v>-3.1918015790052943</v>
      </c>
      <c r="K339" s="16">
        <f t="shared" si="28"/>
        <v>343.90387991014586</v>
      </c>
      <c r="L339" s="16">
        <f t="shared" si="29"/>
        <v>-0.94612008985416196</v>
      </c>
      <c r="M339" s="16">
        <f t="shared" si="30"/>
        <v>0.89514322442564753</v>
      </c>
    </row>
    <row r="340" spans="6:13" x14ac:dyDescent="0.4">
      <c r="F340" s="1">
        <v>31686</v>
      </c>
      <c r="G340" s="16">
        <v>344.17</v>
      </c>
      <c r="H340" s="16">
        <f t="shared" si="26"/>
        <v>347.21645761707498</v>
      </c>
      <c r="I340">
        <f t="shared" si="27"/>
        <v>10</v>
      </c>
      <c r="J340" s="16" cm="1">
        <f t="array" ref="J340">INDEX(Sm,I340)</f>
        <v>-3.3171210691938846</v>
      </c>
      <c r="K340" s="16">
        <f t="shared" si="28"/>
        <v>343.89933654788109</v>
      </c>
      <c r="L340" s="16">
        <f t="shared" si="29"/>
        <v>-0.2706634521189244</v>
      </c>
      <c r="M340" s="16">
        <f t="shared" si="30"/>
        <v>7.3258704312933284E-2</v>
      </c>
    </row>
    <row r="341" spans="6:13" x14ac:dyDescent="0.4">
      <c r="F341" s="1">
        <v>31717</v>
      </c>
      <c r="G341" s="16">
        <v>345.66</v>
      </c>
      <c r="H341" s="16">
        <f t="shared" si="26"/>
        <v>347.34143250047941</v>
      </c>
      <c r="I341">
        <f t="shared" si="27"/>
        <v>11</v>
      </c>
      <c r="J341" s="16" cm="1">
        <f t="array" ref="J341">INDEX(Sm,I341)</f>
        <v>-2.0577916254037292</v>
      </c>
      <c r="K341" s="16">
        <f t="shared" si="28"/>
        <v>345.28364087507566</v>
      </c>
      <c r="L341" s="16">
        <f t="shared" si="29"/>
        <v>-0.37635912492436319</v>
      </c>
      <c r="M341" s="16">
        <f t="shared" si="30"/>
        <v>0.1416461909138324</v>
      </c>
    </row>
    <row r="342" spans="6:13" x14ac:dyDescent="0.4">
      <c r="F342" s="1">
        <v>31747</v>
      </c>
      <c r="G342" s="16">
        <v>346.9</v>
      </c>
      <c r="H342" s="16">
        <f t="shared" si="26"/>
        <v>347.46254347415896</v>
      </c>
      <c r="I342">
        <f t="shared" si="27"/>
        <v>12</v>
      </c>
      <c r="J342" s="16" cm="1">
        <f t="array" ref="J342">INDEX(Sm,I342)</f>
        <v>-0.88780634062791353</v>
      </c>
      <c r="K342" s="16">
        <f t="shared" si="28"/>
        <v>346.57473713353107</v>
      </c>
      <c r="L342" s="16">
        <f t="shared" si="29"/>
        <v>-0.32526286646890412</v>
      </c>
      <c r="M342" s="16">
        <f t="shared" si="30"/>
        <v>0.10579593230356815</v>
      </c>
    </row>
    <row r="343" spans="6:13" x14ac:dyDescent="0.4">
      <c r="F343" s="1">
        <v>31778</v>
      </c>
      <c r="G343" s="16">
        <v>348.02</v>
      </c>
      <c r="H343" s="16">
        <f t="shared" si="26"/>
        <v>347.58786484415799</v>
      </c>
      <c r="I343">
        <f t="shared" si="27"/>
        <v>1</v>
      </c>
      <c r="J343" s="16" cm="1">
        <f t="array" ref="J343">INDEX(Sm,I343)</f>
        <v>-3.3662626377861403E-2</v>
      </c>
      <c r="K343" s="16">
        <f t="shared" si="28"/>
        <v>347.55420221778013</v>
      </c>
      <c r="L343" s="16">
        <f t="shared" si="29"/>
        <v>-0.4657977822198518</v>
      </c>
      <c r="M343" s="16">
        <f t="shared" si="30"/>
        <v>0.21696757392093249</v>
      </c>
    </row>
    <row r="344" spans="6:13" x14ac:dyDescent="0.4">
      <c r="F344" s="1">
        <v>31809</v>
      </c>
      <c r="G344" s="16">
        <v>348.48</v>
      </c>
      <c r="H344" s="16">
        <f t="shared" si="26"/>
        <v>347.71336266547866</v>
      </c>
      <c r="I344">
        <f t="shared" si="27"/>
        <v>2</v>
      </c>
      <c r="J344" s="16" cm="1">
        <f t="array" ref="J344">INDEX(Sm,I344)</f>
        <v>0.68114275406980329</v>
      </c>
      <c r="K344" s="16">
        <f t="shared" si="28"/>
        <v>348.39450541954847</v>
      </c>
      <c r="L344" s="16">
        <f t="shared" si="29"/>
        <v>-8.5494580451552338E-2</v>
      </c>
      <c r="M344" s="16">
        <f t="shared" si="30"/>
        <v>7.3093232865869551E-3</v>
      </c>
    </row>
    <row r="345" spans="6:13" x14ac:dyDescent="0.4">
      <c r="F345" s="1">
        <v>31837</v>
      </c>
      <c r="G345" s="16">
        <v>349.42</v>
      </c>
      <c r="H345" s="16">
        <f t="shared" si="26"/>
        <v>347.82686740666952</v>
      </c>
      <c r="I345">
        <f t="shared" si="27"/>
        <v>3</v>
      </c>
      <c r="J345" s="16" cm="1">
        <f t="array" ref="J345">INDEX(Sm,I345)</f>
        <v>1.3951035824648568</v>
      </c>
      <c r="K345" s="16">
        <f t="shared" si="28"/>
        <v>349.22197098913438</v>
      </c>
      <c r="L345" s="16">
        <f t="shared" si="29"/>
        <v>-0.19802901086563907</v>
      </c>
      <c r="M345" s="16">
        <f t="shared" si="30"/>
        <v>3.9215489144423396E-2</v>
      </c>
    </row>
    <row r="346" spans="6:13" x14ac:dyDescent="0.4">
      <c r="F346" s="1">
        <v>31868</v>
      </c>
      <c r="G346" s="16">
        <v>350.98</v>
      </c>
      <c r="H346" s="16">
        <f t="shared" si="26"/>
        <v>347.95270174137204</v>
      </c>
      <c r="I346">
        <f t="shared" si="27"/>
        <v>4</v>
      </c>
      <c r="J346" s="16" cm="1">
        <f t="array" ref="J346">INDEX(Sm,I346)</f>
        <v>2.6339370251743146</v>
      </c>
      <c r="K346" s="16">
        <f t="shared" si="28"/>
        <v>350.58663876654634</v>
      </c>
      <c r="L346" s="16">
        <f t="shared" si="29"/>
        <v>-0.39336123345367469</v>
      </c>
      <c r="M346" s="16">
        <f t="shared" si="30"/>
        <v>0.15473305998419637</v>
      </c>
    </row>
    <row r="347" spans="6:13" x14ac:dyDescent="0.4">
      <c r="F347" s="1">
        <v>31898</v>
      </c>
      <c r="G347" s="16">
        <v>351.85</v>
      </c>
      <c r="H347" s="16">
        <f t="shared" si="26"/>
        <v>348.07464559427268</v>
      </c>
      <c r="I347">
        <f t="shared" si="27"/>
        <v>5</v>
      </c>
      <c r="J347" s="16" cm="1">
        <f t="array" ref="J347">INDEX(Sm,I347)</f>
        <v>3.0997257789906989</v>
      </c>
      <c r="K347" s="16">
        <f t="shared" si="28"/>
        <v>351.1743713732634</v>
      </c>
      <c r="L347" s="16">
        <f t="shared" si="29"/>
        <v>-0.67562862673662494</v>
      </c>
      <c r="M347" s="16">
        <f t="shared" si="30"/>
        <v>0.45647404126601765</v>
      </c>
    </row>
    <row r="348" spans="6:13" x14ac:dyDescent="0.4">
      <c r="F348" s="1">
        <v>31929</v>
      </c>
      <c r="G348" s="16">
        <v>351.26</v>
      </c>
      <c r="H348" s="16">
        <f t="shared" si="26"/>
        <v>348.20082879835542</v>
      </c>
      <c r="I348">
        <f t="shared" si="27"/>
        <v>6</v>
      </c>
      <c r="J348" s="16" cm="1">
        <f t="array" ref="J348">INDEX(Sm,I348)</f>
        <v>2.3207404253660839</v>
      </c>
      <c r="K348" s="16">
        <f t="shared" si="28"/>
        <v>350.52156922372149</v>
      </c>
      <c r="L348" s="16">
        <f t="shared" si="29"/>
        <v>-0.73843077627850562</v>
      </c>
      <c r="M348" s="16">
        <f t="shared" si="30"/>
        <v>0.54528001135527637</v>
      </c>
    </row>
    <row r="349" spans="6:13" x14ac:dyDescent="0.4">
      <c r="F349" s="1">
        <v>31959</v>
      </c>
      <c r="G349" s="16">
        <v>349.51</v>
      </c>
      <c r="H349" s="16">
        <f t="shared" si="26"/>
        <v>348.32311073447067</v>
      </c>
      <c r="I349">
        <f t="shared" si="27"/>
        <v>7</v>
      </c>
      <c r="J349" s="16" cm="1">
        <f t="array" ref="J349">INDEX(Sm,I349)</f>
        <v>0.74435685666414753</v>
      </c>
      <c r="K349" s="16">
        <f t="shared" si="28"/>
        <v>349.0674675911348</v>
      </c>
      <c r="L349" s="16">
        <f t="shared" si="29"/>
        <v>-0.44253240886519052</v>
      </c>
      <c r="M349" s="16">
        <f t="shared" si="30"/>
        <v>0.19583493289602816</v>
      </c>
    </row>
    <row r="350" spans="6:13" x14ac:dyDescent="0.4">
      <c r="F350" s="1">
        <v>31990</v>
      </c>
      <c r="G350" s="16">
        <v>348.1</v>
      </c>
      <c r="H350" s="16">
        <f t="shared" si="26"/>
        <v>348.44964377515646</v>
      </c>
      <c r="I350">
        <f t="shared" si="27"/>
        <v>8</v>
      </c>
      <c r="J350" s="16" cm="1">
        <f t="array" ref="J350">INDEX(Sm,I350)</f>
        <v>-1.3868231821212227</v>
      </c>
      <c r="K350" s="16">
        <f t="shared" si="28"/>
        <v>347.06282059303521</v>
      </c>
      <c r="L350" s="16">
        <f t="shared" si="29"/>
        <v>-1.0371794069648104</v>
      </c>
      <c r="M350" s="16">
        <f t="shared" si="30"/>
        <v>1.0757411222318758</v>
      </c>
    </row>
    <row r="351" spans="6:13" x14ac:dyDescent="0.4">
      <c r="F351" s="1">
        <v>32021</v>
      </c>
      <c r="G351" s="16">
        <v>346.45</v>
      </c>
      <c r="H351" s="16">
        <f t="shared" si="26"/>
        <v>348.576354973185</v>
      </c>
      <c r="I351">
        <f t="shared" si="27"/>
        <v>9</v>
      </c>
      <c r="J351" s="16" cm="1">
        <f t="array" ref="J351">INDEX(Sm,I351)</f>
        <v>-3.1918015790052943</v>
      </c>
      <c r="K351" s="16">
        <f t="shared" si="28"/>
        <v>345.3845533941797</v>
      </c>
      <c r="L351" s="16">
        <f t="shared" si="29"/>
        <v>-1.0654466058202843</v>
      </c>
      <c r="M351" s="16">
        <f t="shared" si="30"/>
        <v>1.1351764698539641</v>
      </c>
    </row>
    <row r="352" spans="6:13" x14ac:dyDescent="0.4">
      <c r="F352" s="1">
        <v>32051</v>
      </c>
      <c r="G352" s="16">
        <v>346.36</v>
      </c>
      <c r="H352" s="16">
        <f t="shared" si="26"/>
        <v>348.69914857899835</v>
      </c>
      <c r="I352">
        <f t="shared" si="27"/>
        <v>10</v>
      </c>
      <c r="J352" s="16" cm="1">
        <f t="array" ref="J352">INDEX(Sm,I352)</f>
        <v>-3.3171210691938846</v>
      </c>
      <c r="K352" s="16">
        <f t="shared" si="28"/>
        <v>345.38202750980446</v>
      </c>
      <c r="L352" s="16">
        <f t="shared" si="29"/>
        <v>-0.97797249019555466</v>
      </c>
      <c r="M352" s="16">
        <f t="shared" si="30"/>
        <v>0.95643019157929421</v>
      </c>
    </row>
    <row r="353" spans="6:13" x14ac:dyDescent="0.4">
      <c r="F353" s="1">
        <v>32082</v>
      </c>
      <c r="G353" s="16">
        <v>347.81</v>
      </c>
      <c r="H353" s="16">
        <f t="shared" si="26"/>
        <v>348.82621107746672</v>
      </c>
      <c r="I353">
        <f t="shared" si="27"/>
        <v>11</v>
      </c>
      <c r="J353" s="16" cm="1">
        <f t="array" ref="J353">INDEX(Sm,I353)</f>
        <v>-2.0577916254037292</v>
      </c>
      <c r="K353" s="16">
        <f t="shared" si="28"/>
        <v>346.76841945206297</v>
      </c>
      <c r="L353" s="16">
        <f t="shared" si="29"/>
        <v>-1.0415805479370306</v>
      </c>
      <c r="M353" s="16">
        <f t="shared" si="30"/>
        <v>1.0848900378408048</v>
      </c>
    </row>
    <row r="354" spans="6:13" x14ac:dyDescent="0.4">
      <c r="F354" s="1">
        <v>32112</v>
      </c>
      <c r="G354" s="16">
        <v>348.96</v>
      </c>
      <c r="H354" s="16">
        <f t="shared" si="26"/>
        <v>348.949345122392</v>
      </c>
      <c r="I354">
        <f t="shared" si="27"/>
        <v>12</v>
      </c>
      <c r="J354" s="16" cm="1">
        <f t="array" ref="J354">INDEX(Sm,I354)</f>
        <v>-0.88780634062791353</v>
      </c>
      <c r="K354" s="16">
        <f t="shared" si="28"/>
        <v>348.06153878176411</v>
      </c>
      <c r="L354" s="16">
        <f t="shared" si="29"/>
        <v>-0.898461218235866</v>
      </c>
      <c r="M354" s="16">
        <f t="shared" si="30"/>
        <v>0.80723256067387639</v>
      </c>
    </row>
    <row r="355" spans="6:13" x14ac:dyDescent="0.4">
      <c r="F355" s="1">
        <v>32143</v>
      </c>
      <c r="G355" s="16">
        <v>350.43</v>
      </c>
      <c r="H355" s="16">
        <f t="shared" si="26"/>
        <v>349.07675989526308</v>
      </c>
      <c r="I355">
        <f t="shared" si="27"/>
        <v>1</v>
      </c>
      <c r="J355" s="16" cm="1">
        <f t="array" ref="J355">INDEX(Sm,I355)</f>
        <v>-3.3662626377861403E-2</v>
      </c>
      <c r="K355" s="16">
        <f t="shared" si="28"/>
        <v>349.04309726888522</v>
      </c>
      <c r="L355" s="16">
        <f t="shared" si="29"/>
        <v>-1.3869027311147875</v>
      </c>
      <c r="M355" s="16">
        <f t="shared" si="30"/>
        <v>1.9234991855736565</v>
      </c>
    </row>
    <row r="356" spans="6:13" x14ac:dyDescent="0.4">
      <c r="F356" s="1">
        <v>32174</v>
      </c>
      <c r="G356" s="16">
        <v>351.73</v>
      </c>
      <c r="H356" s="16">
        <f t="shared" si="26"/>
        <v>349.20435406694742</v>
      </c>
      <c r="I356">
        <f t="shared" si="27"/>
        <v>2</v>
      </c>
      <c r="J356" s="16" cm="1">
        <f t="array" ref="J356">INDEX(Sm,I356)</f>
        <v>0.68114275406980329</v>
      </c>
      <c r="K356" s="16">
        <f t="shared" si="28"/>
        <v>349.88549682101723</v>
      </c>
      <c r="L356" s="16">
        <f t="shared" si="29"/>
        <v>-1.8445031789827908</v>
      </c>
      <c r="M356" s="16">
        <f t="shared" si="30"/>
        <v>3.4021919772776212</v>
      </c>
    </row>
    <row r="357" spans="6:13" x14ac:dyDescent="0.4">
      <c r="F357" s="1">
        <v>32203</v>
      </c>
      <c r="G357" s="16">
        <v>352.22</v>
      </c>
      <c r="H357" s="16">
        <f t="shared" si="26"/>
        <v>349.3238789913346</v>
      </c>
      <c r="I357">
        <f t="shared" si="27"/>
        <v>3</v>
      </c>
      <c r="J357" s="16" cm="1">
        <f t="array" ref="J357">INDEX(Sm,I357)</f>
        <v>1.3951035824648568</v>
      </c>
      <c r="K357" s="16">
        <f t="shared" si="28"/>
        <v>350.71898257379945</v>
      </c>
      <c r="L357" s="16">
        <f t="shared" si="29"/>
        <v>-1.5010174262005762</v>
      </c>
      <c r="M357" s="16">
        <f t="shared" si="30"/>
        <v>2.2530533137578024</v>
      </c>
    </row>
    <row r="358" spans="6:13" x14ac:dyDescent="0.4">
      <c r="F358" s="1">
        <v>32234</v>
      </c>
      <c r="G358" s="16">
        <v>353.59</v>
      </c>
      <c r="H358" s="16">
        <f t="shared" si="26"/>
        <v>349.45182110440442</v>
      </c>
      <c r="I358">
        <f t="shared" si="27"/>
        <v>4</v>
      </c>
      <c r="J358" s="16" cm="1">
        <f t="array" ref="J358">INDEX(Sm,I358)</f>
        <v>2.6339370251743146</v>
      </c>
      <c r="K358" s="16">
        <f t="shared" si="28"/>
        <v>352.08575812957872</v>
      </c>
      <c r="L358" s="16">
        <f t="shared" si="29"/>
        <v>-1.5042418704212537</v>
      </c>
      <c r="M358" s="16">
        <f t="shared" si="30"/>
        <v>2.2627436047284317</v>
      </c>
    </row>
    <row r="359" spans="6:13" x14ac:dyDescent="0.4">
      <c r="F359" s="1">
        <v>32264</v>
      </c>
      <c r="G359" s="16">
        <v>354.22</v>
      </c>
      <c r="H359" s="16">
        <f t="shared" si="26"/>
        <v>349.5758075684555</v>
      </c>
      <c r="I359">
        <f t="shared" si="27"/>
        <v>5</v>
      </c>
      <c r="J359" s="16" cm="1">
        <f t="array" ref="J359">INDEX(Sm,I359)</f>
        <v>3.0997257789906989</v>
      </c>
      <c r="K359" s="16">
        <f t="shared" si="28"/>
        <v>352.67553334744622</v>
      </c>
      <c r="L359" s="16">
        <f t="shared" si="29"/>
        <v>-1.5444666525538082</v>
      </c>
      <c r="M359" s="16">
        <f t="shared" si="30"/>
        <v>2.3853772408507656</v>
      </c>
    </row>
    <row r="360" spans="6:13" x14ac:dyDescent="0.4">
      <c r="F360" s="1">
        <v>32295</v>
      </c>
      <c r="G360" s="16">
        <v>353.8</v>
      </c>
      <c r="H360" s="16">
        <f t="shared" si="26"/>
        <v>349.7041043946154</v>
      </c>
      <c r="I360">
        <f t="shared" si="27"/>
        <v>6</v>
      </c>
      <c r="J360" s="16" cm="1">
        <f t="array" ref="J360">INDEX(Sm,I360)</f>
        <v>2.3207404253660839</v>
      </c>
      <c r="K360" s="16">
        <f t="shared" si="28"/>
        <v>352.02484481998147</v>
      </c>
      <c r="L360" s="16">
        <f t="shared" si="29"/>
        <v>-1.7751551800185439</v>
      </c>
      <c r="M360" s="16">
        <f t="shared" si="30"/>
        <v>3.1511759131466688</v>
      </c>
    </row>
    <row r="361" spans="6:13" x14ac:dyDescent="0.4">
      <c r="F361" s="1">
        <v>32325</v>
      </c>
      <c r="G361" s="16">
        <v>352.38</v>
      </c>
      <c r="H361" s="16">
        <f t="shared" si="26"/>
        <v>349.82843460491807</v>
      </c>
      <c r="I361">
        <f t="shared" si="27"/>
        <v>7</v>
      </c>
      <c r="J361" s="16" cm="1">
        <f t="array" ref="J361">INDEX(Sm,I361)</f>
        <v>0.74435685666414753</v>
      </c>
      <c r="K361" s="16">
        <f t="shared" si="28"/>
        <v>350.5727914615822</v>
      </c>
      <c r="L361" s="16">
        <f t="shared" si="29"/>
        <v>-1.8072085384177967</v>
      </c>
      <c r="M361" s="16">
        <f t="shared" si="30"/>
        <v>3.2660027013301889</v>
      </c>
    </row>
    <row r="362" spans="6:13" x14ac:dyDescent="0.4">
      <c r="F362" s="1">
        <v>32356</v>
      </c>
      <c r="G362" s="16">
        <v>350.43</v>
      </c>
      <c r="H362" s="16">
        <f t="shared" si="26"/>
        <v>349.95708712759222</v>
      </c>
      <c r="I362">
        <f t="shared" si="27"/>
        <v>8</v>
      </c>
      <c r="J362" s="16" cm="1">
        <f t="array" ref="J362">INDEX(Sm,I362)</f>
        <v>-1.3868231821212227</v>
      </c>
      <c r="K362" s="16">
        <f t="shared" si="28"/>
        <v>348.57026394547097</v>
      </c>
      <c r="L362" s="16">
        <f t="shared" si="29"/>
        <v>-1.8597360545290371</v>
      </c>
      <c r="M362" s="16">
        <f t="shared" si="30"/>
        <v>3.4586181925152295</v>
      </c>
    </row>
    <row r="363" spans="6:13" x14ac:dyDescent="0.4">
      <c r="F363" s="1">
        <v>32387</v>
      </c>
      <c r="G363" s="16">
        <v>348.73</v>
      </c>
      <c r="H363" s="16">
        <f t="shared" si="26"/>
        <v>350.08592079181994</v>
      </c>
      <c r="I363">
        <f t="shared" si="27"/>
        <v>9</v>
      </c>
      <c r="J363" s="16" cm="1">
        <f t="array" ref="J363">INDEX(Sm,I363)</f>
        <v>-3.1918015790052943</v>
      </c>
      <c r="K363" s="16">
        <f t="shared" si="28"/>
        <v>346.89411921281464</v>
      </c>
      <c r="L363" s="16">
        <f t="shared" si="29"/>
        <v>-1.8358807871853742</v>
      </c>
      <c r="M363" s="16">
        <f t="shared" si="30"/>
        <v>3.370458264756389</v>
      </c>
    </row>
    <row r="364" spans="6:13" x14ac:dyDescent="0.4">
      <c r="F364" s="1">
        <v>32417</v>
      </c>
      <c r="G364" s="16">
        <v>348.88</v>
      </c>
      <c r="H364" s="16">
        <f t="shared" si="26"/>
        <v>350.21077124250485</v>
      </c>
      <c r="I364">
        <f t="shared" si="27"/>
        <v>10</v>
      </c>
      <c r="J364" s="16" cm="1">
        <f t="array" ref="J364">INDEX(Sm,I364)</f>
        <v>-3.3171210691938846</v>
      </c>
      <c r="K364" s="16">
        <f t="shared" si="28"/>
        <v>346.89365017331096</v>
      </c>
      <c r="L364" s="16">
        <f t="shared" si="29"/>
        <v>-1.986349826689036</v>
      </c>
      <c r="M364" s="16">
        <f t="shared" si="30"/>
        <v>3.9455856339875637</v>
      </c>
    </row>
    <row r="365" spans="6:13" x14ac:dyDescent="0.4">
      <c r="F365" s="1">
        <v>32448</v>
      </c>
      <c r="G365" s="16">
        <v>350.07</v>
      </c>
      <c r="H365" s="16">
        <f t="shared" si="26"/>
        <v>350.33996209160341</v>
      </c>
      <c r="I365">
        <f t="shared" si="27"/>
        <v>11</v>
      </c>
      <c r="J365" s="16" cm="1">
        <f t="array" ref="J365">INDEX(Sm,I365)</f>
        <v>-2.0577916254037292</v>
      </c>
      <c r="K365" s="16">
        <f t="shared" si="28"/>
        <v>348.28217046619966</v>
      </c>
      <c r="L365" s="16">
        <f t="shared" si="29"/>
        <v>-1.787829533800334</v>
      </c>
      <c r="M365" s="16">
        <f t="shared" si="30"/>
        <v>3.1963344419287196</v>
      </c>
    </row>
    <row r="366" spans="6:13" x14ac:dyDescent="0.4">
      <c r="F366" s="1">
        <v>32478</v>
      </c>
      <c r="G366" s="16">
        <v>351.34</v>
      </c>
      <c r="H366" s="16">
        <f t="shared" si="26"/>
        <v>350.4651586838994</v>
      </c>
      <c r="I366">
        <f t="shared" si="27"/>
        <v>12</v>
      </c>
      <c r="J366" s="16" cm="1">
        <f t="array" ref="J366">INDEX(Sm,I366)</f>
        <v>-0.88780634062791353</v>
      </c>
      <c r="K366" s="16">
        <f t="shared" si="28"/>
        <v>349.57735234327151</v>
      </c>
      <c r="L366" s="16">
        <f t="shared" si="29"/>
        <v>-1.7626476567284612</v>
      </c>
      <c r="M366" s="16">
        <f t="shared" si="30"/>
        <v>3.1069267617703353</v>
      </c>
    </row>
    <row r="367" spans="6:13" x14ac:dyDescent="0.4">
      <c r="F367" s="1">
        <v>32509</v>
      </c>
      <c r="G367" s="16">
        <v>352.76</v>
      </c>
      <c r="H367" s="16">
        <f t="shared" si="26"/>
        <v>350.59470770814607</v>
      </c>
      <c r="I367">
        <f t="shared" si="27"/>
        <v>1</v>
      </c>
      <c r="J367" s="16" cm="1">
        <f t="array" ref="J367">INDEX(Sm,I367)</f>
        <v>-3.3662626377861403E-2</v>
      </c>
      <c r="K367" s="16">
        <f t="shared" si="28"/>
        <v>350.56104508176821</v>
      </c>
      <c r="L367" s="16">
        <f t="shared" si="29"/>
        <v>-2.1989549182317774</v>
      </c>
      <c r="M367" s="16">
        <f t="shared" si="30"/>
        <v>4.8354027324157229</v>
      </c>
    </row>
    <row r="368" spans="6:13" x14ac:dyDescent="0.4">
      <c r="F368" s="1">
        <v>32540</v>
      </c>
      <c r="G368" s="16">
        <v>353.07</v>
      </c>
      <c r="H368" s="16">
        <f t="shared" si="26"/>
        <v>350.72443913621214</v>
      </c>
      <c r="I368">
        <f t="shared" si="27"/>
        <v>2</v>
      </c>
      <c r="J368" s="16" cm="1">
        <f t="array" ref="J368">INDEX(Sm,I368)</f>
        <v>0.68114275406980329</v>
      </c>
      <c r="K368" s="16">
        <f t="shared" si="28"/>
        <v>351.40558189028195</v>
      </c>
      <c r="L368" s="16">
        <f t="shared" si="29"/>
        <v>-1.6644181097180422</v>
      </c>
      <c r="M368" s="16">
        <f t="shared" si="30"/>
        <v>2.7702876439573805</v>
      </c>
    </row>
    <row r="369" spans="6:13" x14ac:dyDescent="0.4">
      <c r="F369" s="1">
        <v>32568</v>
      </c>
      <c r="G369" s="16">
        <v>353.68</v>
      </c>
      <c r="H369" s="16">
        <f t="shared" si="26"/>
        <v>350.84177290353978</v>
      </c>
      <c r="I369">
        <f t="shared" si="27"/>
        <v>3</v>
      </c>
      <c r="J369" s="16" cm="1">
        <f t="array" ref="J369">INDEX(Sm,I369)</f>
        <v>1.3951035824648568</v>
      </c>
      <c r="K369" s="16">
        <f t="shared" si="28"/>
        <v>352.23687648600463</v>
      </c>
      <c r="L369" s="16">
        <f t="shared" si="29"/>
        <v>-1.4431235139953742</v>
      </c>
      <c r="M369" s="16">
        <f t="shared" si="30"/>
        <v>2.0826054766463571</v>
      </c>
    </row>
    <row r="370" spans="6:13" x14ac:dyDescent="0.4">
      <c r="F370" s="1">
        <v>32599</v>
      </c>
      <c r="G370" s="16">
        <v>355.42</v>
      </c>
      <c r="H370" s="16">
        <f t="shared" si="26"/>
        <v>350.97185219709968</v>
      </c>
      <c r="I370">
        <f t="shared" si="27"/>
        <v>4</v>
      </c>
      <c r="J370" s="16" cm="1">
        <f t="array" ref="J370">INDEX(Sm,I370)</f>
        <v>2.6339370251743146</v>
      </c>
      <c r="K370" s="16">
        <f t="shared" si="28"/>
        <v>353.60578922227398</v>
      </c>
      <c r="L370" s="16">
        <f t="shared" si="29"/>
        <v>-1.8142107777260321</v>
      </c>
      <c r="M370" s="16">
        <f t="shared" si="30"/>
        <v>3.2913607460172942</v>
      </c>
    </row>
    <row r="371" spans="6:13" x14ac:dyDescent="0.4">
      <c r="F371" s="1">
        <v>32629</v>
      </c>
      <c r="G371" s="16">
        <v>355.67</v>
      </c>
      <c r="H371" s="16">
        <f t="shared" si="26"/>
        <v>351.09790976538409</v>
      </c>
      <c r="I371">
        <f t="shared" si="27"/>
        <v>5</v>
      </c>
      <c r="J371" s="16" cm="1">
        <f t="array" ref="J371">INDEX(Sm,I371)</f>
        <v>3.0997257789906989</v>
      </c>
      <c r="K371" s="16">
        <f t="shared" si="28"/>
        <v>354.1976355443748</v>
      </c>
      <c r="L371" s="16">
        <f t="shared" si="29"/>
        <v>-1.4723644556252111</v>
      </c>
      <c r="M371" s="16">
        <f t="shared" si="30"/>
        <v>2.1678570901885243</v>
      </c>
    </row>
    <row r="372" spans="6:13" x14ac:dyDescent="0.4">
      <c r="F372" s="1">
        <v>32660</v>
      </c>
      <c r="G372" s="16">
        <v>355.12</v>
      </c>
      <c r="H372" s="16">
        <f t="shared" si="26"/>
        <v>351.22834969725972</v>
      </c>
      <c r="I372">
        <f t="shared" si="27"/>
        <v>6</v>
      </c>
      <c r="J372" s="16" cm="1">
        <f t="array" ref="J372">INDEX(Sm,I372)</f>
        <v>2.3207404253660839</v>
      </c>
      <c r="K372" s="16">
        <f t="shared" si="28"/>
        <v>353.54909012262578</v>
      </c>
      <c r="L372" s="16">
        <f t="shared" si="29"/>
        <v>-1.5709098773742198</v>
      </c>
      <c r="M372" s="16">
        <f t="shared" si="30"/>
        <v>2.4677578428318863</v>
      </c>
    </row>
    <row r="373" spans="6:13" x14ac:dyDescent="0.4">
      <c r="F373" s="1">
        <v>32690</v>
      </c>
      <c r="G373" s="16">
        <v>353.9</v>
      </c>
      <c r="H373" s="16">
        <f t="shared" si="26"/>
        <v>351.35475675382827</v>
      </c>
      <c r="I373">
        <f t="shared" si="27"/>
        <v>7</v>
      </c>
      <c r="J373" s="16" cm="1">
        <f t="array" ref="J373">INDEX(Sm,I373)</f>
        <v>0.74435685666414753</v>
      </c>
      <c r="K373" s="16">
        <f t="shared" si="28"/>
        <v>352.0991136104924</v>
      </c>
      <c r="L373" s="16">
        <f t="shared" si="29"/>
        <v>-1.800886389507582</v>
      </c>
      <c r="M373" s="16">
        <f t="shared" si="30"/>
        <v>3.2431917879136543</v>
      </c>
    </row>
    <row r="374" spans="6:13" x14ac:dyDescent="0.4">
      <c r="F374" s="1">
        <v>32721</v>
      </c>
      <c r="G374" s="16">
        <v>351.67</v>
      </c>
      <c r="H374" s="16">
        <f t="shared" si="26"/>
        <v>351.48555832387126</v>
      </c>
      <c r="I374">
        <f t="shared" si="27"/>
        <v>8</v>
      </c>
      <c r="J374" s="16" cm="1">
        <f t="array" ref="J374">INDEX(Sm,I374)</f>
        <v>-1.3868231821212227</v>
      </c>
      <c r="K374" s="16">
        <f t="shared" si="28"/>
        <v>350.09873514175001</v>
      </c>
      <c r="L374" s="16">
        <f t="shared" si="29"/>
        <v>-1.5712648582500037</v>
      </c>
      <c r="M374" s="16">
        <f t="shared" si="30"/>
        <v>2.4688732547714043</v>
      </c>
    </row>
    <row r="375" spans="6:13" x14ac:dyDescent="0.4">
      <c r="F375" s="1">
        <v>32752</v>
      </c>
      <c r="G375" s="16">
        <v>349.81</v>
      </c>
      <c r="H375" s="16">
        <f t="shared" si="26"/>
        <v>351.61654406130646</v>
      </c>
      <c r="I375">
        <f t="shared" si="27"/>
        <v>9</v>
      </c>
      <c r="J375" s="16" cm="1">
        <f t="array" ref="J375">INDEX(Sm,I375)</f>
        <v>-3.1918015790052943</v>
      </c>
      <c r="K375" s="16">
        <f t="shared" si="28"/>
        <v>348.42474248230116</v>
      </c>
      <c r="L375" s="16">
        <f t="shared" si="29"/>
        <v>-1.3852575176988466</v>
      </c>
      <c r="M375" s="16">
        <f t="shared" si="30"/>
        <v>1.9189383903411703</v>
      </c>
    </row>
    <row r="376" spans="6:13" x14ac:dyDescent="0.4">
      <c r="F376" s="1">
        <v>32782</v>
      </c>
      <c r="G376" s="16">
        <v>349.99</v>
      </c>
      <c r="H376" s="16">
        <f t="shared" si="26"/>
        <v>351.74348004849662</v>
      </c>
      <c r="I376">
        <f t="shared" si="27"/>
        <v>10</v>
      </c>
      <c r="J376" s="16" cm="1">
        <f t="array" ref="J376">INDEX(Sm,I376)</f>
        <v>-3.3171210691938846</v>
      </c>
      <c r="K376" s="16">
        <f t="shared" si="28"/>
        <v>348.42635897930273</v>
      </c>
      <c r="L376" s="16">
        <f t="shared" si="29"/>
        <v>-1.5636410206972755</v>
      </c>
      <c r="M376" s="16">
        <f t="shared" si="30"/>
        <v>2.4449732416072174</v>
      </c>
    </row>
    <row r="377" spans="6:13" x14ac:dyDescent="0.4">
      <c r="F377" s="1">
        <v>32813</v>
      </c>
      <c r="G377" s="16">
        <v>351.3</v>
      </c>
      <c r="H377" s="16">
        <f t="shared" si="26"/>
        <v>351.87482893731772</v>
      </c>
      <c r="I377">
        <f t="shared" si="27"/>
        <v>11</v>
      </c>
      <c r="J377" s="16" cm="1">
        <f t="array" ref="J377">INDEX(Sm,I377)</f>
        <v>-2.0577916254037292</v>
      </c>
      <c r="K377" s="16">
        <f t="shared" si="28"/>
        <v>349.81703731191396</v>
      </c>
      <c r="L377" s="16">
        <f t="shared" si="29"/>
        <v>-1.4829626880860474</v>
      </c>
      <c r="M377" s="16">
        <f t="shared" si="30"/>
        <v>2.1991783342553952</v>
      </c>
    </row>
    <row r="378" spans="6:13" x14ac:dyDescent="0.4">
      <c r="F378" s="1">
        <v>32843</v>
      </c>
      <c r="G378" s="16">
        <v>352.52</v>
      </c>
      <c r="H378" s="16">
        <f t="shared" si="26"/>
        <v>352.00211684816441</v>
      </c>
      <c r="I378">
        <f t="shared" si="27"/>
        <v>12</v>
      </c>
      <c r="J378" s="16" cm="1">
        <f t="array" ref="J378">INDEX(Sm,I378)</f>
        <v>-0.88780634062791353</v>
      </c>
      <c r="K378" s="16">
        <f t="shared" si="28"/>
        <v>351.11431050753652</v>
      </c>
      <c r="L378" s="16">
        <f t="shared" si="29"/>
        <v>-1.4056894924634662</v>
      </c>
      <c r="M378" s="16">
        <f t="shared" si="30"/>
        <v>1.9759629492221973</v>
      </c>
    </row>
    <row r="379" spans="6:13" x14ac:dyDescent="0.4">
      <c r="F379" s="1">
        <v>32874</v>
      </c>
      <c r="G379" s="16">
        <v>353.66</v>
      </c>
      <c r="H379" s="16">
        <f t="shared" si="26"/>
        <v>352.13382989519039</v>
      </c>
      <c r="I379">
        <f t="shared" si="27"/>
        <v>1</v>
      </c>
      <c r="J379" s="16" cm="1">
        <f t="array" ref="J379">INDEX(Sm,I379)</f>
        <v>-3.3662626377861403E-2</v>
      </c>
      <c r="K379" s="16">
        <f t="shared" si="28"/>
        <v>352.10016726881253</v>
      </c>
      <c r="L379" s="16">
        <f t="shared" si="29"/>
        <v>-1.5598327311874982</v>
      </c>
      <c r="M379" s="16">
        <f t="shared" si="30"/>
        <v>2.4330781492838502</v>
      </c>
    </row>
    <row r="380" spans="6:13" x14ac:dyDescent="0.4">
      <c r="F380" s="1">
        <v>32905</v>
      </c>
      <c r="G380" s="16">
        <v>354.7</v>
      </c>
      <c r="H380" s="16">
        <f t="shared" si="26"/>
        <v>352.26572839295972</v>
      </c>
      <c r="I380">
        <f t="shared" si="27"/>
        <v>2</v>
      </c>
      <c r="J380" s="16" cm="1">
        <f t="array" ref="J380">INDEX(Sm,I380)</f>
        <v>0.68114275406980329</v>
      </c>
      <c r="K380" s="16">
        <f t="shared" si="28"/>
        <v>352.94687114702953</v>
      </c>
      <c r="L380" s="16">
        <f t="shared" si="29"/>
        <v>-1.7531288529704625</v>
      </c>
      <c r="M380" s="16">
        <f t="shared" si="30"/>
        <v>3.0734607751175296</v>
      </c>
    </row>
    <row r="381" spans="6:13" x14ac:dyDescent="0.4">
      <c r="F381" s="1">
        <v>32933</v>
      </c>
      <c r="G381" s="16">
        <v>355.38</v>
      </c>
      <c r="H381" s="16">
        <f t="shared" si="26"/>
        <v>352.38502213603215</v>
      </c>
      <c r="I381">
        <f t="shared" si="27"/>
        <v>3</v>
      </c>
      <c r="J381" s="16" cm="1">
        <f t="array" ref="J381">INDEX(Sm,I381)</f>
        <v>1.3951035824648568</v>
      </c>
      <c r="K381" s="16">
        <f t="shared" si="28"/>
        <v>353.780125718497</v>
      </c>
      <c r="L381" s="16">
        <f t="shared" si="29"/>
        <v>-1.5998742815029914</v>
      </c>
      <c r="M381" s="16">
        <f t="shared" si="30"/>
        <v>2.559597716614713</v>
      </c>
    </row>
    <row r="382" spans="6:13" x14ac:dyDescent="0.4">
      <c r="F382" s="1">
        <v>32964</v>
      </c>
      <c r="G382" s="16">
        <v>356.2</v>
      </c>
      <c r="H382" s="16">
        <f t="shared" si="26"/>
        <v>352.51727431013688</v>
      </c>
      <c r="I382">
        <f t="shared" si="27"/>
        <v>4</v>
      </c>
      <c r="J382" s="16" cm="1">
        <f t="array" ref="J382">INDEX(Sm,I382)</f>
        <v>2.6339370251743146</v>
      </c>
      <c r="K382" s="16">
        <f t="shared" si="28"/>
        <v>355.15121133531119</v>
      </c>
      <c r="L382" s="16">
        <f t="shared" si="29"/>
        <v>-1.0487886646888001</v>
      </c>
      <c r="M382" s="16">
        <f t="shared" si="30"/>
        <v>1.0999576631797163</v>
      </c>
    </row>
    <row r="383" spans="6:13" x14ac:dyDescent="0.4">
      <c r="F383" s="1">
        <v>32994</v>
      </c>
      <c r="G383" s="16">
        <v>357.16</v>
      </c>
      <c r="H383" s="16">
        <f t="shared" si="26"/>
        <v>352.64543757895325</v>
      </c>
      <c r="I383">
        <f t="shared" si="27"/>
        <v>5</v>
      </c>
      <c r="J383" s="16" cm="1">
        <f t="array" ref="J383">INDEX(Sm,I383)</f>
        <v>3.0997257789906989</v>
      </c>
      <c r="K383" s="16">
        <f t="shared" si="28"/>
        <v>355.74516335794397</v>
      </c>
      <c r="L383" s="16">
        <f t="shared" si="29"/>
        <v>-1.4148366420560592</v>
      </c>
      <c r="M383" s="16">
        <f t="shared" si="30"/>
        <v>2.0017627237044655</v>
      </c>
    </row>
    <row r="384" spans="6:13" x14ac:dyDescent="0.4">
      <c r="F384" s="1">
        <v>33025</v>
      </c>
      <c r="G384" s="16">
        <v>356.23</v>
      </c>
      <c r="H384" s="16">
        <f t="shared" si="26"/>
        <v>352.77805641557609</v>
      </c>
      <c r="I384">
        <f t="shared" si="27"/>
        <v>6</v>
      </c>
      <c r="J384" s="16" cm="1">
        <f t="array" ref="J384">INDEX(Sm,I384)</f>
        <v>2.3207404253660839</v>
      </c>
      <c r="K384" s="16">
        <f t="shared" si="28"/>
        <v>355.09879684094216</v>
      </c>
      <c r="L384" s="16">
        <f t="shared" si="29"/>
        <v>-1.1312031590578613</v>
      </c>
      <c r="M384" s="16">
        <f t="shared" si="30"/>
        <v>1.279620587062485</v>
      </c>
    </row>
    <row r="385" spans="6:13" x14ac:dyDescent="0.4">
      <c r="F385" s="1">
        <v>33055</v>
      </c>
      <c r="G385" s="16">
        <v>354.81</v>
      </c>
      <c r="H385" s="16">
        <f t="shared" si="26"/>
        <v>352.90657501062566</v>
      </c>
      <c r="I385">
        <f t="shared" si="27"/>
        <v>7</v>
      </c>
      <c r="J385" s="16" cm="1">
        <f t="array" ref="J385">INDEX(Sm,I385)</f>
        <v>0.74435685666414753</v>
      </c>
      <c r="K385" s="16">
        <f t="shared" si="28"/>
        <v>353.65093186728978</v>
      </c>
      <c r="L385" s="16">
        <f t="shared" si="29"/>
        <v>-1.1590681327102175</v>
      </c>
      <c r="M385" s="16">
        <f t="shared" si="30"/>
        <v>1.3434389362643504</v>
      </c>
    </row>
    <row r="386" spans="6:13" x14ac:dyDescent="0.4">
      <c r="F386" s="1">
        <v>33086</v>
      </c>
      <c r="G386" s="16">
        <v>352.91</v>
      </c>
      <c r="H386" s="16">
        <f t="shared" si="26"/>
        <v>353.03956152631997</v>
      </c>
      <c r="I386">
        <f t="shared" si="27"/>
        <v>8</v>
      </c>
      <c r="J386" s="16" cm="1">
        <f t="array" ref="J386">INDEX(Sm,I386)</f>
        <v>-1.3868231821212227</v>
      </c>
      <c r="K386" s="16">
        <f t="shared" si="28"/>
        <v>351.65273834419872</v>
      </c>
      <c r="L386" s="16">
        <f t="shared" si="29"/>
        <v>-1.257261655801301</v>
      </c>
      <c r="M386" s="16">
        <f t="shared" si="30"/>
        <v>1.5807068711482291</v>
      </c>
    </row>
    <row r="387" spans="6:13" x14ac:dyDescent="0.4">
      <c r="F387" s="1">
        <v>33117</v>
      </c>
      <c r="G387" s="16">
        <v>350.96</v>
      </c>
      <c r="H387" s="16">
        <f t="shared" ref="H387:H450" si="31">EXP(_A*F387+_B)+_C</f>
        <v>353.17273528578949</v>
      </c>
      <c r="I387">
        <f t="shared" ref="I387:I450" si="32">MONTH(F387)</f>
        <v>9</v>
      </c>
      <c r="J387" s="16" cm="1">
        <f t="array" ref="J387">INDEX(Sm,I387)</f>
        <v>-3.1918015790052943</v>
      </c>
      <c r="K387" s="16">
        <f t="shared" ref="K387:K450" si="33">H387+J387</f>
        <v>349.98093370678419</v>
      </c>
      <c r="L387" s="16">
        <f t="shared" ref="L387:L450" si="34">K387-G387</f>
        <v>-0.9790662932157943</v>
      </c>
      <c r="M387" s="16">
        <f t="shared" ref="M387:M450" si="35">L387*L387</f>
        <v>0.95857080651131565</v>
      </c>
    </row>
    <row r="388" spans="6:13" x14ac:dyDescent="0.4">
      <c r="F388" s="1">
        <v>33147</v>
      </c>
      <c r="G388" s="16">
        <v>351.18</v>
      </c>
      <c r="H388" s="16">
        <f t="shared" si="31"/>
        <v>353.30179164686444</v>
      </c>
      <c r="I388">
        <f t="shared" si="32"/>
        <v>10</v>
      </c>
      <c r="J388" s="16" cm="1">
        <f t="array" ref="J388">INDEX(Sm,I388)</f>
        <v>-3.3171210691938846</v>
      </c>
      <c r="K388" s="16">
        <f t="shared" si="33"/>
        <v>349.98467057767056</v>
      </c>
      <c r="L388" s="16">
        <f t="shared" si="34"/>
        <v>-1.1953294223294506</v>
      </c>
      <c r="M388" s="16">
        <f t="shared" si="35"/>
        <v>1.428812427886458</v>
      </c>
    </row>
    <row r="389" spans="6:13" x14ac:dyDescent="0.4">
      <c r="F389" s="1">
        <v>33178</v>
      </c>
      <c r="G389" s="16">
        <v>352.83</v>
      </c>
      <c r="H389" s="16">
        <f t="shared" si="31"/>
        <v>353.4353346239011</v>
      </c>
      <c r="I389">
        <f t="shared" si="32"/>
        <v>11</v>
      </c>
      <c r="J389" s="16" cm="1">
        <f t="array" ref="J389">INDEX(Sm,I389)</f>
        <v>-2.0577916254037292</v>
      </c>
      <c r="K389" s="16">
        <f t="shared" si="33"/>
        <v>351.37754299849735</v>
      </c>
      <c r="L389" s="16">
        <f t="shared" si="34"/>
        <v>-1.452457001502637</v>
      </c>
      <c r="M389" s="16">
        <f t="shared" si="35"/>
        <v>2.1096313412140315</v>
      </c>
    </row>
    <row r="390" spans="6:13" x14ac:dyDescent="0.4">
      <c r="F390" s="1">
        <v>33208</v>
      </c>
      <c r="G390" s="16">
        <v>354.21</v>
      </c>
      <c r="H390" s="16">
        <f t="shared" si="31"/>
        <v>353.56474878726272</v>
      </c>
      <c r="I390">
        <f t="shared" si="32"/>
        <v>12</v>
      </c>
      <c r="J390" s="16" cm="1">
        <f t="array" ref="J390">INDEX(Sm,I390)</f>
        <v>-0.88780634062791353</v>
      </c>
      <c r="K390" s="16">
        <f t="shared" si="33"/>
        <v>352.67694244663483</v>
      </c>
      <c r="L390" s="16">
        <f t="shared" si="34"/>
        <v>-1.533057553365154</v>
      </c>
      <c r="M390" s="16">
        <f t="shared" si="35"/>
        <v>2.3502654619299519</v>
      </c>
    </row>
    <row r="391" spans="6:13" x14ac:dyDescent="0.4">
      <c r="F391" s="1">
        <v>33239</v>
      </c>
      <c r="G391" s="16">
        <v>354.72</v>
      </c>
      <c r="H391" s="16">
        <f t="shared" si="31"/>
        <v>353.69866200550382</v>
      </c>
      <c r="I391">
        <f t="shared" si="32"/>
        <v>1</v>
      </c>
      <c r="J391" s="16" cm="1">
        <f t="array" ref="J391">INDEX(Sm,I391)</f>
        <v>-3.3662626377861403E-2</v>
      </c>
      <c r="K391" s="16">
        <f t="shared" si="33"/>
        <v>353.66499937912596</v>
      </c>
      <c r="L391" s="16">
        <f t="shared" si="34"/>
        <v>-1.0550006208740683</v>
      </c>
      <c r="M391" s="16">
        <f t="shared" si="35"/>
        <v>1.1130263100446696</v>
      </c>
    </row>
    <row r="392" spans="6:13" x14ac:dyDescent="0.4">
      <c r="F392" s="1">
        <v>33270</v>
      </c>
      <c r="G392" s="16">
        <v>355.75</v>
      </c>
      <c r="H392" s="16">
        <f t="shared" si="31"/>
        <v>353.83276377230897</v>
      </c>
      <c r="I392">
        <f t="shared" si="32"/>
        <v>2</v>
      </c>
      <c r="J392" s="16" cm="1">
        <f t="array" ref="J392">INDEX(Sm,I392)</f>
        <v>0.68114275406980329</v>
      </c>
      <c r="K392" s="16">
        <f t="shared" si="33"/>
        <v>354.51390652637878</v>
      </c>
      <c r="L392" s="16">
        <f t="shared" si="34"/>
        <v>-1.2360934736212243</v>
      </c>
      <c r="M392" s="16">
        <f t="shared" si="35"/>
        <v>1.5279270755289844</v>
      </c>
    </row>
    <row r="393" spans="6:13" x14ac:dyDescent="0.4">
      <c r="F393" s="1">
        <v>33298</v>
      </c>
      <c r="G393" s="16">
        <v>357.16</v>
      </c>
      <c r="H393" s="16">
        <f t="shared" si="31"/>
        <v>353.95405023110385</v>
      </c>
      <c r="I393">
        <f t="shared" si="32"/>
        <v>3</v>
      </c>
      <c r="J393" s="16" cm="1">
        <f t="array" ref="J393">INDEX(Sm,I393)</f>
        <v>1.3951035824648568</v>
      </c>
      <c r="K393" s="16">
        <f t="shared" si="33"/>
        <v>355.34915381356871</v>
      </c>
      <c r="L393" s="16">
        <f t="shared" si="34"/>
        <v>-1.8108461864313199</v>
      </c>
      <c r="M393" s="16">
        <f t="shared" si="35"/>
        <v>3.2791639109128545</v>
      </c>
    </row>
    <row r="394" spans="6:13" x14ac:dyDescent="0.4">
      <c r="F394" s="1">
        <v>33329</v>
      </c>
      <c r="G394" s="16">
        <v>358.6</v>
      </c>
      <c r="H394" s="16">
        <f t="shared" si="31"/>
        <v>354.0885115821518</v>
      </c>
      <c r="I394">
        <f t="shared" si="32"/>
        <v>4</v>
      </c>
      <c r="J394" s="16" cm="1">
        <f t="array" ref="J394">INDEX(Sm,I394)</f>
        <v>2.6339370251743146</v>
      </c>
      <c r="K394" s="16">
        <f t="shared" si="33"/>
        <v>356.7224486073261</v>
      </c>
      <c r="L394" s="16">
        <f t="shared" si="34"/>
        <v>-1.8775513926739222</v>
      </c>
      <c r="M394" s="16">
        <f t="shared" si="35"/>
        <v>3.5251992321317851</v>
      </c>
    </row>
    <row r="395" spans="6:13" x14ac:dyDescent="0.4">
      <c r="F395" s="1">
        <v>33359</v>
      </c>
      <c r="G395" s="16">
        <v>359.34</v>
      </c>
      <c r="H395" s="16">
        <f t="shared" si="31"/>
        <v>354.2188157257051</v>
      </c>
      <c r="I395">
        <f t="shared" si="32"/>
        <v>5</v>
      </c>
      <c r="J395" s="16" cm="1">
        <f t="array" ref="J395">INDEX(Sm,I395)</f>
        <v>3.0997257789906989</v>
      </c>
      <c r="K395" s="16">
        <f t="shared" si="33"/>
        <v>357.31854150469582</v>
      </c>
      <c r="L395" s="16">
        <f t="shared" si="34"/>
        <v>-2.0214584953041594</v>
      </c>
      <c r="M395" s="16">
        <f t="shared" si="35"/>
        <v>4.0862944482373562</v>
      </c>
    </row>
    <row r="396" spans="6:13" x14ac:dyDescent="0.4">
      <c r="F396" s="1">
        <v>33390</v>
      </c>
      <c r="G396" s="16">
        <v>358.24</v>
      </c>
      <c r="H396" s="16">
        <f t="shared" si="31"/>
        <v>354.35364986410332</v>
      </c>
      <c r="I396">
        <f t="shared" si="32"/>
        <v>6</v>
      </c>
      <c r="J396" s="16" cm="1">
        <f t="array" ref="J396">INDEX(Sm,I396)</f>
        <v>2.3207404253660839</v>
      </c>
      <c r="K396" s="16">
        <f t="shared" si="33"/>
        <v>356.67439028946939</v>
      </c>
      <c r="L396" s="16">
        <f t="shared" si="34"/>
        <v>-1.565609710530623</v>
      </c>
      <c r="M396" s="16">
        <f t="shared" si="35"/>
        <v>2.4511337657077812</v>
      </c>
    </row>
    <row r="397" spans="6:13" x14ac:dyDescent="0.4">
      <c r="F397" s="1">
        <v>33420</v>
      </c>
      <c r="G397" s="16">
        <v>356.17</v>
      </c>
      <c r="H397" s="16">
        <f t="shared" si="31"/>
        <v>354.48431526935769</v>
      </c>
      <c r="I397">
        <f t="shared" si="32"/>
        <v>7</v>
      </c>
      <c r="J397" s="16" cm="1">
        <f t="array" ref="J397">INDEX(Sm,I397)</f>
        <v>0.74435685666414753</v>
      </c>
      <c r="K397" s="16">
        <f t="shared" si="33"/>
        <v>355.22867212602182</v>
      </c>
      <c r="L397" s="16">
        <f t="shared" si="34"/>
        <v>-0.94132787397819584</v>
      </c>
      <c r="M397" s="16">
        <f t="shared" si="35"/>
        <v>0.88609816632831018</v>
      </c>
    </row>
    <row r="398" spans="6:13" x14ac:dyDescent="0.4">
      <c r="F398" s="1">
        <v>33451</v>
      </c>
      <c r="G398" s="16">
        <v>354.01</v>
      </c>
      <c r="H398" s="16">
        <f t="shared" si="31"/>
        <v>354.61952322864039</v>
      </c>
      <c r="I398">
        <f t="shared" si="32"/>
        <v>8</v>
      </c>
      <c r="J398" s="16" cm="1">
        <f t="array" ref="J398">INDEX(Sm,I398)</f>
        <v>-1.3868231821212227</v>
      </c>
      <c r="K398" s="16">
        <f t="shared" si="33"/>
        <v>353.23270004651914</v>
      </c>
      <c r="L398" s="16">
        <f t="shared" si="34"/>
        <v>-0.77729995348084913</v>
      </c>
      <c r="M398" s="16">
        <f t="shared" si="35"/>
        <v>0.60419521768133022</v>
      </c>
    </row>
    <row r="399" spans="6:13" x14ac:dyDescent="0.4">
      <c r="F399" s="1">
        <v>33482</v>
      </c>
      <c r="G399" s="16">
        <v>352.15</v>
      </c>
      <c r="H399" s="16">
        <f t="shared" si="31"/>
        <v>354.7549215594704</v>
      </c>
      <c r="I399">
        <f t="shared" si="32"/>
        <v>9</v>
      </c>
      <c r="J399" s="16" cm="1">
        <f t="array" ref="J399">INDEX(Sm,I399)</f>
        <v>-3.1918015790052943</v>
      </c>
      <c r="K399" s="16">
        <f t="shared" si="33"/>
        <v>351.5631199804651</v>
      </c>
      <c r="L399" s="16">
        <f t="shared" si="34"/>
        <v>-0.58688001953487401</v>
      </c>
      <c r="M399" s="16">
        <f t="shared" si="35"/>
        <v>0.34442815732925408</v>
      </c>
    </row>
    <row r="400" spans="6:13" x14ac:dyDescent="0.4">
      <c r="F400" s="1">
        <v>33512</v>
      </c>
      <c r="G400" s="16">
        <v>352.21</v>
      </c>
      <c r="H400" s="16">
        <f t="shared" si="31"/>
        <v>354.88613371374254</v>
      </c>
      <c r="I400">
        <f t="shared" si="32"/>
        <v>10</v>
      </c>
      <c r="J400" s="16" cm="1">
        <f t="array" ref="J400">INDEX(Sm,I400)</f>
        <v>-3.3171210691938846</v>
      </c>
      <c r="K400" s="16">
        <f t="shared" si="33"/>
        <v>351.56901264454865</v>
      </c>
      <c r="L400" s="16">
        <f t="shared" si="34"/>
        <v>-0.64098735545132968</v>
      </c>
      <c r="M400" s="16">
        <f t="shared" si="35"/>
        <v>0.41086478984848923</v>
      </c>
    </row>
    <row r="401" spans="6:13" x14ac:dyDescent="0.4">
      <c r="F401" s="1">
        <v>33543</v>
      </c>
      <c r="G401" s="16">
        <v>353.75</v>
      </c>
      <c r="H401" s="16">
        <f t="shared" si="31"/>
        <v>355.02190742965223</v>
      </c>
      <c r="I401">
        <f t="shared" si="32"/>
        <v>11</v>
      </c>
      <c r="J401" s="16" cm="1">
        <f t="array" ref="J401">INDEX(Sm,I401)</f>
        <v>-2.0577916254037292</v>
      </c>
      <c r="K401" s="16">
        <f t="shared" si="33"/>
        <v>352.96411580424848</v>
      </c>
      <c r="L401" s="16">
        <f t="shared" si="34"/>
        <v>-0.78588419575152102</v>
      </c>
      <c r="M401" s="16">
        <f t="shared" si="35"/>
        <v>0.61761396913201505</v>
      </c>
    </row>
    <row r="402" spans="6:13" x14ac:dyDescent="0.4">
      <c r="F402" s="1">
        <v>33573</v>
      </c>
      <c r="G402" s="16">
        <v>354.99</v>
      </c>
      <c r="H402" s="16">
        <f t="shared" si="31"/>
        <v>355.15348336303958</v>
      </c>
      <c r="I402">
        <f t="shared" si="32"/>
        <v>12</v>
      </c>
      <c r="J402" s="16" cm="1">
        <f t="array" ref="J402">INDEX(Sm,I402)</f>
        <v>-0.88780634062791353</v>
      </c>
      <c r="K402" s="16">
        <f t="shared" si="33"/>
        <v>354.26567702241169</v>
      </c>
      <c r="L402" s="16">
        <f t="shared" si="34"/>
        <v>-0.7243229775883151</v>
      </c>
      <c r="M402" s="16">
        <f t="shared" si="35"/>
        <v>0.52464377586240285</v>
      </c>
    </row>
    <row r="403" spans="6:13" x14ac:dyDescent="0.4">
      <c r="F403" s="1">
        <v>33604</v>
      </c>
      <c r="G403" s="16">
        <v>355.99</v>
      </c>
      <c r="H403" s="16">
        <f t="shared" si="31"/>
        <v>355.28963350476522</v>
      </c>
      <c r="I403">
        <f t="shared" si="32"/>
        <v>1</v>
      </c>
      <c r="J403" s="16" cm="1">
        <f t="array" ref="J403">INDEX(Sm,I403)</f>
        <v>-3.3662626377861403E-2</v>
      </c>
      <c r="K403" s="16">
        <f t="shared" si="33"/>
        <v>355.25597087838736</v>
      </c>
      <c r="L403" s="16">
        <f t="shared" si="34"/>
        <v>-0.73402912161265021</v>
      </c>
      <c r="M403" s="16">
        <f t="shared" si="35"/>
        <v>0.53879875137543887</v>
      </c>
    </row>
    <row r="404" spans="6:13" x14ac:dyDescent="0.4">
      <c r="F404" s="1">
        <v>33635</v>
      </c>
      <c r="G404" s="16">
        <v>356.72</v>
      </c>
      <c r="H404" s="16">
        <f t="shared" si="31"/>
        <v>355.42597534462232</v>
      </c>
      <c r="I404">
        <f t="shared" si="32"/>
        <v>2</v>
      </c>
      <c r="J404" s="16" cm="1">
        <f t="array" ref="J404">INDEX(Sm,I404)</f>
        <v>0.68114275406980329</v>
      </c>
      <c r="K404" s="16">
        <f t="shared" si="33"/>
        <v>356.10711809869213</v>
      </c>
      <c r="L404" s="16">
        <f t="shared" si="34"/>
        <v>-0.61288190130790099</v>
      </c>
      <c r="M404" s="16">
        <f t="shared" si="35"/>
        <v>0.37562422495078768</v>
      </c>
    </row>
    <row r="405" spans="6:13" x14ac:dyDescent="0.4">
      <c r="F405" s="1">
        <v>33664</v>
      </c>
      <c r="G405" s="16">
        <v>357.81</v>
      </c>
      <c r="H405" s="16">
        <f t="shared" si="31"/>
        <v>355.55369472149187</v>
      </c>
      <c r="I405">
        <f t="shared" si="32"/>
        <v>3</v>
      </c>
      <c r="J405" s="16" cm="1">
        <f t="array" ref="J405">INDEX(Sm,I405)</f>
        <v>1.3951035824648568</v>
      </c>
      <c r="K405" s="16">
        <f t="shared" si="33"/>
        <v>356.94879830395672</v>
      </c>
      <c r="L405" s="16">
        <f t="shared" si="34"/>
        <v>-0.86120169604328112</v>
      </c>
      <c r="M405" s="16">
        <f t="shared" si="35"/>
        <v>0.74166836126782398</v>
      </c>
    </row>
    <row r="406" spans="6:13" x14ac:dyDescent="0.4">
      <c r="F406" s="1">
        <v>33695</v>
      </c>
      <c r="G406" s="16">
        <v>359.15</v>
      </c>
      <c r="H406" s="16">
        <f t="shared" si="31"/>
        <v>355.69040835708245</v>
      </c>
      <c r="I406">
        <f t="shared" si="32"/>
        <v>4</v>
      </c>
      <c r="J406" s="16" cm="1">
        <f t="array" ref="J406">INDEX(Sm,I406)</f>
        <v>2.6339370251743146</v>
      </c>
      <c r="K406" s="16">
        <f t="shared" si="33"/>
        <v>358.32434538225675</v>
      </c>
      <c r="L406" s="16">
        <f t="shared" si="34"/>
        <v>-0.82565461774322557</v>
      </c>
      <c r="M406" s="16">
        <f t="shared" si="35"/>
        <v>0.68170554780071191</v>
      </c>
    </row>
    <row r="407" spans="6:13" x14ac:dyDescent="0.4">
      <c r="F407" s="1">
        <v>33725</v>
      </c>
      <c r="G407" s="16">
        <v>359.66</v>
      </c>
      <c r="H407" s="16">
        <f t="shared" si="31"/>
        <v>355.82289515019329</v>
      </c>
      <c r="I407">
        <f t="shared" si="32"/>
        <v>5</v>
      </c>
      <c r="J407" s="16" cm="1">
        <f t="array" ref="J407">INDEX(Sm,I407)</f>
        <v>3.0997257789906989</v>
      </c>
      <c r="K407" s="16">
        <f t="shared" si="33"/>
        <v>358.92262092918401</v>
      </c>
      <c r="L407" s="16">
        <f t="shared" si="34"/>
        <v>-0.73737907081601861</v>
      </c>
      <c r="M407" s="16">
        <f t="shared" si="35"/>
        <v>0.543727894077495</v>
      </c>
    </row>
    <row r="408" spans="6:13" x14ac:dyDescent="0.4">
      <c r="F408" s="1">
        <v>33756</v>
      </c>
      <c r="G408" s="16">
        <v>359.25</v>
      </c>
      <c r="H408" s="16">
        <f t="shared" si="31"/>
        <v>355.95998781748011</v>
      </c>
      <c r="I408">
        <f t="shared" si="32"/>
        <v>6</v>
      </c>
      <c r="J408" s="16" cm="1">
        <f t="array" ref="J408">INDEX(Sm,I408)</f>
        <v>2.3207404253660839</v>
      </c>
      <c r="K408" s="16">
        <f t="shared" si="33"/>
        <v>358.28072824284618</v>
      </c>
      <c r="L408" s="16">
        <f t="shared" si="34"/>
        <v>-0.96927175715381964</v>
      </c>
      <c r="M408" s="16">
        <f t="shared" si="35"/>
        <v>0.93948773921605311</v>
      </c>
    </row>
    <row r="409" spans="6:13" x14ac:dyDescent="0.4">
      <c r="F409" s="1">
        <v>33786</v>
      </c>
      <c r="G409" s="16">
        <v>357.02</v>
      </c>
      <c r="H409" s="16">
        <f t="shared" si="31"/>
        <v>356.09284192357836</v>
      </c>
      <c r="I409">
        <f t="shared" si="32"/>
        <v>7</v>
      </c>
      <c r="J409" s="16" cm="1">
        <f t="array" ref="J409">INDEX(Sm,I409)</f>
        <v>0.74435685666414753</v>
      </c>
      <c r="K409" s="16">
        <f t="shared" si="33"/>
        <v>356.83719878024249</v>
      </c>
      <c r="L409" s="16">
        <f t="shared" si="34"/>
        <v>-0.18280121975749353</v>
      </c>
      <c r="M409" s="16">
        <f t="shared" si="35"/>
        <v>3.3416285944827442E-2</v>
      </c>
    </row>
    <row r="410" spans="6:13" x14ac:dyDescent="0.4">
      <c r="F410" s="1">
        <v>33817</v>
      </c>
      <c r="G410" s="16">
        <v>355</v>
      </c>
      <c r="H410" s="16">
        <f t="shared" si="31"/>
        <v>356.23031467340769</v>
      </c>
      <c r="I410">
        <f t="shared" si="32"/>
        <v>8</v>
      </c>
      <c r="J410" s="16" cm="1">
        <f t="array" ref="J410">INDEX(Sm,I410)</f>
        <v>-1.3868231821212227</v>
      </c>
      <c r="K410" s="16">
        <f t="shared" si="33"/>
        <v>354.84349149128644</v>
      </c>
      <c r="L410" s="16">
        <f t="shared" si="34"/>
        <v>-0.15650850871355715</v>
      </c>
      <c r="M410" s="16">
        <f t="shared" si="35"/>
        <v>2.4494913299741593E-2</v>
      </c>
    </row>
    <row r="411" spans="6:13" x14ac:dyDescent="0.4">
      <c r="F411" s="1">
        <v>33848</v>
      </c>
      <c r="G411" s="16">
        <v>353.01</v>
      </c>
      <c r="H411" s="16">
        <f t="shared" si="31"/>
        <v>356.36798098358827</v>
      </c>
      <c r="I411">
        <f t="shared" si="32"/>
        <v>9</v>
      </c>
      <c r="J411" s="16" cm="1">
        <f t="array" ref="J411">INDEX(Sm,I411)</f>
        <v>-3.1918015790052943</v>
      </c>
      <c r="K411" s="16">
        <f t="shared" si="33"/>
        <v>353.17617940458297</v>
      </c>
      <c r="L411" s="16">
        <f t="shared" si="34"/>
        <v>0.16617940458297653</v>
      </c>
      <c r="M411" s="16">
        <f t="shared" si="35"/>
        <v>2.7615594507552601E-2</v>
      </c>
    </row>
    <row r="412" spans="6:13" x14ac:dyDescent="0.4">
      <c r="F412" s="1">
        <v>33878</v>
      </c>
      <c r="G412" s="16">
        <v>353.31</v>
      </c>
      <c r="H412" s="16">
        <f t="shared" si="31"/>
        <v>356.50139099698174</v>
      </c>
      <c r="I412">
        <f t="shared" si="32"/>
        <v>10</v>
      </c>
      <c r="J412" s="16" cm="1">
        <f t="array" ref="J412">INDEX(Sm,I412)</f>
        <v>-3.3171210691938846</v>
      </c>
      <c r="K412" s="16">
        <f t="shared" si="33"/>
        <v>353.18426992778785</v>
      </c>
      <c r="L412" s="16">
        <f t="shared" si="34"/>
        <v>-0.12573007221214993</v>
      </c>
      <c r="M412" s="16">
        <f t="shared" si="35"/>
        <v>1.5808051058472439E-2</v>
      </c>
    </row>
    <row r="413" spans="6:13" x14ac:dyDescent="0.4">
      <c r="F413" s="1">
        <v>33909</v>
      </c>
      <c r="G413" s="16">
        <v>354.16</v>
      </c>
      <c r="H413" s="16">
        <f t="shared" si="31"/>
        <v>356.63943898010103</v>
      </c>
      <c r="I413">
        <f t="shared" si="32"/>
        <v>11</v>
      </c>
      <c r="J413" s="16" cm="1">
        <f t="array" ref="J413">INDEX(Sm,I413)</f>
        <v>-2.0577916254037292</v>
      </c>
      <c r="K413" s="16">
        <f t="shared" si="33"/>
        <v>354.58164735469728</v>
      </c>
      <c r="L413" s="16">
        <f t="shared" si="34"/>
        <v>0.42164735469725656</v>
      </c>
      <c r="M413" s="16">
        <f t="shared" si="35"/>
        <v>0.17778649172319408</v>
      </c>
    </row>
    <row r="414" spans="6:13" x14ac:dyDescent="0.4">
      <c r="F414" s="1">
        <v>33939</v>
      </c>
      <c r="G414" s="16">
        <v>355.4</v>
      </c>
      <c r="H414" s="16">
        <f t="shared" si="31"/>
        <v>356.77321886606387</v>
      </c>
      <c r="I414">
        <f t="shared" si="32"/>
        <v>12</v>
      </c>
      <c r="J414" s="16" cm="1">
        <f t="array" ref="J414">INDEX(Sm,I414)</f>
        <v>-0.88780634062791353</v>
      </c>
      <c r="K414" s="16">
        <f t="shared" si="33"/>
        <v>355.88541252543598</v>
      </c>
      <c r="L414" s="16">
        <f t="shared" si="34"/>
        <v>0.48541252543600422</v>
      </c>
      <c r="M414" s="16">
        <f t="shared" si="35"/>
        <v>0.23562531985015944</v>
      </c>
    </row>
    <row r="415" spans="6:13" x14ac:dyDescent="0.4">
      <c r="F415" s="1">
        <v>33970</v>
      </c>
      <c r="G415" s="16">
        <v>356.7</v>
      </c>
      <c r="H415" s="16">
        <f t="shared" si="31"/>
        <v>356.91164958029094</v>
      </c>
      <c r="I415">
        <f t="shared" si="32"/>
        <v>1</v>
      </c>
      <c r="J415" s="16" cm="1">
        <f t="array" ref="J415">INDEX(Sm,I415)</f>
        <v>-3.3662626377861403E-2</v>
      </c>
      <c r="K415" s="16">
        <f t="shared" si="33"/>
        <v>356.87798695391308</v>
      </c>
      <c r="L415" s="16">
        <f t="shared" si="34"/>
        <v>0.17798695391309138</v>
      </c>
      <c r="M415" s="16">
        <f t="shared" si="35"/>
        <v>3.1679355763260919E-2</v>
      </c>
    </row>
    <row r="416" spans="6:13" x14ac:dyDescent="0.4">
      <c r="F416" s="1">
        <v>34001</v>
      </c>
      <c r="G416" s="16">
        <v>357.17</v>
      </c>
      <c r="H416" s="16">
        <f t="shared" si="31"/>
        <v>357.050275203674</v>
      </c>
      <c r="I416">
        <f t="shared" si="32"/>
        <v>2</v>
      </c>
      <c r="J416" s="16" cm="1">
        <f t="array" ref="J416">INDEX(Sm,I416)</f>
        <v>0.68114275406980329</v>
      </c>
      <c r="K416" s="16">
        <f t="shared" si="33"/>
        <v>357.73141795774382</v>
      </c>
      <c r="L416" s="16">
        <f t="shared" si="34"/>
        <v>0.56141795774379943</v>
      </c>
      <c r="M416" s="16">
        <f t="shared" si="35"/>
        <v>0.31519012327721857</v>
      </c>
    </row>
    <row r="417" spans="6:13" x14ac:dyDescent="0.4">
      <c r="F417" s="1">
        <v>34029</v>
      </c>
      <c r="G417" s="16">
        <v>358.38</v>
      </c>
      <c r="H417" s="16">
        <f t="shared" si="31"/>
        <v>357.17565320098873</v>
      </c>
      <c r="I417">
        <f t="shared" si="32"/>
        <v>3</v>
      </c>
      <c r="J417" s="16" cm="1">
        <f t="array" ref="J417">INDEX(Sm,I417)</f>
        <v>1.3951035824648568</v>
      </c>
      <c r="K417" s="16">
        <f t="shared" si="33"/>
        <v>358.57075678345359</v>
      </c>
      <c r="L417" s="16">
        <f t="shared" si="34"/>
        <v>0.19075678345359393</v>
      </c>
      <c r="M417" s="16">
        <f t="shared" si="35"/>
        <v>3.6388150433561327E-2</v>
      </c>
    </row>
    <row r="418" spans="6:13" x14ac:dyDescent="0.4">
      <c r="F418" s="1">
        <v>34060</v>
      </c>
      <c r="G418" s="16">
        <v>359.46</v>
      </c>
      <c r="H418" s="16">
        <f t="shared" si="31"/>
        <v>357.31465053901076</v>
      </c>
      <c r="I418">
        <f t="shared" si="32"/>
        <v>4</v>
      </c>
      <c r="J418" s="16" cm="1">
        <f t="array" ref="J418">INDEX(Sm,I418)</f>
        <v>2.6339370251743146</v>
      </c>
      <c r="K418" s="16">
        <f t="shared" si="33"/>
        <v>359.94858756418506</v>
      </c>
      <c r="L418" s="16">
        <f t="shared" si="34"/>
        <v>0.48858756418508165</v>
      </c>
      <c r="M418" s="16">
        <f t="shared" si="35"/>
        <v>0.23871780787631128</v>
      </c>
    </row>
    <row r="419" spans="6:13" x14ac:dyDescent="0.4">
      <c r="F419" s="1">
        <v>34090</v>
      </c>
      <c r="G419" s="16">
        <v>360.28</v>
      </c>
      <c r="H419" s="16">
        <f t="shared" si="31"/>
        <v>357.44935042820578</v>
      </c>
      <c r="I419">
        <f t="shared" si="32"/>
        <v>5</v>
      </c>
      <c r="J419" s="16" cm="1">
        <f t="array" ref="J419">INDEX(Sm,I419)</f>
        <v>3.0997257789906989</v>
      </c>
      <c r="K419" s="16">
        <f t="shared" si="33"/>
        <v>360.54907620719649</v>
      </c>
      <c r="L419" s="16">
        <f t="shared" si="34"/>
        <v>0.26907620719651959</v>
      </c>
      <c r="M419" s="16">
        <f t="shared" si="35"/>
        <v>7.2402005279264339E-2</v>
      </c>
    </row>
    <row r="420" spans="6:13" x14ac:dyDescent="0.4">
      <c r="F420" s="1">
        <v>34121</v>
      </c>
      <c r="G420" s="16">
        <v>359.6</v>
      </c>
      <c r="H420" s="16">
        <f t="shared" si="31"/>
        <v>357.58873312937436</v>
      </c>
      <c r="I420">
        <f t="shared" si="32"/>
        <v>6</v>
      </c>
      <c r="J420" s="16" cm="1">
        <f t="array" ref="J420">INDEX(Sm,I420)</f>
        <v>2.3207404253660839</v>
      </c>
      <c r="K420" s="16">
        <f t="shared" si="33"/>
        <v>359.90947355474043</v>
      </c>
      <c r="L420" s="16">
        <f t="shared" si="34"/>
        <v>0.30947355474040705</v>
      </c>
      <c r="M420" s="16">
        <f t="shared" si="35"/>
        <v>9.577388108366372E-2</v>
      </c>
    </row>
    <row r="421" spans="6:13" x14ac:dyDescent="0.4">
      <c r="F421" s="1">
        <v>34151</v>
      </c>
      <c r="G421" s="16">
        <v>357.57</v>
      </c>
      <c r="H421" s="16">
        <f t="shared" si="31"/>
        <v>357.72380646725458</v>
      </c>
      <c r="I421">
        <f t="shared" si="32"/>
        <v>7</v>
      </c>
      <c r="J421" s="16" cm="1">
        <f t="array" ref="J421">INDEX(Sm,I421)</f>
        <v>0.74435685666414753</v>
      </c>
      <c r="K421" s="16">
        <f t="shared" si="33"/>
        <v>358.4681633239187</v>
      </c>
      <c r="L421" s="16">
        <f t="shared" si="34"/>
        <v>0.89816332391870901</v>
      </c>
      <c r="M421" s="16">
        <f t="shared" si="35"/>
        <v>0.80669735643270379</v>
      </c>
    </row>
    <row r="422" spans="6:13" x14ac:dyDescent="0.4">
      <c r="F422" s="1">
        <v>34182</v>
      </c>
      <c r="G422" s="16">
        <v>355.52</v>
      </c>
      <c r="H422" s="16">
        <f t="shared" si="31"/>
        <v>357.86357559996981</v>
      </c>
      <c r="I422">
        <f t="shared" si="32"/>
        <v>8</v>
      </c>
      <c r="J422" s="16" cm="1">
        <f t="array" ref="J422">INDEX(Sm,I422)</f>
        <v>-1.3868231821212227</v>
      </c>
      <c r="K422" s="16">
        <f t="shared" si="33"/>
        <v>356.47675241784856</v>
      </c>
      <c r="L422" s="16">
        <f t="shared" si="34"/>
        <v>0.9567524178485769</v>
      </c>
      <c r="M422" s="16">
        <f t="shared" si="35"/>
        <v>0.91537518905909787</v>
      </c>
    </row>
    <row r="423" spans="6:13" x14ac:dyDescent="0.4">
      <c r="F423" s="1">
        <v>34213</v>
      </c>
      <c r="G423" s="16">
        <v>353.69</v>
      </c>
      <c r="H423" s="16">
        <f t="shared" si="31"/>
        <v>358.00354152632207</v>
      </c>
      <c r="I423">
        <f t="shared" si="32"/>
        <v>9</v>
      </c>
      <c r="J423" s="16" cm="1">
        <f t="array" ref="J423">INDEX(Sm,I423)</f>
        <v>-3.1918015790052943</v>
      </c>
      <c r="K423" s="16">
        <f t="shared" si="33"/>
        <v>354.81173994731677</v>
      </c>
      <c r="L423" s="16">
        <f t="shared" si="34"/>
        <v>1.1217399473167688</v>
      </c>
      <c r="M423" s="16">
        <f t="shared" si="35"/>
        <v>1.2583005094062274</v>
      </c>
    </row>
    <row r="424" spans="6:13" x14ac:dyDescent="0.4">
      <c r="F424" s="1">
        <v>34243</v>
      </c>
      <c r="G424" s="16">
        <v>353.99</v>
      </c>
      <c r="H424" s="16">
        <f t="shared" si="31"/>
        <v>358.13918005752703</v>
      </c>
      <c r="I424">
        <f t="shared" si="32"/>
        <v>10</v>
      </c>
      <c r="J424" s="16" cm="1">
        <f t="array" ref="J424">INDEX(Sm,I424)</f>
        <v>-3.3171210691938846</v>
      </c>
      <c r="K424" s="16">
        <f t="shared" si="33"/>
        <v>354.82205898833314</v>
      </c>
      <c r="L424" s="16">
        <f t="shared" si="34"/>
        <v>0.83205898833313086</v>
      </c>
      <c r="M424" s="16">
        <f t="shared" si="35"/>
        <v>0.69232216006595315</v>
      </c>
    </row>
    <row r="425" spans="6:13" x14ac:dyDescent="0.4">
      <c r="F425" s="1">
        <v>34274</v>
      </c>
      <c r="G425" s="16">
        <v>355.34</v>
      </c>
      <c r="H425" s="16">
        <f t="shared" si="31"/>
        <v>358.27953403238837</v>
      </c>
      <c r="I425">
        <f t="shared" si="32"/>
        <v>11</v>
      </c>
      <c r="J425" s="16" cm="1">
        <f t="array" ref="J425">INDEX(Sm,I425)</f>
        <v>-2.0577916254037292</v>
      </c>
      <c r="K425" s="16">
        <f t="shared" si="33"/>
        <v>356.22174240698462</v>
      </c>
      <c r="L425" s="16">
        <f t="shared" si="34"/>
        <v>0.88174240698464246</v>
      </c>
      <c r="M425" s="16">
        <f t="shared" si="35"/>
        <v>0.77746967227507091</v>
      </c>
    </row>
    <row r="426" spans="6:13" x14ac:dyDescent="0.4">
      <c r="F426" s="1">
        <v>34304</v>
      </c>
      <c r="G426" s="16">
        <v>356.8</v>
      </c>
      <c r="H426" s="16">
        <f t="shared" si="31"/>
        <v>358.41554861461645</v>
      </c>
      <c r="I426">
        <f t="shared" si="32"/>
        <v>12</v>
      </c>
      <c r="J426" s="16" cm="1">
        <f t="array" ref="J426">INDEX(Sm,I426)</f>
        <v>-0.88780634062791353</v>
      </c>
      <c r="K426" s="16">
        <f t="shared" si="33"/>
        <v>357.52774227398857</v>
      </c>
      <c r="L426" s="16">
        <f t="shared" si="34"/>
        <v>0.72774227398855373</v>
      </c>
      <c r="M426" s="16">
        <f t="shared" si="35"/>
        <v>0.52960881735003118</v>
      </c>
    </row>
    <row r="427" spans="6:13" x14ac:dyDescent="0.4">
      <c r="F427" s="1">
        <v>34335</v>
      </c>
      <c r="G427" s="16">
        <v>358.37</v>
      </c>
      <c r="H427" s="16">
        <f t="shared" si="31"/>
        <v>358.55629171383202</v>
      </c>
      <c r="I427">
        <f t="shared" si="32"/>
        <v>1</v>
      </c>
      <c r="J427" s="16" cm="1">
        <f t="array" ref="J427">INDEX(Sm,I427)</f>
        <v>-3.3662626377861403E-2</v>
      </c>
      <c r="K427" s="16">
        <f t="shared" si="33"/>
        <v>358.52262908745416</v>
      </c>
      <c r="L427" s="16">
        <f t="shared" si="34"/>
        <v>0.15262908745415871</v>
      </c>
      <c r="M427" s="16">
        <f t="shared" si="35"/>
        <v>2.3295638337089229E-2</v>
      </c>
    </row>
    <row r="428" spans="6:13" x14ac:dyDescent="0.4">
      <c r="F428" s="1">
        <v>34366</v>
      </c>
      <c r="G428" s="16">
        <v>358.91</v>
      </c>
      <c r="H428" s="16">
        <f t="shared" si="31"/>
        <v>358.69723297802028</v>
      </c>
      <c r="I428">
        <f t="shared" si="32"/>
        <v>2</v>
      </c>
      <c r="J428" s="16" cm="1">
        <f t="array" ref="J428">INDEX(Sm,I428)</f>
        <v>0.68114275406980329</v>
      </c>
      <c r="K428" s="16">
        <f t="shared" si="33"/>
        <v>359.37837573209009</v>
      </c>
      <c r="L428" s="16">
        <f t="shared" si="34"/>
        <v>0.46837573209006678</v>
      </c>
      <c r="M428" s="16">
        <f t="shared" si="35"/>
        <v>0.219375826410906</v>
      </c>
    </row>
    <row r="429" spans="6:13" x14ac:dyDescent="0.4">
      <c r="F429" s="1">
        <v>34394</v>
      </c>
      <c r="G429" s="16">
        <v>359.97</v>
      </c>
      <c r="H429" s="16">
        <f t="shared" si="31"/>
        <v>358.82470532412526</v>
      </c>
      <c r="I429">
        <f t="shared" si="32"/>
        <v>3</v>
      </c>
      <c r="J429" s="16" cm="1">
        <f t="array" ref="J429">INDEX(Sm,I429)</f>
        <v>1.3951035824648568</v>
      </c>
      <c r="K429" s="16">
        <f t="shared" si="33"/>
        <v>360.21980890659012</v>
      </c>
      <c r="L429" s="16">
        <f t="shared" si="34"/>
        <v>0.24980890659008992</v>
      </c>
      <c r="M429" s="16">
        <f t="shared" si="35"/>
        <v>6.2404489811736269E-2</v>
      </c>
    </row>
    <row r="430" spans="6:13" x14ac:dyDescent="0.4">
      <c r="F430" s="1">
        <v>34425</v>
      </c>
      <c r="G430" s="16">
        <v>361.26</v>
      </c>
      <c r="H430" s="16">
        <f t="shared" si="31"/>
        <v>358.96602451217672</v>
      </c>
      <c r="I430">
        <f t="shared" si="32"/>
        <v>4</v>
      </c>
      <c r="J430" s="16" cm="1">
        <f t="array" ref="J430">INDEX(Sm,I430)</f>
        <v>2.6339370251743146</v>
      </c>
      <c r="K430" s="16">
        <f t="shared" si="33"/>
        <v>361.59996153735102</v>
      </c>
      <c r="L430" s="16">
        <f t="shared" si="34"/>
        <v>0.33996153735103007</v>
      </c>
      <c r="M430" s="16">
        <f t="shared" si="35"/>
        <v>0.11557384687807581</v>
      </c>
    </row>
    <row r="431" spans="6:13" x14ac:dyDescent="0.4">
      <c r="F431" s="1">
        <v>34455</v>
      </c>
      <c r="G431" s="16">
        <v>361.69</v>
      </c>
      <c r="H431" s="16">
        <f t="shared" si="31"/>
        <v>359.10297446562561</v>
      </c>
      <c r="I431">
        <f t="shared" si="32"/>
        <v>5</v>
      </c>
      <c r="J431" s="16" cm="1">
        <f t="array" ref="J431">INDEX(Sm,I431)</f>
        <v>3.0997257789906989</v>
      </c>
      <c r="K431" s="16">
        <f t="shared" si="33"/>
        <v>362.20270024461632</v>
      </c>
      <c r="L431" s="16">
        <f t="shared" si="34"/>
        <v>0.51270024461632602</v>
      </c>
      <c r="M431" s="16">
        <f t="shared" si="35"/>
        <v>0.26286154082964053</v>
      </c>
    </row>
    <row r="432" spans="6:13" x14ac:dyDescent="0.4">
      <c r="F432" s="1">
        <v>34486</v>
      </c>
      <c r="G432" s="16">
        <v>360.94</v>
      </c>
      <c r="H432" s="16">
        <f t="shared" si="31"/>
        <v>359.24468545403636</v>
      </c>
      <c r="I432">
        <f t="shared" si="32"/>
        <v>6</v>
      </c>
      <c r="J432" s="16" cm="1">
        <f t="array" ref="J432">INDEX(Sm,I432)</f>
        <v>2.3207404253660839</v>
      </c>
      <c r="K432" s="16">
        <f t="shared" si="33"/>
        <v>361.56542587940243</v>
      </c>
      <c r="L432" s="16">
        <f t="shared" si="34"/>
        <v>0.62542587940242811</v>
      </c>
      <c r="M432" s="16">
        <f t="shared" si="35"/>
        <v>0.39115753062630054</v>
      </c>
    </row>
    <row r="433" spans="6:13" x14ac:dyDescent="0.4">
      <c r="F433" s="1">
        <v>34516</v>
      </c>
      <c r="G433" s="16">
        <v>359.55</v>
      </c>
      <c r="H433" s="16">
        <f t="shared" si="31"/>
        <v>359.38201509436084</v>
      </c>
      <c r="I433">
        <f t="shared" si="32"/>
        <v>7</v>
      </c>
      <c r="J433" s="16" cm="1">
        <f t="array" ref="J433">INDEX(Sm,I433)</f>
        <v>0.74435685666414753</v>
      </c>
      <c r="K433" s="16">
        <f t="shared" si="33"/>
        <v>360.12637195102496</v>
      </c>
      <c r="L433" s="16">
        <f t="shared" si="34"/>
        <v>0.57637195102495298</v>
      </c>
      <c r="M433" s="16">
        <f t="shared" si="35"/>
        <v>0.33220462592831079</v>
      </c>
    </row>
    <row r="434" spans="6:13" x14ac:dyDescent="0.4">
      <c r="F434" s="1">
        <v>34547</v>
      </c>
      <c r="G434" s="16">
        <v>357.48</v>
      </c>
      <c r="H434" s="16">
        <f t="shared" si="31"/>
        <v>359.52411896937775</v>
      </c>
      <c r="I434">
        <f t="shared" si="32"/>
        <v>8</v>
      </c>
      <c r="J434" s="16" cm="1">
        <f t="array" ref="J434">INDEX(Sm,I434)</f>
        <v>-1.3868231821212227</v>
      </c>
      <c r="K434" s="16">
        <f t="shared" si="33"/>
        <v>358.13729578725651</v>
      </c>
      <c r="L434" s="16">
        <f t="shared" si="34"/>
        <v>0.65729578725648707</v>
      </c>
      <c r="M434" s="16">
        <f t="shared" si="35"/>
        <v>0.43203775194512511</v>
      </c>
    </row>
    <row r="435" spans="6:13" x14ac:dyDescent="0.4">
      <c r="F435" s="1">
        <v>34578</v>
      </c>
      <c r="G435" s="16">
        <v>355.84</v>
      </c>
      <c r="H435" s="16">
        <f t="shared" si="31"/>
        <v>359.66642292532708</v>
      </c>
      <c r="I435">
        <f t="shared" si="32"/>
        <v>9</v>
      </c>
      <c r="J435" s="16" cm="1">
        <f t="array" ref="J435">INDEX(Sm,I435)</f>
        <v>-3.1918015790052943</v>
      </c>
      <c r="K435" s="16">
        <f t="shared" si="33"/>
        <v>356.47462134632178</v>
      </c>
      <c r="L435" s="16">
        <f t="shared" si="34"/>
        <v>0.63462134632180778</v>
      </c>
      <c r="M435" s="16">
        <f t="shared" si="35"/>
        <v>0.40274425320730389</v>
      </c>
    </row>
    <row r="436" spans="6:13" x14ac:dyDescent="0.4">
      <c r="F436" s="1">
        <v>34608</v>
      </c>
      <c r="G436" s="16">
        <v>356</v>
      </c>
      <c r="H436" s="16">
        <f t="shared" si="31"/>
        <v>359.80432720012209</v>
      </c>
      <c r="I436">
        <f t="shared" si="32"/>
        <v>10</v>
      </c>
      <c r="J436" s="16" cm="1">
        <f t="array" ref="J436">INDEX(Sm,I436)</f>
        <v>-3.3171210691938846</v>
      </c>
      <c r="K436" s="16">
        <f t="shared" si="33"/>
        <v>356.4872061309282</v>
      </c>
      <c r="L436" s="16">
        <f t="shared" si="34"/>
        <v>0.48720613092820031</v>
      </c>
      <c r="M436" s="16">
        <f t="shared" si="35"/>
        <v>0.23736981401402665</v>
      </c>
    </row>
    <row r="437" spans="6:13" x14ac:dyDescent="0.4">
      <c r="F437" s="1">
        <v>34639</v>
      </c>
      <c r="G437" s="16">
        <v>357.58</v>
      </c>
      <c r="H437" s="16">
        <f t="shared" si="31"/>
        <v>359.94702568665025</v>
      </c>
      <c r="I437">
        <f t="shared" si="32"/>
        <v>11</v>
      </c>
      <c r="J437" s="16" cm="1">
        <f t="array" ref="J437">INDEX(Sm,I437)</f>
        <v>-2.0577916254037292</v>
      </c>
      <c r="K437" s="16">
        <f t="shared" si="33"/>
        <v>357.8892340612465</v>
      </c>
      <c r="L437" s="16">
        <f t="shared" si="34"/>
        <v>0.30923406124651365</v>
      </c>
      <c r="M437" s="16">
        <f t="shared" si="35"/>
        <v>9.5625704635012548E-2</v>
      </c>
    </row>
    <row r="438" spans="6:13" x14ac:dyDescent="0.4">
      <c r="F438" s="1">
        <v>34669</v>
      </c>
      <c r="G438" s="16">
        <v>359.04</v>
      </c>
      <c r="H438" s="16">
        <f t="shared" si="31"/>
        <v>360.08531229412887</v>
      </c>
      <c r="I438">
        <f t="shared" si="32"/>
        <v>12</v>
      </c>
      <c r="J438" s="16" cm="1">
        <f t="array" ref="J438">INDEX(Sm,I438)</f>
        <v>-0.88780634062791353</v>
      </c>
      <c r="K438" s="16">
        <f t="shared" si="33"/>
        <v>359.19750595350098</v>
      </c>
      <c r="L438" s="16">
        <f t="shared" si="34"/>
        <v>0.15750595350095864</v>
      </c>
      <c r="M438" s="16">
        <f t="shared" si="35"/>
        <v>2.4808125388246144E-2</v>
      </c>
    </row>
    <row r="439" spans="6:13" x14ac:dyDescent="0.4">
      <c r="F439" s="1">
        <v>34700</v>
      </c>
      <c r="G439" s="16">
        <v>359.97</v>
      </c>
      <c r="H439" s="16">
        <f t="shared" si="31"/>
        <v>360.22840640505223</v>
      </c>
      <c r="I439">
        <f t="shared" si="32"/>
        <v>1</v>
      </c>
      <c r="J439" s="16" cm="1">
        <f t="array" ref="J439">INDEX(Sm,I439)</f>
        <v>-3.3662626377861403E-2</v>
      </c>
      <c r="K439" s="16">
        <f t="shared" si="33"/>
        <v>360.19474377867436</v>
      </c>
      <c r="L439" s="16">
        <f t="shared" si="34"/>
        <v>0.22474377867433759</v>
      </c>
      <c r="M439" s="16">
        <f t="shared" si="35"/>
        <v>5.0509766052819642E-2</v>
      </c>
    </row>
    <row r="440" spans="6:13" x14ac:dyDescent="0.4">
      <c r="F440" s="1">
        <v>34731</v>
      </c>
      <c r="G440" s="16">
        <v>361</v>
      </c>
      <c r="H440" s="16">
        <f t="shared" si="31"/>
        <v>360.37170199115093</v>
      </c>
      <c r="I440">
        <f t="shared" si="32"/>
        <v>2</v>
      </c>
      <c r="J440" s="16" cm="1">
        <f t="array" ref="J440">INDEX(Sm,I440)</f>
        <v>0.68114275406980329</v>
      </c>
      <c r="K440" s="16">
        <f t="shared" si="33"/>
        <v>361.05284474522074</v>
      </c>
      <c r="L440" s="16">
        <f t="shared" si="34"/>
        <v>5.2844745220738787E-2</v>
      </c>
      <c r="M440" s="16">
        <f t="shared" si="35"/>
        <v>2.792567097444795E-3</v>
      </c>
    </row>
    <row r="441" spans="6:13" x14ac:dyDescent="0.4">
      <c r="F441" s="1">
        <v>34759</v>
      </c>
      <c r="G441" s="16">
        <v>361.63</v>
      </c>
      <c r="H441" s="16">
        <f t="shared" si="31"/>
        <v>360.50130367062843</v>
      </c>
      <c r="I441">
        <f t="shared" si="32"/>
        <v>3</v>
      </c>
      <c r="J441" s="16" cm="1">
        <f t="array" ref="J441">INDEX(Sm,I441)</f>
        <v>1.3951035824648568</v>
      </c>
      <c r="K441" s="16">
        <f t="shared" si="33"/>
        <v>361.89640725309329</v>
      </c>
      <c r="L441" s="16">
        <f t="shared" si="34"/>
        <v>0.26640725309329127</v>
      </c>
      <c r="M441" s="16">
        <f t="shared" si="35"/>
        <v>7.0972824500712947E-2</v>
      </c>
    </row>
    <row r="442" spans="6:13" x14ac:dyDescent="0.4">
      <c r="F442" s="1">
        <v>34790</v>
      </c>
      <c r="G442" s="16">
        <v>363.45</v>
      </c>
      <c r="H442" s="16">
        <f t="shared" si="31"/>
        <v>360.64498349353516</v>
      </c>
      <c r="I442">
        <f t="shared" si="32"/>
        <v>4</v>
      </c>
      <c r="J442" s="16" cm="1">
        <f t="array" ref="J442">INDEX(Sm,I442)</f>
        <v>2.6339370251743146</v>
      </c>
      <c r="K442" s="16">
        <f t="shared" si="33"/>
        <v>363.27892051870947</v>
      </c>
      <c r="L442" s="16">
        <f t="shared" si="34"/>
        <v>-0.1710794812905192</v>
      </c>
      <c r="M442" s="16">
        <f t="shared" si="35"/>
        <v>2.9268188918633108E-2</v>
      </c>
    </row>
    <row r="443" spans="6:13" x14ac:dyDescent="0.4">
      <c r="F443" s="1">
        <v>34820</v>
      </c>
      <c r="G443" s="16">
        <v>363.8</v>
      </c>
      <c r="H443" s="16">
        <f t="shared" si="31"/>
        <v>360.78422109693452</v>
      </c>
      <c r="I443">
        <f t="shared" si="32"/>
        <v>5</v>
      </c>
      <c r="J443" s="16" cm="1">
        <f t="array" ref="J443">INDEX(Sm,I443)</f>
        <v>3.0997257789906989</v>
      </c>
      <c r="K443" s="16">
        <f t="shared" si="33"/>
        <v>363.88394687592523</v>
      </c>
      <c r="L443" s="16">
        <f t="shared" si="34"/>
        <v>8.394687592522132E-2</v>
      </c>
      <c r="M443" s="16">
        <f t="shared" si="35"/>
        <v>7.0470779776045031E-3</v>
      </c>
    </row>
    <row r="444" spans="6:13" x14ac:dyDescent="0.4">
      <c r="F444" s="1">
        <v>34851</v>
      </c>
      <c r="G444" s="16">
        <v>363.26</v>
      </c>
      <c r="H444" s="16">
        <f t="shared" si="31"/>
        <v>360.92829926494227</v>
      </c>
      <c r="I444">
        <f t="shared" si="32"/>
        <v>6</v>
      </c>
      <c r="J444" s="16" cm="1">
        <f t="array" ref="J444">INDEX(Sm,I444)</f>
        <v>2.3207404253660839</v>
      </c>
      <c r="K444" s="16">
        <f t="shared" si="33"/>
        <v>363.24903969030834</v>
      </c>
      <c r="L444" s="16">
        <f t="shared" si="34"/>
        <v>-1.0960309691654402E-2</v>
      </c>
      <c r="M444" s="16">
        <f t="shared" si="35"/>
        <v>1.2012838853697341E-4</v>
      </c>
    </row>
    <row r="445" spans="6:13" x14ac:dyDescent="0.4">
      <c r="F445" s="1">
        <v>34881</v>
      </c>
      <c r="G445" s="16">
        <v>361.89</v>
      </c>
      <c r="H445" s="16">
        <f t="shared" si="31"/>
        <v>361.06792289761177</v>
      </c>
      <c r="I445">
        <f t="shared" si="32"/>
        <v>7</v>
      </c>
      <c r="J445" s="16" cm="1">
        <f t="array" ref="J445">INDEX(Sm,I445)</f>
        <v>0.74435685666414753</v>
      </c>
      <c r="K445" s="16">
        <f t="shared" si="33"/>
        <v>361.81227975427589</v>
      </c>
      <c r="L445" s="16">
        <f t="shared" si="34"/>
        <v>-7.7720245724094639E-2</v>
      </c>
      <c r="M445" s="16">
        <f t="shared" si="35"/>
        <v>6.0404365954136513E-3</v>
      </c>
    </row>
    <row r="446" spans="6:13" x14ac:dyDescent="0.4">
      <c r="F446" s="1">
        <v>34912</v>
      </c>
      <c r="G446" s="16">
        <v>359.45</v>
      </c>
      <c r="H446" s="16">
        <f t="shared" si="31"/>
        <v>361.21240051511245</v>
      </c>
      <c r="I446">
        <f t="shared" si="32"/>
        <v>8</v>
      </c>
      <c r="J446" s="16" cm="1">
        <f t="array" ref="J446">INDEX(Sm,I446)</f>
        <v>-1.3868231821212227</v>
      </c>
      <c r="K446" s="16">
        <f t="shared" si="33"/>
        <v>359.8255773329912</v>
      </c>
      <c r="L446" s="16">
        <f t="shared" si="34"/>
        <v>0.3755773329912131</v>
      </c>
      <c r="M446" s="16">
        <f t="shared" si="35"/>
        <v>0.14105833305679258</v>
      </c>
    </row>
    <row r="447" spans="6:13" x14ac:dyDescent="0.4">
      <c r="F447" s="1">
        <v>34943</v>
      </c>
      <c r="G447" s="16">
        <v>358.05</v>
      </c>
      <c r="H447" s="16">
        <f t="shared" si="31"/>
        <v>361.35708155575264</v>
      </c>
      <c r="I447">
        <f t="shared" si="32"/>
        <v>9</v>
      </c>
      <c r="J447" s="16" cm="1">
        <f t="array" ref="J447">INDEX(Sm,I447)</f>
        <v>-3.1918015790052943</v>
      </c>
      <c r="K447" s="16">
        <f t="shared" si="33"/>
        <v>358.16527997674734</v>
      </c>
      <c r="L447" s="16">
        <f t="shared" si="34"/>
        <v>0.11527997674733115</v>
      </c>
      <c r="M447" s="16">
        <f t="shared" si="35"/>
        <v>1.3289473038865209E-2</v>
      </c>
    </row>
    <row r="448" spans="6:13" x14ac:dyDescent="0.4">
      <c r="F448" s="1">
        <v>34973</v>
      </c>
      <c r="G448" s="16">
        <v>357.75</v>
      </c>
      <c r="H448" s="16">
        <f t="shared" si="31"/>
        <v>361.49728942174625</v>
      </c>
      <c r="I448">
        <f t="shared" si="32"/>
        <v>10</v>
      </c>
      <c r="J448" s="16" cm="1">
        <f t="array" ref="J448">INDEX(Sm,I448)</f>
        <v>-3.3171210691938846</v>
      </c>
      <c r="K448" s="16">
        <f t="shared" si="33"/>
        <v>358.18016835255236</v>
      </c>
      <c r="L448" s="16">
        <f t="shared" si="34"/>
        <v>0.43016835255235719</v>
      </c>
      <c r="M448" s="16">
        <f t="shared" si="35"/>
        <v>0.18504481153760907</v>
      </c>
    </row>
    <row r="449" spans="6:13" x14ac:dyDescent="0.4">
      <c r="F449" s="1">
        <v>35004</v>
      </c>
      <c r="G449" s="16">
        <v>359.56</v>
      </c>
      <c r="H449" s="16">
        <f t="shared" si="31"/>
        <v>361.64237158331338</v>
      </c>
      <c r="I449">
        <f t="shared" si="32"/>
        <v>11</v>
      </c>
      <c r="J449" s="16" cm="1">
        <f t="array" ref="J449">INDEX(Sm,I449)</f>
        <v>-2.0577916254037292</v>
      </c>
      <c r="K449" s="16">
        <f t="shared" si="33"/>
        <v>359.58457995790963</v>
      </c>
      <c r="L449" s="16">
        <f t="shared" si="34"/>
        <v>2.4579957909622863E-2</v>
      </c>
      <c r="M449" s="16">
        <f t="shared" si="35"/>
        <v>6.0417433083883156E-4</v>
      </c>
    </row>
    <row r="450" spans="6:13" x14ac:dyDescent="0.4">
      <c r="F450" s="1">
        <v>35034</v>
      </c>
      <c r="G450" s="16">
        <v>360.7</v>
      </c>
      <c r="H450" s="16">
        <f t="shared" si="31"/>
        <v>361.78296816858159</v>
      </c>
      <c r="I450">
        <f t="shared" si="32"/>
        <v>12</v>
      </c>
      <c r="J450" s="16" cm="1">
        <f t="array" ref="J450">INDEX(Sm,I450)</f>
        <v>-0.88780634062791353</v>
      </c>
      <c r="K450" s="16">
        <f t="shared" si="33"/>
        <v>360.8951618279537</v>
      </c>
      <c r="L450" s="16">
        <f t="shared" si="34"/>
        <v>0.19516182795371151</v>
      </c>
      <c r="M450" s="16">
        <f t="shared" si="35"/>
        <v>3.8088139090234091E-2</v>
      </c>
    </row>
    <row r="451" spans="6:13" x14ac:dyDescent="0.4">
      <c r="F451" s="1">
        <v>35065</v>
      </c>
      <c r="G451" s="16">
        <v>362.05</v>
      </c>
      <c r="H451" s="16">
        <f t="shared" ref="H451:H514" si="36">EXP(_A*F451+_B)+_C</f>
        <v>361.92845256316338</v>
      </c>
      <c r="I451">
        <f t="shared" ref="I451:I514" si="37">MONTH(F451)</f>
        <v>1</v>
      </c>
      <c r="J451" s="16" cm="1">
        <f t="array" ref="J451">INDEX(Sm,I451)</f>
        <v>-3.3662626377861403E-2</v>
      </c>
      <c r="K451" s="16">
        <f t="shared" ref="K451:K514" si="38">H451+J451</f>
        <v>361.89478993678551</v>
      </c>
      <c r="L451" s="16">
        <f t="shared" ref="L451:L514" si="39">K451-G451</f>
        <v>-0.15521006321449704</v>
      </c>
      <c r="M451" s="16">
        <f t="shared" ref="M451:M514" si="40">L451*L451</f>
        <v>2.4090163723048168E-2</v>
      </c>
    </row>
    <row r="452" spans="6:13" x14ac:dyDescent="0.4">
      <c r="F452" s="1">
        <v>35096</v>
      </c>
      <c r="G452" s="16">
        <v>363.24</v>
      </c>
      <c r="H452" s="16">
        <f t="shared" si="36"/>
        <v>362.07414179841771</v>
      </c>
      <c r="I452">
        <f t="shared" si="37"/>
        <v>2</v>
      </c>
      <c r="J452" s="16" cm="1">
        <f t="array" ref="J452">INDEX(Sm,I452)</f>
        <v>0.68114275406980329</v>
      </c>
      <c r="K452" s="16">
        <f t="shared" si="38"/>
        <v>362.75528455248752</v>
      </c>
      <c r="L452" s="16">
        <f t="shared" si="39"/>
        <v>-0.4847154475124853</v>
      </c>
      <c r="M452" s="16">
        <f t="shared" si="40"/>
        <v>0.2349490650572289</v>
      </c>
    </row>
    <row r="453" spans="6:13" x14ac:dyDescent="0.4">
      <c r="F453" s="1">
        <v>35125</v>
      </c>
      <c r="G453" s="16">
        <v>364.02</v>
      </c>
      <c r="H453" s="16">
        <f t="shared" si="36"/>
        <v>362.2106174273427</v>
      </c>
      <c r="I453">
        <f t="shared" si="37"/>
        <v>3</v>
      </c>
      <c r="J453" s="16" cm="1">
        <f t="array" ref="J453">INDEX(Sm,I453)</f>
        <v>1.3951035824648568</v>
      </c>
      <c r="K453" s="16">
        <f t="shared" si="38"/>
        <v>363.60572100980755</v>
      </c>
      <c r="L453" s="16">
        <f t="shared" si="39"/>
        <v>-0.41427899019242886</v>
      </c>
      <c r="M453" s="16">
        <f t="shared" si="40"/>
        <v>0.17162708171485858</v>
      </c>
    </row>
    <row r="454" spans="6:13" x14ac:dyDescent="0.4">
      <c r="F454" s="1">
        <v>35156</v>
      </c>
      <c r="G454" s="16">
        <v>364.71</v>
      </c>
      <c r="H454" s="16">
        <f t="shared" si="36"/>
        <v>362.35670394809756</v>
      </c>
      <c r="I454">
        <f t="shared" si="37"/>
        <v>4</v>
      </c>
      <c r="J454" s="16" cm="1">
        <f t="array" ref="J454">INDEX(Sm,I454)</f>
        <v>2.6339370251743146</v>
      </c>
      <c r="K454" s="16">
        <f t="shared" si="38"/>
        <v>364.99064097327187</v>
      </c>
      <c r="L454" s="16">
        <f t="shared" si="39"/>
        <v>0.2806409732718862</v>
      </c>
      <c r="M454" s="16">
        <f t="shared" si="40"/>
        <v>7.8759355878991535E-2</v>
      </c>
    </row>
    <row r="455" spans="6:13" x14ac:dyDescent="0.4">
      <c r="F455" s="1">
        <v>35186</v>
      </c>
      <c r="G455" s="16">
        <v>365.42</v>
      </c>
      <c r="H455" s="16">
        <f t="shared" si="36"/>
        <v>362.49827384028805</v>
      </c>
      <c r="I455">
        <f t="shared" si="37"/>
        <v>5</v>
      </c>
      <c r="J455" s="16" cm="1">
        <f t="array" ref="J455">INDEX(Sm,I455)</f>
        <v>3.0997257789906989</v>
      </c>
      <c r="K455" s="16">
        <f t="shared" si="38"/>
        <v>365.59799961927877</v>
      </c>
      <c r="L455" s="16">
        <f t="shared" si="39"/>
        <v>0.17799961927875074</v>
      </c>
      <c r="M455" s="16">
        <f t="shared" si="40"/>
        <v>3.1683864463380215E-2</v>
      </c>
    </row>
    <row r="456" spans="6:13" x14ac:dyDescent="0.4">
      <c r="F456" s="1">
        <v>35217</v>
      </c>
      <c r="G456" s="16">
        <v>364.97</v>
      </c>
      <c r="H456" s="16">
        <f t="shared" si="36"/>
        <v>362.64476537859298</v>
      </c>
      <c r="I456">
        <f t="shared" si="37"/>
        <v>6</v>
      </c>
      <c r="J456" s="16" cm="1">
        <f t="array" ref="J456">INDEX(Sm,I456)</f>
        <v>2.3207404253660839</v>
      </c>
      <c r="K456" s="16">
        <f t="shared" si="38"/>
        <v>364.96550580395905</v>
      </c>
      <c r="L456" s="16">
        <f t="shared" si="39"/>
        <v>-4.494196040980114E-3</v>
      </c>
      <c r="M456" s="16">
        <f t="shared" si="40"/>
        <v>2.019779805476133E-5</v>
      </c>
    </row>
    <row r="457" spans="6:13" x14ac:dyDescent="0.4">
      <c r="F457" s="1">
        <v>35247</v>
      </c>
      <c r="G457" s="16">
        <v>363.65</v>
      </c>
      <c r="H457" s="16">
        <f t="shared" si="36"/>
        <v>362.78672776620738</v>
      </c>
      <c r="I457">
        <f t="shared" si="37"/>
        <v>7</v>
      </c>
      <c r="J457" s="16" cm="1">
        <f t="array" ref="J457">INDEX(Sm,I457)</f>
        <v>0.74435685666414753</v>
      </c>
      <c r="K457" s="16">
        <f t="shared" si="38"/>
        <v>363.5310846228715</v>
      </c>
      <c r="L457" s="16">
        <f t="shared" si="39"/>
        <v>-0.11891537712847366</v>
      </c>
      <c r="M457" s="16">
        <f t="shared" si="40"/>
        <v>1.4140866917607117E-2</v>
      </c>
    </row>
    <row r="458" spans="6:13" x14ac:dyDescent="0.4">
      <c r="F458" s="1">
        <v>35278</v>
      </c>
      <c r="G458" s="16">
        <v>361.48</v>
      </c>
      <c r="H458" s="16">
        <f t="shared" si="36"/>
        <v>362.93362544495324</v>
      </c>
      <c r="I458">
        <f t="shared" si="37"/>
        <v>8</v>
      </c>
      <c r="J458" s="16" cm="1">
        <f t="array" ref="J458">INDEX(Sm,I458)</f>
        <v>-1.3868231821212227</v>
      </c>
      <c r="K458" s="16">
        <f t="shared" si="38"/>
        <v>361.54680226283199</v>
      </c>
      <c r="L458" s="16">
        <f t="shared" si="39"/>
        <v>6.6802262831970438E-2</v>
      </c>
      <c r="M458" s="16">
        <f t="shared" si="40"/>
        <v>4.4625423194716591E-3</v>
      </c>
    </row>
    <row r="459" spans="6:13" x14ac:dyDescent="0.4">
      <c r="F459" s="1">
        <v>35309</v>
      </c>
      <c r="G459" s="16">
        <v>359.45</v>
      </c>
      <c r="H459" s="16">
        <f t="shared" si="36"/>
        <v>363.08072995426249</v>
      </c>
      <c r="I459">
        <f t="shared" si="37"/>
        <v>9</v>
      </c>
      <c r="J459" s="16" cm="1">
        <f t="array" ref="J459">INDEX(Sm,I459)</f>
        <v>-3.1918015790052943</v>
      </c>
      <c r="K459" s="16">
        <f t="shared" si="38"/>
        <v>359.88892837525719</v>
      </c>
      <c r="L459" s="16">
        <f t="shared" si="39"/>
        <v>0.43892837525720552</v>
      </c>
      <c r="M459" s="16">
        <f t="shared" si="40"/>
        <v>0.19265811860593021</v>
      </c>
    </row>
    <row r="460" spans="6:13" x14ac:dyDescent="0.4">
      <c r="F460" s="1">
        <v>35339</v>
      </c>
      <c r="G460" s="16">
        <v>359.61</v>
      </c>
      <c r="H460" s="16">
        <f t="shared" si="36"/>
        <v>363.22328636135626</v>
      </c>
      <c r="I460">
        <f t="shared" si="37"/>
        <v>10</v>
      </c>
      <c r="J460" s="16" cm="1">
        <f t="array" ref="J460">INDEX(Sm,I460)</f>
        <v>-3.3171210691938846</v>
      </c>
      <c r="K460" s="16">
        <f t="shared" si="38"/>
        <v>359.90616529216237</v>
      </c>
      <c r="L460" s="16">
        <f t="shared" si="39"/>
        <v>0.29616529216235676</v>
      </c>
      <c r="M460" s="16">
        <f t="shared" si="40"/>
        <v>8.7713880281614143E-2</v>
      </c>
    </row>
    <row r="461" spans="6:13" x14ac:dyDescent="0.4">
      <c r="F461" s="1">
        <v>35370</v>
      </c>
      <c r="G461" s="16">
        <v>360.76</v>
      </c>
      <c r="H461" s="16">
        <f t="shared" si="36"/>
        <v>363.37079871053777</v>
      </c>
      <c r="I461">
        <f t="shared" si="37"/>
        <v>11</v>
      </c>
      <c r="J461" s="16" cm="1">
        <f t="array" ref="J461">INDEX(Sm,I461)</f>
        <v>-2.0577916254037292</v>
      </c>
      <c r="K461" s="16">
        <f t="shared" si="38"/>
        <v>361.31300708513402</v>
      </c>
      <c r="L461" s="16">
        <f t="shared" si="39"/>
        <v>0.55300708513402697</v>
      </c>
      <c r="M461" s="16">
        <f t="shared" si="40"/>
        <v>0.30581683620843297</v>
      </c>
    </row>
    <row r="462" spans="6:13" x14ac:dyDescent="0.4">
      <c r="F462" s="1">
        <v>35400</v>
      </c>
      <c r="G462" s="16">
        <v>362.33</v>
      </c>
      <c r="H462" s="16">
        <f t="shared" si="36"/>
        <v>363.51375034811855</v>
      </c>
      <c r="I462">
        <f t="shared" si="37"/>
        <v>12</v>
      </c>
      <c r="J462" s="16" cm="1">
        <f t="array" ref="J462">INDEX(Sm,I462)</f>
        <v>-0.88780634062791353</v>
      </c>
      <c r="K462" s="16">
        <f t="shared" si="38"/>
        <v>362.62594400749066</v>
      </c>
      <c r="L462" s="16">
        <f t="shared" si="39"/>
        <v>0.29594400749067518</v>
      </c>
      <c r="M462" s="16">
        <f t="shared" si="40"/>
        <v>8.7582855569640808E-2</v>
      </c>
    </row>
    <row r="463" spans="6:13" x14ac:dyDescent="0.4">
      <c r="F463" s="1">
        <v>35431</v>
      </c>
      <c r="G463" s="16">
        <v>363.19</v>
      </c>
      <c r="H463" s="16">
        <f t="shared" si="36"/>
        <v>363.6616716678879</v>
      </c>
      <c r="I463">
        <f t="shared" si="37"/>
        <v>1</v>
      </c>
      <c r="J463" s="16" cm="1">
        <f t="array" ref="J463">INDEX(Sm,I463)</f>
        <v>-3.3662626377861403E-2</v>
      </c>
      <c r="K463" s="16">
        <f t="shared" si="38"/>
        <v>363.62800904151004</v>
      </c>
      <c r="L463" s="16">
        <f t="shared" si="39"/>
        <v>0.43800904151004261</v>
      </c>
      <c r="M463" s="16">
        <f t="shared" si="40"/>
        <v>0.19185192044454621</v>
      </c>
    </row>
    <row r="464" spans="6:13" x14ac:dyDescent="0.4">
      <c r="F464" s="1">
        <v>35462</v>
      </c>
      <c r="G464" s="16">
        <v>363.99</v>
      </c>
      <c r="H464" s="16">
        <f t="shared" si="36"/>
        <v>363.8098012594977</v>
      </c>
      <c r="I464">
        <f t="shared" si="37"/>
        <v>2</v>
      </c>
      <c r="J464" s="16" cm="1">
        <f t="array" ref="J464">INDEX(Sm,I464)</f>
        <v>0.68114275406980329</v>
      </c>
      <c r="K464" s="16">
        <f t="shared" si="38"/>
        <v>364.49094401356751</v>
      </c>
      <c r="L464" s="16">
        <f t="shared" si="39"/>
        <v>0.50094401356750495</v>
      </c>
      <c r="M464" s="16">
        <f t="shared" si="40"/>
        <v>0.25094490472912057</v>
      </c>
    </row>
    <row r="465" spans="6:13" x14ac:dyDescent="0.4">
      <c r="F465" s="1">
        <v>35490</v>
      </c>
      <c r="G465" s="16">
        <v>364.56</v>
      </c>
      <c r="H465" s="16">
        <f t="shared" si="36"/>
        <v>363.94377498733968</v>
      </c>
      <c r="I465">
        <f t="shared" si="37"/>
        <v>3</v>
      </c>
      <c r="J465" s="16" cm="1">
        <f t="array" ref="J465">INDEX(Sm,I465)</f>
        <v>1.3951035824648568</v>
      </c>
      <c r="K465" s="16">
        <f t="shared" si="38"/>
        <v>365.33887856980454</v>
      </c>
      <c r="L465" s="16">
        <f t="shared" si="39"/>
        <v>0.77887856980453307</v>
      </c>
      <c r="M465" s="16">
        <f t="shared" si="40"/>
        <v>0.60665182650075489</v>
      </c>
    </row>
    <row r="466" spans="6:13" x14ac:dyDescent="0.4">
      <c r="F466" s="1">
        <v>35521</v>
      </c>
      <c r="G466" s="16">
        <v>366.36</v>
      </c>
      <c r="H466" s="16">
        <f t="shared" si="36"/>
        <v>364.09230177779557</v>
      </c>
      <c r="I466">
        <f t="shared" si="37"/>
        <v>4</v>
      </c>
      <c r="J466" s="16" cm="1">
        <f t="array" ref="J466">INDEX(Sm,I466)</f>
        <v>2.6339370251743146</v>
      </c>
      <c r="K466" s="16">
        <f t="shared" si="38"/>
        <v>366.72623880296987</v>
      </c>
      <c r="L466" s="16">
        <f t="shared" si="39"/>
        <v>0.36623880296986044</v>
      </c>
      <c r="M466" s="16">
        <f t="shared" si="40"/>
        <v>0.13413086080079625</v>
      </c>
    </row>
    <row r="467" spans="6:13" x14ac:dyDescent="0.4">
      <c r="F467" s="1">
        <v>35551</v>
      </c>
      <c r="G467" s="16">
        <v>366.8</v>
      </c>
      <c r="H467" s="16">
        <f t="shared" si="36"/>
        <v>364.23623649267273</v>
      </c>
      <c r="I467">
        <f t="shared" si="37"/>
        <v>5</v>
      </c>
      <c r="J467" s="16" cm="1">
        <f t="array" ref="J467">INDEX(Sm,I467)</f>
        <v>3.0997257789906989</v>
      </c>
      <c r="K467" s="16">
        <f t="shared" si="38"/>
        <v>367.33596227166345</v>
      </c>
      <c r="L467" s="16">
        <f t="shared" si="39"/>
        <v>0.53596227166343624</v>
      </c>
      <c r="M467" s="16">
        <f t="shared" si="40"/>
        <v>0.28725555664663105</v>
      </c>
    </row>
    <row r="468" spans="6:13" x14ac:dyDescent="0.4">
      <c r="F468" s="1">
        <v>35582</v>
      </c>
      <c r="G468" s="16">
        <v>365.63</v>
      </c>
      <c r="H468" s="16">
        <f t="shared" si="36"/>
        <v>364.38517506620406</v>
      </c>
      <c r="I468">
        <f t="shared" si="37"/>
        <v>6</v>
      </c>
      <c r="J468" s="16" cm="1">
        <f t="array" ref="J468">INDEX(Sm,I468)</f>
        <v>2.3207404253660839</v>
      </c>
      <c r="K468" s="16">
        <f t="shared" si="38"/>
        <v>366.70591549157012</v>
      </c>
      <c r="L468" s="16">
        <f t="shared" si="39"/>
        <v>1.0759154915701288</v>
      </c>
      <c r="M468" s="16">
        <f t="shared" si="40"/>
        <v>1.1575941450005918</v>
      </c>
    </row>
    <row r="469" spans="6:13" x14ac:dyDescent="0.4">
      <c r="F469" s="1">
        <v>35612</v>
      </c>
      <c r="G469" s="16">
        <v>364.47</v>
      </c>
      <c r="H469" s="16">
        <f t="shared" si="36"/>
        <v>364.5295088328574</v>
      </c>
      <c r="I469">
        <f t="shared" si="37"/>
        <v>7</v>
      </c>
      <c r="J469" s="16" cm="1">
        <f t="array" ref="J469">INDEX(Sm,I469)</f>
        <v>0.74435685666414753</v>
      </c>
      <c r="K469" s="16">
        <f t="shared" si="38"/>
        <v>365.27386568952153</v>
      </c>
      <c r="L469" s="16">
        <f t="shared" si="39"/>
        <v>0.80386568952150128</v>
      </c>
      <c r="M469" s="16">
        <f t="shared" si="40"/>
        <v>0.64620004678987875</v>
      </c>
    </row>
    <row r="470" spans="6:13" x14ac:dyDescent="0.4">
      <c r="F470" s="1">
        <v>35643</v>
      </c>
      <c r="G470" s="16">
        <v>362.5</v>
      </c>
      <c r="H470" s="16">
        <f t="shared" si="36"/>
        <v>364.67886033111199</v>
      </c>
      <c r="I470">
        <f t="shared" si="37"/>
        <v>8</v>
      </c>
      <c r="J470" s="16" cm="1">
        <f t="array" ref="J470">INDEX(Sm,I470)</f>
        <v>-1.3868231821212227</v>
      </c>
      <c r="K470" s="16">
        <f t="shared" si="38"/>
        <v>363.29203714899074</v>
      </c>
      <c r="L470" s="16">
        <f t="shared" si="39"/>
        <v>0.79203714899074384</v>
      </c>
      <c r="M470" s="16">
        <f t="shared" si="40"/>
        <v>0.62732284538138572</v>
      </c>
    </row>
    <row r="471" spans="6:13" x14ac:dyDescent="0.4">
      <c r="F471" s="1">
        <v>35674</v>
      </c>
      <c r="G471" s="16">
        <v>360.19</v>
      </c>
      <c r="H471" s="16">
        <f t="shared" si="36"/>
        <v>364.82842211488503</v>
      </c>
      <c r="I471">
        <f t="shared" si="37"/>
        <v>9</v>
      </c>
      <c r="J471" s="16" cm="1">
        <f t="array" ref="J471">INDEX(Sm,I471)</f>
        <v>-3.1918015790052943</v>
      </c>
      <c r="K471" s="16">
        <f t="shared" si="38"/>
        <v>361.63662053587973</v>
      </c>
      <c r="L471" s="16">
        <f t="shared" si="39"/>
        <v>1.4466205358797311</v>
      </c>
      <c r="M471" s="16">
        <f t="shared" si="40"/>
        <v>2.0927109748289601</v>
      </c>
    </row>
    <row r="472" spans="6:13" x14ac:dyDescent="0.4">
      <c r="F472" s="1">
        <v>35704</v>
      </c>
      <c r="G472" s="16">
        <v>360.78</v>
      </c>
      <c r="H472" s="16">
        <f t="shared" si="36"/>
        <v>364.97335982368361</v>
      </c>
      <c r="I472">
        <f t="shared" si="37"/>
        <v>10</v>
      </c>
      <c r="J472" s="16" cm="1">
        <f t="array" ref="J472">INDEX(Sm,I472)</f>
        <v>-3.3171210691938846</v>
      </c>
      <c r="K472" s="16">
        <f t="shared" si="38"/>
        <v>361.65623875448972</v>
      </c>
      <c r="L472" s="16">
        <f t="shared" si="39"/>
        <v>0.87623875448974786</v>
      </c>
      <c r="M472" s="16">
        <f t="shared" si="40"/>
        <v>0.76779435486974468</v>
      </c>
    </row>
    <row r="473" spans="6:13" x14ac:dyDescent="0.4">
      <c r="F473" s="1">
        <v>35735</v>
      </c>
      <c r="G473" s="16">
        <v>362.43</v>
      </c>
      <c r="H473" s="16">
        <f t="shared" si="36"/>
        <v>365.12333625999912</v>
      </c>
      <c r="I473">
        <f t="shared" si="37"/>
        <v>11</v>
      </c>
      <c r="J473" s="16" cm="1">
        <f t="array" ref="J473">INDEX(Sm,I473)</f>
        <v>-2.0577916254037292</v>
      </c>
      <c r="K473" s="16">
        <f t="shared" si="38"/>
        <v>363.06554463459537</v>
      </c>
      <c r="L473" s="16">
        <f t="shared" si="39"/>
        <v>0.63554463459536237</v>
      </c>
      <c r="M473" s="16">
        <f t="shared" si="40"/>
        <v>0.40391698256295266</v>
      </c>
    </row>
    <row r="474" spans="6:13" x14ac:dyDescent="0.4">
      <c r="F474" s="1">
        <v>35765</v>
      </c>
      <c r="G474" s="16">
        <v>364.28</v>
      </c>
      <c r="H474" s="16">
        <f t="shared" si="36"/>
        <v>365.26867580132415</v>
      </c>
      <c r="I474">
        <f t="shared" si="37"/>
        <v>12</v>
      </c>
      <c r="J474" s="16" cm="1">
        <f t="array" ref="J474">INDEX(Sm,I474)</f>
        <v>-0.88780634062791353</v>
      </c>
      <c r="K474" s="16">
        <f t="shared" si="38"/>
        <v>364.38086946069626</v>
      </c>
      <c r="L474" s="16">
        <f t="shared" si="39"/>
        <v>0.10086946069628766</v>
      </c>
      <c r="M474" s="16">
        <f t="shared" si="40"/>
        <v>1.017464810115992E-2</v>
      </c>
    </row>
    <row r="475" spans="6:13" x14ac:dyDescent="0.4">
      <c r="F475" s="1">
        <v>35796</v>
      </c>
      <c r="G475" s="16">
        <v>365.33</v>
      </c>
      <c r="H475" s="16">
        <f t="shared" si="36"/>
        <v>365.41906803978554</v>
      </c>
      <c r="I475">
        <f t="shared" si="37"/>
        <v>1</v>
      </c>
      <c r="J475" s="16" cm="1">
        <f t="array" ref="J475">INDEX(Sm,I475)</f>
        <v>-3.3662626377861403E-2</v>
      </c>
      <c r="K475" s="16">
        <f t="shared" si="38"/>
        <v>365.38540541340768</v>
      </c>
      <c r="L475" s="16">
        <f t="shared" si="39"/>
        <v>5.5405413407697779E-2</v>
      </c>
      <c r="M475" s="16">
        <f t="shared" si="40"/>
        <v>3.0697598348778969E-3</v>
      </c>
    </row>
    <row r="476" spans="6:13" x14ac:dyDescent="0.4">
      <c r="F476" s="1">
        <v>35827</v>
      </c>
      <c r="G476" s="16">
        <v>366.15</v>
      </c>
      <c r="H476" s="16">
        <f t="shared" si="36"/>
        <v>365.56967202911767</v>
      </c>
      <c r="I476">
        <f t="shared" si="37"/>
        <v>2</v>
      </c>
      <c r="J476" s="16" cm="1">
        <f t="array" ref="J476">INDEX(Sm,I476)</f>
        <v>0.68114275406980329</v>
      </c>
      <c r="K476" s="16">
        <f t="shared" si="38"/>
        <v>366.25081478318748</v>
      </c>
      <c r="L476" s="16">
        <f t="shared" si="39"/>
        <v>0.10081478318750214</v>
      </c>
      <c r="M476" s="16">
        <f t="shared" si="40"/>
        <v>1.0163620509143064E-2</v>
      </c>
    </row>
    <row r="477" spans="6:13" x14ac:dyDescent="0.4">
      <c r="F477" s="1">
        <v>35855</v>
      </c>
      <c r="G477" s="16">
        <v>367.31</v>
      </c>
      <c r="H477" s="16">
        <f t="shared" si="36"/>
        <v>365.70588369121339</v>
      </c>
      <c r="I477">
        <f t="shared" si="37"/>
        <v>3</v>
      </c>
      <c r="J477" s="16" cm="1">
        <f t="array" ref="J477">INDEX(Sm,I477)</f>
        <v>1.3951035824648568</v>
      </c>
      <c r="K477" s="16">
        <f t="shared" si="38"/>
        <v>367.10098727367824</v>
      </c>
      <c r="L477" s="16">
        <f t="shared" si="39"/>
        <v>-0.2090127263217596</v>
      </c>
      <c r="M477" s="16">
        <f t="shared" si="40"/>
        <v>4.3686319764454778E-2</v>
      </c>
    </row>
    <row r="478" spans="6:13" x14ac:dyDescent="0.4">
      <c r="F478" s="1">
        <v>35886</v>
      </c>
      <c r="G478" s="16">
        <v>368.61</v>
      </c>
      <c r="H478" s="16">
        <f t="shared" si="36"/>
        <v>365.8568915143112</v>
      </c>
      <c r="I478">
        <f t="shared" si="37"/>
        <v>4</v>
      </c>
      <c r="J478" s="16" cm="1">
        <f t="array" ref="J478">INDEX(Sm,I478)</f>
        <v>2.6339370251743146</v>
      </c>
      <c r="K478" s="16">
        <f t="shared" si="38"/>
        <v>368.49082853948551</v>
      </c>
      <c r="L478" s="16">
        <f t="shared" si="39"/>
        <v>-0.119171460514508</v>
      </c>
      <c r="M478" s="16">
        <f t="shared" si="40"/>
        <v>1.420183700116094E-2</v>
      </c>
    </row>
    <row r="479" spans="6:13" x14ac:dyDescent="0.4">
      <c r="F479" s="1">
        <v>35916</v>
      </c>
      <c r="G479" s="16">
        <v>369.3</v>
      </c>
      <c r="H479" s="16">
        <f t="shared" si="36"/>
        <v>366.00323055452816</v>
      </c>
      <c r="I479">
        <f t="shared" si="37"/>
        <v>5</v>
      </c>
      <c r="J479" s="16" cm="1">
        <f t="array" ref="J479">INDEX(Sm,I479)</f>
        <v>3.0997257789906989</v>
      </c>
      <c r="K479" s="16">
        <f t="shared" si="38"/>
        <v>369.10295633351888</v>
      </c>
      <c r="L479" s="16">
        <f t="shared" si="39"/>
        <v>-0.19704366648113592</v>
      </c>
      <c r="M479" s="16">
        <f t="shared" si="40"/>
        <v>3.8826206500329127E-2</v>
      </c>
    </row>
    <row r="480" spans="6:13" x14ac:dyDescent="0.4">
      <c r="F480" s="1">
        <v>35947</v>
      </c>
      <c r="G480" s="16">
        <v>368.88</v>
      </c>
      <c r="H480" s="16">
        <f t="shared" si="36"/>
        <v>366.15465703923991</v>
      </c>
      <c r="I480">
        <f t="shared" si="37"/>
        <v>6</v>
      </c>
      <c r="J480" s="16" cm="1">
        <f t="array" ref="J480">INDEX(Sm,I480)</f>
        <v>2.3207404253660839</v>
      </c>
      <c r="K480" s="16">
        <f t="shared" si="38"/>
        <v>368.47539746460598</v>
      </c>
      <c r="L480" s="16">
        <f t="shared" si="39"/>
        <v>-0.40460253539401947</v>
      </c>
      <c r="M480" s="16">
        <f t="shared" si="40"/>
        <v>0.16370321164726878</v>
      </c>
    </row>
    <row r="481" spans="6:13" x14ac:dyDescent="0.4">
      <c r="F481" s="1">
        <v>35977</v>
      </c>
      <c r="G481" s="16">
        <v>367.64</v>
      </c>
      <c r="H481" s="16">
        <f t="shared" si="36"/>
        <v>366.30140179710446</v>
      </c>
      <c r="I481">
        <f t="shared" si="37"/>
        <v>7</v>
      </c>
      <c r="J481" s="16" cm="1">
        <f t="array" ref="J481">INDEX(Sm,I481)</f>
        <v>0.74435685666414753</v>
      </c>
      <c r="K481" s="16">
        <f t="shared" si="38"/>
        <v>367.04575865376859</v>
      </c>
      <c r="L481" s="16">
        <f t="shared" si="39"/>
        <v>-0.59424134623139935</v>
      </c>
      <c r="M481" s="16">
        <f t="shared" si="40"/>
        <v>0.35312277757090582</v>
      </c>
    </row>
    <row r="482" spans="6:13" x14ac:dyDescent="0.4">
      <c r="F482" s="1">
        <v>36008</v>
      </c>
      <c r="G482" s="16">
        <v>365.78</v>
      </c>
      <c r="H482" s="16">
        <f t="shared" si="36"/>
        <v>366.45324810414843</v>
      </c>
      <c r="I482">
        <f t="shared" si="37"/>
        <v>8</v>
      </c>
      <c r="J482" s="16" cm="1">
        <f t="array" ref="J482">INDEX(Sm,I482)</f>
        <v>-1.3868231821212227</v>
      </c>
      <c r="K482" s="16">
        <f t="shared" si="38"/>
        <v>365.06642492202718</v>
      </c>
      <c r="L482" s="16">
        <f t="shared" si="39"/>
        <v>-0.71357507797279141</v>
      </c>
      <c r="M482" s="16">
        <f t="shared" si="40"/>
        <v>0.50918939190387535</v>
      </c>
    </row>
    <row r="483" spans="6:13" x14ac:dyDescent="0.4">
      <c r="F483" s="1">
        <v>36039</v>
      </c>
      <c r="G483" s="16">
        <v>363.9</v>
      </c>
      <c r="H483" s="16">
        <f t="shared" si="36"/>
        <v>366.60530820937845</v>
      </c>
      <c r="I483">
        <f t="shared" si="37"/>
        <v>9</v>
      </c>
      <c r="J483" s="16" cm="1">
        <f t="array" ref="J483">INDEX(Sm,I483)</f>
        <v>-3.1918015790052943</v>
      </c>
      <c r="K483" s="16">
        <f t="shared" si="38"/>
        <v>363.41350663037315</v>
      </c>
      <c r="L483" s="16">
        <f t="shared" si="39"/>
        <v>-0.4864933696268281</v>
      </c>
      <c r="M483" s="16">
        <f t="shared" si="40"/>
        <v>0.23667579869086558</v>
      </c>
    </row>
    <row r="484" spans="6:13" x14ac:dyDescent="0.4">
      <c r="F484" s="1">
        <v>36069</v>
      </c>
      <c r="G484" s="16">
        <v>364.23</v>
      </c>
      <c r="H484" s="16">
        <f t="shared" si="36"/>
        <v>366.75266699780502</v>
      </c>
      <c r="I484">
        <f t="shared" si="37"/>
        <v>10</v>
      </c>
      <c r="J484" s="16" cm="1">
        <f t="array" ref="J484">INDEX(Sm,I484)</f>
        <v>-3.3171210691938846</v>
      </c>
      <c r="K484" s="16">
        <f t="shared" si="38"/>
        <v>363.43554592861113</v>
      </c>
      <c r="L484" s="16">
        <f t="shared" si="39"/>
        <v>-0.79445407138888413</v>
      </c>
      <c r="M484" s="16">
        <f t="shared" si="40"/>
        <v>0.63115727154637424</v>
      </c>
    </row>
    <row r="485" spans="6:13" x14ac:dyDescent="0.4">
      <c r="F485" s="1">
        <v>36100</v>
      </c>
      <c r="G485" s="16">
        <v>365.46</v>
      </c>
      <c r="H485" s="16">
        <f t="shared" si="36"/>
        <v>366.90514868204843</v>
      </c>
      <c r="I485">
        <f t="shared" si="37"/>
        <v>11</v>
      </c>
      <c r="J485" s="16" cm="1">
        <f t="array" ref="J485">INDEX(Sm,I485)</f>
        <v>-2.0577916254037292</v>
      </c>
      <c r="K485" s="16">
        <f t="shared" si="38"/>
        <v>364.84735705664468</v>
      </c>
      <c r="L485" s="16">
        <f t="shared" si="39"/>
        <v>-0.61264294335529712</v>
      </c>
      <c r="M485" s="16">
        <f t="shared" si="40"/>
        <v>0.37533137604304179</v>
      </c>
    </row>
    <row r="486" spans="6:13" x14ac:dyDescent="0.4">
      <c r="F486" s="1">
        <v>36130</v>
      </c>
      <c r="G486" s="16">
        <v>366.97</v>
      </c>
      <c r="H486" s="16">
        <f t="shared" si="36"/>
        <v>367.05291601532332</v>
      </c>
      <c r="I486">
        <f t="shared" si="37"/>
        <v>12</v>
      </c>
      <c r="J486" s="16" cm="1">
        <f t="array" ref="J486">INDEX(Sm,I486)</f>
        <v>-0.88780634062791353</v>
      </c>
      <c r="K486" s="16">
        <f t="shared" si="38"/>
        <v>366.16510967469543</v>
      </c>
      <c r="L486" s="16">
        <f t="shared" si="39"/>
        <v>-0.80489032530459781</v>
      </c>
      <c r="M486" s="16">
        <f t="shared" si="40"/>
        <v>0.64784843576894124</v>
      </c>
    </row>
    <row r="487" spans="6:13" x14ac:dyDescent="0.4">
      <c r="F487" s="1">
        <v>36161</v>
      </c>
      <c r="G487" s="16">
        <v>368.15</v>
      </c>
      <c r="H487" s="16">
        <f t="shared" si="36"/>
        <v>367.20582044738671</v>
      </c>
      <c r="I487">
        <f t="shared" si="37"/>
        <v>1</v>
      </c>
      <c r="J487" s="16" cm="1">
        <f t="array" ref="J487">INDEX(Sm,I487)</f>
        <v>-3.3662626377861403E-2</v>
      </c>
      <c r="K487" s="16">
        <f t="shared" si="38"/>
        <v>367.17215782100885</v>
      </c>
      <c r="L487" s="16">
        <f t="shared" si="39"/>
        <v>-0.97784217899112491</v>
      </c>
      <c r="M487" s="16">
        <f t="shared" si="40"/>
        <v>0.95617532701411112</v>
      </c>
    </row>
    <row r="488" spans="6:13" x14ac:dyDescent="0.4">
      <c r="F488" s="1">
        <v>36192</v>
      </c>
      <c r="G488" s="16">
        <v>368.87</v>
      </c>
      <c r="H488" s="16">
        <f t="shared" si="36"/>
        <v>367.35894016746619</v>
      </c>
      <c r="I488">
        <f t="shared" si="37"/>
        <v>2</v>
      </c>
      <c r="J488" s="16" cm="1">
        <f t="array" ref="J488">INDEX(Sm,I488)</f>
        <v>0.68114275406980329</v>
      </c>
      <c r="K488" s="16">
        <f t="shared" si="38"/>
        <v>368.040082921536</v>
      </c>
      <c r="L488" s="16">
        <f t="shared" si="39"/>
        <v>-0.82991707846400686</v>
      </c>
      <c r="M488" s="16">
        <f t="shared" si="40"/>
        <v>0.68876235712623257</v>
      </c>
    </row>
    <row r="489" spans="6:13" x14ac:dyDescent="0.4">
      <c r="F489" s="1">
        <v>36220</v>
      </c>
      <c r="G489" s="16">
        <v>369.59</v>
      </c>
      <c r="H489" s="16">
        <f t="shared" si="36"/>
        <v>367.49742714688904</v>
      </c>
      <c r="I489">
        <f t="shared" si="37"/>
        <v>3</v>
      </c>
      <c r="J489" s="16" cm="1">
        <f t="array" ref="J489">INDEX(Sm,I489)</f>
        <v>1.3951035824648568</v>
      </c>
      <c r="K489" s="16">
        <f t="shared" si="38"/>
        <v>368.89253072935389</v>
      </c>
      <c r="L489" s="16">
        <f t="shared" si="39"/>
        <v>-0.69746927064608144</v>
      </c>
      <c r="M489" s="16">
        <f t="shared" si="40"/>
        <v>0.48646338349557683</v>
      </c>
    </row>
    <row r="490" spans="6:13" x14ac:dyDescent="0.4">
      <c r="F490" s="1">
        <v>36251</v>
      </c>
      <c r="G490" s="16">
        <v>371.14</v>
      </c>
      <c r="H490" s="16">
        <f t="shared" si="36"/>
        <v>367.65095744648528</v>
      </c>
      <c r="I490">
        <f t="shared" si="37"/>
        <v>4</v>
      </c>
      <c r="J490" s="16" cm="1">
        <f t="array" ref="J490">INDEX(Sm,I490)</f>
        <v>2.6339370251743146</v>
      </c>
      <c r="K490" s="16">
        <f t="shared" si="38"/>
        <v>370.28489447165958</v>
      </c>
      <c r="L490" s="16">
        <f t="shared" si="39"/>
        <v>-0.85510552834040254</v>
      </c>
      <c r="M490" s="16">
        <f t="shared" si="40"/>
        <v>0.73120546459831892</v>
      </c>
    </row>
    <row r="491" spans="6:13" x14ac:dyDescent="0.4">
      <c r="F491" s="1">
        <v>36281</v>
      </c>
      <c r="G491" s="16">
        <v>371</v>
      </c>
      <c r="H491" s="16">
        <f t="shared" si="36"/>
        <v>367.79974097455823</v>
      </c>
      <c r="I491">
        <f t="shared" si="37"/>
        <v>5</v>
      </c>
      <c r="J491" s="16" cm="1">
        <f t="array" ref="J491">INDEX(Sm,I491)</f>
        <v>3.0997257789906989</v>
      </c>
      <c r="K491" s="16">
        <f t="shared" si="38"/>
        <v>370.89946675354895</v>
      </c>
      <c r="L491" s="16">
        <f t="shared" si="39"/>
        <v>-0.10053324645105022</v>
      </c>
      <c r="M491" s="16">
        <f t="shared" si="40"/>
        <v>1.01069336419876E-2</v>
      </c>
    </row>
    <row r="492" spans="6:13" x14ac:dyDescent="0.4">
      <c r="F492" s="1">
        <v>36312</v>
      </c>
      <c r="G492" s="16">
        <v>370.35</v>
      </c>
      <c r="H492" s="16">
        <f t="shared" si="36"/>
        <v>367.95369692920792</v>
      </c>
      <c r="I492">
        <f t="shared" si="37"/>
        <v>6</v>
      </c>
      <c r="J492" s="16" cm="1">
        <f t="array" ref="J492">INDEX(Sm,I492)</f>
        <v>2.3207404253660839</v>
      </c>
      <c r="K492" s="16">
        <f t="shared" si="38"/>
        <v>370.27443735457399</v>
      </c>
      <c r="L492" s="16">
        <f t="shared" si="39"/>
        <v>-7.5562645426032304E-2</v>
      </c>
      <c r="M492" s="16">
        <f t="shared" si="40"/>
        <v>5.7097133837802809E-3</v>
      </c>
    </row>
    <row r="493" spans="6:13" x14ac:dyDescent="0.4">
      <c r="F493" s="1">
        <v>36342</v>
      </c>
      <c r="G493" s="16">
        <v>369.27</v>
      </c>
      <c r="H493" s="16">
        <f t="shared" si="36"/>
        <v>368.10289295214847</v>
      </c>
      <c r="I493">
        <f t="shared" si="37"/>
        <v>7</v>
      </c>
      <c r="J493" s="16" cm="1">
        <f t="array" ref="J493">INDEX(Sm,I493)</f>
        <v>0.74435685666414753</v>
      </c>
      <c r="K493" s="16">
        <f t="shared" si="38"/>
        <v>368.84724980881259</v>
      </c>
      <c r="L493" s="16">
        <f t="shared" si="39"/>
        <v>-0.4227501911873901</v>
      </c>
      <c r="M493" s="16">
        <f t="shared" si="40"/>
        <v>0.17871772414897488</v>
      </c>
    </row>
    <row r="494" spans="6:13" x14ac:dyDescent="0.4">
      <c r="F494" s="1">
        <v>36373</v>
      </c>
      <c r="G494" s="16">
        <v>366.93</v>
      </c>
      <c r="H494" s="16">
        <f t="shared" si="36"/>
        <v>368.25727574195895</v>
      </c>
      <c r="I494">
        <f t="shared" si="37"/>
        <v>8</v>
      </c>
      <c r="J494" s="16" cm="1">
        <f t="array" ref="J494">INDEX(Sm,I494)</f>
        <v>-1.3868231821212227</v>
      </c>
      <c r="K494" s="16">
        <f t="shared" si="38"/>
        <v>366.8704525598377</v>
      </c>
      <c r="L494" s="16">
        <f t="shared" si="39"/>
        <v>-5.9547440162305065E-2</v>
      </c>
      <c r="M494" s="16">
        <f t="shared" si="40"/>
        <v>3.5458976298833023E-3</v>
      </c>
    </row>
    <row r="495" spans="6:13" x14ac:dyDescent="0.4">
      <c r="F495" s="1">
        <v>36404</v>
      </c>
      <c r="G495" s="16">
        <v>364.64</v>
      </c>
      <c r="H495" s="16">
        <f t="shared" si="36"/>
        <v>368.41187590129948</v>
      </c>
      <c r="I495">
        <f t="shared" si="37"/>
        <v>9</v>
      </c>
      <c r="J495" s="16" cm="1">
        <f t="array" ref="J495">INDEX(Sm,I495)</f>
        <v>-3.1918015790052943</v>
      </c>
      <c r="K495" s="16">
        <f t="shared" si="38"/>
        <v>365.22007432229418</v>
      </c>
      <c r="L495" s="16">
        <f t="shared" si="39"/>
        <v>0.58007432229419464</v>
      </c>
      <c r="M495" s="16">
        <f t="shared" si="40"/>
        <v>0.33648621938506917</v>
      </c>
    </row>
    <row r="496" spans="6:13" x14ac:dyDescent="0.4">
      <c r="F496" s="1">
        <v>36434</v>
      </c>
      <c r="G496" s="16">
        <v>365.13</v>
      </c>
      <c r="H496" s="16">
        <f t="shared" si="36"/>
        <v>368.56169621173865</v>
      </c>
      <c r="I496">
        <f t="shared" si="37"/>
        <v>10</v>
      </c>
      <c r="J496" s="16" cm="1">
        <f t="array" ref="J496">INDEX(Sm,I496)</f>
        <v>-3.3171210691938846</v>
      </c>
      <c r="K496" s="16">
        <f t="shared" si="38"/>
        <v>365.24457514254476</v>
      </c>
      <c r="L496" s="16">
        <f t="shared" si="39"/>
        <v>0.11457514254476564</v>
      </c>
      <c r="M496" s="16">
        <f t="shared" si="40"/>
        <v>1.3127463289153365E-2</v>
      </c>
    </row>
    <row r="497" spans="6:13" x14ac:dyDescent="0.4">
      <c r="F497" s="1">
        <v>36465</v>
      </c>
      <c r="G497" s="16">
        <v>366.68</v>
      </c>
      <c r="H497" s="16">
        <f t="shared" si="36"/>
        <v>368.71672499226509</v>
      </c>
      <c r="I497">
        <f t="shared" si="37"/>
        <v>11</v>
      </c>
      <c r="J497" s="16" cm="1">
        <f t="array" ref="J497">INDEX(Sm,I497)</f>
        <v>-2.0577916254037292</v>
      </c>
      <c r="K497" s="16">
        <f t="shared" si="38"/>
        <v>366.65893336686133</v>
      </c>
      <c r="L497" s="16">
        <f t="shared" si="39"/>
        <v>-2.1066633138673296E-2</v>
      </c>
      <c r="M497" s="16">
        <f t="shared" si="40"/>
        <v>4.4380303179944789E-4</v>
      </c>
    </row>
    <row r="498" spans="6:13" x14ac:dyDescent="0.4">
      <c r="F498" s="1">
        <v>36495</v>
      </c>
      <c r="G498" s="16">
        <v>368</v>
      </c>
      <c r="H498" s="16">
        <f t="shared" si="36"/>
        <v>368.86696067199892</v>
      </c>
      <c r="I498">
        <f t="shared" si="37"/>
        <v>12</v>
      </c>
      <c r="J498" s="16" cm="1">
        <f t="array" ref="J498">INDEX(Sm,I498)</f>
        <v>-0.88780634062791353</v>
      </c>
      <c r="K498" s="16">
        <f t="shared" si="38"/>
        <v>367.97915433137103</v>
      </c>
      <c r="L498" s="16">
        <f t="shared" si="39"/>
        <v>-2.0845668628965086E-2</v>
      </c>
      <c r="M498" s="16">
        <f t="shared" si="40"/>
        <v>4.3454190058861913E-4</v>
      </c>
    </row>
    <row r="499" spans="6:13" x14ac:dyDescent="0.4">
      <c r="F499" s="1">
        <v>36526</v>
      </c>
      <c r="G499" s="16">
        <v>369.14</v>
      </c>
      <c r="H499" s="16">
        <f t="shared" si="36"/>
        <v>369.02241926204209</v>
      </c>
      <c r="I499">
        <f t="shared" si="37"/>
        <v>1</v>
      </c>
      <c r="J499" s="16" cm="1">
        <f t="array" ref="J499">INDEX(Sm,I499)</f>
        <v>-3.3662626377861403E-2</v>
      </c>
      <c r="K499" s="16">
        <f t="shared" si="38"/>
        <v>368.98875663566423</v>
      </c>
      <c r="L499" s="16">
        <f t="shared" si="39"/>
        <v>-0.15124336433575536</v>
      </c>
      <c r="M499" s="16">
        <f t="shared" si="40"/>
        <v>2.2874555255598037E-2</v>
      </c>
    </row>
    <row r="500" spans="6:13" x14ac:dyDescent="0.4">
      <c r="F500" s="1">
        <v>36557</v>
      </c>
      <c r="G500" s="16">
        <v>369.46</v>
      </c>
      <c r="H500" s="16">
        <f t="shared" si="36"/>
        <v>369.17809673633201</v>
      </c>
      <c r="I500">
        <f t="shared" si="37"/>
        <v>2</v>
      </c>
      <c r="J500" s="16" cm="1">
        <f t="array" ref="J500">INDEX(Sm,I500)</f>
        <v>0.68114275406980329</v>
      </c>
      <c r="K500" s="16">
        <f t="shared" si="38"/>
        <v>369.85923949040182</v>
      </c>
      <c r="L500" s="16">
        <f t="shared" si="39"/>
        <v>0.3992394904018397</v>
      </c>
      <c r="M500" s="16">
        <f t="shared" si="40"/>
        <v>0.15939217069632067</v>
      </c>
    </row>
    <row r="501" spans="6:13" x14ac:dyDescent="0.4">
      <c r="F501" s="1">
        <v>36586</v>
      </c>
      <c r="G501" s="16">
        <v>370.51</v>
      </c>
      <c r="H501" s="16">
        <f t="shared" si="36"/>
        <v>369.3239289330354</v>
      </c>
      <c r="I501">
        <f t="shared" si="37"/>
        <v>3</v>
      </c>
      <c r="J501" s="16" cm="1">
        <f t="array" ref="J501">INDEX(Sm,I501)</f>
        <v>1.3951035824648568</v>
      </c>
      <c r="K501" s="16">
        <f t="shared" si="38"/>
        <v>370.71903251550026</v>
      </c>
      <c r="L501" s="16">
        <f t="shared" si="39"/>
        <v>0.2090325155002688</v>
      </c>
      <c r="M501" s="16">
        <f t="shared" si="40"/>
        <v>4.3694592536370119E-2</v>
      </c>
    </row>
    <row r="502" spans="6:13" x14ac:dyDescent="0.4">
      <c r="F502" s="1">
        <v>36617</v>
      </c>
      <c r="G502" s="16">
        <v>371.66</v>
      </c>
      <c r="H502" s="16">
        <f t="shared" si="36"/>
        <v>369.48003093013364</v>
      </c>
      <c r="I502">
        <f t="shared" si="37"/>
        <v>4</v>
      </c>
      <c r="J502" s="16" cm="1">
        <f t="array" ref="J502">INDEX(Sm,I502)</f>
        <v>2.6339370251743146</v>
      </c>
      <c r="K502" s="16">
        <f t="shared" si="38"/>
        <v>372.11396795530794</v>
      </c>
      <c r="L502" s="16">
        <f t="shared" si="39"/>
        <v>0.45396795530791678</v>
      </c>
      <c r="M502" s="16">
        <f t="shared" si="40"/>
        <v>0.20608690444645072</v>
      </c>
    </row>
    <row r="503" spans="6:13" x14ac:dyDescent="0.4">
      <c r="F503" s="1">
        <v>36647</v>
      </c>
      <c r="G503" s="16">
        <v>371.83</v>
      </c>
      <c r="H503" s="16">
        <f t="shared" si="36"/>
        <v>369.63130664527648</v>
      </c>
      <c r="I503">
        <f t="shared" si="37"/>
        <v>5</v>
      </c>
      <c r="J503" s="16" cm="1">
        <f t="array" ref="J503">INDEX(Sm,I503)</f>
        <v>3.0997257789906989</v>
      </c>
      <c r="K503" s="16">
        <f t="shared" si="38"/>
        <v>372.7310324242672</v>
      </c>
      <c r="L503" s="16">
        <f t="shared" si="39"/>
        <v>0.90103242426721408</v>
      </c>
      <c r="M503" s="16">
        <f t="shared" si="40"/>
        <v>0.81185942958085289</v>
      </c>
    </row>
    <row r="504" spans="6:13" x14ac:dyDescent="0.4">
      <c r="F504" s="1">
        <v>36678</v>
      </c>
      <c r="G504" s="16">
        <v>371.69</v>
      </c>
      <c r="H504" s="16">
        <f t="shared" si="36"/>
        <v>369.78784142733059</v>
      </c>
      <c r="I504">
        <f t="shared" si="37"/>
        <v>6</v>
      </c>
      <c r="J504" s="16" cm="1">
        <f t="array" ref="J504">INDEX(Sm,I504)</f>
        <v>2.3207404253660839</v>
      </c>
      <c r="K504" s="16">
        <f t="shared" si="38"/>
        <v>372.10858185269666</v>
      </c>
      <c r="L504" s="16">
        <f t="shared" si="39"/>
        <v>0.41858185269666137</v>
      </c>
      <c r="M504" s="16">
        <f t="shared" si="40"/>
        <v>0.17521076740696953</v>
      </c>
    </row>
    <row r="505" spans="6:13" x14ac:dyDescent="0.4">
      <c r="F505" s="1">
        <v>36708</v>
      </c>
      <c r="G505" s="16">
        <v>370.12</v>
      </c>
      <c r="H505" s="16">
        <f t="shared" si="36"/>
        <v>369.93953654680456</v>
      </c>
      <c r="I505">
        <f t="shared" si="37"/>
        <v>7</v>
      </c>
      <c r="J505" s="16" cm="1">
        <f t="array" ref="J505">INDEX(Sm,I505)</f>
        <v>0.74435685666414753</v>
      </c>
      <c r="K505" s="16">
        <f t="shared" si="38"/>
        <v>370.68389340346869</v>
      </c>
      <c r="L505" s="16">
        <f t="shared" si="39"/>
        <v>0.56389340346868266</v>
      </c>
      <c r="M505" s="16">
        <f t="shared" si="40"/>
        <v>0.31797577047549452</v>
      </c>
    </row>
    <row r="506" spans="6:13" x14ac:dyDescent="0.4">
      <c r="F506" s="1">
        <v>36739</v>
      </c>
      <c r="G506" s="16">
        <v>368.12</v>
      </c>
      <c r="H506" s="16">
        <f t="shared" si="36"/>
        <v>370.09650531368902</v>
      </c>
      <c r="I506">
        <f t="shared" si="37"/>
        <v>8</v>
      </c>
      <c r="J506" s="16" cm="1">
        <f t="array" ref="J506">INDEX(Sm,I506)</f>
        <v>-1.3868231821212227</v>
      </c>
      <c r="K506" s="16">
        <f t="shared" si="38"/>
        <v>368.70968213156777</v>
      </c>
      <c r="L506" s="16">
        <f t="shared" si="39"/>
        <v>0.58968213156776983</v>
      </c>
      <c r="M506" s="16">
        <f t="shared" si="40"/>
        <v>0.34772501629030861</v>
      </c>
    </row>
    <row r="507" spans="6:13" x14ac:dyDescent="0.4">
      <c r="F507" s="1">
        <v>36770</v>
      </c>
      <c r="G507" s="16">
        <v>366.62</v>
      </c>
      <c r="H507" s="16">
        <f t="shared" si="36"/>
        <v>370.253695091135</v>
      </c>
      <c r="I507">
        <f t="shared" si="37"/>
        <v>9</v>
      </c>
      <c r="J507" s="16" cm="1">
        <f t="array" ref="J507">INDEX(Sm,I507)</f>
        <v>-3.1918015790052943</v>
      </c>
      <c r="K507" s="16">
        <f t="shared" si="38"/>
        <v>367.0618935121297</v>
      </c>
      <c r="L507" s="16">
        <f t="shared" si="39"/>
        <v>0.44189351212969541</v>
      </c>
      <c r="M507" s="16">
        <f t="shared" si="40"/>
        <v>0.19526987606231727</v>
      </c>
    </row>
    <row r="508" spans="6:13" x14ac:dyDescent="0.4">
      <c r="F508" s="1">
        <v>36800</v>
      </c>
      <c r="G508" s="16">
        <v>366.73</v>
      </c>
      <c r="H508" s="16">
        <f t="shared" si="36"/>
        <v>370.4060249551876</v>
      </c>
      <c r="I508">
        <f t="shared" si="37"/>
        <v>10</v>
      </c>
      <c r="J508" s="16" cm="1">
        <f t="array" ref="J508">INDEX(Sm,I508)</f>
        <v>-3.3171210691938846</v>
      </c>
      <c r="K508" s="16">
        <f t="shared" si="38"/>
        <v>367.08890388599372</v>
      </c>
      <c r="L508" s="16">
        <f t="shared" si="39"/>
        <v>0.35890388599369771</v>
      </c>
      <c r="M508" s="16">
        <f t="shared" si="40"/>
        <v>0.12881199938137716</v>
      </c>
    </row>
    <row r="509" spans="6:13" x14ac:dyDescent="0.4">
      <c r="F509" s="1">
        <v>36831</v>
      </c>
      <c r="G509" s="16">
        <v>368.29</v>
      </c>
      <c r="H509" s="16">
        <f t="shared" si="36"/>
        <v>370.56365053340585</v>
      </c>
      <c r="I509">
        <f t="shared" si="37"/>
        <v>11</v>
      </c>
      <c r="J509" s="16" cm="1">
        <f t="array" ref="J509">INDEX(Sm,I509)</f>
        <v>-2.0577916254037292</v>
      </c>
      <c r="K509" s="16">
        <f t="shared" si="38"/>
        <v>368.5058589080021</v>
      </c>
      <c r="L509" s="16">
        <f t="shared" si="39"/>
        <v>0.21585890800207608</v>
      </c>
      <c r="M509" s="16">
        <f t="shared" si="40"/>
        <v>4.6595068163848744E-2</v>
      </c>
    </row>
    <row r="510" spans="6:13" x14ac:dyDescent="0.4">
      <c r="F510" s="1">
        <v>36861</v>
      </c>
      <c r="G510" s="16">
        <v>369.52</v>
      </c>
      <c r="H510" s="16">
        <f t="shared" si="36"/>
        <v>370.71640272436463</v>
      </c>
      <c r="I510">
        <f t="shared" si="37"/>
        <v>12</v>
      </c>
      <c r="J510" s="16" cm="1">
        <f t="array" ref="J510">INDEX(Sm,I510)</f>
        <v>-0.88780634062791353</v>
      </c>
      <c r="K510" s="16">
        <f t="shared" si="38"/>
        <v>369.82859638373674</v>
      </c>
      <c r="L510" s="16">
        <f t="shared" si="39"/>
        <v>0.3085963837367558</v>
      </c>
      <c r="M510" s="16">
        <f t="shared" si="40"/>
        <v>9.5231728055403031E-2</v>
      </c>
    </row>
    <row r="511" spans="6:13" x14ac:dyDescent="0.4">
      <c r="F511" s="1">
        <v>36892</v>
      </c>
      <c r="G511" s="16">
        <v>370.28</v>
      </c>
      <c r="H511" s="16">
        <f t="shared" si="36"/>
        <v>370.87446531159082</v>
      </c>
      <c r="I511">
        <f t="shared" si="37"/>
        <v>1</v>
      </c>
      <c r="J511" s="16" cm="1">
        <f t="array" ref="J511">INDEX(Sm,I511)</f>
        <v>-3.3662626377861403E-2</v>
      </c>
      <c r="K511" s="16">
        <f t="shared" si="38"/>
        <v>370.84080268521296</v>
      </c>
      <c r="L511" s="16">
        <f t="shared" si="39"/>
        <v>0.56080268521299104</v>
      </c>
      <c r="M511" s="16">
        <f t="shared" si="40"/>
        <v>0.31449965174210109</v>
      </c>
    </row>
    <row r="512" spans="6:13" x14ac:dyDescent="0.4">
      <c r="F512" s="1">
        <v>36923</v>
      </c>
      <c r="G512" s="16">
        <v>371.5</v>
      </c>
      <c r="H512" s="16">
        <f t="shared" si="36"/>
        <v>371.0327504494677</v>
      </c>
      <c r="I512">
        <f t="shared" si="37"/>
        <v>2</v>
      </c>
      <c r="J512" s="16" cm="1">
        <f t="array" ref="J512">INDEX(Sm,I512)</f>
        <v>0.68114275406980329</v>
      </c>
      <c r="K512" s="16">
        <f t="shared" si="38"/>
        <v>371.71389320353751</v>
      </c>
      <c r="L512" s="16">
        <f t="shared" si="39"/>
        <v>0.21389320353750918</v>
      </c>
      <c r="M512" s="16">
        <f t="shared" si="40"/>
        <v>4.5750302519538329E-2</v>
      </c>
    </row>
    <row r="513" spans="6:13" x14ac:dyDescent="0.4">
      <c r="F513" s="1">
        <v>36951</v>
      </c>
      <c r="G513" s="16">
        <v>372.12</v>
      </c>
      <c r="H513" s="16">
        <f t="shared" si="36"/>
        <v>371.17590921844089</v>
      </c>
      <c r="I513">
        <f t="shared" si="37"/>
        <v>3</v>
      </c>
      <c r="J513" s="16" cm="1">
        <f t="array" ref="J513">INDEX(Sm,I513)</f>
        <v>1.3951035824648568</v>
      </c>
      <c r="K513" s="16">
        <f t="shared" si="38"/>
        <v>372.57101280090575</v>
      </c>
      <c r="L513" s="16">
        <f t="shared" si="39"/>
        <v>0.45101280090574392</v>
      </c>
      <c r="M513" s="16">
        <f t="shared" si="40"/>
        <v>0.20341254658084421</v>
      </c>
    </row>
    <row r="514" spans="6:13" x14ac:dyDescent="0.4">
      <c r="F514" s="1">
        <v>36982</v>
      </c>
      <c r="G514" s="16">
        <v>372.86</v>
      </c>
      <c r="H514" s="16">
        <f t="shared" si="36"/>
        <v>371.33461878653083</v>
      </c>
      <c r="I514">
        <f t="shared" si="37"/>
        <v>4</v>
      </c>
      <c r="J514" s="16" cm="1">
        <f t="array" ref="J514">INDEX(Sm,I514)</f>
        <v>2.6339370251743146</v>
      </c>
      <c r="K514" s="16">
        <f t="shared" si="38"/>
        <v>373.96855581170513</v>
      </c>
      <c r="L514" s="16">
        <f t="shared" si="39"/>
        <v>1.1085558117051164</v>
      </c>
      <c r="M514" s="16">
        <f t="shared" si="40"/>
        <v>1.2288959876651895</v>
      </c>
    </row>
    <row r="515" spans="6:13" x14ac:dyDescent="0.4">
      <c r="F515" s="1">
        <v>37012</v>
      </c>
      <c r="G515" s="16">
        <v>374.02</v>
      </c>
      <c r="H515" s="16">
        <f t="shared" ref="H515:H578" si="41">EXP(_A*F515+_B)+_C</f>
        <v>371.48842145311494</v>
      </c>
      <c r="I515">
        <f t="shared" ref="I515:I578" si="42">MONTH(F515)</f>
        <v>5</v>
      </c>
      <c r="J515" s="16" cm="1">
        <f t="array" ref="J515">INDEX(Sm,I515)</f>
        <v>3.0997257789906989</v>
      </c>
      <c r="K515" s="16">
        <f t="shared" ref="K515:K578" si="43">H515+J515</f>
        <v>374.58814723210565</v>
      </c>
      <c r="L515" s="16">
        <f t="shared" ref="L515:L578" si="44">K515-G515</f>
        <v>0.56814723210567308</v>
      </c>
      <c r="M515" s="16">
        <f t="shared" ref="M515:M578" si="45">L515*L515</f>
        <v>0.32279127734933755</v>
      </c>
    </row>
    <row r="516" spans="6:13" x14ac:dyDescent="0.4">
      <c r="F516" s="1">
        <v>37043</v>
      </c>
      <c r="G516" s="16">
        <v>373.31</v>
      </c>
      <c r="H516" s="16">
        <f t="shared" si="41"/>
        <v>371.6475710355204</v>
      </c>
      <c r="I516">
        <f t="shared" si="42"/>
        <v>6</v>
      </c>
      <c r="J516" s="16" cm="1">
        <f t="array" ref="J516">INDEX(Sm,I516)</f>
        <v>2.3207404253660839</v>
      </c>
      <c r="K516" s="16">
        <f t="shared" si="43"/>
        <v>373.96831146088647</v>
      </c>
      <c r="L516" s="16">
        <f t="shared" si="44"/>
        <v>0.65831146088646619</v>
      </c>
      <c r="M516" s="16">
        <f t="shared" si="45"/>
        <v>0.43337397953447332</v>
      </c>
    </row>
    <row r="517" spans="6:13" x14ac:dyDescent="0.4">
      <c r="F517" s="1">
        <v>37073</v>
      </c>
      <c r="G517" s="16">
        <v>371.62</v>
      </c>
      <c r="H517" s="16">
        <f t="shared" si="41"/>
        <v>371.8018001122818</v>
      </c>
      <c r="I517">
        <f t="shared" si="42"/>
        <v>7</v>
      </c>
      <c r="J517" s="16" cm="1">
        <f t="array" ref="J517">INDEX(Sm,I517)</f>
        <v>0.74435685666414753</v>
      </c>
      <c r="K517" s="16">
        <f t="shared" si="43"/>
        <v>372.54615696894592</v>
      </c>
      <c r="L517" s="16">
        <f t="shared" si="44"/>
        <v>0.92615696894591792</v>
      </c>
      <c r="M517" s="16">
        <f t="shared" si="45"/>
        <v>0.85776673112709001</v>
      </c>
    </row>
    <row r="518" spans="6:13" x14ac:dyDescent="0.4">
      <c r="F518" s="1">
        <v>37104</v>
      </c>
      <c r="G518" s="16">
        <v>369.55</v>
      </c>
      <c r="H518" s="16">
        <f t="shared" si="41"/>
        <v>371.96139092892042</v>
      </c>
      <c r="I518">
        <f t="shared" si="42"/>
        <v>8</v>
      </c>
      <c r="J518" s="16" cm="1">
        <f t="array" ref="J518">INDEX(Sm,I518)</f>
        <v>-1.3868231821212227</v>
      </c>
      <c r="K518" s="16">
        <f t="shared" si="43"/>
        <v>370.57456774679918</v>
      </c>
      <c r="L518" s="16">
        <f t="shared" si="44"/>
        <v>1.0245677467991641</v>
      </c>
      <c r="M518" s="16">
        <f t="shared" si="45"/>
        <v>1.049739067781116</v>
      </c>
    </row>
    <row r="519" spans="6:13" x14ac:dyDescent="0.4">
      <c r="F519" s="1">
        <v>37135</v>
      </c>
      <c r="G519" s="16">
        <v>367.96</v>
      </c>
      <c r="H519" s="16">
        <f t="shared" si="41"/>
        <v>372.12120644794243</v>
      </c>
      <c r="I519">
        <f t="shared" si="42"/>
        <v>9</v>
      </c>
      <c r="J519" s="16" cm="1">
        <f t="array" ref="J519">INDEX(Sm,I519)</f>
        <v>-3.1918015790052943</v>
      </c>
      <c r="K519" s="16">
        <f t="shared" si="43"/>
        <v>368.92940486893713</v>
      </c>
      <c r="L519" s="16">
        <f t="shared" si="44"/>
        <v>0.96940486893714706</v>
      </c>
      <c r="M519" s="16">
        <f t="shared" si="45"/>
        <v>0.93974579991904728</v>
      </c>
    </row>
    <row r="520" spans="6:13" x14ac:dyDescent="0.4">
      <c r="F520" s="1">
        <v>37165</v>
      </c>
      <c r="G520" s="16">
        <v>368.09</v>
      </c>
      <c r="H520" s="16">
        <f t="shared" si="41"/>
        <v>372.27608087223149</v>
      </c>
      <c r="I520">
        <f t="shared" si="42"/>
        <v>10</v>
      </c>
      <c r="J520" s="16" cm="1">
        <f t="array" ref="J520">INDEX(Sm,I520)</f>
        <v>-3.3171210691938846</v>
      </c>
      <c r="K520" s="16">
        <f t="shared" si="43"/>
        <v>368.9589598030376</v>
      </c>
      <c r="L520" s="16">
        <f t="shared" si="44"/>
        <v>0.86895980303762599</v>
      </c>
      <c r="M520" s="16">
        <f t="shared" si="45"/>
        <v>0.75509113929518978</v>
      </c>
    </row>
    <row r="521" spans="6:13" x14ac:dyDescent="0.4">
      <c r="F521" s="1">
        <v>37196</v>
      </c>
      <c r="G521" s="16">
        <v>369.68</v>
      </c>
      <c r="H521" s="16">
        <f t="shared" si="41"/>
        <v>372.43633947176249</v>
      </c>
      <c r="I521">
        <f t="shared" si="42"/>
        <v>11</v>
      </c>
      <c r="J521" s="16" cm="1">
        <f t="array" ref="J521">INDEX(Sm,I521)</f>
        <v>-2.0577916254037292</v>
      </c>
      <c r="K521" s="16">
        <f t="shared" si="43"/>
        <v>370.37854784635874</v>
      </c>
      <c r="L521" s="16">
        <f t="shared" si="44"/>
        <v>0.69854784635873557</v>
      </c>
      <c r="M521" s="16">
        <f t="shared" si="45"/>
        <v>0.48796909365242763</v>
      </c>
    </row>
    <row r="522" spans="6:13" x14ac:dyDescent="0.4">
      <c r="F522" s="1">
        <v>37226</v>
      </c>
      <c r="G522" s="16">
        <v>371.24</v>
      </c>
      <c r="H522" s="16">
        <f t="shared" si="41"/>
        <v>372.59164327762335</v>
      </c>
      <c r="I522">
        <f t="shared" si="42"/>
        <v>12</v>
      </c>
      <c r="J522" s="16" cm="1">
        <f t="array" ref="J522">INDEX(Sm,I522)</f>
        <v>-0.88780634062791353</v>
      </c>
      <c r="K522" s="16">
        <f t="shared" si="43"/>
        <v>371.70383693699546</v>
      </c>
      <c r="L522" s="16">
        <f t="shared" si="44"/>
        <v>0.46383693699544892</v>
      </c>
      <c r="M522" s="16">
        <f t="shared" si="45"/>
        <v>0.21514470412132006</v>
      </c>
    </row>
    <row r="523" spans="6:13" x14ac:dyDescent="0.4">
      <c r="F523" s="1">
        <v>37257</v>
      </c>
      <c r="G523" s="16">
        <v>372.44</v>
      </c>
      <c r="H523" s="16">
        <f t="shared" si="41"/>
        <v>372.75234618608181</v>
      </c>
      <c r="I523">
        <f t="shared" si="42"/>
        <v>1</v>
      </c>
      <c r="J523" s="16" cm="1">
        <f t="array" ref="J523">INDEX(Sm,I523)</f>
        <v>-3.3662626377861403E-2</v>
      </c>
      <c r="K523" s="16">
        <f t="shared" si="43"/>
        <v>372.71868355970395</v>
      </c>
      <c r="L523" s="16">
        <f t="shared" si="44"/>
        <v>0.27868355970394987</v>
      </c>
      <c r="M523" s="16">
        <f t="shared" si="45"/>
        <v>7.7664526449264984E-2</v>
      </c>
    </row>
    <row r="524" spans="6:13" x14ac:dyDescent="0.4">
      <c r="F524" s="1">
        <v>37288</v>
      </c>
      <c r="G524" s="16">
        <v>373.08</v>
      </c>
      <c r="H524" s="16">
        <f t="shared" si="41"/>
        <v>372.91327536273855</v>
      </c>
      <c r="I524">
        <f t="shared" si="42"/>
        <v>2</v>
      </c>
      <c r="J524" s="16" cm="1">
        <f t="array" ref="J524">INDEX(Sm,I524)</f>
        <v>0.68114275406980329</v>
      </c>
      <c r="K524" s="16">
        <f t="shared" si="43"/>
        <v>373.59441811680836</v>
      </c>
      <c r="L524" s="16">
        <f t="shared" si="44"/>
        <v>0.51441811680837191</v>
      </c>
      <c r="M524" s="16">
        <f t="shared" si="45"/>
        <v>0.26462599890067179</v>
      </c>
    </row>
    <row r="525" spans="6:13" x14ac:dyDescent="0.4">
      <c r="F525" s="1">
        <v>37316</v>
      </c>
      <c r="G525" s="16">
        <v>373.52</v>
      </c>
      <c r="H525" s="16">
        <f t="shared" si="41"/>
        <v>373.05882549543617</v>
      </c>
      <c r="I525">
        <f t="shared" si="42"/>
        <v>3</v>
      </c>
      <c r="J525" s="16" cm="1">
        <f t="array" ref="J525">INDEX(Sm,I525)</f>
        <v>1.3951035824648568</v>
      </c>
      <c r="K525" s="16">
        <f t="shared" si="43"/>
        <v>374.45392907790102</v>
      </c>
      <c r="L525" s="16">
        <f t="shared" si="44"/>
        <v>0.93392907790104118</v>
      </c>
      <c r="M525" s="16">
        <f t="shared" si="45"/>
        <v>0.87222352254908908</v>
      </c>
    </row>
    <row r="526" spans="6:13" x14ac:dyDescent="0.4">
      <c r="F526" s="1">
        <v>37347</v>
      </c>
      <c r="G526" s="16">
        <v>374.85</v>
      </c>
      <c r="H526" s="16">
        <f t="shared" si="41"/>
        <v>373.22018619210576</v>
      </c>
      <c r="I526">
        <f t="shared" si="42"/>
        <v>4</v>
      </c>
      <c r="J526" s="16" cm="1">
        <f t="array" ref="J526">INDEX(Sm,I526)</f>
        <v>2.6339370251743146</v>
      </c>
      <c r="K526" s="16">
        <f t="shared" si="43"/>
        <v>375.85412321728006</v>
      </c>
      <c r="L526" s="16">
        <f t="shared" si="44"/>
        <v>1.0041232172800392</v>
      </c>
      <c r="M526" s="16">
        <f t="shared" si="45"/>
        <v>1.0082634354808166</v>
      </c>
    </row>
    <row r="527" spans="6:13" x14ac:dyDescent="0.4">
      <c r="F527" s="1">
        <v>37377</v>
      </c>
      <c r="G527" s="16">
        <v>375.55</v>
      </c>
      <c r="H527" s="16">
        <f t="shared" si="41"/>
        <v>373.37655802102785</v>
      </c>
      <c r="I527">
        <f t="shared" si="42"/>
        <v>5</v>
      </c>
      <c r="J527" s="16" cm="1">
        <f t="array" ref="J527">INDEX(Sm,I527)</f>
        <v>3.0997257789906989</v>
      </c>
      <c r="K527" s="16">
        <f t="shared" si="43"/>
        <v>376.47628380001856</v>
      </c>
      <c r="L527" s="16">
        <f t="shared" si="44"/>
        <v>0.92628380001855248</v>
      </c>
      <c r="M527" s="16">
        <f t="shared" si="45"/>
        <v>0.85800167817680972</v>
      </c>
    </row>
    <row r="528" spans="6:13" x14ac:dyDescent="0.4">
      <c r="F528" s="1">
        <v>37408</v>
      </c>
      <c r="G528" s="16">
        <v>375.4</v>
      </c>
      <c r="H528" s="16">
        <f t="shared" si="41"/>
        <v>373.53836608213396</v>
      </c>
      <c r="I528">
        <f t="shared" si="42"/>
        <v>6</v>
      </c>
      <c r="J528" s="16" cm="1">
        <f t="array" ref="J528">INDEX(Sm,I528)</f>
        <v>2.3207404253660839</v>
      </c>
      <c r="K528" s="16">
        <f t="shared" si="43"/>
        <v>375.85910650750003</v>
      </c>
      <c r="L528" s="16">
        <f t="shared" si="44"/>
        <v>0.45910650750005289</v>
      </c>
      <c r="M528" s="16">
        <f t="shared" si="45"/>
        <v>0.21077878522889612</v>
      </c>
    </row>
    <row r="529" spans="6:13" x14ac:dyDescent="0.4">
      <c r="F529" s="1">
        <v>37438</v>
      </c>
      <c r="G529" s="16">
        <v>374.02</v>
      </c>
      <c r="H529" s="16">
        <f t="shared" si="41"/>
        <v>373.69517144410702</v>
      </c>
      <c r="I529">
        <f t="shared" si="42"/>
        <v>7</v>
      </c>
      <c r="J529" s="16" cm="1">
        <f t="array" ref="J529">INDEX(Sm,I529)</f>
        <v>0.74435685666414753</v>
      </c>
      <c r="K529" s="16">
        <f t="shared" si="43"/>
        <v>374.43952830077114</v>
      </c>
      <c r="L529" s="16">
        <f t="shared" si="44"/>
        <v>0.41952830077116232</v>
      </c>
      <c r="M529" s="16">
        <f t="shared" si="45"/>
        <v>0.17600399514793882</v>
      </c>
    </row>
    <row r="530" spans="6:13" x14ac:dyDescent="0.4">
      <c r="F530" s="1">
        <v>37469</v>
      </c>
      <c r="G530" s="16">
        <v>371.48</v>
      </c>
      <c r="H530" s="16">
        <f t="shared" si="41"/>
        <v>373.85742810994515</v>
      </c>
      <c r="I530">
        <f t="shared" si="42"/>
        <v>8</v>
      </c>
      <c r="J530" s="16" cm="1">
        <f t="array" ref="J530">INDEX(Sm,I530)</f>
        <v>-1.3868231821212227</v>
      </c>
      <c r="K530" s="16">
        <f t="shared" si="43"/>
        <v>372.4706049278239</v>
      </c>
      <c r="L530" s="16">
        <f t="shared" si="44"/>
        <v>0.9906049278238811</v>
      </c>
      <c r="M530" s="16">
        <f t="shared" si="45"/>
        <v>0.98129812302895669</v>
      </c>
    </row>
    <row r="531" spans="6:13" x14ac:dyDescent="0.4">
      <c r="F531" s="1">
        <v>37500</v>
      </c>
      <c r="G531" s="16">
        <v>370.7</v>
      </c>
      <c r="H531" s="16">
        <f t="shared" si="41"/>
        <v>374.01991323165748</v>
      </c>
      <c r="I531">
        <f t="shared" si="42"/>
        <v>9</v>
      </c>
      <c r="J531" s="16" cm="1">
        <f t="array" ref="J531">INDEX(Sm,I531)</f>
        <v>-3.1918015790052943</v>
      </c>
      <c r="K531" s="16">
        <f t="shared" si="43"/>
        <v>370.82811165265218</v>
      </c>
      <c r="L531" s="16">
        <f t="shared" si="44"/>
        <v>0.12811165265219415</v>
      </c>
      <c r="M531" s="16">
        <f t="shared" si="45"/>
        <v>1.6412595545276444E-2</v>
      </c>
    </row>
    <row r="532" spans="6:13" x14ac:dyDescent="0.4">
      <c r="F532" s="1">
        <v>37530</v>
      </c>
      <c r="G532" s="16">
        <v>370.25</v>
      </c>
      <c r="H532" s="16">
        <f t="shared" si="41"/>
        <v>374.17737472122207</v>
      </c>
      <c r="I532">
        <f t="shared" si="42"/>
        <v>10</v>
      </c>
      <c r="J532" s="16" cm="1">
        <f t="array" ref="J532">INDEX(Sm,I532)</f>
        <v>-3.3171210691938846</v>
      </c>
      <c r="K532" s="16">
        <f t="shared" si="43"/>
        <v>370.86025365202818</v>
      </c>
      <c r="L532" s="16">
        <f t="shared" si="44"/>
        <v>0.61025365202817738</v>
      </c>
      <c r="M532" s="16">
        <f t="shared" si="45"/>
        <v>0.37240951981372783</v>
      </c>
    </row>
    <row r="533" spans="6:13" x14ac:dyDescent="0.4">
      <c r="F533" s="1">
        <v>37561</v>
      </c>
      <c r="G533" s="16">
        <v>372.08</v>
      </c>
      <c r="H533" s="16">
        <f t="shared" si="41"/>
        <v>374.34031032478288</v>
      </c>
      <c r="I533">
        <f t="shared" si="42"/>
        <v>11</v>
      </c>
      <c r="J533" s="16" cm="1">
        <f t="array" ref="J533">INDEX(Sm,I533)</f>
        <v>-2.0577916254037292</v>
      </c>
      <c r="K533" s="16">
        <f t="shared" si="43"/>
        <v>372.28251869937912</v>
      </c>
      <c r="L533" s="16">
        <f t="shared" si="44"/>
        <v>0.2025186993791408</v>
      </c>
      <c r="M533" s="16">
        <f t="shared" si="45"/>
        <v>4.1013823598218806E-2</v>
      </c>
    </row>
    <row r="534" spans="6:13" x14ac:dyDescent="0.4">
      <c r="F534" s="1">
        <v>37591</v>
      </c>
      <c r="G534" s="16">
        <v>373.78</v>
      </c>
      <c r="H534" s="16">
        <f t="shared" si="41"/>
        <v>374.49820836842792</v>
      </c>
      <c r="I534">
        <f t="shared" si="42"/>
        <v>12</v>
      </c>
      <c r="J534" s="16" cm="1">
        <f t="array" ref="J534">INDEX(Sm,I534)</f>
        <v>-0.88780634062791353</v>
      </c>
      <c r="K534" s="16">
        <f t="shared" si="43"/>
        <v>373.61040202780003</v>
      </c>
      <c r="L534" s="16">
        <f t="shared" si="44"/>
        <v>-0.16959797219993789</v>
      </c>
      <c r="M534" s="16">
        <f t="shared" si="45"/>
        <v>2.8763472174330902E-2</v>
      </c>
    </row>
    <row r="535" spans="6:13" x14ac:dyDescent="0.4">
      <c r="F535" s="1">
        <v>37622</v>
      </c>
      <c r="G535" s="16">
        <v>374.68</v>
      </c>
      <c r="H535" s="16">
        <f t="shared" si="41"/>
        <v>374.66159570277568</v>
      </c>
      <c r="I535">
        <f t="shared" si="42"/>
        <v>1</v>
      </c>
      <c r="J535" s="16" cm="1">
        <f t="array" ref="J535">INDEX(Sm,I535)</f>
        <v>-3.3662626377861403E-2</v>
      </c>
      <c r="K535" s="16">
        <f t="shared" si="43"/>
        <v>374.62793307639782</v>
      </c>
      <c r="L535" s="16">
        <f t="shared" si="44"/>
        <v>-5.2066923602183124E-2</v>
      </c>
      <c r="M535" s="16">
        <f t="shared" si="45"/>
        <v>2.710964533395574E-3</v>
      </c>
    </row>
    <row r="536" spans="6:13" x14ac:dyDescent="0.4">
      <c r="F536" s="1">
        <v>37653</v>
      </c>
      <c r="G536" s="16">
        <v>375.62</v>
      </c>
      <c r="H536" s="16">
        <f t="shared" si="41"/>
        <v>374.8252130849682</v>
      </c>
      <c r="I536">
        <f t="shared" si="42"/>
        <v>2</v>
      </c>
      <c r="J536" s="16" cm="1">
        <f t="array" ref="J536">INDEX(Sm,I536)</f>
        <v>0.68114275406980329</v>
      </c>
      <c r="K536" s="16">
        <f t="shared" si="43"/>
        <v>375.50635583903801</v>
      </c>
      <c r="L536" s="16">
        <f t="shared" si="44"/>
        <v>-0.11364416096199648</v>
      </c>
      <c r="M536" s="16">
        <f t="shared" si="45"/>
        <v>1.2914995320756163E-2</v>
      </c>
    </row>
    <row r="537" spans="6:13" x14ac:dyDescent="0.4">
      <c r="F537" s="1">
        <v>37681</v>
      </c>
      <c r="G537" s="16">
        <v>376.11</v>
      </c>
      <c r="H537" s="16">
        <f t="shared" si="41"/>
        <v>374.97319452739231</v>
      </c>
      <c r="I537">
        <f t="shared" si="42"/>
        <v>3</v>
      </c>
      <c r="J537" s="16" cm="1">
        <f t="array" ref="J537">INDEX(Sm,I537)</f>
        <v>1.3951035824648568</v>
      </c>
      <c r="K537" s="16">
        <f t="shared" si="43"/>
        <v>376.36829810985716</v>
      </c>
      <c r="L537" s="16">
        <f t="shared" si="44"/>
        <v>0.25829810985715085</v>
      </c>
      <c r="M537" s="16">
        <f t="shared" si="45"/>
        <v>6.6717913555776762E-2</v>
      </c>
    </row>
    <row r="538" spans="6:13" x14ac:dyDescent="0.4">
      <c r="F538" s="1">
        <v>37712</v>
      </c>
      <c r="G538" s="16">
        <v>377.65</v>
      </c>
      <c r="H538" s="16">
        <f t="shared" si="41"/>
        <v>375.13725063782749</v>
      </c>
      <c r="I538">
        <f t="shared" si="42"/>
        <v>4</v>
      </c>
      <c r="J538" s="16" cm="1">
        <f t="array" ref="J538">INDEX(Sm,I538)</f>
        <v>2.6339370251743146</v>
      </c>
      <c r="K538" s="16">
        <f t="shared" si="43"/>
        <v>377.7711876630018</v>
      </c>
      <c r="L538" s="16">
        <f t="shared" si="44"/>
        <v>0.1211876630018196</v>
      </c>
      <c r="M538" s="16">
        <f t="shared" si="45"/>
        <v>1.4686449663842596E-2</v>
      </c>
    </row>
    <row r="539" spans="6:13" x14ac:dyDescent="0.4">
      <c r="F539" s="1">
        <v>37742</v>
      </c>
      <c r="G539" s="16">
        <v>378.35</v>
      </c>
      <c r="H539" s="16">
        <f t="shared" si="41"/>
        <v>375.29623454508686</v>
      </c>
      <c r="I539">
        <f t="shared" si="42"/>
        <v>5</v>
      </c>
      <c r="J539" s="16" cm="1">
        <f t="array" ref="J539">INDEX(Sm,I539)</f>
        <v>3.0997257789906989</v>
      </c>
      <c r="K539" s="16">
        <f t="shared" si="43"/>
        <v>378.39596032407758</v>
      </c>
      <c r="L539" s="16">
        <f t="shared" si="44"/>
        <v>4.5960324077555015E-2</v>
      </c>
      <c r="M539" s="16">
        <f t="shared" si="45"/>
        <v>2.1123513893138834E-3</v>
      </c>
    </row>
    <row r="540" spans="6:13" x14ac:dyDescent="0.4">
      <c r="F540" s="1">
        <v>37773</v>
      </c>
      <c r="G540" s="16">
        <v>378.13</v>
      </c>
      <c r="H540" s="16">
        <f t="shared" si="41"/>
        <v>375.46074549285805</v>
      </c>
      <c r="I540">
        <f t="shared" si="42"/>
        <v>6</v>
      </c>
      <c r="J540" s="16" cm="1">
        <f t="array" ref="J540">INDEX(Sm,I540)</f>
        <v>2.3207404253660839</v>
      </c>
      <c r="K540" s="16">
        <f t="shared" si="43"/>
        <v>377.78148591822412</v>
      </c>
      <c r="L540" s="16">
        <f t="shared" si="44"/>
        <v>-0.34851408177587473</v>
      </c>
      <c r="M540" s="16">
        <f t="shared" si="45"/>
        <v>0.1214620651960811</v>
      </c>
    </row>
    <row r="541" spans="6:13" x14ac:dyDescent="0.4">
      <c r="F541" s="1">
        <v>37803</v>
      </c>
      <c r="G541" s="16">
        <v>376.6</v>
      </c>
      <c r="H541" s="16">
        <f t="shared" si="41"/>
        <v>375.6201701750245</v>
      </c>
      <c r="I541">
        <f t="shared" si="42"/>
        <v>7</v>
      </c>
      <c r="J541" s="16" cm="1">
        <f t="array" ref="J541">INDEX(Sm,I541)</f>
        <v>0.74435685666414753</v>
      </c>
      <c r="K541" s="16">
        <f t="shared" si="43"/>
        <v>376.36452703168862</v>
      </c>
      <c r="L541" s="16">
        <f t="shared" si="44"/>
        <v>-0.23547296831139874</v>
      </c>
      <c r="M541" s="16">
        <f t="shared" si="45"/>
        <v>5.5447518805380999E-2</v>
      </c>
    </row>
    <row r="542" spans="6:13" x14ac:dyDescent="0.4">
      <c r="F542" s="1">
        <v>37834</v>
      </c>
      <c r="G542" s="16">
        <v>374.48</v>
      </c>
      <c r="H542" s="16">
        <f t="shared" si="41"/>
        <v>375.78513722114536</v>
      </c>
      <c r="I542">
        <f t="shared" si="42"/>
        <v>8</v>
      </c>
      <c r="J542" s="16" cm="1">
        <f t="array" ref="J542">INDEX(Sm,I542)</f>
        <v>-1.3868231821212227</v>
      </c>
      <c r="K542" s="16">
        <f t="shared" si="43"/>
        <v>374.39831403902411</v>
      </c>
      <c r="L542" s="16">
        <f t="shared" si="44"/>
        <v>-8.1685960975903527E-2</v>
      </c>
      <c r="M542" s="16">
        <f t="shared" si="45"/>
        <v>6.6725962205568335E-3</v>
      </c>
    </row>
    <row r="543" spans="6:13" x14ac:dyDescent="0.4">
      <c r="F543" s="1">
        <v>37865</v>
      </c>
      <c r="G543" s="16">
        <v>372.98</v>
      </c>
      <c r="H543" s="16">
        <f t="shared" si="41"/>
        <v>375.95033653933081</v>
      </c>
      <c r="I543">
        <f t="shared" si="42"/>
        <v>9</v>
      </c>
      <c r="J543" s="16" cm="1">
        <f t="array" ref="J543">INDEX(Sm,I543)</f>
        <v>-3.1918015790052943</v>
      </c>
      <c r="K543" s="16">
        <f t="shared" si="43"/>
        <v>372.75853496032551</v>
      </c>
      <c r="L543" s="16">
        <f t="shared" si="44"/>
        <v>-0.22146503967451281</v>
      </c>
      <c r="M543" s="16">
        <f t="shared" si="45"/>
        <v>4.9046763798033535E-2</v>
      </c>
    </row>
    <row r="544" spans="6:13" x14ac:dyDescent="0.4">
      <c r="F544" s="1">
        <v>37895</v>
      </c>
      <c r="G544" s="16">
        <v>373</v>
      </c>
      <c r="H544" s="16">
        <f t="shared" si="41"/>
        <v>376.1104283092256</v>
      </c>
      <c r="I544">
        <f t="shared" si="42"/>
        <v>10</v>
      </c>
      <c r="J544" s="16" cm="1">
        <f t="array" ref="J544">INDEX(Sm,I544)</f>
        <v>-3.3171210691938846</v>
      </c>
      <c r="K544" s="16">
        <f t="shared" si="43"/>
        <v>372.79330724003171</v>
      </c>
      <c r="L544" s="16">
        <f t="shared" si="44"/>
        <v>-0.20669275996829128</v>
      </c>
      <c r="M544" s="16">
        <f t="shared" si="45"/>
        <v>4.2721897023309675E-2</v>
      </c>
    </row>
    <row r="545" spans="6:13" x14ac:dyDescent="0.4">
      <c r="F545" s="1">
        <v>37926</v>
      </c>
      <c r="G545" s="16">
        <v>374.35</v>
      </c>
      <c r="H545" s="16">
        <f t="shared" si="41"/>
        <v>376.27608563423303</v>
      </c>
      <c r="I545">
        <f t="shared" si="42"/>
        <v>11</v>
      </c>
      <c r="J545" s="16" cm="1">
        <f t="array" ref="J545">INDEX(Sm,I545)</f>
        <v>-2.0577916254037292</v>
      </c>
      <c r="K545" s="16">
        <f t="shared" si="43"/>
        <v>374.21829400882928</v>
      </c>
      <c r="L545" s="16">
        <f t="shared" si="44"/>
        <v>-0.13170599117074744</v>
      </c>
      <c r="M545" s="16">
        <f t="shared" si="45"/>
        <v>1.7346468110269003E-2</v>
      </c>
    </row>
    <row r="546" spans="6:13" x14ac:dyDescent="0.4">
      <c r="F546" s="1">
        <v>37956</v>
      </c>
      <c r="G546" s="16">
        <v>375.69</v>
      </c>
      <c r="H546" s="16">
        <f t="shared" si="41"/>
        <v>376.43662125052867</v>
      </c>
      <c r="I546">
        <f t="shared" si="42"/>
        <v>12</v>
      </c>
      <c r="J546" s="16" cm="1">
        <f t="array" ref="J546">INDEX(Sm,I546)</f>
        <v>-0.88780634062791353</v>
      </c>
      <c r="K546" s="16">
        <f t="shared" si="43"/>
        <v>375.54881490990078</v>
      </c>
      <c r="L546" s="16">
        <f t="shared" si="44"/>
        <v>-0.14118509009921354</v>
      </c>
      <c r="M546" s="16">
        <f t="shared" si="45"/>
        <v>1.9933229666323046E-2</v>
      </c>
    </row>
    <row r="547" spans="6:13" x14ac:dyDescent="0.4">
      <c r="F547" s="1">
        <v>37987</v>
      </c>
      <c r="G547" s="16">
        <v>376.79</v>
      </c>
      <c r="H547" s="16">
        <f t="shared" si="41"/>
        <v>376.60273785215912</v>
      </c>
      <c r="I547">
        <f t="shared" si="42"/>
        <v>1</v>
      </c>
      <c r="J547" s="16" cm="1">
        <f t="array" ref="J547">INDEX(Sm,I547)</f>
        <v>-3.3662626377861403E-2</v>
      </c>
      <c r="K547" s="16">
        <f t="shared" si="43"/>
        <v>376.56907522578126</v>
      </c>
      <c r="L547" s="16">
        <f t="shared" si="44"/>
        <v>-0.22092477421875856</v>
      </c>
      <c r="M547" s="16">
        <f t="shared" si="45"/>
        <v>4.8807755863609449E-2</v>
      </c>
    </row>
    <row r="548" spans="6:13" x14ac:dyDescent="0.4">
      <c r="F548" s="1">
        <v>38018</v>
      </c>
      <c r="G548" s="16">
        <v>377.37</v>
      </c>
      <c r="H548" s="16">
        <f t="shared" si="41"/>
        <v>376.76908834441741</v>
      </c>
      <c r="I548">
        <f t="shared" si="42"/>
        <v>2</v>
      </c>
      <c r="J548" s="16" cm="1">
        <f t="array" ref="J548">INDEX(Sm,I548)</f>
        <v>0.68114275406980329</v>
      </c>
      <c r="K548" s="16">
        <f t="shared" si="43"/>
        <v>377.45023109848722</v>
      </c>
      <c r="L548" s="16">
        <f t="shared" si="44"/>
        <v>8.0231098487217878E-2</v>
      </c>
      <c r="M548" s="16">
        <f t="shared" si="45"/>
        <v>6.437029164465655E-3</v>
      </c>
    </row>
    <row r="549" spans="6:13" x14ac:dyDescent="0.4">
      <c r="F549" s="1">
        <v>38047</v>
      </c>
      <c r="G549" s="16">
        <v>378.39</v>
      </c>
      <c r="H549" s="16">
        <f t="shared" si="41"/>
        <v>376.92491858138243</v>
      </c>
      <c r="I549">
        <f t="shared" si="42"/>
        <v>3</v>
      </c>
      <c r="J549" s="16" cm="1">
        <f t="array" ref="J549">INDEX(Sm,I549)</f>
        <v>1.3951035824648568</v>
      </c>
      <c r="K549" s="16">
        <f t="shared" si="43"/>
        <v>378.32002216384728</v>
      </c>
      <c r="L549" s="16">
        <f t="shared" si="44"/>
        <v>-6.9977836152702366E-2</v>
      </c>
      <c r="M549" s="16">
        <f t="shared" si="45"/>
        <v>4.8968975526144584E-3</v>
      </c>
    </row>
    <row r="550" spans="6:13" x14ac:dyDescent="0.4">
      <c r="F550" s="1">
        <v>38078</v>
      </c>
      <c r="G550" s="16">
        <v>380.5</v>
      </c>
      <c r="H550" s="16">
        <f t="shared" si="41"/>
        <v>377.09172270110651</v>
      </c>
      <c r="I550">
        <f t="shared" si="42"/>
        <v>4</v>
      </c>
      <c r="J550" s="16" cm="1">
        <f t="array" ref="J550">INDEX(Sm,I550)</f>
        <v>2.6339370251743146</v>
      </c>
      <c r="K550" s="16">
        <f t="shared" si="43"/>
        <v>379.72565972628081</v>
      </c>
      <c r="L550" s="16">
        <f t="shared" si="44"/>
        <v>-0.77434027371919001</v>
      </c>
      <c r="M550" s="16">
        <f t="shared" si="45"/>
        <v>0.59960285950351011</v>
      </c>
    </row>
    <row r="551" spans="6:13" x14ac:dyDescent="0.4">
      <c r="F551" s="1">
        <v>38108</v>
      </c>
      <c r="G551" s="16">
        <v>380.62</v>
      </c>
      <c r="H551" s="16">
        <f t="shared" si="41"/>
        <v>377.2533696561045</v>
      </c>
      <c r="I551">
        <f t="shared" si="42"/>
        <v>5</v>
      </c>
      <c r="J551" s="16" cm="1">
        <f t="array" ref="J551">INDEX(Sm,I551)</f>
        <v>3.0997257789906989</v>
      </c>
      <c r="K551" s="16">
        <f t="shared" si="43"/>
        <v>380.35309543509521</v>
      </c>
      <c r="L551" s="16">
        <f t="shared" si="44"/>
        <v>-0.26690456490479164</v>
      </c>
      <c r="M551" s="16">
        <f t="shared" si="45"/>
        <v>7.123804676701613E-2</v>
      </c>
    </row>
    <row r="552" spans="6:13" x14ac:dyDescent="0.4">
      <c r="F552" s="1">
        <v>38139</v>
      </c>
      <c r="G552" s="16">
        <v>379.55</v>
      </c>
      <c r="H552" s="16">
        <f t="shared" si="41"/>
        <v>377.42063623188244</v>
      </c>
      <c r="I552">
        <f t="shared" si="42"/>
        <v>6</v>
      </c>
      <c r="J552" s="16" cm="1">
        <f t="array" ref="J552">INDEX(Sm,I552)</f>
        <v>2.3207404253660839</v>
      </c>
      <c r="K552" s="16">
        <f t="shared" si="43"/>
        <v>379.74137665724851</v>
      </c>
      <c r="L552" s="16">
        <f t="shared" si="44"/>
        <v>0.19137665724849739</v>
      </c>
      <c r="M552" s="16">
        <f t="shared" si="45"/>
        <v>3.6625024939608848E-2</v>
      </c>
    </row>
    <row r="553" spans="6:13" x14ac:dyDescent="0.4">
      <c r="F553" s="1">
        <v>38169</v>
      </c>
      <c r="G553" s="16">
        <v>377.76</v>
      </c>
      <c r="H553" s="16">
        <f t="shared" si="41"/>
        <v>377.5827313449538</v>
      </c>
      <c r="I553">
        <f t="shared" si="42"/>
        <v>7</v>
      </c>
      <c r="J553" s="16" cm="1">
        <f t="array" ref="J553">INDEX(Sm,I553)</f>
        <v>0.74435685666414753</v>
      </c>
      <c r="K553" s="16">
        <f t="shared" si="43"/>
        <v>378.32708820161793</v>
      </c>
      <c r="L553" s="16">
        <f t="shared" si="44"/>
        <v>0.56708820161793483</v>
      </c>
      <c r="M553" s="16">
        <f t="shared" si="45"/>
        <v>0.32158902841426351</v>
      </c>
    </row>
    <row r="554" spans="6:13" x14ac:dyDescent="0.4">
      <c r="F554" s="1">
        <v>38200</v>
      </c>
      <c r="G554" s="16">
        <v>375.83</v>
      </c>
      <c r="H554" s="16">
        <f t="shared" si="41"/>
        <v>377.75046165892184</v>
      </c>
      <c r="I554">
        <f t="shared" si="42"/>
        <v>8</v>
      </c>
      <c r="J554" s="16" cm="1">
        <f t="array" ref="J554">INDEX(Sm,I554)</f>
        <v>-1.3868231821212227</v>
      </c>
      <c r="K554" s="16">
        <f t="shared" si="43"/>
        <v>376.36363847680059</v>
      </c>
      <c r="L554" s="16">
        <f t="shared" si="44"/>
        <v>0.53363847680060417</v>
      </c>
      <c r="M554" s="16">
        <f t="shared" si="45"/>
        <v>0.28477002392206896</v>
      </c>
    </row>
    <row r="555" spans="6:13" x14ac:dyDescent="0.4">
      <c r="F555" s="1">
        <v>38231</v>
      </c>
      <c r="G555" s="16">
        <v>374.05</v>
      </c>
      <c r="H555" s="16">
        <f t="shared" si="41"/>
        <v>377.91842813560959</v>
      </c>
      <c r="I555">
        <f t="shared" si="42"/>
        <v>9</v>
      </c>
      <c r="J555" s="16" cm="1">
        <f t="array" ref="J555">INDEX(Sm,I555)</f>
        <v>-3.1918015790052943</v>
      </c>
      <c r="K555" s="16">
        <f t="shared" si="43"/>
        <v>374.72662655660429</v>
      </c>
      <c r="L555" s="16">
        <f t="shared" si="44"/>
        <v>0.67662655660427617</v>
      </c>
      <c r="M555" s="16">
        <f t="shared" si="45"/>
        <v>0.45782349710215975</v>
      </c>
    </row>
    <row r="556" spans="6:13" x14ac:dyDescent="0.4">
      <c r="F556" s="1">
        <v>38261</v>
      </c>
      <c r="G556" s="16">
        <v>374.22</v>
      </c>
      <c r="H556" s="16">
        <f t="shared" si="41"/>
        <v>378.08120151041129</v>
      </c>
      <c r="I556">
        <f t="shared" si="42"/>
        <v>10</v>
      </c>
      <c r="J556" s="16" cm="1">
        <f t="array" ref="J556">INDEX(Sm,I556)</f>
        <v>-3.3171210691938846</v>
      </c>
      <c r="K556" s="16">
        <f t="shared" si="43"/>
        <v>374.7640804412174</v>
      </c>
      <c r="L556" s="16">
        <f t="shared" si="44"/>
        <v>0.54408044121737476</v>
      </c>
      <c r="M556" s="16">
        <f t="shared" si="45"/>
        <v>0.29602352651529318</v>
      </c>
    </row>
    <row r="557" spans="6:13" x14ac:dyDescent="0.4">
      <c r="F557" s="1">
        <v>38292</v>
      </c>
      <c r="G557" s="16">
        <v>375.84</v>
      </c>
      <c r="H557" s="16">
        <f t="shared" si="41"/>
        <v>378.24963366572928</v>
      </c>
      <c r="I557">
        <f t="shared" si="42"/>
        <v>11</v>
      </c>
      <c r="J557" s="16" cm="1">
        <f t="array" ref="J557">INDEX(Sm,I557)</f>
        <v>-2.0577916254037292</v>
      </c>
      <c r="K557" s="16">
        <f t="shared" si="43"/>
        <v>376.19184204032553</v>
      </c>
      <c r="L557" s="16">
        <f t="shared" si="44"/>
        <v>0.35184204032555044</v>
      </c>
      <c r="M557" s="16">
        <f t="shared" si="45"/>
        <v>0.12379282134044627</v>
      </c>
    </row>
    <row r="558" spans="6:13" x14ac:dyDescent="0.4">
      <c r="F558" s="1">
        <v>38322</v>
      </c>
      <c r="G558" s="16">
        <v>377.44</v>
      </c>
      <c r="H558" s="16">
        <f t="shared" si="41"/>
        <v>378.41285832154676</v>
      </c>
      <c r="I558">
        <f t="shared" si="42"/>
        <v>12</v>
      </c>
      <c r="J558" s="16" cm="1">
        <f t="array" ref="J558">INDEX(Sm,I558)</f>
        <v>-0.88780634062791353</v>
      </c>
      <c r="K558" s="16">
        <f t="shared" si="43"/>
        <v>377.52505198091887</v>
      </c>
      <c r="L558" s="16">
        <f t="shared" si="44"/>
        <v>8.5051980918876779E-2</v>
      </c>
      <c r="M558" s="16">
        <f t="shared" si="45"/>
        <v>7.2338394582249794E-3</v>
      </c>
    </row>
    <row r="559" spans="6:13" x14ac:dyDescent="0.4">
      <c r="F559" s="1">
        <v>38353</v>
      </c>
      <c r="G559" s="16">
        <v>378.34</v>
      </c>
      <c r="H559" s="16">
        <f t="shared" si="41"/>
        <v>378.58175744656569</v>
      </c>
      <c r="I559">
        <f t="shared" si="42"/>
        <v>1</v>
      </c>
      <c r="J559" s="16" cm="1">
        <f t="array" ref="J559">INDEX(Sm,I559)</f>
        <v>-3.3662626377861403E-2</v>
      </c>
      <c r="K559" s="16">
        <f t="shared" si="43"/>
        <v>378.54809482018783</v>
      </c>
      <c r="L559" s="16">
        <f t="shared" si="44"/>
        <v>0.20809482018785275</v>
      </c>
      <c r="M559" s="16">
        <f t="shared" si="45"/>
        <v>4.3303454189014767E-2</v>
      </c>
    </row>
    <row r="560" spans="6:13" x14ac:dyDescent="0.4">
      <c r="F560" s="1">
        <v>38384</v>
      </c>
      <c r="G560" s="16">
        <v>379.61</v>
      </c>
      <c r="H560" s="16">
        <f t="shared" si="41"/>
        <v>378.7508943799794</v>
      </c>
      <c r="I560">
        <f t="shared" si="42"/>
        <v>2</v>
      </c>
      <c r="J560" s="16" cm="1">
        <f t="array" ref="J560">INDEX(Sm,I560)</f>
        <v>0.68114275406980329</v>
      </c>
      <c r="K560" s="16">
        <f t="shared" si="43"/>
        <v>379.43203713404921</v>
      </c>
      <c r="L560" s="16">
        <f t="shared" si="44"/>
        <v>-0.17796286595080346</v>
      </c>
      <c r="M560" s="16">
        <f t="shared" si="45"/>
        <v>3.1670781657423645E-2</v>
      </c>
    </row>
    <row r="561" spans="6:13" x14ac:dyDescent="0.4">
      <c r="F561" s="1">
        <v>38412</v>
      </c>
      <c r="G561" s="16">
        <v>380.08</v>
      </c>
      <c r="H561" s="16">
        <f t="shared" si="41"/>
        <v>378.90386790295304</v>
      </c>
      <c r="I561">
        <f t="shared" si="42"/>
        <v>3</v>
      </c>
      <c r="J561" s="16" cm="1">
        <f t="array" ref="J561">INDEX(Sm,I561)</f>
        <v>1.3951035824648568</v>
      </c>
      <c r="K561" s="16">
        <f t="shared" si="43"/>
        <v>380.29897148541789</v>
      </c>
      <c r="L561" s="16">
        <f t="shared" si="44"/>
        <v>0.21897148541791012</v>
      </c>
      <c r="M561" s="16">
        <f t="shared" si="45"/>
        <v>4.7948511426126023E-2</v>
      </c>
    </row>
    <row r="562" spans="6:13" x14ac:dyDescent="0.4">
      <c r="F562" s="1">
        <v>38443</v>
      </c>
      <c r="G562" s="16">
        <v>382.05</v>
      </c>
      <c r="H562" s="16">
        <f t="shared" si="41"/>
        <v>379.07345836488906</v>
      </c>
      <c r="I562">
        <f t="shared" si="42"/>
        <v>4</v>
      </c>
      <c r="J562" s="16" cm="1">
        <f t="array" ref="J562">INDEX(Sm,I562)</f>
        <v>2.6339370251743146</v>
      </c>
      <c r="K562" s="16">
        <f t="shared" si="43"/>
        <v>381.70739539006337</v>
      </c>
      <c r="L562" s="16">
        <f t="shared" si="44"/>
        <v>-0.3426046099366431</v>
      </c>
      <c r="M562" s="16">
        <f t="shared" si="45"/>
        <v>0.11737791874983937</v>
      </c>
    </row>
    <row r="563" spans="6:13" x14ac:dyDescent="0.4">
      <c r="F563" s="1">
        <v>38473</v>
      </c>
      <c r="G563" s="16">
        <v>382.24</v>
      </c>
      <c r="H563" s="16">
        <f t="shared" si="41"/>
        <v>379.23780551539113</v>
      </c>
      <c r="I563">
        <f t="shared" si="42"/>
        <v>5</v>
      </c>
      <c r="J563" s="16" cm="1">
        <f t="array" ref="J563">INDEX(Sm,I563)</f>
        <v>3.0997257789906989</v>
      </c>
      <c r="K563" s="16">
        <f t="shared" si="43"/>
        <v>382.33753129438185</v>
      </c>
      <c r="L563" s="16">
        <f t="shared" si="44"/>
        <v>9.7531294381838052E-2</v>
      </c>
      <c r="M563" s="16">
        <f t="shared" si="45"/>
        <v>9.5123533837967542E-3</v>
      </c>
    </row>
    <row r="564" spans="6:13" x14ac:dyDescent="0.4">
      <c r="F564" s="1">
        <v>38504</v>
      </c>
      <c r="G564" s="16">
        <v>382.08</v>
      </c>
      <c r="H564" s="16">
        <f t="shared" si="41"/>
        <v>379.40786615837504</v>
      </c>
      <c r="I564">
        <f t="shared" si="42"/>
        <v>6</v>
      </c>
      <c r="J564" s="16" cm="1">
        <f t="array" ref="J564">INDEX(Sm,I564)</f>
        <v>2.3207404253660839</v>
      </c>
      <c r="K564" s="16">
        <f t="shared" si="43"/>
        <v>381.72860658374111</v>
      </c>
      <c r="L564" s="16">
        <f t="shared" si="44"/>
        <v>-0.35139341625887255</v>
      </c>
      <c r="M564" s="16">
        <f t="shared" si="45"/>
        <v>0.12347733299008128</v>
      </c>
    </row>
    <row r="565" spans="6:13" x14ac:dyDescent="0.4">
      <c r="F565" s="1">
        <v>38534</v>
      </c>
      <c r="G565" s="16">
        <v>380.66</v>
      </c>
      <c r="H565" s="16">
        <f t="shared" si="41"/>
        <v>379.57266895310704</v>
      </c>
      <c r="I565">
        <f t="shared" si="42"/>
        <v>7</v>
      </c>
      <c r="J565" s="16" cm="1">
        <f t="array" ref="J565">INDEX(Sm,I565)</f>
        <v>0.74435685666414753</v>
      </c>
      <c r="K565" s="16">
        <f t="shared" si="43"/>
        <v>380.31702580977117</v>
      </c>
      <c r="L565" s="16">
        <f t="shared" si="44"/>
        <v>-0.34297419022885833</v>
      </c>
      <c r="M565" s="16">
        <f t="shared" si="45"/>
        <v>0.11763129516314111</v>
      </c>
    </row>
    <row r="566" spans="6:13" x14ac:dyDescent="0.4">
      <c r="F566" s="1">
        <v>38565</v>
      </c>
      <c r="G566" s="16">
        <v>378.67</v>
      </c>
      <c r="H566" s="16">
        <f t="shared" si="41"/>
        <v>379.74320108069219</v>
      </c>
      <c r="I566">
        <f t="shared" si="42"/>
        <v>8</v>
      </c>
      <c r="J566" s="16" cm="1">
        <f t="array" ref="J566">INDEX(Sm,I566)</f>
        <v>-1.3868231821212227</v>
      </c>
      <c r="K566" s="16">
        <f t="shared" si="43"/>
        <v>378.35637789857094</v>
      </c>
      <c r="L566" s="16">
        <f t="shared" si="44"/>
        <v>-0.31362210142907543</v>
      </c>
      <c r="M566" s="16">
        <f t="shared" si="45"/>
        <v>9.8358822504789278E-2</v>
      </c>
    </row>
    <row r="567" spans="6:13" x14ac:dyDescent="0.4">
      <c r="F567" s="1">
        <v>38596</v>
      </c>
      <c r="G567" s="16">
        <v>376.42</v>
      </c>
      <c r="H567" s="16">
        <f t="shared" si="41"/>
        <v>379.91397331592441</v>
      </c>
      <c r="I567">
        <f t="shared" si="42"/>
        <v>9</v>
      </c>
      <c r="J567" s="16" cm="1">
        <f t="array" ref="J567">INDEX(Sm,I567)</f>
        <v>-3.1918015790052943</v>
      </c>
      <c r="K567" s="16">
        <f t="shared" si="43"/>
        <v>376.72217173691911</v>
      </c>
      <c r="L567" s="16">
        <f t="shared" si="44"/>
        <v>0.30217173691909238</v>
      </c>
      <c r="M567" s="16">
        <f t="shared" si="45"/>
        <v>9.1307758592701183E-2</v>
      </c>
    </row>
    <row r="568" spans="6:13" x14ac:dyDescent="0.4">
      <c r="F568" s="1">
        <v>38626</v>
      </c>
      <c r="G568" s="16">
        <v>376.8</v>
      </c>
      <c r="H568" s="16">
        <f t="shared" si="41"/>
        <v>380.07946570225863</v>
      </c>
      <c r="I568">
        <f t="shared" si="42"/>
        <v>10</v>
      </c>
      <c r="J568" s="16" cm="1">
        <f t="array" ref="J568">INDEX(Sm,I568)</f>
        <v>-3.3171210691938846</v>
      </c>
      <c r="K568" s="16">
        <f t="shared" si="43"/>
        <v>376.76234463306474</v>
      </c>
      <c r="L568" s="16">
        <f t="shared" si="44"/>
        <v>-3.765536693526883E-2</v>
      </c>
      <c r="M568" s="16">
        <f t="shared" si="45"/>
        <v>1.4179266590297372E-3</v>
      </c>
    </row>
    <row r="569" spans="6:13" x14ac:dyDescent="0.4">
      <c r="F569" s="1">
        <v>38657</v>
      </c>
      <c r="G569" s="16">
        <v>378.31</v>
      </c>
      <c r="H569" s="16">
        <f t="shared" si="41"/>
        <v>380.25071139494594</v>
      </c>
      <c r="I569">
        <f t="shared" si="42"/>
        <v>11</v>
      </c>
      <c r="J569" s="16" cm="1">
        <f t="array" ref="J569">INDEX(Sm,I569)</f>
        <v>-2.0577916254037292</v>
      </c>
      <c r="K569" s="16">
        <f t="shared" si="43"/>
        <v>378.19291976954219</v>
      </c>
      <c r="L569" s="16">
        <f t="shared" si="44"/>
        <v>-0.11708023045781601</v>
      </c>
      <c r="M569" s="16">
        <f t="shared" si="45"/>
        <v>1.3707780364055309E-2</v>
      </c>
    </row>
    <row r="570" spans="6:13" x14ac:dyDescent="0.4">
      <c r="F570" s="1">
        <v>38687</v>
      </c>
      <c r="G570" s="16">
        <v>379.96</v>
      </c>
      <c r="H570" s="16">
        <f t="shared" si="41"/>
        <v>380.41666260061902</v>
      </c>
      <c r="I570">
        <f t="shared" si="42"/>
        <v>12</v>
      </c>
      <c r="J570" s="16" cm="1">
        <f t="array" ref="J570">INDEX(Sm,I570)</f>
        <v>-0.88780634062791353</v>
      </c>
      <c r="K570" s="16">
        <f t="shared" si="43"/>
        <v>379.52885625999113</v>
      </c>
      <c r="L570" s="16">
        <f t="shared" si="44"/>
        <v>-0.43114374000884936</v>
      </c>
      <c r="M570" s="16">
        <f t="shared" si="45"/>
        <v>0.1858849245488183</v>
      </c>
    </row>
    <row r="571" spans="6:13" x14ac:dyDescent="0.4">
      <c r="F571" s="1">
        <v>38718</v>
      </c>
      <c r="G571" s="16">
        <v>381.37</v>
      </c>
      <c r="H571" s="16">
        <f t="shared" si="41"/>
        <v>380.5883830633984</v>
      </c>
      <c r="I571">
        <f t="shared" si="42"/>
        <v>1</v>
      </c>
      <c r="J571" s="16" cm="1">
        <f t="array" ref="J571">INDEX(Sm,I571)</f>
        <v>-3.3662626377861403E-2</v>
      </c>
      <c r="K571" s="16">
        <f t="shared" si="43"/>
        <v>380.55472043702053</v>
      </c>
      <c r="L571" s="16">
        <f t="shared" si="44"/>
        <v>-0.81527956297946957</v>
      </c>
      <c r="M571" s="16">
        <f t="shared" si="45"/>
        <v>0.66468076581199487</v>
      </c>
    </row>
    <row r="572" spans="6:13" x14ac:dyDescent="0.4">
      <c r="F572" s="1">
        <v>38749</v>
      </c>
      <c r="G572" s="16">
        <v>382.02</v>
      </c>
      <c r="H572" s="16">
        <f t="shared" si="41"/>
        <v>380.76034530699013</v>
      </c>
      <c r="I572">
        <f t="shared" si="42"/>
        <v>2</v>
      </c>
      <c r="J572" s="16" cm="1">
        <f t="array" ref="J572">INDEX(Sm,I572)</f>
        <v>0.68114275406980329</v>
      </c>
      <c r="K572" s="16">
        <f t="shared" si="43"/>
        <v>381.44148806105994</v>
      </c>
      <c r="L572" s="16">
        <f t="shared" si="44"/>
        <v>-0.57851193894003927</v>
      </c>
      <c r="M572" s="16">
        <f t="shared" si="45"/>
        <v>0.33467606349616374</v>
      </c>
    </row>
    <row r="573" spans="6:13" x14ac:dyDescent="0.4">
      <c r="F573" s="1">
        <v>38777</v>
      </c>
      <c r="G573" s="16">
        <v>382.56</v>
      </c>
      <c r="H573" s="16">
        <f t="shared" si="41"/>
        <v>380.91587414205719</v>
      </c>
      <c r="I573">
        <f t="shared" si="42"/>
        <v>3</v>
      </c>
      <c r="J573" s="16" cm="1">
        <f t="array" ref="J573">INDEX(Sm,I573)</f>
        <v>1.3951035824648568</v>
      </c>
      <c r="K573" s="16">
        <f t="shared" si="43"/>
        <v>382.31097772452205</v>
      </c>
      <c r="L573" s="16">
        <f t="shared" si="44"/>
        <v>-0.24902227547795519</v>
      </c>
      <c r="M573" s="16">
        <f t="shared" si="45"/>
        <v>6.2012093684218603E-2</v>
      </c>
    </row>
    <row r="574" spans="6:13" x14ac:dyDescent="0.4">
      <c r="F574" s="1">
        <v>38808</v>
      </c>
      <c r="G574" s="16">
        <v>384.36</v>
      </c>
      <c r="H574" s="16">
        <f t="shared" si="41"/>
        <v>381.08829749003723</v>
      </c>
      <c r="I574">
        <f t="shared" si="42"/>
        <v>4</v>
      </c>
      <c r="J574" s="16" cm="1">
        <f t="array" ref="J574">INDEX(Sm,I574)</f>
        <v>2.6339370251743146</v>
      </c>
      <c r="K574" s="16">
        <f t="shared" si="43"/>
        <v>383.72223451521154</v>
      </c>
      <c r="L574" s="16">
        <f t="shared" si="44"/>
        <v>-0.63776548478847417</v>
      </c>
      <c r="M574" s="16">
        <f t="shared" si="45"/>
        <v>0.40674481358747749</v>
      </c>
    </row>
    <row r="575" spans="6:13" x14ac:dyDescent="0.4">
      <c r="F575" s="1">
        <v>38838</v>
      </c>
      <c r="G575" s="16">
        <v>384.92</v>
      </c>
      <c r="H575" s="16">
        <f t="shared" si="41"/>
        <v>381.25538994085673</v>
      </c>
      <c r="I575">
        <f t="shared" si="42"/>
        <v>5</v>
      </c>
      <c r="J575" s="16" cm="1">
        <f t="array" ref="J575">INDEX(Sm,I575)</f>
        <v>3.0997257789906989</v>
      </c>
      <c r="K575" s="16">
        <f t="shared" si="43"/>
        <v>384.35511571984745</v>
      </c>
      <c r="L575" s="16">
        <f t="shared" si="44"/>
        <v>-0.56488428015256886</v>
      </c>
      <c r="M575" s="16">
        <f t="shared" si="45"/>
        <v>0.3190942499634859</v>
      </c>
    </row>
    <row r="576" spans="6:13" x14ac:dyDescent="0.4">
      <c r="F576" s="1">
        <v>38869</v>
      </c>
      <c r="G576" s="16">
        <v>384.03</v>
      </c>
      <c r="H576" s="16">
        <f t="shared" si="41"/>
        <v>381.42829132391898</v>
      </c>
      <c r="I576">
        <f t="shared" si="42"/>
        <v>6</v>
      </c>
      <c r="J576" s="16" cm="1">
        <f t="array" ref="J576">INDEX(Sm,I576)</f>
        <v>2.3207404253660839</v>
      </c>
      <c r="K576" s="16">
        <f t="shared" si="43"/>
        <v>383.74903174928505</v>
      </c>
      <c r="L576" s="16">
        <f t="shared" si="44"/>
        <v>-0.28096825071492049</v>
      </c>
      <c r="M576" s="16">
        <f t="shared" si="45"/>
        <v>7.8943157909802414E-2</v>
      </c>
    </row>
    <row r="577" spans="6:13" x14ac:dyDescent="0.4">
      <c r="F577" s="1">
        <v>38899</v>
      </c>
      <c r="G577" s="16">
        <v>382.28</v>
      </c>
      <c r="H577" s="16">
        <f t="shared" si="41"/>
        <v>381.595847030176</v>
      </c>
      <c r="I577">
        <f t="shared" si="42"/>
        <v>7</v>
      </c>
      <c r="J577" s="16" cm="1">
        <f t="array" ref="J577">INDEX(Sm,I577)</f>
        <v>0.74435685666414753</v>
      </c>
      <c r="K577" s="16">
        <f t="shared" si="43"/>
        <v>382.34020388684013</v>
      </c>
      <c r="L577" s="16">
        <f t="shared" si="44"/>
        <v>6.0203886840156429E-2</v>
      </c>
      <c r="M577" s="16">
        <f t="shared" si="45"/>
        <v>3.6245079906623602E-3</v>
      </c>
    </row>
    <row r="578" spans="6:13" x14ac:dyDescent="0.4">
      <c r="F578" s="1">
        <v>38930</v>
      </c>
      <c r="G578" s="16">
        <v>380.48</v>
      </c>
      <c r="H578" s="16">
        <f t="shared" si="41"/>
        <v>381.76922777364888</v>
      </c>
      <c r="I578">
        <f t="shared" si="42"/>
        <v>8</v>
      </c>
      <c r="J578" s="16" cm="1">
        <f t="array" ref="J578">INDEX(Sm,I578)</f>
        <v>-1.3868231821212227</v>
      </c>
      <c r="K578" s="16">
        <f t="shared" si="43"/>
        <v>380.38240459152763</v>
      </c>
      <c r="L578" s="16">
        <f t="shared" si="44"/>
        <v>-9.759540847238668E-2</v>
      </c>
      <c r="M578" s="16">
        <f t="shared" si="45"/>
        <v>9.5248637548920063E-3</v>
      </c>
    </row>
    <row r="579" spans="6:13" x14ac:dyDescent="0.4">
      <c r="F579" s="1">
        <v>38961</v>
      </c>
      <c r="G579" s="16">
        <v>378.81</v>
      </c>
      <c r="H579" s="16">
        <f t="shared" ref="H579:H642" si="46">EXP(_A*F579+_B)+_C</f>
        <v>381.94285263559357</v>
      </c>
      <c r="I579">
        <f t="shared" ref="I579:I642" si="47">MONTH(F579)</f>
        <v>9</v>
      </c>
      <c r="J579" s="16" cm="1">
        <f t="array" ref="J579">INDEX(Sm,I579)</f>
        <v>-3.1918015790052943</v>
      </c>
      <c r="K579" s="16">
        <f t="shared" ref="K579:K642" si="48">H579+J579</f>
        <v>378.75105105658827</v>
      </c>
      <c r="L579" s="16">
        <f t="shared" ref="L579:L642" si="49">K579-G579</f>
        <v>-5.8948943411735399E-2</v>
      </c>
      <c r="M579" s="16">
        <f t="shared" ref="M579:M642" si="50">L579*L579</f>
        <v>3.4749779293599824E-3</v>
      </c>
    </row>
    <row r="580" spans="6:13" x14ac:dyDescent="0.4">
      <c r="F580" s="1">
        <v>38991</v>
      </c>
      <c r="G580" s="16">
        <v>379.06</v>
      </c>
      <c r="H580" s="16">
        <f t="shared" si="46"/>
        <v>382.11110945258184</v>
      </c>
      <c r="I580">
        <f t="shared" si="47"/>
        <v>10</v>
      </c>
      <c r="J580" s="16" cm="1">
        <f t="array" ref="J580">INDEX(Sm,I580)</f>
        <v>-3.3171210691938846</v>
      </c>
      <c r="K580" s="16">
        <f t="shared" si="48"/>
        <v>378.79398838338795</v>
      </c>
      <c r="L580" s="16">
        <f t="shared" si="49"/>
        <v>-0.26601161661204742</v>
      </c>
      <c r="M580" s="16">
        <f t="shared" si="50"/>
        <v>7.0762180172554909E-2</v>
      </c>
    </row>
    <row r="581" spans="6:13" x14ac:dyDescent="0.4">
      <c r="F581" s="1">
        <v>39022</v>
      </c>
      <c r="G581" s="16">
        <v>380.14</v>
      </c>
      <c r="H581" s="16">
        <f t="shared" si="46"/>
        <v>382.28521568074603</v>
      </c>
      <c r="I581">
        <f t="shared" si="47"/>
        <v>11</v>
      </c>
      <c r="J581" s="16" cm="1">
        <f t="array" ref="J581">INDEX(Sm,I581)</f>
        <v>-2.0577916254037292</v>
      </c>
      <c r="K581" s="16">
        <f t="shared" si="48"/>
        <v>380.22742405534228</v>
      </c>
      <c r="L581" s="16">
        <f t="shared" si="49"/>
        <v>8.7424055342296469E-2</v>
      </c>
      <c r="M581" s="16">
        <f t="shared" si="50"/>
        <v>7.6429654524929162E-3</v>
      </c>
    </row>
    <row r="582" spans="6:13" x14ac:dyDescent="0.4">
      <c r="F582" s="1">
        <v>39052</v>
      </c>
      <c r="G582" s="16">
        <v>381.66</v>
      </c>
      <c r="H582" s="16">
        <f t="shared" si="46"/>
        <v>382.45393898131846</v>
      </c>
      <c r="I582">
        <f t="shared" si="47"/>
        <v>12</v>
      </c>
      <c r="J582" s="16" cm="1">
        <f t="array" ref="J582">INDEX(Sm,I582)</f>
        <v>-0.88780634062791353</v>
      </c>
      <c r="K582" s="16">
        <f t="shared" si="48"/>
        <v>381.56613264069057</v>
      </c>
      <c r="L582" s="16">
        <f t="shared" si="49"/>
        <v>-9.3867359309456333E-2</v>
      </c>
      <c r="M582" s="16">
        <f t="shared" si="50"/>
        <v>8.8110811437305779E-3</v>
      </c>
    </row>
    <row r="583" spans="6:13" x14ac:dyDescent="0.4">
      <c r="F583" s="1">
        <v>39083</v>
      </c>
      <c r="G583" s="16">
        <v>382.58</v>
      </c>
      <c r="H583" s="16">
        <f t="shared" si="46"/>
        <v>382.62852791026586</v>
      </c>
      <c r="I583">
        <f t="shared" si="47"/>
        <v>1</v>
      </c>
      <c r="J583" s="16" cm="1">
        <f t="array" ref="J583">INDEX(Sm,I583)</f>
        <v>-3.3662626377861403E-2</v>
      </c>
      <c r="K583" s="16">
        <f t="shared" si="48"/>
        <v>382.594865283888</v>
      </c>
      <c r="L583" s="16">
        <f t="shared" si="49"/>
        <v>1.4865283888013892E-2</v>
      </c>
      <c r="M583" s="16">
        <f t="shared" si="50"/>
        <v>2.209766650712454E-4</v>
      </c>
    </row>
    <row r="584" spans="6:13" x14ac:dyDescent="0.4">
      <c r="F584" s="1">
        <v>39114</v>
      </c>
      <c r="G584" s="16">
        <v>383.71</v>
      </c>
      <c r="H584" s="16">
        <f t="shared" si="46"/>
        <v>382.80336265879902</v>
      </c>
      <c r="I584">
        <f t="shared" si="47"/>
        <v>2</v>
      </c>
      <c r="J584" s="16" cm="1">
        <f t="array" ref="J584">INDEX(Sm,I584)</f>
        <v>0.68114275406980329</v>
      </c>
      <c r="K584" s="16">
        <f t="shared" si="48"/>
        <v>383.48450541286883</v>
      </c>
      <c r="L584" s="16">
        <f t="shared" si="49"/>
        <v>-0.225494587131152</v>
      </c>
      <c r="M584" s="16">
        <f t="shared" si="50"/>
        <v>5.0847808825448704E-2</v>
      </c>
    </row>
    <row r="585" spans="6:13" x14ac:dyDescent="0.4">
      <c r="F585" s="1">
        <v>39142</v>
      </c>
      <c r="G585" s="16">
        <v>384.34</v>
      </c>
      <c r="H585" s="16">
        <f t="shared" si="46"/>
        <v>382.96148949060051</v>
      </c>
      <c r="I585">
        <f t="shared" si="47"/>
        <v>3</v>
      </c>
      <c r="J585" s="16" cm="1">
        <f t="array" ref="J585">INDEX(Sm,I585)</f>
        <v>1.3951035824648568</v>
      </c>
      <c r="K585" s="16">
        <f t="shared" si="48"/>
        <v>384.35659307306537</v>
      </c>
      <c r="L585" s="16">
        <f t="shared" si="49"/>
        <v>1.6593073065394037E-2</v>
      </c>
      <c r="M585" s="16">
        <f t="shared" si="50"/>
        <v>2.7533007375350505E-4</v>
      </c>
    </row>
    <row r="586" spans="6:13" x14ac:dyDescent="0.4">
      <c r="F586" s="1">
        <v>39173</v>
      </c>
      <c r="G586" s="16">
        <v>386.23</v>
      </c>
      <c r="H586" s="16">
        <f t="shared" si="46"/>
        <v>383.13679304593745</v>
      </c>
      <c r="I586">
        <f t="shared" si="47"/>
        <v>4</v>
      </c>
      <c r="J586" s="16" cm="1">
        <f t="array" ref="J586">INDEX(Sm,I586)</f>
        <v>2.6339370251743146</v>
      </c>
      <c r="K586" s="16">
        <f t="shared" si="48"/>
        <v>385.77073007111176</v>
      </c>
      <c r="L586" s="16">
        <f t="shared" si="49"/>
        <v>-0.45926992888826135</v>
      </c>
      <c r="M586" s="16">
        <f t="shared" si="50"/>
        <v>0.21092886758102863</v>
      </c>
    </row>
    <row r="587" spans="6:13" x14ac:dyDescent="0.4">
      <c r="F587" s="1">
        <v>39203</v>
      </c>
      <c r="G587" s="16">
        <v>386.41</v>
      </c>
      <c r="H587" s="16">
        <f t="shared" si="46"/>
        <v>383.3066766553315</v>
      </c>
      <c r="I587">
        <f t="shared" si="47"/>
        <v>5</v>
      </c>
      <c r="J587" s="16" cm="1">
        <f t="array" ref="J587">INDEX(Sm,I587)</f>
        <v>3.0997257789906989</v>
      </c>
      <c r="K587" s="16">
        <f t="shared" si="48"/>
        <v>386.40640243432222</v>
      </c>
      <c r="L587" s="16">
        <f t="shared" si="49"/>
        <v>-3.5975656778077791E-3</v>
      </c>
      <c r="M587" s="16">
        <f t="shared" si="50"/>
        <v>1.2942478806140545E-5</v>
      </c>
    </row>
    <row r="588" spans="6:13" x14ac:dyDescent="0.4">
      <c r="F588" s="1">
        <v>39234</v>
      </c>
      <c r="G588" s="16">
        <v>385.87</v>
      </c>
      <c r="H588" s="16">
        <f t="shared" si="46"/>
        <v>383.48246623098112</v>
      </c>
      <c r="I588">
        <f t="shared" si="47"/>
        <v>6</v>
      </c>
      <c r="J588" s="16" cm="1">
        <f t="array" ref="J588">INDEX(Sm,I588)</f>
        <v>2.3207404253660839</v>
      </c>
      <c r="K588" s="16">
        <f t="shared" si="48"/>
        <v>385.80320665634719</v>
      </c>
      <c r="L588" s="16">
        <f t="shared" si="49"/>
        <v>-6.6793343652818749E-2</v>
      </c>
      <c r="M588" s="16">
        <f t="shared" si="50"/>
        <v>4.4613507563235422E-3</v>
      </c>
    </row>
    <row r="589" spans="6:13" x14ac:dyDescent="0.4">
      <c r="F589" s="1">
        <v>39264</v>
      </c>
      <c r="G589" s="16">
        <v>384.44</v>
      </c>
      <c r="H589" s="16">
        <f t="shared" si="46"/>
        <v>383.65282083415968</v>
      </c>
      <c r="I589">
        <f t="shared" si="47"/>
        <v>7</v>
      </c>
      <c r="J589" s="16" cm="1">
        <f t="array" ref="J589">INDEX(Sm,I589)</f>
        <v>0.74435685666414753</v>
      </c>
      <c r="K589" s="16">
        <f t="shared" si="48"/>
        <v>384.39717769082381</v>
      </c>
      <c r="L589" s="16">
        <f t="shared" si="49"/>
        <v>-4.28223091761879E-2</v>
      </c>
      <c r="M589" s="16">
        <f t="shared" si="50"/>
        <v>1.8337501631810265E-3</v>
      </c>
    </row>
    <row r="590" spans="6:13" x14ac:dyDescent="0.4">
      <c r="F590" s="1">
        <v>39295</v>
      </c>
      <c r="G590" s="16">
        <v>381.84</v>
      </c>
      <c r="H590" s="16">
        <f t="shared" si="46"/>
        <v>383.82909777758891</v>
      </c>
      <c r="I590">
        <f t="shared" si="47"/>
        <v>8</v>
      </c>
      <c r="J590" s="16" cm="1">
        <f t="array" ref="J590">INDEX(Sm,I590)</f>
        <v>-1.3868231821212227</v>
      </c>
      <c r="K590" s="16">
        <f t="shared" si="48"/>
        <v>382.44227459546767</v>
      </c>
      <c r="L590" s="16">
        <f t="shared" si="49"/>
        <v>0.60227459546769069</v>
      </c>
      <c r="M590" s="16">
        <f t="shared" si="50"/>
        <v>0.36273468834577044</v>
      </c>
    </row>
    <row r="591" spans="6:13" x14ac:dyDescent="0.4">
      <c r="F591" s="1">
        <v>39326</v>
      </c>
      <c r="G591" s="16">
        <v>380.86</v>
      </c>
      <c r="H591" s="16">
        <f t="shared" si="46"/>
        <v>384.00562291731262</v>
      </c>
      <c r="I591">
        <f t="shared" si="47"/>
        <v>9</v>
      </c>
      <c r="J591" s="16" cm="1">
        <f t="array" ref="J591">INDEX(Sm,I591)</f>
        <v>-3.1918015790052943</v>
      </c>
      <c r="K591" s="16">
        <f t="shared" si="48"/>
        <v>380.81382133830732</v>
      </c>
      <c r="L591" s="16">
        <f t="shared" si="49"/>
        <v>-4.6178661692692913E-2</v>
      </c>
      <c r="M591" s="16">
        <f t="shared" si="50"/>
        <v>2.1324687957281841E-3</v>
      </c>
    </row>
    <row r="592" spans="6:13" x14ac:dyDescent="0.4">
      <c r="F592" s="1">
        <v>39356</v>
      </c>
      <c r="G592" s="16">
        <v>380.86</v>
      </c>
      <c r="H592" s="16">
        <f t="shared" si="46"/>
        <v>384.17669034277026</v>
      </c>
      <c r="I592">
        <f t="shared" si="47"/>
        <v>10</v>
      </c>
      <c r="J592" s="16" cm="1">
        <f t="array" ref="J592">INDEX(Sm,I592)</f>
        <v>-3.3171210691938846</v>
      </c>
      <c r="K592" s="16">
        <f t="shared" si="48"/>
        <v>380.85956927357637</v>
      </c>
      <c r="L592" s="16">
        <f t="shared" si="49"/>
        <v>-4.3072642364450076E-4</v>
      </c>
      <c r="M592" s="16">
        <f t="shared" si="50"/>
        <v>1.8552525202558193E-7</v>
      </c>
    </row>
    <row r="593" spans="6:13" x14ac:dyDescent="0.4">
      <c r="F593" s="1">
        <v>39387</v>
      </c>
      <c r="G593" s="16">
        <v>382.36</v>
      </c>
      <c r="H593" s="16">
        <f t="shared" si="46"/>
        <v>384.35370488958807</v>
      </c>
      <c r="I593">
        <f t="shared" si="47"/>
        <v>11</v>
      </c>
      <c r="J593" s="16" cm="1">
        <f t="array" ref="J593">INDEX(Sm,I593)</f>
        <v>-2.0577916254037292</v>
      </c>
      <c r="K593" s="16">
        <f t="shared" si="48"/>
        <v>382.29591326418432</v>
      </c>
      <c r="L593" s="16">
        <f t="shared" si="49"/>
        <v>-6.4086735815692464E-2</v>
      </c>
      <c r="M593" s="16">
        <f t="shared" si="50"/>
        <v>4.1071097075103596E-3</v>
      </c>
    </row>
    <row r="594" spans="6:13" x14ac:dyDescent="0.4">
      <c r="F594" s="1">
        <v>39417</v>
      </c>
      <c r="G594" s="16">
        <v>383.61</v>
      </c>
      <c r="H594" s="16">
        <f t="shared" si="46"/>
        <v>384.52524659090085</v>
      </c>
      <c r="I594">
        <f t="shared" si="47"/>
        <v>12</v>
      </c>
      <c r="J594" s="16" cm="1">
        <f t="array" ref="J594">INDEX(Sm,I594)</f>
        <v>-0.88780634062791353</v>
      </c>
      <c r="K594" s="16">
        <f t="shared" si="48"/>
        <v>383.63744025027296</v>
      </c>
      <c r="L594" s="16">
        <f t="shared" si="49"/>
        <v>2.7440250272945832E-2</v>
      </c>
      <c r="M594" s="16">
        <f t="shared" si="50"/>
        <v>7.5296733504190384E-4</v>
      </c>
    </row>
    <row r="595" spans="6:13" x14ac:dyDescent="0.4">
      <c r="F595" s="1">
        <v>39448</v>
      </c>
      <c r="G595" s="16">
        <v>385.07</v>
      </c>
      <c r="H595" s="16">
        <f t="shared" si="46"/>
        <v>384.70275190166944</v>
      </c>
      <c r="I595">
        <f t="shared" si="47"/>
        <v>1</v>
      </c>
      <c r="J595" s="16" cm="1">
        <f t="array" ref="J595">INDEX(Sm,I595)</f>
        <v>-3.3662626377861403E-2</v>
      </c>
      <c r="K595" s="16">
        <f t="shared" si="48"/>
        <v>384.66908927529158</v>
      </c>
      <c r="L595" s="16">
        <f t="shared" si="49"/>
        <v>-0.40091072470841027</v>
      </c>
      <c r="M595" s="16">
        <f t="shared" si="50"/>
        <v>0.16072940918622272</v>
      </c>
    </row>
    <row r="596" spans="6:13" x14ac:dyDescent="0.4">
      <c r="F596" s="1">
        <v>39479</v>
      </c>
      <c r="G596" s="16">
        <v>385.84</v>
      </c>
      <c r="H596" s="16">
        <f t="shared" si="46"/>
        <v>384.88050713826226</v>
      </c>
      <c r="I596">
        <f t="shared" si="47"/>
        <v>2</v>
      </c>
      <c r="J596" s="16" cm="1">
        <f t="array" ref="J596">INDEX(Sm,I596)</f>
        <v>0.68114275406980329</v>
      </c>
      <c r="K596" s="16">
        <f t="shared" si="48"/>
        <v>385.56164989233207</v>
      </c>
      <c r="L596" s="16">
        <f t="shared" si="49"/>
        <v>-0.27835010766790447</v>
      </c>
      <c r="M596" s="16">
        <f t="shared" si="50"/>
        <v>7.7478782438734004E-2</v>
      </c>
    </row>
    <row r="597" spans="6:13" x14ac:dyDescent="0.4">
      <c r="F597" s="1">
        <v>39508</v>
      </c>
      <c r="G597" s="16">
        <v>385.83</v>
      </c>
      <c r="H597" s="16">
        <f t="shared" si="46"/>
        <v>385.04702086637928</v>
      </c>
      <c r="I597">
        <f t="shared" si="47"/>
        <v>3</v>
      </c>
      <c r="J597" s="16" cm="1">
        <f t="array" ref="J597">INDEX(Sm,I597)</f>
        <v>1.3951035824648568</v>
      </c>
      <c r="K597" s="16">
        <f t="shared" si="48"/>
        <v>386.44212444884414</v>
      </c>
      <c r="L597" s="16">
        <f t="shared" si="49"/>
        <v>0.61212444884415618</v>
      </c>
      <c r="M597" s="16">
        <f t="shared" si="50"/>
        <v>0.37469634087276199</v>
      </c>
    </row>
    <row r="598" spans="6:13" x14ac:dyDescent="0.4">
      <c r="F598" s="1">
        <v>39539</v>
      </c>
      <c r="G598" s="16">
        <v>386.77</v>
      </c>
      <c r="H598" s="16">
        <f t="shared" si="46"/>
        <v>385.22526083046768</v>
      </c>
      <c r="I598">
        <f t="shared" si="47"/>
        <v>4</v>
      </c>
      <c r="J598" s="16" cm="1">
        <f t="array" ref="J598">INDEX(Sm,I598)</f>
        <v>2.6339370251743146</v>
      </c>
      <c r="K598" s="16">
        <f t="shared" si="48"/>
        <v>387.85919785564198</v>
      </c>
      <c r="L598" s="16">
        <f t="shared" si="49"/>
        <v>1.0891978556419986</v>
      </c>
      <c r="M598" s="16">
        <f t="shared" si="50"/>
        <v>1.1863519687351278</v>
      </c>
    </row>
    <row r="599" spans="6:13" x14ac:dyDescent="0.4">
      <c r="F599" s="1">
        <v>39569</v>
      </c>
      <c r="G599" s="16">
        <v>388.51</v>
      </c>
      <c r="H599" s="16">
        <f t="shared" si="46"/>
        <v>385.39799006222466</v>
      </c>
      <c r="I599">
        <f t="shared" si="47"/>
        <v>5</v>
      </c>
      <c r="J599" s="16" cm="1">
        <f t="array" ref="J599">INDEX(Sm,I599)</f>
        <v>3.0997257789906989</v>
      </c>
      <c r="K599" s="16">
        <f t="shared" si="48"/>
        <v>388.49771584121538</v>
      </c>
      <c r="L599" s="16">
        <f t="shared" si="49"/>
        <v>-1.2284158784609644E-2</v>
      </c>
      <c r="M599" s="16">
        <f t="shared" si="50"/>
        <v>1.5090055704550229E-4</v>
      </c>
    </row>
    <row r="600" spans="6:13" x14ac:dyDescent="0.4">
      <c r="F600" s="1">
        <v>39600</v>
      </c>
      <c r="G600" s="16">
        <v>388.05</v>
      </c>
      <c r="H600" s="16">
        <f t="shared" si="46"/>
        <v>385.57672418767163</v>
      </c>
      <c r="I600">
        <f t="shared" si="47"/>
        <v>6</v>
      </c>
      <c r="J600" s="16" cm="1">
        <f t="array" ref="J600">INDEX(Sm,I600)</f>
        <v>2.3207404253660839</v>
      </c>
      <c r="K600" s="16">
        <f t="shared" si="48"/>
        <v>387.8974646130377</v>
      </c>
      <c r="L600" s="16">
        <f t="shared" si="49"/>
        <v>-0.15253538696231317</v>
      </c>
      <c r="M600" s="16">
        <f t="shared" si="50"/>
        <v>2.3267044275742617E-2</v>
      </c>
    </row>
    <row r="601" spans="6:13" x14ac:dyDescent="0.4">
      <c r="F601" s="1">
        <v>39630</v>
      </c>
      <c r="G601" s="16">
        <v>386.25</v>
      </c>
      <c r="H601" s="16">
        <f t="shared" si="46"/>
        <v>385.74993230255848</v>
      </c>
      <c r="I601">
        <f t="shared" si="47"/>
        <v>7</v>
      </c>
      <c r="J601" s="16" cm="1">
        <f t="array" ref="J601">INDEX(Sm,I601)</f>
        <v>0.74435685666414753</v>
      </c>
      <c r="K601" s="16">
        <f t="shared" si="48"/>
        <v>386.4942891592226</v>
      </c>
      <c r="L601" s="16">
        <f t="shared" si="49"/>
        <v>0.2442891592226033</v>
      </c>
      <c r="M601" s="16">
        <f t="shared" si="50"/>
        <v>5.9677193313686427E-2</v>
      </c>
    </row>
    <row r="602" spans="6:13" x14ac:dyDescent="0.4">
      <c r="F602" s="1">
        <v>39661</v>
      </c>
      <c r="G602" s="16">
        <v>384.08</v>
      </c>
      <c r="H602" s="16">
        <f t="shared" si="46"/>
        <v>385.92916195940165</v>
      </c>
      <c r="I602">
        <f t="shared" si="47"/>
        <v>8</v>
      </c>
      <c r="J602" s="16" cm="1">
        <f t="array" ref="J602">INDEX(Sm,I602)</f>
        <v>-1.3868231821212227</v>
      </c>
      <c r="K602" s="16">
        <f t="shared" si="48"/>
        <v>384.54233877728041</v>
      </c>
      <c r="L602" s="16">
        <f t="shared" si="49"/>
        <v>0.46233877728042216</v>
      </c>
      <c r="M602" s="16">
        <f t="shared" si="50"/>
        <v>0.21375714497715581</v>
      </c>
    </row>
    <row r="603" spans="6:13" x14ac:dyDescent="0.4">
      <c r="F603" s="1">
        <v>39692</v>
      </c>
      <c r="G603" s="16">
        <v>383.09</v>
      </c>
      <c r="H603" s="16">
        <f t="shared" si="46"/>
        <v>386.10864396993253</v>
      </c>
      <c r="I603">
        <f t="shared" si="47"/>
        <v>9</v>
      </c>
      <c r="J603" s="16" cm="1">
        <f t="array" ref="J603">INDEX(Sm,I603)</f>
        <v>-3.1918015790052943</v>
      </c>
      <c r="K603" s="16">
        <f t="shared" si="48"/>
        <v>382.91684239092723</v>
      </c>
      <c r="L603" s="16">
        <f t="shared" si="49"/>
        <v>-0.1731576090727458</v>
      </c>
      <c r="M603" s="16">
        <f t="shared" si="50"/>
        <v>2.9983557579789859E-2</v>
      </c>
    </row>
    <row r="604" spans="6:13" x14ac:dyDescent="0.4">
      <c r="F604" s="1">
        <v>39722</v>
      </c>
      <c r="G604" s="16">
        <v>382.78</v>
      </c>
      <c r="H604" s="16">
        <f t="shared" si="46"/>
        <v>386.28257684717306</v>
      </c>
      <c r="I604">
        <f t="shared" si="47"/>
        <v>10</v>
      </c>
      <c r="J604" s="16" cm="1">
        <f t="array" ref="J604">INDEX(Sm,I604)</f>
        <v>-3.3171210691938846</v>
      </c>
      <c r="K604" s="16">
        <f t="shared" si="48"/>
        <v>382.96545577797917</v>
      </c>
      <c r="L604" s="16">
        <f t="shared" si="49"/>
        <v>0.18545577797920032</v>
      </c>
      <c r="M604" s="16">
        <f t="shared" si="50"/>
        <v>3.4393845585870442E-2</v>
      </c>
    </row>
    <row r="605" spans="6:13" x14ac:dyDescent="0.4">
      <c r="F605" s="1">
        <v>39753</v>
      </c>
      <c r="G605" s="16">
        <v>384.01</v>
      </c>
      <c r="H605" s="16">
        <f t="shared" si="46"/>
        <v>386.46255646257396</v>
      </c>
      <c r="I605">
        <f t="shared" si="47"/>
        <v>11</v>
      </c>
      <c r="J605" s="16" cm="1">
        <f t="array" ref="J605">INDEX(Sm,I605)</f>
        <v>-2.0577916254037292</v>
      </c>
      <c r="K605" s="16">
        <f t="shared" si="48"/>
        <v>384.40476483717021</v>
      </c>
      <c r="L605" s="16">
        <f t="shared" si="49"/>
        <v>0.39476483717021438</v>
      </c>
      <c r="M605" s="16">
        <f t="shared" si="50"/>
        <v>0.15583927666602587</v>
      </c>
    </row>
    <row r="606" spans="6:13" x14ac:dyDescent="0.4">
      <c r="F606" s="1">
        <v>39783</v>
      </c>
      <c r="G606" s="16">
        <v>385.11</v>
      </c>
      <c r="H606" s="16">
        <f t="shared" si="46"/>
        <v>386.63697155999103</v>
      </c>
      <c r="I606">
        <f t="shared" si="47"/>
        <v>12</v>
      </c>
      <c r="J606" s="16" cm="1">
        <f t="array" ref="J606">INDEX(Sm,I606)</f>
        <v>-0.88780634062791353</v>
      </c>
      <c r="K606" s="16">
        <f t="shared" si="48"/>
        <v>385.74916521936314</v>
      </c>
      <c r="L606" s="16">
        <f t="shared" si="49"/>
        <v>0.63916521936312165</v>
      </c>
      <c r="M606" s="16">
        <f t="shared" si="50"/>
        <v>0.40853217764350741</v>
      </c>
    </row>
    <row r="607" spans="6:13" x14ac:dyDescent="0.4">
      <c r="F607" s="1">
        <v>39814</v>
      </c>
      <c r="G607" s="16">
        <v>386.65</v>
      </c>
      <c r="H607" s="16">
        <f t="shared" si="46"/>
        <v>386.81745015984654</v>
      </c>
      <c r="I607">
        <f t="shared" si="47"/>
        <v>1</v>
      </c>
      <c r="J607" s="16" cm="1">
        <f t="array" ref="J607">INDEX(Sm,I607)</f>
        <v>-3.3662626377861403E-2</v>
      </c>
      <c r="K607" s="16">
        <f t="shared" si="48"/>
        <v>386.78378753346868</v>
      </c>
      <c r="L607" s="16">
        <f t="shared" si="49"/>
        <v>0.13378753346870553</v>
      </c>
      <c r="M607" s="16">
        <f t="shared" si="50"/>
        <v>1.7899104111640002E-2</v>
      </c>
    </row>
    <row r="608" spans="6:13" x14ac:dyDescent="0.4">
      <c r="F608" s="1">
        <v>39845</v>
      </c>
      <c r="G608" s="16">
        <v>387.12</v>
      </c>
      <c r="H608" s="16">
        <f t="shared" si="46"/>
        <v>386.99818287188958</v>
      </c>
      <c r="I608">
        <f t="shared" si="47"/>
        <v>2</v>
      </c>
      <c r="J608" s="16" cm="1">
        <f t="array" ref="J608">INDEX(Sm,I608)</f>
        <v>0.68114275406980329</v>
      </c>
      <c r="K608" s="16">
        <f t="shared" si="48"/>
        <v>387.67932562595939</v>
      </c>
      <c r="L608" s="16">
        <f t="shared" si="49"/>
        <v>0.55932562595938862</v>
      </c>
      <c r="M608" s="16">
        <f t="shared" si="50"/>
        <v>0.31284515585486189</v>
      </c>
    </row>
    <row r="609" spans="6:13" x14ac:dyDescent="0.4">
      <c r="F609" s="1">
        <v>39873</v>
      </c>
      <c r="G609" s="16">
        <v>388.52</v>
      </c>
      <c r="H609" s="16">
        <f t="shared" si="46"/>
        <v>387.16164403391849</v>
      </c>
      <c r="I609">
        <f t="shared" si="47"/>
        <v>3</v>
      </c>
      <c r="J609" s="16" cm="1">
        <f t="array" ref="J609">INDEX(Sm,I609)</f>
        <v>1.3951035824648568</v>
      </c>
      <c r="K609" s="16">
        <f t="shared" si="48"/>
        <v>388.55674761638335</v>
      </c>
      <c r="L609" s="16">
        <f t="shared" si="49"/>
        <v>3.6747616383365767E-2</v>
      </c>
      <c r="M609" s="16">
        <f t="shared" si="50"/>
        <v>1.3503873098590121E-3</v>
      </c>
    </row>
    <row r="610" spans="6:13" x14ac:dyDescent="0.4">
      <c r="F610" s="1">
        <v>39904</v>
      </c>
      <c r="G610" s="16">
        <v>389.57</v>
      </c>
      <c r="H610" s="16">
        <f t="shared" si="46"/>
        <v>387.34286136773028</v>
      </c>
      <c r="I610">
        <f t="shared" si="47"/>
        <v>4</v>
      </c>
      <c r="J610" s="16" cm="1">
        <f t="array" ref="J610">INDEX(Sm,I610)</f>
        <v>2.6339370251743146</v>
      </c>
      <c r="K610" s="16">
        <f t="shared" si="48"/>
        <v>389.97679839290458</v>
      </c>
      <c r="L610" s="16">
        <f t="shared" si="49"/>
        <v>0.40679839290459086</v>
      </c>
      <c r="M610" s="16">
        <f t="shared" si="50"/>
        <v>0.16548493246975787</v>
      </c>
    </row>
    <row r="611" spans="6:13" x14ac:dyDescent="0.4">
      <c r="F611" s="1">
        <v>39934</v>
      </c>
      <c r="G611" s="16">
        <v>390.17</v>
      </c>
      <c r="H611" s="16">
        <f t="shared" si="46"/>
        <v>387.51847591641149</v>
      </c>
      <c r="I611">
        <f t="shared" si="47"/>
        <v>5</v>
      </c>
      <c r="J611" s="16" cm="1">
        <f t="array" ref="J611">INDEX(Sm,I611)</f>
        <v>3.0997257789906989</v>
      </c>
      <c r="K611" s="16">
        <f t="shared" si="48"/>
        <v>390.61820169540221</v>
      </c>
      <c r="L611" s="16">
        <f t="shared" si="49"/>
        <v>0.44820169540219013</v>
      </c>
      <c r="M611" s="16">
        <f t="shared" si="50"/>
        <v>0.20088475976139761</v>
      </c>
    </row>
    <row r="612" spans="6:13" x14ac:dyDescent="0.4">
      <c r="F612" s="1">
        <v>39965</v>
      </c>
      <c r="G612" s="16">
        <v>389.62</v>
      </c>
      <c r="H612" s="16">
        <f t="shared" si="46"/>
        <v>387.7001956661901</v>
      </c>
      <c r="I612">
        <f t="shared" si="47"/>
        <v>6</v>
      </c>
      <c r="J612" s="16" cm="1">
        <f t="array" ref="J612">INDEX(Sm,I612)</f>
        <v>2.3207404253660839</v>
      </c>
      <c r="K612" s="16">
        <f t="shared" si="48"/>
        <v>390.02093609155617</v>
      </c>
      <c r="L612" s="16">
        <f t="shared" si="49"/>
        <v>0.4009360915561615</v>
      </c>
      <c r="M612" s="16">
        <f t="shared" si="50"/>
        <v>0.16074974951233073</v>
      </c>
    </row>
    <row r="613" spans="6:13" x14ac:dyDescent="0.4">
      <c r="F613" s="1">
        <v>39995</v>
      </c>
      <c r="G613" s="16">
        <v>388.07</v>
      </c>
      <c r="H613" s="16">
        <f t="shared" si="46"/>
        <v>387.87629709739753</v>
      </c>
      <c r="I613">
        <f t="shared" si="47"/>
        <v>7</v>
      </c>
      <c r="J613" s="16" cm="1">
        <f t="array" ref="J613">INDEX(Sm,I613)</f>
        <v>0.74435685666414753</v>
      </c>
      <c r="K613" s="16">
        <f t="shared" si="48"/>
        <v>388.62065395406165</v>
      </c>
      <c r="L613" s="16">
        <f t="shared" si="49"/>
        <v>0.55065395406165862</v>
      </c>
      <c r="M613" s="16">
        <f t="shared" si="50"/>
        <v>0.30321977712373926</v>
      </c>
    </row>
    <row r="614" spans="6:13" x14ac:dyDescent="0.4">
      <c r="F614" s="1">
        <v>40026</v>
      </c>
      <c r="G614" s="16">
        <v>386.08</v>
      </c>
      <c r="H614" s="16">
        <f t="shared" si="46"/>
        <v>388.05852065606609</v>
      </c>
      <c r="I614">
        <f t="shared" si="47"/>
        <v>8</v>
      </c>
      <c r="J614" s="16" cm="1">
        <f t="array" ref="J614">INDEX(Sm,I614)</f>
        <v>-1.3868231821212227</v>
      </c>
      <c r="K614" s="16">
        <f t="shared" si="48"/>
        <v>386.67169747394485</v>
      </c>
      <c r="L614" s="16">
        <f t="shared" si="49"/>
        <v>0.59169747394486194</v>
      </c>
      <c r="M614" s="16">
        <f t="shared" si="50"/>
        <v>0.35010590067273056</v>
      </c>
    </row>
    <row r="615" spans="6:13" x14ac:dyDescent="0.4">
      <c r="F615" s="1">
        <v>40057</v>
      </c>
      <c r="G615" s="16">
        <v>384.65</v>
      </c>
      <c r="H615" s="16">
        <f t="shared" si="46"/>
        <v>388.24100078380792</v>
      </c>
      <c r="I615">
        <f t="shared" si="47"/>
        <v>9</v>
      </c>
      <c r="J615" s="16" cm="1">
        <f t="array" ref="J615">INDEX(Sm,I615)</f>
        <v>-3.1918015790052943</v>
      </c>
      <c r="K615" s="16">
        <f t="shared" si="48"/>
        <v>385.04919920480262</v>
      </c>
      <c r="L615" s="16">
        <f t="shared" si="49"/>
        <v>0.39919920480264182</v>
      </c>
      <c r="M615" s="16">
        <f t="shared" si="50"/>
        <v>0.15936000511506157</v>
      </c>
    </row>
    <row r="616" spans="6:13" x14ac:dyDescent="0.4">
      <c r="F616" s="1">
        <v>40087</v>
      </c>
      <c r="G616" s="16">
        <v>384.33</v>
      </c>
      <c r="H616" s="16">
        <f t="shared" si="46"/>
        <v>388.41783908400032</v>
      </c>
      <c r="I616">
        <f t="shared" si="47"/>
        <v>10</v>
      </c>
      <c r="J616" s="16" cm="1">
        <f t="array" ref="J616">INDEX(Sm,I616)</f>
        <v>-3.3171210691938846</v>
      </c>
      <c r="K616" s="16">
        <f t="shared" si="48"/>
        <v>385.10071801480643</v>
      </c>
      <c r="L616" s="16">
        <f t="shared" si="49"/>
        <v>0.77071801480644808</v>
      </c>
      <c r="M616" s="16">
        <f t="shared" si="50"/>
        <v>0.59400625834719234</v>
      </c>
    </row>
    <row r="617" spans="6:13" x14ac:dyDescent="0.4">
      <c r="F617" s="1">
        <v>40118</v>
      </c>
      <c r="G617" s="16">
        <v>386.05</v>
      </c>
      <c r="H617" s="16">
        <f t="shared" si="46"/>
        <v>388.60082512874186</v>
      </c>
      <c r="I617">
        <f t="shared" si="47"/>
        <v>11</v>
      </c>
      <c r="J617" s="16" cm="1">
        <f t="array" ref="J617">INDEX(Sm,I617)</f>
        <v>-2.0577916254037292</v>
      </c>
      <c r="K617" s="16">
        <f t="shared" si="48"/>
        <v>386.54303350333811</v>
      </c>
      <c r="L617" s="16">
        <f t="shared" si="49"/>
        <v>0.49303350333809703</v>
      </c>
      <c r="M617" s="16">
        <f t="shared" si="50"/>
        <v>0.24308203541383733</v>
      </c>
    </row>
    <row r="618" spans="6:13" x14ac:dyDescent="0.4">
      <c r="F618" s="1">
        <v>40148</v>
      </c>
      <c r="G618" s="16">
        <v>387.49</v>
      </c>
      <c r="H618" s="16">
        <f t="shared" si="46"/>
        <v>388.77815370425014</v>
      </c>
      <c r="I618">
        <f t="shared" si="47"/>
        <v>12</v>
      </c>
      <c r="J618" s="16" cm="1">
        <f t="array" ref="J618">INDEX(Sm,I618)</f>
        <v>-0.88780634062791353</v>
      </c>
      <c r="K618" s="16">
        <f t="shared" si="48"/>
        <v>387.89034736362225</v>
      </c>
      <c r="L618" s="16">
        <f t="shared" si="49"/>
        <v>0.40034736362224521</v>
      </c>
      <c r="M618" s="16">
        <f t="shared" si="50"/>
        <v>0.16027801155928223</v>
      </c>
    </row>
    <row r="619" spans="6:13" x14ac:dyDescent="0.4">
      <c r="F619" s="1">
        <v>40179</v>
      </c>
      <c r="G619" s="16">
        <v>388.55</v>
      </c>
      <c r="H619" s="16">
        <f t="shared" si="46"/>
        <v>388.96164706862083</v>
      </c>
      <c r="I619">
        <f t="shared" si="47"/>
        <v>1</v>
      </c>
      <c r="J619" s="16" cm="1">
        <f t="array" ref="J619">INDEX(Sm,I619)</f>
        <v>-3.3662626377861403E-2</v>
      </c>
      <c r="K619" s="16">
        <f t="shared" si="48"/>
        <v>388.92798444224297</v>
      </c>
      <c r="L619" s="16">
        <f t="shared" si="49"/>
        <v>0.3779844422429619</v>
      </c>
      <c r="M619" s="16">
        <f t="shared" si="50"/>
        <v>0.14287223857772299</v>
      </c>
    </row>
    <row r="620" spans="6:13" x14ac:dyDescent="0.4">
      <c r="F620" s="1">
        <v>40210</v>
      </c>
      <c r="G620" s="16">
        <v>390.08</v>
      </c>
      <c r="H620" s="16">
        <f t="shared" si="46"/>
        <v>389.14539878993941</v>
      </c>
      <c r="I620">
        <f t="shared" si="47"/>
        <v>2</v>
      </c>
      <c r="J620" s="16" cm="1">
        <f t="array" ref="J620">INDEX(Sm,I620)</f>
        <v>0.68114275406980329</v>
      </c>
      <c r="K620" s="16">
        <f t="shared" si="48"/>
        <v>389.82654154400922</v>
      </c>
      <c r="L620" s="16">
        <f t="shared" si="49"/>
        <v>-0.25345845599076711</v>
      </c>
      <c r="M620" s="16">
        <f t="shared" si="50"/>
        <v>6.4241188913223626E-2</v>
      </c>
    </row>
    <row r="621" spans="6:13" x14ac:dyDescent="0.4">
      <c r="F621" s="1">
        <v>40238</v>
      </c>
      <c r="G621" s="16">
        <v>391.01</v>
      </c>
      <c r="H621" s="16">
        <f t="shared" si="46"/>
        <v>389.3115904524891</v>
      </c>
      <c r="I621">
        <f t="shared" si="47"/>
        <v>3</v>
      </c>
      <c r="J621" s="16" cm="1">
        <f t="array" ref="J621">INDEX(Sm,I621)</f>
        <v>1.3951035824648568</v>
      </c>
      <c r="K621" s="16">
        <f t="shared" si="48"/>
        <v>390.70669403495395</v>
      </c>
      <c r="L621" s="16">
        <f t="shared" si="49"/>
        <v>-0.30330596504603591</v>
      </c>
      <c r="M621" s="16">
        <f t="shared" si="50"/>
        <v>9.1994508432507158E-2</v>
      </c>
    </row>
    <row r="622" spans="6:13" x14ac:dyDescent="0.4">
      <c r="F622" s="1">
        <v>40269</v>
      </c>
      <c r="G622" s="16">
        <v>392.38</v>
      </c>
      <c r="H622" s="16">
        <f t="shared" si="46"/>
        <v>389.49583489083261</v>
      </c>
      <c r="I622">
        <f t="shared" si="47"/>
        <v>4</v>
      </c>
      <c r="J622" s="16" cm="1">
        <f t="array" ref="J622">INDEX(Sm,I622)</f>
        <v>2.6339370251743146</v>
      </c>
      <c r="K622" s="16">
        <f t="shared" si="48"/>
        <v>392.12977191600692</v>
      </c>
      <c r="L622" s="16">
        <f t="shared" si="49"/>
        <v>-0.25022808399307905</v>
      </c>
      <c r="M622" s="16">
        <f t="shared" si="50"/>
        <v>6.2614094018847419E-2</v>
      </c>
    </row>
    <row r="623" spans="6:13" x14ac:dyDescent="0.4">
      <c r="F623" s="1">
        <v>40299</v>
      </c>
      <c r="G623" s="16">
        <v>393.22</v>
      </c>
      <c r="H623" s="16">
        <f t="shared" si="46"/>
        <v>389.67438295357113</v>
      </c>
      <c r="I623">
        <f t="shared" si="47"/>
        <v>5</v>
      </c>
      <c r="J623" s="16" cm="1">
        <f t="array" ref="J623">INDEX(Sm,I623)</f>
        <v>3.0997257789906989</v>
      </c>
      <c r="K623" s="16">
        <f t="shared" si="48"/>
        <v>392.77410873256184</v>
      </c>
      <c r="L623" s="16">
        <f t="shared" si="49"/>
        <v>-0.44589126743818497</v>
      </c>
      <c r="M623" s="16">
        <f t="shared" si="50"/>
        <v>0.19881902237763099</v>
      </c>
    </row>
    <row r="624" spans="6:13" x14ac:dyDescent="0.4">
      <c r="F624" s="1">
        <v>40330</v>
      </c>
      <c r="G624" s="16">
        <v>392.24</v>
      </c>
      <c r="H624" s="16">
        <f t="shared" si="46"/>
        <v>389.859138200377</v>
      </c>
      <c r="I624">
        <f t="shared" si="47"/>
        <v>6</v>
      </c>
      <c r="J624" s="16" cm="1">
        <f t="array" ref="J624">INDEX(Sm,I624)</f>
        <v>2.3207404253660839</v>
      </c>
      <c r="K624" s="16">
        <f t="shared" si="48"/>
        <v>392.17987862574307</v>
      </c>
      <c r="L624" s="16">
        <f t="shared" si="49"/>
        <v>-6.0121374256937088E-2</v>
      </c>
      <c r="M624" s="16">
        <f t="shared" si="50"/>
        <v>3.6145796425426976E-3</v>
      </c>
    </row>
    <row r="625" spans="6:13" x14ac:dyDescent="0.4">
      <c r="F625" s="1">
        <v>40360</v>
      </c>
      <c r="G625" s="16">
        <v>390.33</v>
      </c>
      <c r="H625" s="16">
        <f t="shared" si="46"/>
        <v>390.03818127866225</v>
      </c>
      <c r="I625">
        <f t="shared" si="47"/>
        <v>7</v>
      </c>
      <c r="J625" s="16" cm="1">
        <f t="array" ref="J625">INDEX(Sm,I625)</f>
        <v>0.74435685666414753</v>
      </c>
      <c r="K625" s="16">
        <f t="shared" si="48"/>
        <v>390.78253813532638</v>
      </c>
      <c r="L625" s="16">
        <f t="shared" si="49"/>
        <v>0.45253813532639242</v>
      </c>
      <c r="M625" s="16">
        <f t="shared" si="50"/>
        <v>0.20479076392468826</v>
      </c>
    </row>
    <row r="626" spans="6:13" x14ac:dyDescent="0.4">
      <c r="F626" s="1">
        <v>40391</v>
      </c>
      <c r="G626" s="16">
        <v>388.52</v>
      </c>
      <c r="H626" s="16">
        <f t="shared" si="46"/>
        <v>390.22344875012124</v>
      </c>
      <c r="I626">
        <f t="shared" si="47"/>
        <v>8</v>
      </c>
      <c r="J626" s="16" cm="1">
        <f t="array" ref="J626">INDEX(Sm,I626)</f>
        <v>-1.3868231821212227</v>
      </c>
      <c r="K626" s="16">
        <f t="shared" si="48"/>
        <v>388.83662556799999</v>
      </c>
      <c r="L626" s="16">
        <f t="shared" si="49"/>
        <v>0.3166255680000063</v>
      </c>
      <c r="M626" s="16">
        <f t="shared" si="50"/>
        <v>0.10025175031132662</v>
      </c>
    </row>
    <row r="627" spans="6:13" x14ac:dyDescent="0.4">
      <c r="F627" s="1">
        <v>40422</v>
      </c>
      <c r="G627" s="16">
        <v>386.84</v>
      </c>
      <c r="H627" s="16">
        <f t="shared" si="46"/>
        <v>390.40897707645439</v>
      </c>
      <c r="I627">
        <f t="shared" si="47"/>
        <v>9</v>
      </c>
      <c r="J627" s="16" cm="1">
        <f t="array" ref="J627">INDEX(Sm,I627)</f>
        <v>-3.1918015790052943</v>
      </c>
      <c r="K627" s="16">
        <f t="shared" si="48"/>
        <v>387.21717549744909</v>
      </c>
      <c r="L627" s="16">
        <f t="shared" si="49"/>
        <v>0.37717549744911594</v>
      </c>
      <c r="M627" s="16">
        <f t="shared" si="50"/>
        <v>0.14226135587598807</v>
      </c>
    </row>
    <row r="628" spans="6:13" x14ac:dyDescent="0.4">
      <c r="F628" s="1">
        <v>40452</v>
      </c>
      <c r="G628" s="16">
        <v>387.16</v>
      </c>
      <c r="H628" s="16">
        <f t="shared" si="46"/>
        <v>390.58876933258824</v>
      </c>
      <c r="I628">
        <f t="shared" si="47"/>
        <v>10</v>
      </c>
      <c r="J628" s="16" cm="1">
        <f t="array" ref="J628">INDEX(Sm,I628)</f>
        <v>-3.3171210691938846</v>
      </c>
      <c r="K628" s="16">
        <f t="shared" si="48"/>
        <v>387.27164826339435</v>
      </c>
      <c r="L628" s="16">
        <f t="shared" si="49"/>
        <v>0.11164826339432921</v>
      </c>
      <c r="M628" s="16">
        <f t="shared" si="50"/>
        <v>1.246533471896951E-2</v>
      </c>
    </row>
    <row r="629" spans="6:13" x14ac:dyDescent="0.4">
      <c r="F629" s="1">
        <v>40483</v>
      </c>
      <c r="G629" s="16">
        <v>388.67</v>
      </c>
      <c r="H629" s="16">
        <f t="shared" si="46"/>
        <v>390.77481202689864</v>
      </c>
      <c r="I629">
        <f t="shared" si="47"/>
        <v>11</v>
      </c>
      <c r="J629" s="16" cm="1">
        <f t="array" ref="J629">INDEX(Sm,I629)</f>
        <v>-2.0577916254037292</v>
      </c>
      <c r="K629" s="16">
        <f t="shared" si="48"/>
        <v>388.71702040149489</v>
      </c>
      <c r="L629" s="16">
        <f t="shared" si="49"/>
        <v>4.7020401494876296E-2</v>
      </c>
      <c r="M629" s="16">
        <f t="shared" si="50"/>
        <v>2.2109181567393651E-3</v>
      </c>
    </row>
    <row r="630" spans="6:13" x14ac:dyDescent="0.4">
      <c r="F630" s="1">
        <v>40513</v>
      </c>
      <c r="G630" s="16">
        <v>389.81</v>
      </c>
      <c r="H630" s="16">
        <f t="shared" si="46"/>
        <v>390.95510274804315</v>
      </c>
      <c r="I630">
        <f t="shared" si="47"/>
        <v>12</v>
      </c>
      <c r="J630" s="16" cm="1">
        <f t="array" ref="J630">INDEX(Sm,I630)</f>
        <v>-0.88780634062791353</v>
      </c>
      <c r="K630" s="16">
        <f t="shared" si="48"/>
        <v>390.06729640741526</v>
      </c>
      <c r="L630" s="16">
        <f t="shared" si="49"/>
        <v>0.25729640741525373</v>
      </c>
      <c r="M630" s="16">
        <f t="shared" si="50"/>
        <v>6.6201441268796235E-2</v>
      </c>
    </row>
    <row r="631" spans="6:13" x14ac:dyDescent="0.4">
      <c r="F631" s="1">
        <v>40544</v>
      </c>
      <c r="G631" s="16">
        <v>391.3</v>
      </c>
      <c r="H631" s="16">
        <f t="shared" si="46"/>
        <v>391.14166123639029</v>
      </c>
      <c r="I631">
        <f t="shared" si="47"/>
        <v>1</v>
      </c>
      <c r="J631" s="16" cm="1">
        <f t="array" ref="J631">INDEX(Sm,I631)</f>
        <v>-3.3662626377861403E-2</v>
      </c>
      <c r="K631" s="16">
        <f t="shared" si="48"/>
        <v>391.10799861001243</v>
      </c>
      <c r="L631" s="16">
        <f t="shared" si="49"/>
        <v>-0.19200138998758121</v>
      </c>
      <c r="M631" s="16">
        <f t="shared" si="50"/>
        <v>3.6864533757163247E-2</v>
      </c>
    </row>
    <row r="632" spans="6:13" x14ac:dyDescent="0.4">
      <c r="F632" s="1">
        <v>40575</v>
      </c>
      <c r="G632" s="16">
        <v>391.92</v>
      </c>
      <c r="H632" s="16">
        <f t="shared" si="46"/>
        <v>391.32848239735154</v>
      </c>
      <c r="I632">
        <f t="shared" si="47"/>
        <v>2</v>
      </c>
      <c r="J632" s="16" cm="1">
        <f t="array" ref="J632">INDEX(Sm,I632)</f>
        <v>0.68114275406980329</v>
      </c>
      <c r="K632" s="16">
        <f t="shared" si="48"/>
        <v>392.00962515142135</v>
      </c>
      <c r="L632" s="16">
        <f t="shared" si="49"/>
        <v>8.9625151421330429E-2</v>
      </c>
      <c r="M632" s="16">
        <f t="shared" si="50"/>
        <v>8.0326677672964072E-3</v>
      </c>
    </row>
    <row r="633" spans="6:13" x14ac:dyDescent="0.4">
      <c r="F633" s="1">
        <v>40603</v>
      </c>
      <c r="G633" s="16">
        <v>392.45</v>
      </c>
      <c r="H633" s="16">
        <f t="shared" si="46"/>
        <v>391.49745017145881</v>
      </c>
      <c r="I633">
        <f t="shared" si="47"/>
        <v>3</v>
      </c>
      <c r="J633" s="16" cm="1">
        <f t="array" ref="J633">INDEX(Sm,I633)</f>
        <v>1.3951035824648568</v>
      </c>
      <c r="K633" s="16">
        <f t="shared" si="48"/>
        <v>392.89255375392366</v>
      </c>
      <c r="L633" s="16">
        <f t="shared" si="49"/>
        <v>0.44255375392367569</v>
      </c>
      <c r="M633" s="16">
        <f t="shared" si="50"/>
        <v>0.1958538251119373</v>
      </c>
    </row>
    <row r="634" spans="6:13" x14ac:dyDescent="0.4">
      <c r="F634" s="1">
        <v>40634</v>
      </c>
      <c r="G634" s="16">
        <v>393.37</v>
      </c>
      <c r="H634" s="16">
        <f t="shared" si="46"/>
        <v>391.68477227992662</v>
      </c>
      <c r="I634">
        <f t="shared" si="47"/>
        <v>4</v>
      </c>
      <c r="J634" s="16" cm="1">
        <f t="array" ref="J634">INDEX(Sm,I634)</f>
        <v>2.6339370251743146</v>
      </c>
      <c r="K634" s="16">
        <f t="shared" si="48"/>
        <v>394.31870930510092</v>
      </c>
      <c r="L634" s="16">
        <f t="shared" si="49"/>
        <v>0.94870930510091966</v>
      </c>
      <c r="M634" s="16">
        <f t="shared" si="50"/>
        <v>0.90004934558506988</v>
      </c>
    </row>
    <row r="635" spans="6:13" x14ac:dyDescent="0.4">
      <c r="F635" s="1">
        <v>40664</v>
      </c>
      <c r="G635" s="16">
        <v>394.28</v>
      </c>
      <c r="H635" s="16">
        <f t="shared" si="46"/>
        <v>391.86630285895359</v>
      </c>
      <c r="I635">
        <f t="shared" si="47"/>
        <v>5</v>
      </c>
      <c r="J635" s="16" cm="1">
        <f t="array" ref="J635">INDEX(Sm,I635)</f>
        <v>3.0997257789906989</v>
      </c>
      <c r="K635" s="16">
        <f t="shared" si="48"/>
        <v>394.96602863794431</v>
      </c>
      <c r="L635" s="16">
        <f t="shared" si="49"/>
        <v>0.68602863794433233</v>
      </c>
      <c r="M635" s="16">
        <f t="shared" si="50"/>
        <v>0.4706352920797558</v>
      </c>
    </row>
    <row r="636" spans="6:13" x14ac:dyDescent="0.4">
      <c r="F636" s="1">
        <v>40695</v>
      </c>
      <c r="G636" s="16">
        <v>393.69</v>
      </c>
      <c r="H636" s="16">
        <f t="shared" si="46"/>
        <v>392.05414430856979</v>
      </c>
      <c r="I636">
        <f t="shared" si="47"/>
        <v>6</v>
      </c>
      <c r="J636" s="16" cm="1">
        <f t="array" ref="J636">INDEX(Sm,I636)</f>
        <v>2.3207404253660839</v>
      </c>
      <c r="K636" s="16">
        <f t="shared" si="48"/>
        <v>394.37488473393586</v>
      </c>
      <c r="L636" s="16">
        <f t="shared" si="49"/>
        <v>0.68488473393585991</v>
      </c>
      <c r="M636" s="16">
        <f t="shared" si="50"/>
        <v>0.46906709877839364</v>
      </c>
    </row>
    <row r="637" spans="6:13" x14ac:dyDescent="0.4">
      <c r="F637" s="1">
        <v>40725</v>
      </c>
      <c r="G637" s="16">
        <v>392.59</v>
      </c>
      <c r="H637" s="16">
        <f t="shared" si="46"/>
        <v>392.23617817202023</v>
      </c>
      <c r="I637">
        <f t="shared" si="47"/>
        <v>7</v>
      </c>
      <c r="J637" s="16" cm="1">
        <f t="array" ref="J637">INDEX(Sm,I637)</f>
        <v>0.74435685666414753</v>
      </c>
      <c r="K637" s="16">
        <f t="shared" si="48"/>
        <v>392.98053502868436</v>
      </c>
      <c r="L637" s="16">
        <f t="shared" si="49"/>
        <v>0.39053502868438272</v>
      </c>
      <c r="M637" s="16">
        <f t="shared" si="50"/>
        <v>0.15251760862951164</v>
      </c>
    </row>
    <row r="638" spans="6:13" x14ac:dyDescent="0.4">
      <c r="F638" s="1">
        <v>40756</v>
      </c>
      <c r="G638" s="16">
        <v>390.21</v>
      </c>
      <c r="H638" s="16">
        <f t="shared" si="46"/>
        <v>392.42454040263192</v>
      </c>
      <c r="I638">
        <f t="shared" si="47"/>
        <v>8</v>
      </c>
      <c r="J638" s="16" cm="1">
        <f t="array" ref="J638">INDEX(Sm,I638)</f>
        <v>-1.3868231821212227</v>
      </c>
      <c r="K638" s="16">
        <f t="shared" si="48"/>
        <v>391.03771722051067</v>
      </c>
      <c r="L638" s="16">
        <f t="shared" si="49"/>
        <v>0.82771722051069219</v>
      </c>
      <c r="M638" s="16">
        <f t="shared" si="50"/>
        <v>0.68511579712994586</v>
      </c>
    </row>
    <row r="639" spans="6:13" x14ac:dyDescent="0.4">
      <c r="F639" s="1">
        <v>40787</v>
      </c>
      <c r="G639" s="16">
        <v>389</v>
      </c>
      <c r="H639" s="16">
        <f t="shared" si="46"/>
        <v>392.61316784550985</v>
      </c>
      <c r="I639">
        <f t="shared" si="47"/>
        <v>9</v>
      </c>
      <c r="J639" s="16" cm="1">
        <f t="array" ref="J639">INDEX(Sm,I639)</f>
        <v>-3.1918015790052943</v>
      </c>
      <c r="K639" s="16">
        <f t="shared" si="48"/>
        <v>389.42136626650455</v>
      </c>
      <c r="L639" s="16">
        <f t="shared" si="49"/>
        <v>0.421366266504549</v>
      </c>
      <c r="M639" s="16">
        <f t="shared" si="50"/>
        <v>0.17754953054798261</v>
      </c>
    </row>
    <row r="640" spans="6:13" x14ac:dyDescent="0.4">
      <c r="F640" s="1">
        <v>40817</v>
      </c>
      <c r="G640" s="16">
        <v>388.93</v>
      </c>
      <c r="H640" s="16">
        <f t="shared" si="46"/>
        <v>392.7959634012833</v>
      </c>
      <c r="I640">
        <f t="shared" si="47"/>
        <v>10</v>
      </c>
      <c r="J640" s="16" cm="1">
        <f t="array" ref="J640">INDEX(Sm,I640)</f>
        <v>-3.3171210691938846</v>
      </c>
      <c r="K640" s="16">
        <f t="shared" si="48"/>
        <v>389.47884233208941</v>
      </c>
      <c r="L640" s="16">
        <f t="shared" si="49"/>
        <v>0.54884233208940714</v>
      </c>
      <c r="M640" s="16">
        <f t="shared" si="50"/>
        <v>0.30122790549333905</v>
      </c>
    </row>
    <row r="641" spans="6:13" x14ac:dyDescent="0.4">
      <c r="F641" s="1">
        <v>40848</v>
      </c>
      <c r="G641" s="16">
        <v>390.24</v>
      </c>
      <c r="H641" s="16">
        <f t="shared" si="46"/>
        <v>392.98511380428369</v>
      </c>
      <c r="I641">
        <f t="shared" si="47"/>
        <v>11</v>
      </c>
      <c r="J641" s="16" cm="1">
        <f t="array" ref="J641">INDEX(Sm,I641)</f>
        <v>-2.0577916254037292</v>
      </c>
      <c r="K641" s="16">
        <f t="shared" si="48"/>
        <v>390.92732217887993</v>
      </c>
      <c r="L641" s="16">
        <f t="shared" si="49"/>
        <v>0.68732217887992419</v>
      </c>
      <c r="M641" s="16">
        <f t="shared" si="50"/>
        <v>0.47241177758024649</v>
      </c>
    </row>
    <row r="642" spans="6:13" x14ac:dyDescent="0.4">
      <c r="F642" s="1">
        <v>40878</v>
      </c>
      <c r="G642" s="16">
        <v>391.8</v>
      </c>
      <c r="H642" s="16">
        <f t="shared" si="46"/>
        <v>393.16841615156522</v>
      </c>
      <c r="I642">
        <f t="shared" si="47"/>
        <v>12</v>
      </c>
      <c r="J642" s="16" cm="1">
        <f t="array" ref="J642">INDEX(Sm,I642)</f>
        <v>-0.88780634062791353</v>
      </c>
      <c r="K642" s="16">
        <f t="shared" si="48"/>
        <v>392.28060981093734</v>
      </c>
      <c r="L642" s="16">
        <f t="shared" si="49"/>
        <v>0.4806098109373238</v>
      </c>
      <c r="M642" s="16">
        <f t="shared" si="50"/>
        <v>0.23098579036921013</v>
      </c>
    </row>
    <row r="643" spans="6:13" x14ac:dyDescent="0.4">
      <c r="F643" s="1">
        <v>40909</v>
      </c>
      <c r="G643" s="16">
        <v>393.07</v>
      </c>
      <c r="H643" s="16">
        <f t="shared" ref="H643:H706" si="51">EXP(_A*F643+_B)+_C</f>
        <v>393.35809096456882</v>
      </c>
      <c r="I643">
        <f t="shared" ref="I643:I706" si="52">MONTH(F643)</f>
        <v>1</v>
      </c>
      <c r="J643" s="16" cm="1">
        <f t="array" ref="J643">INDEX(Sm,I643)</f>
        <v>-3.3662626377861403E-2</v>
      </c>
      <c r="K643" s="16">
        <f t="shared" ref="K643:K706" si="53">H643+J643</f>
        <v>393.32442833819096</v>
      </c>
      <c r="L643" s="16">
        <f t="shared" ref="L643:L706" si="54">K643-G643</f>
        <v>0.25442833819096222</v>
      </c>
      <c r="M643" s="16">
        <f t="shared" ref="M643:M706" si="55">L643*L643</f>
        <v>6.4733779274614642E-2</v>
      </c>
    </row>
    <row r="644" spans="6:13" x14ac:dyDescent="0.4">
      <c r="F644" s="1">
        <v>40940</v>
      </c>
      <c r="G644" s="16">
        <v>393.35</v>
      </c>
      <c r="H644" s="16">
        <f t="shared" si="51"/>
        <v>393.5480328379424</v>
      </c>
      <c r="I644">
        <f t="shared" si="52"/>
        <v>2</v>
      </c>
      <c r="J644" s="16" cm="1">
        <f t="array" ref="J644">INDEX(Sm,I644)</f>
        <v>0.68114275406980329</v>
      </c>
      <c r="K644" s="16">
        <f t="shared" si="53"/>
        <v>394.22917559201221</v>
      </c>
      <c r="L644" s="16">
        <f t="shared" si="54"/>
        <v>0.87917559201218864</v>
      </c>
      <c r="M644" s="16">
        <f t="shared" si="55"/>
        <v>0.77294972158998243</v>
      </c>
    </row>
    <row r="645" spans="6:13" x14ac:dyDescent="0.4">
      <c r="F645" s="1">
        <v>40969</v>
      </c>
      <c r="G645" s="16">
        <v>394.36</v>
      </c>
      <c r="H645" s="16">
        <f t="shared" si="51"/>
        <v>393.72596250160365</v>
      </c>
      <c r="I645">
        <f t="shared" si="52"/>
        <v>3</v>
      </c>
      <c r="J645" s="16" cm="1">
        <f t="array" ref="J645">INDEX(Sm,I645)</f>
        <v>1.3951035824648568</v>
      </c>
      <c r="K645" s="16">
        <f t="shared" si="53"/>
        <v>395.1210660840685</v>
      </c>
      <c r="L645" s="16">
        <f t="shared" si="54"/>
        <v>0.76106608406848864</v>
      </c>
      <c r="M645" s="16">
        <f t="shared" si="55"/>
        <v>0.57922158431934379</v>
      </c>
    </row>
    <row r="646" spans="6:13" x14ac:dyDescent="0.4">
      <c r="F646" s="1">
        <v>41000</v>
      </c>
      <c r="G646" s="16">
        <v>396.43</v>
      </c>
      <c r="H646" s="16">
        <f t="shared" si="51"/>
        <v>393.91642233467485</v>
      </c>
      <c r="I646">
        <f t="shared" si="52"/>
        <v>4</v>
      </c>
      <c r="J646" s="16" cm="1">
        <f t="array" ref="J646">INDEX(Sm,I646)</f>
        <v>2.6339370251743146</v>
      </c>
      <c r="K646" s="16">
        <f t="shared" si="53"/>
        <v>396.55035935984915</v>
      </c>
      <c r="L646" s="16">
        <f t="shared" si="54"/>
        <v>0.12035935984914659</v>
      </c>
      <c r="M646" s="16">
        <f t="shared" si="55"/>
        <v>1.4486375503296359E-2</v>
      </c>
    </row>
    <row r="647" spans="6:13" x14ac:dyDescent="0.4">
      <c r="F647" s="1">
        <v>41030</v>
      </c>
      <c r="G647" s="16">
        <v>396.87</v>
      </c>
      <c r="H647" s="16">
        <f t="shared" si="51"/>
        <v>394.10099362773587</v>
      </c>
      <c r="I647">
        <f t="shared" si="52"/>
        <v>5</v>
      </c>
      <c r="J647" s="16" cm="1">
        <f t="array" ref="J647">INDEX(Sm,I647)</f>
        <v>3.0997257789906989</v>
      </c>
      <c r="K647" s="16">
        <f t="shared" si="53"/>
        <v>397.20071940672659</v>
      </c>
      <c r="L647" s="16">
        <f t="shared" si="54"/>
        <v>0.33071940672658684</v>
      </c>
      <c r="M647" s="16">
        <f t="shared" si="55"/>
        <v>0.10937532598558557</v>
      </c>
    </row>
    <row r="648" spans="6:13" x14ac:dyDescent="0.4">
      <c r="F648" s="1">
        <v>41061</v>
      </c>
      <c r="G648" s="16">
        <v>395.88</v>
      </c>
      <c r="H648" s="16">
        <f t="shared" si="51"/>
        <v>394.2919815011395</v>
      </c>
      <c r="I648">
        <f t="shared" si="52"/>
        <v>6</v>
      </c>
      <c r="J648" s="16" cm="1">
        <f t="array" ref="J648">INDEX(Sm,I648)</f>
        <v>2.3207404253660839</v>
      </c>
      <c r="K648" s="16">
        <f t="shared" si="53"/>
        <v>396.61272192650557</v>
      </c>
      <c r="L648" s="16">
        <f t="shared" si="54"/>
        <v>0.73272192650557599</v>
      </c>
      <c r="M648" s="16">
        <f t="shared" si="55"/>
        <v>0.53688142158204266</v>
      </c>
    </row>
    <row r="649" spans="6:13" x14ac:dyDescent="0.4">
      <c r="F649" s="1">
        <v>41091</v>
      </c>
      <c r="G649" s="16">
        <v>394.52</v>
      </c>
      <c r="H649" s="16">
        <f t="shared" si="51"/>
        <v>394.47706450885119</v>
      </c>
      <c r="I649">
        <f t="shared" si="52"/>
        <v>7</v>
      </c>
      <c r="J649" s="16" cm="1">
        <f t="array" ref="J649">INDEX(Sm,I649)</f>
        <v>0.74435685666414753</v>
      </c>
      <c r="K649" s="16">
        <f t="shared" si="53"/>
        <v>395.22142136551531</v>
      </c>
      <c r="L649" s="16">
        <f t="shared" si="54"/>
        <v>0.70142136551532985</v>
      </c>
      <c r="M649" s="16">
        <f t="shared" si="55"/>
        <v>0.49199193200138996</v>
      </c>
    </row>
    <row r="650" spans="6:13" x14ac:dyDescent="0.4">
      <c r="F650" s="1">
        <v>41122</v>
      </c>
      <c r="G650" s="16">
        <v>392.54</v>
      </c>
      <c r="H650" s="16">
        <f t="shared" si="51"/>
        <v>394.66858188655249</v>
      </c>
      <c r="I650">
        <f t="shared" si="52"/>
        <v>8</v>
      </c>
      <c r="J650" s="16" cm="1">
        <f t="array" ref="J650">INDEX(Sm,I650)</f>
        <v>-1.3868231821212227</v>
      </c>
      <c r="K650" s="16">
        <f t="shared" si="53"/>
        <v>393.28175870443124</v>
      </c>
      <c r="L650" s="16">
        <f t="shared" si="54"/>
        <v>0.74175870443121994</v>
      </c>
      <c r="M650" s="16">
        <f t="shared" si="55"/>
        <v>0.55020597559948192</v>
      </c>
    </row>
    <row r="651" spans="6:13" x14ac:dyDescent="0.4">
      <c r="F651" s="1">
        <v>41153</v>
      </c>
      <c r="G651" s="16">
        <v>391.13</v>
      </c>
      <c r="H651" s="16">
        <f t="shared" si="51"/>
        <v>394.86036891893775</v>
      </c>
      <c r="I651">
        <f t="shared" si="52"/>
        <v>9</v>
      </c>
      <c r="J651" s="16" cm="1">
        <f t="array" ref="J651">INDEX(Sm,I651)</f>
        <v>-3.1918015790052943</v>
      </c>
      <c r="K651" s="16">
        <f t="shared" si="53"/>
        <v>391.66856733993245</v>
      </c>
      <c r="L651" s="16">
        <f t="shared" si="54"/>
        <v>0.53856733993245598</v>
      </c>
      <c r="M651" s="16">
        <f t="shared" si="55"/>
        <v>0.29005477964192161</v>
      </c>
    </row>
    <row r="652" spans="6:13" x14ac:dyDescent="0.4">
      <c r="F652" s="1">
        <v>41183</v>
      </c>
      <c r="G652" s="16">
        <v>391.01</v>
      </c>
      <c r="H652" s="16">
        <f t="shared" si="51"/>
        <v>395.04622637764112</v>
      </c>
      <c r="I652">
        <f t="shared" si="52"/>
        <v>10</v>
      </c>
      <c r="J652" s="16" cm="1">
        <f t="array" ref="J652">INDEX(Sm,I652)</f>
        <v>-3.3171210691938846</v>
      </c>
      <c r="K652" s="16">
        <f t="shared" si="53"/>
        <v>391.72910530844723</v>
      </c>
      <c r="L652" s="16">
        <f t="shared" si="54"/>
        <v>0.71910530844724008</v>
      </c>
      <c r="M652" s="16">
        <f t="shared" si="55"/>
        <v>0.51711244463700035</v>
      </c>
    </row>
    <row r="653" spans="6:13" x14ac:dyDescent="0.4">
      <c r="F653" s="1">
        <v>41214</v>
      </c>
      <c r="G653" s="16">
        <v>392.95</v>
      </c>
      <c r="H653" s="16">
        <f t="shared" si="51"/>
        <v>395.23854512995229</v>
      </c>
      <c r="I653">
        <f t="shared" si="52"/>
        <v>11</v>
      </c>
      <c r="J653" s="16" cm="1">
        <f t="array" ref="J653">INDEX(Sm,I653)</f>
        <v>-2.0577916254037292</v>
      </c>
      <c r="K653" s="16">
        <f t="shared" si="53"/>
        <v>393.18075350454853</v>
      </c>
      <c r="L653" s="16">
        <f t="shared" si="54"/>
        <v>0.23075350454854515</v>
      </c>
      <c r="M653" s="16">
        <f t="shared" si="55"/>
        <v>5.3247179861435449E-2</v>
      </c>
    </row>
    <row r="654" spans="6:13" x14ac:dyDescent="0.4">
      <c r="F654" s="1">
        <v>41244</v>
      </c>
      <c r="G654" s="16">
        <v>394.33</v>
      </c>
      <c r="H654" s="16">
        <f t="shared" si="51"/>
        <v>395.42491786913598</v>
      </c>
      <c r="I654">
        <f t="shared" si="52"/>
        <v>12</v>
      </c>
      <c r="J654" s="16" cm="1">
        <f t="array" ref="J654">INDEX(Sm,I654)</f>
        <v>-0.88780634062791353</v>
      </c>
      <c r="K654" s="16">
        <f t="shared" si="53"/>
        <v>394.53711152850809</v>
      </c>
      <c r="L654" s="16">
        <f t="shared" si="54"/>
        <v>0.20711152850810777</v>
      </c>
      <c r="M654" s="16">
        <f t="shared" si="55"/>
        <v>4.2895185240964737E-2</v>
      </c>
    </row>
    <row r="655" spans="6:13" x14ac:dyDescent="0.4">
      <c r="F655" s="1">
        <v>41275</v>
      </c>
      <c r="G655" s="16">
        <v>395.61</v>
      </c>
      <c r="H655" s="16">
        <f t="shared" si="51"/>
        <v>395.61776981553987</v>
      </c>
      <c r="I655">
        <f t="shared" si="52"/>
        <v>1</v>
      </c>
      <c r="J655" s="16" cm="1">
        <f t="array" ref="J655">INDEX(Sm,I655)</f>
        <v>-3.3662626377861403E-2</v>
      </c>
      <c r="K655" s="16">
        <f t="shared" si="53"/>
        <v>395.58410718916201</v>
      </c>
      <c r="L655" s="16">
        <f t="shared" si="54"/>
        <v>-2.5892810838001878E-2</v>
      </c>
      <c r="M655" s="16">
        <f t="shared" si="55"/>
        <v>6.7043765309254756E-4</v>
      </c>
    </row>
    <row r="656" spans="6:13" x14ac:dyDescent="0.4">
      <c r="F656" s="1">
        <v>41306</v>
      </c>
      <c r="G656" s="16">
        <v>396.85</v>
      </c>
      <c r="H656" s="16">
        <f t="shared" si="51"/>
        <v>395.81089329568795</v>
      </c>
      <c r="I656">
        <f t="shared" si="52"/>
        <v>2</v>
      </c>
      <c r="J656" s="16" cm="1">
        <f t="array" ref="J656">INDEX(Sm,I656)</f>
        <v>0.68114275406980329</v>
      </c>
      <c r="K656" s="16">
        <f t="shared" si="53"/>
        <v>396.49203604975776</v>
      </c>
      <c r="L656" s="16">
        <f t="shared" si="54"/>
        <v>-0.35796395024226513</v>
      </c>
      <c r="M656" s="16">
        <f t="shared" si="55"/>
        <v>0.12813818967304685</v>
      </c>
    </row>
    <row r="657" spans="6:13" x14ac:dyDescent="0.4">
      <c r="F657" s="1">
        <v>41334</v>
      </c>
      <c r="G657" s="16">
        <v>397.26</v>
      </c>
      <c r="H657" s="16">
        <f t="shared" si="51"/>
        <v>395.98556111383346</v>
      </c>
      <c r="I657">
        <f t="shared" si="52"/>
        <v>3</v>
      </c>
      <c r="J657" s="16" cm="1">
        <f t="array" ref="J657">INDEX(Sm,I657)</f>
        <v>1.3951035824648568</v>
      </c>
      <c r="K657" s="16">
        <f t="shared" si="53"/>
        <v>397.38066469629831</v>
      </c>
      <c r="L657" s="16">
        <f t="shared" si="54"/>
        <v>0.12066469629832</v>
      </c>
      <c r="M657" s="16">
        <f t="shared" si="55"/>
        <v>1.45599689327658E-2</v>
      </c>
    </row>
    <row r="658" spans="6:13" x14ac:dyDescent="0.4">
      <c r="F658" s="1">
        <v>41365</v>
      </c>
      <c r="G658" s="16">
        <v>398.35</v>
      </c>
      <c r="H658" s="16">
        <f t="shared" si="51"/>
        <v>396.17920244070376</v>
      </c>
      <c r="I658">
        <f t="shared" si="52"/>
        <v>4</v>
      </c>
      <c r="J658" s="16" cm="1">
        <f t="array" ref="J658">INDEX(Sm,I658)</f>
        <v>2.6339370251743146</v>
      </c>
      <c r="K658" s="16">
        <f t="shared" si="53"/>
        <v>398.81313946587807</v>
      </c>
      <c r="L658" s="16">
        <f t="shared" si="54"/>
        <v>0.46313946587804367</v>
      </c>
      <c r="M658" s="16">
        <f t="shared" si="55"/>
        <v>0.21449816485379958</v>
      </c>
    </row>
    <row r="659" spans="6:13" x14ac:dyDescent="0.4">
      <c r="F659" s="1">
        <v>41395</v>
      </c>
      <c r="G659" s="16">
        <v>399.98</v>
      </c>
      <c r="H659" s="16">
        <f t="shared" si="51"/>
        <v>396.36685686376075</v>
      </c>
      <c r="I659">
        <f t="shared" si="52"/>
        <v>5</v>
      </c>
      <c r="J659" s="16" cm="1">
        <f t="array" ref="J659">INDEX(Sm,I659)</f>
        <v>3.0997257789906989</v>
      </c>
      <c r="K659" s="16">
        <f t="shared" si="53"/>
        <v>399.46658264275146</v>
      </c>
      <c r="L659" s="16">
        <f t="shared" si="54"/>
        <v>-0.51341735724855653</v>
      </c>
      <c r="M659" s="16">
        <f t="shared" si="55"/>
        <v>0.26359738272409194</v>
      </c>
    </row>
    <row r="660" spans="6:13" x14ac:dyDescent="0.4">
      <c r="F660" s="1">
        <v>41426</v>
      </c>
      <c r="G660" s="16">
        <v>398.87</v>
      </c>
      <c r="H660" s="16">
        <f t="shared" si="51"/>
        <v>396.56103505149542</v>
      </c>
      <c r="I660">
        <f t="shared" si="52"/>
        <v>6</v>
      </c>
      <c r="J660" s="16" cm="1">
        <f t="array" ref="J660">INDEX(Sm,I660)</f>
        <v>2.3207404253660839</v>
      </c>
      <c r="K660" s="16">
        <f t="shared" si="53"/>
        <v>398.88177547686149</v>
      </c>
      <c r="L660" s="16">
        <f t="shared" si="54"/>
        <v>1.1775476861487277E-2</v>
      </c>
      <c r="M660" s="16">
        <f t="shared" si="55"/>
        <v>1.3866185531542227E-4</v>
      </c>
    </row>
    <row r="661" spans="6:13" x14ac:dyDescent="0.4">
      <c r="F661" s="1">
        <v>41456</v>
      </c>
      <c r="G661" s="16">
        <v>397.37</v>
      </c>
      <c r="H661" s="16">
        <f t="shared" si="51"/>
        <v>396.74920973702626</v>
      </c>
      <c r="I661">
        <f t="shared" si="52"/>
        <v>7</v>
      </c>
      <c r="J661" s="16" cm="1">
        <f t="array" ref="J661">INDEX(Sm,I661)</f>
        <v>0.74435685666414753</v>
      </c>
      <c r="K661" s="16">
        <f t="shared" si="53"/>
        <v>397.49356659369039</v>
      </c>
      <c r="L661" s="16">
        <f t="shared" si="54"/>
        <v>0.12356659369038425</v>
      </c>
      <c r="M661" s="16">
        <f t="shared" si="55"/>
        <v>1.5268703076244509E-2</v>
      </c>
    </row>
    <row r="662" spans="6:13" x14ac:dyDescent="0.4">
      <c r="F662" s="1">
        <v>41487</v>
      </c>
      <c r="G662" s="16">
        <v>395.41</v>
      </c>
      <c r="H662" s="16">
        <f t="shared" si="51"/>
        <v>396.943926274045</v>
      </c>
      <c r="I662">
        <f t="shared" si="52"/>
        <v>8</v>
      </c>
      <c r="J662" s="16" cm="1">
        <f t="array" ref="J662">INDEX(Sm,I662)</f>
        <v>-1.3868231821212227</v>
      </c>
      <c r="K662" s="16">
        <f t="shared" si="53"/>
        <v>395.55710309192375</v>
      </c>
      <c r="L662" s="16">
        <f t="shared" si="54"/>
        <v>0.14710309192372506</v>
      </c>
      <c r="M662" s="16">
        <f t="shared" si="55"/>
        <v>2.1639319653519905E-2</v>
      </c>
    </row>
    <row r="663" spans="6:13" x14ac:dyDescent="0.4">
      <c r="F663" s="1">
        <v>41518</v>
      </c>
      <c r="G663" s="16">
        <v>393.39</v>
      </c>
      <c r="H663" s="16">
        <f t="shared" si="51"/>
        <v>397.13891697013435</v>
      </c>
      <c r="I663">
        <f t="shared" si="52"/>
        <v>9</v>
      </c>
      <c r="J663" s="16" cm="1">
        <f t="array" ref="J663">INDEX(Sm,I663)</f>
        <v>-3.1918015790052943</v>
      </c>
      <c r="K663" s="16">
        <f t="shared" si="53"/>
        <v>393.94711539112905</v>
      </c>
      <c r="L663" s="16">
        <f t="shared" si="54"/>
        <v>0.55711539112905939</v>
      </c>
      <c r="M663" s="16">
        <f t="shared" si="55"/>
        <v>0.31037755903288483</v>
      </c>
    </row>
    <row r="664" spans="6:13" x14ac:dyDescent="0.4">
      <c r="F664" s="1">
        <v>41548</v>
      </c>
      <c r="G664" s="16">
        <v>393.7</v>
      </c>
      <c r="H664" s="16">
        <f t="shared" si="51"/>
        <v>397.32787904330064</v>
      </c>
      <c r="I664">
        <f t="shared" si="52"/>
        <v>10</v>
      </c>
      <c r="J664" s="16" cm="1">
        <f t="array" ref="J664">INDEX(Sm,I664)</f>
        <v>-3.3171210691938846</v>
      </c>
      <c r="K664" s="16">
        <f t="shared" si="53"/>
        <v>394.01075797410675</v>
      </c>
      <c r="L664" s="16">
        <f t="shared" si="54"/>
        <v>0.31075797410676387</v>
      </c>
      <c r="M664" s="16">
        <f t="shared" si="55"/>
        <v>9.6570518470940128E-2</v>
      </c>
    </row>
    <row r="665" spans="6:13" x14ac:dyDescent="0.4">
      <c r="F665" s="1">
        <v>41579</v>
      </c>
      <c r="G665" s="16">
        <v>395.19</v>
      </c>
      <c r="H665" s="16">
        <f t="shared" si="51"/>
        <v>397.5234103413128</v>
      </c>
      <c r="I665">
        <f t="shared" si="52"/>
        <v>11</v>
      </c>
      <c r="J665" s="16" cm="1">
        <f t="array" ref="J665">INDEX(Sm,I665)</f>
        <v>-2.0577916254037292</v>
      </c>
      <c r="K665" s="16">
        <f t="shared" si="53"/>
        <v>395.46561871590905</v>
      </c>
      <c r="L665" s="16">
        <f t="shared" si="54"/>
        <v>0.2756187159090473</v>
      </c>
      <c r="M665" s="16">
        <f t="shared" si="55"/>
        <v>7.5965676559352116E-2</v>
      </c>
    </row>
    <row r="666" spans="6:13" x14ac:dyDescent="0.4">
      <c r="F666" s="1">
        <v>41609</v>
      </c>
      <c r="G666" s="16">
        <v>396.82</v>
      </c>
      <c r="H666" s="16">
        <f t="shared" si="51"/>
        <v>397.71289630234725</v>
      </c>
      <c r="I666">
        <f t="shared" si="52"/>
        <v>12</v>
      </c>
      <c r="J666" s="16" cm="1">
        <f t="array" ref="J666">INDEX(Sm,I666)</f>
        <v>-0.88780634062791353</v>
      </c>
      <c r="K666" s="16">
        <f t="shared" si="53"/>
        <v>396.82508996171936</v>
      </c>
      <c r="L666" s="16">
        <f t="shared" si="54"/>
        <v>5.0899617193636004E-3</v>
      </c>
      <c r="M666" s="16">
        <f t="shared" si="55"/>
        <v>2.5907710304586861E-5</v>
      </c>
    </row>
    <row r="667" spans="6:13" x14ac:dyDescent="0.4">
      <c r="F667" s="1">
        <v>41640</v>
      </c>
      <c r="G667" s="16">
        <v>397.93</v>
      </c>
      <c r="H667" s="16">
        <f t="shared" si="51"/>
        <v>397.90896970107394</v>
      </c>
      <c r="I667">
        <f t="shared" si="52"/>
        <v>1</v>
      </c>
      <c r="J667" s="16" cm="1">
        <f t="array" ref="J667">INDEX(Sm,I667)</f>
        <v>-3.3662626377861403E-2</v>
      </c>
      <c r="K667" s="16">
        <f t="shared" si="53"/>
        <v>397.87530707469608</v>
      </c>
      <c r="L667" s="16">
        <f t="shared" si="54"/>
        <v>-5.4692925303925222E-2</v>
      </c>
      <c r="M667" s="16">
        <f t="shared" si="55"/>
        <v>2.9913160783007439E-3</v>
      </c>
    </row>
    <row r="668" spans="6:13" x14ac:dyDescent="0.4">
      <c r="F668" s="1">
        <v>41671</v>
      </c>
      <c r="G668" s="16">
        <v>398.1</v>
      </c>
      <c r="H668" s="16">
        <f t="shared" si="51"/>
        <v>398.1053191693195</v>
      </c>
      <c r="I668">
        <f t="shared" si="52"/>
        <v>2</v>
      </c>
      <c r="J668" s="16" cm="1">
        <f t="array" ref="J668">INDEX(Sm,I668)</f>
        <v>0.68114275406980329</v>
      </c>
      <c r="K668" s="16">
        <f t="shared" si="53"/>
        <v>398.78646192338931</v>
      </c>
      <c r="L668" s="16">
        <f t="shared" si="54"/>
        <v>0.68646192338928813</v>
      </c>
      <c r="M668" s="16">
        <f t="shared" si="55"/>
        <v>0.47122997226332086</v>
      </c>
    </row>
    <row r="669" spans="6:13" x14ac:dyDescent="0.4">
      <c r="F669" s="1">
        <v>41699</v>
      </c>
      <c r="G669" s="16">
        <v>399.47</v>
      </c>
      <c r="H669" s="16">
        <f t="shared" si="51"/>
        <v>398.28290468707331</v>
      </c>
      <c r="I669">
        <f t="shared" si="52"/>
        <v>3</v>
      </c>
      <c r="J669" s="16" cm="1">
        <f t="array" ref="J669">INDEX(Sm,I669)</f>
        <v>1.3951035824648568</v>
      </c>
      <c r="K669" s="16">
        <f t="shared" si="53"/>
        <v>399.67800826953817</v>
      </c>
      <c r="L669" s="16">
        <f t="shared" si="54"/>
        <v>0.20800826953814067</v>
      </c>
      <c r="M669" s="16">
        <f t="shared" si="55"/>
        <v>4.3267440196251776E-2</v>
      </c>
    </row>
    <row r="670" spans="6:13" x14ac:dyDescent="0.4">
      <c r="F670" s="1">
        <v>41730</v>
      </c>
      <c r="G670" s="16">
        <v>401.33</v>
      </c>
      <c r="H670" s="16">
        <f t="shared" si="51"/>
        <v>398.47978065229614</v>
      </c>
      <c r="I670">
        <f t="shared" si="52"/>
        <v>4</v>
      </c>
      <c r="J670" s="16" cm="1">
        <f t="array" ref="J670">INDEX(Sm,I670)</f>
        <v>2.6339370251743146</v>
      </c>
      <c r="K670" s="16">
        <f t="shared" si="53"/>
        <v>401.11371767747045</v>
      </c>
      <c r="L670" s="16">
        <f t="shared" si="54"/>
        <v>-0.21628232252953694</v>
      </c>
      <c r="M670" s="16">
        <f t="shared" si="55"/>
        <v>4.6778043038770645E-2</v>
      </c>
    </row>
    <row r="671" spans="6:13" x14ac:dyDescent="0.4">
      <c r="F671" s="1">
        <v>41760</v>
      </c>
      <c r="G671" s="16">
        <v>401.88</v>
      </c>
      <c r="H671" s="16">
        <f t="shared" si="51"/>
        <v>398.67056970680642</v>
      </c>
      <c r="I671">
        <f t="shared" si="52"/>
        <v>5</v>
      </c>
      <c r="J671" s="16" cm="1">
        <f t="array" ref="J671">INDEX(Sm,I671)</f>
        <v>3.0997257789906989</v>
      </c>
      <c r="K671" s="16">
        <f t="shared" si="53"/>
        <v>401.77029548579713</v>
      </c>
      <c r="L671" s="16">
        <f t="shared" si="54"/>
        <v>-0.10970451420286054</v>
      </c>
      <c r="M671" s="16">
        <f t="shared" si="55"/>
        <v>1.2035080436485629E-2</v>
      </c>
    </row>
    <row r="672" spans="6:13" x14ac:dyDescent="0.4">
      <c r="F672" s="1">
        <v>41791</v>
      </c>
      <c r="G672" s="16">
        <v>401.31</v>
      </c>
      <c r="H672" s="16">
        <f t="shared" si="51"/>
        <v>398.86799150076627</v>
      </c>
      <c r="I672">
        <f t="shared" si="52"/>
        <v>6</v>
      </c>
      <c r="J672" s="16" cm="1">
        <f t="array" ref="J672">INDEX(Sm,I672)</f>
        <v>2.3207404253660839</v>
      </c>
      <c r="K672" s="16">
        <f t="shared" si="53"/>
        <v>401.18873192613233</v>
      </c>
      <c r="L672" s="16">
        <f t="shared" si="54"/>
        <v>-0.12126807386766814</v>
      </c>
      <c r="M672" s="16">
        <f t="shared" si="55"/>
        <v>1.4705945739574216E-2</v>
      </c>
    </row>
    <row r="673" spans="6:13" x14ac:dyDescent="0.4">
      <c r="F673" s="1">
        <v>41821</v>
      </c>
      <c r="G673" s="16">
        <v>399.07</v>
      </c>
      <c r="H673" s="16">
        <f t="shared" si="51"/>
        <v>399.05930950835875</v>
      </c>
      <c r="I673">
        <f t="shared" si="52"/>
        <v>7</v>
      </c>
      <c r="J673" s="16" cm="1">
        <f t="array" ref="J673">INDEX(Sm,I673)</f>
        <v>0.74435685666414753</v>
      </c>
      <c r="K673" s="16">
        <f t="shared" si="53"/>
        <v>399.80366636502288</v>
      </c>
      <c r="L673" s="16">
        <f t="shared" si="54"/>
        <v>0.73366636502288429</v>
      </c>
      <c r="M673" s="16">
        <f t="shared" si="55"/>
        <v>0.53826633516589206</v>
      </c>
    </row>
    <row r="674" spans="6:13" x14ac:dyDescent="0.4">
      <c r="F674" s="1">
        <v>41852</v>
      </c>
      <c r="G674" s="16">
        <v>397.21</v>
      </c>
      <c r="H674" s="16">
        <f t="shared" si="51"/>
        <v>399.25727864433833</v>
      </c>
      <c r="I674">
        <f t="shared" si="52"/>
        <v>8</v>
      </c>
      <c r="J674" s="16" cm="1">
        <f t="array" ref="J674">INDEX(Sm,I674)</f>
        <v>-1.3868231821212227</v>
      </c>
      <c r="K674" s="16">
        <f t="shared" si="53"/>
        <v>397.87045546221708</v>
      </c>
      <c r="L674" s="16">
        <f t="shared" si="54"/>
        <v>0.66045546221710083</v>
      </c>
      <c r="M674" s="16">
        <f t="shared" si="55"/>
        <v>0.43620141757240433</v>
      </c>
    </row>
    <row r="675" spans="6:13" x14ac:dyDescent="0.4">
      <c r="F675" s="1">
        <v>41883</v>
      </c>
      <c r="G675" s="16">
        <v>395.4</v>
      </c>
      <c r="H675" s="16">
        <f t="shared" si="51"/>
        <v>399.45552651901733</v>
      </c>
      <c r="I675">
        <f t="shared" si="52"/>
        <v>9</v>
      </c>
      <c r="J675" s="16" cm="1">
        <f t="array" ref="J675">INDEX(Sm,I675)</f>
        <v>-3.1918015790052943</v>
      </c>
      <c r="K675" s="16">
        <f t="shared" si="53"/>
        <v>396.26372494001203</v>
      </c>
      <c r="L675" s="16">
        <f t="shared" si="54"/>
        <v>0.86372494001204814</v>
      </c>
      <c r="M675" s="16">
        <f t="shared" si="55"/>
        <v>0.74602077199881611</v>
      </c>
    </row>
    <row r="676" spans="6:13" x14ac:dyDescent="0.4">
      <c r="F676" s="1">
        <v>41913</v>
      </c>
      <c r="G676" s="16">
        <v>395.65</v>
      </c>
      <c r="H676" s="16">
        <f t="shared" si="51"/>
        <v>399.64764506698657</v>
      </c>
      <c r="I676">
        <f t="shared" si="52"/>
        <v>10</v>
      </c>
      <c r="J676" s="16" cm="1">
        <f t="array" ref="J676">INDEX(Sm,I676)</f>
        <v>-3.3171210691938846</v>
      </c>
      <c r="K676" s="16">
        <f t="shared" si="53"/>
        <v>396.33052399779268</v>
      </c>
      <c r="L676" s="16">
        <f t="shared" si="54"/>
        <v>0.68052399779270445</v>
      </c>
      <c r="M676" s="16">
        <f t="shared" si="55"/>
        <v>0.46311291157176482</v>
      </c>
    </row>
    <row r="677" spans="6:13" x14ac:dyDescent="0.4">
      <c r="F677" s="1">
        <v>41944</v>
      </c>
      <c r="G677" s="16">
        <v>397.23</v>
      </c>
      <c r="H677" s="16">
        <f t="shared" si="51"/>
        <v>399.84644257395269</v>
      </c>
      <c r="I677">
        <f t="shared" si="52"/>
        <v>11</v>
      </c>
      <c r="J677" s="16" cm="1">
        <f t="array" ref="J677">INDEX(Sm,I677)</f>
        <v>-2.0577916254037292</v>
      </c>
      <c r="K677" s="16">
        <f t="shared" si="53"/>
        <v>397.78865094854893</v>
      </c>
      <c r="L677" s="16">
        <f t="shared" si="54"/>
        <v>0.55865094854891595</v>
      </c>
      <c r="M677" s="16">
        <f t="shared" si="55"/>
        <v>0.31209088231460352</v>
      </c>
    </row>
    <row r="678" spans="6:13" x14ac:dyDescent="0.4">
      <c r="F678" s="1">
        <v>41974</v>
      </c>
      <c r="G678" s="16">
        <v>398.79</v>
      </c>
      <c r="H678" s="16">
        <f t="shared" si="51"/>
        <v>400.03909376095811</v>
      </c>
      <c r="I678">
        <f t="shared" si="52"/>
        <v>12</v>
      </c>
      <c r="J678" s="16" cm="1">
        <f t="array" ref="J678">INDEX(Sm,I678)</f>
        <v>-0.88780634062791353</v>
      </c>
      <c r="K678" s="16">
        <f t="shared" si="53"/>
        <v>399.15128742033022</v>
      </c>
      <c r="L678" s="16">
        <f t="shared" si="54"/>
        <v>0.36128742033019989</v>
      </c>
      <c r="M678" s="16">
        <f t="shared" si="55"/>
        <v>0.13052860008885053</v>
      </c>
    </row>
    <row r="679" spans="6:13" x14ac:dyDescent="0.4">
      <c r="F679" s="1">
        <v>42005</v>
      </c>
      <c r="G679" s="16">
        <v>399.85</v>
      </c>
      <c r="H679" s="16">
        <f t="shared" si="51"/>
        <v>400.23844242403914</v>
      </c>
      <c r="I679">
        <f t="shared" si="52"/>
        <v>1</v>
      </c>
      <c r="J679" s="16" cm="1">
        <f t="array" ref="J679">INDEX(Sm,I679)</f>
        <v>-3.3662626377861403E-2</v>
      </c>
      <c r="K679" s="16">
        <f t="shared" si="53"/>
        <v>400.20477979766127</v>
      </c>
      <c r="L679" s="16">
        <f t="shared" si="54"/>
        <v>0.35477979766125145</v>
      </c>
      <c r="M679" s="16">
        <f t="shared" si="55"/>
        <v>0.12586870482855853</v>
      </c>
    </row>
    <row r="680" spans="6:13" x14ac:dyDescent="0.4">
      <c r="F680" s="1">
        <v>42036</v>
      </c>
      <c r="G680" s="16">
        <v>400.31</v>
      </c>
      <c r="H680" s="16">
        <f t="shared" si="51"/>
        <v>400.43807176818098</v>
      </c>
      <c r="I680">
        <f t="shared" si="52"/>
        <v>2</v>
      </c>
      <c r="J680" s="16" cm="1">
        <f t="array" ref="J680">INDEX(Sm,I680)</f>
        <v>0.68114275406980329</v>
      </c>
      <c r="K680" s="16">
        <f t="shared" si="53"/>
        <v>401.11921452225079</v>
      </c>
      <c r="L680" s="16">
        <f t="shared" si="54"/>
        <v>0.80921452225078383</v>
      </c>
      <c r="M680" s="16">
        <f t="shared" si="55"/>
        <v>0.65482814302156434</v>
      </c>
    </row>
    <row r="681" spans="6:13" x14ac:dyDescent="0.4">
      <c r="F681" s="1">
        <v>42064</v>
      </c>
      <c r="G681" s="16">
        <v>401.51</v>
      </c>
      <c r="H681" s="16">
        <f t="shared" si="51"/>
        <v>400.6186237236052</v>
      </c>
      <c r="I681">
        <f t="shared" si="52"/>
        <v>3</v>
      </c>
      <c r="J681" s="16" cm="1">
        <f t="array" ref="J681">INDEX(Sm,I681)</f>
        <v>1.3951035824648568</v>
      </c>
      <c r="K681" s="16">
        <f t="shared" si="53"/>
        <v>402.01372730607005</v>
      </c>
      <c r="L681" s="16">
        <f t="shared" si="54"/>
        <v>0.50372730607006133</v>
      </c>
      <c r="M681" s="16">
        <f t="shared" si="55"/>
        <v>0.25374119888060126</v>
      </c>
    </row>
    <row r="682" spans="6:13" x14ac:dyDescent="0.4">
      <c r="F682" s="1">
        <v>42095</v>
      </c>
      <c r="G682" s="16">
        <v>403.45</v>
      </c>
      <c r="H682" s="16">
        <f t="shared" si="51"/>
        <v>400.81878835947566</v>
      </c>
      <c r="I682">
        <f t="shared" si="52"/>
        <v>4</v>
      </c>
      <c r="J682" s="16" cm="1">
        <f t="array" ref="J682">INDEX(Sm,I682)</f>
        <v>2.6339370251743146</v>
      </c>
      <c r="K682" s="16">
        <f t="shared" si="53"/>
        <v>403.45272538464997</v>
      </c>
      <c r="L682" s="16">
        <f t="shared" si="54"/>
        <v>2.7253846499775136E-3</v>
      </c>
      <c r="M682" s="16">
        <f t="shared" si="55"/>
        <v>7.4277214903330541E-6</v>
      </c>
    </row>
    <row r="683" spans="6:13" x14ac:dyDescent="0.4">
      <c r="F683" s="1">
        <v>42125</v>
      </c>
      <c r="G683" s="16">
        <v>404.1</v>
      </c>
      <c r="H683" s="16">
        <f t="shared" si="51"/>
        <v>401.01276440719107</v>
      </c>
      <c r="I683">
        <f t="shared" si="52"/>
        <v>5</v>
      </c>
      <c r="J683" s="16" cm="1">
        <f t="array" ref="J683">INDEX(Sm,I683)</f>
        <v>3.0997257789906989</v>
      </c>
      <c r="K683" s="16">
        <f t="shared" si="53"/>
        <v>404.11249018618179</v>
      </c>
      <c r="L683" s="16">
        <f t="shared" si="54"/>
        <v>1.2490186181764784E-2</v>
      </c>
      <c r="M683" s="16">
        <f t="shared" si="55"/>
        <v>1.5600475085514795E-4</v>
      </c>
    </row>
    <row r="684" spans="6:13" x14ac:dyDescent="0.4">
      <c r="F684" s="1">
        <v>42156</v>
      </c>
      <c r="G684" s="16">
        <v>402.88</v>
      </c>
      <c r="H684" s="16">
        <f t="shared" si="51"/>
        <v>401.21348398947282</v>
      </c>
      <c r="I684">
        <f t="shared" si="52"/>
        <v>6</v>
      </c>
      <c r="J684" s="16" cm="1">
        <f t="array" ref="J684">INDEX(Sm,I684)</f>
        <v>2.3207404253660839</v>
      </c>
      <c r="K684" s="16">
        <f t="shared" si="53"/>
        <v>403.53422441483889</v>
      </c>
      <c r="L684" s="16">
        <f t="shared" si="54"/>
        <v>0.65422441483889315</v>
      </c>
      <c r="M684" s="16">
        <f t="shared" si="55"/>
        <v>0.42800958497129216</v>
      </c>
    </row>
    <row r="685" spans="6:13" x14ac:dyDescent="0.4">
      <c r="F685" s="1">
        <v>42186</v>
      </c>
      <c r="G685" s="16">
        <v>401.61</v>
      </c>
      <c r="H685" s="16">
        <f t="shared" si="51"/>
        <v>401.40799782604932</v>
      </c>
      <c r="I685">
        <f t="shared" si="52"/>
        <v>7</v>
      </c>
      <c r="J685" s="16" cm="1">
        <f t="array" ref="J685">INDEX(Sm,I685)</f>
        <v>0.74435685666414753</v>
      </c>
      <c r="K685" s="16">
        <f t="shared" si="53"/>
        <v>402.15235468271345</v>
      </c>
      <c r="L685" s="16">
        <f t="shared" si="54"/>
        <v>0.54235468271343734</v>
      </c>
      <c r="M685" s="16">
        <f t="shared" si="55"/>
        <v>0.29414860186119329</v>
      </c>
    </row>
    <row r="686" spans="6:13" x14ac:dyDescent="0.4">
      <c r="F686" s="1">
        <v>42217</v>
      </c>
      <c r="G686" s="16">
        <v>399</v>
      </c>
      <c r="H686" s="16">
        <f t="shared" si="51"/>
        <v>401.60927389330345</v>
      </c>
      <c r="I686">
        <f t="shared" si="52"/>
        <v>8</v>
      </c>
      <c r="J686" s="16" cm="1">
        <f t="array" ref="J686">INDEX(Sm,I686)</f>
        <v>-1.3868231821212227</v>
      </c>
      <c r="K686" s="16">
        <f t="shared" si="53"/>
        <v>400.2224507111822</v>
      </c>
      <c r="L686" s="16">
        <f t="shared" si="54"/>
        <v>1.2224507111822049</v>
      </c>
      <c r="M686" s="16">
        <f t="shared" si="55"/>
        <v>1.4943857412698787</v>
      </c>
    </row>
    <row r="687" spans="6:13" x14ac:dyDescent="0.4">
      <c r="F687" s="1">
        <v>42248</v>
      </c>
      <c r="G687" s="16">
        <v>397.5</v>
      </c>
      <c r="H687" s="16">
        <f t="shared" si="51"/>
        <v>401.8108333553854</v>
      </c>
      <c r="I687">
        <f t="shared" si="52"/>
        <v>9</v>
      </c>
      <c r="J687" s="16" cm="1">
        <f t="array" ref="J687">INDEX(Sm,I687)</f>
        <v>-3.1918015790052943</v>
      </c>
      <c r="K687" s="16">
        <f t="shared" si="53"/>
        <v>398.6190317763801</v>
      </c>
      <c r="L687" s="16">
        <f t="shared" si="54"/>
        <v>1.1190317763800977</v>
      </c>
      <c r="M687" s="16">
        <f t="shared" si="55"/>
        <v>1.2522321165483969</v>
      </c>
    </row>
    <row r="688" spans="6:13" x14ac:dyDescent="0.4">
      <c r="F688" s="1">
        <v>42278</v>
      </c>
      <c r="G688" s="16">
        <v>398.28</v>
      </c>
      <c r="H688" s="16">
        <f t="shared" si="51"/>
        <v>402.00616110478677</v>
      </c>
      <c r="I688">
        <f t="shared" si="52"/>
        <v>10</v>
      </c>
      <c r="J688" s="16" cm="1">
        <f t="array" ref="J688">INDEX(Sm,I688)</f>
        <v>-3.3171210691938846</v>
      </c>
      <c r="K688" s="16">
        <f t="shared" si="53"/>
        <v>398.68904003559288</v>
      </c>
      <c r="L688" s="16">
        <f t="shared" si="54"/>
        <v>0.40904003559290913</v>
      </c>
      <c r="M688" s="16">
        <f t="shared" si="55"/>
        <v>0.16731375071784838</v>
      </c>
    </row>
    <row r="689" spans="6:13" x14ac:dyDescent="0.4">
      <c r="F689" s="1">
        <v>42309</v>
      </c>
      <c r="G689" s="16">
        <v>400.24</v>
      </c>
      <c r="H689" s="16">
        <f t="shared" si="51"/>
        <v>402.20827938036581</v>
      </c>
      <c r="I689">
        <f t="shared" si="52"/>
        <v>11</v>
      </c>
      <c r="J689" s="16" cm="1">
        <f t="array" ref="J689">INDEX(Sm,I689)</f>
        <v>-2.0577916254037292</v>
      </c>
      <c r="K689" s="16">
        <f t="shared" si="53"/>
        <v>400.15048775496206</v>
      </c>
      <c r="L689" s="16">
        <f t="shared" si="54"/>
        <v>-8.9512245037951743E-2</v>
      </c>
      <c r="M689" s="16">
        <f t="shared" si="55"/>
        <v>8.0124420117343165E-3</v>
      </c>
    </row>
    <row r="690" spans="6:13" x14ac:dyDescent="0.4">
      <c r="F690" s="1">
        <v>42339</v>
      </c>
      <c r="G690" s="16">
        <v>401.89</v>
      </c>
      <c r="H690" s="16">
        <f t="shared" si="51"/>
        <v>402.40414866615333</v>
      </c>
      <c r="I690">
        <f t="shared" si="52"/>
        <v>12</v>
      </c>
      <c r="J690" s="16" cm="1">
        <f t="array" ref="J690">INDEX(Sm,I690)</f>
        <v>-0.88780634062791353</v>
      </c>
      <c r="K690" s="16">
        <f t="shared" si="53"/>
        <v>401.51634232552544</v>
      </c>
      <c r="L690" s="16">
        <f t="shared" si="54"/>
        <v>-0.37365767447454346</v>
      </c>
      <c r="M690" s="16">
        <f t="shared" si="55"/>
        <v>0.13962005769372388</v>
      </c>
    </row>
    <row r="691" spans="6:13" x14ac:dyDescent="0.4">
      <c r="F691" s="1">
        <v>42370</v>
      </c>
      <c r="G691" s="16">
        <v>402.65</v>
      </c>
      <c r="H691" s="16">
        <f t="shared" si="51"/>
        <v>402.60682730451163</v>
      </c>
      <c r="I691">
        <f t="shared" si="52"/>
        <v>1</v>
      </c>
      <c r="J691" s="16" cm="1">
        <f t="array" ref="J691">INDEX(Sm,I691)</f>
        <v>-3.3662626377861403E-2</v>
      </c>
      <c r="K691" s="16">
        <f t="shared" si="53"/>
        <v>402.57316467813376</v>
      </c>
      <c r="L691" s="16">
        <f t="shared" si="54"/>
        <v>-7.683532186621278E-2</v>
      </c>
      <c r="M691" s="16">
        <f t="shared" si="55"/>
        <v>5.9036666862845154E-3</v>
      </c>
    </row>
    <row r="692" spans="6:13" x14ac:dyDescent="0.4">
      <c r="F692" s="1">
        <v>42401</v>
      </c>
      <c r="G692" s="16">
        <v>404.16</v>
      </c>
      <c r="H692" s="16">
        <f t="shared" si="51"/>
        <v>402.80979131250507</v>
      </c>
      <c r="I692">
        <f t="shared" si="52"/>
        <v>2</v>
      </c>
      <c r="J692" s="16" cm="1">
        <f t="array" ref="J692">INDEX(Sm,I692)</f>
        <v>0.68114275406980329</v>
      </c>
      <c r="K692" s="16">
        <f t="shared" si="53"/>
        <v>403.49093406657488</v>
      </c>
      <c r="L692" s="16">
        <f t="shared" si="54"/>
        <v>-0.66906593342514498</v>
      </c>
      <c r="M692" s="16">
        <f t="shared" si="55"/>
        <v>0.44764922327006051</v>
      </c>
    </row>
    <row r="693" spans="6:13" x14ac:dyDescent="0.4">
      <c r="F693" s="1">
        <v>42430</v>
      </c>
      <c r="G693" s="16">
        <v>404.85</v>
      </c>
      <c r="H693" s="16">
        <f t="shared" si="51"/>
        <v>402.99991957140946</v>
      </c>
      <c r="I693">
        <f t="shared" si="52"/>
        <v>3</v>
      </c>
      <c r="J693" s="16" cm="1">
        <f t="array" ref="J693">INDEX(Sm,I693)</f>
        <v>1.3951035824648568</v>
      </c>
      <c r="K693" s="16">
        <f t="shared" si="53"/>
        <v>404.39502315387432</v>
      </c>
      <c r="L693" s="16">
        <f t="shared" si="54"/>
        <v>-0.4549768461257031</v>
      </c>
      <c r="M693" s="16">
        <f t="shared" si="55"/>
        <v>0.20700393051049171</v>
      </c>
    </row>
    <row r="694" spans="6:13" x14ac:dyDescent="0.4">
      <c r="F694" s="1">
        <v>42461</v>
      </c>
      <c r="G694" s="16">
        <v>407.57</v>
      </c>
      <c r="H694" s="16">
        <f t="shared" si="51"/>
        <v>403.2034370496533</v>
      </c>
      <c r="I694">
        <f t="shared" si="52"/>
        <v>4</v>
      </c>
      <c r="J694" s="16" cm="1">
        <f t="array" ref="J694">INDEX(Sm,I694)</f>
        <v>2.6339370251743146</v>
      </c>
      <c r="K694" s="16">
        <f t="shared" si="53"/>
        <v>405.83737407482761</v>
      </c>
      <c r="L694" s="16">
        <f t="shared" si="54"/>
        <v>-1.7326259251723855</v>
      </c>
      <c r="M694" s="16">
        <f t="shared" si="55"/>
        <v>3.0019925965794645</v>
      </c>
    </row>
    <row r="695" spans="6:13" x14ac:dyDescent="0.4">
      <c r="F695" s="1">
        <v>42491</v>
      </c>
      <c r="G695" s="16">
        <v>407.66</v>
      </c>
      <c r="H695" s="16">
        <f t="shared" si="51"/>
        <v>403.40066227827083</v>
      </c>
      <c r="I695">
        <f t="shared" si="52"/>
        <v>5</v>
      </c>
      <c r="J695" s="16" cm="1">
        <f t="array" ref="J695">INDEX(Sm,I695)</f>
        <v>3.0997257789906989</v>
      </c>
      <c r="K695" s="16">
        <f t="shared" si="53"/>
        <v>406.50038805726155</v>
      </c>
      <c r="L695" s="16">
        <f t="shared" si="54"/>
        <v>-1.1596119427384792</v>
      </c>
      <c r="M695" s="16">
        <f t="shared" si="55"/>
        <v>1.34469985774171</v>
      </c>
    </row>
    <row r="696" spans="6:13" x14ac:dyDescent="0.4">
      <c r="F696" s="1">
        <v>42522</v>
      </c>
      <c r="G696" s="16">
        <v>407</v>
      </c>
      <c r="H696" s="16">
        <f t="shared" si="51"/>
        <v>403.60474399851319</v>
      </c>
      <c r="I696">
        <f t="shared" si="52"/>
        <v>6</v>
      </c>
      <c r="J696" s="16" cm="1">
        <f t="array" ref="J696">INDEX(Sm,I696)</f>
        <v>2.3207404253660839</v>
      </c>
      <c r="K696" s="16">
        <f t="shared" si="53"/>
        <v>405.92548442387925</v>
      </c>
      <c r="L696" s="16">
        <f t="shared" si="54"/>
        <v>-1.0745155761207457</v>
      </c>
      <c r="M696" s="16">
        <f t="shared" si="55"/>
        <v>1.154583723326098</v>
      </c>
    </row>
    <row r="697" spans="6:13" x14ac:dyDescent="0.4">
      <c r="F697" s="1">
        <v>42552</v>
      </c>
      <c r="G697" s="16">
        <v>404.5</v>
      </c>
      <c r="H697" s="16">
        <f t="shared" si="51"/>
        <v>403.80251602418286</v>
      </c>
      <c r="I697">
        <f t="shared" si="52"/>
        <v>7</v>
      </c>
      <c r="J697" s="16" cm="1">
        <f t="array" ref="J697">INDEX(Sm,I697)</f>
        <v>0.74435685666414753</v>
      </c>
      <c r="K697" s="16">
        <f t="shared" si="53"/>
        <v>404.54687288084699</v>
      </c>
      <c r="L697" s="16">
        <f t="shared" si="54"/>
        <v>4.6872880846990483E-2</v>
      </c>
      <c r="M697" s="16">
        <f t="shared" si="55"/>
        <v>2.1970669588961675E-3</v>
      </c>
    </row>
    <row r="698" spans="6:13" x14ac:dyDescent="0.4">
      <c r="F698" s="1">
        <v>42583</v>
      </c>
      <c r="G698" s="16">
        <v>402.24</v>
      </c>
      <c r="H698" s="16">
        <f t="shared" si="51"/>
        <v>404.00716355075645</v>
      </c>
      <c r="I698">
        <f t="shared" si="52"/>
        <v>8</v>
      </c>
      <c r="J698" s="16" cm="1">
        <f t="array" ref="J698">INDEX(Sm,I698)</f>
        <v>-1.3868231821212227</v>
      </c>
      <c r="K698" s="16">
        <f t="shared" si="53"/>
        <v>402.6203403686352</v>
      </c>
      <c r="L698" s="16">
        <f t="shared" si="54"/>
        <v>0.3803403686351885</v>
      </c>
      <c r="M698" s="16">
        <f t="shared" si="55"/>
        <v>0.14465879601355108</v>
      </c>
    </row>
    <row r="699" spans="6:13" x14ac:dyDescent="0.4">
      <c r="F699" s="1">
        <v>42614</v>
      </c>
      <c r="G699" s="16">
        <v>401.01</v>
      </c>
      <c r="H699" s="16">
        <f t="shared" si="51"/>
        <v>404.21209921914101</v>
      </c>
      <c r="I699">
        <f t="shared" si="52"/>
        <v>9</v>
      </c>
      <c r="J699" s="16" cm="1">
        <f t="array" ref="J699">INDEX(Sm,I699)</f>
        <v>-3.1918015790052943</v>
      </c>
      <c r="K699" s="16">
        <f t="shared" si="53"/>
        <v>401.02029764013571</v>
      </c>
      <c r="L699" s="16">
        <f t="shared" si="54"/>
        <v>1.0297640135718211E-2</v>
      </c>
      <c r="M699" s="16">
        <f t="shared" si="55"/>
        <v>1.0604139236475457E-4</v>
      </c>
    </row>
    <row r="700" spans="6:13" x14ac:dyDescent="0.4">
      <c r="F700" s="1">
        <v>42644</v>
      </c>
      <c r="G700" s="16">
        <v>401.5</v>
      </c>
      <c r="H700" s="16">
        <f t="shared" si="51"/>
        <v>404.41069879101997</v>
      </c>
      <c r="I700">
        <f t="shared" si="52"/>
        <v>10</v>
      </c>
      <c r="J700" s="16" cm="1">
        <f t="array" ref="J700">INDEX(Sm,I700)</f>
        <v>-3.3171210691938846</v>
      </c>
      <c r="K700" s="16">
        <f t="shared" si="53"/>
        <v>401.09357772182608</v>
      </c>
      <c r="L700" s="16">
        <f t="shared" si="54"/>
        <v>-0.4064222781739204</v>
      </c>
      <c r="M700" s="16">
        <f t="shared" si="55"/>
        <v>0.16517906819607953</v>
      </c>
    </row>
    <row r="701" spans="6:13" x14ac:dyDescent="0.4">
      <c r="F701" s="1">
        <v>42675</v>
      </c>
      <c r="G701" s="16">
        <v>403.64</v>
      </c>
      <c r="H701" s="16">
        <f t="shared" si="51"/>
        <v>404.61620263326427</v>
      </c>
      <c r="I701">
        <f t="shared" si="52"/>
        <v>11</v>
      </c>
      <c r="J701" s="16" cm="1">
        <f t="array" ref="J701">INDEX(Sm,I701)</f>
        <v>-2.0577916254037292</v>
      </c>
      <c r="K701" s="16">
        <f t="shared" si="53"/>
        <v>402.55841100786051</v>
      </c>
      <c r="L701" s="16">
        <f t="shared" si="54"/>
        <v>-1.0815889921394728</v>
      </c>
      <c r="M701" s="16">
        <f t="shared" si="55"/>
        <v>1.1698347479172806</v>
      </c>
    </row>
    <row r="702" spans="6:13" x14ac:dyDescent="0.4">
      <c r="F702" s="1">
        <v>42705</v>
      </c>
      <c r="G702" s="16">
        <v>404.55</v>
      </c>
      <c r="H702" s="16">
        <f t="shared" si="51"/>
        <v>404.81535281249307</v>
      </c>
      <c r="I702">
        <f t="shared" si="52"/>
        <v>12</v>
      </c>
      <c r="J702" s="16" cm="1">
        <f t="array" ref="J702">INDEX(Sm,I702)</f>
        <v>-0.88780634062791353</v>
      </c>
      <c r="K702" s="16">
        <f t="shared" si="53"/>
        <v>403.92754647186518</v>
      </c>
      <c r="L702" s="16">
        <f t="shared" si="54"/>
        <v>-0.62245352813482668</v>
      </c>
      <c r="M702" s="16">
        <f t="shared" si="55"/>
        <v>0.38744839468749348</v>
      </c>
    </row>
    <row r="703" spans="6:13" x14ac:dyDescent="0.4">
      <c r="F703" s="1">
        <v>42736</v>
      </c>
      <c r="G703" s="16">
        <v>406.07</v>
      </c>
      <c r="H703" s="16">
        <f t="shared" si="51"/>
        <v>405.02142640383045</v>
      </c>
      <c r="I703">
        <f t="shared" si="52"/>
        <v>1</v>
      </c>
      <c r="J703" s="16" cm="1">
        <f t="array" ref="J703">INDEX(Sm,I703)</f>
        <v>-3.3662626377861403E-2</v>
      </c>
      <c r="K703" s="16">
        <f t="shared" si="53"/>
        <v>404.98776377745259</v>
      </c>
      <c r="L703" s="16">
        <f t="shared" si="54"/>
        <v>-1.082236222547408</v>
      </c>
      <c r="M703" s="16">
        <f t="shared" si="55"/>
        <v>1.1712352413936828</v>
      </c>
    </row>
    <row r="704" spans="6:13" x14ac:dyDescent="0.4">
      <c r="F704" s="1">
        <v>42767</v>
      </c>
      <c r="G704" s="16">
        <v>406.64</v>
      </c>
      <c r="H704" s="16">
        <f t="shared" si="51"/>
        <v>405.22779014486497</v>
      </c>
      <c r="I704">
        <f t="shared" si="52"/>
        <v>2</v>
      </c>
      <c r="J704" s="16" cm="1">
        <f t="array" ref="J704">INDEX(Sm,I704)</f>
        <v>0.68114275406980329</v>
      </c>
      <c r="K704" s="16">
        <f t="shared" si="53"/>
        <v>405.90893289893478</v>
      </c>
      <c r="L704" s="16">
        <f t="shared" si="54"/>
        <v>-0.73106710106520723</v>
      </c>
      <c r="M704" s="16">
        <f t="shared" si="55"/>
        <v>0.53445910625988591</v>
      </c>
    </row>
    <row r="705" spans="6:13" x14ac:dyDescent="0.4">
      <c r="F705" s="1">
        <v>42795</v>
      </c>
      <c r="G705" s="16">
        <v>407.05</v>
      </c>
      <c r="H705" s="16">
        <f t="shared" si="51"/>
        <v>405.41443293093732</v>
      </c>
      <c r="I705">
        <f t="shared" si="52"/>
        <v>3</v>
      </c>
      <c r="J705" s="16" cm="1">
        <f t="array" ref="J705">INDEX(Sm,I705)</f>
        <v>1.3951035824648568</v>
      </c>
      <c r="K705" s="16">
        <f t="shared" si="53"/>
        <v>406.80953651340218</v>
      </c>
      <c r="L705" s="16">
        <f t="shared" si="54"/>
        <v>-0.24046348659783234</v>
      </c>
      <c r="M705" s="16">
        <f t="shared" si="55"/>
        <v>5.7822688386785892E-2</v>
      </c>
    </row>
    <row r="706" spans="6:13" x14ac:dyDescent="0.4">
      <c r="F706" s="1">
        <v>42826</v>
      </c>
      <c r="G706" s="16">
        <v>408.95</v>
      </c>
      <c r="H706" s="16">
        <f t="shared" si="51"/>
        <v>405.62135002150137</v>
      </c>
      <c r="I706">
        <f t="shared" si="52"/>
        <v>4</v>
      </c>
      <c r="J706" s="16" cm="1">
        <f t="array" ref="J706">INDEX(Sm,I706)</f>
        <v>2.6339370251743146</v>
      </c>
      <c r="K706" s="16">
        <f t="shared" si="53"/>
        <v>408.25528704667568</v>
      </c>
      <c r="L706" s="16">
        <f t="shared" si="54"/>
        <v>-0.69471295332431282</v>
      </c>
      <c r="M706" s="16">
        <f t="shared" si="55"/>
        <v>0.48262608751658886</v>
      </c>
    </row>
    <row r="707" spans="6:13" x14ac:dyDescent="0.4">
      <c r="F707" s="1">
        <v>42856</v>
      </c>
      <c r="G707" s="16">
        <v>409.91</v>
      </c>
      <c r="H707" s="16">
        <f t="shared" ref="H707:H742" si="56">EXP(_A*F707+_B)+_C</f>
        <v>405.82186975495904</v>
      </c>
      <c r="I707">
        <f t="shared" ref="I707:I742" si="57">MONTH(F707)</f>
        <v>5</v>
      </c>
      <c r="J707" s="16" cm="1">
        <f t="array" ref="J707">INDEX(Sm,I707)</f>
        <v>3.0997257789906989</v>
      </c>
      <c r="K707" s="16">
        <f t="shared" ref="K707:K742" si="58">H707+J707</f>
        <v>408.92159553394976</v>
      </c>
      <c r="L707" s="16">
        <f t="shared" ref="L707:L742" si="59">K707-G707</f>
        <v>-0.98840446605026955</v>
      </c>
      <c r="M707" s="16">
        <f t="shared" ref="M707:M742" si="60">L707*L707</f>
        <v>0.97694338850811846</v>
      </c>
    </row>
    <row r="708" spans="6:13" x14ac:dyDescent="0.4">
      <c r="F708" s="1">
        <v>42887</v>
      </c>
      <c r="G708" s="16">
        <v>409.12</v>
      </c>
      <c r="H708" s="16">
        <f t="shared" si="56"/>
        <v>406.02936051277618</v>
      </c>
      <c r="I708">
        <f t="shared" si="57"/>
        <v>6</v>
      </c>
      <c r="J708" s="16" cm="1">
        <f t="array" ref="J708">INDEX(Sm,I708)</f>
        <v>2.3207404253660839</v>
      </c>
      <c r="K708" s="16">
        <f t="shared" si="58"/>
        <v>408.35010093814225</v>
      </c>
      <c r="L708" s="16">
        <f t="shared" si="59"/>
        <v>-0.76989906185775681</v>
      </c>
      <c r="M708" s="16">
        <f t="shared" si="60"/>
        <v>0.59274456544945409</v>
      </c>
    </row>
    <row r="709" spans="6:13" x14ac:dyDescent="0.4">
      <c r="F709" s="1">
        <v>42917</v>
      </c>
      <c r="G709" s="16">
        <v>407.2</v>
      </c>
      <c r="H709" s="16">
        <f t="shared" si="56"/>
        <v>406.2304361771354</v>
      </c>
      <c r="I709">
        <f t="shared" si="57"/>
        <v>7</v>
      </c>
      <c r="J709" s="16" cm="1">
        <f t="array" ref="J709">INDEX(Sm,I709)</f>
        <v>0.74435685666414753</v>
      </c>
      <c r="K709" s="16">
        <f t="shared" si="58"/>
        <v>406.97479303379953</v>
      </c>
      <c r="L709" s="16">
        <f t="shared" si="59"/>
        <v>-0.2252069662004601</v>
      </c>
      <c r="M709" s="16">
        <f t="shared" si="60"/>
        <v>5.0718177625215181E-2</v>
      </c>
    </row>
    <row r="710" spans="6:13" x14ac:dyDescent="0.4">
      <c r="F710" s="1">
        <v>42948</v>
      </c>
      <c r="G710" s="16">
        <v>405.24</v>
      </c>
      <c r="H710" s="16">
        <f t="shared" si="56"/>
        <v>406.43850219266943</v>
      </c>
      <c r="I710">
        <f t="shared" si="57"/>
        <v>8</v>
      </c>
      <c r="J710" s="16" cm="1">
        <f t="array" ref="J710">INDEX(Sm,I710)</f>
        <v>-1.3868231821212227</v>
      </c>
      <c r="K710" s="16">
        <f t="shared" si="58"/>
        <v>405.05167901054818</v>
      </c>
      <c r="L710" s="16">
        <f t="shared" si="59"/>
        <v>-0.18832098945182452</v>
      </c>
      <c r="M710" s="16">
        <f t="shared" si="60"/>
        <v>3.5464795068114202E-2</v>
      </c>
    </row>
    <row r="711" spans="6:13" x14ac:dyDescent="0.4">
      <c r="F711" s="1">
        <v>42979</v>
      </c>
      <c r="G711" s="16">
        <v>403.27</v>
      </c>
      <c r="H711" s="16">
        <f t="shared" si="56"/>
        <v>406.64686116321536</v>
      </c>
      <c r="I711">
        <f t="shared" si="57"/>
        <v>9</v>
      </c>
      <c r="J711" s="16" cm="1">
        <f t="array" ref="J711">INDEX(Sm,I711)</f>
        <v>-3.1918015790052943</v>
      </c>
      <c r="K711" s="16">
        <f t="shared" si="58"/>
        <v>403.45505958421006</v>
      </c>
      <c r="L711" s="16">
        <f t="shared" si="59"/>
        <v>0.18505958421008017</v>
      </c>
      <c r="M711" s="16">
        <f t="shared" si="60"/>
        <v>3.4247049708007758E-2</v>
      </c>
    </row>
    <row r="712" spans="6:13" x14ac:dyDescent="0.4">
      <c r="F712" s="1">
        <v>43009</v>
      </c>
      <c r="G712" s="16">
        <v>403.64</v>
      </c>
      <c r="H712" s="16">
        <f t="shared" si="56"/>
        <v>406.8487781973447</v>
      </c>
      <c r="I712">
        <f t="shared" si="57"/>
        <v>10</v>
      </c>
      <c r="J712" s="16" cm="1">
        <f t="array" ref="J712">INDEX(Sm,I712)</f>
        <v>-3.3171210691938846</v>
      </c>
      <c r="K712" s="16">
        <f t="shared" si="58"/>
        <v>403.53165712815081</v>
      </c>
      <c r="L712" s="16">
        <f t="shared" si="59"/>
        <v>-0.10834287184917457</v>
      </c>
      <c r="M712" s="16">
        <f t="shared" si="60"/>
        <v>1.1738177880526664E-2</v>
      </c>
    </row>
    <row r="713" spans="6:13" x14ac:dyDescent="0.4">
      <c r="F713" s="1">
        <v>43040</v>
      </c>
      <c r="G713" s="16">
        <v>405.17</v>
      </c>
      <c r="H713" s="16">
        <f t="shared" si="56"/>
        <v>407.0577148326837</v>
      </c>
      <c r="I713">
        <f t="shared" si="57"/>
        <v>11</v>
      </c>
      <c r="J713" s="16" cm="1">
        <f t="array" ref="J713">INDEX(Sm,I713)</f>
        <v>-2.0577916254037292</v>
      </c>
      <c r="K713" s="16">
        <f t="shared" si="58"/>
        <v>404.99992320727995</v>
      </c>
      <c r="L713" s="16">
        <f t="shared" si="59"/>
        <v>-0.17007679272006726</v>
      </c>
      <c r="M713" s="16">
        <f t="shared" si="60"/>
        <v>2.8926115421944724E-2</v>
      </c>
    </row>
    <row r="714" spans="6:13" x14ac:dyDescent="0.4">
      <c r="F714" s="1">
        <v>43070</v>
      </c>
      <c r="G714" s="16">
        <v>406.75</v>
      </c>
      <c r="H714" s="16">
        <f t="shared" si="56"/>
        <v>407.26019167166066</v>
      </c>
      <c r="I714">
        <f t="shared" si="57"/>
        <v>12</v>
      </c>
      <c r="J714" s="16" cm="1">
        <f t="array" ref="J714">INDEX(Sm,I714)</f>
        <v>-0.88780634062791353</v>
      </c>
      <c r="K714" s="16">
        <f t="shared" si="58"/>
        <v>406.37238533103277</v>
      </c>
      <c r="L714" s="16">
        <f t="shared" si="59"/>
        <v>-0.37761466896722595</v>
      </c>
      <c r="M714" s="16">
        <f t="shared" si="60"/>
        <v>0.14259283821922764</v>
      </c>
    </row>
    <row r="715" spans="6:13" x14ac:dyDescent="0.4">
      <c r="F715" s="1">
        <v>43101</v>
      </c>
      <c r="G715" s="16">
        <v>408.05</v>
      </c>
      <c r="H715" s="16">
        <f t="shared" si="56"/>
        <v>407.46970757333941</v>
      </c>
      <c r="I715">
        <f t="shared" si="57"/>
        <v>1</v>
      </c>
      <c r="J715" s="16" cm="1">
        <f t="array" ref="J715">INDEX(Sm,I715)</f>
        <v>-3.3662626377861403E-2</v>
      </c>
      <c r="K715" s="16">
        <f t="shared" si="58"/>
        <v>407.43604494696154</v>
      </c>
      <c r="L715" s="16">
        <f t="shared" si="59"/>
        <v>-0.61395505303846676</v>
      </c>
      <c r="M715" s="16">
        <f t="shared" si="60"/>
        <v>0.37694080715146655</v>
      </c>
    </row>
    <row r="716" spans="6:13" x14ac:dyDescent="0.4">
      <c r="F716" s="1">
        <v>43132</v>
      </c>
      <c r="G716" s="16">
        <v>408.34</v>
      </c>
      <c r="H716" s="16">
        <f t="shared" si="56"/>
        <v>407.67951847145616</v>
      </c>
      <c r="I716">
        <f t="shared" si="57"/>
        <v>2</v>
      </c>
      <c r="J716" s="16" cm="1">
        <f t="array" ref="J716">INDEX(Sm,I716)</f>
        <v>0.68114275406980329</v>
      </c>
      <c r="K716" s="16">
        <f t="shared" si="58"/>
        <v>408.36066122552597</v>
      </c>
      <c r="L716" s="16">
        <f t="shared" si="59"/>
        <v>2.0661225525998361E-2</v>
      </c>
      <c r="M716" s="16">
        <f t="shared" si="60"/>
        <v>4.2688624023616627E-4</v>
      </c>
    </row>
    <row r="717" spans="6:13" x14ac:dyDescent="0.4">
      <c r="F717" s="1">
        <v>43160</v>
      </c>
      <c r="G717" s="16">
        <v>409.25</v>
      </c>
      <c r="H717" s="16">
        <f t="shared" si="56"/>
        <v>407.86927899031747</v>
      </c>
      <c r="I717">
        <f t="shared" si="57"/>
        <v>3</v>
      </c>
      <c r="J717" s="16" cm="1">
        <f t="array" ref="J717">INDEX(Sm,I717)</f>
        <v>1.3951035824648568</v>
      </c>
      <c r="K717" s="16">
        <f t="shared" si="58"/>
        <v>409.26438257278232</v>
      </c>
      <c r="L717" s="16">
        <f t="shared" si="59"/>
        <v>1.4382572782324132E-2</v>
      </c>
      <c r="M717" s="16">
        <f t="shared" si="60"/>
        <v>2.0685839983885094E-4</v>
      </c>
    </row>
    <row r="718" spans="6:13" x14ac:dyDescent="0.4">
      <c r="F718" s="1">
        <v>43191</v>
      </c>
      <c r="G718" s="16">
        <v>410.3</v>
      </c>
      <c r="H718" s="16">
        <f t="shared" si="56"/>
        <v>408.07965248126754</v>
      </c>
      <c r="I718">
        <f t="shared" si="57"/>
        <v>4</v>
      </c>
      <c r="J718" s="16" cm="1">
        <f t="array" ref="J718">INDEX(Sm,I718)</f>
        <v>2.6339370251743146</v>
      </c>
      <c r="K718" s="16">
        <f t="shared" si="58"/>
        <v>410.71358950644185</v>
      </c>
      <c r="L718" s="16">
        <f t="shared" si="59"/>
        <v>0.41358950644183778</v>
      </c>
      <c r="M718" s="16">
        <f t="shared" si="60"/>
        <v>0.17105627983880298</v>
      </c>
    </row>
    <row r="719" spans="6:13" x14ac:dyDescent="0.4">
      <c r="F719" s="1">
        <v>43221</v>
      </c>
      <c r="G719" s="16">
        <v>411.3</v>
      </c>
      <c r="H719" s="16">
        <f t="shared" si="56"/>
        <v>408.28352175188638</v>
      </c>
      <c r="I719">
        <f t="shared" si="57"/>
        <v>5</v>
      </c>
      <c r="J719" s="16" cm="1">
        <f t="array" ref="J719">INDEX(Sm,I719)</f>
        <v>3.0997257789906989</v>
      </c>
      <c r="K719" s="16">
        <f t="shared" si="58"/>
        <v>411.3832475308771</v>
      </c>
      <c r="L719" s="16">
        <f t="shared" si="59"/>
        <v>8.3247530877088138E-2</v>
      </c>
      <c r="M719" s="16">
        <f t="shared" si="60"/>
        <v>6.9301513971317431E-3</v>
      </c>
    </row>
    <row r="720" spans="6:13" x14ac:dyDescent="0.4">
      <c r="F720" s="1">
        <v>43252</v>
      </c>
      <c r="G720" s="16">
        <v>410.88</v>
      </c>
      <c r="H720" s="16">
        <f t="shared" si="56"/>
        <v>408.49447849278636</v>
      </c>
      <c r="I720">
        <f t="shared" si="57"/>
        <v>6</v>
      </c>
      <c r="J720" s="16" cm="1">
        <f t="array" ref="J720">INDEX(Sm,I720)</f>
        <v>2.3207404253660839</v>
      </c>
      <c r="K720" s="16">
        <f t="shared" si="58"/>
        <v>410.81521891815242</v>
      </c>
      <c r="L720" s="16">
        <f t="shared" si="59"/>
        <v>-6.4781081847570476E-2</v>
      </c>
      <c r="M720" s="16">
        <f t="shared" si="60"/>
        <v>4.1965885653416253E-3</v>
      </c>
    </row>
    <row r="721" spans="6:13" x14ac:dyDescent="0.4">
      <c r="F721" s="1">
        <v>43282</v>
      </c>
      <c r="G721" s="16">
        <v>408.9</v>
      </c>
      <c r="H721" s="16">
        <f t="shared" si="56"/>
        <v>408.69891298073048</v>
      </c>
      <c r="I721">
        <f t="shared" si="57"/>
        <v>7</v>
      </c>
      <c r="J721" s="16" cm="1">
        <f t="array" ref="J721">INDEX(Sm,I721)</f>
        <v>0.74435685666414753</v>
      </c>
      <c r="K721" s="16">
        <f t="shared" si="58"/>
        <v>409.44326983739461</v>
      </c>
      <c r="L721" s="16">
        <f t="shared" si="59"/>
        <v>0.5432698373946323</v>
      </c>
      <c r="M721" s="16">
        <f t="shared" si="60"/>
        <v>0.29514211622279024</v>
      </c>
    </row>
    <row r="722" spans="6:13" x14ac:dyDescent="0.4">
      <c r="F722" s="1">
        <v>43313</v>
      </c>
      <c r="G722" s="16">
        <v>407.1</v>
      </c>
      <c r="H722" s="16">
        <f t="shared" si="56"/>
        <v>408.91045458861151</v>
      </c>
      <c r="I722">
        <f t="shared" si="57"/>
        <v>8</v>
      </c>
      <c r="J722" s="16" cm="1">
        <f t="array" ref="J722">INDEX(Sm,I722)</f>
        <v>-1.3868231821212227</v>
      </c>
      <c r="K722" s="16">
        <f t="shared" si="58"/>
        <v>407.52363140649027</v>
      </c>
      <c r="L722" s="16">
        <f t="shared" si="59"/>
        <v>0.42363140649024444</v>
      </c>
      <c r="M722" s="16">
        <f t="shared" si="60"/>
        <v>0.17946356856490273</v>
      </c>
    </row>
    <row r="723" spans="6:13" x14ac:dyDescent="0.4">
      <c r="F723" s="1">
        <v>43344</v>
      </c>
      <c r="G723" s="16">
        <v>405.59</v>
      </c>
      <c r="H723" s="16">
        <f t="shared" si="56"/>
        <v>409.122294045106</v>
      </c>
      <c r="I723">
        <f t="shared" si="57"/>
        <v>9</v>
      </c>
      <c r="J723" s="16" cm="1">
        <f t="array" ref="J723">INDEX(Sm,I723)</f>
        <v>-3.1918015790052943</v>
      </c>
      <c r="K723" s="16">
        <f t="shared" si="58"/>
        <v>405.9304924661007</v>
      </c>
      <c r="L723" s="16">
        <f t="shared" si="59"/>
        <v>0.34049246610072714</v>
      </c>
      <c r="M723" s="16">
        <f t="shared" si="60"/>
        <v>0.11593511947135482</v>
      </c>
    </row>
    <row r="724" spans="6:13" x14ac:dyDescent="0.4">
      <c r="F724" s="1">
        <v>43374</v>
      </c>
      <c r="G724" s="16">
        <v>405.99</v>
      </c>
      <c r="H724" s="16">
        <f t="shared" si="56"/>
        <v>409.32758395729388</v>
      </c>
      <c r="I724">
        <f t="shared" si="57"/>
        <v>10</v>
      </c>
      <c r="J724" s="16" cm="1">
        <f t="array" ref="J724">INDEX(Sm,I724)</f>
        <v>-3.3171210691938846</v>
      </c>
      <c r="K724" s="16">
        <f t="shared" si="58"/>
        <v>406.01046288809999</v>
      </c>
      <c r="L724" s="16">
        <f t="shared" si="59"/>
        <v>2.0462888099984866E-2</v>
      </c>
      <c r="M724" s="16">
        <f t="shared" si="60"/>
        <v>4.1872978939250222E-4</v>
      </c>
    </row>
    <row r="725" spans="6:13" x14ac:dyDescent="0.4">
      <c r="F725" s="1">
        <v>43405</v>
      </c>
      <c r="G725" s="16">
        <v>408.12</v>
      </c>
      <c r="H725" s="16">
        <f t="shared" si="56"/>
        <v>409.54001072805431</v>
      </c>
      <c r="I725">
        <f t="shared" si="57"/>
        <v>11</v>
      </c>
      <c r="J725" s="16" cm="1">
        <f t="array" ref="J725">INDEX(Sm,I725)</f>
        <v>-2.0577916254037292</v>
      </c>
      <c r="K725" s="16">
        <f t="shared" si="58"/>
        <v>407.48221910265056</v>
      </c>
      <c r="L725" s="16">
        <f t="shared" si="59"/>
        <v>-0.63778089734944388</v>
      </c>
      <c r="M725" s="16">
        <f t="shared" si="60"/>
        <v>0.40676447302386187</v>
      </c>
    </row>
    <row r="726" spans="6:13" x14ac:dyDescent="0.4">
      <c r="F726" s="1">
        <v>43435</v>
      </c>
      <c r="G726" s="16">
        <v>409.23</v>
      </c>
      <c r="H726" s="16">
        <f t="shared" si="56"/>
        <v>409.74586979622495</v>
      </c>
      <c r="I726">
        <f t="shared" si="57"/>
        <v>12</v>
      </c>
      <c r="J726" s="16" cm="1">
        <f t="array" ref="J726">INDEX(Sm,I726)</f>
        <v>-0.88780634062791353</v>
      </c>
      <c r="K726" s="16">
        <f t="shared" si="58"/>
        <v>408.85806345559706</v>
      </c>
      <c r="L726" s="16">
        <f t="shared" si="59"/>
        <v>-0.37193654440295632</v>
      </c>
      <c r="M726" s="16">
        <f t="shared" si="60"/>
        <v>0.13833679306241228</v>
      </c>
    </row>
    <row r="727" spans="6:13" x14ac:dyDescent="0.4">
      <c r="F727" s="1">
        <v>43466</v>
      </c>
      <c r="G727" s="16">
        <v>410.92</v>
      </c>
      <c r="H727" s="16">
        <f t="shared" si="56"/>
        <v>409.95888550955044</v>
      </c>
      <c r="I727">
        <f t="shared" si="57"/>
        <v>1</v>
      </c>
      <c r="J727" s="16" cm="1">
        <f t="array" ref="J727">INDEX(Sm,I727)</f>
        <v>-3.3662626377861403E-2</v>
      </c>
      <c r="K727" s="16">
        <f t="shared" si="58"/>
        <v>409.92522288317258</v>
      </c>
      <c r="L727" s="16">
        <f t="shared" si="59"/>
        <v>-0.99477711682743575</v>
      </c>
      <c r="M727" s="16">
        <f t="shared" si="60"/>
        <v>0.98958151216350576</v>
      </c>
    </row>
    <row r="728" spans="6:13" x14ac:dyDescent="0.4">
      <c r="F728" s="1">
        <v>43497</v>
      </c>
      <c r="G728" s="16">
        <v>411.66</v>
      </c>
      <c r="H728" s="16">
        <f t="shared" si="56"/>
        <v>410.17220114701593</v>
      </c>
      <c r="I728">
        <f t="shared" si="57"/>
        <v>2</v>
      </c>
      <c r="J728" s="16" cm="1">
        <f t="array" ref="J728">INDEX(Sm,I728)</f>
        <v>0.68114275406980329</v>
      </c>
      <c r="K728" s="16">
        <f t="shared" si="58"/>
        <v>410.85334390108574</v>
      </c>
      <c r="L728" s="16">
        <f t="shared" si="59"/>
        <v>-0.80665609891428858</v>
      </c>
      <c r="M728" s="16">
        <f t="shared" si="60"/>
        <v>0.65069406191561852</v>
      </c>
    </row>
    <row r="729" spans="6:13" x14ac:dyDescent="0.4">
      <c r="F729" s="1">
        <v>43525</v>
      </c>
      <c r="G729" s="16">
        <v>412</v>
      </c>
      <c r="H729" s="16">
        <f t="shared" si="56"/>
        <v>410.36513147813821</v>
      </c>
      <c r="I729">
        <f t="shared" si="57"/>
        <v>3</v>
      </c>
      <c r="J729" s="16" cm="1">
        <f t="array" ref="J729">INDEX(Sm,I729)</f>
        <v>1.3951035824648568</v>
      </c>
      <c r="K729" s="16">
        <f t="shared" si="58"/>
        <v>411.76023506060307</v>
      </c>
      <c r="L729" s="16">
        <f t="shared" si="59"/>
        <v>-0.23976493939693455</v>
      </c>
      <c r="M729" s="16">
        <f t="shared" si="60"/>
        <v>5.7487226164015699E-2</v>
      </c>
    </row>
    <row r="730" spans="6:13" x14ac:dyDescent="0.4">
      <c r="F730" s="1">
        <v>43556</v>
      </c>
      <c r="G730" s="16">
        <v>413.52</v>
      </c>
      <c r="H730" s="16">
        <f t="shared" si="56"/>
        <v>410.57901910614351</v>
      </c>
      <c r="I730">
        <f t="shared" si="57"/>
        <v>4</v>
      </c>
      <c r="J730" s="16" cm="1">
        <f t="array" ref="J730">INDEX(Sm,I730)</f>
        <v>2.6339370251743146</v>
      </c>
      <c r="K730" s="16">
        <f t="shared" si="58"/>
        <v>413.21295613131781</v>
      </c>
      <c r="L730" s="16">
        <f t="shared" si="59"/>
        <v>-0.30704386868217171</v>
      </c>
      <c r="M730" s="16">
        <f t="shared" si="60"/>
        <v>9.4275937295314707E-2</v>
      </c>
    </row>
    <row r="731" spans="6:13" x14ac:dyDescent="0.4">
      <c r="F731" s="1">
        <v>43586</v>
      </c>
      <c r="G731" s="16">
        <v>414.83</v>
      </c>
      <c r="H731" s="16">
        <f t="shared" si="56"/>
        <v>410.78629386552018</v>
      </c>
      <c r="I731">
        <f t="shared" si="57"/>
        <v>5</v>
      </c>
      <c r="J731" s="16" cm="1">
        <f t="array" ref="J731">INDEX(Sm,I731)</f>
        <v>3.0997257789906989</v>
      </c>
      <c r="K731" s="16">
        <f t="shared" si="58"/>
        <v>413.8860196445109</v>
      </c>
      <c r="L731" s="16">
        <f t="shared" si="59"/>
        <v>-0.94398035548908865</v>
      </c>
      <c r="M731" s="16">
        <f t="shared" si="60"/>
        <v>0.89109891154930621</v>
      </c>
    </row>
    <row r="732" spans="6:13" x14ac:dyDescent="0.4">
      <c r="F732" s="1">
        <v>43617</v>
      </c>
      <c r="G732" s="16">
        <v>413.96</v>
      </c>
      <c r="H732" s="16">
        <f t="shared" si="56"/>
        <v>411.00077448624398</v>
      </c>
      <c r="I732">
        <f t="shared" si="57"/>
        <v>6</v>
      </c>
      <c r="J732" s="16" cm="1">
        <f t="array" ref="J732">INDEX(Sm,I732)</f>
        <v>2.3207404253660839</v>
      </c>
      <c r="K732" s="16">
        <f t="shared" si="58"/>
        <v>413.32151491161005</v>
      </c>
      <c r="L732" s="16">
        <f t="shared" si="59"/>
        <v>-0.63848508838992757</v>
      </c>
      <c r="M732" s="16">
        <f t="shared" si="60"/>
        <v>0.40766320809629364</v>
      </c>
    </row>
    <row r="733" spans="6:13" x14ac:dyDescent="0.4">
      <c r="F733" s="1">
        <v>43647</v>
      </c>
      <c r="G733" s="16">
        <v>411.85</v>
      </c>
      <c r="H733" s="16">
        <f t="shared" si="56"/>
        <v>411.20862390449247</v>
      </c>
      <c r="I733">
        <f t="shared" si="57"/>
        <v>7</v>
      </c>
      <c r="J733" s="16" cm="1">
        <f t="array" ref="J733">INDEX(Sm,I733)</f>
        <v>0.74435685666414753</v>
      </c>
      <c r="K733" s="16">
        <f t="shared" si="58"/>
        <v>411.9529807611566</v>
      </c>
      <c r="L733" s="16">
        <f t="shared" si="59"/>
        <v>0.10298076115657295</v>
      </c>
      <c r="M733" s="16">
        <f t="shared" si="60"/>
        <v>1.0605037168387125E-2</v>
      </c>
    </row>
    <row r="734" spans="6:13" x14ac:dyDescent="0.4">
      <c r="F734" s="1">
        <v>43678</v>
      </c>
      <c r="G734" s="16">
        <v>410.08</v>
      </c>
      <c r="H734" s="16">
        <f t="shared" si="56"/>
        <v>411.42369916197754</v>
      </c>
      <c r="I734">
        <f t="shared" si="57"/>
        <v>8</v>
      </c>
      <c r="J734" s="16" cm="1">
        <f t="array" ref="J734">INDEX(Sm,I734)</f>
        <v>-1.3868231821212227</v>
      </c>
      <c r="K734" s="16">
        <f t="shared" si="58"/>
        <v>410.03687597985629</v>
      </c>
      <c r="L734" s="16">
        <f t="shared" si="59"/>
        <v>-4.3124020143693542E-2</v>
      </c>
      <c r="M734" s="16">
        <f t="shared" si="60"/>
        <v>1.8596811133536864E-3</v>
      </c>
    </row>
    <row r="735" spans="6:13" x14ac:dyDescent="0.4">
      <c r="F735" s="1">
        <v>43709</v>
      </c>
      <c r="G735" s="16">
        <v>408.55</v>
      </c>
      <c r="H735" s="16">
        <f t="shared" si="56"/>
        <v>411.63907724342187</v>
      </c>
      <c r="I735">
        <f t="shared" si="57"/>
        <v>9</v>
      </c>
      <c r="J735" s="16" cm="1">
        <f t="array" ref="J735">INDEX(Sm,I735)</f>
        <v>-3.1918015790052943</v>
      </c>
      <c r="K735" s="16">
        <f t="shared" si="58"/>
        <v>408.44727566441657</v>
      </c>
      <c r="L735" s="16">
        <f t="shared" si="59"/>
        <v>-0.10272433558344574</v>
      </c>
      <c r="M735" s="16">
        <f t="shared" si="60"/>
        <v>1.0552289121060376E-2</v>
      </c>
    </row>
    <row r="736" spans="6:13" x14ac:dyDescent="0.4">
      <c r="F736" s="1">
        <v>43739</v>
      </c>
      <c r="G736" s="16">
        <v>408.43</v>
      </c>
      <c r="H736" s="16">
        <f t="shared" si="56"/>
        <v>411.84779637515771</v>
      </c>
      <c r="I736">
        <f t="shared" si="57"/>
        <v>10</v>
      </c>
      <c r="J736" s="16" cm="1">
        <f t="array" ref="J736">INDEX(Sm,I736)</f>
        <v>-3.3171210691938846</v>
      </c>
      <c r="K736" s="16">
        <f t="shared" si="58"/>
        <v>408.53067530596383</v>
      </c>
      <c r="L736" s="16">
        <f t="shared" si="59"/>
        <v>0.10067530596381857</v>
      </c>
      <c r="M736" s="16">
        <f t="shared" si="60"/>
        <v>1.0135517230908483E-2</v>
      </c>
    </row>
    <row r="737" spans="6:13" x14ac:dyDescent="0.4">
      <c r="F737" s="1">
        <v>43770</v>
      </c>
      <c r="G737" s="16">
        <v>410.29</v>
      </c>
      <c r="H737" s="16">
        <f t="shared" si="56"/>
        <v>412.06377158152793</v>
      </c>
      <c r="I737">
        <f t="shared" si="57"/>
        <v>11</v>
      </c>
      <c r="J737" s="16" cm="1">
        <f t="array" ref="J737">INDEX(Sm,I737)</f>
        <v>-2.0577916254037292</v>
      </c>
      <c r="K737" s="16">
        <f t="shared" si="58"/>
        <v>410.00597995612418</v>
      </c>
      <c r="L737" s="16">
        <f t="shared" si="59"/>
        <v>-0.28402004387584157</v>
      </c>
      <c r="M737" s="16">
        <f t="shared" si="60"/>
        <v>8.0667385323234975E-2</v>
      </c>
    </row>
    <row r="738" spans="6:13" x14ac:dyDescent="0.4">
      <c r="F738" s="1">
        <v>43800</v>
      </c>
      <c r="G738" s="16">
        <v>411.85</v>
      </c>
      <c r="H738" s="16">
        <f t="shared" si="56"/>
        <v>412.27306937658568</v>
      </c>
      <c r="I738">
        <f t="shared" si="57"/>
        <v>12</v>
      </c>
      <c r="J738" s="16" cm="1">
        <f t="array" ref="J738">INDEX(Sm,I738)</f>
        <v>-0.88780634062791353</v>
      </c>
      <c r="K738" s="16">
        <f t="shared" si="58"/>
        <v>411.38526303595779</v>
      </c>
      <c r="L738" s="16">
        <f t="shared" si="59"/>
        <v>-0.46473696404223119</v>
      </c>
      <c r="M738" s="16">
        <f t="shared" si="60"/>
        <v>0.21598044574719008</v>
      </c>
    </row>
    <row r="739" spans="6:13" x14ac:dyDescent="0.4">
      <c r="F739" s="1">
        <v>43831</v>
      </c>
      <c r="G739" s="16">
        <v>413.37</v>
      </c>
      <c r="H739" s="16">
        <f t="shared" si="56"/>
        <v>412.48964336338076</v>
      </c>
      <c r="I739">
        <f t="shared" si="57"/>
        <v>1</v>
      </c>
      <c r="J739" s="16" cm="1">
        <f t="array" ref="J739">INDEX(Sm,I739)</f>
        <v>-3.3662626377861403E-2</v>
      </c>
      <c r="K739" s="16">
        <f t="shared" si="58"/>
        <v>412.4559807370029</v>
      </c>
      <c r="L739" s="16">
        <f t="shared" si="59"/>
        <v>-0.91401926299710112</v>
      </c>
      <c r="M739" s="16">
        <f t="shared" si="60"/>
        <v>0.83543121312976387</v>
      </c>
    </row>
    <row r="740" spans="6:13" x14ac:dyDescent="0.4">
      <c r="F740" s="1">
        <v>43862</v>
      </c>
      <c r="G740" s="16">
        <v>414.09</v>
      </c>
      <c r="H740" s="16">
        <f t="shared" si="56"/>
        <v>412.70652228433198</v>
      </c>
      <c r="I740">
        <f t="shared" si="57"/>
        <v>2</v>
      </c>
      <c r="J740" s="16" cm="1">
        <f t="array" ref="J740">INDEX(Sm,I740)</f>
        <v>0.68114275406980329</v>
      </c>
      <c r="K740" s="16">
        <f t="shared" si="58"/>
        <v>413.38766503840179</v>
      </c>
      <c r="L740" s="16">
        <f t="shared" si="59"/>
        <v>-0.70233496159818287</v>
      </c>
      <c r="M740" s="16">
        <f t="shared" si="60"/>
        <v>0.49327439828312103</v>
      </c>
    </row>
    <row r="741" spans="6:13" x14ac:dyDescent="0.4">
      <c r="F741" s="1">
        <v>43891</v>
      </c>
      <c r="G741" s="16">
        <v>414.51</v>
      </c>
      <c r="H741" s="16">
        <f t="shared" si="56"/>
        <v>412.90968545617318</v>
      </c>
      <c r="I741">
        <f t="shared" si="57"/>
        <v>3</v>
      </c>
      <c r="J741" s="16" cm="1">
        <f t="array" ref="J741">INDEX(Sm,I741)</f>
        <v>1.3951035824648568</v>
      </c>
      <c r="K741" s="16">
        <f t="shared" si="58"/>
        <v>414.30478903863803</v>
      </c>
      <c r="L741" s="16">
        <f t="shared" si="59"/>
        <v>-0.20521096136195638</v>
      </c>
      <c r="M741" s="16">
        <f t="shared" si="60"/>
        <v>4.2111538663098351E-2</v>
      </c>
    </row>
    <row r="742" spans="6:13" x14ac:dyDescent="0.4">
      <c r="F742" s="1">
        <v>43922</v>
      </c>
      <c r="G742" s="16">
        <v>416.18</v>
      </c>
      <c r="H742" s="16">
        <f t="shared" si="56"/>
        <v>413.12715579247856</v>
      </c>
      <c r="I742">
        <f t="shared" si="57"/>
        <v>4</v>
      </c>
      <c r="J742" s="16" cm="1">
        <f t="array" ref="J742">INDEX(Sm,I742)</f>
        <v>2.6339370251743146</v>
      </c>
      <c r="K742" s="16">
        <f t="shared" si="58"/>
        <v>415.76109281765287</v>
      </c>
      <c r="L742" s="16">
        <f t="shared" si="59"/>
        <v>-0.41890718234714086</v>
      </c>
      <c r="M742" s="16">
        <f t="shared" si="60"/>
        <v>0.17548322742202072</v>
      </c>
    </row>
    <row r="743" spans="6:13" x14ac:dyDescent="0.4">
      <c r="F743" s="1">
        <v>43952</v>
      </c>
      <c r="H743" s="16">
        <f t="shared" ref="H743:H806" si="61">EXP(_A*F743+_B)+_C</f>
        <v>413.33790249180652</v>
      </c>
      <c r="I743">
        <f t="shared" ref="I743:I806" si="62">MONTH(F743)</f>
        <v>5</v>
      </c>
      <c r="J743" s="16" cm="1">
        <f t="array" ref="J743">INDEX(Sm,I743)</f>
        <v>3.0997257789906989</v>
      </c>
      <c r="K743" s="16">
        <f t="shared" ref="K743:K806" si="63">H743+J743</f>
        <v>416.43762827079723</v>
      </c>
    </row>
    <row r="744" spans="6:13" x14ac:dyDescent="0.4">
      <c r="F744" s="1">
        <v>43983</v>
      </c>
      <c r="H744" s="16">
        <f t="shared" si="61"/>
        <v>413.55597575370939</v>
      </c>
      <c r="I744">
        <f t="shared" si="62"/>
        <v>6</v>
      </c>
      <c r="J744" s="16" cm="1">
        <f t="array" ref="J744">INDEX(Sm,I744)</f>
        <v>2.3207404253660839</v>
      </c>
      <c r="K744" s="16">
        <f t="shared" si="63"/>
        <v>415.87671617907546</v>
      </c>
    </row>
    <row r="745" spans="6:13" x14ac:dyDescent="0.4">
      <c r="F745" s="1">
        <v>44013</v>
      </c>
      <c r="H745" s="16">
        <f t="shared" si="61"/>
        <v>413.76730673768867</v>
      </c>
      <c r="I745">
        <f t="shared" si="62"/>
        <v>7</v>
      </c>
      <c r="J745" s="16" cm="1">
        <f t="array" ref="J745">INDEX(Sm,I745)</f>
        <v>0.74435685666414753</v>
      </c>
      <c r="K745" s="16">
        <f t="shared" si="63"/>
        <v>414.5116635943528</v>
      </c>
    </row>
    <row r="746" spans="6:13" x14ac:dyDescent="0.4">
      <c r="F746" s="1">
        <v>44044</v>
      </c>
      <c r="H746" s="16">
        <f t="shared" si="61"/>
        <v>413.98598459677015</v>
      </c>
      <c r="I746">
        <f t="shared" si="62"/>
        <v>8</v>
      </c>
      <c r="J746" s="16" cm="1">
        <f t="array" ref="J746">INDEX(Sm,I746)</f>
        <v>-1.3868231821212227</v>
      </c>
      <c r="K746" s="16">
        <f t="shared" si="63"/>
        <v>412.5991614146489</v>
      </c>
    </row>
    <row r="747" spans="6:13" x14ac:dyDescent="0.4">
      <c r="F747" s="1">
        <v>44075</v>
      </c>
      <c r="H747" s="16">
        <f t="shared" si="61"/>
        <v>414.20497035224037</v>
      </c>
      <c r="I747">
        <f t="shared" si="62"/>
        <v>9</v>
      </c>
      <c r="J747" s="16" cm="1">
        <f t="array" ref="J747">INDEX(Sm,I747)</f>
        <v>-3.1918015790052943</v>
      </c>
      <c r="K747" s="16">
        <f t="shared" si="63"/>
        <v>411.01316877323507</v>
      </c>
    </row>
    <row r="748" spans="6:13" x14ac:dyDescent="0.4">
      <c r="F748" s="1">
        <v>44105</v>
      </c>
      <c r="H748" s="16">
        <f t="shared" si="61"/>
        <v>414.417185617776</v>
      </c>
      <c r="I748">
        <f t="shared" si="62"/>
        <v>10</v>
      </c>
      <c r="J748" s="16" cm="1">
        <f t="array" ref="J748">INDEX(Sm,I748)</f>
        <v>-3.3171210691938846</v>
      </c>
      <c r="K748" s="16">
        <f t="shared" si="63"/>
        <v>411.10006454858211</v>
      </c>
    </row>
    <row r="749" spans="6:13" x14ac:dyDescent="0.4">
      <c r="F749" s="1">
        <v>44136</v>
      </c>
      <c r="H749" s="16">
        <f t="shared" si="61"/>
        <v>414.63677850026727</v>
      </c>
      <c r="I749">
        <f t="shared" si="62"/>
        <v>11</v>
      </c>
      <c r="J749" s="16" cm="1">
        <f t="array" ref="J749">INDEX(Sm,I749)</f>
        <v>-2.0577916254037292</v>
      </c>
      <c r="K749" s="16">
        <f t="shared" si="63"/>
        <v>412.57898687486352</v>
      </c>
    </row>
    <row r="750" spans="6:13" x14ac:dyDescent="0.4">
      <c r="F750" s="1">
        <v>44166</v>
      </c>
      <c r="H750" s="16">
        <f t="shared" si="61"/>
        <v>414.84958212198052</v>
      </c>
      <c r="I750">
        <f t="shared" si="62"/>
        <v>12</v>
      </c>
      <c r="J750" s="16" cm="1">
        <f t="array" ref="J750">INDEX(Sm,I750)</f>
        <v>-0.88780634062791353</v>
      </c>
      <c r="K750" s="16">
        <f t="shared" si="63"/>
        <v>413.96177578135263</v>
      </c>
    </row>
    <row r="751" spans="6:13" x14ac:dyDescent="0.4">
      <c r="F751" s="1">
        <v>44197</v>
      </c>
      <c r="H751" s="16">
        <f t="shared" si="61"/>
        <v>415.06978381472214</v>
      </c>
      <c r="I751">
        <f t="shared" si="62"/>
        <v>1</v>
      </c>
      <c r="J751" s="16" cm="1">
        <f t="array" ref="J751">INDEX(Sm,I751)</f>
        <v>-3.3662626377861403E-2</v>
      </c>
      <c r="K751" s="16">
        <f t="shared" si="63"/>
        <v>415.03612118834428</v>
      </c>
    </row>
    <row r="752" spans="6:13" x14ac:dyDescent="0.4">
      <c r="F752" s="1">
        <v>44228</v>
      </c>
      <c r="H752" s="16">
        <f t="shared" si="61"/>
        <v>415.29029554939638</v>
      </c>
      <c r="I752">
        <f t="shared" si="62"/>
        <v>2</v>
      </c>
      <c r="J752" s="16" cm="1">
        <f t="array" ref="J752">INDEX(Sm,I752)</f>
        <v>0.68114275406980329</v>
      </c>
      <c r="K752" s="16">
        <f t="shared" si="63"/>
        <v>415.97143830346619</v>
      </c>
    </row>
    <row r="753" spans="6:11" x14ac:dyDescent="0.4">
      <c r="F753" s="1">
        <v>44256</v>
      </c>
      <c r="H753" s="16">
        <f t="shared" si="61"/>
        <v>415.48973428953008</v>
      </c>
      <c r="I753">
        <f t="shared" si="62"/>
        <v>3</v>
      </c>
      <c r="J753" s="16" cm="1">
        <f t="array" ref="J753">INDEX(Sm,I753)</f>
        <v>1.3951035824648568</v>
      </c>
      <c r="K753" s="16">
        <f t="shared" si="63"/>
        <v>416.88483787199493</v>
      </c>
    </row>
    <row r="754" spans="6:11" x14ac:dyDescent="0.4">
      <c r="F754" s="1">
        <v>44287</v>
      </c>
      <c r="H754" s="16">
        <f t="shared" si="61"/>
        <v>415.71083731056126</v>
      </c>
      <c r="I754">
        <f t="shared" si="62"/>
        <v>4</v>
      </c>
      <c r="J754" s="16" cm="1">
        <f t="array" ref="J754">INDEX(Sm,I754)</f>
        <v>2.6339370251743146</v>
      </c>
      <c r="K754" s="16">
        <f t="shared" si="63"/>
        <v>418.34477433573556</v>
      </c>
    </row>
    <row r="755" spans="6:11" x14ac:dyDescent="0.4">
      <c r="F755" s="1">
        <v>44317</v>
      </c>
      <c r="H755" s="16">
        <f t="shared" si="61"/>
        <v>415.92510438112043</v>
      </c>
      <c r="I755">
        <f t="shared" si="62"/>
        <v>5</v>
      </c>
      <c r="J755" s="16" cm="1">
        <f t="array" ref="J755">INDEX(Sm,I755)</f>
        <v>3.0997257789906989</v>
      </c>
      <c r="K755" s="16">
        <f t="shared" si="63"/>
        <v>419.02483016011115</v>
      </c>
    </row>
    <row r="756" spans="6:11" x14ac:dyDescent="0.4">
      <c r="F756" s="1">
        <v>44348</v>
      </c>
      <c r="H756" s="16">
        <f t="shared" si="61"/>
        <v>416.14682039918529</v>
      </c>
      <c r="I756">
        <f t="shared" si="62"/>
        <v>6</v>
      </c>
      <c r="J756" s="16" cm="1">
        <f t="array" ref="J756">INDEX(Sm,I756)</f>
        <v>2.3207404253660839</v>
      </c>
      <c r="K756" s="16">
        <f t="shared" si="63"/>
        <v>418.46756082455136</v>
      </c>
    </row>
    <row r="757" spans="6:11" x14ac:dyDescent="0.4">
      <c r="F757" s="1">
        <v>44378</v>
      </c>
      <c r="H757" s="16">
        <f t="shared" si="61"/>
        <v>416.36168151444849</v>
      </c>
      <c r="I757">
        <f t="shared" si="62"/>
        <v>7</v>
      </c>
      <c r="J757" s="16" cm="1">
        <f t="array" ref="J757">INDEX(Sm,I757)</f>
        <v>0.74435685666414753</v>
      </c>
      <c r="K757" s="16">
        <f t="shared" si="63"/>
        <v>417.10603837111262</v>
      </c>
    </row>
    <row r="758" spans="6:11" x14ac:dyDescent="0.4">
      <c r="F758" s="1">
        <v>44409</v>
      </c>
      <c r="H758" s="16">
        <f t="shared" si="61"/>
        <v>416.58401222905059</v>
      </c>
      <c r="I758">
        <f t="shared" si="62"/>
        <v>8</v>
      </c>
      <c r="J758" s="16" cm="1">
        <f t="array" ref="J758">INDEX(Sm,I758)</f>
        <v>-1.3868231821212227</v>
      </c>
      <c r="K758" s="16">
        <f t="shared" si="63"/>
        <v>415.19718904692934</v>
      </c>
    </row>
    <row r="759" spans="6:11" x14ac:dyDescent="0.4">
      <c r="F759" s="1">
        <v>44440</v>
      </c>
      <c r="H759" s="16">
        <f t="shared" si="61"/>
        <v>416.80665598322776</v>
      </c>
      <c r="I759">
        <f t="shared" si="62"/>
        <v>9</v>
      </c>
      <c r="J759" s="16" cm="1">
        <f t="array" ref="J759">INDEX(Sm,I759)</f>
        <v>-3.1918015790052943</v>
      </c>
      <c r="K759" s="16">
        <f t="shared" si="63"/>
        <v>413.61485440422246</v>
      </c>
    </row>
    <row r="760" spans="6:11" x14ac:dyDescent="0.4">
      <c r="F760" s="1">
        <v>44470</v>
      </c>
      <c r="H760" s="16">
        <f t="shared" si="61"/>
        <v>417.02241615133164</v>
      </c>
      <c r="I760">
        <f t="shared" si="62"/>
        <v>10</v>
      </c>
      <c r="J760" s="16" cm="1">
        <f t="array" ref="J760">INDEX(Sm,I760)</f>
        <v>-3.3171210691938846</v>
      </c>
      <c r="K760" s="16">
        <f t="shared" si="63"/>
        <v>413.70529508213775</v>
      </c>
    </row>
    <row r="761" spans="6:11" x14ac:dyDescent="0.4">
      <c r="F761" s="1">
        <v>44501</v>
      </c>
      <c r="H761" s="16">
        <f t="shared" si="61"/>
        <v>417.24567717414777</v>
      </c>
      <c r="I761">
        <f t="shared" si="62"/>
        <v>11</v>
      </c>
      <c r="J761" s="16" cm="1">
        <f t="array" ref="J761">INDEX(Sm,I761)</f>
        <v>-2.0577916254037292</v>
      </c>
      <c r="K761" s="16">
        <f t="shared" si="63"/>
        <v>415.18788554874402</v>
      </c>
    </row>
    <row r="762" spans="6:11" x14ac:dyDescent="0.4">
      <c r="F762" s="1">
        <v>44531</v>
      </c>
      <c r="H762" s="16">
        <f t="shared" si="61"/>
        <v>417.46203552649371</v>
      </c>
      <c r="I762">
        <f t="shared" si="62"/>
        <v>12</v>
      </c>
      <c r="J762" s="16" cm="1">
        <f t="array" ref="J762">INDEX(Sm,I762)</f>
        <v>-0.88780634062791353</v>
      </c>
      <c r="K762" s="16">
        <f t="shared" si="63"/>
        <v>416.57422918586582</v>
      </c>
    </row>
    <row r="763" spans="6:11" x14ac:dyDescent="0.4">
      <c r="F763" s="1">
        <v>44562</v>
      </c>
      <c r="H763" s="16">
        <f t="shared" si="61"/>
        <v>417.68591552929536</v>
      </c>
      <c r="I763">
        <f t="shared" si="62"/>
        <v>1</v>
      </c>
      <c r="J763" s="16" cm="1">
        <f t="array" ref="J763">INDEX(Sm,I763)</f>
        <v>-3.3662626377861403E-2</v>
      </c>
      <c r="K763" s="16">
        <f t="shared" si="63"/>
        <v>417.6522529029175</v>
      </c>
    </row>
    <row r="764" spans="6:11" x14ac:dyDescent="0.4">
      <c r="F764" s="1">
        <v>44593</v>
      </c>
      <c r="H764" s="16">
        <f t="shared" si="61"/>
        <v>417.91011075305573</v>
      </c>
      <c r="I764">
        <f t="shared" si="62"/>
        <v>2</v>
      </c>
      <c r="J764" s="16" cm="1">
        <f t="array" ref="J764">INDEX(Sm,I764)</f>
        <v>0.68114275406980329</v>
      </c>
      <c r="K764" s="16">
        <f t="shared" si="63"/>
        <v>418.59125350712554</v>
      </c>
    </row>
    <row r="765" spans="6:11" x14ac:dyDescent="0.4">
      <c r="F765" s="1">
        <v>44621</v>
      </c>
      <c r="H765" s="16">
        <f t="shared" si="61"/>
        <v>418.11288097313889</v>
      </c>
      <c r="I765">
        <f t="shared" si="62"/>
        <v>3</v>
      </c>
      <c r="J765" s="16" cm="1">
        <f t="array" ref="J765">INDEX(Sm,I765)</f>
        <v>1.3951035824648568</v>
      </c>
      <c r="K765" s="16">
        <f t="shared" si="63"/>
        <v>419.50798455560374</v>
      </c>
    </row>
    <row r="766" spans="6:11" x14ac:dyDescent="0.4">
      <c r="F766" s="1">
        <v>44652</v>
      </c>
      <c r="H766" s="16">
        <f t="shared" si="61"/>
        <v>418.33767736026721</v>
      </c>
      <c r="I766">
        <f t="shared" si="62"/>
        <v>4</v>
      </c>
      <c r="J766" s="16" cm="1">
        <f t="array" ref="J766">INDEX(Sm,I766)</f>
        <v>2.6339370251743146</v>
      </c>
      <c r="K766" s="16">
        <f t="shared" si="63"/>
        <v>420.97161438544151</v>
      </c>
    </row>
    <row r="767" spans="6:11" x14ac:dyDescent="0.4">
      <c r="F767" s="1">
        <v>44682</v>
      </c>
      <c r="H767" s="16">
        <f t="shared" si="61"/>
        <v>418.55552360731406</v>
      </c>
      <c r="I767">
        <f t="shared" si="62"/>
        <v>5</v>
      </c>
      <c r="J767" s="16" cm="1">
        <f t="array" ref="J767">INDEX(Sm,I767)</f>
        <v>3.0997257789906989</v>
      </c>
      <c r="K767" s="16">
        <f t="shared" si="63"/>
        <v>421.65524938630477</v>
      </c>
    </row>
    <row r="768" spans="6:11" x14ac:dyDescent="0.4">
      <c r="F768" s="1">
        <v>44713</v>
      </c>
      <c r="H768" s="16">
        <f t="shared" si="61"/>
        <v>418.78094323114834</v>
      </c>
      <c r="I768">
        <f t="shared" si="62"/>
        <v>6</v>
      </c>
      <c r="J768" s="16" cm="1">
        <f t="array" ref="J768">INDEX(Sm,I768)</f>
        <v>2.3207404253660839</v>
      </c>
      <c r="K768" s="16">
        <f t="shared" si="63"/>
        <v>421.10168365651441</v>
      </c>
    </row>
    <row r="769" spans="6:11" x14ac:dyDescent="0.4">
      <c r="F769" s="1">
        <v>44743</v>
      </c>
      <c r="H769" s="16">
        <f t="shared" si="61"/>
        <v>418.99939344598636</v>
      </c>
      <c r="I769">
        <f t="shared" si="62"/>
        <v>7</v>
      </c>
      <c r="J769" s="16" cm="1">
        <f t="array" ref="J769">INDEX(Sm,I769)</f>
        <v>0.74435685666414753</v>
      </c>
      <c r="K769" s="16">
        <f t="shared" si="63"/>
        <v>419.74375030265048</v>
      </c>
    </row>
    <row r="770" spans="6:11" x14ac:dyDescent="0.4">
      <c r="F770" s="1">
        <v>44774</v>
      </c>
      <c r="H770" s="16">
        <f t="shared" si="61"/>
        <v>419.22543803441914</v>
      </c>
      <c r="I770">
        <f t="shared" si="62"/>
        <v>8</v>
      </c>
      <c r="J770" s="16" cm="1">
        <f t="array" ref="J770">INDEX(Sm,I770)</f>
        <v>-1.3868231821212227</v>
      </c>
      <c r="K770" s="16">
        <f t="shared" si="63"/>
        <v>417.83861485229789</v>
      </c>
    </row>
    <row r="771" spans="6:11" x14ac:dyDescent="0.4">
      <c r="F771" s="1">
        <v>44805</v>
      </c>
      <c r="H771" s="16">
        <f t="shared" si="61"/>
        <v>419.45180089152689</v>
      </c>
      <c r="I771">
        <f t="shared" si="62"/>
        <v>9</v>
      </c>
      <c r="J771" s="16" cm="1">
        <f t="array" ref="J771">INDEX(Sm,I771)</f>
        <v>-3.1918015790052943</v>
      </c>
      <c r="K771" s="16">
        <f t="shared" si="63"/>
        <v>416.25999931252159</v>
      </c>
    </row>
    <row r="772" spans="6:11" x14ac:dyDescent="0.4">
      <c r="F772" s="1">
        <v>44835</v>
      </c>
      <c r="H772" s="16">
        <f t="shared" si="61"/>
        <v>419.67116517723298</v>
      </c>
      <c r="I772">
        <f t="shared" si="62"/>
        <v>10</v>
      </c>
      <c r="J772" s="16" cm="1">
        <f t="array" ref="J772">INDEX(Sm,I772)</f>
        <v>-3.3171210691938846</v>
      </c>
      <c r="K772" s="16">
        <f t="shared" si="63"/>
        <v>416.35404410803909</v>
      </c>
    </row>
    <row r="773" spans="6:11" x14ac:dyDescent="0.4">
      <c r="F773" s="1">
        <v>44866</v>
      </c>
      <c r="H773" s="16">
        <f t="shared" si="61"/>
        <v>419.89815561400621</v>
      </c>
      <c r="I773">
        <f t="shared" si="62"/>
        <v>11</v>
      </c>
      <c r="J773" s="16" cm="1">
        <f t="array" ref="J773">INDEX(Sm,I773)</f>
        <v>-2.0577916254037292</v>
      </c>
      <c r="K773" s="16">
        <f t="shared" si="63"/>
        <v>417.84036398860246</v>
      </c>
    </row>
    <row r="774" spans="6:11" x14ac:dyDescent="0.4">
      <c r="F774" s="1">
        <v>44896</v>
      </c>
      <c r="H774" s="16">
        <f t="shared" si="61"/>
        <v>420.11812807618952</v>
      </c>
      <c r="I774">
        <f t="shared" si="62"/>
        <v>12</v>
      </c>
      <c r="J774" s="16" cm="1">
        <f t="array" ref="J774">INDEX(Sm,I774)</f>
        <v>-0.88780634062791353</v>
      </c>
      <c r="K774" s="16">
        <f t="shared" si="63"/>
        <v>419.23032173556163</v>
      </c>
    </row>
    <row r="775" spans="6:11" x14ac:dyDescent="0.4">
      <c r="F775" s="1">
        <v>44927</v>
      </c>
      <c r="H775" s="16">
        <f t="shared" si="61"/>
        <v>420.34574783256119</v>
      </c>
      <c r="I775">
        <f t="shared" si="62"/>
        <v>1</v>
      </c>
      <c r="J775" s="16" cm="1">
        <f t="array" ref="J775">INDEX(Sm,I775)</f>
        <v>-3.3662626377861403E-2</v>
      </c>
      <c r="K775" s="16">
        <f t="shared" si="63"/>
        <v>420.31208520618333</v>
      </c>
    </row>
    <row r="776" spans="6:11" x14ac:dyDescent="0.4">
      <c r="F776" s="1">
        <v>44958</v>
      </c>
      <c r="H776" s="16">
        <f t="shared" si="61"/>
        <v>420.57368807542969</v>
      </c>
      <c r="I776">
        <f t="shared" si="62"/>
        <v>2</v>
      </c>
      <c r="J776" s="16" cm="1">
        <f t="array" ref="J776">INDEX(Sm,I776)</f>
        <v>0.68114275406980329</v>
      </c>
      <c r="K776" s="16">
        <f t="shared" si="63"/>
        <v>421.2548308294995</v>
      </c>
    </row>
    <row r="777" spans="6:11" x14ac:dyDescent="0.4">
      <c r="F777" s="1">
        <v>44986</v>
      </c>
      <c r="H777" s="16">
        <f t="shared" si="61"/>
        <v>420.77984542542595</v>
      </c>
      <c r="I777">
        <f t="shared" si="62"/>
        <v>3</v>
      </c>
      <c r="J777" s="16" cm="1">
        <f t="array" ref="J777">INDEX(Sm,I777)</f>
        <v>1.3951035824648568</v>
      </c>
      <c r="K777" s="16">
        <f t="shared" si="63"/>
        <v>422.1749490078908</v>
      </c>
    </row>
    <row r="778" spans="6:11" x14ac:dyDescent="0.4">
      <c r="F778" s="1">
        <v>45017</v>
      </c>
      <c r="H778" s="16">
        <f t="shared" si="61"/>
        <v>421.00839687366181</v>
      </c>
      <c r="I778">
        <f t="shared" si="62"/>
        <v>4</v>
      </c>
      <c r="J778" s="16" cm="1">
        <f t="array" ref="J778">INDEX(Sm,I778)</f>
        <v>2.6339370251743146</v>
      </c>
      <c r="K778" s="16">
        <f t="shared" si="63"/>
        <v>423.64233389883611</v>
      </c>
    </row>
    <row r="779" spans="6:11" x14ac:dyDescent="0.4">
      <c r="F779" s="1">
        <v>45047</v>
      </c>
      <c r="H779" s="16">
        <f t="shared" si="61"/>
        <v>421.22988208475141</v>
      </c>
      <c r="I779">
        <f t="shared" si="62"/>
        <v>5</v>
      </c>
      <c r="J779" s="16" cm="1">
        <f t="array" ref="J779">INDEX(Sm,I779)</f>
        <v>3.0997257789906989</v>
      </c>
      <c r="K779" s="16">
        <f t="shared" si="63"/>
        <v>424.32960786374213</v>
      </c>
    </row>
    <row r="780" spans="6:11" x14ac:dyDescent="0.4">
      <c r="F780" s="1">
        <v>45078</v>
      </c>
      <c r="H780" s="16">
        <f t="shared" si="61"/>
        <v>421.45906718041175</v>
      </c>
      <c r="I780">
        <f t="shared" si="62"/>
        <v>6</v>
      </c>
      <c r="J780" s="16" cm="1">
        <f t="array" ref="J780">INDEX(Sm,I780)</f>
        <v>2.3207404253660839</v>
      </c>
      <c r="K780" s="16">
        <f t="shared" si="63"/>
        <v>423.77980760577782</v>
      </c>
    </row>
    <row r="781" spans="6:11" x14ac:dyDescent="0.4">
      <c r="F781" s="1">
        <v>45108</v>
      </c>
      <c r="H781" s="16">
        <f t="shared" si="61"/>
        <v>421.68116644813779</v>
      </c>
      <c r="I781">
        <f t="shared" si="62"/>
        <v>7</v>
      </c>
      <c r="J781" s="16" cm="1">
        <f t="array" ref="J781">INDEX(Sm,I781)</f>
        <v>0.74435685666414753</v>
      </c>
      <c r="K781" s="16">
        <f t="shared" si="63"/>
        <v>422.42552330480191</v>
      </c>
    </row>
    <row r="782" spans="6:11" x14ac:dyDescent="0.4">
      <c r="F782" s="1">
        <v>45139</v>
      </c>
      <c r="H782" s="16">
        <f t="shared" si="61"/>
        <v>421.91098694797819</v>
      </c>
      <c r="I782">
        <f t="shared" si="62"/>
        <v>8</v>
      </c>
      <c r="J782" s="16" cm="1">
        <f t="array" ref="J782">INDEX(Sm,I782)</f>
        <v>-1.3868231821212227</v>
      </c>
      <c r="K782" s="16">
        <f t="shared" si="63"/>
        <v>420.52416376585694</v>
      </c>
    </row>
    <row r="783" spans="6:11" x14ac:dyDescent="0.4">
      <c r="F783" s="1">
        <v>45170</v>
      </c>
      <c r="H783" s="16">
        <f t="shared" si="61"/>
        <v>422.14113103294198</v>
      </c>
      <c r="I783">
        <f t="shared" si="62"/>
        <v>9</v>
      </c>
      <c r="J783" s="16" cm="1">
        <f t="array" ref="J783">INDEX(Sm,I783)</f>
        <v>-3.1918015790052943</v>
      </c>
      <c r="K783" s="16">
        <f t="shared" si="63"/>
        <v>418.94932945393668</v>
      </c>
    </row>
    <row r="784" spans="6:11" x14ac:dyDescent="0.4">
      <c r="F784" s="1">
        <v>45200</v>
      </c>
      <c r="H784" s="16">
        <f t="shared" si="61"/>
        <v>422.36415964042885</v>
      </c>
      <c r="I784">
        <f t="shared" si="62"/>
        <v>10</v>
      </c>
      <c r="J784" s="16" cm="1">
        <f t="array" ref="J784">INDEX(Sm,I784)</f>
        <v>-3.3171210691938846</v>
      </c>
      <c r="K784" s="16">
        <f t="shared" si="63"/>
        <v>419.04703857123496</v>
      </c>
    </row>
    <row r="785" spans="6:11" x14ac:dyDescent="0.4">
      <c r="F785" s="1">
        <v>45231</v>
      </c>
      <c r="H785" s="16">
        <f t="shared" si="61"/>
        <v>422.59494178832256</v>
      </c>
      <c r="I785">
        <f t="shared" si="62"/>
        <v>11</v>
      </c>
      <c r="J785" s="16" cm="1">
        <f t="array" ref="J785">INDEX(Sm,I785)</f>
        <v>-2.0577916254037292</v>
      </c>
      <c r="K785" s="16">
        <f t="shared" si="63"/>
        <v>420.53715016291881</v>
      </c>
    </row>
    <row r="786" spans="6:11" x14ac:dyDescent="0.4">
      <c r="F786" s="1">
        <v>45261</v>
      </c>
      <c r="H786" s="16">
        <f t="shared" si="61"/>
        <v>422.81858873143506</v>
      </c>
      <c r="I786">
        <f t="shared" si="62"/>
        <v>12</v>
      </c>
      <c r="J786" s="16" cm="1">
        <f t="array" ref="J786">INDEX(Sm,I786)</f>
        <v>-0.88780634062791353</v>
      </c>
      <c r="K786" s="16">
        <f t="shared" si="63"/>
        <v>421.93078239080717</v>
      </c>
    </row>
    <row r="787" spans="6:11" x14ac:dyDescent="0.4">
      <c r="F787" s="1">
        <v>45292</v>
      </c>
      <c r="H787" s="16">
        <f t="shared" si="61"/>
        <v>423.05001071125616</v>
      </c>
      <c r="I787">
        <f t="shared" si="62"/>
        <v>1</v>
      </c>
      <c r="J787" s="16" cm="1">
        <f t="array" ref="J787">INDEX(Sm,I787)</f>
        <v>-3.3662626377861403E-2</v>
      </c>
      <c r="K787" s="16">
        <f t="shared" si="63"/>
        <v>423.0163480848783</v>
      </c>
    </row>
    <row r="788" spans="6:11" x14ac:dyDescent="0.4">
      <c r="F788" s="1">
        <v>45323</v>
      </c>
      <c r="H788" s="16">
        <f t="shared" si="61"/>
        <v>423.28175853106893</v>
      </c>
      <c r="I788">
        <f t="shared" si="62"/>
        <v>2</v>
      </c>
      <c r="J788" s="16" cm="1">
        <f t="array" ref="J788">INDEX(Sm,I788)</f>
        <v>0.68114275406980329</v>
      </c>
      <c r="K788" s="16">
        <f t="shared" si="63"/>
        <v>423.96290128513874</v>
      </c>
    </row>
    <row r="789" spans="6:11" x14ac:dyDescent="0.4">
      <c r="F789" s="1">
        <v>45352</v>
      </c>
      <c r="H789" s="16">
        <f t="shared" si="61"/>
        <v>423.49885027024783</v>
      </c>
      <c r="I789">
        <f t="shared" si="62"/>
        <v>3</v>
      </c>
      <c r="J789" s="16" cm="1">
        <f t="array" ref="J789">INDEX(Sm,I789)</f>
        <v>1.3951035824648568</v>
      </c>
      <c r="K789" s="16">
        <f t="shared" si="63"/>
        <v>424.89395385271268</v>
      </c>
    </row>
    <row r="790" spans="6:11" x14ac:dyDescent="0.4">
      <c r="F790" s="1">
        <v>45383</v>
      </c>
      <c r="H790" s="16">
        <f t="shared" si="61"/>
        <v>423.73123005197897</v>
      </c>
      <c r="I790">
        <f t="shared" si="62"/>
        <v>4</v>
      </c>
      <c r="J790" s="16" cm="1">
        <f t="array" ref="J790">INDEX(Sm,I790)</f>
        <v>2.6339370251743146</v>
      </c>
      <c r="K790" s="16">
        <f t="shared" si="63"/>
        <v>426.36516707715327</v>
      </c>
    </row>
    <row r="791" spans="6:11" x14ac:dyDescent="0.4">
      <c r="F791" s="1">
        <v>45413</v>
      </c>
      <c r="H791" s="16">
        <f t="shared" si="61"/>
        <v>423.95642523410106</v>
      </c>
      <c r="I791">
        <f t="shared" si="62"/>
        <v>5</v>
      </c>
      <c r="J791" s="16" cm="1">
        <f t="array" ref="J791">INDEX(Sm,I791)</f>
        <v>3.0997257789906989</v>
      </c>
      <c r="K791" s="16">
        <f t="shared" si="63"/>
        <v>427.05615101309178</v>
      </c>
    </row>
    <row r="792" spans="6:11" x14ac:dyDescent="0.4">
      <c r="F792" s="1">
        <v>45444</v>
      </c>
      <c r="H792" s="16">
        <f t="shared" si="61"/>
        <v>424.18944927711937</v>
      </c>
      <c r="I792">
        <f t="shared" si="62"/>
        <v>6</v>
      </c>
      <c r="J792" s="16" cm="1">
        <f t="array" ref="J792">INDEX(Sm,I792)</f>
        <v>2.3207404253660839</v>
      </c>
      <c r="K792" s="16">
        <f t="shared" si="63"/>
        <v>426.51018970248543</v>
      </c>
    </row>
    <row r="793" spans="6:11" x14ac:dyDescent="0.4">
      <c r="F793" s="1">
        <v>45474</v>
      </c>
      <c r="H793" s="16">
        <f t="shared" si="61"/>
        <v>424.41526880158648</v>
      </c>
      <c r="I793">
        <f t="shared" si="62"/>
        <v>7</v>
      </c>
      <c r="J793" s="16" cm="1">
        <f t="array" ref="J793">INDEX(Sm,I793)</f>
        <v>0.74435685666414753</v>
      </c>
      <c r="K793" s="16">
        <f t="shared" si="63"/>
        <v>425.1596256582506</v>
      </c>
    </row>
    <row r="794" spans="6:11" x14ac:dyDescent="0.4">
      <c r="F794" s="1">
        <v>45505</v>
      </c>
      <c r="H794" s="16">
        <f t="shared" si="61"/>
        <v>424.64893889207383</v>
      </c>
      <c r="I794">
        <f t="shared" si="62"/>
        <v>8</v>
      </c>
      <c r="J794" s="16" cm="1">
        <f t="array" ref="J794">INDEX(Sm,I794)</f>
        <v>-1.3868231821212227</v>
      </c>
      <c r="K794" s="16">
        <f t="shared" si="63"/>
        <v>423.26211570995258</v>
      </c>
    </row>
    <row r="795" spans="6:11" x14ac:dyDescent="0.4">
      <c r="F795" s="1">
        <v>45536</v>
      </c>
      <c r="H795" s="16">
        <f t="shared" si="61"/>
        <v>424.88293798787242</v>
      </c>
      <c r="I795">
        <f t="shared" si="62"/>
        <v>9</v>
      </c>
      <c r="J795" s="16" cm="1">
        <f t="array" ref="J795">INDEX(Sm,I795)</f>
        <v>-3.1918015790052943</v>
      </c>
      <c r="K795" s="16">
        <f t="shared" si="63"/>
        <v>421.69113640886712</v>
      </c>
    </row>
    <row r="796" spans="6:11" x14ac:dyDescent="0.4">
      <c r="F796" s="1">
        <v>45566</v>
      </c>
      <c r="H796" s="16">
        <f t="shared" si="61"/>
        <v>425.1097024189346</v>
      </c>
      <c r="I796">
        <f t="shared" si="62"/>
        <v>10</v>
      </c>
      <c r="J796" s="16" cm="1">
        <f t="array" ref="J796">INDEX(Sm,I796)</f>
        <v>-3.3171210691938846</v>
      </c>
      <c r="K796" s="16">
        <f t="shared" si="63"/>
        <v>421.79258134974071</v>
      </c>
    </row>
    <row r="797" spans="6:11" x14ac:dyDescent="0.4">
      <c r="F797" s="1">
        <v>45597</v>
      </c>
      <c r="H797" s="16">
        <f t="shared" si="61"/>
        <v>425.34435026548709</v>
      </c>
      <c r="I797">
        <f t="shared" si="62"/>
        <v>11</v>
      </c>
      <c r="J797" s="16" cm="1">
        <f t="array" ref="J797">INDEX(Sm,I797)</f>
        <v>-2.0577916254037292</v>
      </c>
      <c r="K797" s="16">
        <f t="shared" si="63"/>
        <v>423.28655864008334</v>
      </c>
    </row>
    <row r="798" spans="6:11" x14ac:dyDescent="0.4">
      <c r="F798" s="1">
        <v>45627</v>
      </c>
      <c r="H798" s="16">
        <f t="shared" si="61"/>
        <v>425.57174338955849</v>
      </c>
      <c r="I798">
        <f t="shared" si="62"/>
        <v>12</v>
      </c>
      <c r="J798" s="16" cm="1">
        <f t="array" ref="J798">INDEX(Sm,I798)</f>
        <v>-0.88780634062791353</v>
      </c>
      <c r="K798" s="16">
        <f t="shared" si="63"/>
        <v>424.6839370489306</v>
      </c>
    </row>
    <row r="799" spans="6:11" x14ac:dyDescent="0.4">
      <c r="F799" s="1">
        <v>45658</v>
      </c>
      <c r="H799" s="16">
        <f t="shared" si="61"/>
        <v>425.80704178549388</v>
      </c>
      <c r="I799">
        <f t="shared" si="62"/>
        <v>1</v>
      </c>
      <c r="J799" s="16" cm="1">
        <f t="array" ref="J799">INDEX(Sm,I799)</f>
        <v>-3.3662626377861403E-2</v>
      </c>
      <c r="K799" s="16">
        <f t="shared" si="63"/>
        <v>425.77337915911602</v>
      </c>
    </row>
    <row r="800" spans="6:11" x14ac:dyDescent="0.4">
      <c r="F800" s="1">
        <v>45689</v>
      </c>
      <c r="H800" s="16">
        <f t="shared" si="61"/>
        <v>426.04267147937918</v>
      </c>
      <c r="I800">
        <f t="shared" si="62"/>
        <v>2</v>
      </c>
      <c r="J800" s="16" cm="1">
        <f t="array" ref="J800">INDEX(Sm,I800)</f>
        <v>0.68114275406980329</v>
      </c>
      <c r="K800" s="16">
        <f t="shared" si="63"/>
        <v>426.72381423344899</v>
      </c>
    </row>
    <row r="801" spans="6:11" x14ac:dyDescent="0.4">
      <c r="F801" s="1">
        <v>45717</v>
      </c>
      <c r="H801" s="16">
        <f t="shared" si="61"/>
        <v>426.2557834453072</v>
      </c>
      <c r="I801">
        <f t="shared" si="62"/>
        <v>3</v>
      </c>
      <c r="J801" s="16" cm="1">
        <f t="array" ref="J801">INDEX(Sm,I801)</f>
        <v>1.3951035824648568</v>
      </c>
      <c r="K801" s="16">
        <f t="shared" si="63"/>
        <v>427.65088702777206</v>
      </c>
    </row>
    <row r="802" spans="6:11" x14ac:dyDescent="0.4">
      <c r="F802" s="1">
        <v>45748</v>
      </c>
      <c r="H802" s="16">
        <f t="shared" si="61"/>
        <v>426.49204496326968</v>
      </c>
      <c r="I802">
        <f t="shared" si="62"/>
        <v>4</v>
      </c>
      <c r="J802" s="16" cm="1">
        <f t="array" ref="J802">INDEX(Sm,I802)</f>
        <v>2.6339370251743146</v>
      </c>
      <c r="K802" s="16">
        <f t="shared" si="63"/>
        <v>429.12598198844398</v>
      </c>
    </row>
    <row r="803" spans="6:11" x14ac:dyDescent="0.4">
      <c r="F803" s="1">
        <v>45778</v>
      </c>
      <c r="H803" s="16">
        <f t="shared" si="61"/>
        <v>426.7210018680812</v>
      </c>
      <c r="I803">
        <f t="shared" si="62"/>
        <v>5</v>
      </c>
      <c r="J803" s="16" cm="1">
        <f t="array" ref="J803">INDEX(Sm,I803)</f>
        <v>3.0997257789906989</v>
      </c>
      <c r="K803" s="16">
        <f t="shared" si="63"/>
        <v>429.82072764707192</v>
      </c>
    </row>
    <row r="804" spans="6:11" x14ac:dyDescent="0.4">
      <c r="F804" s="1">
        <v>45809</v>
      </c>
      <c r="H804" s="16">
        <f t="shared" si="61"/>
        <v>426.95791840924966</v>
      </c>
      <c r="I804">
        <f t="shared" si="62"/>
        <v>6</v>
      </c>
      <c r="J804" s="16" cm="1">
        <f t="array" ref="J804">INDEX(Sm,I804)</f>
        <v>2.3207404253660839</v>
      </c>
      <c r="K804" s="16">
        <f t="shared" si="63"/>
        <v>429.27865883461573</v>
      </c>
    </row>
    <row r="805" spans="6:11" x14ac:dyDescent="0.4">
      <c r="F805" s="1">
        <v>45839</v>
      </c>
      <c r="H805" s="16">
        <f t="shared" si="61"/>
        <v>427.18751008559366</v>
      </c>
      <c r="I805">
        <f t="shared" si="62"/>
        <v>7</v>
      </c>
      <c r="J805" s="16" cm="1">
        <f t="array" ref="J805">INDEX(Sm,I805)</f>
        <v>0.74435685666414753</v>
      </c>
      <c r="K805" s="16">
        <f t="shared" si="63"/>
        <v>427.93186694225778</v>
      </c>
    </row>
    <row r="806" spans="6:11" x14ac:dyDescent="0.4">
      <c r="F806" s="1">
        <v>45870</v>
      </c>
      <c r="H806" s="16">
        <f t="shared" si="61"/>
        <v>427.42508346598714</v>
      </c>
      <c r="I806">
        <f t="shared" si="62"/>
        <v>8</v>
      </c>
      <c r="J806" s="16" cm="1">
        <f t="array" ref="J806">INDEX(Sm,I806)</f>
        <v>-1.3868231821212227</v>
      </c>
      <c r="K806" s="16">
        <f t="shared" si="63"/>
        <v>426.0382602838659</v>
      </c>
    </row>
    <row r="807" spans="6:11" x14ac:dyDescent="0.4">
      <c r="F807" s="1">
        <v>45901</v>
      </c>
      <c r="H807" s="16">
        <f t="shared" ref="H807:H870" si="64">EXP(_A*F807+_B)+_C</f>
        <v>427.66299134748738</v>
      </c>
      <c r="I807">
        <f t="shared" ref="I807:I870" si="65">MONTH(F807)</f>
        <v>9</v>
      </c>
      <c r="J807" s="16" cm="1">
        <f t="array" ref="J807">INDEX(Sm,I807)</f>
        <v>-3.1918015790052943</v>
      </c>
      <c r="K807" s="16">
        <f t="shared" ref="K807:K870" si="66">H807+J807</f>
        <v>424.47118976848208</v>
      </c>
    </row>
    <row r="808" spans="6:11" x14ac:dyDescent="0.4">
      <c r="F808" s="1">
        <v>45931</v>
      </c>
      <c r="H808" s="16">
        <f t="shared" si="64"/>
        <v>427.89354371440811</v>
      </c>
      <c r="I808">
        <f t="shared" si="65"/>
        <v>10</v>
      </c>
      <c r="J808" s="16" cm="1">
        <f t="array" ref="J808">INDEX(Sm,I808)</f>
        <v>-3.3171210691938846</v>
      </c>
      <c r="K808" s="16">
        <f t="shared" si="66"/>
        <v>424.57642264521422</v>
      </c>
    </row>
    <row r="809" spans="6:11" x14ac:dyDescent="0.4">
      <c r="F809" s="1">
        <v>45962</v>
      </c>
      <c r="H809" s="16">
        <f t="shared" si="64"/>
        <v>428.13211118357469</v>
      </c>
      <c r="I809">
        <f t="shared" si="65"/>
        <v>11</v>
      </c>
      <c r="J809" s="16" cm="1">
        <f t="array" ref="J809">INDEX(Sm,I809)</f>
        <v>-2.0577916254037292</v>
      </c>
      <c r="K809" s="16">
        <f t="shared" si="66"/>
        <v>426.07431955817094</v>
      </c>
    </row>
    <row r="810" spans="6:11" x14ac:dyDescent="0.4">
      <c r="F810" s="1">
        <v>45992</v>
      </c>
      <c r="H810" s="16">
        <f t="shared" si="64"/>
        <v>428.36330274536658</v>
      </c>
      <c r="I810">
        <f t="shared" si="65"/>
        <v>12</v>
      </c>
      <c r="J810" s="16" cm="1">
        <f t="array" ref="J810">INDEX(Sm,I810)</f>
        <v>-0.88780634062791353</v>
      </c>
      <c r="K810" s="16">
        <f t="shared" si="66"/>
        <v>427.47549640473869</v>
      </c>
    </row>
    <row r="811" spans="6:11" x14ac:dyDescent="0.4">
      <c r="F811" s="1">
        <v>46023</v>
      </c>
      <c r="H811" s="16">
        <f t="shared" si="64"/>
        <v>428.60253163087305</v>
      </c>
      <c r="I811">
        <f t="shared" si="65"/>
        <v>1</v>
      </c>
      <c r="J811" s="16" cm="1">
        <f t="array" ref="J811">INDEX(Sm,I811)</f>
        <v>-3.3662626377861403E-2</v>
      </c>
      <c r="K811" s="16">
        <f t="shared" si="66"/>
        <v>428.56886900449518</v>
      </c>
    </row>
    <row r="812" spans="6:11" x14ac:dyDescent="0.4">
      <c r="F812" s="1">
        <v>46054</v>
      </c>
      <c r="H812" s="16">
        <f t="shared" si="64"/>
        <v>428.84209734842227</v>
      </c>
      <c r="I812">
        <f t="shared" si="65"/>
        <v>2</v>
      </c>
      <c r="J812" s="16" cm="1">
        <f t="array" ref="J812">INDEX(Sm,I812)</f>
        <v>0.68114275406980329</v>
      </c>
      <c r="K812" s="16">
        <f t="shared" si="66"/>
        <v>429.52324010249208</v>
      </c>
    </row>
    <row r="813" spans="6:11" x14ac:dyDescent="0.4">
      <c r="F813" s="1">
        <v>46082</v>
      </c>
      <c r="H813" s="16">
        <f t="shared" si="64"/>
        <v>429.05876919564992</v>
      </c>
      <c r="I813">
        <f t="shared" si="65"/>
        <v>3</v>
      </c>
      <c r="J813" s="16" cm="1">
        <f t="array" ref="J813">INDEX(Sm,I813)</f>
        <v>1.3951035824648568</v>
      </c>
      <c r="K813" s="16">
        <f t="shared" si="66"/>
        <v>430.45387277811477</v>
      </c>
    </row>
    <row r="814" spans="6:11" x14ac:dyDescent="0.4">
      <c r="F814" s="1">
        <v>46113</v>
      </c>
      <c r="H814" s="16">
        <f t="shared" si="64"/>
        <v>429.29897729144079</v>
      </c>
      <c r="I814">
        <f t="shared" si="65"/>
        <v>4</v>
      </c>
      <c r="J814" s="16" cm="1">
        <f t="array" ref="J814">INDEX(Sm,I814)</f>
        <v>2.6339370251743146</v>
      </c>
      <c r="K814" s="16">
        <f t="shared" si="66"/>
        <v>431.9329143166151</v>
      </c>
    </row>
    <row r="815" spans="6:11" x14ac:dyDescent="0.4">
      <c r="F815" s="1">
        <v>46143</v>
      </c>
      <c r="H815" s="16">
        <f t="shared" si="64"/>
        <v>429.53175875579927</v>
      </c>
      <c r="I815">
        <f t="shared" si="65"/>
        <v>5</v>
      </c>
      <c r="J815" s="16" cm="1">
        <f t="array" ref="J815">INDEX(Sm,I815)</f>
        <v>3.0997257789906989</v>
      </c>
      <c r="K815" s="16">
        <f t="shared" si="66"/>
        <v>432.63148453478999</v>
      </c>
    </row>
    <row r="816" spans="6:11" x14ac:dyDescent="0.4">
      <c r="F816" s="1">
        <v>46174</v>
      </c>
      <c r="H816" s="16">
        <f t="shared" si="64"/>
        <v>429.77263281648516</v>
      </c>
      <c r="I816">
        <f t="shared" si="65"/>
        <v>6</v>
      </c>
      <c r="J816" s="16" cm="1">
        <f t="array" ref="J816">INDEX(Sm,I816)</f>
        <v>2.3207404253660839</v>
      </c>
      <c r="K816" s="16">
        <f t="shared" si="66"/>
        <v>432.09337324185122</v>
      </c>
    </row>
    <row r="817" spans="6:11" x14ac:dyDescent="0.4">
      <c r="F817" s="1">
        <v>46204</v>
      </c>
      <c r="H817" s="16">
        <f t="shared" si="64"/>
        <v>430.00605965577557</v>
      </c>
      <c r="I817">
        <f t="shared" si="65"/>
        <v>7</v>
      </c>
      <c r="J817" s="16" cm="1">
        <f t="array" ref="J817">INDEX(Sm,I817)</f>
        <v>0.74435685666414753</v>
      </c>
      <c r="K817" s="16">
        <f t="shared" si="66"/>
        <v>430.7504165124397</v>
      </c>
    </row>
    <row r="818" spans="6:11" x14ac:dyDescent="0.4">
      <c r="F818" s="1">
        <v>46235</v>
      </c>
      <c r="H818" s="16">
        <f t="shared" si="64"/>
        <v>430.2476015277108</v>
      </c>
      <c r="I818">
        <f t="shared" si="65"/>
        <v>8</v>
      </c>
      <c r="J818" s="16" cm="1">
        <f t="array" ref="J818">INDEX(Sm,I818)</f>
        <v>-1.3868231821212227</v>
      </c>
      <c r="K818" s="16">
        <f t="shared" si="66"/>
        <v>428.86077834558955</v>
      </c>
    </row>
    <row r="819" spans="6:11" x14ac:dyDescent="0.4">
      <c r="F819" s="1">
        <v>46266</v>
      </c>
      <c r="H819" s="16">
        <f t="shared" si="64"/>
        <v>430.48948348835154</v>
      </c>
      <c r="I819">
        <f t="shared" si="65"/>
        <v>9</v>
      </c>
      <c r="J819" s="16" cm="1">
        <f t="array" ref="J819">INDEX(Sm,I819)</f>
        <v>-3.1918015790052943</v>
      </c>
      <c r="K819" s="16">
        <f t="shared" si="66"/>
        <v>427.29768190934624</v>
      </c>
    </row>
    <row r="820" spans="6:11" x14ac:dyDescent="0.4">
      <c r="F820" s="1">
        <v>46296</v>
      </c>
      <c r="H820" s="16">
        <f t="shared" si="64"/>
        <v>430.72388706586054</v>
      </c>
      <c r="I820">
        <f t="shared" si="65"/>
        <v>10</v>
      </c>
      <c r="J820" s="16" cm="1">
        <f t="array" ref="J820">INDEX(Sm,I820)</f>
        <v>-3.3171210691938846</v>
      </c>
      <c r="K820" s="16">
        <f t="shared" si="66"/>
        <v>427.40676599666665</v>
      </c>
    </row>
    <row r="821" spans="6:11" x14ac:dyDescent="0.4">
      <c r="F821" s="1">
        <v>46327</v>
      </c>
      <c r="H821" s="16">
        <f t="shared" si="64"/>
        <v>430.96643963210272</v>
      </c>
      <c r="I821">
        <f t="shared" si="65"/>
        <v>11</v>
      </c>
      <c r="J821" s="16" cm="1">
        <f t="array" ref="J821">INDEX(Sm,I821)</f>
        <v>-2.0577916254037292</v>
      </c>
      <c r="K821" s="16">
        <f t="shared" si="66"/>
        <v>428.90864800669897</v>
      </c>
    </row>
    <row r="822" spans="6:11" x14ac:dyDescent="0.4">
      <c r="F822" s="1">
        <v>46357</v>
      </c>
      <c r="H822" s="16">
        <f t="shared" si="64"/>
        <v>431.20149308177099</v>
      </c>
      <c r="I822">
        <f t="shared" si="65"/>
        <v>12</v>
      </c>
      <c r="J822" s="16" cm="1">
        <f t="array" ref="J822">INDEX(Sm,I822)</f>
        <v>-0.88780634062791353</v>
      </c>
      <c r="K822" s="16">
        <f t="shared" si="66"/>
        <v>430.3136867411431</v>
      </c>
    </row>
    <row r="823" spans="6:11" x14ac:dyDescent="0.4">
      <c r="F823" s="1">
        <v>46388</v>
      </c>
      <c r="H823" s="16">
        <f t="shared" si="64"/>
        <v>431.44471811283483</v>
      </c>
      <c r="I823">
        <f t="shared" si="65"/>
        <v>1</v>
      </c>
      <c r="J823" s="16" cm="1">
        <f t="array" ref="J823">INDEX(Sm,I823)</f>
        <v>-3.3662626377861403E-2</v>
      </c>
      <c r="K823" s="16">
        <f t="shared" si="66"/>
        <v>431.41105548645697</v>
      </c>
    </row>
    <row r="824" spans="6:11" x14ac:dyDescent="0.4">
      <c r="F824" s="1">
        <v>46419</v>
      </c>
      <c r="H824" s="16">
        <f t="shared" si="64"/>
        <v>431.68828560247732</v>
      </c>
      <c r="I824">
        <f t="shared" si="65"/>
        <v>2</v>
      </c>
      <c r="J824" s="16" cm="1">
        <f t="array" ref="J824">INDEX(Sm,I824)</f>
        <v>0.68114275406980329</v>
      </c>
      <c r="K824" s="16">
        <f t="shared" si="66"/>
        <v>432.36942835654713</v>
      </c>
    </row>
    <row r="825" spans="6:11" x14ac:dyDescent="0.4">
      <c r="F825" s="1">
        <v>46447</v>
      </c>
      <c r="H825" s="16">
        <f t="shared" si="64"/>
        <v>431.90857679624787</v>
      </c>
      <c r="I825">
        <f t="shared" si="65"/>
        <v>3</v>
      </c>
      <c r="J825" s="16" cm="1">
        <f t="array" ref="J825">INDEX(Sm,I825)</f>
        <v>1.3951035824648568</v>
      </c>
      <c r="K825" s="16">
        <f t="shared" si="66"/>
        <v>433.30368037871273</v>
      </c>
    </row>
    <row r="826" spans="6:11" x14ac:dyDescent="0.4">
      <c r="F826" s="1">
        <v>46478</v>
      </c>
      <c r="H826" s="16">
        <f t="shared" si="64"/>
        <v>432.15279739459601</v>
      </c>
      <c r="I826">
        <f t="shared" si="65"/>
        <v>4</v>
      </c>
      <c r="J826" s="16" cm="1">
        <f t="array" ref="J826">INDEX(Sm,I826)</f>
        <v>2.6339370251743146</v>
      </c>
      <c r="K826" s="16">
        <f t="shared" si="66"/>
        <v>434.78673441977031</v>
      </c>
    </row>
    <row r="827" spans="6:11" x14ac:dyDescent="0.4">
      <c r="F827" s="1">
        <v>46508</v>
      </c>
      <c r="H827" s="16">
        <f t="shared" si="64"/>
        <v>432.38946730500345</v>
      </c>
      <c r="I827">
        <f t="shared" si="65"/>
        <v>5</v>
      </c>
      <c r="J827" s="16" cm="1">
        <f t="array" ref="J827">INDEX(Sm,I827)</f>
        <v>3.0997257789906989</v>
      </c>
      <c r="K827" s="16">
        <f t="shared" si="66"/>
        <v>435.48919308399417</v>
      </c>
    </row>
    <row r="828" spans="6:11" x14ac:dyDescent="0.4">
      <c r="F828" s="1">
        <v>46539</v>
      </c>
      <c r="H828" s="16">
        <f t="shared" si="64"/>
        <v>432.63436499270847</v>
      </c>
      <c r="I828">
        <f t="shared" si="65"/>
        <v>6</v>
      </c>
      <c r="J828" s="16" cm="1">
        <f t="array" ref="J828">INDEX(Sm,I828)</f>
        <v>2.3207404253660839</v>
      </c>
      <c r="K828" s="16">
        <f t="shared" si="66"/>
        <v>434.95510541807454</v>
      </c>
    </row>
    <row r="829" spans="6:11" x14ac:dyDescent="0.4">
      <c r="F829" s="1">
        <v>46569</v>
      </c>
      <c r="H829" s="16">
        <f t="shared" si="64"/>
        <v>432.8716910585697</v>
      </c>
      <c r="I829">
        <f t="shared" si="65"/>
        <v>7</v>
      </c>
      <c r="J829" s="16" cm="1">
        <f t="array" ref="J829">INDEX(Sm,I829)</f>
        <v>0.74435685666414753</v>
      </c>
      <c r="K829" s="16">
        <f t="shared" si="66"/>
        <v>433.61604791523382</v>
      </c>
    </row>
    <row r="830" spans="6:11" x14ac:dyDescent="0.4">
      <c r="F830" s="1">
        <v>46600</v>
      </c>
      <c r="H830" s="16">
        <f t="shared" si="64"/>
        <v>433.11726771282815</v>
      </c>
      <c r="I830">
        <f t="shared" si="65"/>
        <v>8</v>
      </c>
      <c r="J830" s="16" cm="1">
        <f t="array" ref="J830">INDEX(Sm,I830)</f>
        <v>-1.3868231821212227</v>
      </c>
      <c r="K830" s="16">
        <f t="shared" si="66"/>
        <v>431.7304445307069</v>
      </c>
    </row>
    <row r="831" spans="6:11" x14ac:dyDescent="0.4">
      <c r="F831" s="1">
        <v>46631</v>
      </c>
      <c r="H831" s="16">
        <f t="shared" si="64"/>
        <v>433.36319013672829</v>
      </c>
      <c r="I831">
        <f t="shared" si="65"/>
        <v>9</v>
      </c>
      <c r="J831" s="16" cm="1">
        <f t="array" ref="J831">INDEX(Sm,I831)</f>
        <v>-3.1918015790052943</v>
      </c>
      <c r="K831" s="16">
        <f t="shared" si="66"/>
        <v>430.17138855772299</v>
      </c>
    </row>
    <row r="832" spans="6:11" x14ac:dyDescent="0.4">
      <c r="F832" s="1">
        <v>46661</v>
      </c>
      <c r="H832" s="16">
        <f t="shared" si="64"/>
        <v>433.60150925651345</v>
      </c>
      <c r="I832">
        <f t="shared" si="65"/>
        <v>10</v>
      </c>
      <c r="J832" s="16" cm="1">
        <f t="array" ref="J832">INDEX(Sm,I832)</f>
        <v>-3.3171210691938846</v>
      </c>
      <c r="K832" s="16">
        <f t="shared" si="66"/>
        <v>430.28438818731956</v>
      </c>
    </row>
    <row r="833" spans="6:11" x14ac:dyDescent="0.4">
      <c r="F833" s="1">
        <v>46692</v>
      </c>
      <c r="H833" s="16">
        <f t="shared" si="64"/>
        <v>433.84811348799667</v>
      </c>
      <c r="I833">
        <f t="shared" si="65"/>
        <v>11</v>
      </c>
      <c r="J833" s="16" cm="1">
        <f t="array" ref="J833">INDEX(Sm,I833)</f>
        <v>-2.0577916254037292</v>
      </c>
      <c r="K833" s="16">
        <f t="shared" si="66"/>
        <v>431.79032186259292</v>
      </c>
    </row>
    <row r="834" spans="6:11" x14ac:dyDescent="0.4">
      <c r="F834" s="1">
        <v>46722</v>
      </c>
      <c r="H834" s="16">
        <f t="shared" si="64"/>
        <v>434.08709333558568</v>
      </c>
      <c r="I834">
        <f t="shared" si="65"/>
        <v>12</v>
      </c>
      <c r="J834" s="16" cm="1">
        <f t="array" ref="J834">INDEX(Sm,I834)</f>
        <v>-0.88780634062791353</v>
      </c>
      <c r="K834" s="16">
        <f t="shared" si="66"/>
        <v>433.19928699495779</v>
      </c>
    </row>
    <row r="835" spans="6:11" x14ac:dyDescent="0.4">
      <c r="F835" s="1">
        <v>46753</v>
      </c>
      <c r="H835" s="16">
        <f t="shared" si="64"/>
        <v>434.33438126492933</v>
      </c>
      <c r="I835">
        <f t="shared" si="65"/>
        <v>1</v>
      </c>
      <c r="J835" s="16" cm="1">
        <f t="array" ref="J835">INDEX(Sm,I835)</f>
        <v>-3.3662626377861403E-2</v>
      </c>
      <c r="K835" s="16">
        <f t="shared" si="66"/>
        <v>434.30071863855147</v>
      </c>
    </row>
    <row r="836" spans="6:11" x14ac:dyDescent="0.4">
      <c r="F836" s="1">
        <v>46784</v>
      </c>
      <c r="H836" s="16">
        <f t="shared" si="64"/>
        <v>434.58201737337413</v>
      </c>
      <c r="I836">
        <f t="shared" si="65"/>
        <v>2</v>
      </c>
      <c r="J836" s="16" cm="1">
        <f t="array" ref="J836">INDEX(Sm,I836)</f>
        <v>0.68114275406980329</v>
      </c>
      <c r="K836" s="16">
        <f t="shared" si="66"/>
        <v>435.26316012744394</v>
      </c>
    </row>
    <row r="837" spans="6:11" x14ac:dyDescent="0.4">
      <c r="F837" s="1">
        <v>46813</v>
      </c>
      <c r="H837" s="16">
        <f t="shared" si="64"/>
        <v>434.81399260191836</v>
      </c>
      <c r="I837">
        <f t="shared" si="65"/>
        <v>3</v>
      </c>
      <c r="J837" s="16" cm="1">
        <f t="array" ref="J837">INDEX(Sm,I837)</f>
        <v>1.3951035824648568</v>
      </c>
      <c r="K837" s="16">
        <f t="shared" si="66"/>
        <v>436.20909618438321</v>
      </c>
    </row>
    <row r="838" spans="6:11" x14ac:dyDescent="0.4">
      <c r="F838" s="1">
        <v>46844</v>
      </c>
      <c r="H838" s="16">
        <f t="shared" si="64"/>
        <v>435.06230399865831</v>
      </c>
      <c r="I838">
        <f t="shared" si="65"/>
        <v>4</v>
      </c>
      <c r="J838" s="16" cm="1">
        <f t="array" ref="J838">INDEX(Sm,I838)</f>
        <v>2.6339370251743146</v>
      </c>
      <c r="K838" s="16">
        <f t="shared" si="66"/>
        <v>437.69624102383261</v>
      </c>
    </row>
    <row r="839" spans="6:11" x14ac:dyDescent="0.4">
      <c r="F839" s="1">
        <v>46874</v>
      </c>
      <c r="H839" s="16">
        <f t="shared" si="64"/>
        <v>435.30293823023896</v>
      </c>
      <c r="I839">
        <f t="shared" si="65"/>
        <v>5</v>
      </c>
      <c r="J839" s="16" cm="1">
        <f t="array" ref="J839">INDEX(Sm,I839)</f>
        <v>3.0997257789906989</v>
      </c>
      <c r="K839" s="16">
        <f t="shared" si="66"/>
        <v>438.40266400922968</v>
      </c>
    </row>
    <row r="840" spans="6:11" x14ac:dyDescent="0.4">
      <c r="F840" s="1">
        <v>46905</v>
      </c>
      <c r="H840" s="16">
        <f t="shared" si="64"/>
        <v>435.55193805786939</v>
      </c>
      <c r="I840">
        <f t="shared" si="65"/>
        <v>6</v>
      </c>
      <c r="J840" s="16" cm="1">
        <f t="array" ref="J840">INDEX(Sm,I840)</f>
        <v>2.3207404253660839</v>
      </c>
      <c r="K840" s="16">
        <f t="shared" si="66"/>
        <v>437.87267848323546</v>
      </c>
    </row>
    <row r="841" spans="6:11" x14ac:dyDescent="0.4">
      <c r="F841" s="1">
        <v>46935</v>
      </c>
      <c r="H841" s="16">
        <f t="shared" si="64"/>
        <v>435.79323943578527</v>
      </c>
      <c r="I841">
        <f t="shared" si="65"/>
        <v>7</v>
      </c>
      <c r="J841" s="16" cm="1">
        <f t="array" ref="J841">INDEX(Sm,I841)</f>
        <v>0.74435685666414753</v>
      </c>
      <c r="K841" s="16">
        <f t="shared" si="66"/>
        <v>436.53759629244939</v>
      </c>
    </row>
    <row r="842" spans="6:11" x14ac:dyDescent="0.4">
      <c r="F842" s="1">
        <v>46966</v>
      </c>
      <c r="H842" s="16">
        <f t="shared" si="64"/>
        <v>436.04292960294617</v>
      </c>
      <c r="I842">
        <f t="shared" si="65"/>
        <v>8</v>
      </c>
      <c r="J842" s="16" cm="1">
        <f t="array" ref="J842">INDEX(Sm,I842)</f>
        <v>-1.3868231821212227</v>
      </c>
      <c r="K842" s="16">
        <f t="shared" si="66"/>
        <v>434.65610642082493</v>
      </c>
    </row>
    <row r="843" spans="6:11" x14ac:dyDescent="0.4">
      <c r="F843" s="1">
        <v>46997</v>
      </c>
      <c r="H843" s="16">
        <f t="shared" si="64"/>
        <v>436.29297133153671</v>
      </c>
      <c r="I843">
        <f t="shared" si="65"/>
        <v>9</v>
      </c>
      <c r="J843" s="16" cm="1">
        <f t="array" ref="J843">INDEX(Sm,I843)</f>
        <v>-3.1918015790052943</v>
      </c>
      <c r="K843" s="16">
        <f t="shared" si="66"/>
        <v>433.1011697525314</v>
      </c>
    </row>
    <row r="844" spans="6:11" x14ac:dyDescent="0.4">
      <c r="F844" s="1">
        <v>47027</v>
      </c>
      <c r="H844" s="16">
        <f t="shared" si="64"/>
        <v>436.53528239744992</v>
      </c>
      <c r="I844">
        <f t="shared" si="65"/>
        <v>10</v>
      </c>
      <c r="J844" s="16" cm="1">
        <f t="array" ref="J844">INDEX(Sm,I844)</f>
        <v>-3.3171210691938846</v>
      </c>
      <c r="K844" s="16">
        <f t="shared" si="66"/>
        <v>433.21816132825603</v>
      </c>
    </row>
    <row r="845" spans="6:11" x14ac:dyDescent="0.4">
      <c r="F845" s="1">
        <v>47058</v>
      </c>
      <c r="H845" s="16">
        <f t="shared" si="64"/>
        <v>436.78601735418926</v>
      </c>
      <c r="I845">
        <f t="shared" si="65"/>
        <v>11</v>
      </c>
      <c r="J845" s="16" cm="1">
        <f t="array" ref="J845">INDEX(Sm,I845)</f>
        <v>-2.0577916254037292</v>
      </c>
      <c r="K845" s="16">
        <f t="shared" si="66"/>
        <v>434.7282257287855</v>
      </c>
    </row>
    <row r="846" spans="6:11" x14ac:dyDescent="0.4">
      <c r="F846" s="1">
        <v>47088</v>
      </c>
      <c r="H846" s="16">
        <f t="shared" si="64"/>
        <v>437.02900021537664</v>
      </c>
      <c r="I846">
        <f t="shared" si="65"/>
        <v>12</v>
      </c>
      <c r="J846" s="16" cm="1">
        <f t="array" ref="J846">INDEX(Sm,I846)</f>
        <v>-0.88780634062791353</v>
      </c>
      <c r="K846" s="16">
        <f t="shared" si="66"/>
        <v>436.14119387474875</v>
      </c>
    </row>
    <row r="847" spans="6:11" x14ac:dyDescent="0.4">
      <c r="F847" s="1">
        <v>47119</v>
      </c>
      <c r="H847" s="16">
        <f t="shared" si="64"/>
        <v>437.28043032220501</v>
      </c>
      <c r="I847">
        <f t="shared" si="65"/>
        <v>1</v>
      </c>
      <c r="J847" s="16" cm="1">
        <f t="array" ref="J847">INDEX(Sm,I847)</f>
        <v>-3.3662626377861403E-2</v>
      </c>
      <c r="K847" s="16">
        <f t="shared" si="66"/>
        <v>437.24676769582715</v>
      </c>
    </row>
    <row r="848" spans="6:11" x14ac:dyDescent="0.4">
      <c r="F848" s="1">
        <v>47150</v>
      </c>
      <c r="H848" s="16">
        <f t="shared" si="64"/>
        <v>437.53221444028145</v>
      </c>
      <c r="I848">
        <f t="shared" si="65"/>
        <v>2</v>
      </c>
      <c r="J848" s="16" cm="1">
        <f t="array" ref="J848">INDEX(Sm,I848)</f>
        <v>0.68114275406980329</v>
      </c>
      <c r="K848" s="16">
        <f t="shared" si="66"/>
        <v>438.21335719435126</v>
      </c>
    </row>
    <row r="849" spans="6:11" x14ac:dyDescent="0.4">
      <c r="F849" s="1">
        <v>47178</v>
      </c>
      <c r="H849" s="16">
        <f t="shared" si="64"/>
        <v>437.75993704819234</v>
      </c>
      <c r="I849">
        <f t="shared" si="65"/>
        <v>3</v>
      </c>
      <c r="J849" s="16" cm="1">
        <f t="array" ref="J849">INDEX(Sm,I849)</f>
        <v>1.3951035824648568</v>
      </c>
      <c r="K849" s="16">
        <f t="shared" si="66"/>
        <v>439.1550406306572</v>
      </c>
    </row>
    <row r="850" spans="6:11" x14ac:dyDescent="0.4">
      <c r="F850" s="1">
        <v>47209</v>
      </c>
      <c r="H850" s="16">
        <f t="shared" si="64"/>
        <v>438.01239630727264</v>
      </c>
      <c r="I850">
        <f t="shared" si="65"/>
        <v>4</v>
      </c>
      <c r="J850" s="16" cm="1">
        <f t="array" ref="J850">INDEX(Sm,I850)</f>
        <v>2.6339370251743146</v>
      </c>
      <c r="K850" s="16">
        <f t="shared" si="66"/>
        <v>440.64633333244694</v>
      </c>
    </row>
    <row r="851" spans="6:11" x14ac:dyDescent="0.4">
      <c r="F851" s="1">
        <v>47239</v>
      </c>
      <c r="H851" s="16">
        <f t="shared" si="64"/>
        <v>438.25705015970095</v>
      </c>
      <c r="I851">
        <f t="shared" si="65"/>
        <v>5</v>
      </c>
      <c r="J851" s="16" cm="1">
        <f t="array" ref="J851">INDEX(Sm,I851)</f>
        <v>3.0997257789906989</v>
      </c>
      <c r="K851" s="16">
        <f t="shared" si="66"/>
        <v>441.35677593869167</v>
      </c>
    </row>
    <row r="852" spans="6:11" x14ac:dyDescent="0.4">
      <c r="F852" s="1">
        <v>47270</v>
      </c>
      <c r="H852" s="16">
        <f t="shared" si="64"/>
        <v>438.51020934941198</v>
      </c>
      <c r="I852">
        <f t="shared" si="65"/>
        <v>6</v>
      </c>
      <c r="J852" s="16" cm="1">
        <f t="array" ref="J852">INDEX(Sm,I852)</f>
        <v>2.3207404253660839</v>
      </c>
      <c r="K852" s="16">
        <f t="shared" si="66"/>
        <v>440.83094977477805</v>
      </c>
    </row>
    <row r="853" spans="6:11" x14ac:dyDescent="0.4">
      <c r="F853" s="1">
        <v>47300</v>
      </c>
      <c r="H853" s="16">
        <f t="shared" si="64"/>
        <v>438.75554149237263</v>
      </c>
      <c r="I853">
        <f t="shared" si="65"/>
        <v>7</v>
      </c>
      <c r="J853" s="16" cm="1">
        <f t="array" ref="J853">INDEX(Sm,I853)</f>
        <v>0.74435685666414753</v>
      </c>
      <c r="K853" s="16">
        <f t="shared" si="66"/>
        <v>439.49989834903676</v>
      </c>
    </row>
    <row r="854" spans="6:11" x14ac:dyDescent="0.4">
      <c r="F854" s="1">
        <v>47331</v>
      </c>
      <c r="H854" s="16">
        <f t="shared" si="64"/>
        <v>439.00940255323678</v>
      </c>
      <c r="I854">
        <f t="shared" si="65"/>
        <v>8</v>
      </c>
      <c r="J854" s="16" cm="1">
        <f t="array" ref="J854">INDEX(Sm,I854)</f>
        <v>-1.3868231821212227</v>
      </c>
      <c r="K854" s="16">
        <f t="shared" si="66"/>
        <v>437.62257937111553</v>
      </c>
    </row>
    <row r="855" spans="6:11" x14ac:dyDescent="0.4">
      <c r="F855" s="1">
        <v>47362</v>
      </c>
      <c r="H855" s="16">
        <f t="shared" si="64"/>
        <v>439.26362104811045</v>
      </c>
      <c r="I855">
        <f t="shared" si="65"/>
        <v>9</v>
      </c>
      <c r="J855" s="16" cm="1">
        <f t="array" ref="J855">INDEX(Sm,I855)</f>
        <v>-3.1918015790052943</v>
      </c>
      <c r="K855" s="16">
        <f t="shared" si="66"/>
        <v>436.07181946910515</v>
      </c>
    </row>
    <row r="856" spans="6:11" x14ac:dyDescent="0.4">
      <c r="F856" s="1">
        <v>47392</v>
      </c>
      <c r="H856" s="16">
        <f t="shared" si="64"/>
        <v>439.50997974517622</v>
      </c>
      <c r="I856">
        <f t="shared" si="65"/>
        <v>10</v>
      </c>
      <c r="J856" s="16" cm="1">
        <f t="array" ref="J856">INDEX(Sm,I856)</f>
        <v>-3.3171210691938846</v>
      </c>
      <c r="K856" s="16">
        <f t="shared" si="66"/>
        <v>436.19285867598234</v>
      </c>
    </row>
    <row r="857" spans="6:11" x14ac:dyDescent="0.4">
      <c r="F857" s="1">
        <v>47423</v>
      </c>
      <c r="H857" s="16">
        <f t="shared" si="64"/>
        <v>439.76490304807351</v>
      </c>
      <c r="I857">
        <f t="shared" si="65"/>
        <v>11</v>
      </c>
      <c r="J857" s="16" cm="1">
        <f t="array" ref="J857">INDEX(Sm,I857)</f>
        <v>-2.0577916254037292</v>
      </c>
      <c r="K857" s="16">
        <f t="shared" si="66"/>
        <v>437.70711142266975</v>
      </c>
    </row>
    <row r="858" spans="6:11" x14ac:dyDescent="0.4">
      <c r="F858" s="1">
        <v>47453</v>
      </c>
      <c r="H858" s="16">
        <f t="shared" si="64"/>
        <v>440.01194476226783</v>
      </c>
      <c r="I858">
        <f t="shared" si="65"/>
        <v>12</v>
      </c>
      <c r="J858" s="16" cm="1">
        <f t="array" ref="J858">INDEX(Sm,I858)</f>
        <v>-0.88780634062791353</v>
      </c>
      <c r="K858" s="16">
        <f t="shared" si="66"/>
        <v>439.12413842163994</v>
      </c>
    </row>
    <row r="859" spans="6:11" x14ac:dyDescent="0.4">
      <c r="F859" s="1">
        <v>47484</v>
      </c>
      <c r="H859" s="16">
        <f t="shared" si="64"/>
        <v>440.26757482723349</v>
      </c>
      <c r="I859">
        <f t="shared" si="65"/>
        <v>1</v>
      </c>
      <c r="J859" s="16" cm="1">
        <f t="array" ref="J859">INDEX(Sm,I859)</f>
        <v>-3.3662626377861403E-2</v>
      </c>
      <c r="K859" s="16">
        <f t="shared" si="66"/>
        <v>440.23391220085563</v>
      </c>
    </row>
    <row r="860" spans="6:11" x14ac:dyDescent="0.4">
      <c r="F860" s="1">
        <v>47515</v>
      </c>
      <c r="H860" s="16">
        <f t="shared" si="64"/>
        <v>440.5235648169496</v>
      </c>
      <c r="I860">
        <f t="shared" si="65"/>
        <v>2</v>
      </c>
      <c r="J860" s="16" cm="1">
        <f t="array" ref="J860">INDEX(Sm,I860)</f>
        <v>0.68114275406980329</v>
      </c>
      <c r="K860" s="16">
        <f t="shared" si="66"/>
        <v>441.20470757101941</v>
      </c>
    </row>
    <row r="861" spans="6:11" x14ac:dyDescent="0.4">
      <c r="F861" s="1">
        <v>47543</v>
      </c>
      <c r="H861" s="16">
        <f t="shared" si="64"/>
        <v>440.75509136637015</v>
      </c>
      <c r="I861">
        <f t="shared" si="65"/>
        <v>3</v>
      </c>
      <c r="J861" s="16" cm="1">
        <f t="array" ref="J861">INDEX(Sm,I861)</f>
        <v>1.3951035824648568</v>
      </c>
      <c r="K861" s="16">
        <f t="shared" si="66"/>
        <v>442.15019494883501</v>
      </c>
    </row>
    <row r="862" spans="6:11" x14ac:dyDescent="0.4">
      <c r="F862" s="1">
        <v>47574</v>
      </c>
      <c r="H862" s="16">
        <f t="shared" si="64"/>
        <v>441.01176777483244</v>
      </c>
      <c r="I862">
        <f t="shared" si="65"/>
        <v>4</v>
      </c>
      <c r="J862" s="16" cm="1">
        <f t="array" ref="J862">INDEX(Sm,I862)</f>
        <v>2.6339370251743146</v>
      </c>
      <c r="K862" s="16">
        <f t="shared" si="66"/>
        <v>443.64570480000674</v>
      </c>
    </row>
    <row r="863" spans="6:11" x14ac:dyDescent="0.4">
      <c r="F863" s="1">
        <v>47604</v>
      </c>
      <c r="H863" s="16">
        <f t="shared" si="64"/>
        <v>441.26050839296801</v>
      </c>
      <c r="I863">
        <f t="shared" si="65"/>
        <v>5</v>
      </c>
      <c r="J863" s="16" cm="1">
        <f t="array" ref="J863">INDEX(Sm,I863)</f>
        <v>3.0997257789906989</v>
      </c>
      <c r="K863" s="16">
        <f t="shared" si="66"/>
        <v>444.36023417195872</v>
      </c>
    </row>
    <row r="864" spans="6:11" x14ac:dyDescent="0.4">
      <c r="F864" s="1">
        <v>47635</v>
      </c>
      <c r="H864" s="16">
        <f t="shared" si="64"/>
        <v>441.51789642389599</v>
      </c>
      <c r="I864">
        <f t="shared" si="65"/>
        <v>6</v>
      </c>
      <c r="J864" s="16" cm="1">
        <f t="array" ref="J864">INDEX(Sm,I864)</f>
        <v>2.3207404253660839</v>
      </c>
      <c r="K864" s="16">
        <f t="shared" si="66"/>
        <v>443.83863684926206</v>
      </c>
    </row>
    <row r="865" spans="6:11" x14ac:dyDescent="0.4">
      <c r="F865" s="1">
        <v>47665</v>
      </c>
      <c r="H865" s="16">
        <f t="shared" si="64"/>
        <v>441.76732666291673</v>
      </c>
      <c r="I865">
        <f t="shared" si="65"/>
        <v>7</v>
      </c>
      <c r="J865" s="16" cm="1">
        <f t="array" ref="J865">INDEX(Sm,I865)</f>
        <v>0.74435685666414753</v>
      </c>
      <c r="K865" s="16">
        <f t="shared" si="66"/>
        <v>442.51168351958086</v>
      </c>
    </row>
    <row r="866" spans="6:11" x14ac:dyDescent="0.4">
      <c r="F866" s="1">
        <v>47696</v>
      </c>
      <c r="H866" s="16">
        <f t="shared" si="64"/>
        <v>442.02542828924811</v>
      </c>
      <c r="I866">
        <f t="shared" si="65"/>
        <v>8</v>
      </c>
      <c r="J866" s="16" cm="1">
        <f t="array" ref="J866">INDEX(Sm,I866)</f>
        <v>-1.3868231821212227</v>
      </c>
      <c r="K866" s="16">
        <f t="shared" si="66"/>
        <v>440.63860510712686</v>
      </c>
    </row>
    <row r="867" spans="6:11" x14ac:dyDescent="0.4">
      <c r="F867" s="1">
        <v>47727</v>
      </c>
      <c r="H867" s="16">
        <f t="shared" si="64"/>
        <v>442.28389332026529</v>
      </c>
      <c r="I867">
        <f t="shared" si="65"/>
        <v>9</v>
      </c>
      <c r="J867" s="16" cm="1">
        <f t="array" ref="J867">INDEX(Sm,I867)</f>
        <v>-3.1918015790052943</v>
      </c>
      <c r="K867" s="16">
        <f t="shared" si="66"/>
        <v>439.09209174125999</v>
      </c>
    </row>
    <row r="868" spans="6:11" x14ac:dyDescent="0.4">
      <c r="F868" s="1">
        <v>47757</v>
      </c>
      <c r="H868" s="16">
        <f t="shared" si="64"/>
        <v>442.53436726123556</v>
      </c>
      <c r="I868">
        <f t="shared" si="65"/>
        <v>10</v>
      </c>
      <c r="J868" s="16" cm="1">
        <f t="array" ref="J868">INDEX(Sm,I868)</f>
        <v>-3.3171210691938846</v>
      </c>
      <c r="K868" s="16">
        <f t="shared" si="66"/>
        <v>439.21724619204167</v>
      </c>
    </row>
    <row r="869" spans="6:11" x14ac:dyDescent="0.4">
      <c r="F869" s="1">
        <v>47788</v>
      </c>
      <c r="H869" s="16">
        <f t="shared" si="64"/>
        <v>442.79354887358477</v>
      </c>
      <c r="I869">
        <f t="shared" si="65"/>
        <v>11</v>
      </c>
      <c r="J869" s="16" cm="1">
        <f t="array" ref="J869">INDEX(Sm,I869)</f>
        <v>-2.0577916254037292</v>
      </c>
      <c r="K869" s="16">
        <f t="shared" si="66"/>
        <v>440.73575724818102</v>
      </c>
    </row>
    <row r="870" spans="6:11" x14ac:dyDescent="0.4">
      <c r="F870" s="1">
        <v>47818</v>
      </c>
      <c r="H870" s="16">
        <f t="shared" si="64"/>
        <v>443.04471724099085</v>
      </c>
      <c r="I870">
        <f t="shared" si="65"/>
        <v>12</v>
      </c>
      <c r="J870" s="16" cm="1">
        <f t="array" ref="J870">INDEX(Sm,I870)</f>
        <v>-0.88780634062791353</v>
      </c>
      <c r="K870" s="16">
        <f t="shared" si="66"/>
        <v>442.15691090036296</v>
      </c>
    </row>
    <row r="871" spans="6:11" x14ac:dyDescent="0.4">
      <c r="F871" s="1">
        <v>47849</v>
      </c>
      <c r="H871" s="16">
        <f t="shared" ref="H871:H934" si="67">EXP(_A*F871+_B)+_C</f>
        <v>443.30461742135799</v>
      </c>
      <c r="I871">
        <f t="shared" ref="I871:I934" si="68">MONTH(F871)</f>
        <v>1</v>
      </c>
      <c r="J871" s="16" cm="1">
        <f t="array" ref="J871">INDEX(Sm,I871)</f>
        <v>-3.3662626377861403E-2</v>
      </c>
      <c r="K871" s="16">
        <f t="shared" ref="K871:K934" si="69">H871+J871</f>
        <v>443.27095479498013</v>
      </c>
    </row>
    <row r="872" spans="6:11" x14ac:dyDescent="0.4">
      <c r="F872" s="1">
        <v>47880</v>
      </c>
      <c r="H872" s="16">
        <f t="shared" si="67"/>
        <v>443.56488353875818</v>
      </c>
      <c r="I872">
        <f t="shared" si="68"/>
        <v>2</v>
      </c>
      <c r="J872" s="16" cm="1">
        <f t="array" ref="J872">INDEX(Sm,I872)</f>
        <v>0.68114275406980329</v>
      </c>
      <c r="K872" s="16">
        <f t="shared" si="69"/>
        <v>444.24602629282799</v>
      </c>
    </row>
    <row r="873" spans="6:11" x14ac:dyDescent="0.4">
      <c r="F873" s="1">
        <v>47908</v>
      </c>
      <c r="H873" s="16">
        <f t="shared" si="67"/>
        <v>443.80027757178112</v>
      </c>
      <c r="I873">
        <f t="shared" si="68"/>
        <v>3</v>
      </c>
      <c r="J873" s="16" cm="1">
        <f t="array" ref="J873">INDEX(Sm,I873)</f>
        <v>1.3951035824648568</v>
      </c>
      <c r="K873" s="16">
        <f t="shared" si="69"/>
        <v>445.19538115424598</v>
      </c>
    </row>
    <row r="874" spans="6:11" x14ac:dyDescent="0.4">
      <c r="F874" s="1">
        <v>47939</v>
      </c>
      <c r="H874" s="16">
        <f t="shared" si="67"/>
        <v>444.06124157405634</v>
      </c>
      <c r="I874">
        <f t="shared" si="68"/>
        <v>4</v>
      </c>
      <c r="J874" s="16" cm="1">
        <f t="array" ref="J874">INDEX(Sm,I874)</f>
        <v>2.6339370251743146</v>
      </c>
      <c r="K874" s="16">
        <f t="shared" si="69"/>
        <v>446.69517859923064</v>
      </c>
    </row>
    <row r="875" spans="6:11" x14ac:dyDescent="0.4">
      <c r="F875" s="1">
        <v>47969</v>
      </c>
      <c r="H875" s="16">
        <f t="shared" si="67"/>
        <v>444.31413722436531</v>
      </c>
      <c r="I875">
        <f t="shared" si="68"/>
        <v>5</v>
      </c>
      <c r="J875" s="16" cm="1">
        <f t="array" ref="J875">INDEX(Sm,I875)</f>
        <v>3.0997257789906989</v>
      </c>
      <c r="K875" s="16">
        <f t="shared" si="69"/>
        <v>447.41386300335603</v>
      </c>
    </row>
    <row r="876" spans="6:11" x14ac:dyDescent="0.4">
      <c r="F876" s="1">
        <v>48000</v>
      </c>
      <c r="H876" s="16">
        <f t="shared" si="67"/>
        <v>444.57582473624518</v>
      </c>
      <c r="I876">
        <f t="shared" si="68"/>
        <v>6</v>
      </c>
      <c r="J876" s="16" cm="1">
        <f t="array" ref="J876">INDEX(Sm,I876)</f>
        <v>2.3207404253660839</v>
      </c>
      <c r="K876" s="16">
        <f t="shared" si="69"/>
        <v>446.89656516161125</v>
      </c>
    </row>
    <row r="877" spans="6:11" x14ac:dyDescent="0.4">
      <c r="F877" s="1">
        <v>48030</v>
      </c>
      <c r="H877" s="16">
        <f t="shared" si="67"/>
        <v>444.8294215270576</v>
      </c>
      <c r="I877">
        <f t="shared" si="68"/>
        <v>7</v>
      </c>
      <c r="J877" s="16" cm="1">
        <f t="array" ref="J877">INDEX(Sm,I877)</f>
        <v>0.74435685666414753</v>
      </c>
      <c r="K877" s="16">
        <f t="shared" si="69"/>
        <v>445.57377838372173</v>
      </c>
    </row>
    <row r="878" spans="6:11" x14ac:dyDescent="0.4">
      <c r="F878" s="1">
        <v>48061</v>
      </c>
      <c r="H878" s="16">
        <f t="shared" si="67"/>
        <v>445.0918345544361</v>
      </c>
      <c r="I878">
        <f t="shared" si="68"/>
        <v>8</v>
      </c>
      <c r="J878" s="16" cm="1">
        <f t="array" ref="J878">INDEX(Sm,I878)</f>
        <v>-1.3868231821212227</v>
      </c>
      <c r="K878" s="16">
        <f t="shared" si="69"/>
        <v>443.70501137231486</v>
      </c>
    </row>
    <row r="879" spans="6:11" x14ac:dyDescent="0.4">
      <c r="F879" s="1">
        <v>48092</v>
      </c>
      <c r="H879" s="16">
        <f t="shared" si="67"/>
        <v>445.35461705691262</v>
      </c>
      <c r="I879">
        <f t="shared" si="68"/>
        <v>9</v>
      </c>
      <c r="J879" s="16" cm="1">
        <f t="array" ref="J879">INDEX(Sm,I879)</f>
        <v>-3.1918015790052943</v>
      </c>
      <c r="K879" s="16">
        <f t="shared" si="69"/>
        <v>442.16281547790732</v>
      </c>
    </row>
    <row r="880" spans="6:11" x14ac:dyDescent="0.4">
      <c r="F880" s="1">
        <v>48122</v>
      </c>
      <c r="H880" s="16">
        <f t="shared" si="67"/>
        <v>445.60927498396126</v>
      </c>
      <c r="I880">
        <f t="shared" si="68"/>
        <v>10</v>
      </c>
      <c r="J880" s="16" cm="1">
        <f t="array" ref="J880">INDEX(Sm,I880)</f>
        <v>-3.3171210691938846</v>
      </c>
      <c r="K880" s="16">
        <f t="shared" si="69"/>
        <v>442.29215391476737</v>
      </c>
    </row>
    <row r="881" spans="6:11" x14ac:dyDescent="0.4">
      <c r="F881" s="1">
        <v>48153</v>
      </c>
      <c r="H881" s="16">
        <f t="shared" si="67"/>
        <v>445.8727860377428</v>
      </c>
      <c r="I881">
        <f t="shared" si="68"/>
        <v>11</v>
      </c>
      <c r="J881" s="16" cm="1">
        <f t="array" ref="J881">INDEX(Sm,I881)</f>
        <v>-2.0577916254037292</v>
      </c>
      <c r="K881" s="16">
        <f t="shared" si="69"/>
        <v>443.81499441233905</v>
      </c>
    </row>
    <row r="882" spans="6:11" x14ac:dyDescent="0.4">
      <c r="F882" s="1">
        <v>48183</v>
      </c>
      <c r="H882" s="16">
        <f t="shared" si="67"/>
        <v>446.12814999111879</v>
      </c>
      <c r="I882">
        <f t="shared" si="68"/>
        <v>12</v>
      </c>
      <c r="J882" s="16" cm="1">
        <f t="array" ref="J882">INDEX(Sm,I882)</f>
        <v>-0.88780634062791353</v>
      </c>
      <c r="K882" s="16">
        <f t="shared" si="69"/>
        <v>445.2403436504909</v>
      </c>
    </row>
    <row r="883" spans="6:11" x14ac:dyDescent="0.4">
      <c r="F883" s="1">
        <v>48214</v>
      </c>
      <c r="H883" s="16">
        <f t="shared" si="67"/>
        <v>446.39239161607748</v>
      </c>
      <c r="I883">
        <f t="shared" si="68"/>
        <v>1</v>
      </c>
      <c r="J883" s="16" cm="1">
        <f t="array" ref="J883">INDEX(Sm,I883)</f>
        <v>-3.3662626377861403E-2</v>
      </c>
      <c r="K883" s="16">
        <f t="shared" si="69"/>
        <v>446.35872898969961</v>
      </c>
    </row>
    <row r="884" spans="6:11" x14ac:dyDescent="0.4">
      <c r="F884" s="1">
        <v>48245</v>
      </c>
      <c r="H884" s="16">
        <f t="shared" si="67"/>
        <v>446.6570052907831</v>
      </c>
      <c r="I884">
        <f t="shared" si="68"/>
        <v>2</v>
      </c>
      <c r="J884" s="16" cm="1">
        <f t="array" ref="J884">INDEX(Sm,I884)</f>
        <v>0.68114275406980329</v>
      </c>
      <c r="K884" s="16">
        <f t="shared" si="69"/>
        <v>447.33814804485291</v>
      </c>
    </row>
    <row r="885" spans="6:11" x14ac:dyDescent="0.4">
      <c r="F885" s="1">
        <v>48274</v>
      </c>
      <c r="H885" s="16">
        <f t="shared" si="67"/>
        <v>446.90488439876606</v>
      </c>
      <c r="I885">
        <f t="shared" si="68"/>
        <v>3</v>
      </c>
      <c r="J885" s="16" cm="1">
        <f t="array" ref="J885">INDEX(Sm,I885)</f>
        <v>1.3951035824648568</v>
      </c>
      <c r="K885" s="16">
        <f t="shared" si="69"/>
        <v>448.29998798123091</v>
      </c>
    </row>
    <row r="886" spans="6:11" x14ac:dyDescent="0.4">
      <c r="F886" s="1">
        <v>48305</v>
      </c>
      <c r="H886" s="16">
        <f t="shared" si="67"/>
        <v>447.1702196585361</v>
      </c>
      <c r="I886">
        <f t="shared" si="68"/>
        <v>4</v>
      </c>
      <c r="J886" s="16" cm="1">
        <f t="array" ref="J886">INDEX(Sm,I886)</f>
        <v>2.6339370251743146</v>
      </c>
      <c r="K886" s="16">
        <f t="shared" si="69"/>
        <v>449.8041566837104</v>
      </c>
    </row>
    <row r="887" spans="6:11" x14ac:dyDescent="0.4">
      <c r="F887" s="1">
        <v>48335</v>
      </c>
      <c r="H887" s="16">
        <f t="shared" si="67"/>
        <v>447.42735141802928</v>
      </c>
      <c r="I887">
        <f t="shared" si="68"/>
        <v>5</v>
      </c>
      <c r="J887" s="16" cm="1">
        <f t="array" ref="J887">INDEX(Sm,I887)</f>
        <v>3.0997257789906989</v>
      </c>
      <c r="K887" s="16">
        <f t="shared" si="69"/>
        <v>450.52707719701999</v>
      </c>
    </row>
    <row r="888" spans="6:11" x14ac:dyDescent="0.4">
      <c r="F888" s="1">
        <v>48366</v>
      </c>
      <c r="H888" s="16">
        <f t="shared" si="67"/>
        <v>447.69342230649596</v>
      </c>
      <c r="I888">
        <f t="shared" si="68"/>
        <v>6</v>
      </c>
      <c r="J888" s="16" cm="1">
        <f t="array" ref="J888">INDEX(Sm,I888)</f>
        <v>2.3207404253660839</v>
      </c>
      <c r="K888" s="16">
        <f t="shared" si="69"/>
        <v>450.01416273186203</v>
      </c>
    </row>
    <row r="889" spans="6:11" x14ac:dyDescent="0.4">
      <c r="F889" s="1">
        <v>48396</v>
      </c>
      <c r="H889" s="16">
        <f t="shared" si="67"/>
        <v>447.95126695089277</v>
      </c>
      <c r="I889">
        <f t="shared" si="68"/>
        <v>7</v>
      </c>
      <c r="J889" s="16" cm="1">
        <f t="array" ref="J889">INDEX(Sm,I889)</f>
        <v>0.74435685666414753</v>
      </c>
      <c r="K889" s="16">
        <f t="shared" si="69"/>
        <v>448.6956238075569</v>
      </c>
    </row>
    <row r="890" spans="6:11" x14ac:dyDescent="0.4">
      <c r="F890" s="1">
        <v>48427</v>
      </c>
      <c r="H890" s="16">
        <f t="shared" si="67"/>
        <v>448.21807550754954</v>
      </c>
      <c r="I890">
        <f t="shared" si="68"/>
        <v>8</v>
      </c>
      <c r="J890" s="16" cm="1">
        <f t="array" ref="J890">INDEX(Sm,I890)</f>
        <v>-1.3868231821212227</v>
      </c>
      <c r="K890" s="16">
        <f t="shared" si="69"/>
        <v>446.8312523254283</v>
      </c>
    </row>
    <row r="891" spans="6:11" x14ac:dyDescent="0.4">
      <c r="F891" s="1">
        <v>48458</v>
      </c>
      <c r="H891" s="16">
        <f t="shared" si="67"/>
        <v>448.48525972816901</v>
      </c>
      <c r="I891">
        <f t="shared" si="68"/>
        <v>9</v>
      </c>
      <c r="J891" s="16" cm="1">
        <f t="array" ref="J891">INDEX(Sm,I891)</f>
        <v>-3.1918015790052943</v>
      </c>
      <c r="K891" s="16">
        <f t="shared" si="69"/>
        <v>445.29345814916371</v>
      </c>
    </row>
    <row r="892" spans="6:11" x14ac:dyDescent="0.4">
      <c r="F892" s="1">
        <v>48488</v>
      </c>
      <c r="H892" s="16">
        <f t="shared" si="67"/>
        <v>448.74418328328301</v>
      </c>
      <c r="I892">
        <f t="shared" si="68"/>
        <v>10</v>
      </c>
      <c r="J892" s="16" cm="1">
        <f t="array" ref="J892">INDEX(Sm,I892)</f>
        <v>-3.3171210691938846</v>
      </c>
      <c r="K892" s="16">
        <f t="shared" si="69"/>
        <v>445.42706221408912</v>
      </c>
    </row>
    <row r="893" spans="6:11" x14ac:dyDescent="0.4">
      <c r="F893" s="1">
        <v>48519</v>
      </c>
      <c r="H893" s="16">
        <f t="shared" si="67"/>
        <v>449.01210825875023</v>
      </c>
      <c r="I893">
        <f t="shared" si="68"/>
        <v>11</v>
      </c>
      <c r="J893" s="16" cm="1">
        <f t="array" ref="J893">INDEX(Sm,I893)</f>
        <v>-2.0577916254037292</v>
      </c>
      <c r="K893" s="16">
        <f t="shared" si="69"/>
        <v>446.95431663334648</v>
      </c>
    </row>
    <row r="894" spans="6:11" x14ac:dyDescent="0.4">
      <c r="F894" s="1">
        <v>48549</v>
      </c>
      <c r="H894" s="16">
        <f t="shared" si="67"/>
        <v>449.27174966643139</v>
      </c>
      <c r="I894">
        <f t="shared" si="68"/>
        <v>12</v>
      </c>
      <c r="J894" s="16" cm="1">
        <f t="array" ref="J894">INDEX(Sm,I894)</f>
        <v>-0.88780634062791353</v>
      </c>
      <c r="K894" s="16">
        <f t="shared" si="69"/>
        <v>448.3839433258035</v>
      </c>
    </row>
    <row r="895" spans="6:11" x14ac:dyDescent="0.4">
      <c r="F895" s="1">
        <v>48580</v>
      </c>
      <c r="H895" s="16">
        <f t="shared" si="67"/>
        <v>449.54041745045208</v>
      </c>
      <c r="I895">
        <f t="shared" si="68"/>
        <v>1</v>
      </c>
      <c r="J895" s="16" cm="1">
        <f t="array" ref="J895">INDEX(Sm,I895)</f>
        <v>-3.3662626377861403E-2</v>
      </c>
      <c r="K895" s="16">
        <f t="shared" si="69"/>
        <v>449.50675482407422</v>
      </c>
    </row>
    <row r="896" spans="6:11" x14ac:dyDescent="0.4">
      <c r="F896" s="1">
        <v>48611</v>
      </c>
      <c r="H896" s="16">
        <f t="shared" si="67"/>
        <v>449.8094635162102</v>
      </c>
      <c r="I896">
        <f t="shared" si="68"/>
        <v>2</v>
      </c>
      <c r="J896" s="16" cm="1">
        <f t="array" ref="J896">INDEX(Sm,I896)</f>
        <v>0.68114275406980329</v>
      </c>
      <c r="K896" s="16">
        <f t="shared" si="69"/>
        <v>450.49060627028001</v>
      </c>
    </row>
    <row r="897" spans="6:11" x14ac:dyDescent="0.4">
      <c r="F897" s="1">
        <v>48639</v>
      </c>
      <c r="H897" s="16">
        <f t="shared" si="67"/>
        <v>450.0527984501631</v>
      </c>
      <c r="I897">
        <f t="shared" si="68"/>
        <v>3</v>
      </c>
      <c r="J897" s="16" cm="1">
        <f t="array" ref="J897">INDEX(Sm,I897)</f>
        <v>1.3951035824648568</v>
      </c>
      <c r="K897" s="16">
        <f t="shared" si="69"/>
        <v>451.44790203262795</v>
      </c>
    </row>
    <row r="898" spans="6:11" x14ac:dyDescent="0.4">
      <c r="F898" s="1">
        <v>48670</v>
      </c>
      <c r="H898" s="16">
        <f t="shared" si="67"/>
        <v>450.32256594359626</v>
      </c>
      <c r="I898">
        <f t="shared" si="68"/>
        <v>4</v>
      </c>
      <c r="J898" s="16" cm="1">
        <f t="array" ref="J898">INDEX(Sm,I898)</f>
        <v>2.6339370251743146</v>
      </c>
      <c r="K898" s="16">
        <f t="shared" si="69"/>
        <v>452.95650296877056</v>
      </c>
    </row>
    <row r="899" spans="6:11" x14ac:dyDescent="0.4">
      <c r="F899" s="1">
        <v>48700</v>
      </c>
      <c r="H899" s="16">
        <f t="shared" si="67"/>
        <v>450.58399290321233</v>
      </c>
      <c r="I899">
        <f t="shared" si="68"/>
        <v>5</v>
      </c>
      <c r="J899" s="16" cm="1">
        <f t="array" ref="J899">INDEX(Sm,I899)</f>
        <v>3.0997257789906989</v>
      </c>
      <c r="K899" s="16">
        <f t="shared" si="69"/>
        <v>453.68371868220305</v>
      </c>
    </row>
    <row r="900" spans="6:11" x14ac:dyDescent="0.4">
      <c r="F900" s="1">
        <v>48731</v>
      </c>
      <c r="H900" s="16">
        <f t="shared" si="67"/>
        <v>450.8545083134876</v>
      </c>
      <c r="I900">
        <f t="shared" si="68"/>
        <v>6</v>
      </c>
      <c r="J900" s="16" cm="1">
        <f t="array" ref="J900">INDEX(Sm,I900)</f>
        <v>2.3207404253660839</v>
      </c>
      <c r="K900" s="16">
        <f t="shared" si="69"/>
        <v>453.17524873885367</v>
      </c>
    </row>
    <row r="901" spans="6:11" x14ac:dyDescent="0.4">
      <c r="F901" s="1">
        <v>48761</v>
      </c>
      <c r="H901" s="16">
        <f t="shared" si="67"/>
        <v>451.11666006623415</v>
      </c>
      <c r="I901">
        <f t="shared" si="68"/>
        <v>7</v>
      </c>
      <c r="J901" s="16" cm="1">
        <f t="array" ref="J901">INDEX(Sm,I901)</f>
        <v>0.74435685666414753</v>
      </c>
      <c r="K901" s="16">
        <f t="shared" si="69"/>
        <v>451.86101692289827</v>
      </c>
    </row>
    <row r="902" spans="6:11" x14ac:dyDescent="0.4">
      <c r="F902" s="1">
        <v>48792</v>
      </c>
      <c r="H902" s="16">
        <f t="shared" si="67"/>
        <v>451.38792546691343</v>
      </c>
      <c r="I902">
        <f t="shared" si="68"/>
        <v>8</v>
      </c>
      <c r="J902" s="16" cm="1">
        <f t="array" ref="J902">INDEX(Sm,I902)</f>
        <v>-1.3868231821212227</v>
      </c>
      <c r="K902" s="16">
        <f t="shared" si="69"/>
        <v>450.00110228479218</v>
      </c>
    </row>
    <row r="903" spans="6:11" x14ac:dyDescent="0.4">
      <c r="F903" s="1">
        <v>48823</v>
      </c>
      <c r="H903" s="16">
        <f t="shared" si="67"/>
        <v>451.65957280675025</v>
      </c>
      <c r="I903">
        <f t="shared" si="68"/>
        <v>9</v>
      </c>
      <c r="J903" s="16" cm="1">
        <f t="array" ref="J903">INDEX(Sm,I903)</f>
        <v>-3.1918015790052943</v>
      </c>
      <c r="K903" s="16">
        <f t="shared" si="69"/>
        <v>448.46777122774495</v>
      </c>
    </row>
    <row r="904" spans="6:11" x14ac:dyDescent="0.4">
      <c r="F904" s="1">
        <v>48853</v>
      </c>
      <c r="H904" s="16">
        <f t="shared" si="67"/>
        <v>451.92282149263724</v>
      </c>
      <c r="I904">
        <f t="shared" si="68"/>
        <v>10</v>
      </c>
      <c r="J904" s="16" cm="1">
        <f t="array" ref="J904">INDEX(Sm,I904)</f>
        <v>-3.3171210691938846</v>
      </c>
      <c r="K904" s="16">
        <f t="shared" si="69"/>
        <v>448.60570042344335</v>
      </c>
    </row>
    <row r="905" spans="6:11" x14ac:dyDescent="0.4">
      <c r="F905" s="1">
        <v>48884</v>
      </c>
      <c r="H905" s="16">
        <f t="shared" si="67"/>
        <v>452.19522196109597</v>
      </c>
      <c r="I905">
        <f t="shared" si="68"/>
        <v>11</v>
      </c>
      <c r="J905" s="16" cm="1">
        <f t="array" ref="J905">INDEX(Sm,I905)</f>
        <v>-2.0577916254037292</v>
      </c>
      <c r="K905" s="16">
        <f t="shared" si="69"/>
        <v>450.13743033569222</v>
      </c>
    </row>
    <row r="906" spans="6:11" x14ac:dyDescent="0.4">
      <c r="F906" s="1">
        <v>48914</v>
      </c>
      <c r="H906" s="16">
        <f t="shared" si="67"/>
        <v>452.45920049075801</v>
      </c>
      <c r="I906">
        <f t="shared" si="68"/>
        <v>12</v>
      </c>
      <c r="J906" s="16" cm="1">
        <f t="array" ref="J906">INDEX(Sm,I906)</f>
        <v>-0.88780634062791353</v>
      </c>
      <c r="K906" s="16">
        <f t="shared" si="69"/>
        <v>451.57139415013012</v>
      </c>
    </row>
    <row r="907" spans="6:11" x14ac:dyDescent="0.4">
      <c r="F907" s="1">
        <v>48945</v>
      </c>
      <c r="H907" s="16">
        <f t="shared" si="67"/>
        <v>452.73235617585021</v>
      </c>
      <c r="I907">
        <f t="shared" si="68"/>
        <v>1</v>
      </c>
      <c r="J907" s="16" cm="1">
        <f t="array" ref="J907">INDEX(Sm,I907)</f>
        <v>-3.3662626377861403E-2</v>
      </c>
      <c r="K907" s="16">
        <f t="shared" si="69"/>
        <v>452.69869354947235</v>
      </c>
    </row>
    <row r="908" spans="6:11" x14ac:dyDescent="0.4">
      <c r="F908" s="1">
        <v>48976</v>
      </c>
      <c r="H908" s="16">
        <f t="shared" si="67"/>
        <v>453.00589646160233</v>
      </c>
      <c r="I908">
        <f t="shared" si="68"/>
        <v>2</v>
      </c>
      <c r="J908" s="16" cm="1">
        <f t="array" ref="J908">INDEX(Sm,I908)</f>
        <v>0.68114275406980329</v>
      </c>
      <c r="K908" s="16">
        <f t="shared" si="69"/>
        <v>453.68703921567214</v>
      </c>
    </row>
    <row r="909" spans="6:11" x14ac:dyDescent="0.4">
      <c r="F909" s="1">
        <v>49004</v>
      </c>
      <c r="H909" s="16">
        <f t="shared" si="67"/>
        <v>453.25329612968329</v>
      </c>
      <c r="I909">
        <f t="shared" si="68"/>
        <v>3</v>
      </c>
      <c r="J909" s="16" cm="1">
        <f t="array" ref="J909">INDEX(Sm,I909)</f>
        <v>1.3951035824648568</v>
      </c>
      <c r="K909" s="16">
        <f t="shared" si="69"/>
        <v>454.64839971214815</v>
      </c>
    </row>
    <row r="910" spans="6:11" x14ac:dyDescent="0.4">
      <c r="F910" s="1">
        <v>49035</v>
      </c>
      <c r="H910" s="16">
        <f t="shared" si="67"/>
        <v>453.52756989403815</v>
      </c>
      <c r="I910">
        <f t="shared" si="68"/>
        <v>4</v>
      </c>
      <c r="J910" s="16" cm="1">
        <f t="array" ref="J910">INDEX(Sm,I910)</f>
        <v>2.6339370251743146</v>
      </c>
      <c r="K910" s="16">
        <f t="shared" si="69"/>
        <v>456.16150691921246</v>
      </c>
    </row>
    <row r="911" spans="6:11" x14ac:dyDescent="0.4">
      <c r="F911" s="1">
        <v>49065</v>
      </c>
      <c r="H911" s="16">
        <f t="shared" si="67"/>
        <v>453.79336380198947</v>
      </c>
      <c r="I911">
        <f t="shared" si="68"/>
        <v>5</v>
      </c>
      <c r="J911" s="16" cm="1">
        <f t="array" ref="J911">INDEX(Sm,I911)</f>
        <v>3.0997257789906989</v>
      </c>
      <c r="K911" s="16">
        <f t="shared" si="69"/>
        <v>456.89308958098019</v>
      </c>
    </row>
    <row r="912" spans="6:11" x14ac:dyDescent="0.4">
      <c r="F912" s="1">
        <v>49096</v>
      </c>
      <c r="H912" s="16">
        <f t="shared" si="67"/>
        <v>454.06839797659654</v>
      </c>
      <c r="I912">
        <f t="shared" si="68"/>
        <v>6</v>
      </c>
      <c r="J912" s="16" cm="1">
        <f t="array" ref="J912">INDEX(Sm,I912)</f>
        <v>2.3207404253660839</v>
      </c>
      <c r="K912" s="16">
        <f t="shared" si="69"/>
        <v>456.38913840196261</v>
      </c>
    </row>
    <row r="913" spans="6:11" x14ac:dyDescent="0.4">
      <c r="F913" s="1">
        <v>49126</v>
      </c>
      <c r="H913" s="16">
        <f t="shared" si="67"/>
        <v>454.33492878482355</v>
      </c>
      <c r="I913">
        <f t="shared" si="68"/>
        <v>7</v>
      </c>
      <c r="J913" s="16" cm="1">
        <f t="array" ref="J913">INDEX(Sm,I913)</f>
        <v>0.74435685666414753</v>
      </c>
      <c r="K913" s="16">
        <f t="shared" si="69"/>
        <v>455.07928564148767</v>
      </c>
    </row>
    <row r="914" spans="6:11" x14ac:dyDescent="0.4">
      <c r="F914" s="1">
        <v>49157</v>
      </c>
      <c r="H914" s="16">
        <f t="shared" si="67"/>
        <v>454.61072547788206</v>
      </c>
      <c r="I914">
        <f t="shared" si="68"/>
        <v>8</v>
      </c>
      <c r="J914" s="16" cm="1">
        <f t="array" ref="J914">INDEX(Sm,I914)</f>
        <v>-1.3868231821212227</v>
      </c>
      <c r="K914" s="16">
        <f t="shared" si="69"/>
        <v>453.22390229576081</v>
      </c>
    </row>
    <row r="915" spans="6:11" x14ac:dyDescent="0.4">
      <c r="F915" s="1">
        <v>49188</v>
      </c>
      <c r="H915" s="16">
        <f t="shared" si="67"/>
        <v>454.88691049011578</v>
      </c>
      <c r="I915">
        <f t="shared" si="68"/>
        <v>9</v>
      </c>
      <c r="J915" s="16" cm="1">
        <f t="array" ref="J915">INDEX(Sm,I915)</f>
        <v>-3.1918015790052943</v>
      </c>
      <c r="K915" s="16">
        <f t="shared" si="69"/>
        <v>451.69510891111048</v>
      </c>
    </row>
    <row r="916" spans="6:11" x14ac:dyDescent="0.4">
      <c r="F916" s="1">
        <v>49218</v>
      </c>
      <c r="H916" s="16">
        <f t="shared" si="67"/>
        <v>455.15455655495788</v>
      </c>
      <c r="I916">
        <f t="shared" si="68"/>
        <v>10</v>
      </c>
      <c r="J916" s="16" cm="1">
        <f t="array" ref="J916">INDEX(Sm,I916)</f>
        <v>-3.3171210691938846</v>
      </c>
      <c r="K916" s="16">
        <f t="shared" si="69"/>
        <v>451.83743548576399</v>
      </c>
    </row>
    <row r="917" spans="6:11" x14ac:dyDescent="0.4">
      <c r="F917" s="1">
        <v>49249</v>
      </c>
      <c r="H917" s="16">
        <f t="shared" si="67"/>
        <v>455.43150727628267</v>
      </c>
      <c r="I917">
        <f t="shared" si="68"/>
        <v>11</v>
      </c>
      <c r="J917" s="16" cm="1">
        <f t="array" ref="J917">INDEX(Sm,I917)</f>
        <v>-2.0577916254037292</v>
      </c>
      <c r="K917" s="16">
        <f t="shared" si="69"/>
        <v>453.37371565087892</v>
      </c>
    </row>
    <row r="918" spans="6:11" x14ac:dyDescent="0.4">
      <c r="F918" s="1">
        <v>49279</v>
      </c>
      <c r="H918" s="16">
        <f t="shared" si="67"/>
        <v>455.69989537641254</v>
      </c>
      <c r="I918">
        <f t="shared" si="68"/>
        <v>12</v>
      </c>
      <c r="J918" s="16" cm="1">
        <f t="array" ref="J918">INDEX(Sm,I918)</f>
        <v>-0.88780634062791353</v>
      </c>
      <c r="K918" s="16">
        <f t="shared" si="69"/>
        <v>454.81208903578465</v>
      </c>
    </row>
    <row r="919" spans="6:11" x14ac:dyDescent="0.4">
      <c r="F919" s="1">
        <v>49310</v>
      </c>
      <c r="H919" s="16">
        <f t="shared" si="67"/>
        <v>455.97761392971847</v>
      </c>
      <c r="I919">
        <f t="shared" si="68"/>
        <v>1</v>
      </c>
      <c r="J919" s="16" cm="1">
        <f t="array" ref="J919">INDEX(Sm,I919)</f>
        <v>-3.3662626377861403E-2</v>
      </c>
      <c r="K919" s="16">
        <f t="shared" si="69"/>
        <v>455.94395130334061</v>
      </c>
    </row>
    <row r="920" spans="6:11" x14ac:dyDescent="0.4">
      <c r="F920" s="1">
        <v>49341</v>
      </c>
      <c r="H920" s="16">
        <f t="shared" si="67"/>
        <v>456.25572350816026</v>
      </c>
      <c r="I920">
        <f t="shared" si="68"/>
        <v>2</v>
      </c>
      <c r="J920" s="16" cm="1">
        <f t="array" ref="J920">INDEX(Sm,I920)</f>
        <v>0.68114275406980329</v>
      </c>
      <c r="K920" s="16">
        <f t="shared" si="69"/>
        <v>456.93686626223007</v>
      </c>
    </row>
    <row r="921" spans="6:11" x14ac:dyDescent="0.4">
      <c r="F921" s="1">
        <v>49369</v>
      </c>
      <c r="H921" s="16">
        <f t="shared" si="67"/>
        <v>456.50725580881362</v>
      </c>
      <c r="I921">
        <f t="shared" si="68"/>
        <v>3</v>
      </c>
      <c r="J921" s="16" cm="1">
        <f t="array" ref="J921">INDEX(Sm,I921)</f>
        <v>1.3951035824648568</v>
      </c>
      <c r="K921" s="16">
        <f t="shared" si="69"/>
        <v>457.90235939127848</v>
      </c>
    </row>
    <row r="922" spans="6:11" x14ac:dyDescent="0.4">
      <c r="F922" s="1">
        <v>49400</v>
      </c>
      <c r="H922" s="16">
        <f t="shared" si="67"/>
        <v>456.78611111808789</v>
      </c>
      <c r="I922">
        <f t="shared" si="68"/>
        <v>4</v>
      </c>
      <c r="J922" s="16" cm="1">
        <f t="array" ref="J922">INDEX(Sm,I922)</f>
        <v>2.6339370251743146</v>
      </c>
      <c r="K922" s="16">
        <f t="shared" si="69"/>
        <v>459.42004814326219</v>
      </c>
    </row>
    <row r="923" spans="6:11" x14ac:dyDescent="0.4">
      <c r="F923" s="1">
        <v>49430</v>
      </c>
      <c r="H923" s="16">
        <f t="shared" si="67"/>
        <v>457.05634492108857</v>
      </c>
      <c r="I923">
        <f t="shared" si="68"/>
        <v>5</v>
      </c>
      <c r="J923" s="16" cm="1">
        <f t="array" ref="J923">INDEX(Sm,I923)</f>
        <v>3.0997257789906989</v>
      </c>
      <c r="K923" s="16">
        <f t="shared" si="69"/>
        <v>460.15607070007928</v>
      </c>
    </row>
    <row r="924" spans="6:11" x14ac:dyDescent="0.4">
      <c r="F924" s="1">
        <v>49461</v>
      </c>
      <c r="H924" s="16">
        <f t="shared" si="67"/>
        <v>457.33597334271855</v>
      </c>
      <c r="I924">
        <f t="shared" si="68"/>
        <v>6</v>
      </c>
      <c r="J924" s="16" cm="1">
        <f t="array" ref="J924">INDEX(Sm,I924)</f>
        <v>2.3207404253660839</v>
      </c>
      <c r="K924" s="16">
        <f t="shared" si="69"/>
        <v>459.65671376808461</v>
      </c>
    </row>
    <row r="925" spans="6:11" x14ac:dyDescent="0.4">
      <c r="F925" s="1">
        <v>49491</v>
      </c>
      <c r="H925" s="16">
        <f t="shared" si="67"/>
        <v>457.60695635538121</v>
      </c>
      <c r="I925">
        <f t="shared" si="68"/>
        <v>7</v>
      </c>
      <c r="J925" s="16" cm="1">
        <f t="array" ref="J925">INDEX(Sm,I925)</f>
        <v>0.74435685666414753</v>
      </c>
      <c r="K925" s="16">
        <f t="shared" si="69"/>
        <v>458.35131321204534</v>
      </c>
    </row>
    <row r="926" spans="6:11" x14ac:dyDescent="0.4">
      <c r="F926" s="1">
        <v>49522</v>
      </c>
      <c r="H926" s="16">
        <f t="shared" si="67"/>
        <v>457.88736003278211</v>
      </c>
      <c r="I926">
        <f t="shared" si="68"/>
        <v>8</v>
      </c>
      <c r="J926" s="16" cm="1">
        <f t="array" ref="J926">INDEX(Sm,I926)</f>
        <v>-1.3868231821212227</v>
      </c>
      <c r="K926" s="16">
        <f t="shared" si="69"/>
        <v>456.50053685066086</v>
      </c>
    </row>
    <row r="927" spans="6:11" x14ac:dyDescent="0.4">
      <c r="F927" s="1">
        <v>49553</v>
      </c>
      <c r="H927" s="16">
        <f t="shared" si="67"/>
        <v>458.1681585159489</v>
      </c>
      <c r="I927">
        <f t="shared" si="68"/>
        <v>9</v>
      </c>
      <c r="J927" s="16" cm="1">
        <f t="array" ref="J927">INDEX(Sm,I927)</f>
        <v>-3.1918015790052943</v>
      </c>
      <c r="K927" s="16">
        <f t="shared" si="69"/>
        <v>454.9763569369436</v>
      </c>
    </row>
    <row r="928" spans="6:11" x14ac:dyDescent="0.4">
      <c r="F928" s="1">
        <v>49583</v>
      </c>
      <c r="H928" s="16">
        <f t="shared" si="67"/>
        <v>458.44027541478238</v>
      </c>
      <c r="I928">
        <f t="shared" si="68"/>
        <v>10</v>
      </c>
      <c r="J928" s="16" cm="1">
        <f t="array" ref="J928">INDEX(Sm,I928)</f>
        <v>-3.3171210691938846</v>
      </c>
      <c r="K928" s="16">
        <f t="shared" si="69"/>
        <v>455.12315434558849</v>
      </c>
    </row>
    <row r="929" spans="6:11" x14ac:dyDescent="0.4">
      <c r="F929" s="1">
        <v>49614</v>
      </c>
      <c r="H929" s="16">
        <f t="shared" si="67"/>
        <v>458.7218523976569</v>
      </c>
      <c r="I929">
        <f t="shared" si="68"/>
        <v>11</v>
      </c>
      <c r="J929" s="16" cm="1">
        <f t="array" ref="J929">INDEX(Sm,I929)</f>
        <v>-2.0577916254037292</v>
      </c>
      <c r="K929" s="16">
        <f t="shared" si="69"/>
        <v>456.66406077225315</v>
      </c>
    </row>
    <row r="930" spans="6:11" x14ac:dyDescent="0.4">
      <c r="F930" s="1">
        <v>49644</v>
      </c>
      <c r="H930" s="16">
        <f t="shared" si="67"/>
        <v>458.99472372694106</v>
      </c>
      <c r="I930">
        <f t="shared" si="68"/>
        <v>12</v>
      </c>
      <c r="J930" s="16" cm="1">
        <f t="array" ref="J930">INDEX(Sm,I930)</f>
        <v>-0.88780634062791353</v>
      </c>
      <c r="K930" s="16">
        <f t="shared" si="69"/>
        <v>458.10691738631317</v>
      </c>
    </row>
    <row r="931" spans="6:11" x14ac:dyDescent="0.4">
      <c r="F931" s="1">
        <v>49675</v>
      </c>
      <c r="H931" s="16">
        <f t="shared" si="67"/>
        <v>459.27708136787481</v>
      </c>
      <c r="I931">
        <f t="shared" si="68"/>
        <v>1</v>
      </c>
      <c r="J931" s="16" cm="1">
        <f t="array" ref="J931">INDEX(Sm,I931)</f>
        <v>-3.3662626377861403E-2</v>
      </c>
      <c r="K931" s="16">
        <f t="shared" si="69"/>
        <v>459.24341874149695</v>
      </c>
    </row>
    <row r="932" spans="6:11" x14ac:dyDescent="0.4">
      <c r="F932" s="1">
        <v>49706</v>
      </c>
      <c r="H932" s="16">
        <f t="shared" si="67"/>
        <v>459.55983656573699</v>
      </c>
      <c r="I932">
        <f t="shared" si="68"/>
        <v>2</v>
      </c>
      <c r="J932" s="16" cm="1">
        <f t="array" ref="J932">INDEX(Sm,I932)</f>
        <v>0.68114275406980329</v>
      </c>
      <c r="K932" s="16">
        <f t="shared" si="69"/>
        <v>460.2409793198068</v>
      </c>
    </row>
    <row r="933" spans="6:11" x14ac:dyDescent="0.4">
      <c r="F933" s="1">
        <v>49735</v>
      </c>
      <c r="H933" s="16">
        <f t="shared" si="67"/>
        <v>459.82470989967061</v>
      </c>
      <c r="I933">
        <f t="shared" si="68"/>
        <v>3</v>
      </c>
      <c r="J933" s="16" cm="1">
        <f t="array" ref="J933">INDEX(Sm,I933)</f>
        <v>1.3951035824648568</v>
      </c>
      <c r="K933" s="16">
        <f t="shared" si="69"/>
        <v>461.21981348213546</v>
      </c>
    </row>
    <row r="934" spans="6:11" x14ac:dyDescent="0.4">
      <c r="F934" s="1">
        <v>49766</v>
      </c>
      <c r="H934" s="16">
        <f t="shared" si="67"/>
        <v>460.10823615340468</v>
      </c>
      <c r="I934">
        <f t="shared" si="68"/>
        <v>4</v>
      </c>
      <c r="J934" s="16" cm="1">
        <f t="array" ref="J934">INDEX(Sm,I934)</f>
        <v>2.6339370251743146</v>
      </c>
      <c r="K934" s="16">
        <f t="shared" si="69"/>
        <v>462.74217317857898</v>
      </c>
    </row>
    <row r="935" spans="6:11" x14ac:dyDescent="0.4">
      <c r="F935" s="1">
        <v>49796</v>
      </c>
      <c r="H935" s="16">
        <f t="shared" ref="H935:H955" si="70">EXP(_A*F935+_B)+_C</f>
        <v>460.38299648698575</v>
      </c>
      <c r="I935">
        <f t="shared" ref="I935:I955" si="71">MONTH(F935)</f>
        <v>5</v>
      </c>
      <c r="J935" s="16" cm="1">
        <f t="array" ref="J935">INDEX(Sm,I935)</f>
        <v>3.0997257789906989</v>
      </c>
      <c r="K935" s="16">
        <f t="shared" ref="K935:K955" si="72">H935+J935</f>
        <v>463.48272226597646</v>
      </c>
    </row>
    <row r="936" spans="6:11" x14ac:dyDescent="0.4">
      <c r="F936" s="1">
        <v>49827</v>
      </c>
      <c r="H936" s="16">
        <f t="shared" si="70"/>
        <v>460.66730880303464</v>
      </c>
      <c r="I936">
        <f t="shared" si="71"/>
        <v>6</v>
      </c>
      <c r="J936" s="16" cm="1">
        <f t="array" ref="J936">INDEX(Sm,I936)</f>
        <v>2.3207404253660839</v>
      </c>
      <c r="K936" s="16">
        <f t="shared" si="72"/>
        <v>462.98804922840071</v>
      </c>
    </row>
    <row r="937" spans="6:11" x14ac:dyDescent="0.4">
      <c r="F937" s="1">
        <v>49857</v>
      </c>
      <c r="H937" s="16">
        <f t="shared" si="70"/>
        <v>460.94283089585645</v>
      </c>
      <c r="I937">
        <f t="shared" si="71"/>
        <v>7</v>
      </c>
      <c r="J937" s="16" cm="1">
        <f t="array" ref="J937">INDEX(Sm,I937)</f>
        <v>0.74435685666414753</v>
      </c>
      <c r="K937" s="16">
        <f t="shared" si="72"/>
        <v>461.68718775252057</v>
      </c>
    </row>
    <row r="938" spans="6:11" x14ac:dyDescent="0.4">
      <c r="F938" s="1">
        <v>49888</v>
      </c>
      <c r="H938" s="16">
        <f t="shared" si="70"/>
        <v>461.22793145353864</v>
      </c>
      <c r="I938">
        <f t="shared" si="71"/>
        <v>8</v>
      </c>
      <c r="J938" s="16" cm="1">
        <f t="array" ref="J938">INDEX(Sm,I938)</f>
        <v>-1.3868231821212227</v>
      </c>
      <c r="K938" s="16">
        <f t="shared" si="72"/>
        <v>459.8411082714174</v>
      </c>
    </row>
    <row r="939" spans="6:11" x14ac:dyDescent="0.4">
      <c r="F939" s="1">
        <v>49919</v>
      </c>
      <c r="H939" s="16">
        <f t="shared" si="70"/>
        <v>461.51343343015014</v>
      </c>
      <c r="I939">
        <f t="shared" si="71"/>
        <v>9</v>
      </c>
      <c r="J939" s="16" cm="1">
        <f t="array" ref="J939">INDEX(Sm,I939)</f>
        <v>-3.1918015790052943</v>
      </c>
      <c r="K939" s="16">
        <f t="shared" si="72"/>
        <v>458.32163185114484</v>
      </c>
    </row>
    <row r="940" spans="6:11" x14ac:dyDescent="0.4">
      <c r="F940" s="1">
        <v>49949</v>
      </c>
      <c r="H940" s="16">
        <f t="shared" si="70"/>
        <v>461.79010840221639</v>
      </c>
      <c r="I940">
        <f t="shared" si="71"/>
        <v>10</v>
      </c>
      <c r="J940" s="16" cm="1">
        <f t="array" ref="J940">INDEX(Sm,I940)</f>
        <v>-3.3171210691938846</v>
      </c>
      <c r="K940" s="16">
        <f t="shared" si="72"/>
        <v>458.4729873330225</v>
      </c>
    </row>
    <row r="941" spans="6:11" x14ac:dyDescent="0.4">
      <c r="F941" s="1">
        <v>49980</v>
      </c>
      <c r="H941" s="16">
        <f t="shared" si="70"/>
        <v>462.0764019187352</v>
      </c>
      <c r="I941">
        <f t="shared" si="71"/>
        <v>11</v>
      </c>
      <c r="J941" s="16" cm="1">
        <f t="array" ref="J941">INDEX(Sm,I941)</f>
        <v>-2.0577916254037292</v>
      </c>
      <c r="K941" s="16">
        <f t="shared" si="72"/>
        <v>460.01861029333145</v>
      </c>
    </row>
    <row r="942" spans="6:11" x14ac:dyDescent="0.4">
      <c r="F942" s="1">
        <v>50010</v>
      </c>
      <c r="H942" s="16">
        <f t="shared" si="70"/>
        <v>462.35384395828157</v>
      </c>
      <c r="I942">
        <f t="shared" si="71"/>
        <v>12</v>
      </c>
      <c r="J942" s="16" cm="1">
        <f t="array" ref="J942">INDEX(Sm,I942)</f>
        <v>-0.88780634062791353</v>
      </c>
      <c r="K942" s="16">
        <f t="shared" si="72"/>
        <v>461.46603761765368</v>
      </c>
    </row>
    <row r="943" spans="6:11" x14ac:dyDescent="0.4">
      <c r="F943" s="1">
        <v>50041</v>
      </c>
      <c r="H943" s="16">
        <f t="shared" si="70"/>
        <v>462.64093120921251</v>
      </c>
      <c r="I943">
        <f t="shared" si="71"/>
        <v>1</v>
      </c>
      <c r="J943" s="16" cm="1">
        <f t="array" ref="J943">INDEX(Sm,I943)</f>
        <v>-3.3662626377861403E-2</v>
      </c>
      <c r="K943" s="16">
        <f t="shared" si="72"/>
        <v>462.60726858283465</v>
      </c>
    </row>
    <row r="944" spans="6:11" x14ac:dyDescent="0.4">
      <c r="F944" s="1">
        <v>50072</v>
      </c>
      <c r="H944" s="16">
        <f t="shared" si="70"/>
        <v>462.92842267631903</v>
      </c>
      <c r="I944">
        <f t="shared" si="71"/>
        <v>2</v>
      </c>
      <c r="J944" s="16" cm="1">
        <f t="array" ref="J944">INDEX(Sm,I944)</f>
        <v>0.68114275406980329</v>
      </c>
      <c r="K944" s="16">
        <f t="shared" si="72"/>
        <v>463.60956543038884</v>
      </c>
    </row>
    <row r="945" spans="6:11" x14ac:dyDescent="0.4">
      <c r="F945" s="1">
        <v>50100</v>
      </c>
      <c r="H945" s="16">
        <f t="shared" si="70"/>
        <v>463.18844029435468</v>
      </c>
      <c r="I945">
        <f t="shared" si="71"/>
        <v>3</v>
      </c>
      <c r="J945" s="16" cm="1">
        <f t="array" ref="J945">INDEX(Sm,I945)</f>
        <v>1.3951035824648568</v>
      </c>
      <c r="K945" s="16">
        <f t="shared" si="72"/>
        <v>464.58354387681953</v>
      </c>
    </row>
    <row r="946" spans="6:11" x14ac:dyDescent="0.4">
      <c r="F946" s="1">
        <v>50131</v>
      </c>
      <c r="H946" s="16">
        <f t="shared" si="70"/>
        <v>463.47670264915337</v>
      </c>
      <c r="I946">
        <f t="shared" si="71"/>
        <v>4</v>
      </c>
      <c r="J946" s="16" cm="1">
        <f t="array" ref="J946">INDEX(Sm,I946)</f>
        <v>2.6339370251743146</v>
      </c>
      <c r="K946" s="16">
        <f t="shared" si="72"/>
        <v>466.11063967432767</v>
      </c>
    </row>
    <row r="947" spans="6:11" x14ac:dyDescent="0.4">
      <c r="F947" s="1">
        <v>50161</v>
      </c>
      <c r="H947" s="16">
        <f t="shared" si="70"/>
        <v>463.75605265544073</v>
      </c>
      <c r="I947">
        <f t="shared" si="71"/>
        <v>5</v>
      </c>
      <c r="J947" s="16" cm="1">
        <f t="array" ref="J947">INDEX(Sm,I947)</f>
        <v>3.0997257789906989</v>
      </c>
      <c r="K947" s="16">
        <f t="shared" si="72"/>
        <v>466.85577843443144</v>
      </c>
    </row>
    <row r="948" spans="6:11" x14ac:dyDescent="0.4">
      <c r="F948" s="1">
        <v>50192</v>
      </c>
      <c r="H948" s="16">
        <f t="shared" si="70"/>
        <v>464.0451142031568</v>
      </c>
      <c r="I948">
        <f t="shared" si="71"/>
        <v>6</v>
      </c>
      <c r="J948" s="16" cm="1">
        <f t="array" ref="J948">INDEX(Sm,I948)</f>
        <v>2.3207404253660839</v>
      </c>
      <c r="K948" s="16">
        <f t="shared" si="72"/>
        <v>466.36585462852287</v>
      </c>
    </row>
    <row r="949" spans="6:11" x14ac:dyDescent="0.4">
      <c r="F949" s="1">
        <v>50222</v>
      </c>
      <c r="H949" s="16">
        <f t="shared" si="70"/>
        <v>464.32523869332238</v>
      </c>
      <c r="I949">
        <f t="shared" si="71"/>
        <v>7</v>
      </c>
      <c r="J949" s="16" cm="1">
        <f t="array" ref="J949">INDEX(Sm,I949)</f>
        <v>0.74435685666414753</v>
      </c>
      <c r="K949" s="16">
        <f t="shared" si="72"/>
        <v>465.0695955499865</v>
      </c>
    </row>
    <row r="950" spans="6:11" x14ac:dyDescent="0.4">
      <c r="F950" s="1">
        <v>50253</v>
      </c>
      <c r="H950" s="16">
        <f t="shared" si="70"/>
        <v>464.61510164967814</v>
      </c>
      <c r="I950">
        <f t="shared" si="71"/>
        <v>8</v>
      </c>
      <c r="J950" s="16" cm="1">
        <f t="array" ref="J950">INDEX(Sm,I950)</f>
        <v>-1.3868231821212227</v>
      </c>
      <c r="K950" s="16">
        <f t="shared" si="72"/>
        <v>463.22827846755689</v>
      </c>
    </row>
    <row r="951" spans="6:11" x14ac:dyDescent="0.4">
      <c r="F951" s="1">
        <v>50284</v>
      </c>
      <c r="H951" s="16">
        <f t="shared" si="70"/>
        <v>464.90537273037614</v>
      </c>
      <c r="I951">
        <f t="shared" si="71"/>
        <v>9</v>
      </c>
      <c r="J951" s="16" cm="1">
        <f t="array" ref="J951">INDEX(Sm,I951)</f>
        <v>-3.1918015790052943</v>
      </c>
      <c r="K951" s="16">
        <f t="shared" si="72"/>
        <v>461.71357115137084</v>
      </c>
    </row>
    <row r="952" spans="6:11" x14ac:dyDescent="0.4">
      <c r="F952" s="1">
        <v>50314</v>
      </c>
      <c r="H952" s="16">
        <f t="shared" si="70"/>
        <v>465.18666935780021</v>
      </c>
      <c r="I952">
        <f t="shared" si="71"/>
        <v>10</v>
      </c>
      <c r="J952" s="16" cm="1">
        <f t="array" ref="J952">INDEX(Sm,I952)</f>
        <v>-3.3171210691938846</v>
      </c>
      <c r="K952" s="16">
        <f t="shared" si="72"/>
        <v>461.86954828860632</v>
      </c>
    </row>
    <row r="953" spans="6:11" x14ac:dyDescent="0.4">
      <c r="F953" s="1">
        <v>50345</v>
      </c>
      <c r="H953" s="16">
        <f t="shared" si="70"/>
        <v>465.47774520050757</v>
      </c>
      <c r="I953">
        <f t="shared" si="71"/>
        <v>11</v>
      </c>
      <c r="J953" s="16" cm="1">
        <f t="array" ref="J953">INDEX(Sm,I953)</f>
        <v>-2.0577916254037292</v>
      </c>
      <c r="K953" s="16">
        <f t="shared" si="72"/>
        <v>463.41995357510382</v>
      </c>
    </row>
    <row r="954" spans="6:11" x14ac:dyDescent="0.4">
      <c r="F954" s="1">
        <v>50375</v>
      </c>
      <c r="H954" s="16">
        <f t="shared" si="70"/>
        <v>465.75982170871941</v>
      </c>
      <c r="I954">
        <f t="shared" si="71"/>
        <v>12</v>
      </c>
      <c r="J954" s="16" cm="1">
        <f t="array" ref="J954">INDEX(Sm,I954)</f>
        <v>-0.88780634062791353</v>
      </c>
      <c r="K954" s="16">
        <f t="shared" si="72"/>
        <v>464.87201536809152</v>
      </c>
    </row>
    <row r="955" spans="6:11" x14ac:dyDescent="0.4">
      <c r="F955" s="1">
        <v>50406</v>
      </c>
      <c r="H955" s="16">
        <f t="shared" si="70"/>
        <v>466.05170454459824</v>
      </c>
      <c r="I955">
        <f t="shared" si="71"/>
        <v>1</v>
      </c>
      <c r="J955" s="16" cm="1">
        <f t="array" ref="J955">INDEX(Sm,I955)</f>
        <v>-3.3662626377861403E-2</v>
      </c>
      <c r="K955" s="16">
        <f t="shared" si="72"/>
        <v>466.01804191822038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0E189-0A4C-49BF-A6EE-2C75C8292850}">
  <dimension ref="A1:M955"/>
  <sheetViews>
    <sheetView workbookViewId="0"/>
  </sheetViews>
  <sheetFormatPr defaultRowHeight="18.75" x14ac:dyDescent="0.4"/>
  <cols>
    <col min="1" max="1" width="15.125" style="2" bestFit="1" customWidth="1"/>
    <col min="2" max="3" width="12.75" customWidth="1"/>
    <col min="4" max="4" width="9" customWidth="1"/>
    <col min="5" max="5" width="34.5" customWidth="1"/>
    <col min="6" max="6" width="10.25" bestFit="1" customWidth="1"/>
    <col min="7" max="8" width="7.5" style="16" bestFit="1" customWidth="1"/>
    <col min="9" max="9" width="5.75" bestFit="1" customWidth="1"/>
    <col min="10" max="10" width="8.375" style="16" bestFit="1" customWidth="1"/>
    <col min="11" max="11" width="7.625" style="16" bestFit="1" customWidth="1"/>
    <col min="12" max="12" width="7.25" style="16" bestFit="1" customWidth="1"/>
    <col min="13" max="13" width="11.875" style="16" bestFit="1" customWidth="1"/>
  </cols>
  <sheetData>
    <row r="1" spans="1:13" ht="20.25" x14ac:dyDescent="0.4">
      <c r="A1" s="2" t="s">
        <v>3</v>
      </c>
      <c r="B1" s="18" t="s">
        <v>38</v>
      </c>
      <c r="D1" t="s">
        <v>28</v>
      </c>
      <c r="F1" s="3" t="s">
        <v>13</v>
      </c>
      <c r="G1" s="15" t="s">
        <v>16</v>
      </c>
      <c r="H1" s="15" t="s">
        <v>33</v>
      </c>
      <c r="I1" s="3" t="s">
        <v>14</v>
      </c>
      <c r="J1" s="15" t="s">
        <v>29</v>
      </c>
      <c r="K1" s="15" t="s">
        <v>34</v>
      </c>
      <c r="L1" s="15" t="s">
        <v>35</v>
      </c>
      <c r="M1" s="15" t="s">
        <v>37</v>
      </c>
    </row>
    <row r="2" spans="1:13" x14ac:dyDescent="0.4">
      <c r="A2" s="2" t="s">
        <v>4</v>
      </c>
      <c r="B2" s="18" t="s">
        <v>29</v>
      </c>
      <c r="D2" t="s">
        <v>27</v>
      </c>
      <c r="F2" s="1">
        <v>21245</v>
      </c>
      <c r="G2" s="16">
        <v>315.7</v>
      </c>
      <c r="H2" s="16">
        <f>_A*F2*F2+_B*F2+_C</f>
        <v>314.61155003735519</v>
      </c>
      <c r="I2">
        <f>MONTH(F2)</f>
        <v>3</v>
      </c>
      <c r="J2" s="16" cm="1">
        <f t="array" ref="J2">INDEX(Sm,I2)</f>
        <v>1.3737674684313066</v>
      </c>
      <c r="K2" s="16">
        <f>H2+J2</f>
        <v>315.9853175057865</v>
      </c>
      <c r="L2" s="16">
        <f>K2-G2</f>
        <v>0.28531750578650872</v>
      </c>
      <c r="M2" s="16">
        <f>L2*L2</f>
        <v>8.1406079108234441E-2</v>
      </c>
    </row>
    <row r="3" spans="1:13" ht="20.25" x14ac:dyDescent="0.4">
      <c r="A3" s="2" t="s">
        <v>5</v>
      </c>
      <c r="B3" s="18" t="s">
        <v>31</v>
      </c>
      <c r="D3" t="s">
        <v>7</v>
      </c>
      <c r="F3" s="1">
        <v>21276</v>
      </c>
      <c r="G3" s="16">
        <v>317.45999999999998</v>
      </c>
      <c r="H3" s="16">
        <f>_A*F3*F3+_B*F3+_C</f>
        <v>314.67624382141679</v>
      </c>
      <c r="I3">
        <f t="shared" ref="I3:I66" si="0">MONTH(F3)</f>
        <v>4</v>
      </c>
      <c r="J3" s="16" cm="1">
        <f t="array" ref="J3">INDEX(Sm,I3)</f>
        <v>2.6103146033777413</v>
      </c>
      <c r="K3" s="16">
        <f t="shared" ref="K3:K66" si="1">H3+J3</f>
        <v>317.28655842479452</v>
      </c>
      <c r="L3" s="16">
        <f t="shared" ref="L3:L66" si="2">K3-G3</f>
        <v>-0.17344157520545878</v>
      </c>
      <c r="M3" s="16">
        <f t="shared" ref="M3:M66" si="3">L3*L3</f>
        <v>3.0081980009750812E-2</v>
      </c>
    </row>
    <row r="4" spans="1:13" x14ac:dyDescent="0.4">
      <c r="F4" s="1">
        <v>21306</v>
      </c>
      <c r="G4" s="16">
        <v>317.51</v>
      </c>
      <c r="H4" s="16">
        <f>_A*F4*F4+_B*F4+_C</f>
        <v>314.73903013579707</v>
      </c>
      <c r="I4">
        <f t="shared" si="0"/>
        <v>5</v>
      </c>
      <c r="J4" s="16" cm="1">
        <f t="array" ref="J4">INDEX(Sm,I4)</f>
        <v>3.065687851218776</v>
      </c>
      <c r="K4" s="16">
        <f t="shared" si="1"/>
        <v>317.80471798701586</v>
      </c>
      <c r="L4" s="16">
        <f t="shared" si="2"/>
        <v>0.29471798701587204</v>
      </c>
      <c r="M4" s="16">
        <f t="shared" si="3"/>
        <v>8.6858691870687718E-2</v>
      </c>
    </row>
    <row r="5" spans="1:13" x14ac:dyDescent="0.4">
      <c r="A5" s="4" t="s">
        <v>18</v>
      </c>
      <c r="F5" s="1">
        <v>21367</v>
      </c>
      <c r="G5" s="16">
        <v>315.86</v>
      </c>
      <c r="H5" s="16">
        <f>_A*F5*F5+_B*F5+_C</f>
        <v>314.86723990232565</v>
      </c>
      <c r="I5">
        <f t="shared" si="0"/>
        <v>7</v>
      </c>
      <c r="J5" s="16" cm="1">
        <f t="array" ref="J5">INDEX(Sm,I5)</f>
        <v>0.7237382709437985</v>
      </c>
      <c r="K5" s="16">
        <f t="shared" si="1"/>
        <v>315.59097817326943</v>
      </c>
      <c r="L5" s="16">
        <f t="shared" si="2"/>
        <v>-0.26902182673057951</v>
      </c>
      <c r="M5" s="16">
        <f t="shared" si="3"/>
        <v>7.2372743257457947E-2</v>
      </c>
    </row>
    <row r="6" spans="1:13" x14ac:dyDescent="0.4">
      <c r="A6" s="2" t="s">
        <v>8</v>
      </c>
      <c r="B6" s="19" cm="1">
        <f t="array" ref="B6">INDEX(LINEST($G$2:$G$742,$F$2:$F$742^{2,1}),1,2)</f>
        <v>9.8047310770192954E-8</v>
      </c>
      <c r="D6" t="s">
        <v>24</v>
      </c>
      <c r="F6" s="1">
        <v>21398</v>
      </c>
      <c r="G6" s="16">
        <v>314.93</v>
      </c>
      <c r="H6" s="16">
        <f>_A*F6*F6+_B*F6+_C</f>
        <v>314.93267531624593</v>
      </c>
      <c r="I6">
        <f t="shared" si="0"/>
        <v>8</v>
      </c>
      <c r="J6" s="16" cm="1">
        <f t="array" ref="J6">INDEX(Sm,I6)</f>
        <v>-1.3971602754957855</v>
      </c>
      <c r="K6" s="16">
        <f t="shared" si="1"/>
        <v>313.53551504075017</v>
      </c>
      <c r="L6" s="16">
        <f t="shared" si="2"/>
        <v>-1.3944849592498372</v>
      </c>
      <c r="M6" s="16">
        <f t="shared" si="3"/>
        <v>1.94458830157402</v>
      </c>
    </row>
    <row r="7" spans="1:13" ht="19.5" thickBot="1" x14ac:dyDescent="0.45">
      <c r="A7" s="2" t="s">
        <v>9</v>
      </c>
      <c r="B7" s="20" cm="1">
        <f t="array" ref="B7">INDEX(LINEST($G$2:$G$742,$F$2:$F$742^{2,1}),1,1)</f>
        <v>-2.0821734412079227E-3</v>
      </c>
      <c r="F7" s="1">
        <v>21429</v>
      </c>
      <c r="G7" s="16">
        <v>313.20999999999998</v>
      </c>
      <c r="H7" s="16">
        <f>_A*F7*F7+_B*F7+_C</f>
        <v>314.99829917709746</v>
      </c>
      <c r="I7">
        <f t="shared" si="0"/>
        <v>9</v>
      </c>
      <c r="J7" s="16" cm="1">
        <f t="array" ref="J7">INDEX(Sm,I7)</f>
        <v>-3.1930865292764237</v>
      </c>
      <c r="K7" s="16">
        <f t="shared" si="1"/>
        <v>311.80521264782107</v>
      </c>
      <c r="L7" s="16">
        <f t="shared" si="2"/>
        <v>-1.4047873521789143</v>
      </c>
      <c r="M7" s="16">
        <f t="shared" si="3"/>
        <v>1.9734275048418448</v>
      </c>
    </row>
    <row r="8" spans="1:13" ht="19.5" thickBot="1" x14ac:dyDescent="0.45">
      <c r="A8" s="2" t="s">
        <v>10</v>
      </c>
      <c r="B8" s="21" cm="1">
        <f t="array" ref="B8">INDEX(LINEST($G$2:$G$742,$F$2:$F$742^{2,1}),1,3)</f>
        <v>314.59366862850817</v>
      </c>
      <c r="D8" s="7"/>
      <c r="E8" t="s">
        <v>26</v>
      </c>
      <c r="F8" s="1">
        <v>21490</v>
      </c>
      <c r="G8" s="16">
        <v>313.33</v>
      </c>
      <c r="H8" s="16">
        <f>_A*F8*F8+_B*F8+_C</f>
        <v>315.12798024157149</v>
      </c>
      <c r="I8">
        <f t="shared" si="0"/>
        <v>11</v>
      </c>
      <c r="J8" s="16" cm="1">
        <f t="array" ref="J8">INDEX(Sm,I8)</f>
        <v>-2.0587659563291303</v>
      </c>
      <c r="K8" s="16">
        <f t="shared" si="1"/>
        <v>313.06921428524237</v>
      </c>
      <c r="L8" s="16">
        <f t="shared" si="2"/>
        <v>-0.26078571475761692</v>
      </c>
      <c r="M8" s="16">
        <f t="shared" si="3"/>
        <v>6.8009189021641131E-2</v>
      </c>
    </row>
    <row r="9" spans="1:13" ht="19.5" thickBot="1" x14ac:dyDescent="0.45">
      <c r="F9" s="1">
        <v>21520</v>
      </c>
      <c r="G9" s="16">
        <v>314.67</v>
      </c>
      <c r="H9" s="16">
        <f>_A*F9*F9+_B*F9+_C</f>
        <v>315.19202548342207</v>
      </c>
      <c r="I9">
        <f t="shared" si="0"/>
        <v>12</v>
      </c>
      <c r="J9" s="16" cm="1">
        <f t="array" ref="J9">INDEX(Sm,I9)</f>
        <v>-0.89092746411398172</v>
      </c>
      <c r="K9" s="16">
        <f t="shared" si="1"/>
        <v>314.30109801930809</v>
      </c>
      <c r="L9" s="16">
        <f t="shared" si="2"/>
        <v>-0.36890198069193048</v>
      </c>
      <c r="M9" s="16">
        <f t="shared" si="3"/>
        <v>0.13608867135842945</v>
      </c>
    </row>
    <row r="10" spans="1:13" ht="19.5" thickBot="1" x14ac:dyDescent="0.45">
      <c r="A10" s="4" t="s">
        <v>17</v>
      </c>
      <c r="D10" s="11"/>
      <c r="E10" t="s">
        <v>22</v>
      </c>
      <c r="F10" s="1">
        <v>21551</v>
      </c>
      <c r="G10" s="16">
        <v>315.58</v>
      </c>
      <c r="H10" s="16">
        <f>_A*F10*F10+_B*F10+_C</f>
        <v>315.25839097413228</v>
      </c>
      <c r="I10">
        <f t="shared" si="0"/>
        <v>1</v>
      </c>
      <c r="J10" s="16" cm="1">
        <f t="array" ref="J10">INDEX(Sm,I10)</f>
        <v>6.1437948016995841E-2</v>
      </c>
      <c r="K10" s="16">
        <f t="shared" si="1"/>
        <v>315.31982892214927</v>
      </c>
      <c r="L10" s="16">
        <f t="shared" si="2"/>
        <v>-0.26017107785071403</v>
      </c>
      <c r="M10" s="16">
        <f t="shared" si="3"/>
        <v>6.7688989750002301E-2</v>
      </c>
    </row>
    <row r="11" spans="1:13" ht="19.5" thickBot="1" x14ac:dyDescent="0.45">
      <c r="A11" s="2" t="s">
        <v>11</v>
      </c>
      <c r="B11" s="2" t="s">
        <v>32</v>
      </c>
      <c r="F11" s="1">
        <v>21582</v>
      </c>
      <c r="G11" s="16">
        <v>316.49</v>
      </c>
      <c r="H11" s="16">
        <f>_A*F11*F11+_B*F11+_C</f>
        <v>315.3249449117738</v>
      </c>
      <c r="I11">
        <f t="shared" si="0"/>
        <v>2</v>
      </c>
      <c r="J11" s="16" cm="1">
        <f t="array" ref="J11">INDEX(Sm,I11)</f>
        <v>0.69461918939657585</v>
      </c>
      <c r="K11" s="16">
        <f t="shared" si="1"/>
        <v>316.01956410117037</v>
      </c>
      <c r="L11" s="16">
        <f t="shared" si="2"/>
        <v>-0.47043589882963488</v>
      </c>
      <c r="M11" s="16">
        <f t="shared" si="3"/>
        <v>0.22130993490764647</v>
      </c>
    </row>
    <row r="12" spans="1:13" ht="19.5" thickBot="1" x14ac:dyDescent="0.45">
      <c r="A12" s="2">
        <v>1</v>
      </c>
      <c r="B12" s="8">
        <v>6.1437948016995841E-2</v>
      </c>
      <c r="D12" s="6"/>
      <c r="E12" t="s">
        <v>23</v>
      </c>
      <c r="F12" s="1">
        <v>21610</v>
      </c>
      <c r="G12" s="16">
        <v>316.64999999999998</v>
      </c>
      <c r="H12" s="16">
        <f>_A*F12*F12+_B*F12+_C</f>
        <v>315.38522011993001</v>
      </c>
      <c r="I12">
        <f t="shared" si="0"/>
        <v>3</v>
      </c>
      <c r="J12" s="16" cm="1">
        <f t="array" ref="J12">INDEX(Sm,I12)</f>
        <v>1.3737674684313066</v>
      </c>
      <c r="K12" s="16">
        <f t="shared" si="1"/>
        <v>316.75898758836132</v>
      </c>
      <c r="L12" s="16">
        <f t="shared" si="2"/>
        <v>0.10898758836134448</v>
      </c>
      <c r="M12" s="16">
        <f t="shared" si="3"/>
        <v>1.187829441682187E-2</v>
      </c>
    </row>
    <row r="13" spans="1:13" x14ac:dyDescent="0.4">
      <c r="A13" s="2">
        <v>2</v>
      </c>
      <c r="B13" s="9">
        <v>0.69461918939657585</v>
      </c>
      <c r="F13" s="1">
        <v>21641</v>
      </c>
      <c r="G13" s="16">
        <v>317.72000000000003</v>
      </c>
      <c r="H13" s="16">
        <f>_A*F13*F13+_B*F13+_C</f>
        <v>315.45213271463433</v>
      </c>
      <c r="I13">
        <f t="shared" si="0"/>
        <v>4</v>
      </c>
      <c r="J13" s="16" cm="1">
        <f t="array" ref="J13">INDEX(Sm,I13)</f>
        <v>2.6103146033777413</v>
      </c>
      <c r="K13" s="16">
        <f t="shared" si="1"/>
        <v>318.06244731801206</v>
      </c>
      <c r="L13" s="16">
        <f t="shared" si="2"/>
        <v>0.34244731801203443</v>
      </c>
      <c r="M13" s="16">
        <f t="shared" si="3"/>
        <v>0.11727016561363544</v>
      </c>
    </row>
    <row r="14" spans="1:13" x14ac:dyDescent="0.4">
      <c r="A14" s="2">
        <v>3</v>
      </c>
      <c r="B14" s="9">
        <v>1.3737674684313066</v>
      </c>
      <c r="F14" s="1">
        <v>21671</v>
      </c>
      <c r="G14" s="16">
        <v>318.29000000000002</v>
      </c>
      <c r="H14" s="16">
        <f>_A*F14*F14+_B*F14+_C</f>
        <v>315.51706626512043</v>
      </c>
      <c r="I14">
        <f t="shared" si="0"/>
        <v>5</v>
      </c>
      <c r="J14" s="16" cm="1">
        <f t="array" ref="J14">INDEX(Sm,I14)</f>
        <v>3.065687851218776</v>
      </c>
      <c r="K14" s="16">
        <f t="shared" si="1"/>
        <v>318.58275411633923</v>
      </c>
      <c r="L14" s="16">
        <f t="shared" si="2"/>
        <v>0.29275411633921067</v>
      </c>
      <c r="M14" s="16">
        <f t="shared" si="3"/>
        <v>8.570497263355209E-2</v>
      </c>
    </row>
    <row r="15" spans="1:13" x14ac:dyDescent="0.4">
      <c r="A15" s="2">
        <v>4</v>
      </c>
      <c r="B15" s="9">
        <v>2.6103146033777413</v>
      </c>
      <c r="F15" s="1">
        <v>21702</v>
      </c>
      <c r="G15" s="16">
        <v>318.14999999999998</v>
      </c>
      <c r="H15" s="16">
        <f>_A*F15*F15+_B*F15+_C</f>
        <v>315.58434967475409</v>
      </c>
      <c r="I15">
        <f t="shared" si="0"/>
        <v>6</v>
      </c>
      <c r="J15" s="16" cm="1">
        <f t="array" ref="J15">INDEX(Sm,I15)</f>
        <v>2.3467878996384672</v>
      </c>
      <c r="K15" s="16">
        <f t="shared" si="1"/>
        <v>317.93113757439255</v>
      </c>
      <c r="L15" s="16">
        <f t="shared" si="2"/>
        <v>-0.2188624256074263</v>
      </c>
      <c r="M15" s="16">
        <f t="shared" si="3"/>
        <v>4.7900761342766211E-2</v>
      </c>
    </row>
    <row r="16" spans="1:13" x14ac:dyDescent="0.4">
      <c r="A16" s="2">
        <v>5</v>
      </c>
      <c r="B16" s="9">
        <v>3.065687851218776</v>
      </c>
      <c r="F16" s="1">
        <v>21732</v>
      </c>
      <c r="G16" s="16">
        <v>316.54000000000002</v>
      </c>
      <c r="H16" s="16">
        <f>_A*F16*F16+_B*F16+_C</f>
        <v>315.64964207839762</v>
      </c>
      <c r="I16">
        <f t="shared" si="0"/>
        <v>7</v>
      </c>
      <c r="J16" s="16" cm="1">
        <f t="array" ref="J16">INDEX(Sm,I16)</f>
        <v>0.7237382709437985</v>
      </c>
      <c r="K16" s="16">
        <f t="shared" si="1"/>
        <v>316.3733803493414</v>
      </c>
      <c r="L16" s="16">
        <f t="shared" si="2"/>
        <v>-0.1666196506586175</v>
      </c>
      <c r="M16" s="16">
        <f t="shared" si="3"/>
        <v>2.7762107985599735E-2</v>
      </c>
    </row>
    <row r="17" spans="1:13" x14ac:dyDescent="0.4">
      <c r="A17" s="2">
        <v>6</v>
      </c>
      <c r="B17" s="9">
        <v>2.3467878996384672</v>
      </c>
      <c r="F17" s="1">
        <v>21763</v>
      </c>
      <c r="G17" s="16">
        <v>314.8</v>
      </c>
      <c r="H17" s="16">
        <f>_A*F17*F17+_B*F17+_C</f>
        <v>315.71729630296062</v>
      </c>
      <c r="I17">
        <f t="shared" si="0"/>
        <v>8</v>
      </c>
      <c r="J17" s="16" cm="1">
        <f t="array" ref="J17">INDEX(Sm,I17)</f>
        <v>-1.3971602754957855</v>
      </c>
      <c r="K17" s="16">
        <f t="shared" si="1"/>
        <v>314.32013602746486</v>
      </c>
      <c r="L17" s="16">
        <f t="shared" si="2"/>
        <v>-0.47986397253515634</v>
      </c>
      <c r="M17" s="16">
        <f t="shared" si="3"/>
        <v>0.23026943213722129</v>
      </c>
    </row>
    <row r="18" spans="1:13" x14ac:dyDescent="0.4">
      <c r="A18" s="2">
        <v>7</v>
      </c>
      <c r="B18" s="9">
        <v>0.7237382709437985</v>
      </c>
      <c r="F18" s="1">
        <v>21794</v>
      </c>
      <c r="G18" s="16">
        <v>313.83999999999997</v>
      </c>
      <c r="H18" s="16">
        <f>_A*F18*F18+_B*F18+_C</f>
        <v>315.78513897445492</v>
      </c>
      <c r="I18">
        <f t="shared" si="0"/>
        <v>9</v>
      </c>
      <c r="J18" s="16" cm="1">
        <f t="array" ref="J18">INDEX(Sm,I18)</f>
        <v>-3.1930865292764237</v>
      </c>
      <c r="K18" s="16">
        <f t="shared" si="1"/>
        <v>312.59205244517852</v>
      </c>
      <c r="L18" s="16">
        <f t="shared" si="2"/>
        <v>-1.2479475548214509</v>
      </c>
      <c r="M18" s="16">
        <f t="shared" si="3"/>
        <v>1.5573730995848383</v>
      </c>
    </row>
    <row r="19" spans="1:13" x14ac:dyDescent="0.4">
      <c r="A19" s="2">
        <v>8</v>
      </c>
      <c r="B19" s="9">
        <v>-1.3971602754957855</v>
      </c>
      <c r="F19" s="1">
        <v>21824</v>
      </c>
      <c r="G19" s="16">
        <v>313.33</v>
      </c>
      <c r="H19" s="16">
        <f>_A*F19*F19+_B*F19+_C</f>
        <v>315.85097259925391</v>
      </c>
      <c r="I19">
        <f t="shared" si="0"/>
        <v>10</v>
      </c>
      <c r="J19" s="16" cm="1">
        <f t="array" ref="J19">INDEX(Sm,I19)</f>
        <v>-3.3364130058083399</v>
      </c>
      <c r="K19" s="16">
        <f t="shared" si="1"/>
        <v>312.51455959344554</v>
      </c>
      <c r="L19" s="16">
        <f t="shared" si="2"/>
        <v>-0.81544040655444405</v>
      </c>
      <c r="M19" s="16">
        <f t="shared" si="3"/>
        <v>0.66494305664167697</v>
      </c>
    </row>
    <row r="20" spans="1:13" x14ac:dyDescent="0.4">
      <c r="A20" s="2">
        <v>9</v>
      </c>
      <c r="B20" s="9">
        <v>-3.1930865292764237</v>
      </c>
      <c r="F20" s="1">
        <v>21855</v>
      </c>
      <c r="G20" s="16">
        <v>314.81</v>
      </c>
      <c r="H20" s="16">
        <f>_A*F20*F20+_B*F20+_C</f>
        <v>315.91918608567755</v>
      </c>
      <c r="I20">
        <f t="shared" si="0"/>
        <v>11</v>
      </c>
      <c r="J20" s="16" cm="1">
        <f t="array" ref="J20">INDEX(Sm,I20)</f>
        <v>-2.0587659563291303</v>
      </c>
      <c r="K20" s="16">
        <f t="shared" si="1"/>
        <v>313.86042012934843</v>
      </c>
      <c r="L20" s="16">
        <f t="shared" si="2"/>
        <v>-0.94957987065157567</v>
      </c>
      <c r="M20" s="16">
        <f t="shared" si="3"/>
        <v>0.90170193074666316</v>
      </c>
    </row>
    <row r="21" spans="1:13" x14ac:dyDescent="0.4">
      <c r="A21" s="2">
        <v>10</v>
      </c>
      <c r="B21" s="9">
        <v>-3.3364130058083399</v>
      </c>
      <c r="F21" s="1">
        <v>21885</v>
      </c>
      <c r="G21" s="16">
        <v>315.58</v>
      </c>
      <c r="H21" s="16">
        <f>_A*F21*F21+_B*F21+_C</f>
        <v>315.98537856363396</v>
      </c>
      <c r="I21">
        <f t="shared" si="0"/>
        <v>12</v>
      </c>
      <c r="J21" s="16" cm="1">
        <f t="array" ref="J21">INDEX(Sm,I21)</f>
        <v>-0.89092746411398172</v>
      </c>
      <c r="K21" s="16">
        <f t="shared" si="1"/>
        <v>315.09445109951997</v>
      </c>
      <c r="L21" s="16">
        <f t="shared" si="2"/>
        <v>-0.48554890048001198</v>
      </c>
      <c r="M21" s="16">
        <f t="shared" si="3"/>
        <v>0.23575773475734857</v>
      </c>
    </row>
    <row r="22" spans="1:13" x14ac:dyDescent="0.4">
      <c r="A22" s="2">
        <v>11</v>
      </c>
      <c r="B22" s="9">
        <v>-2.0587659563291303</v>
      </c>
      <c r="F22" s="1">
        <v>21916</v>
      </c>
      <c r="G22" s="16">
        <v>316.43</v>
      </c>
      <c r="H22" s="16">
        <f>_A*F22*F22+_B*F22+_C</f>
        <v>316.05396286498689</v>
      </c>
      <c r="I22">
        <f t="shared" si="0"/>
        <v>1</v>
      </c>
      <c r="J22" s="16" cm="1">
        <f t="array" ref="J22">INDEX(Sm,I22)</f>
        <v>6.1437948016995841E-2</v>
      </c>
      <c r="K22" s="16">
        <f t="shared" si="1"/>
        <v>316.11540081300387</v>
      </c>
      <c r="L22" s="16">
        <f t="shared" si="2"/>
        <v>-0.31459918699613354</v>
      </c>
      <c r="M22" s="16">
        <f t="shared" si="3"/>
        <v>9.8972648458628201E-2</v>
      </c>
    </row>
    <row r="23" spans="1:13" ht="19.5" thickBot="1" x14ac:dyDescent="0.45">
      <c r="A23" s="2">
        <v>12</v>
      </c>
      <c r="B23" s="10">
        <v>-0.89092746411398172</v>
      </c>
      <c r="F23" s="1">
        <v>21947</v>
      </c>
      <c r="G23" s="16">
        <v>316.98</v>
      </c>
      <c r="H23" s="16">
        <f>_A*F23*F23+_B*F23+_C</f>
        <v>316.12273561327112</v>
      </c>
      <c r="I23">
        <f t="shared" si="0"/>
        <v>2</v>
      </c>
      <c r="J23" s="16" cm="1">
        <f t="array" ref="J23">INDEX(Sm,I23)</f>
        <v>0.69461918939657585</v>
      </c>
      <c r="K23" s="16">
        <f t="shared" si="1"/>
        <v>316.81735480266769</v>
      </c>
      <c r="L23" s="16">
        <f t="shared" si="2"/>
        <v>-0.16264519733232419</v>
      </c>
      <c r="M23" s="16">
        <f t="shared" si="3"/>
        <v>2.6453460215270674E-2</v>
      </c>
    </row>
    <row r="24" spans="1:13" ht="19.5" thickBot="1" x14ac:dyDescent="0.45">
      <c r="A24" s="12">
        <v>13</v>
      </c>
      <c r="B24" s="13">
        <f>B12</f>
        <v>6.1437948016995841E-2</v>
      </c>
      <c r="C24" s="14" t="s">
        <v>36</v>
      </c>
      <c r="D24" s="14"/>
      <c r="F24" s="1">
        <v>21976</v>
      </c>
      <c r="G24" s="16">
        <v>317.58</v>
      </c>
      <c r="H24" s="16">
        <f>_A*F24*F24+_B*F24+_C</f>
        <v>316.18724201237393</v>
      </c>
      <c r="I24">
        <f t="shared" si="0"/>
        <v>3</v>
      </c>
      <c r="J24" s="16" cm="1">
        <f t="array" ref="J24">INDEX(Sm,I24)</f>
        <v>1.3737674684313066</v>
      </c>
      <c r="K24" s="16">
        <f t="shared" si="1"/>
        <v>317.56100948080524</v>
      </c>
      <c r="L24" s="16">
        <f t="shared" si="2"/>
        <v>-1.8990519194744593E-2</v>
      </c>
      <c r="M24" s="16">
        <f t="shared" si="3"/>
        <v>3.606398192859628E-4</v>
      </c>
    </row>
    <row r="25" spans="1:13" ht="19.5" thickBot="1" x14ac:dyDescent="0.45">
      <c r="A25" s="5" t="s">
        <v>12</v>
      </c>
      <c r="B25" s="7">
        <f>SUM(B12:B23)</f>
        <v>0</v>
      </c>
      <c r="F25" s="1">
        <v>22007</v>
      </c>
      <c r="G25" s="16">
        <v>319.02999999999997</v>
      </c>
      <c r="H25" s="16">
        <f>_A*F25*F25+_B*F25+_C</f>
        <v>316.25637949665423</v>
      </c>
      <c r="I25">
        <f t="shared" si="0"/>
        <v>4</v>
      </c>
      <c r="J25" s="16" cm="1">
        <f t="array" ref="J25">INDEX(Sm,I25)</f>
        <v>2.6103146033777413</v>
      </c>
      <c r="K25" s="16">
        <f t="shared" si="1"/>
        <v>318.86669410003196</v>
      </c>
      <c r="L25" s="16">
        <f t="shared" si="2"/>
        <v>-0.16330589996800882</v>
      </c>
      <c r="M25" s="16">
        <f t="shared" si="3"/>
        <v>2.6668816964361301E-2</v>
      </c>
    </row>
    <row r="26" spans="1:13" ht="19.5" thickBot="1" x14ac:dyDescent="0.45">
      <c r="F26" s="1">
        <v>22037</v>
      </c>
      <c r="G26" s="16">
        <v>320.04000000000002</v>
      </c>
      <c r="H26" s="16">
        <f>_A*F26*F26+_B*F26+_C</f>
        <v>316.32346616608487</v>
      </c>
      <c r="I26">
        <f t="shared" si="0"/>
        <v>5</v>
      </c>
      <c r="J26" s="16" cm="1">
        <f t="array" ref="J26">INDEX(Sm,I26)</f>
        <v>3.065687851218776</v>
      </c>
      <c r="K26" s="16">
        <f t="shared" si="1"/>
        <v>319.38915401730367</v>
      </c>
      <c r="L26" s="16">
        <f t="shared" si="2"/>
        <v>-0.65084598269635308</v>
      </c>
      <c r="M26" s="16">
        <f t="shared" si="3"/>
        <v>0.42360049319198151</v>
      </c>
    </row>
    <row r="27" spans="1:13" ht="19.5" thickBot="1" x14ac:dyDescent="0.45">
      <c r="A27" s="2" t="s">
        <v>15</v>
      </c>
      <c r="B27" s="11">
        <f>SUM(M2:M742)</f>
        <v>411.82065422261928</v>
      </c>
      <c r="F27" s="1">
        <v>22068</v>
      </c>
      <c r="G27" s="16">
        <v>319.58</v>
      </c>
      <c r="H27" s="16">
        <f>_A*F27*F27+_B*F27+_C</f>
        <v>316.39297446529451</v>
      </c>
      <c r="I27">
        <f t="shared" si="0"/>
        <v>6</v>
      </c>
      <c r="J27" s="16" cm="1">
        <f t="array" ref="J27">INDEX(Sm,I27)</f>
        <v>2.3467878996384672</v>
      </c>
      <c r="K27" s="16">
        <f t="shared" si="1"/>
        <v>318.73976236493297</v>
      </c>
      <c r="L27" s="16">
        <f t="shared" si="2"/>
        <v>-0.84023763506701243</v>
      </c>
      <c r="M27" s="16">
        <f t="shared" si="3"/>
        <v>0.70599928338300599</v>
      </c>
    </row>
    <row r="28" spans="1:13" x14ac:dyDescent="0.4">
      <c r="F28" s="1">
        <v>22098</v>
      </c>
      <c r="G28" s="16">
        <v>318.18</v>
      </c>
      <c r="H28" s="16">
        <f>_A*F28*F28+_B*F28+_C</f>
        <v>316.46041998788257</v>
      </c>
      <c r="I28">
        <f t="shared" si="0"/>
        <v>7</v>
      </c>
      <c r="J28" s="16" cm="1">
        <f t="array" ref="J28">INDEX(Sm,I28)</f>
        <v>0.7237382709437985</v>
      </c>
      <c r="K28" s="16">
        <f t="shared" si="1"/>
        <v>317.18415825882636</v>
      </c>
      <c r="L28" s="16">
        <f t="shared" si="2"/>
        <v>-0.9958417411736491</v>
      </c>
      <c r="M28" s="16">
        <f t="shared" si="3"/>
        <v>0.99170077346376517</v>
      </c>
    </row>
    <row r="29" spans="1:13" x14ac:dyDescent="0.4">
      <c r="F29" s="1">
        <v>22129</v>
      </c>
      <c r="G29" s="16">
        <v>315.89999999999998</v>
      </c>
      <c r="H29" s="16">
        <f>_A*F29*F29+_B*F29+_C</f>
        <v>316.53029910202156</v>
      </c>
      <c r="I29">
        <f t="shared" si="0"/>
        <v>8</v>
      </c>
      <c r="J29" s="16" cm="1">
        <f t="array" ref="J29">INDEX(Sm,I29)</f>
        <v>-1.3971602754957855</v>
      </c>
      <c r="K29" s="16">
        <f t="shared" si="1"/>
        <v>315.13313882652579</v>
      </c>
      <c r="L29" s="16">
        <f t="shared" si="2"/>
        <v>-0.76686117347418303</v>
      </c>
      <c r="M29" s="16">
        <f t="shared" si="3"/>
        <v>0.58807605938220109</v>
      </c>
    </row>
    <row r="30" spans="1:13" x14ac:dyDescent="0.4">
      <c r="F30" s="1">
        <v>22160</v>
      </c>
      <c r="G30" s="16">
        <v>314.17</v>
      </c>
      <c r="H30" s="16">
        <f>_A*F30*F30+_B*F30+_C</f>
        <v>316.60036666309185</v>
      </c>
      <c r="I30">
        <f t="shared" si="0"/>
        <v>9</v>
      </c>
      <c r="J30" s="16" cm="1">
        <f t="array" ref="J30">INDEX(Sm,I30)</f>
        <v>-3.1930865292764237</v>
      </c>
      <c r="K30" s="16">
        <f t="shared" si="1"/>
        <v>313.40728013381545</v>
      </c>
      <c r="L30" s="16">
        <f t="shared" si="2"/>
        <v>-0.76271986618456822</v>
      </c>
      <c r="M30" s="16">
        <f t="shared" si="3"/>
        <v>0.58174159427260563</v>
      </c>
    </row>
    <row r="31" spans="1:13" x14ac:dyDescent="0.4">
      <c r="F31" s="1">
        <v>22190</v>
      </c>
      <c r="G31" s="16">
        <v>313.83</v>
      </c>
      <c r="H31" s="16">
        <f>_A*F31*F31+_B*F31+_C</f>
        <v>316.66835340683537</v>
      </c>
      <c r="I31">
        <f t="shared" si="0"/>
        <v>10</v>
      </c>
      <c r="J31" s="16" cm="1">
        <f t="array" ref="J31">INDEX(Sm,I31)</f>
        <v>-3.3364130058083399</v>
      </c>
      <c r="K31" s="16">
        <f t="shared" si="1"/>
        <v>313.331940401027</v>
      </c>
      <c r="L31" s="16">
        <f t="shared" si="2"/>
        <v>-0.49805959897298635</v>
      </c>
      <c r="M31" s="16">
        <f t="shared" si="3"/>
        <v>0.24806336412913199</v>
      </c>
    </row>
    <row r="32" spans="1:13" x14ac:dyDescent="0.4">
      <c r="F32" s="1">
        <v>22221</v>
      </c>
      <c r="G32" s="16">
        <v>315</v>
      </c>
      <c r="H32" s="16">
        <f>_A*F32*F32+_B*F32+_C</f>
        <v>316.73879178283499</v>
      </c>
      <c r="I32">
        <f t="shared" si="0"/>
        <v>11</v>
      </c>
      <c r="J32" s="16" cm="1">
        <f t="array" ref="J32">INDEX(Sm,I32)</f>
        <v>-2.0587659563291303</v>
      </c>
      <c r="K32" s="16">
        <f t="shared" si="1"/>
        <v>314.68002582650587</v>
      </c>
      <c r="L32" s="16">
        <f t="shared" si="2"/>
        <v>-0.31997417349413126</v>
      </c>
      <c r="M32" s="16">
        <f t="shared" si="3"/>
        <v>0.10238347170325242</v>
      </c>
    </row>
    <row r="33" spans="1:13" x14ac:dyDescent="0.4">
      <c r="F33" s="1">
        <v>22251</v>
      </c>
      <c r="G33" s="16">
        <v>316.19</v>
      </c>
      <c r="H33" s="16">
        <f>_A*F33*F33+_B*F33+_C</f>
        <v>316.80713737973588</v>
      </c>
      <c r="I33">
        <f t="shared" si="0"/>
        <v>12</v>
      </c>
      <c r="J33" s="16" cm="1">
        <f t="array" ref="J33">INDEX(Sm,I33)</f>
        <v>-0.89092746411398172</v>
      </c>
      <c r="K33" s="16">
        <f t="shared" si="1"/>
        <v>315.91620991562189</v>
      </c>
      <c r="L33" s="16">
        <f t="shared" si="2"/>
        <v>-0.27379008437810626</v>
      </c>
      <c r="M33" s="16">
        <f t="shared" si="3"/>
        <v>7.4961010303770545E-2</v>
      </c>
    </row>
    <row r="34" spans="1:13" x14ac:dyDescent="0.4">
      <c r="F34" s="1">
        <v>22282</v>
      </c>
      <c r="G34" s="16">
        <v>316.89999999999998</v>
      </c>
      <c r="H34" s="16">
        <f>_A*F34*F34+_B*F34+_C</f>
        <v>316.87794657066485</v>
      </c>
      <c r="I34">
        <f t="shared" si="0"/>
        <v>1</v>
      </c>
      <c r="J34" s="16" cm="1">
        <f t="array" ref="J34">INDEX(Sm,I34)</f>
        <v>6.1437948016995841E-2</v>
      </c>
      <c r="K34" s="16">
        <f t="shared" si="1"/>
        <v>316.93938451868183</v>
      </c>
      <c r="L34" s="16">
        <f t="shared" si="2"/>
        <v>3.9384518681856662E-2</v>
      </c>
      <c r="M34" s="16">
        <f t="shared" si="3"/>
        <v>1.5511403118015164E-3</v>
      </c>
    </row>
    <row r="35" spans="1:13" x14ac:dyDescent="0.4">
      <c r="F35" s="1">
        <v>22313</v>
      </c>
      <c r="G35" s="16">
        <v>317.7</v>
      </c>
      <c r="H35" s="16">
        <f>_A*F35*F35+_B*F35+_C</f>
        <v>316.94894420852512</v>
      </c>
      <c r="I35">
        <f t="shared" si="0"/>
        <v>2</v>
      </c>
      <c r="J35" s="16" cm="1">
        <f t="array" ref="J35">INDEX(Sm,I35)</f>
        <v>0.69461918939657585</v>
      </c>
      <c r="K35" s="16">
        <f t="shared" si="1"/>
        <v>317.6435633979217</v>
      </c>
      <c r="L35" s="16">
        <f t="shared" si="2"/>
        <v>-5.6436602078292708E-2</v>
      </c>
      <c r="M35" s="16">
        <f t="shared" si="3"/>
        <v>3.1850900541435527E-3</v>
      </c>
    </row>
    <row r="36" spans="1:13" x14ac:dyDescent="0.4">
      <c r="A36" s="4" t="s">
        <v>25</v>
      </c>
      <c r="F36" s="1">
        <v>22341</v>
      </c>
      <c r="G36" s="16">
        <v>318.54000000000002</v>
      </c>
      <c r="H36" s="16">
        <f>_A*F36*F36+_B*F36+_C</f>
        <v>317.01323308139501</v>
      </c>
      <c r="I36">
        <f t="shared" si="0"/>
        <v>3</v>
      </c>
      <c r="J36" s="16" cm="1">
        <f t="array" ref="J36">INDEX(Sm,I36)</f>
        <v>1.3737674684313066</v>
      </c>
      <c r="K36" s="16">
        <f t="shared" si="1"/>
        <v>318.38700054982633</v>
      </c>
      <c r="L36" s="16">
        <f t="shared" si="2"/>
        <v>-0.1529994501736951</v>
      </c>
      <c r="M36" s="16">
        <f t="shared" si="3"/>
        <v>2.340883175345301E-2</v>
      </c>
    </row>
    <row r="37" spans="1:13" x14ac:dyDescent="0.4">
      <c r="A37" s="2" t="s">
        <v>8</v>
      </c>
      <c r="B37">
        <v>1E-4</v>
      </c>
      <c r="F37" s="1">
        <v>22372</v>
      </c>
      <c r="G37" s="16">
        <v>319.48</v>
      </c>
      <c r="H37" s="16">
        <f>_A*F37*F37+_B*F37+_C</f>
        <v>317.08458937631804</v>
      </c>
      <c r="I37">
        <f t="shared" si="0"/>
        <v>4</v>
      </c>
      <c r="J37" s="16" cm="1">
        <f t="array" ref="J37">INDEX(Sm,I37)</f>
        <v>2.6103146033777413</v>
      </c>
      <c r="K37" s="16">
        <f t="shared" si="1"/>
        <v>319.69490397969577</v>
      </c>
      <c r="L37" s="16">
        <f t="shared" si="2"/>
        <v>0.21490397969574815</v>
      </c>
      <c r="M37" s="16">
        <f t="shared" si="3"/>
        <v>4.6183720489070532E-2</v>
      </c>
    </row>
    <row r="38" spans="1:13" x14ac:dyDescent="0.4">
      <c r="A38" s="17" t="s">
        <v>9</v>
      </c>
      <c r="B38">
        <v>0</v>
      </c>
      <c r="F38" s="1">
        <v>22402</v>
      </c>
      <c r="G38" s="16">
        <v>320.58</v>
      </c>
      <c r="H38" s="16">
        <f>_A*F38*F38+_B*F38+_C</f>
        <v>317.15382328185456</v>
      </c>
      <c r="I38">
        <f t="shared" si="0"/>
        <v>5</v>
      </c>
      <c r="J38" s="16" cm="1">
        <f t="array" ref="J38">INDEX(Sm,I38)</f>
        <v>3.065687851218776</v>
      </c>
      <c r="K38" s="16">
        <f t="shared" si="1"/>
        <v>320.21951113307335</v>
      </c>
      <c r="L38" s="16">
        <f t="shared" si="2"/>
        <v>-0.36048886692663018</v>
      </c>
      <c r="M38" s="16">
        <f t="shared" si="3"/>
        <v>0.12995222317804569</v>
      </c>
    </row>
    <row r="39" spans="1:13" x14ac:dyDescent="0.4">
      <c r="A39" s="2" t="s">
        <v>10</v>
      </c>
      <c r="B39">
        <v>300</v>
      </c>
      <c r="F39" s="1">
        <v>22433</v>
      </c>
      <c r="G39" s="16">
        <v>319.77</v>
      </c>
      <c r="H39" s="16">
        <f>_A*F39*F39+_B*F39+_C</f>
        <v>317.22555039170692</v>
      </c>
      <c r="I39">
        <f t="shared" si="0"/>
        <v>6</v>
      </c>
      <c r="J39" s="16" cm="1">
        <f t="array" ref="J39">INDEX(Sm,I39)</f>
        <v>2.3467878996384672</v>
      </c>
      <c r="K39" s="16">
        <f t="shared" si="1"/>
        <v>319.57233829134537</v>
      </c>
      <c r="L39" s="16">
        <f t="shared" si="2"/>
        <v>-0.19766170865460708</v>
      </c>
      <c r="M39" s="16">
        <f t="shared" si="3"/>
        <v>3.9070151068258771E-2</v>
      </c>
    </row>
    <row r="40" spans="1:13" x14ac:dyDescent="0.4">
      <c r="F40" s="1">
        <v>22463</v>
      </c>
      <c r="G40" s="16">
        <v>318.57</v>
      </c>
      <c r="H40" s="16">
        <f>_A*F40*F40+_B*F40+_C</f>
        <v>317.29514315040086</v>
      </c>
      <c r="I40">
        <f t="shared" si="0"/>
        <v>7</v>
      </c>
      <c r="J40" s="16" cm="1">
        <f t="array" ref="J40">INDEX(Sm,I40)</f>
        <v>0.7237382709437985</v>
      </c>
      <c r="K40" s="16">
        <f t="shared" si="1"/>
        <v>318.01888142134464</v>
      </c>
      <c r="L40" s="16">
        <f t="shared" si="2"/>
        <v>-0.5511185786553483</v>
      </c>
      <c r="M40" s="16">
        <f t="shared" si="3"/>
        <v>0.30373168773909132</v>
      </c>
    </row>
    <row r="41" spans="1:13" x14ac:dyDescent="0.4">
      <c r="F41" s="1">
        <v>22494</v>
      </c>
      <c r="G41" s="16">
        <v>316.79000000000002</v>
      </c>
      <c r="H41" s="16">
        <f>_A*F41*F41+_B*F41+_C</f>
        <v>317.36724107518256</v>
      </c>
      <c r="I41">
        <f t="shared" si="0"/>
        <v>8</v>
      </c>
      <c r="J41" s="16" cm="1">
        <f t="array" ref="J41">INDEX(Sm,I41)</f>
        <v>-1.3971602754957855</v>
      </c>
      <c r="K41" s="16">
        <f t="shared" si="1"/>
        <v>315.9700807996868</v>
      </c>
      <c r="L41" s="16">
        <f t="shared" si="2"/>
        <v>-0.81991920031322252</v>
      </c>
      <c r="M41" s="16">
        <f t="shared" si="3"/>
        <v>0.67226749504227434</v>
      </c>
    </row>
    <row r="42" spans="1:13" x14ac:dyDescent="0.4">
      <c r="F42" s="1">
        <v>22525</v>
      </c>
      <c r="G42" s="16">
        <v>314.99</v>
      </c>
      <c r="H42" s="16">
        <f>_A*F42*F42+_B*F42+_C</f>
        <v>317.43952744689557</v>
      </c>
      <c r="I42">
        <f t="shared" si="0"/>
        <v>9</v>
      </c>
      <c r="J42" s="16" cm="1">
        <f t="array" ref="J42">INDEX(Sm,I42)</f>
        <v>-3.1930865292764237</v>
      </c>
      <c r="K42" s="16">
        <f t="shared" si="1"/>
        <v>314.24644091761917</v>
      </c>
      <c r="L42" s="16">
        <f t="shared" si="2"/>
        <v>-0.74355908238084112</v>
      </c>
      <c r="M42" s="16">
        <f t="shared" si="3"/>
        <v>0.55288010899103845</v>
      </c>
    </row>
    <row r="43" spans="1:13" x14ac:dyDescent="0.4">
      <c r="F43" s="1">
        <v>22555</v>
      </c>
      <c r="G43" s="16">
        <v>315.31</v>
      </c>
      <c r="H43" s="16">
        <f>_A*F43*F43+_B*F43+_C</f>
        <v>317.50966142674497</v>
      </c>
      <c r="I43">
        <f t="shared" si="0"/>
        <v>10</v>
      </c>
      <c r="J43" s="16" cm="1">
        <f t="array" ref="J43">INDEX(Sm,I43)</f>
        <v>-3.3364130058083399</v>
      </c>
      <c r="K43" s="16">
        <f t="shared" si="1"/>
        <v>314.1732484209366</v>
      </c>
      <c r="L43" s="16">
        <f t="shared" si="2"/>
        <v>-1.1367515790634002</v>
      </c>
      <c r="M43" s="16">
        <f t="shared" si="3"/>
        <v>1.2922041525031338</v>
      </c>
    </row>
    <row r="44" spans="1:13" x14ac:dyDescent="0.4">
      <c r="F44" s="1">
        <v>22586</v>
      </c>
      <c r="G44" s="16">
        <v>316.10000000000002</v>
      </c>
      <c r="H44" s="16">
        <f>_A*F44*F44+_B*F44+_C</f>
        <v>317.58231861338732</v>
      </c>
      <c r="I44">
        <f t="shared" si="0"/>
        <v>11</v>
      </c>
      <c r="J44" s="16" cm="1">
        <f t="array" ref="J44">INDEX(Sm,I44)</f>
        <v>-2.0587659563291303</v>
      </c>
      <c r="K44" s="16">
        <f t="shared" si="1"/>
        <v>315.52355265705819</v>
      </c>
      <c r="L44" s="16">
        <f t="shared" si="2"/>
        <v>-0.57644734294183309</v>
      </c>
      <c r="M44" s="16">
        <f t="shared" si="3"/>
        <v>0.33229153918469934</v>
      </c>
    </row>
    <row r="45" spans="1:13" x14ac:dyDescent="0.4">
      <c r="F45" s="1">
        <v>22616</v>
      </c>
      <c r="G45" s="16">
        <v>317.01</v>
      </c>
      <c r="H45" s="16">
        <f>_A*F45*F45+_B*F45+_C</f>
        <v>317.65281144639408</v>
      </c>
      <c r="I45">
        <f t="shared" si="0"/>
        <v>12</v>
      </c>
      <c r="J45" s="16" cm="1">
        <f t="array" ref="J45">INDEX(Sm,I45)</f>
        <v>-0.89092746411398172</v>
      </c>
      <c r="K45" s="16">
        <f t="shared" si="1"/>
        <v>316.7618839822801</v>
      </c>
      <c r="L45" s="16">
        <f t="shared" si="2"/>
        <v>-0.24811601771989444</v>
      </c>
      <c r="M45" s="16">
        <f t="shared" si="3"/>
        <v>6.1561558249178971E-2</v>
      </c>
    </row>
    <row r="46" spans="1:13" x14ac:dyDescent="0.4">
      <c r="F46" s="1">
        <v>22647</v>
      </c>
      <c r="G46" s="16">
        <v>317.94</v>
      </c>
      <c r="H46" s="16">
        <f>_A*F46*F46+_B*F46+_C</f>
        <v>317.72583944796577</v>
      </c>
      <c r="I46">
        <f t="shared" si="0"/>
        <v>1</v>
      </c>
      <c r="J46" s="16" cm="1">
        <f t="array" ref="J46">INDEX(Sm,I46)</f>
        <v>6.1437948016995841E-2</v>
      </c>
      <c r="K46" s="16">
        <f t="shared" si="1"/>
        <v>317.78727739598276</v>
      </c>
      <c r="L46" s="16">
        <f t="shared" si="2"/>
        <v>-0.15272260401724225</v>
      </c>
      <c r="M46" s="16">
        <f t="shared" si="3"/>
        <v>2.3324193777807378E-2</v>
      </c>
    </row>
    <row r="47" spans="1:13" x14ac:dyDescent="0.4">
      <c r="F47" s="1">
        <v>22678</v>
      </c>
      <c r="G47" s="16">
        <v>318.55</v>
      </c>
      <c r="H47" s="16">
        <f>_A*F47*F47+_B*F47+_C</f>
        <v>317.79905589646876</v>
      </c>
      <c r="I47">
        <f t="shared" si="0"/>
        <v>2</v>
      </c>
      <c r="J47" s="16" cm="1">
        <f t="array" ref="J47">INDEX(Sm,I47)</f>
        <v>0.69461918939657585</v>
      </c>
      <c r="K47" s="16">
        <f t="shared" si="1"/>
        <v>318.49367508586533</v>
      </c>
      <c r="L47" s="16">
        <f t="shared" si="2"/>
        <v>-5.6324914134677329E-2</v>
      </c>
      <c r="M47" s="16">
        <f t="shared" si="3"/>
        <v>3.1724959522787741E-3</v>
      </c>
    </row>
    <row r="48" spans="1:13" x14ac:dyDescent="0.4">
      <c r="F48" s="1">
        <v>22706</v>
      </c>
      <c r="G48" s="16">
        <v>319.68</v>
      </c>
      <c r="H48" s="16">
        <f>_A*F48*F48+_B*F48+_C</f>
        <v>317.86534885637082</v>
      </c>
      <c r="I48">
        <f t="shared" si="0"/>
        <v>3</v>
      </c>
      <c r="J48" s="16" cm="1">
        <f t="array" ref="J48">INDEX(Sm,I48)</f>
        <v>1.3737674684313066</v>
      </c>
      <c r="K48" s="16">
        <f t="shared" si="1"/>
        <v>319.23911632480213</v>
      </c>
      <c r="L48" s="16">
        <f t="shared" si="2"/>
        <v>-0.44088367519788108</v>
      </c>
      <c r="M48" s="16">
        <f t="shared" si="3"/>
        <v>0.19437841505599068</v>
      </c>
    </row>
    <row r="49" spans="6:13" x14ac:dyDescent="0.4">
      <c r="F49" s="1">
        <v>22737</v>
      </c>
      <c r="G49" s="16">
        <v>320.57</v>
      </c>
      <c r="H49" s="16">
        <f>_A*F49*F49+_B*F49+_C</f>
        <v>317.93892396193655</v>
      </c>
      <c r="I49">
        <f t="shared" si="0"/>
        <v>4</v>
      </c>
      <c r="J49" s="16" cm="1">
        <f t="array" ref="J49">INDEX(Sm,I49)</f>
        <v>2.6103146033777413</v>
      </c>
      <c r="K49" s="16">
        <f t="shared" si="1"/>
        <v>320.54923856531428</v>
      </c>
      <c r="L49" s="16">
        <f t="shared" si="2"/>
        <v>-2.0761434685709901E-2</v>
      </c>
      <c r="M49" s="16">
        <f t="shared" si="3"/>
        <v>4.3103717020899815E-4</v>
      </c>
    </row>
    <row r="50" spans="6:13" x14ac:dyDescent="0.4">
      <c r="F50" s="1">
        <v>22767</v>
      </c>
      <c r="G50" s="16">
        <v>321.02</v>
      </c>
      <c r="H50" s="16">
        <f>_A*F50*F50+_B*F50+_C</f>
        <v>318.01030510357896</v>
      </c>
      <c r="I50">
        <f t="shared" si="0"/>
        <v>5</v>
      </c>
      <c r="J50" s="16" cm="1">
        <f t="array" ref="J50">INDEX(Sm,I50)</f>
        <v>3.065687851218776</v>
      </c>
      <c r="K50" s="16">
        <f t="shared" si="1"/>
        <v>321.07599295479775</v>
      </c>
      <c r="L50" s="16">
        <f t="shared" si="2"/>
        <v>5.5992954797773109E-2</v>
      </c>
      <c r="M50" s="16">
        <f t="shared" si="3"/>
        <v>3.1352109869854628E-3</v>
      </c>
    </row>
    <row r="51" spans="6:13" x14ac:dyDescent="0.4">
      <c r="F51" s="1">
        <v>22798</v>
      </c>
      <c r="G51" s="16">
        <v>320.62</v>
      </c>
      <c r="H51" s="16">
        <f>_A*F51*F51+_B*F51+_C</f>
        <v>318.08425102407404</v>
      </c>
      <c r="I51">
        <f t="shared" si="0"/>
        <v>6</v>
      </c>
      <c r="J51" s="16" cm="1">
        <f t="array" ref="J51">INDEX(Sm,I51)</f>
        <v>2.3467878996384672</v>
      </c>
      <c r="K51" s="16">
        <f t="shared" si="1"/>
        <v>320.43103892371249</v>
      </c>
      <c r="L51" s="16">
        <f t="shared" si="2"/>
        <v>-0.18896107628751224</v>
      </c>
      <c r="M51" s="16">
        <f t="shared" si="3"/>
        <v>3.5706288351735019E-2</v>
      </c>
    </row>
    <row r="52" spans="6:13" x14ac:dyDescent="0.4">
      <c r="F52" s="1">
        <v>22828</v>
      </c>
      <c r="G52" s="16">
        <v>319.61</v>
      </c>
      <c r="H52" s="16">
        <f>_A*F52*F52+_B*F52+_C</f>
        <v>318.15599101887386</v>
      </c>
      <c r="I52">
        <f t="shared" si="0"/>
        <v>7</v>
      </c>
      <c r="J52" s="16" cm="1">
        <f t="array" ref="J52">INDEX(Sm,I52)</f>
        <v>0.7237382709437985</v>
      </c>
      <c r="K52" s="16">
        <f t="shared" si="1"/>
        <v>318.87972928981765</v>
      </c>
      <c r="L52" s="16">
        <f t="shared" si="2"/>
        <v>-0.73027071018236711</v>
      </c>
      <c r="M52" s="16">
        <f t="shared" si="3"/>
        <v>0.53329531015025877</v>
      </c>
    </row>
    <row r="53" spans="6:13" x14ac:dyDescent="0.4">
      <c r="F53" s="1">
        <v>22859</v>
      </c>
      <c r="G53" s="16">
        <v>317.39999999999998</v>
      </c>
      <c r="H53" s="16">
        <f>_A*F53*F53+_B*F53+_C</f>
        <v>318.23030775429828</v>
      </c>
      <c r="I53">
        <f t="shared" si="0"/>
        <v>8</v>
      </c>
      <c r="J53" s="16" cm="1">
        <f t="array" ref="J53">INDEX(Sm,I53)</f>
        <v>-1.3971602754957855</v>
      </c>
      <c r="K53" s="16">
        <f t="shared" si="1"/>
        <v>316.83314747880252</v>
      </c>
      <c r="L53" s="16">
        <f t="shared" si="2"/>
        <v>-0.5668525211974611</v>
      </c>
      <c r="M53" s="16">
        <f t="shared" si="3"/>
        <v>0.32132178078791807</v>
      </c>
    </row>
    <row r="54" spans="6:13" x14ac:dyDescent="0.4">
      <c r="F54" s="1">
        <v>22890</v>
      </c>
      <c r="G54" s="16">
        <v>316.25</v>
      </c>
      <c r="H54" s="16">
        <f>_A*F54*F54+_B*F54+_C</f>
        <v>318.304812936654</v>
      </c>
      <c r="I54">
        <f t="shared" si="0"/>
        <v>9</v>
      </c>
      <c r="J54" s="16" cm="1">
        <f t="array" ref="J54">INDEX(Sm,I54)</f>
        <v>-3.1930865292764237</v>
      </c>
      <c r="K54" s="16">
        <f t="shared" si="1"/>
        <v>315.1117264073776</v>
      </c>
      <c r="L54" s="16">
        <f t="shared" si="2"/>
        <v>-1.1382735926223972</v>
      </c>
      <c r="M54" s="16">
        <f t="shared" si="3"/>
        <v>1.2956667716614991</v>
      </c>
    </row>
    <row r="55" spans="6:13" x14ac:dyDescent="0.4">
      <c r="F55" s="1">
        <v>22920</v>
      </c>
      <c r="G55" s="16">
        <v>315.42</v>
      </c>
      <c r="H55" s="16">
        <f>_A*F55*F55+_B*F55+_C</f>
        <v>318.37709415260929</v>
      </c>
      <c r="I55">
        <f t="shared" si="0"/>
        <v>10</v>
      </c>
      <c r="J55" s="16" cm="1">
        <f t="array" ref="J55">INDEX(Sm,I55)</f>
        <v>-3.3364130058083399</v>
      </c>
      <c r="K55" s="16">
        <f t="shared" si="1"/>
        <v>315.04068114680092</v>
      </c>
      <c r="L55" s="16">
        <f t="shared" si="2"/>
        <v>-0.37931885319909497</v>
      </c>
      <c r="M55" s="16">
        <f t="shared" si="3"/>
        <v>0.14388279239227655</v>
      </c>
    </row>
    <row r="56" spans="6:13" x14ac:dyDescent="0.4">
      <c r="F56" s="1">
        <v>22951</v>
      </c>
      <c r="G56" s="16">
        <v>316.69</v>
      </c>
      <c r="H56" s="16">
        <f>_A*F56*F56+_B*F56+_C</f>
        <v>318.45197014989435</v>
      </c>
      <c r="I56">
        <f t="shared" si="0"/>
        <v>11</v>
      </c>
      <c r="J56" s="16" cm="1">
        <f t="array" ref="J56">INDEX(Sm,I56)</f>
        <v>-2.0587659563291303</v>
      </c>
      <c r="K56" s="16">
        <f t="shared" si="1"/>
        <v>316.39320419356523</v>
      </c>
      <c r="L56" s="16">
        <f t="shared" si="2"/>
        <v>-0.29679580643477266</v>
      </c>
      <c r="M56" s="16">
        <f t="shared" si="3"/>
        <v>8.8087750717267044E-2</v>
      </c>
    </row>
    <row r="57" spans="6:13" x14ac:dyDescent="0.4">
      <c r="F57" s="1">
        <v>22981</v>
      </c>
      <c r="G57" s="16">
        <v>317.7</v>
      </c>
      <c r="H57" s="16">
        <f>_A*F57*F57+_B*F57+_C</f>
        <v>318.524610219007</v>
      </c>
      <c r="I57">
        <f t="shared" si="0"/>
        <v>12</v>
      </c>
      <c r="J57" s="16" cm="1">
        <f t="array" ref="J57">INDEX(Sm,I57)</f>
        <v>-0.89092746411398172</v>
      </c>
      <c r="K57" s="16">
        <f t="shared" si="1"/>
        <v>317.63368275489302</v>
      </c>
      <c r="L57" s="16">
        <f t="shared" si="2"/>
        <v>-6.6317245106972678E-2</v>
      </c>
      <c r="M57" s="16">
        <f t="shared" si="3"/>
        <v>4.3979769985782917E-3</v>
      </c>
    </row>
    <row r="58" spans="6:13" x14ac:dyDescent="0.4">
      <c r="F58" s="1">
        <v>23012</v>
      </c>
      <c r="G58" s="16">
        <v>318.74</v>
      </c>
      <c r="H58" s="16">
        <f>_A*F58*F58+_B*F58+_C</f>
        <v>318.5998570312214</v>
      </c>
      <c r="I58">
        <f t="shared" si="0"/>
        <v>1</v>
      </c>
      <c r="J58" s="16" cm="1">
        <f t="array" ref="J58">INDEX(Sm,I58)</f>
        <v>6.1437948016995841E-2</v>
      </c>
      <c r="K58" s="16">
        <f t="shared" si="1"/>
        <v>318.66129497923839</v>
      </c>
      <c r="L58" s="16">
        <f t="shared" si="2"/>
        <v>-7.8705020761617561E-2</v>
      </c>
      <c r="M58" s="16">
        <f t="shared" si="3"/>
        <v>6.1944802930866518E-3</v>
      </c>
    </row>
    <row r="59" spans="6:13" x14ac:dyDescent="0.4">
      <c r="F59" s="1">
        <v>23043</v>
      </c>
      <c r="G59" s="16">
        <v>319.07</v>
      </c>
      <c r="H59" s="16">
        <f>_A*F59*F59+_B*F59+_C</f>
        <v>318.67529229036711</v>
      </c>
      <c r="I59">
        <f t="shared" si="0"/>
        <v>2</v>
      </c>
      <c r="J59" s="16" cm="1">
        <f t="array" ref="J59">INDEX(Sm,I59)</f>
        <v>0.69461918939657585</v>
      </c>
      <c r="K59" s="16">
        <f t="shared" si="1"/>
        <v>319.36991147976369</v>
      </c>
      <c r="L59" s="16">
        <f t="shared" si="2"/>
        <v>0.29991147976369348</v>
      </c>
      <c r="M59" s="16">
        <f t="shared" si="3"/>
        <v>8.9946895694048318E-2</v>
      </c>
    </row>
    <row r="60" spans="6:13" x14ac:dyDescent="0.4">
      <c r="F60" s="1">
        <v>23071</v>
      </c>
      <c r="G60" s="16">
        <v>319.86</v>
      </c>
      <c r="H60" s="16">
        <f>_A*F60*F60+_B*F60+_C</f>
        <v>318.74358933730127</v>
      </c>
      <c r="I60">
        <f t="shared" si="0"/>
        <v>3</v>
      </c>
      <c r="J60" s="16" cm="1">
        <f t="array" ref="J60">INDEX(Sm,I60)</f>
        <v>1.3737674684313066</v>
      </c>
      <c r="K60" s="16">
        <f t="shared" si="1"/>
        <v>320.11735680573258</v>
      </c>
      <c r="L60" s="16">
        <f t="shared" si="2"/>
        <v>0.25735680573257014</v>
      </c>
      <c r="M60" s="16">
        <f t="shared" si="3"/>
        <v>6.6232525456871846E-2</v>
      </c>
    </row>
    <row r="61" spans="6:13" x14ac:dyDescent="0.4">
      <c r="F61" s="1">
        <v>23102</v>
      </c>
      <c r="G61" s="16">
        <v>321.38</v>
      </c>
      <c r="H61" s="16">
        <f>_A*F61*F61+_B*F61+_C</f>
        <v>318.81938325350978</v>
      </c>
      <c r="I61">
        <f t="shared" si="0"/>
        <v>4</v>
      </c>
      <c r="J61" s="16" cm="1">
        <f t="array" ref="J61">INDEX(Sm,I61)</f>
        <v>2.6103146033777413</v>
      </c>
      <c r="K61" s="16">
        <f t="shared" si="1"/>
        <v>321.42969785688751</v>
      </c>
      <c r="L61" s="16">
        <f t="shared" si="2"/>
        <v>4.9697856887519265E-2</v>
      </c>
      <c r="M61" s="16">
        <f t="shared" si="3"/>
        <v>2.4698769792123459E-3</v>
      </c>
    </row>
    <row r="62" spans="6:13" x14ac:dyDescent="0.4">
      <c r="F62" s="1">
        <v>23132</v>
      </c>
      <c r="G62" s="16">
        <v>322.25</v>
      </c>
      <c r="H62" s="16">
        <f>_A*F62*F62+_B*F62+_C</f>
        <v>318.89291163125802</v>
      </c>
      <c r="I62">
        <f t="shared" si="0"/>
        <v>5</v>
      </c>
      <c r="J62" s="16" cm="1">
        <f t="array" ref="J62">INDEX(Sm,I62)</f>
        <v>3.065687851218776</v>
      </c>
      <c r="K62" s="16">
        <f t="shared" si="1"/>
        <v>321.95859948247681</v>
      </c>
      <c r="L62" s="16">
        <f t="shared" si="2"/>
        <v>-0.29140051752318641</v>
      </c>
      <c r="M62" s="16">
        <f t="shared" si="3"/>
        <v>8.4914261612780872E-2</v>
      </c>
    </row>
    <row r="63" spans="6:13" x14ac:dyDescent="0.4">
      <c r="F63" s="1">
        <v>23163</v>
      </c>
      <c r="G63" s="16">
        <v>321.48</v>
      </c>
      <c r="H63" s="16">
        <f>_A*F63*F63+_B*F63+_C</f>
        <v>318.96907636239587</v>
      </c>
      <c r="I63">
        <f t="shared" si="0"/>
        <v>6</v>
      </c>
      <c r="J63" s="16" cm="1">
        <f t="array" ref="J63">INDEX(Sm,I63)</f>
        <v>2.3467878996384672</v>
      </c>
      <c r="K63" s="16">
        <f t="shared" si="1"/>
        <v>321.31586426203432</v>
      </c>
      <c r="L63" s="16">
        <f t="shared" si="2"/>
        <v>-0.16413573796569381</v>
      </c>
      <c r="M63" s="16">
        <f t="shared" si="3"/>
        <v>2.69405404775429E-2</v>
      </c>
    </row>
    <row r="64" spans="6:13" x14ac:dyDescent="0.4">
      <c r="F64" s="1">
        <v>23193</v>
      </c>
      <c r="G64" s="16">
        <v>319.74</v>
      </c>
      <c r="H64" s="16">
        <f>_A*F64*F64+_B*F64+_C</f>
        <v>319.04296359330158</v>
      </c>
      <c r="I64">
        <f t="shared" si="0"/>
        <v>7</v>
      </c>
      <c r="J64" s="16" cm="1">
        <f t="array" ref="J64">INDEX(Sm,I64)</f>
        <v>0.7237382709437985</v>
      </c>
      <c r="K64" s="16">
        <f t="shared" si="1"/>
        <v>319.76670186424536</v>
      </c>
      <c r="L64" s="16">
        <f t="shared" si="2"/>
        <v>2.670186424535359E-2</v>
      </c>
      <c r="M64" s="16">
        <f t="shared" si="3"/>
        <v>7.1298955417729252E-4</v>
      </c>
    </row>
    <row r="65" spans="6:13" x14ac:dyDescent="0.4">
      <c r="F65" s="1">
        <v>23224</v>
      </c>
      <c r="G65" s="16">
        <v>317.77</v>
      </c>
      <c r="H65" s="16">
        <f>_A*F65*F65+_B*F65+_C</f>
        <v>319.11949913936871</v>
      </c>
      <c r="I65">
        <f t="shared" si="0"/>
        <v>8</v>
      </c>
      <c r="J65" s="16" cm="1">
        <f t="array" ref="J65">INDEX(Sm,I65)</f>
        <v>-1.3971602754957855</v>
      </c>
      <c r="K65" s="16">
        <f t="shared" si="1"/>
        <v>317.72233886387295</v>
      </c>
      <c r="L65" s="16">
        <f t="shared" si="2"/>
        <v>-4.7661136127032933E-2</v>
      </c>
      <c r="M65" s="16">
        <f t="shared" si="3"/>
        <v>2.2715838969195636E-3</v>
      </c>
    </row>
    <row r="66" spans="6:13" x14ac:dyDescent="0.4">
      <c r="F66" s="1">
        <v>23255</v>
      </c>
      <c r="G66" s="16">
        <v>316.20999999999998</v>
      </c>
      <c r="H66" s="16">
        <f>_A*F66*F66+_B*F66+_C</f>
        <v>319.19622313236721</v>
      </c>
      <c r="I66">
        <f t="shared" si="0"/>
        <v>9</v>
      </c>
      <c r="J66" s="16" cm="1">
        <f t="array" ref="J66">INDEX(Sm,I66)</f>
        <v>-3.1930865292764237</v>
      </c>
      <c r="K66" s="16">
        <f t="shared" si="1"/>
        <v>316.00313660309081</v>
      </c>
      <c r="L66" s="16">
        <f t="shared" si="2"/>
        <v>-0.20686339690917066</v>
      </c>
      <c r="M66" s="16">
        <f t="shared" si="3"/>
        <v>4.2792464980801075E-2</v>
      </c>
    </row>
    <row r="67" spans="6:13" x14ac:dyDescent="0.4">
      <c r="F67" s="1">
        <v>23285</v>
      </c>
      <c r="G67" s="16">
        <v>315.99</v>
      </c>
      <c r="H67" s="16">
        <f>_A*F67*F67+_B*F67+_C</f>
        <v>319.27065158442832</v>
      </c>
      <c r="I67">
        <f t="shared" ref="I67:I130" si="4">MONTH(F67)</f>
        <v>10</v>
      </c>
      <c r="J67" s="16" cm="1">
        <f t="array" ref="J67">INDEX(Sm,I67)</f>
        <v>-3.3364130058083399</v>
      </c>
      <c r="K67" s="16">
        <f t="shared" ref="K67:K130" si="5">H67+J67</f>
        <v>315.93423857861995</v>
      </c>
      <c r="L67" s="16">
        <f t="shared" ref="L67:L130" si="6">K67-G67</f>
        <v>-5.5761421380054799E-2</v>
      </c>
      <c r="M67" s="16">
        <f t="shared" ref="M67:M130" si="7">L67*L67</f>
        <v>3.1093361143240323E-3</v>
      </c>
    </row>
    <row r="68" spans="6:13" x14ac:dyDescent="0.4">
      <c r="F68" s="1">
        <v>23316</v>
      </c>
      <c r="G68" s="16">
        <v>317.07</v>
      </c>
      <c r="H68" s="16">
        <f>_A*F68*F68+_B*F68+_C</f>
        <v>319.3477463923561</v>
      </c>
      <c r="I68">
        <f t="shared" si="4"/>
        <v>11</v>
      </c>
      <c r="J68" s="16" cm="1">
        <f t="array" ref="J68">INDEX(Sm,I68)</f>
        <v>-2.0587659563291303</v>
      </c>
      <c r="K68" s="16">
        <f t="shared" si="5"/>
        <v>317.28898043602697</v>
      </c>
      <c r="L68" s="16">
        <f t="shared" si="6"/>
        <v>0.21898043602698181</v>
      </c>
      <c r="M68" s="16">
        <f t="shared" si="7"/>
        <v>4.795243136256707E-2</v>
      </c>
    </row>
    <row r="69" spans="6:13" x14ac:dyDescent="0.4">
      <c r="F69" s="1">
        <v>23346</v>
      </c>
      <c r="G69" s="16">
        <v>318.35000000000002</v>
      </c>
      <c r="H69" s="16">
        <f>_A*F69*F69+_B*F69+_C</f>
        <v>319.42253369757464</v>
      </c>
      <c r="I69">
        <f t="shared" si="4"/>
        <v>12</v>
      </c>
      <c r="J69" s="16" cm="1">
        <f t="array" ref="J69">INDEX(Sm,I69)</f>
        <v>-0.89092746411398172</v>
      </c>
      <c r="K69" s="16">
        <f t="shared" si="5"/>
        <v>318.53160623346065</v>
      </c>
      <c r="L69" s="16">
        <f t="shared" si="6"/>
        <v>0.18160623346062721</v>
      </c>
      <c r="M69" s="16">
        <f t="shared" si="7"/>
        <v>3.2980824031755833E-2</v>
      </c>
    </row>
    <row r="70" spans="6:13" x14ac:dyDescent="0.4">
      <c r="F70" s="1">
        <v>23377</v>
      </c>
      <c r="G70" s="16">
        <v>319.57</v>
      </c>
      <c r="H70" s="16">
        <f>_A*F70*F70+_B*F70+_C</f>
        <v>319.49999932043181</v>
      </c>
      <c r="I70">
        <f t="shared" si="4"/>
        <v>1</v>
      </c>
      <c r="J70" s="16" cm="1">
        <f t="array" ref="J70">INDEX(Sm,I70)</f>
        <v>6.1437948016995841E-2</v>
      </c>
      <c r="K70" s="16">
        <f t="shared" si="5"/>
        <v>319.5614372684488</v>
      </c>
      <c r="L70" s="16">
        <f t="shared" si="6"/>
        <v>-8.562731551194247E-3</v>
      </c>
      <c r="M70" s="16">
        <f t="shared" si="7"/>
        <v>7.3320371617817433E-5</v>
      </c>
    </row>
    <row r="71" spans="6:13" x14ac:dyDescent="0.4">
      <c r="F71" s="1">
        <v>23498</v>
      </c>
      <c r="G71" s="16">
        <v>322.26</v>
      </c>
      <c r="H71" s="16">
        <f>_A*F71*F71+_B*F71+_C</f>
        <v>319.80416842482032</v>
      </c>
      <c r="I71">
        <f t="shared" si="4"/>
        <v>5</v>
      </c>
      <c r="J71" s="16" cm="1">
        <f t="array" ref="J71">INDEX(Sm,I71)</f>
        <v>3.065687851218776</v>
      </c>
      <c r="K71" s="16">
        <f t="shared" si="5"/>
        <v>322.86985627603912</v>
      </c>
      <c r="L71" s="16">
        <f t="shared" si="6"/>
        <v>0.60985627603912462</v>
      </c>
      <c r="M71" s="16">
        <f t="shared" si="7"/>
        <v>0.37192467742430896</v>
      </c>
    </row>
    <row r="72" spans="6:13" x14ac:dyDescent="0.4">
      <c r="F72" s="1">
        <v>23529</v>
      </c>
      <c r="G72" s="16">
        <v>321.89</v>
      </c>
      <c r="H72" s="16">
        <f>_A*F72*F72+_B*F72+_C</f>
        <v>319.88255804553415</v>
      </c>
      <c r="I72">
        <f t="shared" si="4"/>
        <v>6</v>
      </c>
      <c r="J72" s="16" cm="1">
        <f t="array" ref="J72">INDEX(Sm,I72)</f>
        <v>2.3467878996384672</v>
      </c>
      <c r="K72" s="16">
        <f t="shared" si="5"/>
        <v>322.22934594517261</v>
      </c>
      <c r="L72" s="16">
        <f t="shared" si="6"/>
        <v>0.3393459451726244</v>
      </c>
      <c r="M72" s="16">
        <f t="shared" si="7"/>
        <v>0.11515567050510181</v>
      </c>
    </row>
    <row r="73" spans="6:13" x14ac:dyDescent="0.4">
      <c r="F73" s="1">
        <v>23559</v>
      </c>
      <c r="G73" s="16">
        <v>320.44</v>
      </c>
      <c r="H73" s="16">
        <f>_A*F73*F73+_B*F73+_C</f>
        <v>319.95859839538434</v>
      </c>
      <c r="I73">
        <f t="shared" si="4"/>
        <v>7</v>
      </c>
      <c r="J73" s="16" cm="1">
        <f t="array" ref="J73">INDEX(Sm,I73)</f>
        <v>0.7237382709437985</v>
      </c>
      <c r="K73" s="16">
        <f t="shared" si="5"/>
        <v>320.68233666632813</v>
      </c>
      <c r="L73" s="16">
        <f t="shared" si="6"/>
        <v>0.24233666632812856</v>
      </c>
      <c r="M73" s="16">
        <f t="shared" si="7"/>
        <v>5.8727059847030715E-2</v>
      </c>
    </row>
    <row r="74" spans="6:13" x14ac:dyDescent="0.4">
      <c r="F74" s="1">
        <v>23590</v>
      </c>
      <c r="G74" s="16">
        <v>318.69</v>
      </c>
      <c r="H74" s="16">
        <f>_A*F74*F74+_B*F74+_C</f>
        <v>320.03735883102746</v>
      </c>
      <c r="I74">
        <f t="shared" si="4"/>
        <v>8</v>
      </c>
      <c r="J74" s="16" cm="1">
        <f t="array" ref="J74">INDEX(Sm,I74)</f>
        <v>-1.3971602754957855</v>
      </c>
      <c r="K74" s="16">
        <f t="shared" si="5"/>
        <v>318.6401985555317</v>
      </c>
      <c r="L74" s="16">
        <f t="shared" si="6"/>
        <v>-4.9801444468300815E-2</v>
      </c>
      <c r="M74" s="16">
        <f t="shared" si="7"/>
        <v>2.4801838711292499E-3</v>
      </c>
    </row>
    <row r="75" spans="6:13" x14ac:dyDescent="0.4">
      <c r="F75" s="1">
        <v>23621</v>
      </c>
      <c r="G75" s="16">
        <v>316.7</v>
      </c>
      <c r="H75" s="16">
        <f>_A*F75*F75+_B*F75+_C</f>
        <v>320.11630771360194</v>
      </c>
      <c r="I75">
        <f t="shared" si="4"/>
        <v>9</v>
      </c>
      <c r="J75" s="16" cm="1">
        <f t="array" ref="J75">INDEX(Sm,I75)</f>
        <v>-3.1930865292764237</v>
      </c>
      <c r="K75" s="16">
        <f t="shared" si="5"/>
        <v>316.92322118432554</v>
      </c>
      <c r="L75" s="16">
        <f t="shared" si="6"/>
        <v>0.22322118432555271</v>
      </c>
      <c r="M75" s="16">
        <f t="shared" si="7"/>
        <v>4.9827697131702382E-2</v>
      </c>
    </row>
    <row r="76" spans="6:13" x14ac:dyDescent="0.4">
      <c r="F76" s="1">
        <v>23651</v>
      </c>
      <c r="G76" s="16">
        <v>316.87</v>
      </c>
      <c r="H76" s="16">
        <f>_A*F76*F76+_B*F76+_C</f>
        <v>320.19288928460759</v>
      </c>
      <c r="I76">
        <f t="shared" si="4"/>
        <v>10</v>
      </c>
      <c r="J76" s="16" cm="1">
        <f t="array" ref="J76">INDEX(Sm,I76)</f>
        <v>-3.3364130058083399</v>
      </c>
      <c r="K76" s="16">
        <f t="shared" si="5"/>
        <v>316.85647627879922</v>
      </c>
      <c r="L76" s="16">
        <f t="shared" si="6"/>
        <v>-1.3523721200783712E-2</v>
      </c>
      <c r="M76" s="16">
        <f t="shared" si="7"/>
        <v>1.8289103511652684E-4</v>
      </c>
    </row>
    <row r="77" spans="6:13" x14ac:dyDescent="0.4">
      <c r="F77" s="1">
        <v>23682</v>
      </c>
      <c r="G77" s="16">
        <v>317.68</v>
      </c>
      <c r="H77" s="16">
        <f>_A*F77*F77+_B*F77+_C</f>
        <v>320.27220898211135</v>
      </c>
      <c r="I77">
        <f t="shared" si="4"/>
        <v>11</v>
      </c>
      <c r="J77" s="16" cm="1">
        <f t="array" ref="J77">INDEX(Sm,I77)</f>
        <v>-2.0587659563291303</v>
      </c>
      <c r="K77" s="16">
        <f t="shared" si="5"/>
        <v>318.21344302578223</v>
      </c>
      <c r="L77" s="16">
        <f t="shared" si="6"/>
        <v>0.53344302578221914</v>
      </c>
      <c r="M77" s="16">
        <f t="shared" si="7"/>
        <v>0.2845614617556893</v>
      </c>
    </row>
    <row r="78" spans="6:13" x14ac:dyDescent="0.4">
      <c r="F78" s="1">
        <v>23712</v>
      </c>
      <c r="G78" s="16">
        <v>318.70999999999998</v>
      </c>
      <c r="H78" s="16">
        <f>_A*F78*F78+_B*F78+_C</f>
        <v>320.34914940627442</v>
      </c>
      <c r="I78">
        <f t="shared" si="4"/>
        <v>12</v>
      </c>
      <c r="J78" s="16" cm="1">
        <f t="array" ref="J78">INDEX(Sm,I78)</f>
        <v>-0.89092746411398172</v>
      </c>
      <c r="K78" s="16">
        <f t="shared" si="5"/>
        <v>319.45822194216043</v>
      </c>
      <c r="L78" s="16">
        <f t="shared" si="6"/>
        <v>0.74822194216045546</v>
      </c>
      <c r="M78" s="16">
        <f t="shared" si="7"/>
        <v>0.5598360747303639</v>
      </c>
    </row>
    <row r="79" spans="6:13" x14ac:dyDescent="0.4">
      <c r="F79" s="1">
        <v>23743</v>
      </c>
      <c r="G79" s="16">
        <v>319.44</v>
      </c>
      <c r="H79" s="16">
        <f>_A*F79*F79+_B*F79+_C</f>
        <v>320.42883991870758</v>
      </c>
      <c r="I79">
        <f t="shared" si="4"/>
        <v>1</v>
      </c>
      <c r="J79" s="16" cm="1">
        <f t="array" ref="J79">INDEX(Sm,I79)</f>
        <v>6.1437948016995841E-2</v>
      </c>
      <c r="K79" s="16">
        <f t="shared" si="5"/>
        <v>320.49027786672457</v>
      </c>
      <c r="L79" s="16">
        <f t="shared" si="6"/>
        <v>1.0502778667245707</v>
      </c>
      <c r="M79" s="16">
        <f t="shared" si="7"/>
        <v>1.103083597331515</v>
      </c>
    </row>
    <row r="80" spans="6:13" x14ac:dyDescent="0.4">
      <c r="F80" s="1">
        <v>23774</v>
      </c>
      <c r="G80" s="16">
        <v>320.44</v>
      </c>
      <c r="H80" s="16">
        <f>_A*F80*F80+_B*F80+_C</f>
        <v>320.50871887807199</v>
      </c>
      <c r="I80">
        <f t="shared" si="4"/>
        <v>2</v>
      </c>
      <c r="J80" s="16" cm="1">
        <f t="array" ref="J80">INDEX(Sm,I80)</f>
        <v>0.69461918939657585</v>
      </c>
      <c r="K80" s="16">
        <f t="shared" si="5"/>
        <v>321.20333806746856</v>
      </c>
      <c r="L80" s="16">
        <f t="shared" si="6"/>
        <v>0.76333806746856681</v>
      </c>
      <c r="M80" s="16">
        <f t="shared" si="7"/>
        <v>0.58268500524664624</v>
      </c>
    </row>
    <row r="81" spans="6:13" x14ac:dyDescent="0.4">
      <c r="F81" s="1">
        <v>23802</v>
      </c>
      <c r="G81" s="16">
        <v>320.89</v>
      </c>
      <c r="H81" s="16">
        <f>_A*F81*F81+_B*F81+_C</f>
        <v>320.58102958971983</v>
      </c>
      <c r="I81">
        <f t="shared" si="4"/>
        <v>3</v>
      </c>
      <c r="J81" s="16" cm="1">
        <f t="array" ref="J81">INDEX(Sm,I81)</f>
        <v>1.3737674684313066</v>
      </c>
      <c r="K81" s="16">
        <f t="shared" si="5"/>
        <v>321.95479705815114</v>
      </c>
      <c r="L81" s="16">
        <f t="shared" si="6"/>
        <v>1.0647970581511572</v>
      </c>
      <c r="M81" s="16">
        <f t="shared" si="7"/>
        <v>1.1337927750473589</v>
      </c>
    </row>
    <row r="82" spans="6:13" x14ac:dyDescent="0.4">
      <c r="F82" s="1">
        <v>23833</v>
      </c>
      <c r="G82" s="16">
        <v>322.14</v>
      </c>
      <c r="H82" s="16">
        <f>_A*F82*F82+_B*F82+_C</f>
        <v>320.6612672061471</v>
      </c>
      <c r="I82">
        <f t="shared" si="4"/>
        <v>4</v>
      </c>
      <c r="J82" s="16" cm="1">
        <f t="array" ref="J82">INDEX(Sm,I82)</f>
        <v>2.6103146033777413</v>
      </c>
      <c r="K82" s="16">
        <f t="shared" si="5"/>
        <v>323.27158180952483</v>
      </c>
      <c r="L82" s="16">
        <f t="shared" si="6"/>
        <v>1.131581809524846</v>
      </c>
      <c r="M82" s="16">
        <f t="shared" si="7"/>
        <v>1.2804773916475249</v>
      </c>
    </row>
    <row r="83" spans="6:13" x14ac:dyDescent="0.4">
      <c r="F83" s="1">
        <v>23863</v>
      </c>
      <c r="G83" s="16">
        <v>322.17</v>
      </c>
      <c r="H83" s="16">
        <f>_A*F83*F83+_B*F83+_C</f>
        <v>320.7390959389457</v>
      </c>
      <c r="I83">
        <f t="shared" si="4"/>
        <v>5</v>
      </c>
      <c r="J83" s="16" cm="1">
        <f t="array" ref="J83">INDEX(Sm,I83)</f>
        <v>3.065687851218776</v>
      </c>
      <c r="K83" s="16">
        <f t="shared" si="5"/>
        <v>323.80478379016449</v>
      </c>
      <c r="L83" s="16">
        <f t="shared" si="6"/>
        <v>1.6347837901644766</v>
      </c>
      <c r="M83" s="16">
        <f t="shared" si="7"/>
        <v>2.6725180405845315</v>
      </c>
    </row>
    <row r="84" spans="6:13" x14ac:dyDescent="0.4">
      <c r="F84" s="1">
        <v>23894</v>
      </c>
      <c r="G84" s="16">
        <v>321.87</v>
      </c>
      <c r="H84" s="16">
        <f>_A*F84*F84+_B*F84+_C</f>
        <v>320.8197043703023</v>
      </c>
      <c r="I84">
        <f t="shared" si="4"/>
        <v>6</v>
      </c>
      <c r="J84" s="16" cm="1">
        <f t="array" ref="J84">INDEX(Sm,I84)</f>
        <v>2.3467878996384672</v>
      </c>
      <c r="K84" s="16">
        <f t="shared" si="5"/>
        <v>323.16649226994076</v>
      </c>
      <c r="L84" s="16">
        <f t="shared" si="6"/>
        <v>1.2964922699407566</v>
      </c>
      <c r="M84" s="16">
        <f t="shared" si="7"/>
        <v>1.6808922060161358</v>
      </c>
    </row>
    <row r="85" spans="6:13" x14ac:dyDescent="0.4">
      <c r="F85" s="1">
        <v>23924</v>
      </c>
      <c r="G85" s="16">
        <v>321.20999999999998</v>
      </c>
      <c r="H85" s="16">
        <f>_A*F85*F85+_B*F85+_C</f>
        <v>320.89789195625832</v>
      </c>
      <c r="I85">
        <f t="shared" si="4"/>
        <v>7</v>
      </c>
      <c r="J85" s="16" cm="1">
        <f t="array" ref="J85">INDEX(Sm,I85)</f>
        <v>0.7237382709437985</v>
      </c>
      <c r="K85" s="16">
        <f t="shared" si="5"/>
        <v>321.6216302272021</v>
      </c>
      <c r="L85" s="16">
        <f t="shared" si="6"/>
        <v>0.41163022720212439</v>
      </c>
      <c r="M85" s="16">
        <f t="shared" si="7"/>
        <v>0.16943944394647253</v>
      </c>
    </row>
    <row r="86" spans="6:13" x14ac:dyDescent="0.4">
      <c r="F86" s="1">
        <v>23955</v>
      </c>
      <c r="G86" s="16">
        <v>318.87</v>
      </c>
      <c r="H86" s="16">
        <f>_A*F86*F86+_B*F86+_C</f>
        <v>320.97887120254421</v>
      </c>
      <c r="I86">
        <f t="shared" si="4"/>
        <v>8</v>
      </c>
      <c r="J86" s="16" cm="1">
        <f t="array" ref="J86">INDEX(Sm,I86)</f>
        <v>-1.3971602754957855</v>
      </c>
      <c r="K86" s="16">
        <f t="shared" si="5"/>
        <v>319.58171092704845</v>
      </c>
      <c r="L86" s="16">
        <f t="shared" si="6"/>
        <v>0.71171092704844341</v>
      </c>
      <c r="M86" s="16">
        <f t="shared" si="7"/>
        <v>0.50653244368015471</v>
      </c>
    </row>
    <row r="87" spans="6:13" x14ac:dyDescent="0.4">
      <c r="F87" s="1">
        <v>23986</v>
      </c>
      <c r="G87" s="16">
        <v>317.81</v>
      </c>
      <c r="H87" s="16">
        <f>_A*F87*F87+_B*F87+_C</f>
        <v>321.06003889576141</v>
      </c>
      <c r="I87">
        <f t="shared" si="4"/>
        <v>9</v>
      </c>
      <c r="J87" s="16" cm="1">
        <f t="array" ref="J87">INDEX(Sm,I87)</f>
        <v>-3.1930865292764237</v>
      </c>
      <c r="K87" s="16">
        <f t="shared" si="5"/>
        <v>317.86695236648501</v>
      </c>
      <c r="L87" s="16">
        <f t="shared" si="6"/>
        <v>5.6952366485006678E-2</v>
      </c>
      <c r="M87" s="16">
        <f t="shared" si="7"/>
        <v>3.2435720482425121E-3</v>
      </c>
    </row>
    <row r="88" spans="6:13" x14ac:dyDescent="0.4">
      <c r="F88" s="1">
        <v>24016</v>
      </c>
      <c r="G88" s="16">
        <v>317.3</v>
      </c>
      <c r="H88" s="16">
        <f>_A*F88*F88+_B*F88+_C</f>
        <v>321.13876770287288</v>
      </c>
      <c r="I88">
        <f t="shared" si="4"/>
        <v>10</v>
      </c>
      <c r="J88" s="16" cm="1">
        <f t="array" ref="J88">INDEX(Sm,I88)</f>
        <v>-3.3364130058083399</v>
      </c>
      <c r="K88" s="16">
        <f t="shared" si="5"/>
        <v>317.80235469706452</v>
      </c>
      <c r="L88" s="16">
        <f t="shared" si="6"/>
        <v>0.50235469706450431</v>
      </c>
      <c r="M88" s="16">
        <f t="shared" si="7"/>
        <v>0.25236024166276988</v>
      </c>
    </row>
    <row r="89" spans="6:13" x14ac:dyDescent="0.4">
      <c r="F89" s="1">
        <v>24047</v>
      </c>
      <c r="G89" s="16">
        <v>318.87</v>
      </c>
      <c r="H89" s="16">
        <f>_A*F89*F89+_B*F89+_C</f>
        <v>321.22030621101942</v>
      </c>
      <c r="I89">
        <f t="shared" si="4"/>
        <v>11</v>
      </c>
      <c r="J89" s="16" cm="1">
        <f t="array" ref="J89">INDEX(Sm,I89)</f>
        <v>-2.0587659563291303</v>
      </c>
      <c r="K89" s="16">
        <f t="shared" si="5"/>
        <v>319.16154025469029</v>
      </c>
      <c r="L89" s="16">
        <f t="shared" si="6"/>
        <v>0.29154025469028966</v>
      </c>
      <c r="M89" s="16">
        <f t="shared" si="7"/>
        <v>8.4995720104878963E-2</v>
      </c>
    </row>
    <row r="90" spans="6:13" x14ac:dyDescent="0.4">
      <c r="F90" s="1">
        <v>24077</v>
      </c>
      <c r="G90" s="16">
        <v>319.42</v>
      </c>
      <c r="H90" s="16">
        <f>_A*F90*F90+_B*F90+_C</f>
        <v>321.29939387128832</v>
      </c>
      <c r="I90">
        <f t="shared" si="4"/>
        <v>12</v>
      </c>
      <c r="J90" s="16" cm="1">
        <f t="array" ref="J90">INDEX(Sm,I90)</f>
        <v>-0.89092746411398172</v>
      </c>
      <c r="K90" s="16">
        <f t="shared" si="5"/>
        <v>320.40846640717433</v>
      </c>
      <c r="L90" s="16">
        <f t="shared" si="6"/>
        <v>0.98846640717431455</v>
      </c>
      <c r="M90" s="16">
        <f t="shared" si="7"/>
        <v>0.9770658381120978</v>
      </c>
    </row>
    <row r="91" spans="6:13" x14ac:dyDescent="0.4">
      <c r="F91" s="1">
        <v>24108</v>
      </c>
      <c r="G91" s="16">
        <v>320.62</v>
      </c>
      <c r="H91" s="16">
        <f>_A*F91*F91+_B*F91+_C</f>
        <v>321.38130319436419</v>
      </c>
      <c r="I91">
        <f t="shared" si="4"/>
        <v>1</v>
      </c>
      <c r="J91" s="16" cm="1">
        <f t="array" ref="J91">INDEX(Sm,I91)</f>
        <v>6.1437948016995841E-2</v>
      </c>
      <c r="K91" s="16">
        <f t="shared" si="5"/>
        <v>321.44274114238118</v>
      </c>
      <c r="L91" s="16">
        <f t="shared" si="6"/>
        <v>0.82274114238117591</v>
      </c>
      <c r="M91" s="16">
        <f t="shared" si="7"/>
        <v>0.67690298736668242</v>
      </c>
    </row>
    <row r="92" spans="6:13" x14ac:dyDescent="0.4">
      <c r="F92" s="1">
        <v>24139</v>
      </c>
      <c r="G92" s="16">
        <v>321.60000000000002</v>
      </c>
      <c r="H92" s="16">
        <f>_A*F92*F92+_B*F92+_C</f>
        <v>321.46340096437137</v>
      </c>
      <c r="I92">
        <f t="shared" si="4"/>
        <v>2</v>
      </c>
      <c r="J92" s="16" cm="1">
        <f t="array" ref="J92">INDEX(Sm,I92)</f>
        <v>0.69461918939657585</v>
      </c>
      <c r="K92" s="16">
        <f t="shared" si="5"/>
        <v>322.15802015376795</v>
      </c>
      <c r="L92" s="16">
        <f t="shared" si="6"/>
        <v>0.55802015376792724</v>
      </c>
      <c r="M92" s="16">
        <f t="shared" si="7"/>
        <v>0.31138649201118118</v>
      </c>
    </row>
    <row r="93" spans="6:13" x14ac:dyDescent="0.4">
      <c r="F93" s="1">
        <v>24167</v>
      </c>
      <c r="G93" s="16">
        <v>322.39</v>
      </c>
      <c r="H93" s="16">
        <f>_A*F93*F93+_B*F93+_C</f>
        <v>321.53771576305138</v>
      </c>
      <c r="I93">
        <f t="shared" si="4"/>
        <v>3</v>
      </c>
      <c r="J93" s="16" cm="1">
        <f t="array" ref="J93">INDEX(Sm,I93)</f>
        <v>1.3737674684313066</v>
      </c>
      <c r="K93" s="16">
        <f t="shared" si="5"/>
        <v>322.91148323148269</v>
      </c>
      <c r="L93" s="16">
        <f t="shared" si="6"/>
        <v>0.52148323148270492</v>
      </c>
      <c r="M93" s="16">
        <f t="shared" si="7"/>
        <v>0.2719447607176444</v>
      </c>
    </row>
    <row r="94" spans="6:13" x14ac:dyDescent="0.4">
      <c r="F94" s="1">
        <v>24198</v>
      </c>
      <c r="G94" s="16">
        <v>323.7</v>
      </c>
      <c r="H94" s="16">
        <f>_A*F94*F94+_B*F94+_C</f>
        <v>321.62017219012137</v>
      </c>
      <c r="I94">
        <f t="shared" si="4"/>
        <v>4</v>
      </c>
      <c r="J94" s="16" cm="1">
        <f t="array" ref="J94">INDEX(Sm,I94)</f>
        <v>2.6103146033777413</v>
      </c>
      <c r="K94" s="16">
        <f t="shared" si="5"/>
        <v>324.2304867934991</v>
      </c>
      <c r="L94" s="16">
        <f t="shared" si="6"/>
        <v>0.53048679349910799</v>
      </c>
      <c r="M94" s="16">
        <f t="shared" si="7"/>
        <v>0.28141623807696525</v>
      </c>
    </row>
    <row r="95" spans="6:13" x14ac:dyDescent="0.4">
      <c r="F95" s="1">
        <v>24228</v>
      </c>
      <c r="G95" s="16">
        <v>324.08</v>
      </c>
      <c r="H95" s="16">
        <f>_A*F95*F95+_B*F95+_C</f>
        <v>321.70014815902584</v>
      </c>
      <c r="I95">
        <f t="shared" si="4"/>
        <v>5</v>
      </c>
      <c r="J95" s="16" cm="1">
        <f t="array" ref="J95">INDEX(Sm,I95)</f>
        <v>3.065687851218776</v>
      </c>
      <c r="K95" s="16">
        <f t="shared" si="5"/>
        <v>324.76583601024464</v>
      </c>
      <c r="L95" s="16">
        <f t="shared" si="6"/>
        <v>0.68583601024465679</v>
      </c>
      <c r="M95" s="16">
        <f t="shared" si="7"/>
        <v>0.47037103294830895</v>
      </c>
    </row>
    <row r="96" spans="6:13" x14ac:dyDescent="0.4">
      <c r="F96" s="1">
        <v>24259</v>
      </c>
      <c r="G96" s="16">
        <v>323.75</v>
      </c>
      <c r="H96" s="16">
        <f>_A*F96*F96+_B*F96+_C</f>
        <v>321.78297540102511</v>
      </c>
      <c r="I96">
        <f t="shared" si="4"/>
        <v>6</v>
      </c>
      <c r="J96" s="16" cm="1">
        <f t="array" ref="J96">INDEX(Sm,I96)</f>
        <v>2.3467878996384672</v>
      </c>
      <c r="K96" s="16">
        <f t="shared" si="5"/>
        <v>324.12976330066357</v>
      </c>
      <c r="L96" s="16">
        <f t="shared" si="6"/>
        <v>0.37976330066356923</v>
      </c>
      <c r="M96" s="16">
        <f t="shared" si="7"/>
        <v>0.14422016453088848</v>
      </c>
    </row>
    <row r="97" spans="6:13" x14ac:dyDescent="0.4">
      <c r="F97" s="1">
        <v>24289</v>
      </c>
      <c r="G97" s="16">
        <v>322.38</v>
      </c>
      <c r="H97" s="16">
        <f>_A*F97*F97+_B*F97+_C</f>
        <v>321.86331022308701</v>
      </c>
      <c r="I97">
        <f t="shared" si="4"/>
        <v>7</v>
      </c>
      <c r="J97" s="16" cm="1">
        <f t="array" ref="J97">INDEX(Sm,I97)</f>
        <v>0.7237382709437985</v>
      </c>
      <c r="K97" s="16">
        <f t="shared" si="5"/>
        <v>322.5870484940308</v>
      </c>
      <c r="L97" s="16">
        <f t="shared" si="6"/>
        <v>0.20704849403080061</v>
      </c>
      <c r="M97" s="16">
        <f t="shared" si="7"/>
        <v>4.2869078880422476E-2</v>
      </c>
    </row>
    <row r="98" spans="6:13" x14ac:dyDescent="0.4">
      <c r="F98" s="1">
        <v>24320</v>
      </c>
      <c r="G98" s="16">
        <v>320.36</v>
      </c>
      <c r="H98" s="16">
        <f>_A*F98*F98+_B*F98+_C</f>
        <v>321.94650828001568</v>
      </c>
      <c r="I98">
        <f t="shared" si="4"/>
        <v>8</v>
      </c>
      <c r="J98" s="16" cm="1">
        <f t="array" ref="J98">INDEX(Sm,I98)</f>
        <v>-1.3971602754957855</v>
      </c>
      <c r="K98" s="16">
        <f t="shared" si="5"/>
        <v>320.54934800451991</v>
      </c>
      <c r="L98" s="16">
        <f t="shared" si="6"/>
        <v>0.18934800451989986</v>
      </c>
      <c r="M98" s="16">
        <f t="shared" si="7"/>
        <v>3.5852666815668018E-2</v>
      </c>
    </row>
    <row r="99" spans="6:13" x14ac:dyDescent="0.4">
      <c r="F99" s="1">
        <v>24351</v>
      </c>
      <c r="G99" s="16">
        <v>318.64</v>
      </c>
      <c r="H99" s="16">
        <f>_A*F99*F99+_B*F99+_C</f>
        <v>322.02989478387559</v>
      </c>
      <c r="I99">
        <f t="shared" si="4"/>
        <v>9</v>
      </c>
      <c r="J99" s="16" cm="1">
        <f t="array" ref="J99">INDEX(Sm,I99)</f>
        <v>-3.1930865292764237</v>
      </c>
      <c r="K99" s="16">
        <f t="shared" si="5"/>
        <v>318.83680825459919</v>
      </c>
      <c r="L99" s="16">
        <f t="shared" si="6"/>
        <v>0.1968082545992047</v>
      </c>
      <c r="M99" s="16">
        <f t="shared" si="7"/>
        <v>3.8733489078385377E-2</v>
      </c>
    </row>
    <row r="100" spans="6:13" x14ac:dyDescent="0.4">
      <c r="F100" s="1">
        <v>24381</v>
      </c>
      <c r="G100" s="16">
        <v>318.10000000000002</v>
      </c>
      <c r="H100" s="16">
        <f>_A*F100*F100+_B*F100+_C</f>
        <v>322.11077082709295</v>
      </c>
      <c r="I100">
        <f t="shared" si="4"/>
        <v>10</v>
      </c>
      <c r="J100" s="16" cm="1">
        <f t="array" ref="J100">INDEX(Sm,I100)</f>
        <v>-3.3364130058083399</v>
      </c>
      <c r="K100" s="16">
        <f t="shared" si="5"/>
        <v>318.77435782128458</v>
      </c>
      <c r="L100" s="16">
        <f t="shared" si="6"/>
        <v>0.67435782128455912</v>
      </c>
      <c r="M100" s="16">
        <f t="shared" si="7"/>
        <v>0.45475847112765738</v>
      </c>
    </row>
    <row r="101" spans="6:13" x14ac:dyDescent="0.4">
      <c r="F101" s="1">
        <v>24412</v>
      </c>
      <c r="G101" s="16">
        <v>319.77999999999997</v>
      </c>
      <c r="H101" s="16">
        <f>_A*F101*F101+_B*F101+_C</f>
        <v>322.1945281458822</v>
      </c>
      <c r="I101">
        <f t="shared" si="4"/>
        <v>11</v>
      </c>
      <c r="J101" s="16" cm="1">
        <f t="array" ref="J101">INDEX(Sm,I101)</f>
        <v>-2.0587659563291303</v>
      </c>
      <c r="K101" s="16">
        <f t="shared" si="5"/>
        <v>320.13576218955308</v>
      </c>
      <c r="L101" s="16">
        <f t="shared" si="6"/>
        <v>0.35576218955310424</v>
      </c>
      <c r="M101" s="16">
        <f t="shared" si="7"/>
        <v>0.12656673551561887</v>
      </c>
    </row>
    <row r="102" spans="6:13" x14ac:dyDescent="0.4">
      <c r="F102" s="1">
        <v>24442</v>
      </c>
      <c r="G102" s="16">
        <v>321.02999999999997</v>
      </c>
      <c r="H102" s="16">
        <f>_A*F102*F102+_B*F102+_C</f>
        <v>322.27576304225698</v>
      </c>
      <c r="I102">
        <f t="shared" si="4"/>
        <v>12</v>
      </c>
      <c r="J102" s="16" cm="1">
        <f t="array" ref="J102">INDEX(Sm,I102)</f>
        <v>-0.89092746411398172</v>
      </c>
      <c r="K102" s="16">
        <f t="shared" si="5"/>
        <v>321.384835578143</v>
      </c>
      <c r="L102" s="16">
        <f t="shared" si="6"/>
        <v>0.35483557814302458</v>
      </c>
      <c r="M102" s="16">
        <f t="shared" si="7"/>
        <v>0.12590828751609451</v>
      </c>
    </row>
    <row r="103" spans="6:13" x14ac:dyDescent="0.4">
      <c r="F103" s="1">
        <v>24473</v>
      </c>
      <c r="G103" s="16">
        <v>322.33</v>
      </c>
      <c r="H103" s="16">
        <f>_A*F103*F103+_B*F103+_C</f>
        <v>322.35989117597558</v>
      </c>
      <c r="I103">
        <f t="shared" si="4"/>
        <v>1</v>
      </c>
      <c r="J103" s="16" cm="1">
        <f t="array" ref="J103">INDEX(Sm,I103)</f>
        <v>6.1437948016995841E-2</v>
      </c>
      <c r="K103" s="16">
        <f t="shared" si="5"/>
        <v>322.42132912399256</v>
      </c>
      <c r="L103" s="16">
        <f t="shared" si="6"/>
        <v>9.1329123992579753E-2</v>
      </c>
      <c r="M103" s="16">
        <f t="shared" si="7"/>
        <v>8.3410088892520058E-3</v>
      </c>
    </row>
    <row r="104" spans="6:13" x14ac:dyDescent="0.4">
      <c r="F104" s="1">
        <v>24504</v>
      </c>
      <c r="G104" s="16">
        <v>322.5</v>
      </c>
      <c r="H104" s="16">
        <f>_A*F104*F104+_B*F104+_C</f>
        <v>322.44420775662547</v>
      </c>
      <c r="I104">
        <f t="shared" si="4"/>
        <v>2</v>
      </c>
      <c r="J104" s="16" cm="1">
        <f t="array" ref="J104">INDEX(Sm,I104)</f>
        <v>0.69461918939657585</v>
      </c>
      <c r="K104" s="16">
        <f t="shared" si="5"/>
        <v>323.13882694602205</v>
      </c>
      <c r="L104" s="16">
        <f t="shared" si="6"/>
        <v>0.63882694602204992</v>
      </c>
      <c r="M104" s="16">
        <f t="shared" si="7"/>
        <v>0.40809986696385908</v>
      </c>
    </row>
    <row r="105" spans="6:13" x14ac:dyDescent="0.4">
      <c r="F105" s="1">
        <v>24532</v>
      </c>
      <c r="G105" s="16">
        <v>323.04000000000002</v>
      </c>
      <c r="H105" s="16">
        <f>_A*F105*F105+_B*F105+_C</f>
        <v>322.52052664233764</v>
      </c>
      <c r="I105">
        <f t="shared" si="4"/>
        <v>3</v>
      </c>
      <c r="J105" s="16" cm="1">
        <f t="array" ref="J105">INDEX(Sm,I105)</f>
        <v>1.3737674684313066</v>
      </c>
      <c r="K105" s="16">
        <f t="shared" si="5"/>
        <v>323.89429411076895</v>
      </c>
      <c r="L105" s="16">
        <f t="shared" si="6"/>
        <v>0.85429411076893302</v>
      </c>
      <c r="M105" s="16">
        <f t="shared" si="7"/>
        <v>0.72981842769448202</v>
      </c>
    </row>
    <row r="106" spans="6:13" x14ac:dyDescent="0.4">
      <c r="F106" s="1">
        <v>24563</v>
      </c>
      <c r="G106" s="16">
        <v>324.42</v>
      </c>
      <c r="H106" s="16">
        <f>_A*F106*F106+_B*F106+_C</f>
        <v>322.60520188005034</v>
      </c>
      <c r="I106">
        <f t="shared" si="4"/>
        <v>4</v>
      </c>
      <c r="J106" s="16" cm="1">
        <f t="array" ref="J106">INDEX(Sm,I106)</f>
        <v>2.6103146033777413</v>
      </c>
      <c r="K106" s="16">
        <f t="shared" si="5"/>
        <v>325.21551648342808</v>
      </c>
      <c r="L106" s="16">
        <f t="shared" si="6"/>
        <v>0.79551648342805947</v>
      </c>
      <c r="M106" s="16">
        <f t="shared" si="7"/>
        <v>0.63284647540574601</v>
      </c>
    </row>
    <row r="107" spans="6:13" x14ac:dyDescent="0.4">
      <c r="F107" s="1">
        <v>24593</v>
      </c>
      <c r="G107" s="16">
        <v>325</v>
      </c>
      <c r="H107" s="16">
        <f>_A*F107*F107+_B*F107+_C</f>
        <v>322.68732508506065</v>
      </c>
      <c r="I107">
        <f t="shared" si="4"/>
        <v>5</v>
      </c>
      <c r="J107" s="16" cm="1">
        <f t="array" ref="J107">INDEX(Sm,I107)</f>
        <v>3.065687851218776</v>
      </c>
      <c r="K107" s="16">
        <f t="shared" si="5"/>
        <v>325.75301293627945</v>
      </c>
      <c r="L107" s="16">
        <f t="shared" si="6"/>
        <v>0.75301293627944688</v>
      </c>
      <c r="M107" s="16">
        <f t="shared" si="7"/>
        <v>0.56702848220419433</v>
      </c>
    </row>
    <row r="108" spans="6:13" x14ac:dyDescent="0.4">
      <c r="F108" s="1">
        <v>24624</v>
      </c>
      <c r="G108" s="16">
        <v>324.08999999999997</v>
      </c>
      <c r="H108" s="16">
        <f>_A*F108*F108+_B*F108+_C</f>
        <v>322.77237113770269</v>
      </c>
      <c r="I108">
        <f t="shared" si="4"/>
        <v>6</v>
      </c>
      <c r="J108" s="16" cm="1">
        <f t="array" ref="J108">INDEX(Sm,I108)</f>
        <v>2.3467878996384672</v>
      </c>
      <c r="K108" s="16">
        <f t="shared" si="5"/>
        <v>325.11915903734115</v>
      </c>
      <c r="L108" s="16">
        <f t="shared" si="6"/>
        <v>1.0291590373411736</v>
      </c>
      <c r="M108" s="16">
        <f t="shared" si="7"/>
        <v>1.0591683241410113</v>
      </c>
    </row>
    <row r="109" spans="6:13" x14ac:dyDescent="0.4">
      <c r="F109" s="1">
        <v>24654</v>
      </c>
      <c r="G109" s="16">
        <v>322.54000000000002</v>
      </c>
      <c r="H109" s="16">
        <f>_A*F109*F109+_B*F109+_C</f>
        <v>322.85485319587048</v>
      </c>
      <c r="I109">
        <f t="shared" si="4"/>
        <v>7</v>
      </c>
      <c r="J109" s="16" cm="1">
        <f t="array" ref="J109">INDEX(Sm,I109)</f>
        <v>0.7237382709437985</v>
      </c>
      <c r="K109" s="16">
        <f t="shared" si="5"/>
        <v>323.57859146681426</v>
      </c>
      <c r="L109" s="16">
        <f t="shared" si="6"/>
        <v>1.0385914668142391</v>
      </c>
      <c r="M109" s="16">
        <f t="shared" si="7"/>
        <v>1.0786722349393527</v>
      </c>
    </row>
    <row r="110" spans="6:13" x14ac:dyDescent="0.4">
      <c r="F110" s="1">
        <v>24685</v>
      </c>
      <c r="G110" s="16">
        <v>320.92</v>
      </c>
      <c r="H110" s="16">
        <f>_A*F110*F110+_B*F110+_C</f>
        <v>322.9402700634418</v>
      </c>
      <c r="I110">
        <f t="shared" si="4"/>
        <v>8</v>
      </c>
      <c r="J110" s="16" cm="1">
        <f t="array" ref="J110">INDEX(Sm,I110)</f>
        <v>-1.3971602754957855</v>
      </c>
      <c r="K110" s="16">
        <f t="shared" si="5"/>
        <v>321.54310978794604</v>
      </c>
      <c r="L110" s="16">
        <f t="shared" si="6"/>
        <v>0.62310978794602079</v>
      </c>
      <c r="M110" s="16">
        <f t="shared" si="7"/>
        <v>0.388265807834135</v>
      </c>
    </row>
    <row r="111" spans="6:13" x14ac:dyDescent="0.4">
      <c r="F111" s="1">
        <v>24716</v>
      </c>
      <c r="G111" s="16">
        <v>319.25</v>
      </c>
      <c r="H111" s="16">
        <f>_A*F111*F111+_B*F111+_C</f>
        <v>323.02587537794449</v>
      </c>
      <c r="I111">
        <f t="shared" si="4"/>
        <v>9</v>
      </c>
      <c r="J111" s="16" cm="1">
        <f t="array" ref="J111">INDEX(Sm,I111)</f>
        <v>-3.1930865292764237</v>
      </c>
      <c r="K111" s="16">
        <f t="shared" si="5"/>
        <v>319.83278884866809</v>
      </c>
      <c r="L111" s="16">
        <f t="shared" si="6"/>
        <v>0.58278884866808767</v>
      </c>
      <c r="M111" s="16">
        <f t="shared" si="7"/>
        <v>0.33964284213187518</v>
      </c>
    </row>
    <row r="112" spans="6:13" x14ac:dyDescent="0.4">
      <c r="F112" s="1">
        <v>24746</v>
      </c>
      <c r="G112" s="16">
        <v>319.39</v>
      </c>
      <c r="H112" s="16">
        <f>_A*F112*F112+_B*F112+_C</f>
        <v>323.10889865726773</v>
      </c>
      <c r="I112">
        <f t="shared" si="4"/>
        <v>10</v>
      </c>
      <c r="J112" s="16" cm="1">
        <f t="array" ref="J112">INDEX(Sm,I112)</f>
        <v>-3.3364130058083399</v>
      </c>
      <c r="K112" s="16">
        <f t="shared" si="5"/>
        <v>319.77248565145936</v>
      </c>
      <c r="L112" s="16">
        <f t="shared" si="6"/>
        <v>0.38248565145937619</v>
      </c>
      <c r="M112" s="16">
        <f t="shared" si="7"/>
        <v>0.1462952735723034</v>
      </c>
    </row>
    <row r="113" spans="6:13" x14ac:dyDescent="0.4">
      <c r="F113" s="1">
        <v>24777</v>
      </c>
      <c r="G113" s="16">
        <v>320.73</v>
      </c>
      <c r="H113" s="16">
        <f>_A*F113*F113+_B*F113+_C</f>
        <v>323.1948747866997</v>
      </c>
      <c r="I113">
        <f t="shared" si="4"/>
        <v>11</v>
      </c>
      <c r="J113" s="16" cm="1">
        <f t="array" ref="J113">INDEX(Sm,I113)</f>
        <v>-2.0587659563291303</v>
      </c>
      <c r="K113" s="16">
        <f t="shared" si="5"/>
        <v>321.13610883037057</v>
      </c>
      <c r="L113" s="16">
        <f t="shared" si="6"/>
        <v>0.40610883037055601</v>
      </c>
      <c r="M113" s="16">
        <f t="shared" si="7"/>
        <v>0.16492438210494104</v>
      </c>
    </row>
    <row r="114" spans="6:13" x14ac:dyDescent="0.4">
      <c r="F114" s="1">
        <v>24807</v>
      </c>
      <c r="G114" s="16">
        <v>321.95999999999998</v>
      </c>
      <c r="H114" s="16">
        <f>_A*F114*F114+_B*F114+_C</f>
        <v>323.27825691918036</v>
      </c>
      <c r="I114">
        <f t="shared" si="4"/>
        <v>12</v>
      </c>
      <c r="J114" s="16" cm="1">
        <f t="array" ref="J114">INDEX(Sm,I114)</f>
        <v>-0.89092746411398172</v>
      </c>
      <c r="K114" s="16">
        <f t="shared" si="5"/>
        <v>322.38732945506638</v>
      </c>
      <c r="L114" s="16">
        <f t="shared" si="6"/>
        <v>0.42732945506639908</v>
      </c>
      <c r="M114" s="16">
        <f t="shared" si="7"/>
        <v>0.18261046316734558</v>
      </c>
    </row>
    <row r="115" spans="6:13" x14ac:dyDescent="0.4">
      <c r="F115" s="1">
        <v>24838</v>
      </c>
      <c r="G115" s="16">
        <v>322.57</v>
      </c>
      <c r="H115" s="16">
        <f>_A*F115*F115+_B*F115+_C</f>
        <v>323.36460386354167</v>
      </c>
      <c r="I115">
        <f t="shared" si="4"/>
        <v>1</v>
      </c>
      <c r="J115" s="16" cm="1">
        <f t="array" ref="J115">INDEX(Sm,I115)</f>
        <v>6.1437948016995841E-2</v>
      </c>
      <c r="K115" s="16">
        <f t="shared" si="5"/>
        <v>323.42604181155866</v>
      </c>
      <c r="L115" s="16">
        <f t="shared" si="6"/>
        <v>0.85604181155866854</v>
      </c>
      <c r="M115" s="16">
        <f t="shared" si="7"/>
        <v>0.73280758313664696</v>
      </c>
    </row>
    <row r="116" spans="6:13" x14ac:dyDescent="0.4">
      <c r="F116" s="1">
        <v>24869</v>
      </c>
      <c r="G116" s="16">
        <v>323.14999999999998</v>
      </c>
      <c r="H116" s="16">
        <f>_A*F116*F116+_B*F116+_C</f>
        <v>323.45113925483429</v>
      </c>
      <c r="I116">
        <f t="shared" si="4"/>
        <v>2</v>
      </c>
      <c r="J116" s="16" cm="1">
        <f t="array" ref="J116">INDEX(Sm,I116)</f>
        <v>0.69461918939657585</v>
      </c>
      <c r="K116" s="16">
        <f t="shared" si="5"/>
        <v>324.14575844423086</v>
      </c>
      <c r="L116" s="16">
        <f t="shared" si="6"/>
        <v>0.99575844423088711</v>
      </c>
      <c r="M116" s="16">
        <f t="shared" si="7"/>
        <v>0.9915348792571167</v>
      </c>
    </row>
    <row r="117" spans="6:13" x14ac:dyDescent="0.4">
      <c r="F117" s="1">
        <v>24898</v>
      </c>
      <c r="G117" s="16">
        <v>323.89</v>
      </c>
      <c r="H117" s="16">
        <f>_A*F117*F117+_B*F117+_C</f>
        <v>323.53226231997718</v>
      </c>
      <c r="I117">
        <f t="shared" si="4"/>
        <v>3</v>
      </c>
      <c r="J117" s="16" cm="1">
        <f t="array" ref="J117">INDEX(Sm,I117)</f>
        <v>1.3737674684313066</v>
      </c>
      <c r="K117" s="16">
        <f t="shared" si="5"/>
        <v>324.90602978840849</v>
      </c>
      <c r="L117" s="16">
        <f t="shared" si="6"/>
        <v>1.0160297884085026</v>
      </c>
      <c r="M117" s="16">
        <f t="shared" si="7"/>
        <v>1.0323165309334266</v>
      </c>
    </row>
    <row r="118" spans="6:13" x14ac:dyDescent="0.4">
      <c r="F118" s="1">
        <v>24929</v>
      </c>
      <c r="G118" s="16">
        <v>325.02</v>
      </c>
      <c r="H118" s="16">
        <f>_A*F118*F118+_B*F118+_C</f>
        <v>323.61916244726586</v>
      </c>
      <c r="I118">
        <f t="shared" si="4"/>
        <v>4</v>
      </c>
      <c r="J118" s="16" cm="1">
        <f t="array" ref="J118">INDEX(Sm,I118)</f>
        <v>2.6103146033777413</v>
      </c>
      <c r="K118" s="16">
        <f t="shared" si="5"/>
        <v>326.2294770506436</v>
      </c>
      <c r="L118" s="16">
        <f t="shared" si="6"/>
        <v>1.2094770506436134</v>
      </c>
      <c r="M118" s="16">
        <f t="shared" si="7"/>
        <v>1.4628347360335738</v>
      </c>
    </row>
    <row r="119" spans="6:13" x14ac:dyDescent="0.4">
      <c r="F119" s="1">
        <v>24959</v>
      </c>
      <c r="G119" s="16">
        <v>325.57</v>
      </c>
      <c r="H119" s="16">
        <f>_A*F119*F119+_B*F119+_C</f>
        <v>323.7034387712207</v>
      </c>
      <c r="I119">
        <f t="shared" si="4"/>
        <v>5</v>
      </c>
      <c r="J119" s="16" cm="1">
        <f t="array" ref="J119">INDEX(Sm,I119)</f>
        <v>3.065687851218776</v>
      </c>
      <c r="K119" s="16">
        <f t="shared" si="5"/>
        <v>326.7691266224395</v>
      </c>
      <c r="L119" s="16">
        <f t="shared" si="6"/>
        <v>1.1991266224395076</v>
      </c>
      <c r="M119" s="16">
        <f t="shared" si="7"/>
        <v>1.4379046566431815</v>
      </c>
    </row>
    <row r="120" spans="6:13" x14ac:dyDescent="0.4">
      <c r="F120" s="1">
        <v>24990</v>
      </c>
      <c r="G120" s="16">
        <v>325.36</v>
      </c>
      <c r="H120" s="16">
        <f>_A*F120*F120+_B*F120+_C</f>
        <v>323.79070971343873</v>
      </c>
      <c r="I120">
        <f t="shared" si="4"/>
        <v>6</v>
      </c>
      <c r="J120" s="16" cm="1">
        <f t="array" ref="J120">INDEX(Sm,I120)</f>
        <v>2.3467878996384672</v>
      </c>
      <c r="K120" s="16">
        <f t="shared" si="5"/>
        <v>326.13749761307719</v>
      </c>
      <c r="L120" s="16">
        <f t="shared" si="6"/>
        <v>0.77749761307717336</v>
      </c>
      <c r="M120" s="16">
        <f t="shared" si="7"/>
        <v>0.604502538340702</v>
      </c>
    </row>
    <row r="121" spans="6:13" x14ac:dyDescent="0.4">
      <c r="F121" s="1">
        <v>25020</v>
      </c>
      <c r="G121" s="16">
        <v>324.14</v>
      </c>
      <c r="H121" s="16">
        <f>_A*F121*F121+_B*F121+_C</f>
        <v>323.87534489055105</v>
      </c>
      <c r="I121">
        <f t="shared" si="4"/>
        <v>7</v>
      </c>
      <c r="J121" s="16" cm="1">
        <f t="array" ref="J121">INDEX(Sm,I121)</f>
        <v>0.7237382709437985</v>
      </c>
      <c r="K121" s="16">
        <f t="shared" si="5"/>
        <v>324.59908316149483</v>
      </c>
      <c r="L121" s="16">
        <f t="shared" si="6"/>
        <v>0.45908316149484563</v>
      </c>
      <c r="M121" s="16">
        <f t="shared" si="7"/>
        <v>0.21075734916810251</v>
      </c>
    </row>
    <row r="122" spans="6:13" x14ac:dyDescent="0.4">
      <c r="F122" s="1">
        <v>25051</v>
      </c>
      <c r="G122" s="16">
        <v>322.11</v>
      </c>
      <c r="H122" s="16">
        <f>_A*F122*F122+_B*F122+_C</f>
        <v>323.96298664769841</v>
      </c>
      <c r="I122">
        <f t="shared" si="4"/>
        <v>8</v>
      </c>
      <c r="J122" s="16" cm="1">
        <f t="array" ref="J122">INDEX(Sm,I122)</f>
        <v>-1.3971602754957855</v>
      </c>
      <c r="K122" s="16">
        <f t="shared" si="5"/>
        <v>322.56582637220265</v>
      </c>
      <c r="L122" s="16">
        <f t="shared" si="6"/>
        <v>0.45582637220263678</v>
      </c>
      <c r="M122" s="16">
        <f t="shared" si="7"/>
        <v>0.20777768159541676</v>
      </c>
    </row>
    <row r="123" spans="6:13" x14ac:dyDescent="0.4">
      <c r="F123" s="1">
        <v>25082</v>
      </c>
      <c r="G123" s="16">
        <v>320.33</v>
      </c>
      <c r="H123" s="16">
        <f>_A*F123*F123+_B*F123+_C</f>
        <v>324.05081685177709</v>
      </c>
      <c r="I123">
        <f t="shared" si="4"/>
        <v>9</v>
      </c>
      <c r="J123" s="16" cm="1">
        <f t="array" ref="J123">INDEX(Sm,I123)</f>
        <v>-3.1930865292764237</v>
      </c>
      <c r="K123" s="16">
        <f t="shared" si="5"/>
        <v>320.85773032250069</v>
      </c>
      <c r="L123" s="16">
        <f t="shared" si="6"/>
        <v>0.52773032250070173</v>
      </c>
      <c r="M123" s="16">
        <f t="shared" si="7"/>
        <v>0.27849929328669465</v>
      </c>
    </row>
    <row r="124" spans="6:13" x14ac:dyDescent="0.4">
      <c r="F124" s="1">
        <v>25112</v>
      </c>
      <c r="G124" s="16">
        <v>320.25</v>
      </c>
      <c r="H124" s="16">
        <f>_A*F124*F124+_B*F124+_C</f>
        <v>324.13599325004481</v>
      </c>
      <c r="I124">
        <f t="shared" si="4"/>
        <v>10</v>
      </c>
      <c r="J124" s="16" cm="1">
        <f t="array" ref="J124">INDEX(Sm,I124)</f>
        <v>-3.3364130058083399</v>
      </c>
      <c r="K124" s="16">
        <f t="shared" si="5"/>
        <v>320.79958024423644</v>
      </c>
      <c r="L124" s="16">
        <f t="shared" si="6"/>
        <v>0.54958024423643792</v>
      </c>
      <c r="M124" s="16">
        <f t="shared" si="7"/>
        <v>0.30203844485498277</v>
      </c>
    </row>
    <row r="125" spans="6:13" x14ac:dyDescent="0.4">
      <c r="F125" s="1">
        <v>25143</v>
      </c>
      <c r="G125" s="16">
        <v>321.32</v>
      </c>
      <c r="H125" s="16">
        <f>_A*F125*F125+_B*F125+_C</f>
        <v>324.22419426905276</v>
      </c>
      <c r="I125">
        <f t="shared" si="4"/>
        <v>11</v>
      </c>
      <c r="J125" s="16" cm="1">
        <f t="array" ref="J125">INDEX(Sm,I125)</f>
        <v>-2.0587659563291303</v>
      </c>
      <c r="K125" s="16">
        <f t="shared" si="5"/>
        <v>322.16542831272363</v>
      </c>
      <c r="L125" s="16">
        <f t="shared" si="6"/>
        <v>0.84542831272364083</v>
      </c>
      <c r="M125" s="16">
        <f t="shared" si="7"/>
        <v>0.71474903195474226</v>
      </c>
    </row>
    <row r="126" spans="6:13" x14ac:dyDescent="0.4">
      <c r="F126" s="1">
        <v>25173</v>
      </c>
      <c r="G126" s="16">
        <v>322.89</v>
      </c>
      <c r="H126" s="16">
        <f>_A*F126*F126+_B*F126+_C</f>
        <v>324.30972952047796</v>
      </c>
      <c r="I126">
        <f t="shared" si="4"/>
        <v>12</v>
      </c>
      <c r="J126" s="16" cm="1">
        <f t="array" ref="J126">INDEX(Sm,I126)</f>
        <v>-0.89092746411398172</v>
      </c>
      <c r="K126" s="16">
        <f t="shared" si="5"/>
        <v>323.41880205636397</v>
      </c>
      <c r="L126" s="16">
        <f t="shared" si="6"/>
        <v>0.52880205636398614</v>
      </c>
      <c r="M126" s="16">
        <f t="shared" si="7"/>
        <v>0.27963161481478038</v>
      </c>
    </row>
    <row r="127" spans="6:13" x14ac:dyDescent="0.4">
      <c r="F127" s="1">
        <v>25204</v>
      </c>
      <c r="G127" s="16">
        <v>324</v>
      </c>
      <c r="H127" s="16">
        <f>_A*F127*F127+_B*F127+_C</f>
        <v>324.39830135441525</v>
      </c>
      <c r="I127">
        <f t="shared" si="4"/>
        <v>1</v>
      </c>
      <c r="J127" s="16" cm="1">
        <f t="array" ref="J127">INDEX(Sm,I127)</f>
        <v>6.1437948016995841E-2</v>
      </c>
      <c r="K127" s="16">
        <f t="shared" si="5"/>
        <v>324.45973930243224</v>
      </c>
      <c r="L127" s="16">
        <f t="shared" si="6"/>
        <v>0.45973930243224004</v>
      </c>
      <c r="M127" s="16">
        <f t="shared" si="7"/>
        <v>0.21136022620088268</v>
      </c>
    </row>
    <row r="128" spans="6:13" x14ac:dyDescent="0.4">
      <c r="F128" s="1">
        <v>25235</v>
      </c>
      <c r="G128" s="16">
        <v>324.41000000000003</v>
      </c>
      <c r="H128" s="16">
        <f>_A*F128*F128+_B*F128+_C</f>
        <v>324.48706163528391</v>
      </c>
      <c r="I128">
        <f t="shared" si="4"/>
        <v>2</v>
      </c>
      <c r="J128" s="16" cm="1">
        <f t="array" ref="J128">INDEX(Sm,I128)</f>
        <v>0.69461918939657585</v>
      </c>
      <c r="K128" s="16">
        <f t="shared" si="5"/>
        <v>325.18168082468048</v>
      </c>
      <c r="L128" s="16">
        <f t="shared" si="6"/>
        <v>0.77168082468045895</v>
      </c>
      <c r="M128" s="16">
        <f t="shared" si="7"/>
        <v>0.59549129517951327</v>
      </c>
    </row>
    <row r="129" spans="6:13" x14ac:dyDescent="0.4">
      <c r="F129" s="1">
        <v>25263</v>
      </c>
      <c r="G129" s="16">
        <v>325.63</v>
      </c>
      <c r="H129" s="16">
        <f>_A*F129*F129+_B*F129+_C</f>
        <v>324.5673941857097</v>
      </c>
      <c r="I129">
        <f t="shared" si="4"/>
        <v>3</v>
      </c>
      <c r="J129" s="16" cm="1">
        <f t="array" ref="J129">INDEX(Sm,I129)</f>
        <v>1.3737674684313066</v>
      </c>
      <c r="K129" s="16">
        <f t="shared" si="5"/>
        <v>325.94116165414101</v>
      </c>
      <c r="L129" s="16">
        <f t="shared" si="6"/>
        <v>0.31116165414101715</v>
      </c>
      <c r="M129" s="16">
        <f t="shared" si="7"/>
        <v>9.6821575007773983E-2</v>
      </c>
    </row>
    <row r="130" spans="6:13" x14ac:dyDescent="0.4">
      <c r="F130" s="1">
        <v>25294</v>
      </c>
      <c r="G130" s="16">
        <v>326.66000000000003</v>
      </c>
      <c r="H130" s="16">
        <f>_A*F130*F130+_B*F130+_C</f>
        <v>324.65651312364116</v>
      </c>
      <c r="I130">
        <f t="shared" si="4"/>
        <v>4</v>
      </c>
      <c r="J130" s="16" cm="1">
        <f t="array" ref="J130">INDEX(Sm,I130)</f>
        <v>2.6103146033777413</v>
      </c>
      <c r="K130" s="16">
        <f t="shared" si="5"/>
        <v>327.26682772701889</v>
      </c>
      <c r="L130" s="16">
        <f t="shared" si="6"/>
        <v>0.60682772701886734</v>
      </c>
      <c r="M130" s="16">
        <f t="shared" si="7"/>
        <v>0.36823989027888498</v>
      </c>
    </row>
    <row r="131" spans="6:13" x14ac:dyDescent="0.4">
      <c r="F131" s="1">
        <v>25324</v>
      </c>
      <c r="G131" s="16">
        <v>327.38</v>
      </c>
      <c r="H131" s="16">
        <f>_A*F131*F131+_B*F131+_C</f>
        <v>324.74293668370188</v>
      </c>
      <c r="I131">
        <f t="shared" ref="I131:I194" si="8">MONTH(F131)</f>
        <v>5</v>
      </c>
      <c r="J131" s="16" cm="1">
        <f t="array" ref="J131">INDEX(Sm,I131)</f>
        <v>3.065687851218776</v>
      </c>
      <c r="K131" s="16">
        <f t="shared" ref="K131:K194" si="9">H131+J131</f>
        <v>327.80862453492068</v>
      </c>
      <c r="L131" s="16">
        <f t="shared" ref="L131:L194" si="10">K131-G131</f>
        <v>0.42862453492068653</v>
      </c>
      <c r="M131" s="16">
        <f t="shared" ref="M131:M194" si="11">L131*L131</f>
        <v>0.18371899193597482</v>
      </c>
    </row>
    <row r="132" spans="6:13" x14ac:dyDescent="0.4">
      <c r="F132" s="1">
        <v>25355</v>
      </c>
      <c r="G132" s="16">
        <v>326.70999999999998</v>
      </c>
      <c r="H132" s="16">
        <f>_A*F132*F132+_B*F132+_C</f>
        <v>324.83242643656263</v>
      </c>
      <c r="I132">
        <f t="shared" si="8"/>
        <v>6</v>
      </c>
      <c r="J132" s="16" cm="1">
        <f t="array" ref="J132">INDEX(Sm,I132)</f>
        <v>2.3467878996384672</v>
      </c>
      <c r="K132" s="16">
        <f t="shared" si="9"/>
        <v>327.17921433620108</v>
      </c>
      <c r="L132" s="16">
        <f t="shared" si="10"/>
        <v>0.4692143362011052</v>
      </c>
      <c r="M132" s="16">
        <f t="shared" si="11"/>
        <v>0.22016209329664377</v>
      </c>
    </row>
    <row r="133" spans="6:13" x14ac:dyDescent="0.4">
      <c r="F133" s="1">
        <v>25385</v>
      </c>
      <c r="G133" s="16">
        <v>325.88</v>
      </c>
      <c r="H133" s="16">
        <f>_A*F133*F133+_B*F133+_C</f>
        <v>324.91920884978077</v>
      </c>
      <c r="I133">
        <f t="shared" si="8"/>
        <v>7</v>
      </c>
      <c r="J133" s="16" cm="1">
        <f t="array" ref="J133">INDEX(Sm,I133)</f>
        <v>0.7237382709437985</v>
      </c>
      <c r="K133" s="16">
        <f t="shared" si="9"/>
        <v>325.64294712072456</v>
      </c>
      <c r="L133" s="16">
        <f t="shared" si="10"/>
        <v>-0.2370528792754385</v>
      </c>
      <c r="M133" s="16">
        <f t="shared" si="11"/>
        <v>5.6194067572775619E-2</v>
      </c>
    </row>
    <row r="134" spans="6:13" x14ac:dyDescent="0.4">
      <c r="F134" s="1">
        <v>25416</v>
      </c>
      <c r="G134" s="16">
        <v>323.66000000000003</v>
      </c>
      <c r="H134" s="16">
        <f>_A*F134*F134+_B*F134+_C</f>
        <v>325.00906941757086</v>
      </c>
      <c r="I134">
        <f t="shared" si="8"/>
        <v>8</v>
      </c>
      <c r="J134" s="16" cm="1">
        <f t="array" ref="J134">INDEX(Sm,I134)</f>
        <v>-1.3971602754957855</v>
      </c>
      <c r="K134" s="16">
        <f t="shared" si="9"/>
        <v>323.61190914207509</v>
      </c>
      <c r="L134" s="16">
        <f t="shared" si="10"/>
        <v>-4.8090857924933061E-2</v>
      </c>
      <c r="M134" s="16">
        <f t="shared" si="11"/>
        <v>2.3127306159560971E-3</v>
      </c>
    </row>
    <row r="135" spans="6:13" x14ac:dyDescent="0.4">
      <c r="F135" s="1">
        <v>25447</v>
      </c>
      <c r="G135" s="16">
        <v>322.38</v>
      </c>
      <c r="H135" s="16">
        <f>_A*F135*F135+_B*F135+_C</f>
        <v>325.09911843229224</v>
      </c>
      <c r="I135">
        <f t="shared" si="8"/>
        <v>9</v>
      </c>
      <c r="J135" s="16" cm="1">
        <f t="array" ref="J135">INDEX(Sm,I135)</f>
        <v>-3.1930865292764237</v>
      </c>
      <c r="K135" s="16">
        <f t="shared" si="9"/>
        <v>321.90603190301584</v>
      </c>
      <c r="L135" s="16">
        <f t="shared" si="10"/>
        <v>-0.47396809698415154</v>
      </c>
      <c r="M135" s="16">
        <f t="shared" si="11"/>
        <v>0.22464575695877809</v>
      </c>
    </row>
    <row r="136" spans="6:13" x14ac:dyDescent="0.4">
      <c r="F136" s="1">
        <v>25477</v>
      </c>
      <c r="G136" s="16">
        <v>321.77999999999997</v>
      </c>
      <c r="H136" s="16">
        <f>_A*F136*F136+_B*F136+_C</f>
        <v>325.18644206666585</v>
      </c>
      <c r="I136">
        <f t="shared" si="8"/>
        <v>10</v>
      </c>
      <c r="J136" s="16" cm="1">
        <f t="array" ref="J136">INDEX(Sm,I136)</f>
        <v>-3.3364130058083399</v>
      </c>
      <c r="K136" s="16">
        <f t="shared" si="9"/>
        <v>321.85002906085748</v>
      </c>
      <c r="L136" s="16">
        <f t="shared" si="10"/>
        <v>7.0029060857507375E-2</v>
      </c>
      <c r="M136" s="16">
        <f t="shared" si="11"/>
        <v>4.9040693645844716E-3</v>
      </c>
    </row>
    <row r="137" spans="6:13" x14ac:dyDescent="0.4">
      <c r="F137" s="1">
        <v>25508</v>
      </c>
      <c r="G137" s="16">
        <v>322.85000000000002</v>
      </c>
      <c r="H137" s="16">
        <f>_A*F137*F137+_B*F137+_C</f>
        <v>325.27686189631657</v>
      </c>
      <c r="I137">
        <f t="shared" si="8"/>
        <v>11</v>
      </c>
      <c r="J137" s="16" cm="1">
        <f t="array" ref="J137">INDEX(Sm,I137)</f>
        <v>-2.0587659563291303</v>
      </c>
      <c r="K137" s="16">
        <f t="shared" si="9"/>
        <v>323.21809593998745</v>
      </c>
      <c r="L137" s="16">
        <f t="shared" si="10"/>
        <v>0.36809593998742685</v>
      </c>
      <c r="M137" s="16">
        <f t="shared" si="11"/>
        <v>0.13549462103522736</v>
      </c>
    </row>
    <row r="138" spans="6:13" x14ac:dyDescent="0.4">
      <c r="F138" s="1">
        <v>25538</v>
      </c>
      <c r="G138" s="16">
        <v>324.12</v>
      </c>
      <c r="H138" s="16">
        <f>_A*F138*F138+_B*F138+_C</f>
        <v>325.3645443838476</v>
      </c>
      <c r="I138">
        <f t="shared" si="8"/>
        <v>12</v>
      </c>
      <c r="J138" s="16" cm="1">
        <f t="array" ref="J138">INDEX(Sm,I138)</f>
        <v>-0.89092746411398172</v>
      </c>
      <c r="K138" s="16">
        <f t="shared" si="9"/>
        <v>324.47361691973362</v>
      </c>
      <c r="L138" s="16">
        <f t="shared" si="10"/>
        <v>0.35361691973361076</v>
      </c>
      <c r="M138" s="16">
        <f t="shared" si="11"/>
        <v>0.1250449259218869</v>
      </c>
    </row>
    <row r="139" spans="6:13" x14ac:dyDescent="0.4">
      <c r="F139" s="1">
        <v>25569</v>
      </c>
      <c r="G139" s="16">
        <v>325.06</v>
      </c>
      <c r="H139" s="16">
        <f>_A*F139*F139+_B*F139+_C</f>
        <v>325.45533502842767</v>
      </c>
      <c r="I139">
        <f t="shared" si="8"/>
        <v>1</v>
      </c>
      <c r="J139" s="16" cm="1">
        <f t="array" ref="J139">INDEX(Sm,I139)</f>
        <v>6.1437948016995841E-2</v>
      </c>
      <c r="K139" s="16">
        <f t="shared" si="9"/>
        <v>325.51677297644466</v>
      </c>
      <c r="L139" s="16">
        <f t="shared" si="10"/>
        <v>0.45677297644465398</v>
      </c>
      <c r="M139" s="16">
        <f t="shared" si="11"/>
        <v>0.20864155201010842</v>
      </c>
    </row>
    <row r="140" spans="6:13" x14ac:dyDescent="0.4">
      <c r="F140" s="1">
        <v>25600</v>
      </c>
      <c r="G140" s="16">
        <v>325.98</v>
      </c>
      <c r="H140" s="16">
        <f>_A*F140*F140+_B*F140+_C</f>
        <v>325.54631411993898</v>
      </c>
      <c r="I140">
        <f t="shared" si="8"/>
        <v>2</v>
      </c>
      <c r="J140" s="16" cm="1">
        <f t="array" ref="J140">INDEX(Sm,I140)</f>
        <v>0.69461918939657585</v>
      </c>
      <c r="K140" s="16">
        <f t="shared" si="9"/>
        <v>326.24093330933556</v>
      </c>
      <c r="L140" s="16">
        <f t="shared" si="10"/>
        <v>0.26093330933554171</v>
      </c>
      <c r="M140" s="16">
        <f t="shared" si="11"/>
        <v>6.8086191920797498E-2</v>
      </c>
    </row>
    <row r="141" spans="6:13" x14ac:dyDescent="0.4">
      <c r="F141" s="1">
        <v>25628</v>
      </c>
      <c r="G141" s="16">
        <v>326.93</v>
      </c>
      <c r="H141" s="16">
        <f>_A*F141*F141+_B*F141+_C</f>
        <v>325.628650757397</v>
      </c>
      <c r="I141">
        <f t="shared" si="8"/>
        <v>3</v>
      </c>
      <c r="J141" s="16" cm="1">
        <f t="array" ref="J141">INDEX(Sm,I141)</f>
        <v>1.3737674684313066</v>
      </c>
      <c r="K141" s="16">
        <f t="shared" si="9"/>
        <v>327.00241822582831</v>
      </c>
      <c r="L141" s="16">
        <f t="shared" si="10"/>
        <v>7.241822582830082E-2</v>
      </c>
      <c r="M141" s="16">
        <f t="shared" si="11"/>
        <v>5.2443994321187759E-3</v>
      </c>
    </row>
    <row r="142" spans="6:13" x14ac:dyDescent="0.4">
      <c r="F142" s="1">
        <v>25659</v>
      </c>
      <c r="G142" s="16">
        <v>328.13</v>
      </c>
      <c r="H142" s="16">
        <f>_A*F142*F142+_B*F142+_C</f>
        <v>325.71998850597112</v>
      </c>
      <c r="I142">
        <f t="shared" si="8"/>
        <v>4</v>
      </c>
      <c r="J142" s="16" cm="1">
        <f t="array" ref="J142">INDEX(Sm,I142)</f>
        <v>2.6103146033777413</v>
      </c>
      <c r="K142" s="16">
        <f t="shared" si="9"/>
        <v>328.33030310934885</v>
      </c>
      <c r="L142" s="16">
        <f t="shared" si="10"/>
        <v>0.20030310934885165</v>
      </c>
      <c r="M142" s="16">
        <f t="shared" si="11"/>
        <v>4.0121335614818024E-2</v>
      </c>
    </row>
    <row r="143" spans="6:13" x14ac:dyDescent="0.4">
      <c r="F143" s="1">
        <v>25689</v>
      </c>
      <c r="G143" s="16">
        <v>328.08</v>
      </c>
      <c r="H143" s="16">
        <f>_A*F143*F143+_B*F143+_C</f>
        <v>325.80855930213772</v>
      </c>
      <c r="I143">
        <f t="shared" si="8"/>
        <v>5</v>
      </c>
      <c r="J143" s="16" cm="1">
        <f t="array" ref="J143">INDEX(Sm,I143)</f>
        <v>3.065687851218776</v>
      </c>
      <c r="K143" s="16">
        <f t="shared" si="9"/>
        <v>328.87424715335652</v>
      </c>
      <c r="L143" s="16">
        <f t="shared" si="10"/>
        <v>0.79424715335653673</v>
      </c>
      <c r="M143" s="16">
        <f t="shared" si="11"/>
        <v>0.63082854061496196</v>
      </c>
    </row>
    <row r="144" spans="6:13" x14ac:dyDescent="0.4">
      <c r="F144" s="1">
        <v>25720</v>
      </c>
      <c r="G144" s="16">
        <v>327.67</v>
      </c>
      <c r="H144" s="16">
        <f>_A*F144*F144+_B*F144+_C</f>
        <v>325.90026786564124</v>
      </c>
      <c r="I144">
        <f t="shared" si="8"/>
        <v>6</v>
      </c>
      <c r="J144" s="16" cm="1">
        <f t="array" ref="J144">INDEX(Sm,I144)</f>
        <v>2.3467878996384672</v>
      </c>
      <c r="K144" s="16">
        <f t="shared" si="9"/>
        <v>328.2470557652797</v>
      </c>
      <c r="L144" s="16">
        <f t="shared" si="10"/>
        <v>0.57705576527968105</v>
      </c>
      <c r="M144" s="16">
        <f t="shared" si="11"/>
        <v>0.33299335624251836</v>
      </c>
    </row>
    <row r="145" spans="6:13" x14ac:dyDescent="0.4">
      <c r="F145" s="1">
        <v>25750</v>
      </c>
      <c r="G145" s="16">
        <v>326.33999999999997</v>
      </c>
      <c r="H145" s="16">
        <f>_A*F145*F145+_B*F145+_C</f>
        <v>325.98919751496521</v>
      </c>
      <c r="I145">
        <f t="shared" si="8"/>
        <v>7</v>
      </c>
      <c r="J145" s="16" cm="1">
        <f t="array" ref="J145">INDEX(Sm,I145)</f>
        <v>0.7237382709437985</v>
      </c>
      <c r="K145" s="16">
        <f t="shared" si="9"/>
        <v>326.712935785909</v>
      </c>
      <c r="L145" s="16">
        <f t="shared" si="10"/>
        <v>0.37293578590902143</v>
      </c>
      <c r="M145" s="16">
        <f t="shared" si="11"/>
        <v>0.13908110041157948</v>
      </c>
    </row>
    <row r="146" spans="6:13" x14ac:dyDescent="0.4">
      <c r="F146" s="1">
        <v>25781</v>
      </c>
      <c r="G146" s="16">
        <v>324.69</v>
      </c>
      <c r="H146" s="16">
        <f>_A*F146*F146+_B*F146+_C</f>
        <v>326.08127689339801</v>
      </c>
      <c r="I146">
        <f t="shared" si="8"/>
        <v>8</v>
      </c>
      <c r="J146" s="16" cm="1">
        <f t="array" ref="J146">INDEX(Sm,I146)</f>
        <v>-1.3971602754957855</v>
      </c>
      <c r="K146" s="16">
        <f t="shared" si="9"/>
        <v>324.68411661790225</v>
      </c>
      <c r="L146" s="16">
        <f t="shared" si="10"/>
        <v>-5.8833820977497453E-3</v>
      </c>
      <c r="M146" s="16">
        <f t="shared" si="11"/>
        <v>3.4614184908122191E-5</v>
      </c>
    </row>
    <row r="147" spans="6:13" x14ac:dyDescent="0.4">
      <c r="F147" s="1">
        <v>25812</v>
      </c>
      <c r="G147" s="16">
        <v>323.10000000000002</v>
      </c>
      <c r="H147" s="16">
        <f>_A*F147*F147+_B*F147+_C</f>
        <v>326.17354471876217</v>
      </c>
      <c r="I147">
        <f t="shared" si="8"/>
        <v>9</v>
      </c>
      <c r="J147" s="16" cm="1">
        <f t="array" ref="J147">INDEX(Sm,I147)</f>
        <v>-3.1930865292764237</v>
      </c>
      <c r="K147" s="16">
        <f t="shared" si="9"/>
        <v>322.98045818948577</v>
      </c>
      <c r="L147" s="16">
        <f t="shared" si="10"/>
        <v>-0.11954181051424939</v>
      </c>
      <c r="M147" s="16">
        <f t="shared" si="11"/>
        <v>1.4290244461024707E-2</v>
      </c>
    </row>
    <row r="148" spans="6:13" x14ac:dyDescent="0.4">
      <c r="F148" s="1">
        <v>25842</v>
      </c>
      <c r="G148" s="16">
        <v>323.06</v>
      </c>
      <c r="H148" s="16">
        <f>_A*F148*F148+_B*F148+_C</f>
        <v>326.2630155892416</v>
      </c>
      <c r="I148">
        <f t="shared" si="8"/>
        <v>10</v>
      </c>
      <c r="J148" s="16" cm="1">
        <f t="array" ref="J148">INDEX(Sm,I148)</f>
        <v>-3.3364130058083399</v>
      </c>
      <c r="K148" s="16">
        <f t="shared" si="9"/>
        <v>322.92660258343324</v>
      </c>
      <c r="L148" s="16">
        <f t="shared" si="10"/>
        <v>-0.13339741656676551</v>
      </c>
      <c r="M148" s="16">
        <f t="shared" si="11"/>
        <v>1.7794870746687168E-2</v>
      </c>
    </row>
    <row r="149" spans="6:13" x14ac:dyDescent="0.4">
      <c r="F149" s="1">
        <v>25873</v>
      </c>
      <c r="G149" s="16">
        <v>324.01</v>
      </c>
      <c r="H149" s="16">
        <f>_A*F149*F149+_B*F149+_C</f>
        <v>326.35565422953511</v>
      </c>
      <c r="I149">
        <f t="shared" si="8"/>
        <v>11</v>
      </c>
      <c r="J149" s="16" cm="1">
        <f t="array" ref="J149">INDEX(Sm,I149)</f>
        <v>-2.0587659563291303</v>
      </c>
      <c r="K149" s="16">
        <f t="shared" si="9"/>
        <v>324.29688827320598</v>
      </c>
      <c r="L149" s="16">
        <f t="shared" si="10"/>
        <v>0.28688827320598875</v>
      </c>
      <c r="M149" s="16">
        <f t="shared" si="11"/>
        <v>8.2304881303114044E-2</v>
      </c>
    </row>
    <row r="150" spans="6:13" x14ac:dyDescent="0.4">
      <c r="F150" s="1">
        <v>25903</v>
      </c>
      <c r="G150" s="16">
        <v>325.13</v>
      </c>
      <c r="H150" s="16">
        <f>_A*F150*F150+_B*F150+_C</f>
        <v>326.44548395317196</v>
      </c>
      <c r="I150">
        <f t="shared" si="8"/>
        <v>12</v>
      </c>
      <c r="J150" s="16" cm="1">
        <f t="array" ref="J150">INDEX(Sm,I150)</f>
        <v>-0.89092746411398172</v>
      </c>
      <c r="K150" s="16">
        <f t="shared" si="9"/>
        <v>325.55455648905797</v>
      </c>
      <c r="L150" s="16">
        <f t="shared" si="10"/>
        <v>0.42455648905797716</v>
      </c>
      <c r="M150" s="16">
        <f t="shared" si="11"/>
        <v>0.18024821240123629</v>
      </c>
    </row>
    <row r="151" spans="6:13" x14ac:dyDescent="0.4">
      <c r="F151" s="1">
        <v>25934</v>
      </c>
      <c r="G151" s="16">
        <v>326.17</v>
      </c>
      <c r="H151" s="16">
        <f>_A*F151*F151+_B*F151+_C</f>
        <v>326.53849340839474</v>
      </c>
      <c r="I151">
        <f t="shared" si="8"/>
        <v>1</v>
      </c>
      <c r="J151" s="16" cm="1">
        <f t="array" ref="J151">INDEX(Sm,I151)</f>
        <v>6.1437948016995841E-2</v>
      </c>
      <c r="K151" s="16">
        <f t="shared" si="9"/>
        <v>326.59993135641173</v>
      </c>
      <c r="L151" s="16">
        <f t="shared" si="10"/>
        <v>0.42993135641171421</v>
      </c>
      <c r="M151" s="16">
        <f t="shared" si="11"/>
        <v>0.18484097122601642</v>
      </c>
    </row>
    <row r="152" spans="6:13" x14ac:dyDescent="0.4">
      <c r="F152" s="1">
        <v>25965</v>
      </c>
      <c r="G152" s="16">
        <v>326.68</v>
      </c>
      <c r="H152" s="16">
        <f>_A*F152*F152+_B*F152+_C</f>
        <v>326.63169131054883</v>
      </c>
      <c r="I152">
        <f t="shared" si="8"/>
        <v>2</v>
      </c>
      <c r="J152" s="16" cm="1">
        <f t="array" ref="J152">INDEX(Sm,I152)</f>
        <v>0.69461918939657585</v>
      </c>
      <c r="K152" s="16">
        <f t="shared" si="9"/>
        <v>327.32631049994541</v>
      </c>
      <c r="L152" s="16">
        <f t="shared" si="10"/>
        <v>0.64631049994540035</v>
      </c>
      <c r="M152" s="16">
        <f t="shared" si="11"/>
        <v>0.41771726233967332</v>
      </c>
    </row>
    <row r="153" spans="6:13" x14ac:dyDescent="0.4">
      <c r="F153" s="1">
        <v>25993</v>
      </c>
      <c r="G153" s="16">
        <v>327.17</v>
      </c>
      <c r="H153" s="16">
        <f>_A*F153*F153+_B*F153+_C</f>
        <v>326.71603203503895</v>
      </c>
      <c r="I153">
        <f t="shared" si="8"/>
        <v>3</v>
      </c>
      <c r="J153" s="16" cm="1">
        <f t="array" ref="J153">INDEX(Sm,I153)</f>
        <v>1.3737674684313066</v>
      </c>
      <c r="K153" s="16">
        <f t="shared" si="9"/>
        <v>328.08979950347026</v>
      </c>
      <c r="L153" s="16">
        <f t="shared" si="10"/>
        <v>0.91979950347024442</v>
      </c>
      <c r="M153" s="16">
        <f t="shared" si="11"/>
        <v>0.84603112658410817</v>
      </c>
    </row>
    <row r="154" spans="6:13" x14ac:dyDescent="0.4">
      <c r="F154" s="1">
        <v>26024</v>
      </c>
      <c r="G154" s="16">
        <v>327.79</v>
      </c>
      <c r="H154" s="16">
        <f>_A*F154*F154+_B*F154+_C</f>
        <v>326.80958859425584</v>
      </c>
      <c r="I154">
        <f t="shared" si="8"/>
        <v>4</v>
      </c>
      <c r="J154" s="16" cm="1">
        <f t="array" ref="J154">INDEX(Sm,I154)</f>
        <v>2.6103146033777413</v>
      </c>
      <c r="K154" s="16">
        <f t="shared" si="9"/>
        <v>329.41990319763357</v>
      </c>
      <c r="L154" s="16">
        <f t="shared" si="10"/>
        <v>1.6299031976335527</v>
      </c>
      <c r="M154" s="16">
        <f t="shared" si="11"/>
        <v>2.65658443365608</v>
      </c>
    </row>
    <row r="155" spans="6:13" x14ac:dyDescent="0.4">
      <c r="F155" s="1">
        <v>26054</v>
      </c>
      <c r="G155" s="16">
        <v>328.93</v>
      </c>
      <c r="H155" s="16">
        <f>_A*F155*F155+_B*F155+_C</f>
        <v>326.90030662652828</v>
      </c>
      <c r="I155">
        <f t="shared" si="8"/>
        <v>5</v>
      </c>
      <c r="J155" s="16" cm="1">
        <f t="array" ref="J155">INDEX(Sm,I155)</f>
        <v>3.065687851218776</v>
      </c>
      <c r="K155" s="16">
        <f t="shared" si="9"/>
        <v>329.96599447774707</v>
      </c>
      <c r="L155" s="16">
        <f t="shared" si="10"/>
        <v>1.0359944777470673</v>
      </c>
      <c r="M155" s="16">
        <f t="shared" si="11"/>
        <v>1.0732845579224188</v>
      </c>
    </row>
    <row r="156" spans="6:13" x14ac:dyDescent="0.4">
      <c r="F156" s="1">
        <v>26085</v>
      </c>
      <c r="G156" s="16">
        <v>328.57</v>
      </c>
      <c r="H156" s="16">
        <f>_A*F156*F156+_B*F156+_C</f>
        <v>326.99423400067451</v>
      </c>
      <c r="I156">
        <f t="shared" si="8"/>
        <v>6</v>
      </c>
      <c r="J156" s="16" cm="1">
        <f t="array" ref="J156">INDEX(Sm,I156)</f>
        <v>2.3467878996384672</v>
      </c>
      <c r="K156" s="16">
        <f t="shared" si="9"/>
        <v>329.34102190031297</v>
      </c>
      <c r="L156" s="16">
        <f t="shared" si="10"/>
        <v>0.77102190031297368</v>
      </c>
      <c r="M156" s="16">
        <f t="shared" si="11"/>
        <v>0.5944747707622291</v>
      </c>
    </row>
    <row r="157" spans="6:13" x14ac:dyDescent="0.4">
      <c r="F157" s="1">
        <v>26115</v>
      </c>
      <c r="G157" s="16">
        <v>327.36</v>
      </c>
      <c r="H157" s="16">
        <f>_A*F157*F157+_B*F157+_C</f>
        <v>327.08531088610442</v>
      </c>
      <c r="I157">
        <f t="shared" si="8"/>
        <v>7</v>
      </c>
      <c r="J157" s="16" cm="1">
        <f t="array" ref="J157">INDEX(Sm,I157)</f>
        <v>0.7237382709437985</v>
      </c>
      <c r="K157" s="16">
        <f t="shared" si="9"/>
        <v>327.80904915704821</v>
      </c>
      <c r="L157" s="16">
        <f t="shared" si="10"/>
        <v>0.44904915704819359</v>
      </c>
      <c r="M157" s="16">
        <f t="shared" si="11"/>
        <v>0.20164514544569323</v>
      </c>
    </row>
    <row r="158" spans="6:13" x14ac:dyDescent="0.4">
      <c r="F158" s="1">
        <v>26146</v>
      </c>
      <c r="G158" s="16">
        <v>325.43</v>
      </c>
      <c r="H158" s="16">
        <f>_A*F158*F158+_B*F158+_C</f>
        <v>327.17960907517994</v>
      </c>
      <c r="I158">
        <f t="shared" si="8"/>
        <v>8</v>
      </c>
      <c r="J158" s="16" cm="1">
        <f t="array" ref="J158">INDEX(Sm,I158)</f>
        <v>-1.3971602754957855</v>
      </c>
      <c r="K158" s="16">
        <f t="shared" si="9"/>
        <v>325.78244879968418</v>
      </c>
      <c r="L158" s="16">
        <f t="shared" si="10"/>
        <v>0.35244879968416853</v>
      </c>
      <c r="M158" s="16">
        <f t="shared" si="11"/>
        <v>0.12422015639881116</v>
      </c>
    </row>
    <row r="159" spans="6:13" x14ac:dyDescent="0.4">
      <c r="F159" s="1">
        <v>26177</v>
      </c>
      <c r="G159" s="16">
        <v>323.36</v>
      </c>
      <c r="H159" s="16">
        <f>_A*F159*F159+_B*F159+_C</f>
        <v>327.27409571118676</v>
      </c>
      <c r="I159">
        <f t="shared" si="8"/>
        <v>9</v>
      </c>
      <c r="J159" s="16" cm="1">
        <f t="array" ref="J159">INDEX(Sm,I159)</f>
        <v>-3.1930865292764237</v>
      </c>
      <c r="K159" s="16">
        <f t="shared" si="9"/>
        <v>324.08100918191036</v>
      </c>
      <c r="L159" s="16">
        <f t="shared" si="10"/>
        <v>0.7210091819103468</v>
      </c>
      <c r="M159" s="16">
        <f t="shared" si="11"/>
        <v>0.51985424039902761</v>
      </c>
    </row>
    <row r="160" spans="6:13" x14ac:dyDescent="0.4">
      <c r="F160" s="1">
        <v>26207</v>
      </c>
      <c r="G160" s="16">
        <v>323.56</v>
      </c>
      <c r="H160" s="16">
        <f>_A*F160*F160+_B*F160+_C</f>
        <v>327.36571381777213</v>
      </c>
      <c r="I160">
        <f t="shared" si="8"/>
        <v>10</v>
      </c>
      <c r="J160" s="16" cm="1">
        <f t="array" ref="J160">INDEX(Sm,I160)</f>
        <v>-3.3364130058083399</v>
      </c>
      <c r="K160" s="16">
        <f t="shared" si="9"/>
        <v>324.02930081196376</v>
      </c>
      <c r="L160" s="16">
        <f t="shared" si="10"/>
        <v>0.4693008119637625</v>
      </c>
      <c r="M160" s="16">
        <f t="shared" si="11"/>
        <v>0.22024325210984677</v>
      </c>
    </row>
    <row r="161" spans="6:13" x14ac:dyDescent="0.4">
      <c r="F161" s="1">
        <v>26238</v>
      </c>
      <c r="G161" s="16">
        <v>324.8</v>
      </c>
      <c r="H161" s="16">
        <f>_A*F161*F161+_B*F161+_C</f>
        <v>327.46057126870829</v>
      </c>
      <c r="I161">
        <f t="shared" si="8"/>
        <v>11</v>
      </c>
      <c r="J161" s="16" cm="1">
        <f t="array" ref="J161">INDEX(Sm,I161)</f>
        <v>-2.0587659563291303</v>
      </c>
      <c r="K161" s="16">
        <f t="shared" si="9"/>
        <v>325.40180531237917</v>
      </c>
      <c r="L161" s="16">
        <f t="shared" si="10"/>
        <v>0.60180531237915602</v>
      </c>
      <c r="M161" s="16">
        <f t="shared" si="11"/>
        <v>0.36216963400777358</v>
      </c>
    </row>
    <row r="162" spans="6:13" x14ac:dyDescent="0.4">
      <c r="F162" s="1">
        <v>26268</v>
      </c>
      <c r="G162" s="16">
        <v>326.01</v>
      </c>
      <c r="H162" s="16">
        <f>_A*F162*F162+_B*F162+_C</f>
        <v>327.55254822845109</v>
      </c>
      <c r="I162">
        <f t="shared" si="8"/>
        <v>12</v>
      </c>
      <c r="J162" s="16" cm="1">
        <f t="array" ref="J162">INDEX(Sm,I162)</f>
        <v>-0.89092746411398172</v>
      </c>
      <c r="K162" s="16">
        <f t="shared" si="9"/>
        <v>326.6616207643371</v>
      </c>
      <c r="L162" s="16">
        <f t="shared" si="10"/>
        <v>0.65162076433711036</v>
      </c>
      <c r="M162" s="16">
        <f t="shared" si="11"/>
        <v>0.4246096205152799</v>
      </c>
    </row>
    <row r="163" spans="6:13" x14ac:dyDescent="0.4">
      <c r="F163" s="1">
        <v>26299</v>
      </c>
      <c r="G163" s="16">
        <v>326.77</v>
      </c>
      <c r="H163" s="16">
        <f>_A*F163*F163+_B*F163+_C</f>
        <v>327.64777649431659</v>
      </c>
      <c r="I163">
        <f t="shared" si="8"/>
        <v>1</v>
      </c>
      <c r="J163" s="16" cm="1">
        <f t="array" ref="J163">INDEX(Sm,I163)</f>
        <v>6.1437948016995841E-2</v>
      </c>
      <c r="K163" s="16">
        <f t="shared" si="9"/>
        <v>327.70921444233358</v>
      </c>
      <c r="L163" s="16">
        <f t="shared" si="10"/>
        <v>0.93921444233359352</v>
      </c>
      <c r="M163" s="16">
        <f t="shared" si="11"/>
        <v>0.88212376868800313</v>
      </c>
    </row>
    <row r="164" spans="6:13" x14ac:dyDescent="0.4">
      <c r="F164" s="1">
        <v>26330</v>
      </c>
      <c r="G164" s="16">
        <v>327.63</v>
      </c>
      <c r="H164" s="16">
        <f>_A*F164*F164+_B*F164+_C</f>
        <v>327.74319320711339</v>
      </c>
      <c r="I164">
        <f t="shared" si="8"/>
        <v>2</v>
      </c>
      <c r="J164" s="16" cm="1">
        <f t="array" ref="J164">INDEX(Sm,I164)</f>
        <v>0.69461918939657585</v>
      </c>
      <c r="K164" s="16">
        <f t="shared" si="9"/>
        <v>328.43781239650997</v>
      </c>
      <c r="L164" s="16">
        <f t="shared" si="10"/>
        <v>0.8078123965099735</v>
      </c>
      <c r="M164" s="16">
        <f t="shared" si="11"/>
        <v>0.65256086795518664</v>
      </c>
    </row>
    <row r="165" spans="6:13" x14ac:dyDescent="0.4">
      <c r="F165" s="1">
        <v>26359</v>
      </c>
      <c r="G165" s="16">
        <v>327.75</v>
      </c>
      <c r="H165" s="16">
        <f>_A*F165*F165+_B*F165+_C</f>
        <v>327.83262460527629</v>
      </c>
      <c r="I165">
        <f t="shared" si="8"/>
        <v>3</v>
      </c>
      <c r="J165" s="16" cm="1">
        <f t="array" ref="J165">INDEX(Sm,I165)</f>
        <v>1.3737674684313066</v>
      </c>
      <c r="K165" s="16">
        <f t="shared" si="9"/>
        <v>329.2063920737076</v>
      </c>
      <c r="L165" s="16">
        <f t="shared" si="10"/>
        <v>1.4563920737076046</v>
      </c>
      <c r="M165" s="16">
        <f t="shared" si="11"/>
        <v>2.1210778723583368</v>
      </c>
    </row>
    <row r="166" spans="6:13" x14ac:dyDescent="0.4">
      <c r="F166" s="1">
        <v>26390</v>
      </c>
      <c r="G166" s="16">
        <v>329.72</v>
      </c>
      <c r="H166" s="16">
        <f>_A*F166*F166+_B*F166+_C</f>
        <v>327.92840605406917</v>
      </c>
      <c r="I166">
        <f t="shared" si="8"/>
        <v>4</v>
      </c>
      <c r="J166" s="16" cm="1">
        <f t="array" ref="J166">INDEX(Sm,I166)</f>
        <v>2.6103146033777413</v>
      </c>
      <c r="K166" s="16">
        <f t="shared" si="9"/>
        <v>330.5387206574469</v>
      </c>
      <c r="L166" s="16">
        <f t="shared" si="10"/>
        <v>0.81872065744687461</v>
      </c>
      <c r="M166" s="16">
        <f t="shared" si="11"/>
        <v>0.67030351493024265</v>
      </c>
    </row>
    <row r="167" spans="6:13" x14ac:dyDescent="0.4">
      <c r="F167" s="1">
        <v>26420</v>
      </c>
      <c r="G167" s="16">
        <v>330.07</v>
      </c>
      <c r="H167" s="16">
        <f>_A*F167*F167+_B*F167+_C</f>
        <v>328.02127720528614</v>
      </c>
      <c r="I167">
        <f t="shared" si="8"/>
        <v>5</v>
      </c>
      <c r="J167" s="16" cm="1">
        <f t="array" ref="J167">INDEX(Sm,I167)</f>
        <v>3.065687851218776</v>
      </c>
      <c r="K167" s="16">
        <f t="shared" si="9"/>
        <v>331.08696505650494</v>
      </c>
      <c r="L167" s="16">
        <f t="shared" si="10"/>
        <v>1.0169650565049437</v>
      </c>
      <c r="M167" s="16">
        <f t="shared" si="11"/>
        <v>1.0342179261521034</v>
      </c>
    </row>
    <row r="168" spans="6:13" x14ac:dyDescent="0.4">
      <c r="F168" s="1">
        <v>26451</v>
      </c>
      <c r="G168" s="16">
        <v>329.09</v>
      </c>
      <c r="H168" s="16">
        <f>_A*F168*F168+_B*F168+_C</f>
        <v>328.11742946900836</v>
      </c>
      <c r="I168">
        <f t="shared" si="8"/>
        <v>6</v>
      </c>
      <c r="J168" s="16" cm="1">
        <f t="array" ref="J168">INDEX(Sm,I168)</f>
        <v>2.3467878996384672</v>
      </c>
      <c r="K168" s="16">
        <f t="shared" si="9"/>
        <v>330.46421736864681</v>
      </c>
      <c r="L168" s="16">
        <f t="shared" si="10"/>
        <v>1.3742173686468391</v>
      </c>
      <c r="M168" s="16">
        <f t="shared" si="11"/>
        <v>1.8884733762906425</v>
      </c>
    </row>
    <row r="169" spans="6:13" x14ac:dyDescent="0.4">
      <c r="F169" s="1">
        <v>26481</v>
      </c>
      <c r="G169" s="16">
        <v>328.04</v>
      </c>
      <c r="H169" s="16">
        <f>_A*F169*F169+_B*F169+_C</f>
        <v>328.21065947338275</v>
      </c>
      <c r="I169">
        <f t="shared" si="8"/>
        <v>7</v>
      </c>
      <c r="J169" s="16" cm="1">
        <f t="array" ref="J169">INDEX(Sm,I169)</f>
        <v>0.7237382709437985</v>
      </c>
      <c r="K169" s="16">
        <f t="shared" si="9"/>
        <v>328.93439774432653</v>
      </c>
      <c r="L169" s="16">
        <f t="shared" si="10"/>
        <v>0.8943977443265112</v>
      </c>
      <c r="M169" s="16">
        <f t="shared" si="11"/>
        <v>0.79994732505635135</v>
      </c>
    </row>
    <row r="170" spans="6:13" x14ac:dyDescent="0.4">
      <c r="F170" s="1">
        <v>26512</v>
      </c>
      <c r="G170" s="16">
        <v>326.32</v>
      </c>
      <c r="H170" s="16">
        <f>_A*F170*F170+_B*F170+_C</f>
        <v>328.30718255203431</v>
      </c>
      <c r="I170">
        <f t="shared" si="8"/>
        <v>8</v>
      </c>
      <c r="J170" s="16" cm="1">
        <f t="array" ref="J170">INDEX(Sm,I170)</f>
        <v>-1.3971602754957855</v>
      </c>
      <c r="K170" s="16">
        <f t="shared" si="9"/>
        <v>326.91002227653854</v>
      </c>
      <c r="L170" s="16">
        <f t="shared" si="10"/>
        <v>0.59002227653854789</v>
      </c>
      <c r="M170" s="16">
        <f t="shared" si="11"/>
        <v>0.34812628681173069</v>
      </c>
    </row>
    <row r="171" spans="6:13" x14ac:dyDescent="0.4">
      <c r="F171" s="1">
        <v>26543</v>
      </c>
      <c r="G171" s="16">
        <v>324.83999999999997</v>
      </c>
      <c r="H171" s="16">
        <f>_A*F171*F171+_B*F171+_C</f>
        <v>328.40389407761717</v>
      </c>
      <c r="I171">
        <f t="shared" si="8"/>
        <v>9</v>
      </c>
      <c r="J171" s="16" cm="1">
        <f t="array" ref="J171">INDEX(Sm,I171)</f>
        <v>-3.1930865292764237</v>
      </c>
      <c r="K171" s="16">
        <f t="shared" si="9"/>
        <v>325.21080754834077</v>
      </c>
      <c r="L171" s="16">
        <f t="shared" si="10"/>
        <v>0.37080754834079244</v>
      </c>
      <c r="M171" s="16">
        <f t="shared" si="11"/>
        <v>0.13749823790650911</v>
      </c>
    </row>
    <row r="172" spans="6:13" x14ac:dyDescent="0.4">
      <c r="F172" s="1">
        <v>26573</v>
      </c>
      <c r="G172" s="16">
        <v>325.2</v>
      </c>
      <c r="H172" s="16">
        <f>_A*F172*F172+_B*F172+_C</f>
        <v>328.49766530314702</v>
      </c>
      <c r="I172">
        <f t="shared" si="8"/>
        <v>10</v>
      </c>
      <c r="J172" s="16" cm="1">
        <f t="array" ref="J172">INDEX(Sm,I172)</f>
        <v>-3.3364130058083399</v>
      </c>
      <c r="K172" s="16">
        <f t="shared" si="9"/>
        <v>325.16125229733865</v>
      </c>
      <c r="L172" s="16">
        <f t="shared" si="10"/>
        <v>-3.8747702661339645E-2</v>
      </c>
      <c r="M172" s="16">
        <f t="shared" si="11"/>
        <v>1.5013844615315874E-3</v>
      </c>
    </row>
    <row r="173" spans="6:13" x14ac:dyDescent="0.4">
      <c r="F173" s="1">
        <v>26604</v>
      </c>
      <c r="G173" s="16">
        <v>326.5</v>
      </c>
      <c r="H173" s="16">
        <f>_A*F173*F173+_B*F173+_C</f>
        <v>328.59474764365916</v>
      </c>
      <c r="I173">
        <f t="shared" si="8"/>
        <v>11</v>
      </c>
      <c r="J173" s="16" cm="1">
        <f t="array" ref="J173">INDEX(Sm,I173)</f>
        <v>-2.0587659563291303</v>
      </c>
      <c r="K173" s="16">
        <f t="shared" si="9"/>
        <v>326.53598168733004</v>
      </c>
      <c r="L173" s="16">
        <f t="shared" si="10"/>
        <v>3.5981687330036038E-2</v>
      </c>
      <c r="M173" s="16">
        <f t="shared" si="11"/>
        <v>1.294681823116476E-3</v>
      </c>
    </row>
    <row r="174" spans="6:13" x14ac:dyDescent="0.4">
      <c r="F174" s="1">
        <v>26634</v>
      </c>
      <c r="G174" s="16">
        <v>327.55</v>
      </c>
      <c r="H174" s="16">
        <f>_A*F174*F174+_B*F174+_C</f>
        <v>328.68887772234643</v>
      </c>
      <c r="I174">
        <f t="shared" si="8"/>
        <v>12</v>
      </c>
      <c r="J174" s="16" cm="1">
        <f t="array" ref="J174">INDEX(Sm,I174)</f>
        <v>-0.89092746411398172</v>
      </c>
      <c r="K174" s="16">
        <f t="shared" si="9"/>
        <v>327.79795025823245</v>
      </c>
      <c r="L174" s="16">
        <f t="shared" si="10"/>
        <v>0.24795025823243577</v>
      </c>
      <c r="M174" s="16">
        <f t="shared" si="11"/>
        <v>6.1479330557531582E-2</v>
      </c>
    </row>
    <row r="175" spans="6:13" x14ac:dyDescent="0.4">
      <c r="F175" s="1">
        <v>26665</v>
      </c>
      <c r="G175" s="16">
        <v>328.55</v>
      </c>
      <c r="H175" s="16">
        <f>_A*F175*F175+_B*F175+_C</f>
        <v>328.78633087778798</v>
      </c>
      <c r="I175">
        <f t="shared" si="8"/>
        <v>1</v>
      </c>
      <c r="J175" s="16" cm="1">
        <f t="array" ref="J175">INDEX(Sm,I175)</f>
        <v>6.1437948016995841E-2</v>
      </c>
      <c r="K175" s="16">
        <f t="shared" si="9"/>
        <v>328.84776882580496</v>
      </c>
      <c r="L175" s="16">
        <f t="shared" si="10"/>
        <v>0.29776882580495112</v>
      </c>
      <c r="M175" s="16">
        <f t="shared" si="11"/>
        <v>8.8666273621259326E-2</v>
      </c>
    </row>
    <row r="176" spans="6:13" x14ac:dyDescent="0.4">
      <c r="F176" s="1">
        <v>26696</v>
      </c>
      <c r="G176" s="16">
        <v>329.56</v>
      </c>
      <c r="H176" s="16">
        <f>_A*F176*F176+_B*F176+_C</f>
        <v>328.88397248016076</v>
      </c>
      <c r="I176">
        <f t="shared" si="8"/>
        <v>2</v>
      </c>
      <c r="J176" s="16" cm="1">
        <f t="array" ref="J176">INDEX(Sm,I176)</f>
        <v>0.69461918939657585</v>
      </c>
      <c r="K176" s="16">
        <f t="shared" si="9"/>
        <v>329.57859166955734</v>
      </c>
      <c r="L176" s="16">
        <f t="shared" si="10"/>
        <v>1.8591669557338264E-2</v>
      </c>
      <c r="M176" s="16">
        <f t="shared" si="11"/>
        <v>3.4565017692925838E-4</v>
      </c>
    </row>
    <row r="177" spans="6:13" x14ac:dyDescent="0.4">
      <c r="F177" s="1">
        <v>26724</v>
      </c>
      <c r="G177" s="16">
        <v>330.3</v>
      </c>
      <c r="H177" s="16">
        <f>_A*F177*F177+_B*F177+_C</f>
        <v>328.97232686936457</v>
      </c>
      <c r="I177">
        <f t="shared" si="8"/>
        <v>3</v>
      </c>
      <c r="J177" s="16" cm="1">
        <f t="array" ref="J177">INDEX(Sm,I177)</f>
        <v>1.3737674684313066</v>
      </c>
      <c r="K177" s="16">
        <f t="shared" si="9"/>
        <v>330.34609433779588</v>
      </c>
      <c r="L177" s="16">
        <f t="shared" si="10"/>
        <v>4.6094337795864249E-2</v>
      </c>
      <c r="M177" s="16">
        <f t="shared" si="11"/>
        <v>2.1246879768392394E-3</v>
      </c>
    </row>
    <row r="178" spans="6:13" x14ac:dyDescent="0.4">
      <c r="F178" s="1">
        <v>26755</v>
      </c>
      <c r="G178" s="16">
        <v>331.5</v>
      </c>
      <c r="H178" s="16">
        <f>_A*F178*F178+_B*F178+_C</f>
        <v>329.07032712880022</v>
      </c>
      <c r="I178">
        <f t="shared" si="8"/>
        <v>4</v>
      </c>
      <c r="J178" s="16" cm="1">
        <f t="array" ref="J178">INDEX(Sm,I178)</f>
        <v>2.6103146033777413</v>
      </c>
      <c r="K178" s="16">
        <f t="shared" si="9"/>
        <v>331.68064173217795</v>
      </c>
      <c r="L178" s="16">
        <f t="shared" si="10"/>
        <v>0.18064173217794632</v>
      </c>
      <c r="M178" s="16">
        <f t="shared" si="11"/>
        <v>3.2631435404248892E-2</v>
      </c>
    </row>
    <row r="179" spans="6:13" x14ac:dyDescent="0.4">
      <c r="F179" s="1">
        <v>26785</v>
      </c>
      <c r="G179" s="16">
        <v>332.48</v>
      </c>
      <c r="H179" s="16">
        <f>_A*F179*F179+_B*F179+_C</f>
        <v>329.16534551612301</v>
      </c>
      <c r="I179">
        <f t="shared" si="8"/>
        <v>5</v>
      </c>
      <c r="J179" s="16" cm="1">
        <f t="array" ref="J179">INDEX(Sm,I179)</f>
        <v>3.065687851218776</v>
      </c>
      <c r="K179" s="16">
        <f t="shared" si="9"/>
        <v>332.23103336734181</v>
      </c>
      <c r="L179" s="16">
        <f t="shared" si="10"/>
        <v>-0.24896663265820962</v>
      </c>
      <c r="M179" s="16">
        <f t="shared" si="11"/>
        <v>6.1984384177167888E-2</v>
      </c>
    </row>
    <row r="180" spans="6:13" x14ac:dyDescent="0.4">
      <c r="F180" s="1">
        <v>26816</v>
      </c>
      <c r="G180" s="16">
        <v>332.07</v>
      </c>
      <c r="H180" s="16">
        <f>_A*F180*F180+_B*F180+_C</f>
        <v>329.263716590488</v>
      </c>
      <c r="I180">
        <f t="shared" si="8"/>
        <v>6</v>
      </c>
      <c r="J180" s="16" cm="1">
        <f t="array" ref="J180">INDEX(Sm,I180)</f>
        <v>2.3467878996384672</v>
      </c>
      <c r="K180" s="16">
        <f t="shared" si="9"/>
        <v>331.61050449012646</v>
      </c>
      <c r="L180" s="16">
        <f t="shared" si="10"/>
        <v>-0.45949550987353405</v>
      </c>
      <c r="M180" s="16">
        <f t="shared" si="11"/>
        <v>0.21113612359393902</v>
      </c>
    </row>
    <row r="181" spans="6:13" x14ac:dyDescent="0.4">
      <c r="F181" s="1">
        <v>26846</v>
      </c>
      <c r="G181" s="16">
        <v>330.87</v>
      </c>
      <c r="H181" s="16">
        <f>_A*F181*F181+_B*F181+_C</f>
        <v>329.35909383096822</v>
      </c>
      <c r="I181">
        <f t="shared" si="8"/>
        <v>7</v>
      </c>
      <c r="J181" s="16" cm="1">
        <f t="array" ref="J181">INDEX(Sm,I181)</f>
        <v>0.7237382709437985</v>
      </c>
      <c r="K181" s="16">
        <f t="shared" si="9"/>
        <v>330.082832101912</v>
      </c>
      <c r="L181" s="16">
        <f t="shared" si="10"/>
        <v>-0.78716789808800058</v>
      </c>
      <c r="M181" s="16">
        <f t="shared" si="11"/>
        <v>0.61963329978028092</v>
      </c>
    </row>
    <row r="182" spans="6:13" x14ac:dyDescent="0.4">
      <c r="F182" s="1">
        <v>26877</v>
      </c>
      <c r="G182" s="16">
        <v>329.31</v>
      </c>
      <c r="H182" s="16">
        <f>_A*F182*F182+_B*F182+_C</f>
        <v>329.45783572026249</v>
      </c>
      <c r="I182">
        <f t="shared" si="8"/>
        <v>8</v>
      </c>
      <c r="J182" s="16" cm="1">
        <f t="array" ref="J182">INDEX(Sm,I182)</f>
        <v>-1.3971602754957855</v>
      </c>
      <c r="K182" s="16">
        <f t="shared" si="9"/>
        <v>328.06067544476673</v>
      </c>
      <c r="L182" s="16">
        <f t="shared" si="10"/>
        <v>-1.2493245552332723</v>
      </c>
      <c r="M182" s="16">
        <f t="shared" si="11"/>
        <v>1.5608118443088137</v>
      </c>
    </row>
    <row r="183" spans="6:13" x14ac:dyDescent="0.4">
      <c r="F183" s="1">
        <v>26908</v>
      </c>
      <c r="G183" s="16">
        <v>327.51</v>
      </c>
      <c r="H183" s="16">
        <f>_A*F183*F183+_B*F183+_C</f>
        <v>329.55676605648807</v>
      </c>
      <c r="I183">
        <f t="shared" si="8"/>
        <v>9</v>
      </c>
      <c r="J183" s="16" cm="1">
        <f t="array" ref="J183">INDEX(Sm,I183)</f>
        <v>-3.1930865292764237</v>
      </c>
      <c r="K183" s="16">
        <f t="shared" si="9"/>
        <v>326.36367952721167</v>
      </c>
      <c r="L183" s="16">
        <f t="shared" si="10"/>
        <v>-1.1463204727883181</v>
      </c>
      <c r="M183" s="16">
        <f t="shared" si="11"/>
        <v>1.3140506263336331</v>
      </c>
    </row>
    <row r="184" spans="6:13" x14ac:dyDescent="0.4">
      <c r="F184" s="1">
        <v>26938</v>
      </c>
      <c r="G184" s="16">
        <v>327.18</v>
      </c>
      <c r="H184" s="16">
        <f>_A*F184*F184+_B*F184+_C</f>
        <v>329.65268451812381</v>
      </c>
      <c r="I184">
        <f t="shared" si="8"/>
        <v>10</v>
      </c>
      <c r="J184" s="16" cm="1">
        <f t="array" ref="J184">INDEX(Sm,I184)</f>
        <v>-3.3364130058083399</v>
      </c>
      <c r="K184" s="16">
        <f t="shared" si="9"/>
        <v>326.31627151231544</v>
      </c>
      <c r="L184" s="16">
        <f t="shared" si="10"/>
        <v>-0.86372848768456834</v>
      </c>
      <c r="M184" s="16">
        <f t="shared" si="11"/>
        <v>0.74602690043787157</v>
      </c>
    </row>
    <row r="185" spans="6:13" x14ac:dyDescent="0.4">
      <c r="F185" s="1">
        <v>26969</v>
      </c>
      <c r="G185" s="16">
        <v>328.16</v>
      </c>
      <c r="H185" s="16">
        <f>_A*F185*F185+_B*F185+_C</f>
        <v>329.75198566927872</v>
      </c>
      <c r="I185">
        <f t="shared" si="8"/>
        <v>11</v>
      </c>
      <c r="J185" s="16" cm="1">
        <f t="array" ref="J185">INDEX(Sm,I185)</f>
        <v>-2.0587659563291303</v>
      </c>
      <c r="K185" s="16">
        <f t="shared" si="9"/>
        <v>327.6932197129496</v>
      </c>
      <c r="L185" s="16">
        <f t="shared" si="10"/>
        <v>-0.46678028705042607</v>
      </c>
      <c r="M185" s="16">
        <f t="shared" si="11"/>
        <v>0.21788383637887815</v>
      </c>
    </row>
    <row r="186" spans="6:13" x14ac:dyDescent="0.4">
      <c r="F186" s="1">
        <v>26999</v>
      </c>
      <c r="G186" s="16">
        <v>328.64</v>
      </c>
      <c r="H186" s="16">
        <f>_A*F186*F186+_B*F186+_C</f>
        <v>329.84826298407188</v>
      </c>
      <c r="I186">
        <f t="shared" si="8"/>
        <v>12</v>
      </c>
      <c r="J186" s="16" cm="1">
        <f t="array" ref="J186">INDEX(Sm,I186)</f>
        <v>-0.89092746411398172</v>
      </c>
      <c r="K186" s="16">
        <f t="shared" si="9"/>
        <v>328.95733551995789</v>
      </c>
      <c r="L186" s="16">
        <f t="shared" si="10"/>
        <v>0.31733551995790776</v>
      </c>
      <c r="M186" s="16">
        <f t="shared" si="11"/>
        <v>0.10070183222695568</v>
      </c>
    </row>
    <row r="187" spans="6:13" x14ac:dyDescent="0.4">
      <c r="F187" s="1">
        <v>27030</v>
      </c>
      <c r="G187" s="16">
        <v>329.35</v>
      </c>
      <c r="H187" s="16">
        <f>_A*F187*F187+_B*F187+_C</f>
        <v>329.94793495015608</v>
      </c>
      <c r="I187">
        <f t="shared" si="8"/>
        <v>1</v>
      </c>
      <c r="J187" s="16" cm="1">
        <f t="array" ref="J187">INDEX(Sm,I187)</f>
        <v>6.1437948016995841E-2</v>
      </c>
      <c r="K187" s="16">
        <f t="shared" si="9"/>
        <v>330.00937289817307</v>
      </c>
      <c r="L187" s="16">
        <f t="shared" si="10"/>
        <v>0.65937289817304645</v>
      </c>
      <c r="M187" s="16">
        <f t="shared" si="11"/>
        <v>0.43477261884512269</v>
      </c>
    </row>
    <row r="188" spans="6:13" x14ac:dyDescent="0.4">
      <c r="F188" s="1">
        <v>27061</v>
      </c>
      <c r="G188" s="16">
        <v>330.71</v>
      </c>
      <c r="H188" s="16">
        <f>_A*F188*F188+_B*F188+_C</f>
        <v>330.04779536317164</v>
      </c>
      <c r="I188">
        <f t="shared" si="8"/>
        <v>2</v>
      </c>
      <c r="J188" s="16" cm="1">
        <f t="array" ref="J188">INDEX(Sm,I188)</f>
        <v>0.69461918939657585</v>
      </c>
      <c r="K188" s="16">
        <f t="shared" si="9"/>
        <v>330.74241455256822</v>
      </c>
      <c r="L188" s="16">
        <f t="shared" si="10"/>
        <v>3.2414552568241106E-2</v>
      </c>
      <c r="M188" s="16">
        <f t="shared" si="11"/>
        <v>1.050703218199266E-3</v>
      </c>
    </row>
    <row r="189" spans="6:13" x14ac:dyDescent="0.4">
      <c r="F189" s="1">
        <v>27089</v>
      </c>
      <c r="G189" s="16">
        <v>331.48</v>
      </c>
      <c r="H189" s="16">
        <f>_A*F189*F189+_B*F189+_C</f>
        <v>330.13815383940755</v>
      </c>
      <c r="I189">
        <f t="shared" si="8"/>
        <v>3</v>
      </c>
      <c r="J189" s="16" cm="1">
        <f t="array" ref="J189">INDEX(Sm,I189)</f>
        <v>1.3737674684313066</v>
      </c>
      <c r="K189" s="16">
        <f t="shared" si="9"/>
        <v>331.51192130783886</v>
      </c>
      <c r="L189" s="16">
        <f t="shared" si="10"/>
        <v>3.1921307838842949E-2</v>
      </c>
      <c r="M189" s="16">
        <f t="shared" si="11"/>
        <v>1.0189698941421763E-3</v>
      </c>
    </row>
    <row r="190" spans="6:13" x14ac:dyDescent="0.4">
      <c r="F190" s="1">
        <v>27120</v>
      </c>
      <c r="G190" s="16">
        <v>332.65</v>
      </c>
      <c r="H190" s="16">
        <f>_A*F190*F190+_B*F190+_C</f>
        <v>330.23837290948592</v>
      </c>
      <c r="I190">
        <f t="shared" si="8"/>
        <v>4</v>
      </c>
      <c r="J190" s="16" cm="1">
        <f t="array" ref="J190">INDEX(Sm,I190)</f>
        <v>2.6103146033777413</v>
      </c>
      <c r="K190" s="16">
        <f t="shared" si="9"/>
        <v>332.84868751286365</v>
      </c>
      <c r="L190" s="16">
        <f t="shared" si="10"/>
        <v>0.19868751286367115</v>
      </c>
      <c r="M190" s="16">
        <f t="shared" si="11"/>
        <v>3.947672776795149E-2</v>
      </c>
    </row>
    <row r="191" spans="6:13" x14ac:dyDescent="0.4">
      <c r="F191" s="1">
        <v>27150</v>
      </c>
      <c r="G191" s="16">
        <v>333.09</v>
      </c>
      <c r="H191" s="16">
        <f>_A*F191*F191+_B*F191+_C</f>
        <v>330.3355385329146</v>
      </c>
      <c r="I191">
        <f t="shared" si="8"/>
        <v>5</v>
      </c>
      <c r="J191" s="16" cm="1">
        <f t="array" ref="J191">INDEX(Sm,I191)</f>
        <v>3.065687851218776</v>
      </c>
      <c r="K191" s="16">
        <f t="shared" si="9"/>
        <v>333.40122638413339</v>
      </c>
      <c r="L191" s="16">
        <f t="shared" si="10"/>
        <v>0.31122638413341974</v>
      </c>
      <c r="M191" s="16">
        <f t="shared" si="11"/>
        <v>9.6861862180762939E-2</v>
      </c>
    </row>
    <row r="192" spans="6:13" x14ac:dyDescent="0.4">
      <c r="F192" s="1">
        <v>27181</v>
      </c>
      <c r="G192" s="16">
        <v>332.25</v>
      </c>
      <c r="H192" s="16">
        <f>_A*F192*F192+_B*F192+_C</f>
        <v>330.4361284179223</v>
      </c>
      <c r="I192">
        <f t="shared" si="8"/>
        <v>6</v>
      </c>
      <c r="J192" s="16" cm="1">
        <f t="array" ref="J192">INDEX(Sm,I192)</f>
        <v>2.3467878996384672</v>
      </c>
      <c r="K192" s="16">
        <f t="shared" si="9"/>
        <v>332.78291631756076</v>
      </c>
      <c r="L192" s="16">
        <f t="shared" si="10"/>
        <v>0.53291631756076185</v>
      </c>
      <c r="M192" s="16">
        <f t="shared" si="11"/>
        <v>0.2839998015225228</v>
      </c>
    </row>
    <row r="193" spans="6:13" x14ac:dyDescent="0.4">
      <c r="F193" s="1">
        <v>27211</v>
      </c>
      <c r="G193" s="16">
        <v>331.18</v>
      </c>
      <c r="H193" s="16">
        <f>_A*F193*F193+_B*F193+_C</f>
        <v>330.53365289450841</v>
      </c>
      <c r="I193">
        <f t="shared" si="8"/>
        <v>7</v>
      </c>
      <c r="J193" s="16" cm="1">
        <f t="array" ref="J193">INDEX(Sm,I193)</f>
        <v>0.7237382709437985</v>
      </c>
      <c r="K193" s="16">
        <f t="shared" si="9"/>
        <v>331.25739116545219</v>
      </c>
      <c r="L193" s="16">
        <f t="shared" si="10"/>
        <v>7.7391165452183941E-2</v>
      </c>
      <c r="M193" s="16">
        <f t="shared" si="11"/>
        <v>5.9893924900473088E-3</v>
      </c>
    </row>
    <row r="194" spans="6:13" x14ac:dyDescent="0.4">
      <c r="F194" s="1">
        <v>27242</v>
      </c>
      <c r="G194" s="16">
        <v>329.39</v>
      </c>
      <c r="H194" s="16">
        <f>_A*F194*F194+_B*F194+_C</f>
        <v>330.6346135944454</v>
      </c>
      <c r="I194">
        <f t="shared" si="8"/>
        <v>8</v>
      </c>
      <c r="J194" s="16" cm="1">
        <f t="array" ref="J194">INDEX(Sm,I194)</f>
        <v>-1.3971602754957855</v>
      </c>
      <c r="K194" s="16">
        <f t="shared" si="9"/>
        <v>329.23745331894963</v>
      </c>
      <c r="L194" s="16">
        <f t="shared" si="10"/>
        <v>-0.15254668105035307</v>
      </c>
      <c r="M194" s="16">
        <f t="shared" si="11"/>
        <v>2.327048989947815E-2</v>
      </c>
    </row>
    <row r="195" spans="6:13" x14ac:dyDescent="0.4">
      <c r="F195" s="1">
        <v>27273</v>
      </c>
      <c r="G195" s="16">
        <v>327.43</v>
      </c>
      <c r="H195" s="16">
        <f>_A*F195*F195+_B*F195+_C</f>
        <v>330.73576274131375</v>
      </c>
      <c r="I195">
        <f t="shared" ref="I195:I258" si="12">MONTH(F195)</f>
        <v>9</v>
      </c>
      <c r="J195" s="16" cm="1">
        <f t="array" ref="J195">INDEX(Sm,I195)</f>
        <v>-3.1930865292764237</v>
      </c>
      <c r="K195" s="16">
        <f t="shared" ref="K195:K258" si="13">H195+J195</f>
        <v>327.54267621203735</v>
      </c>
      <c r="L195" s="16">
        <f t="shared" ref="L195:L258" si="14">K195-G195</f>
        <v>0.11267621203734279</v>
      </c>
      <c r="M195" s="16">
        <f t="shared" ref="M195:M258" si="15">L195*L195</f>
        <v>1.2695928759084233E-2</v>
      </c>
    </row>
    <row r="196" spans="6:13" x14ac:dyDescent="0.4">
      <c r="F196" s="1">
        <v>27303</v>
      </c>
      <c r="G196" s="16">
        <v>327.37</v>
      </c>
      <c r="H196" s="16">
        <f>_A*F196*F196+_B*F196+_C</f>
        <v>330.83382843905531</v>
      </c>
      <c r="I196">
        <f t="shared" si="12"/>
        <v>10</v>
      </c>
      <c r="J196" s="16" cm="1">
        <f t="array" ref="J196">INDEX(Sm,I196)</f>
        <v>-3.3364130058083399</v>
      </c>
      <c r="K196" s="16">
        <f t="shared" si="13"/>
        <v>327.49741543324694</v>
      </c>
      <c r="L196" s="16">
        <f t="shared" si="14"/>
        <v>0.12741543324693794</v>
      </c>
      <c r="M196" s="16">
        <f t="shared" si="15"/>
        <v>1.6234692629504898E-2</v>
      </c>
    </row>
    <row r="197" spans="6:13" x14ac:dyDescent="0.4">
      <c r="F197" s="1">
        <v>27334</v>
      </c>
      <c r="G197" s="16">
        <v>328.46</v>
      </c>
      <c r="H197" s="16">
        <f>_A*F197*F197+_B*F197+_C</f>
        <v>330.93534840085294</v>
      </c>
      <c r="I197">
        <f t="shared" si="12"/>
        <v>11</v>
      </c>
      <c r="J197" s="16" cm="1">
        <f t="array" ref="J197">INDEX(Sm,I197)</f>
        <v>-2.0587659563291303</v>
      </c>
      <c r="K197" s="16">
        <f t="shared" si="13"/>
        <v>328.87658244452382</v>
      </c>
      <c r="L197" s="16">
        <f t="shared" si="14"/>
        <v>0.41658244452383997</v>
      </c>
      <c r="M197" s="16">
        <f t="shared" si="15"/>
        <v>0.1735409330854582</v>
      </c>
    </row>
    <row r="198" spans="6:13" x14ac:dyDescent="0.4">
      <c r="F198" s="1">
        <v>27364</v>
      </c>
      <c r="G198" s="16">
        <v>329.57</v>
      </c>
      <c r="H198" s="16">
        <f>_A*F198*F198+_B*F198+_C</f>
        <v>331.03377295175198</v>
      </c>
      <c r="I198">
        <f t="shared" si="12"/>
        <v>12</v>
      </c>
      <c r="J198" s="16" cm="1">
        <f t="array" ref="J198">INDEX(Sm,I198)</f>
        <v>-0.89092746411398172</v>
      </c>
      <c r="K198" s="16">
        <f t="shared" si="13"/>
        <v>330.142845487638</v>
      </c>
      <c r="L198" s="16">
        <f t="shared" si="14"/>
        <v>0.57284548763800558</v>
      </c>
      <c r="M198" s="16">
        <f t="shared" si="15"/>
        <v>0.32815195270722441</v>
      </c>
    </row>
    <row r="199" spans="6:13" x14ac:dyDescent="0.4">
      <c r="F199" s="1">
        <v>27395</v>
      </c>
      <c r="G199" s="16">
        <v>330.4</v>
      </c>
      <c r="H199" s="16">
        <f>_A*F199*F199+_B*F199+_C</f>
        <v>331.1356637284789</v>
      </c>
      <c r="I199">
        <f t="shared" si="12"/>
        <v>1</v>
      </c>
      <c r="J199" s="16" cm="1">
        <f t="array" ref="J199">INDEX(Sm,I199)</f>
        <v>6.1437948016995841E-2</v>
      </c>
      <c r="K199" s="16">
        <f t="shared" si="13"/>
        <v>331.19710167649589</v>
      </c>
      <c r="L199" s="16">
        <f t="shared" si="14"/>
        <v>0.79710167649591313</v>
      </c>
      <c r="M199" s="16">
        <f t="shared" si="15"/>
        <v>0.63537108267259534</v>
      </c>
    </row>
    <row r="200" spans="6:13" x14ac:dyDescent="0.4">
      <c r="F200" s="1">
        <v>27426</v>
      </c>
      <c r="G200" s="16">
        <v>331.4</v>
      </c>
      <c r="H200" s="16">
        <f>_A*F200*F200+_B*F200+_C</f>
        <v>331.23774295213718</v>
      </c>
      <c r="I200">
        <f t="shared" si="12"/>
        <v>2</v>
      </c>
      <c r="J200" s="16" cm="1">
        <f t="array" ref="J200">INDEX(Sm,I200)</f>
        <v>0.69461918939657585</v>
      </c>
      <c r="K200" s="16">
        <f t="shared" si="13"/>
        <v>331.93236214153376</v>
      </c>
      <c r="L200" s="16">
        <f t="shared" si="14"/>
        <v>0.53236214153378114</v>
      </c>
      <c r="M200" s="16">
        <f t="shared" si="15"/>
        <v>0.28340944973843363</v>
      </c>
    </row>
    <row r="201" spans="6:13" x14ac:dyDescent="0.4">
      <c r="F201" s="1">
        <v>27454</v>
      </c>
      <c r="G201" s="16">
        <v>332.04</v>
      </c>
      <c r="H201" s="16">
        <f>_A*F201*F201+_B*F201+_C</f>
        <v>331.33010551540531</v>
      </c>
      <c r="I201">
        <f t="shared" si="12"/>
        <v>3</v>
      </c>
      <c r="J201" s="16" cm="1">
        <f t="array" ref="J201">INDEX(Sm,I201)</f>
        <v>1.3737674684313066</v>
      </c>
      <c r="K201" s="16">
        <f t="shared" si="13"/>
        <v>332.70387298383662</v>
      </c>
      <c r="L201" s="16">
        <f t="shared" si="14"/>
        <v>0.66387298383659754</v>
      </c>
      <c r="M201" s="16">
        <f t="shared" si="15"/>
        <v>0.44072733866810732</v>
      </c>
    </row>
    <row r="202" spans="6:13" x14ac:dyDescent="0.4">
      <c r="F202" s="1">
        <v>27485</v>
      </c>
      <c r="G202" s="16">
        <v>333.31</v>
      </c>
      <c r="H202" s="16">
        <f>_A*F202*F202+_B*F202+_C</f>
        <v>331.43254339612633</v>
      </c>
      <c r="I202">
        <f t="shared" si="12"/>
        <v>4</v>
      </c>
      <c r="J202" s="16" cm="1">
        <f t="array" ref="J202">INDEX(Sm,I202)</f>
        <v>2.6103146033777413</v>
      </c>
      <c r="K202" s="16">
        <f t="shared" si="13"/>
        <v>334.04285799950406</v>
      </c>
      <c r="L202" s="16">
        <f t="shared" si="14"/>
        <v>0.73285799950406272</v>
      </c>
      <c r="M202" s="16">
        <f t="shared" si="15"/>
        <v>0.53708084743709683</v>
      </c>
    </row>
    <row r="203" spans="6:13" x14ac:dyDescent="0.4">
      <c r="F203" s="1">
        <v>27515</v>
      </c>
      <c r="G203" s="16">
        <v>333.97</v>
      </c>
      <c r="H203" s="16">
        <f>_A*F203*F203+_B*F203+_C</f>
        <v>331.53185625566095</v>
      </c>
      <c r="I203">
        <f t="shared" si="12"/>
        <v>5</v>
      </c>
      <c r="J203" s="16" cm="1">
        <f t="array" ref="J203">INDEX(Sm,I203)</f>
        <v>3.065687851218776</v>
      </c>
      <c r="K203" s="16">
        <f t="shared" si="13"/>
        <v>334.59754410687975</v>
      </c>
      <c r="L203" s="16">
        <f t="shared" si="14"/>
        <v>0.62754410687972495</v>
      </c>
      <c r="M203" s="16">
        <f t="shared" si="15"/>
        <v>0.39381160607947163</v>
      </c>
    </row>
    <row r="204" spans="6:13" x14ac:dyDescent="0.4">
      <c r="F204" s="1">
        <v>27546</v>
      </c>
      <c r="G204" s="16">
        <v>333.6</v>
      </c>
      <c r="H204" s="16">
        <f>_A*F204*F204+_B*F204+_C</f>
        <v>331.63466495131132</v>
      </c>
      <c r="I204">
        <f t="shared" si="12"/>
        <v>6</v>
      </c>
      <c r="J204" s="16" cm="1">
        <f t="array" ref="J204">INDEX(Sm,I204)</f>
        <v>2.3467878996384672</v>
      </c>
      <c r="K204" s="16">
        <f t="shared" si="13"/>
        <v>333.98145285094978</v>
      </c>
      <c r="L204" s="16">
        <f t="shared" si="14"/>
        <v>0.38145285094975634</v>
      </c>
      <c r="M204" s="16">
        <f t="shared" si="15"/>
        <v>0.14550627749769701</v>
      </c>
    </row>
    <row r="205" spans="6:13" x14ac:dyDescent="0.4">
      <c r="F205" s="1">
        <v>27576</v>
      </c>
      <c r="G205" s="16">
        <v>331.9</v>
      </c>
      <c r="H205" s="16">
        <f>_A*F205*F205+_B*F205+_C</f>
        <v>331.73433666400331</v>
      </c>
      <c r="I205">
        <f t="shared" si="12"/>
        <v>7</v>
      </c>
      <c r="J205" s="16" cm="1">
        <f t="array" ref="J205">INDEX(Sm,I205)</f>
        <v>0.7237382709437985</v>
      </c>
      <c r="K205" s="16">
        <f t="shared" si="13"/>
        <v>332.45807493494709</v>
      </c>
      <c r="L205" s="16">
        <f t="shared" si="14"/>
        <v>0.5580749349471148</v>
      </c>
      <c r="M205" s="16">
        <f t="shared" si="15"/>
        <v>0.31144763301622641</v>
      </c>
    </row>
    <row r="206" spans="6:13" x14ac:dyDescent="0.4">
      <c r="F206" s="1">
        <v>27607</v>
      </c>
      <c r="G206" s="16">
        <v>330.06</v>
      </c>
      <c r="H206" s="16">
        <f>_A*F206*F206+_B*F206+_C</f>
        <v>331.83751617458307</v>
      </c>
      <c r="I206">
        <f t="shared" si="12"/>
        <v>8</v>
      </c>
      <c r="J206" s="16" cm="1">
        <f t="array" ref="J206">INDEX(Sm,I206)</f>
        <v>-1.3971602754957855</v>
      </c>
      <c r="K206" s="16">
        <f t="shared" si="13"/>
        <v>330.44035589908731</v>
      </c>
      <c r="L206" s="16">
        <f t="shared" si="14"/>
        <v>0.38035589908730572</v>
      </c>
      <c r="M206" s="16">
        <f t="shared" si="15"/>
        <v>0.14467060997051268</v>
      </c>
    </row>
    <row r="207" spans="6:13" x14ac:dyDescent="0.4">
      <c r="F207" s="1">
        <v>27638</v>
      </c>
      <c r="G207" s="16">
        <v>328.56</v>
      </c>
      <c r="H207" s="16">
        <f>_A*F207*F207+_B*F207+_C</f>
        <v>331.94088413209408</v>
      </c>
      <c r="I207">
        <f t="shared" si="12"/>
        <v>9</v>
      </c>
      <c r="J207" s="16" cm="1">
        <f t="array" ref="J207">INDEX(Sm,I207)</f>
        <v>-3.1930865292764237</v>
      </c>
      <c r="K207" s="16">
        <f t="shared" si="13"/>
        <v>328.74779760281768</v>
      </c>
      <c r="L207" s="16">
        <f t="shared" si="14"/>
        <v>0.18779760281768176</v>
      </c>
      <c r="M207" s="16">
        <f t="shared" si="15"/>
        <v>3.5267939624067754E-2</v>
      </c>
    </row>
    <row r="208" spans="6:13" x14ac:dyDescent="0.4">
      <c r="F208" s="1">
        <v>27668</v>
      </c>
      <c r="G208" s="16">
        <v>328.34</v>
      </c>
      <c r="H208" s="16">
        <f>_A*F208*F208+_B*F208+_C</f>
        <v>332.04109706594153</v>
      </c>
      <c r="I208">
        <f t="shared" si="12"/>
        <v>10</v>
      </c>
      <c r="J208" s="16" cm="1">
        <f t="array" ref="J208">INDEX(Sm,I208)</f>
        <v>-3.3364130058083399</v>
      </c>
      <c r="K208" s="16">
        <f t="shared" si="13"/>
        <v>328.70468406013316</v>
      </c>
      <c r="L208" s="16">
        <f t="shared" si="14"/>
        <v>0.36468406013318599</v>
      </c>
      <c r="M208" s="16">
        <f t="shared" si="15"/>
        <v>0.13299446371522522</v>
      </c>
    </row>
    <row r="209" spans="6:13" x14ac:dyDescent="0.4">
      <c r="F209" s="1">
        <v>27699</v>
      </c>
      <c r="G209" s="16">
        <v>329.49</v>
      </c>
      <c r="H209" s="16">
        <f>_A*F209*F209+_B*F209+_C</f>
        <v>332.14483583838194</v>
      </c>
      <c r="I209">
        <f t="shared" si="12"/>
        <v>11</v>
      </c>
      <c r="J209" s="16" cm="1">
        <f t="array" ref="J209">INDEX(Sm,I209)</f>
        <v>-2.0587659563291303</v>
      </c>
      <c r="K209" s="16">
        <f t="shared" si="13"/>
        <v>330.08606988205281</v>
      </c>
      <c r="L209" s="16">
        <f t="shared" si="14"/>
        <v>0.59606988205280231</v>
      </c>
      <c r="M209" s="16">
        <f t="shared" si="15"/>
        <v>0.35529930429044165</v>
      </c>
    </row>
    <row r="210" spans="6:13" x14ac:dyDescent="0.4">
      <c r="F210" s="1">
        <v>27729</v>
      </c>
      <c r="G210" s="16">
        <v>330.76</v>
      </c>
      <c r="H210" s="16">
        <f>_A*F210*F210+_B*F210+_C</f>
        <v>332.2454076253868</v>
      </c>
      <c r="I210">
        <f t="shared" si="12"/>
        <v>12</v>
      </c>
      <c r="J210" s="16" cm="1">
        <f t="array" ref="J210">INDEX(Sm,I210)</f>
        <v>-0.89092746411398172</v>
      </c>
      <c r="K210" s="16">
        <f t="shared" si="13"/>
        <v>331.35448016127282</v>
      </c>
      <c r="L210" s="16">
        <f t="shared" si="14"/>
        <v>0.59448016127282699</v>
      </c>
      <c r="M210" s="16">
        <f t="shared" si="15"/>
        <v>0.35340666214696637</v>
      </c>
    </row>
    <row r="211" spans="6:13" x14ac:dyDescent="0.4">
      <c r="F211" s="1">
        <v>27760</v>
      </c>
      <c r="G211" s="16">
        <v>331.75</v>
      </c>
      <c r="H211" s="16">
        <f>_A*F211*F211+_B*F211+_C</f>
        <v>332.3495172127565</v>
      </c>
      <c r="I211">
        <f t="shared" si="12"/>
        <v>1</v>
      </c>
      <c r="J211" s="16" cm="1">
        <f t="array" ref="J211">INDEX(Sm,I211)</f>
        <v>6.1437948016995841E-2</v>
      </c>
      <c r="K211" s="16">
        <f t="shared" si="13"/>
        <v>332.41095516077348</v>
      </c>
      <c r="L211" s="16">
        <f t="shared" si="14"/>
        <v>0.66095516077348293</v>
      </c>
      <c r="M211" s="16">
        <f t="shared" si="15"/>
        <v>0.43686172455310068</v>
      </c>
    </row>
    <row r="212" spans="6:13" x14ac:dyDescent="0.4">
      <c r="F212" s="1">
        <v>27791</v>
      </c>
      <c r="G212" s="16">
        <v>332.57</v>
      </c>
      <c r="H212" s="16">
        <f>_A*F212*F212+_B*F212+_C</f>
        <v>332.45381524705749</v>
      </c>
      <c r="I212">
        <f t="shared" si="12"/>
        <v>2</v>
      </c>
      <c r="J212" s="16" cm="1">
        <f t="array" ref="J212">INDEX(Sm,I212)</f>
        <v>0.69461918939657585</v>
      </c>
      <c r="K212" s="16">
        <f t="shared" si="13"/>
        <v>333.14843443645407</v>
      </c>
      <c r="L212" s="16">
        <f t="shared" si="14"/>
        <v>0.57843443645407433</v>
      </c>
      <c r="M212" s="16">
        <f t="shared" si="15"/>
        <v>0.33458639727594253</v>
      </c>
    </row>
    <row r="213" spans="6:13" x14ac:dyDescent="0.4">
      <c r="F213" s="1">
        <v>27820</v>
      </c>
      <c r="G213" s="16">
        <v>333.5</v>
      </c>
      <c r="H213" s="16">
        <f>_A*F213*F213+_B*F213+_C</f>
        <v>332.55155497824046</v>
      </c>
      <c r="I213">
        <f t="shared" si="12"/>
        <v>3</v>
      </c>
      <c r="J213" s="16" cm="1">
        <f t="array" ref="J213">INDEX(Sm,I213)</f>
        <v>1.3737674684313066</v>
      </c>
      <c r="K213" s="16">
        <f t="shared" si="13"/>
        <v>333.92532244667177</v>
      </c>
      <c r="L213" s="16">
        <f t="shared" si="14"/>
        <v>0.4253224466717711</v>
      </c>
      <c r="M213" s="16">
        <f t="shared" si="15"/>
        <v>0.18089918364286156</v>
      </c>
    </row>
    <row r="214" spans="6:13" x14ac:dyDescent="0.4">
      <c r="F214" s="1">
        <v>27851</v>
      </c>
      <c r="G214" s="16">
        <v>334.58</v>
      </c>
      <c r="H214" s="16">
        <f>_A*F214*F214+_B*F214+_C</f>
        <v>332.65621774853753</v>
      </c>
      <c r="I214">
        <f t="shared" si="12"/>
        <v>4</v>
      </c>
      <c r="J214" s="16" cm="1">
        <f t="array" ref="J214">INDEX(Sm,I214)</f>
        <v>2.6103146033777413</v>
      </c>
      <c r="K214" s="16">
        <f t="shared" si="13"/>
        <v>335.26653235191526</v>
      </c>
      <c r="L214" s="16">
        <f t="shared" si="14"/>
        <v>0.68653235191527529</v>
      </c>
      <c r="M214" s="16">
        <f t="shared" si="15"/>
        <v>0.47132667022631941</v>
      </c>
    </row>
    <row r="215" spans="6:13" x14ac:dyDescent="0.4">
      <c r="F215" s="1">
        <v>27881</v>
      </c>
      <c r="G215" s="16">
        <v>334.88</v>
      </c>
      <c r="H215" s="16">
        <f>_A*F215*F215+_B*F215+_C</f>
        <v>332.75768372701657</v>
      </c>
      <c r="I215">
        <f t="shared" si="12"/>
        <v>5</v>
      </c>
      <c r="J215" s="16" cm="1">
        <f t="array" ref="J215">INDEX(Sm,I215)</f>
        <v>3.065687851218776</v>
      </c>
      <c r="K215" s="16">
        <f t="shared" si="13"/>
        <v>335.82337157823537</v>
      </c>
      <c r="L215" s="16">
        <f t="shared" si="14"/>
        <v>0.94337157823537154</v>
      </c>
      <c r="M215" s="16">
        <f t="shared" si="15"/>
        <v>0.88994993462229577</v>
      </c>
    </row>
    <row r="216" spans="6:13" x14ac:dyDescent="0.4">
      <c r="F216" s="1">
        <v>27912</v>
      </c>
      <c r="G216" s="16">
        <v>334.33</v>
      </c>
      <c r="H216" s="16">
        <f>_A*F216*F216+_B*F216+_C</f>
        <v>332.86271731224298</v>
      </c>
      <c r="I216">
        <f t="shared" si="12"/>
        <v>6</v>
      </c>
      <c r="J216" s="16" cm="1">
        <f t="array" ref="J216">INDEX(Sm,I216)</f>
        <v>2.3467878996384672</v>
      </c>
      <c r="K216" s="16">
        <f t="shared" si="13"/>
        <v>335.20950521188144</v>
      </c>
      <c r="L216" s="16">
        <f t="shared" si="14"/>
        <v>0.87950521188145103</v>
      </c>
      <c r="M216" s="16">
        <f t="shared" si="15"/>
        <v>0.77352941772663608</v>
      </c>
    </row>
    <row r="217" spans="6:13" x14ac:dyDescent="0.4">
      <c r="F217" s="1">
        <v>27942</v>
      </c>
      <c r="G217" s="16">
        <v>333.05</v>
      </c>
      <c r="H217" s="16">
        <f>_A*F217*F217+_B*F217+_C</f>
        <v>332.9645421438795</v>
      </c>
      <c r="I217">
        <f t="shared" si="12"/>
        <v>7</v>
      </c>
      <c r="J217" s="16" cm="1">
        <f t="array" ref="J217">INDEX(Sm,I217)</f>
        <v>0.7237382709437985</v>
      </c>
      <c r="K217" s="16">
        <f t="shared" si="13"/>
        <v>333.68828041482328</v>
      </c>
      <c r="L217" s="16">
        <f t="shared" si="14"/>
        <v>0.6382804148232708</v>
      </c>
      <c r="M217" s="16">
        <f t="shared" si="15"/>
        <v>0.40740188794696663</v>
      </c>
    </row>
    <row r="218" spans="6:13" x14ac:dyDescent="0.4">
      <c r="F218" s="1">
        <v>27973</v>
      </c>
      <c r="G218" s="16">
        <v>330.94</v>
      </c>
      <c r="H218" s="16">
        <f>_A*F218*F218+_B*F218+_C</f>
        <v>333.06994654403525</v>
      </c>
      <c r="I218">
        <f t="shared" si="12"/>
        <v>8</v>
      </c>
      <c r="J218" s="16" cm="1">
        <f t="array" ref="J218">INDEX(Sm,I218)</f>
        <v>-1.3971602754957855</v>
      </c>
      <c r="K218" s="16">
        <f t="shared" si="13"/>
        <v>331.67278626853948</v>
      </c>
      <c r="L218" s="16">
        <f t="shared" si="14"/>
        <v>0.73278626853948481</v>
      </c>
      <c r="M218" s="16">
        <f t="shared" si="15"/>
        <v>0.53697571536002198</v>
      </c>
    </row>
    <row r="219" spans="6:13" x14ac:dyDescent="0.4">
      <c r="F219" s="1">
        <v>28004</v>
      </c>
      <c r="G219" s="16">
        <v>329.3</v>
      </c>
      <c r="H219" s="16">
        <f>_A*F219*F219+_B*F219+_C</f>
        <v>333.17553939112224</v>
      </c>
      <c r="I219">
        <f t="shared" si="12"/>
        <v>9</v>
      </c>
      <c r="J219" s="16" cm="1">
        <f t="array" ref="J219">INDEX(Sm,I219)</f>
        <v>-3.1930865292764237</v>
      </c>
      <c r="K219" s="16">
        <f t="shared" si="13"/>
        <v>329.98245286184584</v>
      </c>
      <c r="L219" s="16">
        <f t="shared" si="14"/>
        <v>0.68245286184583165</v>
      </c>
      <c r="M219" s="16">
        <f t="shared" si="15"/>
        <v>0.46574190864156578</v>
      </c>
    </row>
    <row r="220" spans="6:13" x14ac:dyDescent="0.4">
      <c r="F220" s="1">
        <v>28034</v>
      </c>
      <c r="G220" s="16">
        <v>328.94</v>
      </c>
      <c r="H220" s="16">
        <f>_A*F220*F220+_B*F220+_C</f>
        <v>333.27790544391422</v>
      </c>
      <c r="I220">
        <f t="shared" si="12"/>
        <v>10</v>
      </c>
      <c r="J220" s="16" cm="1">
        <f t="array" ref="J220">INDEX(Sm,I220)</f>
        <v>-3.3364130058083399</v>
      </c>
      <c r="K220" s="16">
        <f t="shared" si="13"/>
        <v>329.94149243810585</v>
      </c>
      <c r="L220" s="16">
        <f t="shared" si="14"/>
        <v>1.0014924381058563</v>
      </c>
      <c r="M220" s="16">
        <f t="shared" si="15"/>
        <v>1.0029871035832125</v>
      </c>
    </row>
    <row r="221" spans="6:13" x14ac:dyDescent="0.4">
      <c r="F221" s="1">
        <v>28065</v>
      </c>
      <c r="G221" s="16">
        <v>330.31</v>
      </c>
      <c r="H221" s="16">
        <f>_A*F221*F221+_B*F221+_C</f>
        <v>333.38386910593061</v>
      </c>
      <c r="I221">
        <f t="shared" si="12"/>
        <v>11</v>
      </c>
      <c r="J221" s="16" cm="1">
        <f t="array" ref="J221">INDEX(Sm,I221)</f>
        <v>-2.0587659563291303</v>
      </c>
      <c r="K221" s="16">
        <f t="shared" si="13"/>
        <v>331.32510314960149</v>
      </c>
      <c r="L221" s="16">
        <f t="shared" si="14"/>
        <v>1.0151031496014866</v>
      </c>
      <c r="M221" s="16">
        <f t="shared" si="15"/>
        <v>1.0304344043308582</v>
      </c>
    </row>
    <row r="222" spans="6:13" x14ac:dyDescent="0.4">
      <c r="F222" s="1">
        <v>28095</v>
      </c>
      <c r="G222" s="16">
        <v>331.68</v>
      </c>
      <c r="H222" s="16">
        <f>_A*F222*F222+_B*F222+_C</f>
        <v>333.48659401187996</v>
      </c>
      <c r="I222">
        <f t="shared" si="12"/>
        <v>12</v>
      </c>
      <c r="J222" s="16" cm="1">
        <f t="array" ref="J222">INDEX(Sm,I222)</f>
        <v>-0.89092746411398172</v>
      </c>
      <c r="K222" s="16">
        <f t="shared" si="13"/>
        <v>332.59566654776597</v>
      </c>
      <c r="L222" s="16">
        <f t="shared" si="14"/>
        <v>0.91566654776596579</v>
      </c>
      <c r="M222" s="16">
        <f t="shared" si="15"/>
        <v>0.83844522669764165</v>
      </c>
    </row>
    <row r="223" spans="6:13" x14ac:dyDescent="0.4">
      <c r="F223" s="1">
        <v>28126</v>
      </c>
      <c r="G223" s="16">
        <v>332.93</v>
      </c>
      <c r="H223" s="16">
        <f>_A*F223*F223+_B*F223+_C</f>
        <v>333.59292848882569</v>
      </c>
      <c r="I223">
        <f t="shared" si="12"/>
        <v>1</v>
      </c>
      <c r="J223" s="16" cm="1">
        <f t="array" ref="J223">INDEX(Sm,I223)</f>
        <v>6.1437948016995841E-2</v>
      </c>
      <c r="K223" s="16">
        <f t="shared" si="13"/>
        <v>333.65436643684268</v>
      </c>
      <c r="L223" s="16">
        <f t="shared" si="14"/>
        <v>0.7243664368426721</v>
      </c>
      <c r="M223" s="16">
        <f t="shared" si="15"/>
        <v>0.52470673482414887</v>
      </c>
    </row>
    <row r="224" spans="6:13" x14ac:dyDescent="0.4">
      <c r="F224" s="1">
        <v>28157</v>
      </c>
      <c r="G224" s="16">
        <v>333.42</v>
      </c>
      <c r="H224" s="16">
        <f>_A*F224*F224+_B*F224+_C</f>
        <v>333.69945141270267</v>
      </c>
      <c r="I224">
        <f t="shared" si="12"/>
        <v>2</v>
      </c>
      <c r="J224" s="16" cm="1">
        <f t="array" ref="J224">INDEX(Sm,I224)</f>
        <v>0.69461918939657585</v>
      </c>
      <c r="K224" s="16">
        <f t="shared" si="13"/>
        <v>334.39407060209925</v>
      </c>
      <c r="L224" s="16">
        <f t="shared" si="14"/>
        <v>0.97407060209923202</v>
      </c>
      <c r="M224" s="16">
        <f t="shared" si="15"/>
        <v>0.94881353787396039</v>
      </c>
    </row>
    <row r="225" spans="6:13" x14ac:dyDescent="0.4">
      <c r="F225" s="1">
        <v>28185</v>
      </c>
      <c r="G225" s="16">
        <v>334.7</v>
      </c>
      <c r="H225" s="16">
        <f>_A*F225*F225+_B*F225+_C</f>
        <v>333.79582764068448</v>
      </c>
      <c r="I225">
        <f t="shared" si="12"/>
        <v>3</v>
      </c>
      <c r="J225" s="16" cm="1">
        <f t="array" ref="J225">INDEX(Sm,I225)</f>
        <v>1.3737674684313066</v>
      </c>
      <c r="K225" s="16">
        <f t="shared" si="13"/>
        <v>335.16959510911579</v>
      </c>
      <c r="L225" s="16">
        <f t="shared" si="14"/>
        <v>0.46959510911580082</v>
      </c>
      <c r="M225" s="16">
        <f t="shared" si="15"/>
        <v>0.22051956650548088</v>
      </c>
    </row>
    <row r="226" spans="6:13" x14ac:dyDescent="0.4">
      <c r="F226" s="1">
        <v>28216</v>
      </c>
      <c r="G226" s="16">
        <v>336.07</v>
      </c>
      <c r="H226" s="16">
        <f>_A*F226*F226+_B*F226+_C</f>
        <v>333.90270922162426</v>
      </c>
      <c r="I226">
        <f t="shared" si="12"/>
        <v>4</v>
      </c>
      <c r="J226" s="16" cm="1">
        <f t="array" ref="J226">INDEX(Sm,I226)</f>
        <v>2.6103146033777413</v>
      </c>
      <c r="K226" s="16">
        <f t="shared" si="13"/>
        <v>336.51302382500199</v>
      </c>
      <c r="L226" s="16">
        <f t="shared" si="14"/>
        <v>0.4430238250020011</v>
      </c>
      <c r="M226" s="16">
        <f t="shared" si="15"/>
        <v>0.19627010951940368</v>
      </c>
    </row>
    <row r="227" spans="6:13" x14ac:dyDescent="0.4">
      <c r="F227" s="1">
        <v>28246</v>
      </c>
      <c r="G227" s="16">
        <v>336.75</v>
      </c>
      <c r="H227" s="16">
        <f>_A*F227*F227+_B*F227+_C</f>
        <v>334.00632243620919</v>
      </c>
      <c r="I227">
        <f t="shared" si="12"/>
        <v>5</v>
      </c>
      <c r="J227" s="16" cm="1">
        <f t="array" ref="J227">INDEX(Sm,I227)</f>
        <v>3.065687851218776</v>
      </c>
      <c r="K227" s="16">
        <f t="shared" si="13"/>
        <v>337.07201028742799</v>
      </c>
      <c r="L227" s="16">
        <f t="shared" si="14"/>
        <v>0.32201028742798599</v>
      </c>
      <c r="M227" s="16">
        <f t="shared" si="15"/>
        <v>0.10369062520945414</v>
      </c>
    </row>
    <row r="228" spans="6:13" x14ac:dyDescent="0.4">
      <c r="F228" s="1">
        <v>28277</v>
      </c>
      <c r="G228" s="16">
        <v>336.27</v>
      </c>
      <c r="H228" s="16">
        <f>_A*F228*F228+_B*F228+_C</f>
        <v>334.11357483207831</v>
      </c>
      <c r="I228">
        <f t="shared" si="12"/>
        <v>6</v>
      </c>
      <c r="J228" s="16" cm="1">
        <f t="array" ref="J228">INDEX(Sm,I228)</f>
        <v>2.3467878996384672</v>
      </c>
      <c r="K228" s="16">
        <f t="shared" si="13"/>
        <v>336.46036273171677</v>
      </c>
      <c r="L228" s="16">
        <f t="shared" si="14"/>
        <v>0.19036273171678886</v>
      </c>
      <c r="M228" s="16">
        <f t="shared" si="15"/>
        <v>3.6237969626678128E-2</v>
      </c>
    </row>
    <row r="229" spans="6:13" x14ac:dyDescent="0.4">
      <c r="F229" s="1">
        <v>28307</v>
      </c>
      <c r="G229" s="16">
        <v>334.92</v>
      </c>
      <c r="H229" s="16">
        <f>_A*F229*F229+_B*F229+_C</f>
        <v>334.21754689982072</v>
      </c>
      <c r="I229">
        <f t="shared" si="12"/>
        <v>7</v>
      </c>
      <c r="J229" s="16" cm="1">
        <f t="array" ref="J229">INDEX(Sm,I229)</f>
        <v>0.7237382709437985</v>
      </c>
      <c r="K229" s="16">
        <f t="shared" si="13"/>
        <v>334.9412851707645</v>
      </c>
      <c r="L229" s="16">
        <f t="shared" si="14"/>
        <v>2.1285170764485883E-2</v>
      </c>
      <c r="M229" s="16">
        <f t="shared" si="15"/>
        <v>4.5305849447332459E-4</v>
      </c>
    </row>
    <row r="230" spans="6:13" x14ac:dyDescent="0.4">
      <c r="F230" s="1">
        <v>28338</v>
      </c>
      <c r="G230" s="16">
        <v>332.75</v>
      </c>
      <c r="H230" s="16">
        <f>_A*F230*F230+_B*F230+_C</f>
        <v>334.32517011061918</v>
      </c>
      <c r="I230">
        <f t="shared" si="12"/>
        <v>8</v>
      </c>
      <c r="J230" s="16" cm="1">
        <f t="array" ref="J230">INDEX(Sm,I230)</f>
        <v>-1.3971602754957855</v>
      </c>
      <c r="K230" s="16">
        <f t="shared" si="13"/>
        <v>332.92800983512342</v>
      </c>
      <c r="L230" s="16">
        <f t="shared" si="14"/>
        <v>0.17800983512341872</v>
      </c>
      <c r="M230" s="16">
        <f t="shared" si="15"/>
        <v>3.1687501400666722E-2</v>
      </c>
    </row>
    <row r="231" spans="6:13" x14ac:dyDescent="0.4">
      <c r="F231" s="1">
        <v>28369</v>
      </c>
      <c r="G231" s="16">
        <v>331.59</v>
      </c>
      <c r="H231" s="16">
        <f>_A*F231*F231+_B*F231+_C</f>
        <v>334.43298176834895</v>
      </c>
      <c r="I231">
        <f t="shared" si="12"/>
        <v>9</v>
      </c>
      <c r="J231" s="16" cm="1">
        <f t="array" ref="J231">INDEX(Sm,I231)</f>
        <v>-3.1930865292764237</v>
      </c>
      <c r="K231" s="16">
        <f t="shared" si="13"/>
        <v>331.23989523907255</v>
      </c>
      <c r="L231" s="16">
        <f t="shared" si="14"/>
        <v>-0.35010476092742238</v>
      </c>
      <c r="M231" s="16">
        <f t="shared" si="15"/>
        <v>0.12257334362404758</v>
      </c>
    </row>
    <row r="232" spans="6:13" x14ac:dyDescent="0.4">
      <c r="F232" s="1">
        <v>28399</v>
      </c>
      <c r="G232" s="16">
        <v>331.16</v>
      </c>
      <c r="H232" s="16">
        <f>_A*F232*F232+_B*F232+_C</f>
        <v>334.53749505724676</v>
      </c>
      <c r="I232">
        <f t="shared" si="12"/>
        <v>10</v>
      </c>
      <c r="J232" s="16" cm="1">
        <f t="array" ref="J232">INDEX(Sm,I232)</f>
        <v>-3.3364130058083399</v>
      </c>
      <c r="K232" s="16">
        <f t="shared" si="13"/>
        <v>331.20108205143839</v>
      </c>
      <c r="L232" s="16">
        <f t="shared" si="14"/>
        <v>4.1082051438365852E-2</v>
      </c>
      <c r="M232" s="16">
        <f t="shared" si="15"/>
        <v>1.6877349503845378E-3</v>
      </c>
    </row>
    <row r="233" spans="6:13" x14ac:dyDescent="0.4">
      <c r="F233" s="1">
        <v>28430</v>
      </c>
      <c r="G233" s="16">
        <v>332.4</v>
      </c>
      <c r="H233" s="16">
        <f>_A*F233*F233+_B*F233+_C</f>
        <v>334.64567752990587</v>
      </c>
      <c r="I233">
        <f t="shared" si="12"/>
        <v>11</v>
      </c>
      <c r="J233" s="16" cm="1">
        <f t="array" ref="J233">INDEX(Sm,I233)</f>
        <v>-2.0587659563291303</v>
      </c>
      <c r="K233" s="16">
        <f t="shared" si="13"/>
        <v>332.58691157357674</v>
      </c>
      <c r="L233" s="16">
        <f t="shared" si="14"/>
        <v>0.18691157357676502</v>
      </c>
      <c r="M233" s="16">
        <f t="shared" si="15"/>
        <v>3.4935936336942447E-2</v>
      </c>
    </row>
    <row r="234" spans="6:13" x14ac:dyDescent="0.4">
      <c r="F234" s="1">
        <v>28460</v>
      </c>
      <c r="G234" s="16">
        <v>333.85</v>
      </c>
      <c r="H234" s="16">
        <f>_A*F234*F234+_B*F234+_C</f>
        <v>334.7505496719611</v>
      </c>
      <c r="I234">
        <f t="shared" si="12"/>
        <v>12</v>
      </c>
      <c r="J234" s="16" cm="1">
        <f t="array" ref="J234">INDEX(Sm,I234)</f>
        <v>-0.89092746411398172</v>
      </c>
      <c r="K234" s="16">
        <f t="shared" si="13"/>
        <v>333.85962220784711</v>
      </c>
      <c r="L234" s="16">
        <f t="shared" si="14"/>
        <v>9.6222078470873385E-3</v>
      </c>
      <c r="M234" s="16">
        <f t="shared" si="15"/>
        <v>9.2586883852549157E-5</v>
      </c>
    </row>
    <row r="235" spans="6:13" x14ac:dyDescent="0.4">
      <c r="F235" s="1">
        <v>28491</v>
      </c>
      <c r="G235" s="16">
        <v>334.97</v>
      </c>
      <c r="H235" s="16">
        <f>_A*F235*F235+_B*F235+_C</f>
        <v>334.85910295954955</v>
      </c>
      <c r="I235">
        <f t="shared" si="12"/>
        <v>1</v>
      </c>
      <c r="J235" s="16" cm="1">
        <f t="array" ref="J235">INDEX(Sm,I235)</f>
        <v>6.1437948016995841E-2</v>
      </c>
      <c r="K235" s="16">
        <f t="shared" si="13"/>
        <v>334.92054090756653</v>
      </c>
      <c r="L235" s="16">
        <f t="shared" si="14"/>
        <v>-4.9459092433494334E-2</v>
      </c>
      <c r="M235" s="16">
        <f t="shared" si="15"/>
        <v>2.4462018243449363E-3</v>
      </c>
    </row>
    <row r="236" spans="6:13" x14ac:dyDescent="0.4">
      <c r="F236" s="1">
        <v>28522</v>
      </c>
      <c r="G236" s="16">
        <v>335.39</v>
      </c>
      <c r="H236" s="16">
        <f>_A*F236*F236+_B*F236+_C</f>
        <v>334.96784469406924</v>
      </c>
      <c r="I236">
        <f t="shared" si="12"/>
        <v>2</v>
      </c>
      <c r="J236" s="16" cm="1">
        <f t="array" ref="J236">INDEX(Sm,I236)</f>
        <v>0.69461918939657585</v>
      </c>
      <c r="K236" s="16">
        <f t="shared" si="13"/>
        <v>335.66246388346582</v>
      </c>
      <c r="L236" s="16">
        <f t="shared" si="14"/>
        <v>0.27246388346583217</v>
      </c>
      <c r="M236" s="16">
        <f t="shared" si="15"/>
        <v>7.4236567793282568E-2</v>
      </c>
    </row>
    <row r="237" spans="6:13" x14ac:dyDescent="0.4">
      <c r="F237" s="1">
        <v>28550</v>
      </c>
      <c r="G237" s="16">
        <v>336.64</v>
      </c>
      <c r="H237" s="16">
        <f>_A*F237*F237+_B*F237+_C</f>
        <v>335.06622500908315</v>
      </c>
      <c r="I237">
        <f t="shared" si="12"/>
        <v>3</v>
      </c>
      <c r="J237" s="16" cm="1">
        <f t="array" ref="J237">INDEX(Sm,I237)</f>
        <v>1.3737674684313066</v>
      </c>
      <c r="K237" s="16">
        <f t="shared" si="13"/>
        <v>336.43999247751447</v>
      </c>
      <c r="L237" s="16">
        <f t="shared" si="14"/>
        <v>-0.20000752248552089</v>
      </c>
      <c r="M237" s="16">
        <f t="shared" si="15"/>
        <v>4.0003009050796144E-2</v>
      </c>
    </row>
    <row r="238" spans="6:13" x14ac:dyDescent="0.4">
      <c r="F238" s="1">
        <v>28581</v>
      </c>
      <c r="G238" s="16">
        <v>337.76</v>
      </c>
      <c r="H238" s="16">
        <f>_A*F238*F238+_B*F238+_C</f>
        <v>335.17532540066571</v>
      </c>
      <c r="I238">
        <f t="shared" si="12"/>
        <v>4</v>
      </c>
      <c r="J238" s="16" cm="1">
        <f t="array" ref="J238">INDEX(Sm,I238)</f>
        <v>2.6103146033777413</v>
      </c>
      <c r="K238" s="16">
        <f t="shared" si="13"/>
        <v>337.78564000404344</v>
      </c>
      <c r="L238" s="16">
        <f t="shared" si="14"/>
        <v>2.5640004043452791E-2</v>
      </c>
      <c r="M238" s="16">
        <f t="shared" si="15"/>
        <v>6.5740980734827544E-4</v>
      </c>
    </row>
    <row r="239" spans="6:13" x14ac:dyDescent="0.4">
      <c r="F239" s="1">
        <v>28611</v>
      </c>
      <c r="G239" s="16">
        <v>338.01</v>
      </c>
      <c r="H239" s="16">
        <f>_A*F239*F239+_B*F239+_C</f>
        <v>335.28108585135652</v>
      </c>
      <c r="I239">
        <f t="shared" si="12"/>
        <v>5</v>
      </c>
      <c r="J239" s="16" cm="1">
        <f t="array" ref="J239">INDEX(Sm,I239)</f>
        <v>3.065687851218776</v>
      </c>
      <c r="K239" s="16">
        <f t="shared" si="13"/>
        <v>338.34677370257532</v>
      </c>
      <c r="L239" s="16">
        <f t="shared" si="14"/>
        <v>0.33677370257532857</v>
      </c>
      <c r="M239" s="16">
        <f t="shared" si="15"/>
        <v>0.11341652674629588</v>
      </c>
    </row>
    <row r="240" spans="6:13" x14ac:dyDescent="0.4">
      <c r="F240" s="1">
        <v>28642</v>
      </c>
      <c r="G240" s="16">
        <v>337.9</v>
      </c>
      <c r="H240" s="16">
        <f>_A*F240*F240+_B*F240+_C</f>
        <v>335.39055705786836</v>
      </c>
      <c r="I240">
        <f t="shared" si="12"/>
        <v>6</v>
      </c>
      <c r="J240" s="16" cm="1">
        <f t="array" ref="J240">INDEX(Sm,I240)</f>
        <v>2.3467878996384672</v>
      </c>
      <c r="K240" s="16">
        <f t="shared" si="13"/>
        <v>337.73734495750682</v>
      </c>
      <c r="L240" s="16">
        <f t="shared" si="14"/>
        <v>-0.16265504249315654</v>
      </c>
      <c r="M240" s="16">
        <f t="shared" si="15"/>
        <v>2.6456662848450562E-2</v>
      </c>
    </row>
    <row r="241" spans="6:13" x14ac:dyDescent="0.4">
      <c r="F241" s="1">
        <v>28672</v>
      </c>
      <c r="G241" s="16">
        <v>336.54</v>
      </c>
      <c r="H241" s="16">
        <f>_A*F241*F241+_B*F241+_C</f>
        <v>335.49667636171665</v>
      </c>
      <c r="I241">
        <f t="shared" si="12"/>
        <v>7</v>
      </c>
      <c r="J241" s="16" cm="1">
        <f t="array" ref="J241">INDEX(Sm,I241)</f>
        <v>0.7237382709437985</v>
      </c>
      <c r="K241" s="16">
        <f t="shared" si="13"/>
        <v>336.22041463266044</v>
      </c>
      <c r="L241" s="16">
        <f t="shared" si="14"/>
        <v>-0.31958536733958454</v>
      </c>
      <c r="M241" s="16">
        <f t="shared" si="15"/>
        <v>0.10213480701757718</v>
      </c>
    </row>
    <row r="242" spans="6:13" x14ac:dyDescent="0.4">
      <c r="F242" s="1">
        <v>28703</v>
      </c>
      <c r="G242" s="16">
        <v>334.68</v>
      </c>
      <c r="H242" s="16">
        <f>_A*F242*F242+_B*F242+_C</f>
        <v>335.60651838315783</v>
      </c>
      <c r="I242">
        <f t="shared" si="12"/>
        <v>8</v>
      </c>
      <c r="J242" s="16" cm="1">
        <f t="array" ref="J242">INDEX(Sm,I242)</f>
        <v>-1.3971602754957855</v>
      </c>
      <c r="K242" s="16">
        <f t="shared" si="13"/>
        <v>334.20935810766207</v>
      </c>
      <c r="L242" s="16">
        <f t="shared" si="14"/>
        <v>-0.47064189233793741</v>
      </c>
      <c r="M242" s="16">
        <f t="shared" si="15"/>
        <v>0.22150379082343466</v>
      </c>
    </row>
    <row r="243" spans="6:13" x14ac:dyDescent="0.4">
      <c r="F243" s="1">
        <v>28734</v>
      </c>
      <c r="G243" s="16">
        <v>332.76</v>
      </c>
      <c r="H243" s="16">
        <f>_A*F243*F243+_B*F243+_C</f>
        <v>335.71654885153032</v>
      </c>
      <c r="I243">
        <f t="shared" si="12"/>
        <v>9</v>
      </c>
      <c r="J243" s="16" cm="1">
        <f t="array" ref="J243">INDEX(Sm,I243)</f>
        <v>-3.1930865292764237</v>
      </c>
      <c r="K243" s="16">
        <f t="shared" si="13"/>
        <v>332.52346232225392</v>
      </c>
      <c r="L243" s="16">
        <f t="shared" si="14"/>
        <v>-0.23653767774607104</v>
      </c>
      <c r="M243" s="16">
        <f t="shared" si="15"/>
        <v>5.595007299350415E-2</v>
      </c>
    </row>
    <row r="244" spans="6:13" x14ac:dyDescent="0.4">
      <c r="F244" s="1">
        <v>28764</v>
      </c>
      <c r="G244" s="16">
        <v>332.55</v>
      </c>
      <c r="H244" s="16">
        <f>_A*F244*F244+_B*F244+_C</f>
        <v>335.82320937653401</v>
      </c>
      <c r="I244">
        <f t="shared" si="12"/>
        <v>10</v>
      </c>
      <c r="J244" s="16" cm="1">
        <f t="array" ref="J244">INDEX(Sm,I244)</f>
        <v>-3.3364130058083399</v>
      </c>
      <c r="K244" s="16">
        <f t="shared" si="13"/>
        <v>332.48679637072564</v>
      </c>
      <c r="L244" s="16">
        <f t="shared" si="14"/>
        <v>-6.3203629274369177E-2</v>
      </c>
      <c r="M244" s="16">
        <f t="shared" si="15"/>
        <v>3.9946987534518969E-3</v>
      </c>
    </row>
    <row r="245" spans="6:13" x14ac:dyDescent="0.4">
      <c r="F245" s="1">
        <v>28795</v>
      </c>
      <c r="G245" s="16">
        <v>333.92</v>
      </c>
      <c r="H245" s="16">
        <f>_A*F245*F245+_B*F245+_C</f>
        <v>335.93361065983584</v>
      </c>
      <c r="I245">
        <f t="shared" si="12"/>
        <v>11</v>
      </c>
      <c r="J245" s="16" cm="1">
        <f t="array" ref="J245">INDEX(Sm,I245)</f>
        <v>-2.0587659563291303</v>
      </c>
      <c r="K245" s="16">
        <f t="shared" si="13"/>
        <v>333.87484470350671</v>
      </c>
      <c r="L245" s="16">
        <f t="shared" si="14"/>
        <v>-4.5155296493305741E-2</v>
      </c>
      <c r="M245" s="16">
        <f t="shared" si="15"/>
        <v>2.0390008013983496E-3</v>
      </c>
    </row>
    <row r="246" spans="6:13" x14ac:dyDescent="0.4">
      <c r="F246" s="1">
        <v>28825</v>
      </c>
      <c r="G246" s="16">
        <v>334.95</v>
      </c>
      <c r="H246" s="16">
        <f>_A*F246*F246+_B*F246+_C</f>
        <v>336.04063003799695</v>
      </c>
      <c r="I246">
        <f t="shared" si="12"/>
        <v>12</v>
      </c>
      <c r="J246" s="16" cm="1">
        <f t="array" ref="J246">INDEX(Sm,I246)</f>
        <v>-0.89092746411398172</v>
      </c>
      <c r="K246" s="16">
        <f t="shared" si="13"/>
        <v>335.14970257388296</v>
      </c>
      <c r="L246" s="16">
        <f t="shared" si="14"/>
        <v>0.19970257388297341</v>
      </c>
      <c r="M246" s="16">
        <f t="shared" si="15"/>
        <v>3.9881118015484454E-2</v>
      </c>
    </row>
    <row r="247" spans="6:13" x14ac:dyDescent="0.4">
      <c r="F247" s="1">
        <v>28856</v>
      </c>
      <c r="G247" s="16">
        <v>336.23</v>
      </c>
      <c r="H247" s="16">
        <f>_A*F247*F247+_B*F247+_C</f>
        <v>336.15140213622811</v>
      </c>
      <c r="I247">
        <f t="shared" si="12"/>
        <v>1</v>
      </c>
      <c r="J247" s="16" cm="1">
        <f t="array" ref="J247">INDEX(Sm,I247)</f>
        <v>6.1437948016995841E-2</v>
      </c>
      <c r="K247" s="16">
        <f t="shared" si="13"/>
        <v>336.2128400842451</v>
      </c>
      <c r="L247" s="16">
        <f t="shared" si="14"/>
        <v>-1.715991575491671E-2</v>
      </c>
      <c r="M247" s="16">
        <f t="shared" si="15"/>
        <v>2.9446270871583873E-4</v>
      </c>
    </row>
    <row r="248" spans="6:13" x14ac:dyDescent="0.4">
      <c r="F248" s="1">
        <v>28887</v>
      </c>
      <c r="G248" s="16">
        <v>336.76</v>
      </c>
      <c r="H248" s="16">
        <f>_A*F248*F248+_B*F248+_C</f>
        <v>336.26236268139053</v>
      </c>
      <c r="I248">
        <f t="shared" si="12"/>
        <v>2</v>
      </c>
      <c r="J248" s="16" cm="1">
        <f t="array" ref="J248">INDEX(Sm,I248)</f>
        <v>0.69461918939657585</v>
      </c>
      <c r="K248" s="16">
        <f t="shared" si="13"/>
        <v>336.9569818707871</v>
      </c>
      <c r="L248" s="16">
        <f t="shared" si="14"/>
        <v>0.19698187078711271</v>
      </c>
      <c r="M248" s="16">
        <f t="shared" si="15"/>
        <v>3.8801857418790768E-2</v>
      </c>
    </row>
    <row r="249" spans="6:13" x14ac:dyDescent="0.4">
      <c r="F249" s="1">
        <v>28915</v>
      </c>
      <c r="G249" s="16">
        <v>337.96</v>
      </c>
      <c r="H249" s="16">
        <f>_A*F249*F249+_B*F249+_C</f>
        <v>336.3627470834366</v>
      </c>
      <c r="I249">
        <f t="shared" si="12"/>
        <v>3</v>
      </c>
      <c r="J249" s="16" cm="1">
        <f t="array" ref="J249">INDEX(Sm,I249)</f>
        <v>1.3737674684313066</v>
      </c>
      <c r="K249" s="16">
        <f t="shared" si="13"/>
        <v>337.73651455186791</v>
      </c>
      <c r="L249" s="16">
        <f t="shared" si="14"/>
        <v>-0.22348544813206672</v>
      </c>
      <c r="M249" s="16">
        <f t="shared" si="15"/>
        <v>4.9945745526790687E-2</v>
      </c>
    </row>
    <row r="250" spans="6:13" x14ac:dyDescent="0.4">
      <c r="F250" s="1">
        <v>28946</v>
      </c>
      <c r="G250" s="16">
        <v>338.88</v>
      </c>
      <c r="H250" s="16">
        <f>_A*F250*F250+_B*F250+_C</f>
        <v>336.47406628566188</v>
      </c>
      <c r="I250">
        <f t="shared" si="12"/>
        <v>4</v>
      </c>
      <c r="J250" s="16" cm="1">
        <f t="array" ref="J250">INDEX(Sm,I250)</f>
        <v>2.6103146033777413</v>
      </c>
      <c r="K250" s="16">
        <f t="shared" si="13"/>
        <v>339.08438088903961</v>
      </c>
      <c r="L250" s="16">
        <f t="shared" si="14"/>
        <v>0.20438088903961216</v>
      </c>
      <c r="M250" s="16">
        <f t="shared" si="15"/>
        <v>4.1771547804622257E-2</v>
      </c>
    </row>
    <row r="251" spans="6:13" x14ac:dyDescent="0.4">
      <c r="F251" s="1">
        <v>28976</v>
      </c>
      <c r="G251" s="16">
        <v>339.47</v>
      </c>
      <c r="H251" s="16">
        <f>_A*F251*F251+_B*F251+_C</f>
        <v>336.58197397245857</v>
      </c>
      <c r="I251">
        <f t="shared" si="12"/>
        <v>5</v>
      </c>
      <c r="J251" s="16" cm="1">
        <f t="array" ref="J251">INDEX(Sm,I251)</f>
        <v>3.065687851218776</v>
      </c>
      <c r="K251" s="16">
        <f t="shared" si="13"/>
        <v>339.64766182367737</v>
      </c>
      <c r="L251" s="16">
        <f t="shared" si="14"/>
        <v>0.17766182367734018</v>
      </c>
      <c r="M251" s="16">
        <f t="shared" si="15"/>
        <v>3.156372359235831E-2</v>
      </c>
    </row>
    <row r="252" spans="6:13" x14ac:dyDescent="0.4">
      <c r="F252" s="1">
        <v>29007</v>
      </c>
      <c r="G252" s="16">
        <v>339.29</v>
      </c>
      <c r="H252" s="16">
        <f>_A*F252*F252+_B*F252+_C</f>
        <v>336.69366398961313</v>
      </c>
      <c r="I252">
        <f t="shared" si="12"/>
        <v>6</v>
      </c>
      <c r="J252" s="16" cm="1">
        <f t="array" ref="J252">INDEX(Sm,I252)</f>
        <v>2.3467878996384672</v>
      </c>
      <c r="K252" s="16">
        <f t="shared" si="13"/>
        <v>339.04045188925159</v>
      </c>
      <c r="L252" s="16">
        <f t="shared" si="14"/>
        <v>-0.24954811074843519</v>
      </c>
      <c r="M252" s="16">
        <f t="shared" si="15"/>
        <v>6.2274259578113278E-2</v>
      </c>
    </row>
    <row r="253" spans="6:13" x14ac:dyDescent="0.4">
      <c r="F253" s="1">
        <v>29037</v>
      </c>
      <c r="G253" s="16">
        <v>337.73</v>
      </c>
      <c r="H253" s="16">
        <f>_A*F253*F253+_B*F253+_C</f>
        <v>336.80193052956724</v>
      </c>
      <c r="I253">
        <f t="shared" si="12"/>
        <v>7</v>
      </c>
      <c r="J253" s="16" cm="1">
        <f t="array" ref="J253">INDEX(Sm,I253)</f>
        <v>0.7237382709437985</v>
      </c>
      <c r="K253" s="16">
        <f t="shared" si="13"/>
        <v>337.52566880051103</v>
      </c>
      <c r="L253" s="16">
        <f t="shared" si="14"/>
        <v>-0.20433119948899048</v>
      </c>
      <c r="M253" s="16">
        <f t="shared" si="15"/>
        <v>4.175123908460962E-2</v>
      </c>
    </row>
    <row r="254" spans="6:13" x14ac:dyDescent="0.4">
      <c r="F254" s="1">
        <v>29068</v>
      </c>
      <c r="G254" s="16">
        <v>336.09</v>
      </c>
      <c r="H254" s="16">
        <f>_A*F254*F254+_B*F254+_C</f>
        <v>336.9139913616512</v>
      </c>
      <c r="I254">
        <f t="shared" si="12"/>
        <v>8</v>
      </c>
      <c r="J254" s="16" cm="1">
        <f t="array" ref="J254">INDEX(Sm,I254)</f>
        <v>-1.3971602754957855</v>
      </c>
      <c r="K254" s="16">
        <f t="shared" si="13"/>
        <v>335.51683108615543</v>
      </c>
      <c r="L254" s="16">
        <f t="shared" si="14"/>
        <v>-0.57316891384454038</v>
      </c>
      <c r="M254" s="16">
        <f t="shared" si="15"/>
        <v>0.32852260379773018</v>
      </c>
    </row>
    <row r="255" spans="6:13" x14ac:dyDescent="0.4">
      <c r="F255" s="1">
        <v>29099</v>
      </c>
      <c r="G255" s="16">
        <v>333.92</v>
      </c>
      <c r="H255" s="16">
        <f>_A*F255*F255+_B*F255+_C</f>
        <v>337.0262406406664</v>
      </c>
      <c r="I255">
        <f t="shared" si="12"/>
        <v>9</v>
      </c>
      <c r="J255" s="16" cm="1">
        <f t="array" ref="J255">INDEX(Sm,I255)</f>
        <v>-3.1930865292764237</v>
      </c>
      <c r="K255" s="16">
        <f t="shared" si="13"/>
        <v>333.83315411139</v>
      </c>
      <c r="L255" s="16">
        <f t="shared" si="14"/>
        <v>-8.6845888610014299E-2</v>
      </c>
      <c r="M255" s="16">
        <f t="shared" si="15"/>
        <v>7.5422083684630117E-3</v>
      </c>
    </row>
    <row r="256" spans="6:13" x14ac:dyDescent="0.4">
      <c r="F256" s="1">
        <v>29129</v>
      </c>
      <c r="G256" s="16">
        <v>333.86</v>
      </c>
      <c r="H256" s="16">
        <f>_A*F256*F256+_B*F256+_C</f>
        <v>337.13504840177598</v>
      </c>
      <c r="I256">
        <f t="shared" si="12"/>
        <v>10</v>
      </c>
      <c r="J256" s="16" cm="1">
        <f t="array" ref="J256">INDEX(Sm,I256)</f>
        <v>-3.3364130058083399</v>
      </c>
      <c r="K256" s="16">
        <f t="shared" si="13"/>
        <v>333.79863539596761</v>
      </c>
      <c r="L256" s="16">
        <f t="shared" si="14"/>
        <v>-6.1364604032405623E-2</v>
      </c>
      <c r="M256" s="16">
        <f t="shared" si="15"/>
        <v>3.7656146280539322E-3</v>
      </c>
    </row>
    <row r="257" spans="6:13" x14ac:dyDescent="0.4">
      <c r="F257" s="1">
        <v>29160</v>
      </c>
      <c r="G257" s="16">
        <v>335.29</v>
      </c>
      <c r="H257" s="16">
        <f>_A*F257*F257+_B*F257+_C</f>
        <v>337.24766849572052</v>
      </c>
      <c r="I257">
        <f t="shared" si="12"/>
        <v>11</v>
      </c>
      <c r="J257" s="16" cm="1">
        <f t="array" ref="J257">INDEX(Sm,I257)</f>
        <v>-2.0587659563291303</v>
      </c>
      <c r="K257" s="16">
        <f t="shared" si="13"/>
        <v>335.18890253939139</v>
      </c>
      <c r="L257" s="16">
        <f t="shared" si="14"/>
        <v>-0.1010974606086279</v>
      </c>
      <c r="M257" s="16">
        <f t="shared" si="15"/>
        <v>1.022069654151307E-2</v>
      </c>
    </row>
    <row r="258" spans="6:13" x14ac:dyDescent="0.4">
      <c r="F258" s="1">
        <v>29190</v>
      </c>
      <c r="G258" s="16">
        <v>336.73</v>
      </c>
      <c r="H258" s="16">
        <f>_A*F258*F258+_B*F258+_C</f>
        <v>337.35683510998751</v>
      </c>
      <c r="I258">
        <f t="shared" si="12"/>
        <v>12</v>
      </c>
      <c r="J258" s="16" cm="1">
        <f t="array" ref="J258">INDEX(Sm,I258)</f>
        <v>-0.89092746411398172</v>
      </c>
      <c r="K258" s="16">
        <f t="shared" si="13"/>
        <v>336.46590764587353</v>
      </c>
      <c r="L258" s="16">
        <f t="shared" si="14"/>
        <v>-0.26409235412648968</v>
      </c>
      <c r="M258" s="16">
        <f t="shared" si="15"/>
        <v>6.9744771508071235E-2</v>
      </c>
    </row>
    <row r="259" spans="6:13" x14ac:dyDescent="0.4">
      <c r="F259" s="1">
        <v>29221</v>
      </c>
      <c r="G259" s="16">
        <v>338.01</v>
      </c>
      <c r="H259" s="16">
        <f>_A*F259*F259+_B*F259+_C</f>
        <v>337.4698260188614</v>
      </c>
      <c r="I259">
        <f t="shared" ref="I259:I322" si="16">MONTH(F259)</f>
        <v>1</v>
      </c>
      <c r="J259" s="16" cm="1">
        <f t="array" ref="J259">INDEX(Sm,I259)</f>
        <v>6.1437948016995841E-2</v>
      </c>
      <c r="K259" s="16">
        <f t="shared" ref="K259:K322" si="17">H259+J259</f>
        <v>337.53126396687838</v>
      </c>
      <c r="L259" s="16">
        <f t="shared" ref="L259:L322" si="18">K259-G259</f>
        <v>-0.4787360331216064</v>
      </c>
      <c r="M259" s="16">
        <f t="shared" ref="M259:M322" si="19">L259*L259</f>
        <v>0.22918818940901181</v>
      </c>
    </row>
    <row r="260" spans="6:13" x14ac:dyDescent="0.4">
      <c r="F260" s="1">
        <v>29252</v>
      </c>
      <c r="G260" s="16">
        <v>338.36</v>
      </c>
      <c r="H260" s="16">
        <f>_A*F260*F260+_B*F260+_C</f>
        <v>337.58300537466658</v>
      </c>
      <c r="I260">
        <f t="shared" si="16"/>
        <v>2</v>
      </c>
      <c r="J260" s="16" cm="1">
        <f t="array" ref="J260">INDEX(Sm,I260)</f>
        <v>0.69461918939657585</v>
      </c>
      <c r="K260" s="16">
        <f t="shared" si="17"/>
        <v>338.27762456406316</v>
      </c>
      <c r="L260" s="16">
        <f t="shared" si="18"/>
        <v>-8.2375435936853592E-2</v>
      </c>
      <c r="M260" s="16">
        <f t="shared" si="19"/>
        <v>6.7857124457866699E-3</v>
      </c>
    </row>
    <row r="261" spans="6:13" x14ac:dyDescent="0.4">
      <c r="F261" s="1">
        <v>29281</v>
      </c>
      <c r="G261" s="16">
        <v>340.07</v>
      </c>
      <c r="H261" s="16">
        <f>_A*F261*F261+_B*F261+_C</f>
        <v>337.68905343886956</v>
      </c>
      <c r="I261">
        <f t="shared" si="16"/>
        <v>3</v>
      </c>
      <c r="J261" s="16" cm="1">
        <f t="array" ref="J261">INDEX(Sm,I261)</f>
        <v>1.3737674684313066</v>
      </c>
      <c r="K261" s="16">
        <f t="shared" si="17"/>
        <v>339.06282090730087</v>
      </c>
      <c r="L261" s="16">
        <f t="shared" si="18"/>
        <v>-1.0071790926991184</v>
      </c>
      <c r="M261" s="16">
        <f t="shared" si="19"/>
        <v>1.0144097247702193</v>
      </c>
    </row>
    <row r="262" spans="6:13" x14ac:dyDescent="0.4">
      <c r="F262" s="1">
        <v>29312</v>
      </c>
      <c r="G262" s="16">
        <v>340.76</v>
      </c>
      <c r="H262" s="16">
        <f>_A*F262*F262+_B*F262+_C</f>
        <v>337.80259753067082</v>
      </c>
      <c r="I262">
        <f t="shared" si="16"/>
        <v>4</v>
      </c>
      <c r="J262" s="16" cm="1">
        <f t="array" ref="J262">INDEX(Sm,I262)</f>
        <v>2.6103146033777413</v>
      </c>
      <c r="K262" s="16">
        <f t="shared" si="17"/>
        <v>340.41291213404855</v>
      </c>
      <c r="L262" s="16">
        <f t="shared" si="18"/>
        <v>-0.34708786595143692</v>
      </c>
      <c r="M262" s="16">
        <f t="shared" si="19"/>
        <v>0.12046998669072265</v>
      </c>
    </row>
    <row r="263" spans="6:13" x14ac:dyDescent="0.4">
      <c r="F263" s="1">
        <v>29342</v>
      </c>
      <c r="G263" s="16">
        <v>341.47</v>
      </c>
      <c r="H263" s="16">
        <f>_A*F263*F263+_B*F263+_C</f>
        <v>337.91265833641205</v>
      </c>
      <c r="I263">
        <f t="shared" si="16"/>
        <v>5</v>
      </c>
      <c r="J263" s="16" cm="1">
        <f t="array" ref="J263">INDEX(Sm,I263)</f>
        <v>3.065687851218776</v>
      </c>
      <c r="K263" s="16">
        <f t="shared" si="17"/>
        <v>340.97834618763085</v>
      </c>
      <c r="L263" s="16">
        <f t="shared" si="18"/>
        <v>-0.49165381236917938</v>
      </c>
      <c r="M263" s="16">
        <f t="shared" si="19"/>
        <v>0.24172347121714824</v>
      </c>
    </row>
    <row r="264" spans="6:13" x14ac:dyDescent="0.4">
      <c r="F264" s="1">
        <v>29373</v>
      </c>
      <c r="G264" s="16">
        <v>341.17</v>
      </c>
      <c r="H264" s="16">
        <f>_A*F264*F264+_B*F264+_C</f>
        <v>338.02657324314265</v>
      </c>
      <c r="I264">
        <f t="shared" si="16"/>
        <v>6</v>
      </c>
      <c r="J264" s="16" cm="1">
        <f t="array" ref="J264">INDEX(Sm,I264)</f>
        <v>2.3467878996384672</v>
      </c>
      <c r="K264" s="16">
        <f t="shared" si="17"/>
        <v>340.37336114278111</v>
      </c>
      <c r="L264" s="16">
        <f t="shared" si="18"/>
        <v>-0.79663885721890892</v>
      </c>
      <c r="M264" s="16">
        <f t="shared" si="19"/>
        <v>0.63463346883104921</v>
      </c>
    </row>
    <row r="265" spans="6:13" x14ac:dyDescent="0.4">
      <c r="F265" s="1">
        <v>29403</v>
      </c>
      <c r="G265" s="16">
        <v>339.56</v>
      </c>
      <c r="H265" s="16">
        <f>_A*F265*F265+_B*F265+_C</f>
        <v>338.13699290204124</v>
      </c>
      <c r="I265">
        <f t="shared" si="16"/>
        <v>7</v>
      </c>
      <c r="J265" s="16" cm="1">
        <f t="array" ref="J265">INDEX(Sm,I265)</f>
        <v>0.7237382709437985</v>
      </c>
      <c r="K265" s="16">
        <f t="shared" si="17"/>
        <v>338.86073117298503</v>
      </c>
      <c r="L265" s="16">
        <f t="shared" si="18"/>
        <v>-0.69926882701497561</v>
      </c>
      <c r="M265" s="16">
        <f t="shared" si="19"/>
        <v>0.48897689243489989</v>
      </c>
    </row>
    <row r="266" spans="6:13" x14ac:dyDescent="0.4">
      <c r="F266" s="1">
        <v>29434</v>
      </c>
      <c r="G266" s="16">
        <v>337.6</v>
      </c>
      <c r="H266" s="16">
        <f>_A*F266*F266+_B*F266+_C</f>
        <v>338.25127862370118</v>
      </c>
      <c r="I266">
        <f t="shared" si="16"/>
        <v>8</v>
      </c>
      <c r="J266" s="16" cm="1">
        <f t="array" ref="J266">INDEX(Sm,I266)</f>
        <v>-1.3971602754957855</v>
      </c>
      <c r="K266" s="16">
        <f t="shared" si="17"/>
        <v>336.85411834820542</v>
      </c>
      <c r="L266" s="16">
        <f t="shared" si="18"/>
        <v>-0.74588165179460475</v>
      </c>
      <c r="M266" s="16">
        <f t="shared" si="19"/>
        <v>0.55633943848384804</v>
      </c>
    </row>
    <row r="267" spans="6:13" x14ac:dyDescent="0.4">
      <c r="F267" s="1">
        <v>29465</v>
      </c>
      <c r="G267" s="16">
        <v>335.88</v>
      </c>
      <c r="H267" s="16">
        <f>_A*F267*F267+_B*F267+_C</f>
        <v>338.36575279229237</v>
      </c>
      <c r="I267">
        <f t="shared" si="16"/>
        <v>9</v>
      </c>
      <c r="J267" s="16" cm="1">
        <f t="array" ref="J267">INDEX(Sm,I267)</f>
        <v>-3.1930865292764237</v>
      </c>
      <c r="K267" s="16">
        <f t="shared" si="17"/>
        <v>335.17266626301597</v>
      </c>
      <c r="L267" s="16">
        <f t="shared" si="18"/>
        <v>-0.70733373698402602</v>
      </c>
      <c r="M267" s="16">
        <f t="shared" si="19"/>
        <v>0.50032101547578733</v>
      </c>
    </row>
    <row r="268" spans="6:13" x14ac:dyDescent="0.4">
      <c r="F268" s="1">
        <v>29495</v>
      </c>
      <c r="G268" s="16">
        <v>336.02</v>
      </c>
      <c r="H268" s="16">
        <f>_A*F268*F268+_B*F268+_C</f>
        <v>338.47671367234648</v>
      </c>
      <c r="I268">
        <f t="shared" si="16"/>
        <v>10</v>
      </c>
      <c r="J268" s="16" cm="1">
        <f t="array" ref="J268">INDEX(Sm,I268)</f>
        <v>-3.3364130058083399</v>
      </c>
      <c r="K268" s="16">
        <f t="shared" si="17"/>
        <v>335.14030066653811</v>
      </c>
      <c r="L268" s="16">
        <f t="shared" si="18"/>
        <v>-0.8796993334618719</v>
      </c>
      <c r="M268" s="16">
        <f t="shared" si="19"/>
        <v>0.77387091729326174</v>
      </c>
    </row>
    <row r="269" spans="6:13" x14ac:dyDescent="0.4">
      <c r="F269" s="1">
        <v>29526</v>
      </c>
      <c r="G269" s="16">
        <v>337.1</v>
      </c>
      <c r="H269" s="16">
        <f>_A*F269*F269+_B*F269+_C</f>
        <v>338.591558655867</v>
      </c>
      <c r="I269">
        <f t="shared" si="16"/>
        <v>11</v>
      </c>
      <c r="J269" s="16" cm="1">
        <f t="array" ref="J269">INDEX(Sm,I269)</f>
        <v>-2.0587659563291303</v>
      </c>
      <c r="K269" s="16">
        <f t="shared" si="17"/>
        <v>336.53279269953788</v>
      </c>
      <c r="L269" s="16">
        <f t="shared" si="18"/>
        <v>-0.56720730046214385</v>
      </c>
      <c r="M269" s="16">
        <f t="shared" si="19"/>
        <v>0.32172412169755271</v>
      </c>
    </row>
    <row r="270" spans="6:13" x14ac:dyDescent="0.4">
      <c r="F270" s="1">
        <v>29556</v>
      </c>
      <c r="G270" s="16">
        <v>338.21</v>
      </c>
      <c r="H270" s="16">
        <f>_A*F270*F270+_B*F270+_C</f>
        <v>338.70287838907853</v>
      </c>
      <c r="I270">
        <f t="shared" si="16"/>
        <v>12</v>
      </c>
      <c r="J270" s="16" cm="1">
        <f t="array" ref="J270">INDEX(Sm,I270)</f>
        <v>-0.89092746411398172</v>
      </c>
      <c r="K270" s="16">
        <f t="shared" si="17"/>
        <v>337.81195092496455</v>
      </c>
      <c r="L270" s="16">
        <f t="shared" si="18"/>
        <v>-0.39804907503543063</v>
      </c>
      <c r="M270" s="16">
        <f t="shared" si="19"/>
        <v>0.15844306613656189</v>
      </c>
    </row>
    <row r="271" spans="6:13" x14ac:dyDescent="0.4">
      <c r="F271" s="1">
        <v>29587</v>
      </c>
      <c r="G271" s="16">
        <v>339.24</v>
      </c>
      <c r="H271" s="16">
        <f>_A*F271*F271+_B*F271+_C</f>
        <v>338.8180941875284</v>
      </c>
      <c r="I271">
        <f t="shared" si="16"/>
        <v>1</v>
      </c>
      <c r="J271" s="16" cm="1">
        <f t="array" ref="J271">INDEX(Sm,I271)</f>
        <v>6.1437948016995841E-2</v>
      </c>
      <c r="K271" s="16">
        <f t="shared" si="17"/>
        <v>338.87953213554539</v>
      </c>
      <c r="L271" s="16">
        <f t="shared" si="18"/>
        <v>-0.36046786445461976</v>
      </c>
      <c r="M271" s="16">
        <f t="shared" si="19"/>
        <v>0.12993708130447412</v>
      </c>
    </row>
    <row r="272" spans="6:13" x14ac:dyDescent="0.4">
      <c r="F272" s="1">
        <v>29618</v>
      </c>
      <c r="G272" s="16">
        <v>340.48</v>
      </c>
      <c r="H272" s="16">
        <f>_A*F272*F272+_B*F272+_C</f>
        <v>338.93349843290957</v>
      </c>
      <c r="I272">
        <f t="shared" si="16"/>
        <v>2</v>
      </c>
      <c r="J272" s="16" cm="1">
        <f t="array" ref="J272">INDEX(Sm,I272)</f>
        <v>0.69461918939657585</v>
      </c>
      <c r="K272" s="16">
        <f t="shared" si="17"/>
        <v>339.62811762230615</v>
      </c>
      <c r="L272" s="16">
        <f t="shared" si="18"/>
        <v>-0.85188237769386888</v>
      </c>
      <c r="M272" s="16">
        <f t="shared" si="19"/>
        <v>0.72570358542535951</v>
      </c>
    </row>
    <row r="273" spans="6:13" x14ac:dyDescent="0.4">
      <c r="F273" s="1">
        <v>29646</v>
      </c>
      <c r="G273" s="16">
        <v>341.38</v>
      </c>
      <c r="H273" s="16">
        <f>_A*F273*F273+_B*F273+_C</f>
        <v>339.03789649966933</v>
      </c>
      <c r="I273">
        <f t="shared" si="16"/>
        <v>3</v>
      </c>
      <c r="J273" s="16" cm="1">
        <f t="array" ref="J273">INDEX(Sm,I273)</f>
        <v>1.3737674684313066</v>
      </c>
      <c r="K273" s="16">
        <f t="shared" si="17"/>
        <v>340.41166396810064</v>
      </c>
      <c r="L273" s="16">
        <f t="shared" si="18"/>
        <v>-0.96833603189935502</v>
      </c>
      <c r="M273" s="16">
        <f t="shared" si="19"/>
        <v>0.93767467067458865</v>
      </c>
    </row>
    <row r="274" spans="6:13" x14ac:dyDescent="0.4">
      <c r="F274" s="1">
        <v>29677</v>
      </c>
      <c r="G274" s="16">
        <v>342.5</v>
      </c>
      <c r="H274" s="16">
        <f>_A*F274*F274+_B*F274+_C</f>
        <v>339.15365940211331</v>
      </c>
      <c r="I274">
        <f t="shared" si="16"/>
        <v>4</v>
      </c>
      <c r="J274" s="16" cm="1">
        <f t="array" ref="J274">INDEX(Sm,I274)</f>
        <v>2.6103146033777413</v>
      </c>
      <c r="K274" s="16">
        <f t="shared" si="17"/>
        <v>341.76397400549104</v>
      </c>
      <c r="L274" s="16">
        <f t="shared" si="18"/>
        <v>-0.73602599450896378</v>
      </c>
      <c r="M274" s="16">
        <f t="shared" si="19"/>
        <v>0.54173426459290919</v>
      </c>
    </row>
    <row r="275" spans="6:13" x14ac:dyDescent="0.4">
      <c r="F275" s="1">
        <v>29707</v>
      </c>
      <c r="G275" s="16">
        <v>342.91</v>
      </c>
      <c r="H275" s="16">
        <f>_A*F275*F275+_B*F275+_C</f>
        <v>339.26586744396036</v>
      </c>
      <c r="I275">
        <f t="shared" si="16"/>
        <v>5</v>
      </c>
      <c r="J275" s="16" cm="1">
        <f t="array" ref="J275">INDEX(Sm,I275)</f>
        <v>3.065687851218776</v>
      </c>
      <c r="K275" s="16">
        <f t="shared" si="17"/>
        <v>342.33155529517916</v>
      </c>
      <c r="L275" s="16">
        <f t="shared" si="18"/>
        <v>-0.57844470482086763</v>
      </c>
      <c r="M275" s="16">
        <f t="shared" si="19"/>
        <v>0.33459827653530066</v>
      </c>
    </row>
    <row r="276" spans="6:13" x14ac:dyDescent="0.4">
      <c r="F276" s="1">
        <v>29738</v>
      </c>
      <c r="G276" s="16">
        <v>342.25</v>
      </c>
      <c r="H276" s="16">
        <f>_A*F276*F276+_B*F276+_C</f>
        <v>339.38200116133368</v>
      </c>
      <c r="I276">
        <f t="shared" si="16"/>
        <v>6</v>
      </c>
      <c r="J276" s="16" cm="1">
        <f t="array" ref="J276">INDEX(Sm,I276)</f>
        <v>2.3467878996384672</v>
      </c>
      <c r="K276" s="16">
        <f t="shared" si="17"/>
        <v>341.72878906097213</v>
      </c>
      <c r="L276" s="16">
        <f t="shared" si="18"/>
        <v>-0.52121093902786697</v>
      </c>
      <c r="M276" s="16">
        <f t="shared" si="19"/>
        <v>0.27166084296231086</v>
      </c>
    </row>
    <row r="277" spans="6:13" x14ac:dyDescent="0.4">
      <c r="F277" s="1">
        <v>29768</v>
      </c>
      <c r="G277" s="16">
        <v>340.49</v>
      </c>
      <c r="H277" s="16">
        <f>_A*F277*F277+_B*F277+_C</f>
        <v>339.49456805633821</v>
      </c>
      <c r="I277">
        <f t="shared" si="16"/>
        <v>7</v>
      </c>
      <c r="J277" s="16" cm="1">
        <f t="array" ref="J277">INDEX(Sm,I277)</f>
        <v>0.7237382709437985</v>
      </c>
      <c r="K277" s="16">
        <f t="shared" si="17"/>
        <v>340.21830632728199</v>
      </c>
      <c r="L277" s="16">
        <f t="shared" si="18"/>
        <v>-0.27169367271801548</v>
      </c>
      <c r="M277" s="16">
        <f t="shared" si="19"/>
        <v>7.381745179500411E-2</v>
      </c>
    </row>
    <row r="278" spans="6:13" x14ac:dyDescent="0.4">
      <c r="F278" s="1">
        <v>29799</v>
      </c>
      <c r="G278" s="16">
        <v>338.43</v>
      </c>
      <c r="H278" s="16">
        <f>_A*F278*F278+_B*F278+_C</f>
        <v>339.61107258864081</v>
      </c>
      <c r="I278">
        <f t="shared" si="16"/>
        <v>8</v>
      </c>
      <c r="J278" s="16" cm="1">
        <f t="array" ref="J278">INDEX(Sm,I278)</f>
        <v>-1.3971602754957855</v>
      </c>
      <c r="K278" s="16">
        <f t="shared" si="17"/>
        <v>338.21391231314504</v>
      </c>
      <c r="L278" s="16">
        <f t="shared" si="18"/>
        <v>-0.21608768685496216</v>
      </c>
      <c r="M278" s="16">
        <f t="shared" si="19"/>
        <v>4.6693888410328184E-2</v>
      </c>
    </row>
    <row r="279" spans="6:13" x14ac:dyDescent="0.4">
      <c r="F279" s="1">
        <v>29830</v>
      </c>
      <c r="G279" s="16">
        <v>336.69</v>
      </c>
      <c r="H279" s="16">
        <f>_A*F279*F279+_B*F279+_C</f>
        <v>339.72776556787477</v>
      </c>
      <c r="I279">
        <f t="shared" si="16"/>
        <v>9</v>
      </c>
      <c r="J279" s="16" cm="1">
        <f t="array" ref="J279">INDEX(Sm,I279)</f>
        <v>-3.1930865292764237</v>
      </c>
      <c r="K279" s="16">
        <f t="shared" si="17"/>
        <v>336.53467903859837</v>
      </c>
      <c r="L279" s="16">
        <f t="shared" si="18"/>
        <v>-0.15532096140162821</v>
      </c>
      <c r="M279" s="16">
        <f t="shared" si="19"/>
        <v>2.4124601050726082E-2</v>
      </c>
    </row>
    <row r="280" spans="6:13" x14ac:dyDescent="0.4">
      <c r="F280" s="1">
        <v>29860</v>
      </c>
      <c r="G280" s="16">
        <v>336.86</v>
      </c>
      <c r="H280" s="16">
        <f>_A*F280*F280+_B*F280+_C</f>
        <v>339.8408736840347</v>
      </c>
      <c r="I280">
        <f t="shared" si="16"/>
        <v>10</v>
      </c>
      <c r="J280" s="16" cm="1">
        <f t="array" ref="J280">INDEX(Sm,I280)</f>
        <v>-3.3364130058083399</v>
      </c>
      <c r="K280" s="16">
        <f t="shared" si="17"/>
        <v>336.50446067822634</v>
      </c>
      <c r="L280" s="16">
        <f t="shared" si="18"/>
        <v>-0.35553932177367642</v>
      </c>
      <c r="M280" s="16">
        <f t="shared" si="19"/>
        <v>0.12640820932728583</v>
      </c>
    </row>
    <row r="281" spans="6:13" x14ac:dyDescent="0.4">
      <c r="F281" s="1">
        <v>29891</v>
      </c>
      <c r="G281" s="16">
        <v>338.36</v>
      </c>
      <c r="H281" s="16">
        <f>_A*F281*F281+_B*F281+_C</f>
        <v>339.95793747819801</v>
      </c>
      <c r="I281">
        <f t="shared" si="16"/>
        <v>11</v>
      </c>
      <c r="J281" s="16" cm="1">
        <f t="array" ref="J281">INDEX(Sm,I281)</f>
        <v>-2.0587659563291303</v>
      </c>
      <c r="K281" s="16">
        <f t="shared" si="17"/>
        <v>337.89917152186888</v>
      </c>
      <c r="L281" s="16">
        <f t="shared" si="18"/>
        <v>-0.46082847813113403</v>
      </c>
      <c r="M281" s="16">
        <f t="shared" si="19"/>
        <v>0.21236288625665709</v>
      </c>
    </row>
    <row r="282" spans="6:13" x14ac:dyDescent="0.4">
      <c r="F282" s="1">
        <v>29921</v>
      </c>
      <c r="G282" s="16">
        <v>339.61</v>
      </c>
      <c r="H282" s="16">
        <f>_A*F282*F282+_B*F282+_C</f>
        <v>340.07140444751536</v>
      </c>
      <c r="I282">
        <f t="shared" si="16"/>
        <v>12</v>
      </c>
      <c r="J282" s="16" cm="1">
        <f t="array" ref="J282">INDEX(Sm,I282)</f>
        <v>-0.89092746411398172</v>
      </c>
      <c r="K282" s="16">
        <f t="shared" si="17"/>
        <v>339.18047698340138</v>
      </c>
      <c r="L282" s="16">
        <f t="shared" si="18"/>
        <v>-0.42952301659863679</v>
      </c>
      <c r="M282" s="16">
        <f t="shared" si="19"/>
        <v>0.18449002178799281</v>
      </c>
    </row>
    <row r="283" spans="6:13" x14ac:dyDescent="0.4">
      <c r="F283" s="1">
        <v>29952</v>
      </c>
      <c r="G283" s="16">
        <v>340.75</v>
      </c>
      <c r="H283" s="16">
        <f>_A*F283*F283+_B*F283+_C</f>
        <v>340.188839056608</v>
      </c>
      <c r="I283">
        <f t="shared" si="16"/>
        <v>1</v>
      </c>
      <c r="J283" s="16" cm="1">
        <f t="array" ref="J283">INDEX(Sm,I283)</f>
        <v>6.1437948016995841E-2</v>
      </c>
      <c r="K283" s="16">
        <f t="shared" si="17"/>
        <v>340.25027700462499</v>
      </c>
      <c r="L283" s="16">
        <f t="shared" si="18"/>
        <v>-0.4997229953750093</v>
      </c>
      <c r="M283" s="16">
        <f t="shared" si="19"/>
        <v>0.24972307210657158</v>
      </c>
    </row>
    <row r="284" spans="6:13" x14ac:dyDescent="0.4">
      <c r="F284" s="1">
        <v>29983</v>
      </c>
      <c r="G284" s="16">
        <v>341.61</v>
      </c>
      <c r="H284" s="16">
        <f>_A*F284*F284+_B*F284+_C</f>
        <v>340.30646211263189</v>
      </c>
      <c r="I284">
        <f t="shared" si="16"/>
        <v>2</v>
      </c>
      <c r="J284" s="16" cm="1">
        <f t="array" ref="J284">INDEX(Sm,I284)</f>
        <v>0.69461918939657585</v>
      </c>
      <c r="K284" s="16">
        <f t="shared" si="17"/>
        <v>341.00108130202847</v>
      </c>
      <c r="L284" s="16">
        <f t="shared" si="18"/>
        <v>-0.60891869797154641</v>
      </c>
      <c r="M284" s="16">
        <f t="shared" si="19"/>
        <v>0.37078198073936336</v>
      </c>
    </row>
    <row r="285" spans="6:13" x14ac:dyDescent="0.4">
      <c r="F285" s="1">
        <v>30011</v>
      </c>
      <c r="G285" s="16">
        <v>342.7</v>
      </c>
      <c r="H285" s="16">
        <f>_A*F285*F285+_B*F285+_C</f>
        <v>340.41286426642381</v>
      </c>
      <c r="I285">
        <f t="shared" si="16"/>
        <v>3</v>
      </c>
      <c r="J285" s="16" cm="1">
        <f t="array" ref="J285">INDEX(Sm,I285)</f>
        <v>1.3737674684313066</v>
      </c>
      <c r="K285" s="16">
        <f t="shared" si="17"/>
        <v>341.78663173485512</v>
      </c>
      <c r="L285" s="16">
        <f t="shared" si="18"/>
        <v>-0.91336826514486802</v>
      </c>
      <c r="M285" s="16">
        <f t="shared" si="19"/>
        <v>0.83424158777374591</v>
      </c>
    </row>
    <row r="286" spans="6:13" x14ac:dyDescent="0.4">
      <c r="F286" s="1">
        <v>30042</v>
      </c>
      <c r="G286" s="16">
        <v>343.57</v>
      </c>
      <c r="H286" s="16">
        <f>_A*F286*F286+_B*F286+_C</f>
        <v>340.5308459795105</v>
      </c>
      <c r="I286">
        <f t="shared" si="16"/>
        <v>4</v>
      </c>
      <c r="J286" s="16" cm="1">
        <f t="array" ref="J286">INDEX(Sm,I286)</f>
        <v>2.6103146033777413</v>
      </c>
      <c r="K286" s="16">
        <f t="shared" si="17"/>
        <v>343.14116058288823</v>
      </c>
      <c r="L286" s="16">
        <f t="shared" si="18"/>
        <v>-0.42883941711176021</v>
      </c>
      <c r="M286" s="16">
        <f t="shared" si="19"/>
        <v>0.18390324566875427</v>
      </c>
    </row>
    <row r="287" spans="6:13" x14ac:dyDescent="0.4">
      <c r="F287" s="1">
        <v>30072</v>
      </c>
      <c r="G287" s="16">
        <v>344.14</v>
      </c>
      <c r="H287" s="16">
        <f>_A*F287*F287+_B*F287+_C</f>
        <v>340.64520125746344</v>
      </c>
      <c r="I287">
        <f t="shared" si="16"/>
        <v>5</v>
      </c>
      <c r="J287" s="16" cm="1">
        <f t="array" ref="J287">INDEX(Sm,I287)</f>
        <v>3.065687851218776</v>
      </c>
      <c r="K287" s="16">
        <f t="shared" si="17"/>
        <v>343.71088910868224</v>
      </c>
      <c r="L287" s="16">
        <f t="shared" si="18"/>
        <v>-0.42911089131774816</v>
      </c>
      <c r="M287" s="16">
        <f t="shared" si="19"/>
        <v>0.18413615704751227</v>
      </c>
    </row>
    <row r="288" spans="6:13" x14ac:dyDescent="0.4">
      <c r="F288" s="1">
        <v>30103</v>
      </c>
      <c r="G288" s="16">
        <v>343.35</v>
      </c>
      <c r="H288" s="16">
        <f>_A*F288*F288+_B*F288+_C</f>
        <v>340.76355378547947</v>
      </c>
      <c r="I288">
        <f t="shared" si="16"/>
        <v>6</v>
      </c>
      <c r="J288" s="16" cm="1">
        <f t="array" ref="J288">INDEX(Sm,I288)</f>
        <v>2.3467878996384672</v>
      </c>
      <c r="K288" s="16">
        <f t="shared" si="17"/>
        <v>343.11034168511793</v>
      </c>
      <c r="L288" s="16">
        <f t="shared" si="18"/>
        <v>-0.23965831488209233</v>
      </c>
      <c r="M288" s="16">
        <f t="shared" si="19"/>
        <v>5.7436107892124118E-2</v>
      </c>
    </row>
    <row r="289" spans="6:13" x14ac:dyDescent="0.4">
      <c r="F289" s="1">
        <v>30133</v>
      </c>
      <c r="G289" s="16">
        <v>342.06</v>
      </c>
      <c r="H289" s="16">
        <f>_A*F289*F289+_B*F289+_C</f>
        <v>340.87826791658983</v>
      </c>
      <c r="I289">
        <f t="shared" si="16"/>
        <v>7</v>
      </c>
      <c r="J289" s="16" cm="1">
        <f t="array" ref="J289">INDEX(Sm,I289)</f>
        <v>0.7237382709437985</v>
      </c>
      <c r="K289" s="16">
        <f t="shared" si="17"/>
        <v>341.60200618753362</v>
      </c>
      <c r="L289" s="16">
        <f t="shared" si="18"/>
        <v>-0.45799381246638404</v>
      </c>
      <c r="M289" s="16">
        <f t="shared" si="19"/>
        <v>0.20975833225749335</v>
      </c>
    </row>
    <row r="290" spans="6:13" x14ac:dyDescent="0.4">
      <c r="F290" s="1">
        <v>30164</v>
      </c>
      <c r="G290" s="16">
        <v>339.81</v>
      </c>
      <c r="H290" s="16">
        <f>_A*F290*F290+_B*F290+_C</f>
        <v>340.99699125953521</v>
      </c>
      <c r="I290">
        <f t="shared" si="16"/>
        <v>8</v>
      </c>
      <c r="J290" s="16" cm="1">
        <f t="array" ref="J290">INDEX(Sm,I290)</f>
        <v>-1.3971602754957855</v>
      </c>
      <c r="K290" s="16">
        <f t="shared" si="17"/>
        <v>339.59983098403944</v>
      </c>
      <c r="L290" s="16">
        <f t="shared" si="18"/>
        <v>-0.21016901596055959</v>
      </c>
      <c r="M290" s="16">
        <f t="shared" si="19"/>
        <v>4.4171015269829951E-2</v>
      </c>
    </row>
    <row r="291" spans="6:13" x14ac:dyDescent="0.4">
      <c r="F291" s="1">
        <v>30195</v>
      </c>
      <c r="G291" s="16">
        <v>337.98</v>
      </c>
      <c r="H291" s="16">
        <f>_A*F291*F291+_B*F291+_C</f>
        <v>341.11590304941188</v>
      </c>
      <c r="I291">
        <f t="shared" si="16"/>
        <v>9</v>
      </c>
      <c r="J291" s="16" cm="1">
        <f t="array" ref="J291">INDEX(Sm,I291)</f>
        <v>-3.1930865292764237</v>
      </c>
      <c r="K291" s="16">
        <f t="shared" si="17"/>
        <v>337.92281652013548</v>
      </c>
      <c r="L291" s="16">
        <f t="shared" si="18"/>
        <v>-5.7183479864534092E-2</v>
      </c>
      <c r="M291" s="16">
        <f t="shared" si="19"/>
        <v>3.2699503694175762E-3</v>
      </c>
    </row>
    <row r="292" spans="6:13" x14ac:dyDescent="0.4">
      <c r="F292" s="1">
        <v>30225</v>
      </c>
      <c r="G292" s="16">
        <v>337.86</v>
      </c>
      <c r="H292" s="16">
        <f>_A*F292*F292+_B*F292+_C</f>
        <v>341.2311584016777</v>
      </c>
      <c r="I292">
        <f t="shared" si="16"/>
        <v>10</v>
      </c>
      <c r="J292" s="16" cm="1">
        <f t="array" ref="J292">INDEX(Sm,I292)</f>
        <v>-3.3364130058083399</v>
      </c>
      <c r="K292" s="16">
        <f t="shared" si="17"/>
        <v>337.89474539586934</v>
      </c>
      <c r="L292" s="16">
        <f t="shared" si="18"/>
        <v>3.4745395869322238E-2</v>
      </c>
      <c r="M292" s="16">
        <f t="shared" si="19"/>
        <v>1.2072425341159148E-3</v>
      </c>
    </row>
    <row r="293" spans="6:13" x14ac:dyDescent="0.4">
      <c r="F293" s="1">
        <v>30256</v>
      </c>
      <c r="G293" s="16">
        <v>339.26</v>
      </c>
      <c r="H293" s="16">
        <f>_A*F293*F293+_B*F293+_C</f>
        <v>341.35044100648372</v>
      </c>
      <c r="I293">
        <f t="shared" si="16"/>
        <v>11</v>
      </c>
      <c r="J293" s="16" cm="1">
        <f t="array" ref="J293">INDEX(Sm,I293)</f>
        <v>-2.0587659563291303</v>
      </c>
      <c r="K293" s="16">
        <f t="shared" si="17"/>
        <v>339.29167505015459</v>
      </c>
      <c r="L293" s="16">
        <f t="shared" si="18"/>
        <v>3.1675050154603923E-2</v>
      </c>
      <c r="M293" s="16">
        <f t="shared" si="19"/>
        <v>1.003308802296674E-3</v>
      </c>
    </row>
    <row r="294" spans="6:13" x14ac:dyDescent="0.4">
      <c r="F294" s="1">
        <v>30286</v>
      </c>
      <c r="G294" s="16">
        <v>340.49</v>
      </c>
      <c r="H294" s="16">
        <f>_A*F294*F294+_B*F294+_C</f>
        <v>341.46605521190696</v>
      </c>
      <c r="I294">
        <f t="shared" si="16"/>
        <v>12</v>
      </c>
      <c r="J294" s="16" cm="1">
        <f t="array" ref="J294">INDEX(Sm,I294)</f>
        <v>-0.89092746411398172</v>
      </c>
      <c r="K294" s="16">
        <f t="shared" si="17"/>
        <v>340.57512774779298</v>
      </c>
      <c r="L294" s="16">
        <f t="shared" si="18"/>
        <v>8.5127747792967057E-2</v>
      </c>
      <c r="M294" s="16">
        <f t="shared" si="19"/>
        <v>7.2467334443030076E-3</v>
      </c>
    </row>
    <row r="295" spans="6:13" x14ac:dyDescent="0.4">
      <c r="F295" s="1">
        <v>30317</v>
      </c>
      <c r="G295" s="16">
        <v>341.38</v>
      </c>
      <c r="H295" s="16">
        <f>_A*F295*F295+_B*F295+_C</f>
        <v>341.58570863164232</v>
      </c>
      <c r="I295">
        <f t="shared" si="16"/>
        <v>1</v>
      </c>
      <c r="J295" s="16" cm="1">
        <f t="array" ref="J295">INDEX(Sm,I295)</f>
        <v>6.1437948016995841E-2</v>
      </c>
      <c r="K295" s="16">
        <f t="shared" si="17"/>
        <v>341.64714657965931</v>
      </c>
      <c r="L295" s="16">
        <f t="shared" si="18"/>
        <v>0.2671465796593111</v>
      </c>
      <c r="M295" s="16">
        <f t="shared" si="19"/>
        <v>7.1367295023668648E-2</v>
      </c>
    </row>
    <row r="296" spans="6:13" x14ac:dyDescent="0.4">
      <c r="F296" s="1">
        <v>30348</v>
      </c>
      <c r="G296" s="16">
        <v>342.52</v>
      </c>
      <c r="H296" s="16">
        <f>_A*F296*F296+_B*F296+_C</f>
        <v>341.70555049830892</v>
      </c>
      <c r="I296">
        <f t="shared" si="16"/>
        <v>2</v>
      </c>
      <c r="J296" s="16" cm="1">
        <f t="array" ref="J296">INDEX(Sm,I296)</f>
        <v>0.69461918939657585</v>
      </c>
      <c r="K296" s="16">
        <f t="shared" si="17"/>
        <v>342.4001696877055</v>
      </c>
      <c r="L296" s="16">
        <f t="shared" si="18"/>
        <v>-0.11983031229448216</v>
      </c>
      <c r="M296" s="16">
        <f t="shared" si="19"/>
        <v>1.4359303744593122E-2</v>
      </c>
    </row>
    <row r="297" spans="6:13" x14ac:dyDescent="0.4">
      <c r="F297" s="1">
        <v>30376</v>
      </c>
      <c r="G297" s="16">
        <v>343.1</v>
      </c>
      <c r="H297" s="16">
        <f>_A*F297*F297+_B*F297+_C</f>
        <v>341.813956739133</v>
      </c>
      <c r="I297">
        <f t="shared" si="16"/>
        <v>3</v>
      </c>
      <c r="J297" s="16" cm="1">
        <f t="array" ref="J297">INDEX(Sm,I297)</f>
        <v>1.3737674684313066</v>
      </c>
      <c r="K297" s="16">
        <f t="shared" si="17"/>
        <v>343.18772420756432</v>
      </c>
      <c r="L297" s="16">
        <f t="shared" si="18"/>
        <v>8.7724207564292556E-2</v>
      </c>
      <c r="M297" s="16">
        <f t="shared" si="19"/>
        <v>7.6955365927830833E-3</v>
      </c>
    </row>
    <row r="298" spans="6:13" x14ac:dyDescent="0.4">
      <c r="F298" s="1">
        <v>30407</v>
      </c>
      <c r="G298" s="16">
        <v>344.94</v>
      </c>
      <c r="H298" s="16">
        <f>_A*F298*F298+_B*F298+_C</f>
        <v>341.93415726286241</v>
      </c>
      <c r="I298">
        <f t="shared" si="16"/>
        <v>4</v>
      </c>
      <c r="J298" s="16" cm="1">
        <f t="array" ref="J298">INDEX(Sm,I298)</f>
        <v>2.6103146033777413</v>
      </c>
      <c r="K298" s="16">
        <f t="shared" si="17"/>
        <v>344.54447186624014</v>
      </c>
      <c r="L298" s="16">
        <f t="shared" si="18"/>
        <v>-0.39552813375985352</v>
      </c>
      <c r="M298" s="16">
        <f t="shared" si="19"/>
        <v>0.15644250459555259</v>
      </c>
    </row>
    <row r="299" spans="6:13" x14ac:dyDescent="0.4">
      <c r="F299" s="1">
        <v>30437</v>
      </c>
      <c r="G299" s="16">
        <v>345.76</v>
      </c>
      <c r="H299" s="16">
        <f>_A*F299*F299+_B*F299+_C</f>
        <v>342.05065977692124</v>
      </c>
      <c r="I299">
        <f t="shared" si="16"/>
        <v>5</v>
      </c>
      <c r="J299" s="16" cm="1">
        <f t="array" ref="J299">INDEX(Sm,I299)</f>
        <v>3.065687851218776</v>
      </c>
      <c r="K299" s="16">
        <f t="shared" si="17"/>
        <v>345.11634762814003</v>
      </c>
      <c r="L299" s="16">
        <f t="shared" si="18"/>
        <v>-0.64365237185995738</v>
      </c>
      <c r="M299" s="16">
        <f t="shared" si="19"/>
        <v>0.41428837580094885</v>
      </c>
    </row>
    <row r="300" spans="6:13" x14ac:dyDescent="0.4">
      <c r="F300" s="1">
        <v>30468</v>
      </c>
      <c r="G300" s="16">
        <v>345.32</v>
      </c>
      <c r="H300" s="16">
        <f>_A*F300*F300+_B*F300+_C</f>
        <v>342.17123111557999</v>
      </c>
      <c r="I300">
        <f t="shared" si="16"/>
        <v>6</v>
      </c>
      <c r="J300" s="16" cm="1">
        <f t="array" ref="J300">INDEX(Sm,I300)</f>
        <v>2.3467878996384672</v>
      </c>
      <c r="K300" s="16">
        <f t="shared" si="17"/>
        <v>344.51801901521844</v>
      </c>
      <c r="L300" s="16">
        <f t="shared" si="18"/>
        <v>-0.80198098478155089</v>
      </c>
      <c r="M300" s="16">
        <f t="shared" si="19"/>
        <v>0.64317349995118611</v>
      </c>
    </row>
    <row r="301" spans="6:13" x14ac:dyDescent="0.4">
      <c r="F301" s="1">
        <v>30498</v>
      </c>
      <c r="G301" s="16">
        <v>343.98</v>
      </c>
      <c r="H301" s="16">
        <f>_A*F301*F301+_B*F301+_C</f>
        <v>342.28809248279623</v>
      </c>
      <c r="I301">
        <f t="shared" si="16"/>
        <v>7</v>
      </c>
      <c r="J301" s="16" cm="1">
        <f t="array" ref="J301">INDEX(Sm,I301)</f>
        <v>0.7237382709437985</v>
      </c>
      <c r="K301" s="16">
        <f t="shared" si="17"/>
        <v>343.01183075374001</v>
      </c>
      <c r="L301" s="16">
        <f t="shared" si="18"/>
        <v>-0.968169246260004</v>
      </c>
      <c r="M301" s="16">
        <f t="shared" si="19"/>
        <v>0.93735168940366431</v>
      </c>
    </row>
    <row r="302" spans="6:13" x14ac:dyDescent="0.4">
      <c r="F302" s="1">
        <v>30529</v>
      </c>
      <c r="G302" s="16">
        <v>342.38</v>
      </c>
      <c r="H302" s="16">
        <f>_A*F302*F302+_B*F302+_C</f>
        <v>342.40903463638432</v>
      </c>
      <c r="I302">
        <f t="shared" si="16"/>
        <v>8</v>
      </c>
      <c r="J302" s="16" cm="1">
        <f t="array" ref="J302">INDEX(Sm,I302)</f>
        <v>-1.3971602754957855</v>
      </c>
      <c r="K302" s="16">
        <f t="shared" si="17"/>
        <v>341.01187436088856</v>
      </c>
      <c r="L302" s="16">
        <f t="shared" si="18"/>
        <v>-1.3681256391114403</v>
      </c>
      <c r="M302" s="16">
        <f t="shared" si="19"/>
        <v>1.8717677643940869</v>
      </c>
    </row>
    <row r="303" spans="6:13" x14ac:dyDescent="0.4">
      <c r="F303" s="1">
        <v>30560</v>
      </c>
      <c r="G303" s="16">
        <v>339.87</v>
      </c>
      <c r="H303" s="16">
        <f>_A*F303*F303+_B*F303+_C</f>
        <v>342.53016523690371</v>
      </c>
      <c r="I303">
        <f t="shared" si="16"/>
        <v>9</v>
      </c>
      <c r="J303" s="16" cm="1">
        <f t="array" ref="J303">INDEX(Sm,I303)</f>
        <v>-3.1930865292764237</v>
      </c>
      <c r="K303" s="16">
        <f t="shared" si="17"/>
        <v>339.33707870762731</v>
      </c>
      <c r="L303" s="16">
        <f t="shared" si="18"/>
        <v>-0.53292129237269137</v>
      </c>
      <c r="M303" s="16">
        <f t="shared" si="19"/>
        <v>0.2840051038641796</v>
      </c>
    </row>
    <row r="304" spans="6:13" x14ac:dyDescent="0.4">
      <c r="F304" s="1">
        <v>30590</v>
      </c>
      <c r="G304" s="16">
        <v>339.99</v>
      </c>
      <c r="H304" s="16">
        <f>_A*F304*F304+_B*F304+_C</f>
        <v>342.64756782527542</v>
      </c>
      <c r="I304">
        <f t="shared" si="16"/>
        <v>10</v>
      </c>
      <c r="J304" s="16" cm="1">
        <f t="array" ref="J304">INDEX(Sm,I304)</f>
        <v>-3.3364130058083399</v>
      </c>
      <c r="K304" s="16">
        <f t="shared" si="17"/>
        <v>339.31115481946705</v>
      </c>
      <c r="L304" s="16">
        <f t="shared" si="18"/>
        <v>-0.67884518053296006</v>
      </c>
      <c r="M304" s="16">
        <f t="shared" si="19"/>
        <v>0.46083077913282711</v>
      </c>
    </row>
    <row r="305" spans="6:13" x14ac:dyDescent="0.4">
      <c r="F305" s="1">
        <v>30621</v>
      </c>
      <c r="G305" s="16">
        <v>341.15</v>
      </c>
      <c r="H305" s="16">
        <f>_A*F305*F305+_B*F305+_C</f>
        <v>342.76906924072415</v>
      </c>
      <c r="I305">
        <f t="shared" si="16"/>
        <v>11</v>
      </c>
      <c r="J305" s="16" cm="1">
        <f t="array" ref="J305">INDEX(Sm,I305)</f>
        <v>-2.0587659563291303</v>
      </c>
      <c r="K305" s="16">
        <f t="shared" si="17"/>
        <v>340.71030328439502</v>
      </c>
      <c r="L305" s="16">
        <f t="shared" si="18"/>
        <v>-0.43969671560495271</v>
      </c>
      <c r="M305" s="16">
        <f t="shared" si="19"/>
        <v>0.19333320171378268</v>
      </c>
    </row>
    <row r="306" spans="6:13" x14ac:dyDescent="0.4">
      <c r="F306" s="1">
        <v>30651</v>
      </c>
      <c r="G306" s="16">
        <v>342.99</v>
      </c>
      <c r="H306" s="16">
        <f>_A*F306*F306+_B*F306+_C</f>
        <v>342.88683068225328</v>
      </c>
      <c r="I306">
        <f t="shared" si="16"/>
        <v>12</v>
      </c>
      <c r="J306" s="16" cm="1">
        <f t="array" ref="J306">INDEX(Sm,I306)</f>
        <v>-0.89092746411398172</v>
      </c>
      <c r="K306" s="16">
        <f t="shared" si="17"/>
        <v>341.99590321813929</v>
      </c>
      <c r="L306" s="16">
        <f t="shared" si="18"/>
        <v>-0.99409678186071915</v>
      </c>
      <c r="M306" s="16">
        <f t="shared" si="19"/>
        <v>0.98822841170583819</v>
      </c>
    </row>
    <row r="307" spans="6:13" x14ac:dyDescent="0.4">
      <c r="F307" s="1">
        <v>30682</v>
      </c>
      <c r="G307" s="16">
        <v>343.7</v>
      </c>
      <c r="H307" s="16">
        <f>_A*F307*F307+_B*F307+_C</f>
        <v>343.00870291263129</v>
      </c>
      <c r="I307">
        <f t="shared" si="16"/>
        <v>1</v>
      </c>
      <c r="J307" s="16" cm="1">
        <f t="array" ref="J307">INDEX(Sm,I307)</f>
        <v>6.1437948016995841E-2</v>
      </c>
      <c r="K307" s="16">
        <f t="shared" si="17"/>
        <v>343.07014086064828</v>
      </c>
      <c r="L307" s="16">
        <f t="shared" si="18"/>
        <v>-0.62985913935170856</v>
      </c>
      <c r="M307" s="16">
        <f t="shared" si="19"/>
        <v>0.39672253542487501</v>
      </c>
    </row>
    <row r="308" spans="6:13" x14ac:dyDescent="0.4">
      <c r="F308" s="1">
        <v>30713</v>
      </c>
      <c r="G308" s="16">
        <v>344.5</v>
      </c>
      <c r="H308" s="16">
        <f>_A*F308*F308+_B*F308+_C</f>
        <v>343.13076358994067</v>
      </c>
      <c r="I308">
        <f t="shared" si="16"/>
        <v>2</v>
      </c>
      <c r="J308" s="16" cm="1">
        <f t="array" ref="J308">INDEX(Sm,I308)</f>
        <v>0.69461918939657585</v>
      </c>
      <c r="K308" s="16">
        <f t="shared" si="17"/>
        <v>343.82538277933725</v>
      </c>
      <c r="L308" s="16">
        <f t="shared" si="18"/>
        <v>-0.67461722066275343</v>
      </c>
      <c r="M308" s="16">
        <f t="shared" si="19"/>
        <v>0.45510839441473816</v>
      </c>
    </row>
    <row r="309" spans="6:13" x14ac:dyDescent="0.4">
      <c r="F309" s="1">
        <v>30742</v>
      </c>
      <c r="G309" s="16">
        <v>345.28</v>
      </c>
      <c r="H309" s="16">
        <f>_A*F309*F309+_B*F309+_C</f>
        <v>343.24511998716372</v>
      </c>
      <c r="I309">
        <f t="shared" si="16"/>
        <v>3</v>
      </c>
      <c r="J309" s="16" cm="1">
        <f t="array" ref="J309">INDEX(Sm,I309)</f>
        <v>1.3737674684313066</v>
      </c>
      <c r="K309" s="16">
        <f t="shared" si="17"/>
        <v>344.61888745559503</v>
      </c>
      <c r="L309" s="16">
        <f t="shared" si="18"/>
        <v>-0.66111254440494349</v>
      </c>
      <c r="M309" s="16">
        <f t="shared" si="19"/>
        <v>0.43706979636957838</v>
      </c>
    </row>
    <row r="310" spans="6:13" x14ac:dyDescent="0.4">
      <c r="F310" s="1">
        <v>30773</v>
      </c>
      <c r="G310" s="16">
        <v>347.05</v>
      </c>
      <c r="H310" s="16">
        <f>_A*F310*F310+_B*F310+_C</f>
        <v>343.36754540046917</v>
      </c>
      <c r="I310">
        <f t="shared" si="16"/>
        <v>4</v>
      </c>
      <c r="J310" s="16" cm="1">
        <f t="array" ref="J310">INDEX(Sm,I310)</f>
        <v>2.6103146033777413</v>
      </c>
      <c r="K310" s="16">
        <f t="shared" si="17"/>
        <v>345.9778600038469</v>
      </c>
      <c r="L310" s="16">
        <f t="shared" si="18"/>
        <v>-1.072139996153112</v>
      </c>
      <c r="M310" s="16">
        <f t="shared" si="19"/>
        <v>1.149484171351195</v>
      </c>
    </row>
    <row r="311" spans="6:13" x14ac:dyDescent="0.4">
      <c r="F311" s="1">
        <v>30803</v>
      </c>
      <c r="G311" s="16">
        <v>347.43</v>
      </c>
      <c r="H311" s="16">
        <f>_A*F311*F311+_B*F311+_C</f>
        <v>343.48620103347253</v>
      </c>
      <c r="I311">
        <f t="shared" si="16"/>
        <v>5</v>
      </c>
      <c r="J311" s="16" cm="1">
        <f t="array" ref="J311">INDEX(Sm,I311)</f>
        <v>3.065687851218776</v>
      </c>
      <c r="K311" s="16">
        <f t="shared" si="17"/>
        <v>346.55188888469132</v>
      </c>
      <c r="L311" s="16">
        <f t="shared" si="18"/>
        <v>-0.87811111530868402</v>
      </c>
      <c r="M311" s="16">
        <f t="shared" si="19"/>
        <v>0.77107913082866097</v>
      </c>
    </row>
    <row r="312" spans="6:13" x14ac:dyDescent="0.4">
      <c r="F312" s="1">
        <v>30834</v>
      </c>
      <c r="G312" s="16">
        <v>346.8</v>
      </c>
      <c r="H312" s="16">
        <f>_A*F312*F312+_B*F312+_C</f>
        <v>343.60899726170726</v>
      </c>
      <c r="I312">
        <f t="shared" si="16"/>
        <v>6</v>
      </c>
      <c r="J312" s="16" cm="1">
        <f t="array" ref="J312">INDEX(Sm,I312)</f>
        <v>2.3467878996384672</v>
      </c>
      <c r="K312" s="16">
        <f t="shared" si="17"/>
        <v>345.95578516134572</v>
      </c>
      <c r="L312" s="16">
        <f t="shared" si="18"/>
        <v>-0.84421483865429536</v>
      </c>
      <c r="M312" s="16">
        <f t="shared" si="19"/>
        <v>0.712698693804098</v>
      </c>
    </row>
    <row r="313" spans="6:13" x14ac:dyDescent="0.4">
      <c r="F313" s="1">
        <v>30864</v>
      </c>
      <c r="G313" s="16">
        <v>345.39</v>
      </c>
      <c r="H313" s="16">
        <f>_A*F313*F313+_B*F313+_C</f>
        <v>343.72801174786798</v>
      </c>
      <c r="I313">
        <f t="shared" si="16"/>
        <v>7</v>
      </c>
      <c r="J313" s="16" cm="1">
        <f t="array" ref="J313">INDEX(Sm,I313)</f>
        <v>0.7237382709437985</v>
      </c>
      <c r="K313" s="16">
        <f t="shared" si="17"/>
        <v>344.45175001881177</v>
      </c>
      <c r="L313" s="16">
        <f t="shared" si="18"/>
        <v>-0.93824998118822123</v>
      </c>
      <c r="M313" s="16">
        <f t="shared" si="19"/>
        <v>0.88031302719969751</v>
      </c>
    </row>
    <row r="314" spans="6:13" x14ac:dyDescent="0.4">
      <c r="F314" s="1">
        <v>30895</v>
      </c>
      <c r="G314" s="16">
        <v>343.28</v>
      </c>
      <c r="H314" s="16">
        <f>_A*F314*F314+_B*F314+_C</f>
        <v>343.85117879103211</v>
      </c>
      <c r="I314">
        <f t="shared" si="16"/>
        <v>8</v>
      </c>
      <c r="J314" s="16" cm="1">
        <f t="array" ref="J314">INDEX(Sm,I314)</f>
        <v>-1.3971602754957855</v>
      </c>
      <c r="K314" s="16">
        <f t="shared" si="17"/>
        <v>342.45401851553635</v>
      </c>
      <c r="L314" s="16">
        <f t="shared" si="18"/>
        <v>-0.82598148446362529</v>
      </c>
      <c r="M314" s="16">
        <f t="shared" si="19"/>
        <v>0.68224541267673411</v>
      </c>
    </row>
    <row r="315" spans="6:13" x14ac:dyDescent="0.4">
      <c r="F315" s="1">
        <v>30926</v>
      </c>
      <c r="G315" s="16">
        <v>341.07</v>
      </c>
      <c r="H315" s="16">
        <f>_A*F315*F315+_B*F315+_C</f>
        <v>343.97453428112749</v>
      </c>
      <c r="I315">
        <f t="shared" si="16"/>
        <v>9</v>
      </c>
      <c r="J315" s="16" cm="1">
        <f t="array" ref="J315">INDEX(Sm,I315)</f>
        <v>-3.1930865292764237</v>
      </c>
      <c r="K315" s="16">
        <f t="shared" si="17"/>
        <v>340.78144775185109</v>
      </c>
      <c r="L315" s="16">
        <f t="shared" si="18"/>
        <v>-0.28855224814890335</v>
      </c>
      <c r="M315" s="16">
        <f t="shared" si="19"/>
        <v>8.32623999117863E-2</v>
      </c>
    </row>
    <row r="316" spans="6:13" x14ac:dyDescent="0.4">
      <c r="F316" s="1">
        <v>30956</v>
      </c>
      <c r="G316" s="16">
        <v>341.35</v>
      </c>
      <c r="H316" s="16">
        <f>_A*F316*F316+_B*F316+_C</f>
        <v>344.09408998844373</v>
      </c>
      <c r="I316">
        <f t="shared" si="16"/>
        <v>10</v>
      </c>
      <c r="J316" s="16" cm="1">
        <f t="array" ref="J316">INDEX(Sm,I316)</f>
        <v>-3.3364130058083399</v>
      </c>
      <c r="K316" s="16">
        <f t="shared" si="17"/>
        <v>340.75767698263536</v>
      </c>
      <c r="L316" s="16">
        <f t="shared" si="18"/>
        <v>-0.59232301736466297</v>
      </c>
      <c r="M316" s="16">
        <f t="shared" si="19"/>
        <v>0.35084655689997885</v>
      </c>
    </row>
    <row r="317" spans="6:13" x14ac:dyDescent="0.4">
      <c r="F317" s="1">
        <v>30987</v>
      </c>
      <c r="G317" s="16">
        <v>342.98</v>
      </c>
      <c r="H317" s="16">
        <f>_A*F317*F317+_B*F317+_C</f>
        <v>344.21781629346845</v>
      </c>
      <c r="I317">
        <f t="shared" si="16"/>
        <v>11</v>
      </c>
      <c r="J317" s="16" cm="1">
        <f t="array" ref="J317">INDEX(Sm,I317)</f>
        <v>-2.0587659563291303</v>
      </c>
      <c r="K317" s="16">
        <f t="shared" si="17"/>
        <v>342.15905033713932</v>
      </c>
      <c r="L317" s="16">
        <f t="shared" si="18"/>
        <v>-0.82094966286069848</v>
      </c>
      <c r="M317" s="16">
        <f t="shared" si="19"/>
        <v>0.67395834895109452</v>
      </c>
    </row>
    <row r="318" spans="6:13" x14ac:dyDescent="0.4">
      <c r="F318" s="1">
        <v>31017</v>
      </c>
      <c r="G318" s="16">
        <v>344.22</v>
      </c>
      <c r="H318" s="16">
        <f>_A*F318*F318+_B*F318+_C</f>
        <v>344.33773085394205</v>
      </c>
      <c r="I318">
        <f t="shared" si="16"/>
        <v>12</v>
      </c>
      <c r="J318" s="16" cm="1">
        <f t="array" ref="J318">INDEX(Sm,I318)</f>
        <v>-0.89092746411398172</v>
      </c>
      <c r="K318" s="16">
        <f t="shared" si="17"/>
        <v>343.44680338982806</v>
      </c>
      <c r="L318" s="16">
        <f t="shared" si="18"/>
        <v>-0.77319661017196495</v>
      </c>
      <c r="M318" s="16">
        <f t="shared" si="19"/>
        <v>0.59783299798141754</v>
      </c>
    </row>
    <row r="319" spans="6:13" x14ac:dyDescent="0.4">
      <c r="F319" s="1">
        <v>31048</v>
      </c>
      <c r="G319" s="16">
        <v>344.97</v>
      </c>
      <c r="H319" s="16">
        <f>_A*F319*F319+_B*F319+_C</f>
        <v>344.46182797389611</v>
      </c>
      <c r="I319">
        <f t="shared" si="16"/>
        <v>1</v>
      </c>
      <c r="J319" s="16" cm="1">
        <f t="array" ref="J319">INDEX(Sm,I319)</f>
        <v>6.1437948016995841E-2</v>
      </c>
      <c r="K319" s="16">
        <f t="shared" si="17"/>
        <v>344.52326592191309</v>
      </c>
      <c r="L319" s="16">
        <f t="shared" si="18"/>
        <v>-0.44673407808693355</v>
      </c>
      <c r="M319" s="16">
        <f t="shared" si="19"/>
        <v>0.19957133652418244</v>
      </c>
    </row>
    <row r="320" spans="6:13" x14ac:dyDescent="0.4">
      <c r="F320" s="1">
        <v>31079</v>
      </c>
      <c r="G320" s="16">
        <v>345.99</v>
      </c>
      <c r="H320" s="16">
        <f>_A*F320*F320+_B*F320+_C</f>
        <v>344.58611354078153</v>
      </c>
      <c r="I320">
        <f t="shared" si="16"/>
        <v>2</v>
      </c>
      <c r="J320" s="16" cm="1">
        <f t="array" ref="J320">INDEX(Sm,I320)</f>
        <v>0.69461918939657585</v>
      </c>
      <c r="K320" s="16">
        <f t="shared" si="17"/>
        <v>345.2807327301781</v>
      </c>
      <c r="L320" s="16">
        <f t="shared" si="18"/>
        <v>-0.70926726982190758</v>
      </c>
      <c r="M320" s="16">
        <f t="shared" si="19"/>
        <v>0.50306006004062265</v>
      </c>
    </row>
    <row r="321" spans="6:13" x14ac:dyDescent="0.4">
      <c r="F321" s="1">
        <v>31107</v>
      </c>
      <c r="G321" s="16">
        <v>347.42</v>
      </c>
      <c r="H321" s="16">
        <f>_A*F321*F321+_B*F321+_C</f>
        <v>344.69853344631923</v>
      </c>
      <c r="I321">
        <f t="shared" si="16"/>
        <v>3</v>
      </c>
      <c r="J321" s="16" cm="1">
        <f t="array" ref="J321">INDEX(Sm,I321)</f>
        <v>1.3737674684313066</v>
      </c>
      <c r="K321" s="16">
        <f t="shared" si="17"/>
        <v>346.07230091475054</v>
      </c>
      <c r="L321" s="16">
        <f t="shared" si="18"/>
        <v>-1.3476990852494737</v>
      </c>
      <c r="M321" s="16">
        <f t="shared" si="19"/>
        <v>1.816292824382268</v>
      </c>
    </row>
    <row r="322" spans="6:13" x14ac:dyDescent="0.4">
      <c r="F322" s="1">
        <v>31138</v>
      </c>
      <c r="G322" s="16">
        <v>348.35</v>
      </c>
      <c r="H322" s="16">
        <f>_A*F322*F322+_B*F322+_C</f>
        <v>344.82317767026734</v>
      </c>
      <c r="I322">
        <f t="shared" si="16"/>
        <v>4</v>
      </c>
      <c r="J322" s="16" cm="1">
        <f t="array" ref="J322">INDEX(Sm,I322)</f>
        <v>2.6103146033777413</v>
      </c>
      <c r="K322" s="16">
        <f t="shared" si="17"/>
        <v>347.43349227364507</v>
      </c>
      <c r="L322" s="16">
        <f t="shared" si="18"/>
        <v>-0.91650772635495059</v>
      </c>
      <c r="M322" s="16">
        <f t="shared" si="19"/>
        <v>0.83998641246832095</v>
      </c>
    </row>
    <row r="323" spans="6:13" x14ac:dyDescent="0.4">
      <c r="F323" s="1">
        <v>31168</v>
      </c>
      <c r="G323" s="16">
        <v>348.93</v>
      </c>
      <c r="H323" s="16">
        <f>_A*F323*F323+_B*F323+_C</f>
        <v>344.94398053937658</v>
      </c>
      <c r="I323">
        <f t="shared" ref="I323:I386" si="20">MONTH(F323)</f>
        <v>5</v>
      </c>
      <c r="J323" s="16" cm="1">
        <f t="array" ref="J323">INDEX(Sm,I323)</f>
        <v>3.065687851218776</v>
      </c>
      <c r="K323" s="16">
        <f t="shared" ref="K323:K386" si="21">H323+J323</f>
        <v>348.00966839059538</v>
      </c>
      <c r="L323" s="16">
        <f t="shared" ref="L323:L386" si="22">K323-G323</f>
        <v>-0.92033160940462722</v>
      </c>
      <c r="M323" s="16">
        <f t="shared" ref="M323:M386" si="23">L323*L323</f>
        <v>0.84701027126931128</v>
      </c>
    </row>
    <row r="324" spans="6:13" x14ac:dyDescent="0.4">
      <c r="F324" s="1">
        <v>31199</v>
      </c>
      <c r="G324" s="16">
        <v>348.25</v>
      </c>
      <c r="H324" s="16">
        <f>_A*F324*F324+_B*F324+_C</f>
        <v>345.06899557825409</v>
      </c>
      <c r="I324">
        <f t="shared" si="20"/>
        <v>6</v>
      </c>
      <c r="J324" s="16" cm="1">
        <f t="array" ref="J324">INDEX(Sm,I324)</f>
        <v>2.3467878996384672</v>
      </c>
      <c r="K324" s="16">
        <f t="shared" si="21"/>
        <v>347.41578347789255</v>
      </c>
      <c r="L324" s="16">
        <f t="shared" si="22"/>
        <v>-0.83421652210745378</v>
      </c>
      <c r="M324" s="16">
        <f t="shared" si="23"/>
        <v>0.69591720575705596</v>
      </c>
    </row>
    <row r="325" spans="6:13" x14ac:dyDescent="0.4">
      <c r="F325" s="1">
        <v>31229</v>
      </c>
      <c r="G325" s="16">
        <v>346.56</v>
      </c>
      <c r="H325" s="16">
        <f>_A*F325*F325+_B*F325+_C</f>
        <v>345.1901573005207</v>
      </c>
      <c r="I325">
        <f t="shared" si="20"/>
        <v>7</v>
      </c>
      <c r="J325" s="16" cm="1">
        <f t="array" ref="J325">INDEX(Sm,I325)</f>
        <v>0.7237382709437985</v>
      </c>
      <c r="K325" s="16">
        <f t="shared" si="21"/>
        <v>345.91389557146448</v>
      </c>
      <c r="L325" s="16">
        <f t="shared" si="22"/>
        <v>-0.64610442853552286</v>
      </c>
      <c r="M325" s="16">
        <f t="shared" si="23"/>
        <v>0.41745093257321458</v>
      </c>
    </row>
    <row r="326" spans="6:13" x14ac:dyDescent="0.4">
      <c r="F326" s="1">
        <v>31260</v>
      </c>
      <c r="G326" s="16">
        <v>344.67</v>
      </c>
      <c r="H326" s="16">
        <f>_A*F326*F326+_B*F326+_C</f>
        <v>345.31554315432754</v>
      </c>
      <c r="I326">
        <f t="shared" si="20"/>
        <v>8</v>
      </c>
      <c r="J326" s="16" cm="1">
        <f t="array" ref="J326">INDEX(Sm,I326)</f>
        <v>-1.3971602754957855</v>
      </c>
      <c r="K326" s="16">
        <f t="shared" si="21"/>
        <v>343.91838287883178</v>
      </c>
      <c r="L326" s="16">
        <f t="shared" si="22"/>
        <v>-0.75161712116823765</v>
      </c>
      <c r="M326" s="16">
        <f t="shared" si="23"/>
        <v>0.5649282968332292</v>
      </c>
    </row>
    <row r="327" spans="6:13" x14ac:dyDescent="0.4">
      <c r="F327" s="1">
        <v>31291</v>
      </c>
      <c r="G327" s="16">
        <v>343.09</v>
      </c>
      <c r="H327" s="16">
        <f>_A*F327*F327+_B*F327+_C</f>
        <v>345.44111745506564</v>
      </c>
      <c r="I327">
        <f t="shared" si="20"/>
        <v>9</v>
      </c>
      <c r="J327" s="16" cm="1">
        <f t="array" ref="J327">INDEX(Sm,I327)</f>
        <v>-3.1930865292764237</v>
      </c>
      <c r="K327" s="16">
        <f t="shared" si="21"/>
        <v>342.24803092578924</v>
      </c>
      <c r="L327" s="16">
        <f t="shared" si="22"/>
        <v>-0.84196907421073774</v>
      </c>
      <c r="M327" s="16">
        <f t="shared" si="23"/>
        <v>0.7089119219272868</v>
      </c>
    </row>
    <row r="328" spans="6:13" x14ac:dyDescent="0.4">
      <c r="F328" s="1">
        <v>31321</v>
      </c>
      <c r="G328" s="16">
        <v>342.8</v>
      </c>
      <c r="H328" s="16">
        <f>_A*F328*F328+_B*F328+_C</f>
        <v>345.5628203984877</v>
      </c>
      <c r="I328">
        <f t="shared" si="20"/>
        <v>10</v>
      </c>
      <c r="J328" s="16" cm="1">
        <f t="array" ref="J328">INDEX(Sm,I328)</f>
        <v>-3.3364130058083399</v>
      </c>
      <c r="K328" s="16">
        <f t="shared" si="21"/>
        <v>342.22640739267933</v>
      </c>
      <c r="L328" s="16">
        <f t="shared" si="22"/>
        <v>-0.57359260732067696</v>
      </c>
      <c r="M328" s="16">
        <f t="shared" si="23"/>
        <v>0.3290084791729323</v>
      </c>
    </row>
    <row r="329" spans="6:13" x14ac:dyDescent="0.4">
      <c r="F329" s="1">
        <v>31352</v>
      </c>
      <c r="G329" s="16">
        <v>344.24</v>
      </c>
      <c r="H329" s="16">
        <f>_A*F329*F329+_B*F329+_C</f>
        <v>345.68876551415519</v>
      </c>
      <c r="I329">
        <f t="shared" si="20"/>
        <v>11</v>
      </c>
      <c r="J329" s="16" cm="1">
        <f t="array" ref="J329">INDEX(Sm,I329)</f>
        <v>-2.0587659563291303</v>
      </c>
      <c r="K329" s="16">
        <f t="shared" si="21"/>
        <v>343.62999955782607</v>
      </c>
      <c r="L329" s="16">
        <f t="shared" si="22"/>
        <v>-0.61000044217394134</v>
      </c>
      <c r="M329" s="16">
        <f t="shared" si="23"/>
        <v>0.37210053945240396</v>
      </c>
    </row>
    <row r="330" spans="6:13" x14ac:dyDescent="0.4">
      <c r="F330" s="1">
        <v>31382</v>
      </c>
      <c r="G330" s="16">
        <v>345.56</v>
      </c>
      <c r="H330" s="16">
        <f>_A*F330*F330+_B*F330+_C</f>
        <v>345.81082731073462</v>
      </c>
      <c r="I330">
        <f t="shared" si="20"/>
        <v>12</v>
      </c>
      <c r="J330" s="16" cm="1">
        <f t="array" ref="J330">INDEX(Sm,I330)</f>
        <v>-0.89092746411398172</v>
      </c>
      <c r="K330" s="16">
        <f t="shared" si="21"/>
        <v>344.91989984662064</v>
      </c>
      <c r="L330" s="16">
        <f t="shared" si="22"/>
        <v>-0.64010015337936466</v>
      </c>
      <c r="M330" s="16">
        <f t="shared" si="23"/>
        <v>0.40972820635628615</v>
      </c>
    </row>
    <row r="331" spans="6:13" x14ac:dyDescent="0.4">
      <c r="F331" s="1">
        <v>31413</v>
      </c>
      <c r="G331" s="16">
        <v>346.3</v>
      </c>
      <c r="H331" s="16">
        <f>_A*F331*F331+_B*F331+_C</f>
        <v>345.93714324133146</v>
      </c>
      <c r="I331">
        <f t="shared" si="20"/>
        <v>1</v>
      </c>
      <c r="J331" s="16" cm="1">
        <f t="array" ref="J331">INDEX(Sm,I331)</f>
        <v>6.1437948016995841E-2</v>
      </c>
      <c r="K331" s="16">
        <f t="shared" si="21"/>
        <v>345.99858118934844</v>
      </c>
      <c r="L331" s="16">
        <f t="shared" si="22"/>
        <v>-0.30141881065156895</v>
      </c>
      <c r="M331" s="16">
        <f t="shared" si="23"/>
        <v>9.0853299414606375E-2</v>
      </c>
    </row>
    <row r="332" spans="6:13" x14ac:dyDescent="0.4">
      <c r="F332" s="1">
        <v>31444</v>
      </c>
      <c r="G332" s="16">
        <v>346.95</v>
      </c>
      <c r="H332" s="16">
        <f>_A*F332*F332+_B*F332+_C</f>
        <v>346.06364761885953</v>
      </c>
      <c r="I332">
        <f t="shared" si="20"/>
        <v>2</v>
      </c>
      <c r="J332" s="16" cm="1">
        <f t="array" ref="J332">INDEX(Sm,I332)</f>
        <v>0.69461918939657585</v>
      </c>
      <c r="K332" s="16">
        <f t="shared" si="21"/>
        <v>346.75826680825611</v>
      </c>
      <c r="L332" s="16">
        <f t="shared" si="22"/>
        <v>-0.19173319174387871</v>
      </c>
      <c r="M332" s="16">
        <f t="shared" si="23"/>
        <v>3.6761616816294959E-2</v>
      </c>
    </row>
    <row r="333" spans="6:13" x14ac:dyDescent="0.4">
      <c r="F333" s="1">
        <v>31472</v>
      </c>
      <c r="G333" s="16">
        <v>347.85</v>
      </c>
      <c r="H333" s="16">
        <f>_A*F333*F333+_B*F333+_C</f>
        <v>346.1780716114294</v>
      </c>
      <c r="I333">
        <f t="shared" si="20"/>
        <v>3</v>
      </c>
      <c r="J333" s="16" cm="1">
        <f t="array" ref="J333">INDEX(Sm,I333)</f>
        <v>1.3737674684313066</v>
      </c>
      <c r="K333" s="16">
        <f t="shared" si="21"/>
        <v>347.55183907986071</v>
      </c>
      <c r="L333" s="16">
        <f t="shared" si="22"/>
        <v>-0.29816092013930984</v>
      </c>
      <c r="M333" s="16">
        <f t="shared" si="23"/>
        <v>8.8899934298319896E-2</v>
      </c>
    </row>
    <row r="334" spans="6:13" x14ac:dyDescent="0.4">
      <c r="F334" s="1">
        <v>31503</v>
      </c>
      <c r="G334" s="16">
        <v>349.55</v>
      </c>
      <c r="H334" s="16">
        <f>_A*F334*F334+_B*F334+_C</f>
        <v>346.30493464602029</v>
      </c>
      <c r="I334">
        <f t="shared" si="20"/>
        <v>4</v>
      </c>
      <c r="J334" s="16" cm="1">
        <f t="array" ref="J334">INDEX(Sm,I334)</f>
        <v>2.6103146033777413</v>
      </c>
      <c r="K334" s="16">
        <f t="shared" si="21"/>
        <v>348.91524924939802</v>
      </c>
      <c r="L334" s="16">
        <f t="shared" si="22"/>
        <v>-0.63475075060199515</v>
      </c>
      <c r="M334" s="16">
        <f t="shared" si="23"/>
        <v>0.40290851538979627</v>
      </c>
    </row>
    <row r="335" spans="6:13" x14ac:dyDescent="0.4">
      <c r="F335" s="1">
        <v>31533</v>
      </c>
      <c r="G335" s="16">
        <v>350.22</v>
      </c>
      <c r="H335" s="16">
        <f>_A*F335*F335+_B*F335+_C</f>
        <v>346.42788475123535</v>
      </c>
      <c r="I335">
        <f t="shared" si="20"/>
        <v>5</v>
      </c>
      <c r="J335" s="16" cm="1">
        <f t="array" ref="J335">INDEX(Sm,I335)</f>
        <v>3.065687851218776</v>
      </c>
      <c r="K335" s="16">
        <f t="shared" si="21"/>
        <v>349.49357260245415</v>
      </c>
      <c r="L335" s="16">
        <f t="shared" si="22"/>
        <v>-0.72642739754587637</v>
      </c>
      <c r="M335" s="16">
        <f t="shared" si="23"/>
        <v>0.52769676390527476</v>
      </c>
    </row>
    <row r="336" spans="6:13" x14ac:dyDescent="0.4">
      <c r="F336" s="1">
        <v>31564</v>
      </c>
      <c r="G336" s="16">
        <v>349.55</v>
      </c>
      <c r="H336" s="16">
        <f>_A*F336*F336+_B*F336+_C</f>
        <v>346.55511860075558</v>
      </c>
      <c r="I336">
        <f t="shared" si="20"/>
        <v>6</v>
      </c>
      <c r="J336" s="16" cm="1">
        <f t="array" ref="J336">INDEX(Sm,I336)</f>
        <v>2.3467878996384672</v>
      </c>
      <c r="K336" s="16">
        <f t="shared" si="21"/>
        <v>348.90190650039403</v>
      </c>
      <c r="L336" s="16">
        <f t="shared" si="22"/>
        <v>-0.64809349960597729</v>
      </c>
      <c r="M336" s="16">
        <f t="shared" si="23"/>
        <v>0.42002518423152291</v>
      </c>
    </row>
    <row r="337" spans="6:13" x14ac:dyDescent="0.4">
      <c r="F337" s="1">
        <v>31594</v>
      </c>
      <c r="G337" s="16">
        <v>347.94</v>
      </c>
      <c r="H337" s="16">
        <f>_A*F337*F337+_B*F337+_C</f>
        <v>346.67842755912807</v>
      </c>
      <c r="I337">
        <f t="shared" si="20"/>
        <v>7</v>
      </c>
      <c r="J337" s="16" cm="1">
        <f t="array" ref="J337">INDEX(Sm,I337)</f>
        <v>0.7237382709437985</v>
      </c>
      <c r="K337" s="16">
        <f t="shared" si="21"/>
        <v>347.40216583007185</v>
      </c>
      <c r="L337" s="16">
        <f t="shared" si="22"/>
        <v>-0.53783416992814637</v>
      </c>
      <c r="M337" s="16">
        <f t="shared" si="23"/>
        <v>0.2892655943422982</v>
      </c>
    </row>
    <row r="338" spans="6:13" x14ac:dyDescent="0.4">
      <c r="F338" s="1">
        <v>31625</v>
      </c>
      <c r="G338" s="16">
        <v>345.9</v>
      </c>
      <c r="H338" s="16">
        <f>_A*F338*F338+_B*F338+_C</f>
        <v>346.80603222357763</v>
      </c>
      <c r="I338">
        <f t="shared" si="20"/>
        <v>8</v>
      </c>
      <c r="J338" s="16" cm="1">
        <f t="array" ref="J338">INDEX(Sm,I338)</f>
        <v>-1.3971602754957855</v>
      </c>
      <c r="K338" s="16">
        <f t="shared" si="21"/>
        <v>345.40887194808187</v>
      </c>
      <c r="L338" s="16">
        <f t="shared" si="22"/>
        <v>-0.49112805191811049</v>
      </c>
      <c r="M338" s="16">
        <f t="shared" si="23"/>
        <v>0.24120676338087824</v>
      </c>
    </row>
    <row r="339" spans="6:13" x14ac:dyDescent="0.4">
      <c r="F339" s="1">
        <v>31656</v>
      </c>
      <c r="G339" s="16">
        <v>344.85</v>
      </c>
      <c r="H339" s="16">
        <f>_A*F339*F339+_B*F339+_C</f>
        <v>346.9338253349585</v>
      </c>
      <c r="I339">
        <f t="shared" si="20"/>
        <v>9</v>
      </c>
      <c r="J339" s="16" cm="1">
        <f t="array" ref="J339">INDEX(Sm,I339)</f>
        <v>-3.1930865292764237</v>
      </c>
      <c r="K339" s="16">
        <f t="shared" si="21"/>
        <v>343.7407388056821</v>
      </c>
      <c r="L339" s="16">
        <f t="shared" si="22"/>
        <v>-1.1092611943179236</v>
      </c>
      <c r="M339" s="16">
        <f t="shared" si="23"/>
        <v>1.2304603972196262</v>
      </c>
    </row>
    <row r="340" spans="6:13" x14ac:dyDescent="0.4">
      <c r="F340" s="1">
        <v>31686</v>
      </c>
      <c r="G340" s="16">
        <v>344.17</v>
      </c>
      <c r="H340" s="16">
        <f>_A*F340*F340+_B*F340+_C</f>
        <v>347.05767551448639</v>
      </c>
      <c r="I340">
        <f t="shared" si="20"/>
        <v>10</v>
      </c>
      <c r="J340" s="16" cm="1">
        <f t="array" ref="J340">INDEX(Sm,I340)</f>
        <v>-3.3364130058083399</v>
      </c>
      <c r="K340" s="16">
        <f t="shared" si="21"/>
        <v>343.72126250867802</v>
      </c>
      <c r="L340" s="16">
        <f t="shared" si="22"/>
        <v>-0.44873749132199237</v>
      </c>
      <c r="M340" s="16">
        <f t="shared" si="23"/>
        <v>0.20136533611795518</v>
      </c>
    </row>
    <row r="341" spans="6:13" x14ac:dyDescent="0.4">
      <c r="F341" s="1">
        <v>31717</v>
      </c>
      <c r="G341" s="16">
        <v>345.66</v>
      </c>
      <c r="H341" s="16">
        <f>_A*F341*F341+_B*F341+_C</f>
        <v>347.1858394407966</v>
      </c>
      <c r="I341">
        <f t="shared" si="20"/>
        <v>11</v>
      </c>
      <c r="J341" s="16" cm="1">
        <f t="array" ref="J341">INDEX(Sm,I341)</f>
        <v>-2.0587659563291303</v>
      </c>
      <c r="K341" s="16">
        <f t="shared" si="21"/>
        <v>345.12707348446747</v>
      </c>
      <c r="L341" s="16">
        <f t="shared" si="22"/>
        <v>-0.53292651553255155</v>
      </c>
      <c r="M341" s="16">
        <f t="shared" si="23"/>
        <v>0.28401067095766691</v>
      </c>
    </row>
    <row r="342" spans="6:13" x14ac:dyDescent="0.4">
      <c r="F342" s="1">
        <v>31747</v>
      </c>
      <c r="G342" s="16">
        <v>346.9</v>
      </c>
      <c r="H342" s="16">
        <f>_A*F342*F342+_B*F342+_C</f>
        <v>347.31004847348197</v>
      </c>
      <c r="I342">
        <f t="shared" si="20"/>
        <v>12</v>
      </c>
      <c r="J342" s="16" cm="1">
        <f t="array" ref="J342">INDEX(Sm,I342)</f>
        <v>-0.89092746411398172</v>
      </c>
      <c r="K342" s="16">
        <f t="shared" si="21"/>
        <v>346.41912100936798</v>
      </c>
      <c r="L342" s="16">
        <f t="shared" si="22"/>
        <v>-0.48087899063199302</v>
      </c>
      <c r="M342" s="16">
        <f t="shared" si="23"/>
        <v>0.23124460363124444</v>
      </c>
    </row>
    <row r="343" spans="6:13" x14ac:dyDescent="0.4">
      <c r="F343" s="1">
        <v>31778</v>
      </c>
      <c r="G343" s="16">
        <v>348.02</v>
      </c>
      <c r="H343" s="16">
        <f>_A*F343*F343+_B*F343+_C</f>
        <v>347.43858321472146</v>
      </c>
      <c r="I343">
        <f t="shared" si="20"/>
        <v>1</v>
      </c>
      <c r="J343" s="16" cm="1">
        <f t="array" ref="J343">INDEX(Sm,I343)</f>
        <v>6.1437948016995841E-2</v>
      </c>
      <c r="K343" s="16">
        <f t="shared" si="21"/>
        <v>347.50002116273845</v>
      </c>
      <c r="L343" s="16">
        <f t="shared" si="22"/>
        <v>-0.51997883726153304</v>
      </c>
      <c r="M343" s="16">
        <f t="shared" si="23"/>
        <v>0.27037799119985584</v>
      </c>
    </row>
    <row r="344" spans="6:13" x14ac:dyDescent="0.4">
      <c r="F344" s="1">
        <v>31809</v>
      </c>
      <c r="G344" s="16">
        <v>348.48</v>
      </c>
      <c r="H344" s="16">
        <f>_A*F344*F344+_B*F344+_C</f>
        <v>347.56730640289231</v>
      </c>
      <c r="I344">
        <f t="shared" si="20"/>
        <v>2</v>
      </c>
      <c r="J344" s="16" cm="1">
        <f t="array" ref="J344">INDEX(Sm,I344)</f>
        <v>0.69461918939657585</v>
      </c>
      <c r="K344" s="16">
        <f t="shared" si="21"/>
        <v>348.26192559228889</v>
      </c>
      <c r="L344" s="16">
        <f t="shared" si="22"/>
        <v>-0.21807440771112852</v>
      </c>
      <c r="M344" s="16">
        <f t="shared" si="23"/>
        <v>4.7556447298559505E-2</v>
      </c>
    </row>
    <row r="345" spans="6:13" x14ac:dyDescent="0.4">
      <c r="F345" s="1">
        <v>31837</v>
      </c>
      <c r="G345" s="16">
        <v>349.42</v>
      </c>
      <c r="H345" s="16">
        <f>_A*F345*F345+_B*F345+_C</f>
        <v>347.68373448249429</v>
      </c>
      <c r="I345">
        <f t="shared" si="20"/>
        <v>3</v>
      </c>
      <c r="J345" s="16" cm="1">
        <f t="array" ref="J345">INDEX(Sm,I345)</f>
        <v>1.3737674684313066</v>
      </c>
      <c r="K345" s="16">
        <f t="shared" si="21"/>
        <v>349.0575019509256</v>
      </c>
      <c r="L345" s="16">
        <f t="shared" si="22"/>
        <v>-0.36249804907441785</v>
      </c>
      <c r="M345" s="16">
        <f t="shared" si="23"/>
        <v>0.13140483558275906</v>
      </c>
    </row>
    <row r="346" spans="6:13" x14ac:dyDescent="0.4">
      <c r="F346" s="1">
        <v>31868</v>
      </c>
      <c r="G346" s="16">
        <v>350.98</v>
      </c>
      <c r="H346" s="16">
        <f>_A*F346*F346+_B*F346+_C</f>
        <v>347.81281632772794</v>
      </c>
      <c r="I346">
        <f t="shared" si="20"/>
        <v>4</v>
      </c>
      <c r="J346" s="16" cm="1">
        <f t="array" ref="J346">INDEX(Sm,I346)</f>
        <v>2.6103146033777413</v>
      </c>
      <c r="K346" s="16">
        <f t="shared" si="21"/>
        <v>350.42313093110567</v>
      </c>
      <c r="L346" s="16">
        <f t="shared" si="22"/>
        <v>-0.5568690688943434</v>
      </c>
      <c r="M346" s="16">
        <f t="shared" si="23"/>
        <v>0.31010315989125298</v>
      </c>
    </row>
    <row r="347" spans="6:13" x14ac:dyDescent="0.4">
      <c r="F347" s="1">
        <v>31898</v>
      </c>
      <c r="G347" s="16">
        <v>351.85</v>
      </c>
      <c r="H347" s="16">
        <f>_A*F347*F347+_B*F347+_C</f>
        <v>347.93791366904884</v>
      </c>
      <c r="I347">
        <f t="shared" si="20"/>
        <v>5</v>
      </c>
      <c r="J347" s="16" cm="1">
        <f t="array" ref="J347">INDEX(Sm,I347)</f>
        <v>3.065687851218776</v>
      </c>
      <c r="K347" s="16">
        <f t="shared" si="21"/>
        <v>351.00360152026764</v>
      </c>
      <c r="L347" s="16">
        <f t="shared" si="22"/>
        <v>-0.84639847973238602</v>
      </c>
      <c r="M347" s="16">
        <f t="shared" si="23"/>
        <v>0.71639038649329423</v>
      </c>
    </row>
    <row r="348" spans="6:13" x14ac:dyDescent="0.4">
      <c r="F348" s="1">
        <v>31929</v>
      </c>
      <c r="G348" s="16">
        <v>351.26</v>
      </c>
      <c r="H348" s="16">
        <f>_A*F348*F348+_B*F348+_C</f>
        <v>348.06736632921184</v>
      </c>
      <c r="I348">
        <f t="shared" si="20"/>
        <v>6</v>
      </c>
      <c r="J348" s="16" cm="1">
        <f t="array" ref="J348">INDEX(Sm,I348)</f>
        <v>2.3467878996384672</v>
      </c>
      <c r="K348" s="16">
        <f t="shared" si="21"/>
        <v>350.41415422885029</v>
      </c>
      <c r="L348" s="16">
        <f t="shared" si="22"/>
        <v>-0.84584577114969761</v>
      </c>
      <c r="M348" s="16">
        <f t="shared" si="23"/>
        <v>0.71545506857182661</v>
      </c>
    </row>
    <row r="349" spans="6:13" x14ac:dyDescent="0.4">
      <c r="F349" s="1">
        <v>31959</v>
      </c>
      <c r="G349" s="16">
        <v>349.51</v>
      </c>
      <c r="H349" s="16">
        <f>_A*F349*F349+_B*F349+_C</f>
        <v>348.19282252369015</v>
      </c>
      <c r="I349">
        <f t="shared" si="20"/>
        <v>7</v>
      </c>
      <c r="J349" s="16" cm="1">
        <f t="array" ref="J349">INDEX(Sm,I349)</f>
        <v>0.7237382709437985</v>
      </c>
      <c r="K349" s="16">
        <f t="shared" si="21"/>
        <v>348.91656079463394</v>
      </c>
      <c r="L349" s="16">
        <f t="shared" si="22"/>
        <v>-0.5934392053660531</v>
      </c>
      <c r="M349" s="16">
        <f t="shared" si="23"/>
        <v>0.35217009046549252</v>
      </c>
    </row>
    <row r="350" spans="6:13" x14ac:dyDescent="0.4">
      <c r="F350" s="1">
        <v>31990</v>
      </c>
      <c r="G350" s="16">
        <v>348.1</v>
      </c>
      <c r="H350" s="16">
        <f>_A*F350*F350+_B*F350+_C</f>
        <v>348.32264599878249</v>
      </c>
      <c r="I350">
        <f t="shared" si="20"/>
        <v>8</v>
      </c>
      <c r="J350" s="16" cm="1">
        <f t="array" ref="J350">INDEX(Sm,I350)</f>
        <v>-1.3971602754957855</v>
      </c>
      <c r="K350" s="16">
        <f t="shared" si="21"/>
        <v>346.92548572328673</v>
      </c>
      <c r="L350" s="16">
        <f t="shared" si="22"/>
        <v>-1.1745142767132961</v>
      </c>
      <c r="M350" s="16">
        <f t="shared" si="23"/>
        <v>1.3794837862033571</v>
      </c>
    </row>
    <row r="351" spans="6:13" x14ac:dyDescent="0.4">
      <c r="F351" s="1">
        <v>32021</v>
      </c>
      <c r="G351" s="16">
        <v>346.45</v>
      </c>
      <c r="H351" s="16">
        <f>_A*F351*F351+_B*F351+_C</f>
        <v>348.45265792080602</v>
      </c>
      <c r="I351">
        <f t="shared" si="20"/>
        <v>9</v>
      </c>
      <c r="J351" s="16" cm="1">
        <f t="array" ref="J351">INDEX(Sm,I351)</f>
        <v>-3.1930865292764237</v>
      </c>
      <c r="K351" s="16">
        <f t="shared" si="21"/>
        <v>345.25957139152962</v>
      </c>
      <c r="L351" s="16">
        <f t="shared" si="22"/>
        <v>-1.1904286084703699</v>
      </c>
      <c r="M351" s="16">
        <f t="shared" si="23"/>
        <v>1.4171202718647014</v>
      </c>
    </row>
    <row r="352" spans="6:13" x14ac:dyDescent="0.4">
      <c r="F352" s="1">
        <v>32051</v>
      </c>
      <c r="G352" s="16">
        <v>346.36</v>
      </c>
      <c r="H352" s="16">
        <f>_A*F352*F352+_B*F352+_C</f>
        <v>348.57865533643985</v>
      </c>
      <c r="I352">
        <f t="shared" si="20"/>
        <v>10</v>
      </c>
      <c r="J352" s="16" cm="1">
        <f t="array" ref="J352">INDEX(Sm,I352)</f>
        <v>-3.3364130058083399</v>
      </c>
      <c r="K352" s="16">
        <f t="shared" si="21"/>
        <v>345.24224233063148</v>
      </c>
      <c r="L352" s="16">
        <f t="shared" si="22"/>
        <v>-1.1177576693685296</v>
      </c>
      <c r="M352" s="16">
        <f t="shared" si="23"/>
        <v>1.2493822074321672</v>
      </c>
    </row>
    <row r="353" spans="6:13" x14ac:dyDescent="0.4">
      <c r="F353" s="1">
        <v>32082</v>
      </c>
      <c r="G353" s="16">
        <v>347.81</v>
      </c>
      <c r="H353" s="16">
        <f>_A*F353*F353+_B*F353+_C</f>
        <v>348.70903807339278</v>
      </c>
      <c r="I353">
        <f t="shared" si="20"/>
        <v>11</v>
      </c>
      <c r="J353" s="16" cm="1">
        <f t="array" ref="J353">INDEX(Sm,I353)</f>
        <v>-2.0587659563291303</v>
      </c>
      <c r="K353" s="16">
        <f t="shared" si="21"/>
        <v>346.65027211706365</v>
      </c>
      <c r="L353" s="16">
        <f t="shared" si="22"/>
        <v>-1.1597278829363518</v>
      </c>
      <c r="M353" s="16">
        <f t="shared" si="23"/>
        <v>1.3449687624600324</v>
      </c>
    </row>
    <row r="354" spans="6:13" x14ac:dyDescent="0.4">
      <c r="F354" s="1">
        <v>32112</v>
      </c>
      <c r="G354" s="16">
        <v>348.96</v>
      </c>
      <c r="H354" s="16">
        <f>_A*F354*F354+_B*F354+_C</f>
        <v>348.83539434218397</v>
      </c>
      <c r="I354">
        <f t="shared" si="20"/>
        <v>12</v>
      </c>
      <c r="J354" s="16" cm="1">
        <f t="array" ref="J354">INDEX(Sm,I354)</f>
        <v>-0.89092746411398172</v>
      </c>
      <c r="K354" s="16">
        <f t="shared" si="21"/>
        <v>347.94446687806999</v>
      </c>
      <c r="L354" s="16">
        <f t="shared" si="22"/>
        <v>-1.015533121929991</v>
      </c>
      <c r="M354" s="16">
        <f t="shared" si="23"/>
        <v>1.0313075217368739</v>
      </c>
    </row>
    <row r="355" spans="6:13" x14ac:dyDescent="0.4">
      <c r="F355" s="1">
        <v>32143</v>
      </c>
      <c r="G355" s="16">
        <v>350.43</v>
      </c>
      <c r="H355" s="16">
        <f>_A*F355*F355+_B*F355+_C</f>
        <v>348.96614789406624</v>
      </c>
      <c r="I355">
        <f t="shared" si="20"/>
        <v>1</v>
      </c>
      <c r="J355" s="16" cm="1">
        <f t="array" ref="J355">INDEX(Sm,I355)</f>
        <v>6.1437948016995841E-2</v>
      </c>
      <c r="K355" s="16">
        <f t="shared" si="21"/>
        <v>349.02758584208323</v>
      </c>
      <c r="L355" s="16">
        <f t="shared" si="22"/>
        <v>-1.4024141579167804</v>
      </c>
      <c r="M355" s="16">
        <f t="shared" si="23"/>
        <v>1.9667654703254323</v>
      </c>
    </row>
    <row r="356" spans="6:13" x14ac:dyDescent="0.4">
      <c r="F356" s="1">
        <v>32174</v>
      </c>
      <c r="G356" s="16">
        <v>351.73</v>
      </c>
      <c r="H356" s="16">
        <f>_A*F356*F356+_B*F356+_C</f>
        <v>349.09708989287981</v>
      </c>
      <c r="I356">
        <f t="shared" si="20"/>
        <v>2</v>
      </c>
      <c r="J356" s="16" cm="1">
        <f t="array" ref="J356">INDEX(Sm,I356)</f>
        <v>0.69461918939657585</v>
      </c>
      <c r="K356" s="16">
        <f t="shared" si="21"/>
        <v>349.79170908227638</v>
      </c>
      <c r="L356" s="16">
        <f t="shared" si="22"/>
        <v>-1.9382909177236343</v>
      </c>
      <c r="M356" s="16">
        <f t="shared" si="23"/>
        <v>3.7569716817299281</v>
      </c>
    </row>
    <row r="357" spans="6:13" x14ac:dyDescent="0.4">
      <c r="F357" s="1">
        <v>32203</v>
      </c>
      <c r="G357" s="16">
        <v>352.22</v>
      </c>
      <c r="H357" s="16">
        <f>_A*F357*F357+_B*F357+_C</f>
        <v>349.21975462312287</v>
      </c>
      <c r="I357">
        <f t="shared" si="20"/>
        <v>3</v>
      </c>
      <c r="J357" s="16" cm="1">
        <f t="array" ref="J357">INDEX(Sm,I357)</f>
        <v>1.3737674684313066</v>
      </c>
      <c r="K357" s="16">
        <f t="shared" si="21"/>
        <v>350.59352209155418</v>
      </c>
      <c r="L357" s="16">
        <f t="shared" si="22"/>
        <v>-1.6264779084458496</v>
      </c>
      <c r="M357" s="16">
        <f t="shared" si="23"/>
        <v>2.6454303866623854</v>
      </c>
    </row>
    <row r="358" spans="6:13" x14ac:dyDescent="0.4">
      <c r="F358" s="1">
        <v>32234</v>
      </c>
      <c r="G358" s="16">
        <v>353.59</v>
      </c>
      <c r="H358" s="16">
        <f>_A*F358*F358+_B*F358+_C</f>
        <v>349.35106135793251</v>
      </c>
      <c r="I358">
        <f t="shared" si="20"/>
        <v>4</v>
      </c>
      <c r="J358" s="16" cm="1">
        <f t="array" ref="J358">INDEX(Sm,I358)</f>
        <v>2.6103146033777413</v>
      </c>
      <c r="K358" s="16">
        <f t="shared" si="21"/>
        <v>351.96137596131024</v>
      </c>
      <c r="L358" s="16">
        <f t="shared" si="22"/>
        <v>-1.6286240386897362</v>
      </c>
      <c r="M358" s="16">
        <f t="shared" si="23"/>
        <v>2.6524162593980671</v>
      </c>
    </row>
    <row r="359" spans="6:13" x14ac:dyDescent="0.4">
      <c r="F359" s="1">
        <v>32264</v>
      </c>
      <c r="G359" s="16">
        <v>354.22</v>
      </c>
      <c r="H359" s="16">
        <f>_A*F359*F359+_B*F359+_C</f>
        <v>349.47831181819794</v>
      </c>
      <c r="I359">
        <f t="shared" si="20"/>
        <v>5</v>
      </c>
      <c r="J359" s="16" cm="1">
        <f t="array" ref="J359">INDEX(Sm,I359)</f>
        <v>3.065687851218776</v>
      </c>
      <c r="K359" s="16">
        <f t="shared" si="21"/>
        <v>352.54399966941673</v>
      </c>
      <c r="L359" s="16">
        <f t="shared" si="22"/>
        <v>-1.6760003305832925</v>
      </c>
      <c r="M359" s="16">
        <f t="shared" si="23"/>
        <v>2.8089771081153057</v>
      </c>
    </row>
    <row r="360" spans="6:13" x14ac:dyDescent="0.4">
      <c r="F360" s="1">
        <v>32295</v>
      </c>
      <c r="G360" s="16">
        <v>353.8</v>
      </c>
      <c r="H360" s="16">
        <f>_A*F360*F360+_B*F360+_C</f>
        <v>349.60998936793692</v>
      </c>
      <c r="I360">
        <f t="shared" si="20"/>
        <v>6</v>
      </c>
      <c r="J360" s="16" cm="1">
        <f t="array" ref="J360">INDEX(Sm,I360)</f>
        <v>2.3467878996384672</v>
      </c>
      <c r="K360" s="16">
        <f t="shared" si="21"/>
        <v>351.95677726757538</v>
      </c>
      <c r="L360" s="16">
        <f t="shared" si="22"/>
        <v>-1.8432227324246355</v>
      </c>
      <c r="M360" s="16">
        <f t="shared" si="23"/>
        <v>3.3974700413269394</v>
      </c>
    </row>
    <row r="361" spans="6:13" x14ac:dyDescent="0.4">
      <c r="F361" s="1">
        <v>32325</v>
      </c>
      <c r="G361" s="16">
        <v>352.38</v>
      </c>
      <c r="H361" s="16">
        <f>_A*F361*F361+_B*F361+_C</f>
        <v>349.73759868135977</v>
      </c>
      <c r="I361">
        <f t="shared" si="20"/>
        <v>7</v>
      </c>
      <c r="J361" s="16" cm="1">
        <f t="array" ref="J361">INDEX(Sm,I361)</f>
        <v>0.7237382709437985</v>
      </c>
      <c r="K361" s="16">
        <f t="shared" si="21"/>
        <v>350.46133695230355</v>
      </c>
      <c r="L361" s="16">
        <f t="shared" si="22"/>
        <v>-1.918663047696441</v>
      </c>
      <c r="M361" s="16">
        <f t="shared" si="23"/>
        <v>3.6812678905957954</v>
      </c>
    </row>
    <row r="362" spans="6:13" x14ac:dyDescent="0.4">
      <c r="F362" s="1">
        <v>32356</v>
      </c>
      <c r="G362" s="16">
        <v>350.43</v>
      </c>
      <c r="H362" s="16">
        <f>_A*F362*F362+_B*F362+_C</f>
        <v>349.86964704602804</v>
      </c>
      <c r="I362">
        <f t="shared" si="20"/>
        <v>8</v>
      </c>
      <c r="J362" s="16" cm="1">
        <f t="array" ref="J362">INDEX(Sm,I362)</f>
        <v>-1.3971602754957855</v>
      </c>
      <c r="K362" s="16">
        <f t="shared" si="21"/>
        <v>348.47248677053227</v>
      </c>
      <c r="L362" s="16">
        <f t="shared" si="22"/>
        <v>-1.957513229467736</v>
      </c>
      <c r="M362" s="16">
        <f t="shared" si="23"/>
        <v>3.8318580435412053</v>
      </c>
    </row>
    <row r="363" spans="6:13" x14ac:dyDescent="0.4">
      <c r="F363" s="1">
        <v>32387</v>
      </c>
      <c r="G363" s="16">
        <v>348.73</v>
      </c>
      <c r="H363" s="16">
        <f>_A*F363*F363+_B*F363+_C</f>
        <v>350.00188385762766</v>
      </c>
      <c r="I363">
        <f t="shared" si="20"/>
        <v>9</v>
      </c>
      <c r="J363" s="16" cm="1">
        <f t="array" ref="J363">INDEX(Sm,I363)</f>
        <v>-3.1930865292764237</v>
      </c>
      <c r="K363" s="16">
        <f t="shared" si="21"/>
        <v>346.80879732835126</v>
      </c>
      <c r="L363" s="16">
        <f t="shared" si="22"/>
        <v>-1.9212026716487571</v>
      </c>
      <c r="M363" s="16">
        <f t="shared" si="23"/>
        <v>3.691019705550322</v>
      </c>
    </row>
    <row r="364" spans="6:13" x14ac:dyDescent="0.4">
      <c r="F364" s="1">
        <v>32417</v>
      </c>
      <c r="G364" s="16">
        <v>348.88</v>
      </c>
      <c r="H364" s="16">
        <f>_A*F364*F364+_B*F364+_C</f>
        <v>350.13003439220597</v>
      </c>
      <c r="I364">
        <f t="shared" si="20"/>
        <v>10</v>
      </c>
      <c r="J364" s="16" cm="1">
        <f t="array" ref="J364">INDEX(Sm,I364)</f>
        <v>-3.3364130058083399</v>
      </c>
      <c r="K364" s="16">
        <f t="shared" si="21"/>
        <v>346.7936213863976</v>
      </c>
      <c r="L364" s="16">
        <f t="shared" si="22"/>
        <v>-2.0863786136023919</v>
      </c>
      <c r="M364" s="16">
        <f t="shared" si="23"/>
        <v>4.3529757192974383</v>
      </c>
    </row>
    <row r="365" spans="6:13" x14ac:dyDescent="0.4">
      <c r="F365" s="1">
        <v>32448</v>
      </c>
      <c r="G365" s="16">
        <v>350.07</v>
      </c>
      <c r="H365" s="16">
        <f>_A*F365*F365+_B*F365+_C</f>
        <v>350.26264201873488</v>
      </c>
      <c r="I365">
        <f t="shared" si="20"/>
        <v>11</v>
      </c>
      <c r="J365" s="16" cm="1">
        <f t="array" ref="J365">INDEX(Sm,I365)</f>
        <v>-2.0587659563291303</v>
      </c>
      <c r="K365" s="16">
        <f t="shared" si="21"/>
        <v>348.20387606240575</v>
      </c>
      <c r="L365" s="16">
        <f t="shared" si="22"/>
        <v>-1.8661239375942387</v>
      </c>
      <c r="M365" s="16">
        <f t="shared" si="23"/>
        <v>3.482418550462226</v>
      </c>
    </row>
    <row r="366" spans="6:13" x14ac:dyDescent="0.4">
      <c r="F366" s="1">
        <v>32478</v>
      </c>
      <c r="G366" s="16">
        <v>351.34</v>
      </c>
      <c r="H366" s="16">
        <f>_A*F366*F366+_B*F366+_C</f>
        <v>350.39115140647061</v>
      </c>
      <c r="I366">
        <f t="shared" si="20"/>
        <v>12</v>
      </c>
      <c r="J366" s="16" cm="1">
        <f t="array" ref="J366">INDEX(Sm,I366)</f>
        <v>-0.89092746411398172</v>
      </c>
      <c r="K366" s="16">
        <f t="shared" si="21"/>
        <v>349.50022394235663</v>
      </c>
      <c r="L366" s="16">
        <f t="shared" si="22"/>
        <v>-1.8397760576433484</v>
      </c>
      <c r="M366" s="16">
        <f t="shared" si="23"/>
        <v>3.3847759422777011</v>
      </c>
    </row>
    <row r="367" spans="6:13" x14ac:dyDescent="0.4">
      <c r="F367" s="1">
        <v>32509</v>
      </c>
      <c r="G367" s="16">
        <v>352.76</v>
      </c>
      <c r="H367" s="16">
        <f>_A*F367*F367+_B*F367+_C</f>
        <v>350.52412984792886</v>
      </c>
      <c r="I367">
        <f t="shared" si="20"/>
        <v>1</v>
      </c>
      <c r="J367" s="16" cm="1">
        <f t="array" ref="J367">INDEX(Sm,I367)</f>
        <v>6.1437948016995841E-2</v>
      </c>
      <c r="K367" s="16">
        <f t="shared" si="21"/>
        <v>350.58556779594585</v>
      </c>
      <c r="L367" s="16">
        <f t="shared" si="22"/>
        <v>-2.1744322040541419</v>
      </c>
      <c r="M367" s="16">
        <f t="shared" si="23"/>
        <v>4.7281554100277532</v>
      </c>
    </row>
    <row r="368" spans="6:13" x14ac:dyDescent="0.4">
      <c r="F368" s="1">
        <v>32540</v>
      </c>
      <c r="G368" s="16">
        <v>353.07</v>
      </c>
      <c r="H368" s="16">
        <f>_A*F368*F368+_B*F368+_C</f>
        <v>350.65729673631841</v>
      </c>
      <c r="I368">
        <f t="shared" si="20"/>
        <v>2</v>
      </c>
      <c r="J368" s="16" cm="1">
        <f t="array" ref="J368">INDEX(Sm,I368)</f>
        <v>0.69461918939657585</v>
      </c>
      <c r="K368" s="16">
        <f t="shared" si="21"/>
        <v>351.35191592571499</v>
      </c>
      <c r="L368" s="16">
        <f t="shared" si="22"/>
        <v>-1.7180840742850023</v>
      </c>
      <c r="M368" s="16">
        <f t="shared" si="23"/>
        <v>2.9518128863117532</v>
      </c>
    </row>
    <row r="369" spans="6:13" x14ac:dyDescent="0.4">
      <c r="F369" s="1">
        <v>32568</v>
      </c>
      <c r="G369" s="16">
        <v>353.68</v>
      </c>
      <c r="H369" s="16">
        <f>_A*F369*F369+_B*F369+_C</f>
        <v>350.77773848063407</v>
      </c>
      <c r="I369">
        <f t="shared" si="20"/>
        <v>3</v>
      </c>
      <c r="J369" s="16" cm="1">
        <f t="array" ref="J369">INDEX(Sm,I369)</f>
        <v>1.3737674684313066</v>
      </c>
      <c r="K369" s="16">
        <f t="shared" si="21"/>
        <v>352.15150594906538</v>
      </c>
      <c r="L369" s="16">
        <f t="shared" si="22"/>
        <v>-1.5284940509346256</v>
      </c>
      <c r="M369" s="16">
        <f t="shared" si="23"/>
        <v>2.336294063742542</v>
      </c>
    </row>
    <row r="370" spans="6:13" x14ac:dyDescent="0.4">
      <c r="F370" s="1">
        <v>32599</v>
      </c>
      <c r="G370" s="16">
        <v>355.42</v>
      </c>
      <c r="H370" s="16">
        <f>_A*F370*F370+_B*F370+_C</f>
        <v>350.91126402608643</v>
      </c>
      <c r="I370">
        <f t="shared" si="20"/>
        <v>4</v>
      </c>
      <c r="J370" s="16" cm="1">
        <f t="array" ref="J370">INDEX(Sm,I370)</f>
        <v>2.6103146033777413</v>
      </c>
      <c r="K370" s="16">
        <f t="shared" si="21"/>
        <v>353.52157862946416</v>
      </c>
      <c r="L370" s="16">
        <f t="shared" si="22"/>
        <v>-1.898421370535857</v>
      </c>
      <c r="M370" s="16">
        <f t="shared" si="23"/>
        <v>3.6040037001072416</v>
      </c>
    </row>
    <row r="371" spans="6:13" x14ac:dyDescent="0.4">
      <c r="F371" s="1">
        <v>32629</v>
      </c>
      <c r="G371" s="16">
        <v>355.67</v>
      </c>
      <c r="H371" s="16">
        <f>_A*F371*F371+_B*F371+_C</f>
        <v>351.04066172245774</v>
      </c>
      <c r="I371">
        <f t="shared" si="20"/>
        <v>5</v>
      </c>
      <c r="J371" s="16" cm="1">
        <f t="array" ref="J371">INDEX(Sm,I371)</f>
        <v>3.065687851218776</v>
      </c>
      <c r="K371" s="16">
        <f t="shared" si="21"/>
        <v>354.10634957367654</v>
      </c>
      <c r="L371" s="16">
        <f t="shared" si="22"/>
        <v>-1.5636504263234769</v>
      </c>
      <c r="M371" s="16">
        <f t="shared" si="23"/>
        <v>2.4450026557415914</v>
      </c>
    </row>
    <row r="372" spans="6:13" x14ac:dyDescent="0.4">
      <c r="F372" s="1">
        <v>32660</v>
      </c>
      <c r="G372" s="16">
        <v>355.12</v>
      </c>
      <c r="H372" s="16">
        <f>_A*F372*F372+_B*F372+_C</f>
        <v>351.17455808283944</v>
      </c>
      <c r="I372">
        <f t="shared" si="20"/>
        <v>6</v>
      </c>
      <c r="J372" s="16" cm="1">
        <f t="array" ref="J372">INDEX(Sm,I372)</f>
        <v>2.3467878996384672</v>
      </c>
      <c r="K372" s="16">
        <f t="shared" si="21"/>
        <v>353.5213459824779</v>
      </c>
      <c r="L372" s="16">
        <f t="shared" si="22"/>
        <v>-1.598654017522108</v>
      </c>
      <c r="M372" s="16">
        <f t="shared" si="23"/>
        <v>2.5556946677395764</v>
      </c>
    </row>
    <row r="373" spans="6:13" x14ac:dyDescent="0.4">
      <c r="F373" s="1">
        <v>32690</v>
      </c>
      <c r="G373" s="16">
        <v>353.9</v>
      </c>
      <c r="H373" s="16">
        <f>_A*F373*F373+_B*F373+_C</f>
        <v>351.30431463236818</v>
      </c>
      <c r="I373">
        <f t="shared" si="20"/>
        <v>7</v>
      </c>
      <c r="J373" s="16" cm="1">
        <f t="array" ref="J373">INDEX(Sm,I373)</f>
        <v>0.7237382709437985</v>
      </c>
      <c r="K373" s="16">
        <f t="shared" si="21"/>
        <v>352.02805290331196</v>
      </c>
      <c r="L373" s="16">
        <f t="shared" si="22"/>
        <v>-1.8719470966880181</v>
      </c>
      <c r="M373" s="16">
        <f t="shared" si="23"/>
        <v>3.5041859327987002</v>
      </c>
    </row>
    <row r="374" spans="6:13" x14ac:dyDescent="0.4">
      <c r="F374" s="1">
        <v>32721</v>
      </c>
      <c r="G374" s="16">
        <v>351.67</v>
      </c>
      <c r="H374" s="16">
        <f>_A*F374*F374+_B*F374+_C</f>
        <v>351.43858180767916</v>
      </c>
      <c r="I374">
        <f t="shared" si="20"/>
        <v>8</v>
      </c>
      <c r="J374" s="16" cm="1">
        <f t="array" ref="J374">INDEX(Sm,I374)</f>
        <v>-1.3971602754957855</v>
      </c>
      <c r="K374" s="16">
        <f t="shared" si="21"/>
        <v>350.04142153218339</v>
      </c>
      <c r="L374" s="16">
        <f t="shared" si="22"/>
        <v>-1.6285784678166237</v>
      </c>
      <c r="M374" s="16">
        <f t="shared" si="23"/>
        <v>2.6522678258359416</v>
      </c>
    </row>
    <row r="375" spans="6:13" x14ac:dyDescent="0.4">
      <c r="F375" s="1">
        <v>32752</v>
      </c>
      <c r="G375" s="16">
        <v>349.81</v>
      </c>
      <c r="H375" s="16">
        <f>_A*F375*F375+_B*F375+_C</f>
        <v>351.5730374299215</v>
      </c>
      <c r="I375">
        <f t="shared" si="20"/>
        <v>9</v>
      </c>
      <c r="J375" s="16" cm="1">
        <f t="array" ref="J375">INDEX(Sm,I375)</f>
        <v>-3.1930865292764237</v>
      </c>
      <c r="K375" s="16">
        <f t="shared" si="21"/>
        <v>348.3799509006451</v>
      </c>
      <c r="L375" s="16">
        <f t="shared" si="22"/>
        <v>-1.4300490993549033</v>
      </c>
      <c r="M375" s="16">
        <f t="shared" si="23"/>
        <v>2.04504042656577</v>
      </c>
    </row>
    <row r="376" spans="6:13" x14ac:dyDescent="0.4">
      <c r="F376" s="1">
        <v>32782</v>
      </c>
      <c r="G376" s="16">
        <v>349.99</v>
      </c>
      <c r="H376" s="16">
        <f>_A*F376*F376+_B*F376+_C</f>
        <v>351.70333520060569</v>
      </c>
      <c r="I376">
        <f t="shared" si="20"/>
        <v>10</v>
      </c>
      <c r="J376" s="16" cm="1">
        <f t="array" ref="J376">INDEX(Sm,I376)</f>
        <v>-3.3364130058083399</v>
      </c>
      <c r="K376" s="16">
        <f t="shared" si="21"/>
        <v>348.36692219479733</v>
      </c>
      <c r="L376" s="16">
        <f t="shared" si="22"/>
        <v>-1.6230778052026835</v>
      </c>
      <c r="M376" s="16">
        <f t="shared" si="23"/>
        <v>2.6343815617415602</v>
      </c>
    </row>
    <row r="377" spans="6:13" x14ac:dyDescent="0.4">
      <c r="F377" s="1">
        <v>32813</v>
      </c>
      <c r="G377" s="16">
        <v>351.3</v>
      </c>
      <c r="H377" s="16">
        <f>_A*F377*F377+_B*F377+_C</f>
        <v>351.83816163777732</v>
      </c>
      <c r="I377">
        <f t="shared" si="20"/>
        <v>11</v>
      </c>
      <c r="J377" s="16" cm="1">
        <f t="array" ref="J377">INDEX(Sm,I377)</f>
        <v>-2.0587659563291303</v>
      </c>
      <c r="K377" s="16">
        <f t="shared" si="21"/>
        <v>349.77939568144819</v>
      </c>
      <c r="L377" s="16">
        <f t="shared" si="22"/>
        <v>-1.5206043185518183</v>
      </c>
      <c r="M377" s="16">
        <f t="shared" si="23"/>
        <v>2.31223749359844</v>
      </c>
    </row>
    <row r="378" spans="6:13" x14ac:dyDescent="0.4">
      <c r="F378" s="1">
        <v>32843</v>
      </c>
      <c r="G378" s="16">
        <v>352.52</v>
      </c>
      <c r="H378" s="16">
        <f>_A*F378*F378+_B*F378+_C</f>
        <v>351.96881826161894</v>
      </c>
      <c r="I378">
        <f t="shared" si="20"/>
        <v>12</v>
      </c>
      <c r="J378" s="16" cm="1">
        <f t="array" ref="J378">INDEX(Sm,I378)</f>
        <v>-0.89092746411398172</v>
      </c>
      <c r="K378" s="16">
        <f t="shared" si="21"/>
        <v>351.07789079750495</v>
      </c>
      <c r="L378" s="16">
        <f t="shared" si="22"/>
        <v>-1.4421092024950326</v>
      </c>
      <c r="M378" s="16">
        <f t="shared" si="23"/>
        <v>2.0796789519208589</v>
      </c>
    </row>
    <row r="379" spans="6:13" x14ac:dyDescent="0.4">
      <c r="F379" s="1">
        <v>32874</v>
      </c>
      <c r="G379" s="16">
        <v>353.66</v>
      </c>
      <c r="H379" s="16">
        <f>_A*F379*F379+_B*F379+_C</f>
        <v>352.1040155137199</v>
      </c>
      <c r="I379">
        <f t="shared" si="20"/>
        <v>1</v>
      </c>
      <c r="J379" s="16" cm="1">
        <f t="array" ref="J379">INDEX(Sm,I379)</f>
        <v>6.1437948016995841E-2</v>
      </c>
      <c r="K379" s="16">
        <f t="shared" si="21"/>
        <v>352.16545346173689</v>
      </c>
      <c r="L379" s="16">
        <f t="shared" si="22"/>
        <v>-1.4945465382631369</v>
      </c>
      <c r="M379" s="16">
        <f t="shared" si="23"/>
        <v>2.2336693550343263</v>
      </c>
    </row>
    <row r="380" spans="6:13" x14ac:dyDescent="0.4">
      <c r="F380" s="1">
        <v>32905</v>
      </c>
      <c r="G380" s="16">
        <v>354.7</v>
      </c>
      <c r="H380" s="16">
        <f>_A*F380*F380+_B*F380+_C</f>
        <v>352.23940121275223</v>
      </c>
      <c r="I380">
        <f t="shared" si="20"/>
        <v>2</v>
      </c>
      <c r="J380" s="16" cm="1">
        <f t="array" ref="J380">INDEX(Sm,I380)</f>
        <v>0.69461918939657585</v>
      </c>
      <c r="K380" s="16">
        <f t="shared" si="21"/>
        <v>352.9340204021488</v>
      </c>
      <c r="L380" s="16">
        <f t="shared" si="22"/>
        <v>-1.7659795978511852</v>
      </c>
      <c r="M380" s="16">
        <f t="shared" si="23"/>
        <v>3.1186839400266337</v>
      </c>
    </row>
    <row r="381" spans="6:13" x14ac:dyDescent="0.4">
      <c r="F381" s="1">
        <v>32933</v>
      </c>
      <c r="G381" s="16">
        <v>355.38</v>
      </c>
      <c r="H381" s="16">
        <f>_A*F381*F381+_B*F381+_C</f>
        <v>352.36184704410005</v>
      </c>
      <c r="I381">
        <f t="shared" si="20"/>
        <v>3</v>
      </c>
      <c r="J381" s="16" cm="1">
        <f t="array" ref="J381">INDEX(Sm,I381)</f>
        <v>1.3737674684313066</v>
      </c>
      <c r="K381" s="16">
        <f t="shared" si="21"/>
        <v>353.73561451253136</v>
      </c>
      <c r="L381" s="16">
        <f t="shared" si="22"/>
        <v>-1.6443854874686394</v>
      </c>
      <c r="M381" s="16">
        <f t="shared" si="23"/>
        <v>2.7040036313974749</v>
      </c>
    </row>
    <row r="382" spans="6:13" x14ac:dyDescent="0.4">
      <c r="F382" s="1">
        <v>32964</v>
      </c>
      <c r="G382" s="16">
        <v>356.2</v>
      </c>
      <c r="H382" s="16">
        <f>_A*F382*F382+_B*F382+_C</f>
        <v>352.49759140019512</v>
      </c>
      <c r="I382">
        <f t="shared" si="20"/>
        <v>4</v>
      </c>
      <c r="J382" s="16" cm="1">
        <f t="array" ref="J382">INDEX(Sm,I382)</f>
        <v>2.6103146033777413</v>
      </c>
      <c r="K382" s="16">
        <f t="shared" si="21"/>
        <v>355.10790600357285</v>
      </c>
      <c r="L382" s="16">
        <f t="shared" si="22"/>
        <v>-1.0920939964271383</v>
      </c>
      <c r="M382" s="16">
        <f t="shared" si="23"/>
        <v>1.1926692970321984</v>
      </c>
    </row>
    <row r="383" spans="6:13" x14ac:dyDescent="0.4">
      <c r="F383" s="1">
        <v>32994</v>
      </c>
      <c r="G383" s="16">
        <v>357.16</v>
      </c>
      <c r="H383" s="16">
        <f>_A*F383*F383+_B*F383+_C</f>
        <v>352.62913633267226</v>
      </c>
      <c r="I383">
        <f t="shared" si="20"/>
        <v>5</v>
      </c>
      <c r="J383" s="16" cm="1">
        <f t="array" ref="J383">INDEX(Sm,I383)</f>
        <v>3.065687851218776</v>
      </c>
      <c r="K383" s="16">
        <f t="shared" si="21"/>
        <v>355.69482418389106</v>
      </c>
      <c r="L383" s="16">
        <f t="shared" si="22"/>
        <v>-1.4651758161089674</v>
      </c>
      <c r="M383" s="16">
        <f t="shared" si="23"/>
        <v>2.1467401721105785</v>
      </c>
    </row>
    <row r="384" spans="6:13" x14ac:dyDescent="0.4">
      <c r="F384" s="1">
        <v>33025</v>
      </c>
      <c r="G384" s="16">
        <v>356.23</v>
      </c>
      <c r="H384" s="16">
        <f>_A*F384*F384+_B*F384+_C</f>
        <v>352.76525150369673</v>
      </c>
      <c r="I384">
        <f t="shared" si="20"/>
        <v>6</v>
      </c>
      <c r="J384" s="16" cm="1">
        <f t="array" ref="J384">INDEX(Sm,I384)</f>
        <v>2.3467878996384672</v>
      </c>
      <c r="K384" s="16">
        <f t="shared" si="21"/>
        <v>355.11203940333519</v>
      </c>
      <c r="L384" s="16">
        <f t="shared" si="22"/>
        <v>-1.1179605966648296</v>
      </c>
      <c r="M384" s="16">
        <f t="shared" si="23"/>
        <v>1.2498358956951818</v>
      </c>
    </row>
    <row r="385" spans="6:13" x14ac:dyDescent="0.4">
      <c r="F385" s="1">
        <v>33055</v>
      </c>
      <c r="G385" s="16">
        <v>354.81</v>
      </c>
      <c r="H385" s="16">
        <f>_A*F385*F385+_B*F385+_C</f>
        <v>352.89715528933129</v>
      </c>
      <c r="I385">
        <f t="shared" si="20"/>
        <v>7</v>
      </c>
      <c r="J385" s="16" cm="1">
        <f t="array" ref="J385">INDEX(Sm,I385)</f>
        <v>0.7237382709437985</v>
      </c>
      <c r="K385" s="16">
        <f t="shared" si="21"/>
        <v>353.62089356027508</v>
      </c>
      <c r="L385" s="16">
        <f t="shared" si="22"/>
        <v>-1.1891064397249238</v>
      </c>
      <c r="M385" s="16">
        <f t="shared" si="23"/>
        <v>1.4139741249952837</v>
      </c>
    </row>
    <row r="386" spans="6:13" x14ac:dyDescent="0.4">
      <c r="F386" s="1">
        <v>33086</v>
      </c>
      <c r="G386" s="16">
        <v>352.91</v>
      </c>
      <c r="H386" s="16">
        <f>_A*F386*F386+_B*F386+_C</f>
        <v>353.03364127528505</v>
      </c>
      <c r="I386">
        <f t="shared" si="20"/>
        <v>8</v>
      </c>
      <c r="J386" s="16" cm="1">
        <f t="array" ref="J386">INDEX(Sm,I386)</f>
        <v>-1.3971602754957855</v>
      </c>
      <c r="K386" s="16">
        <f t="shared" si="21"/>
        <v>351.63648099978928</v>
      </c>
      <c r="L386" s="16">
        <f t="shared" si="22"/>
        <v>-1.2735190002107402</v>
      </c>
      <c r="M386" s="16">
        <f t="shared" si="23"/>
        <v>1.6218506438977631</v>
      </c>
    </row>
    <row r="387" spans="6:13" x14ac:dyDescent="0.4">
      <c r="F387" s="1">
        <v>33117</v>
      </c>
      <c r="G387" s="16">
        <v>350.96</v>
      </c>
      <c r="H387" s="16">
        <f>_A*F387*F387+_B*F387+_C</f>
        <v>353.17031570817011</v>
      </c>
      <c r="I387">
        <f t="shared" ref="I387:I450" si="24">MONTH(F387)</f>
        <v>9</v>
      </c>
      <c r="J387" s="16" cm="1">
        <f t="array" ref="J387">INDEX(Sm,I387)</f>
        <v>-3.1930865292764237</v>
      </c>
      <c r="K387" s="16">
        <f t="shared" ref="K387:K450" si="25">H387+J387</f>
        <v>349.97722917889371</v>
      </c>
      <c r="L387" s="16">
        <f t="shared" ref="L387:L450" si="26">K387-G387</f>
        <v>-0.98277082110627134</v>
      </c>
      <c r="M387" s="16">
        <f t="shared" ref="M387:M450" si="27">L387*L387</f>
        <v>0.96583848681789475</v>
      </c>
    </row>
    <row r="388" spans="6:13" x14ac:dyDescent="0.4">
      <c r="F388" s="1">
        <v>33147</v>
      </c>
      <c r="G388" s="16">
        <v>351.18</v>
      </c>
      <c r="H388" s="16">
        <f>_A*F388*F388+_B*F388+_C</f>
        <v>353.30276071496013</v>
      </c>
      <c r="I388">
        <f t="shared" si="24"/>
        <v>10</v>
      </c>
      <c r="J388" s="16" cm="1">
        <f t="array" ref="J388">INDEX(Sm,I388)</f>
        <v>-3.3364130058083399</v>
      </c>
      <c r="K388" s="16">
        <f t="shared" si="25"/>
        <v>349.96634770915176</v>
      </c>
      <c r="L388" s="16">
        <f t="shared" si="26"/>
        <v>-1.2136522908482448</v>
      </c>
      <c r="M388" s="16">
        <f t="shared" si="27"/>
        <v>1.4729518830811925</v>
      </c>
    </row>
    <row r="389" spans="6:13" x14ac:dyDescent="0.4">
      <c r="F389" s="1">
        <v>33178</v>
      </c>
      <c r="G389" s="16">
        <v>352.83</v>
      </c>
      <c r="H389" s="16">
        <f>_A*F389*F389+_B*F389+_C</f>
        <v>353.43980596277447</v>
      </c>
      <c r="I389">
        <f t="shared" si="24"/>
        <v>11</v>
      </c>
      <c r="J389" s="16" cm="1">
        <f t="array" ref="J389">INDEX(Sm,I389)</f>
        <v>-2.0587659563291303</v>
      </c>
      <c r="K389" s="16">
        <f t="shared" si="25"/>
        <v>351.38104000644535</v>
      </c>
      <c r="L389" s="16">
        <f t="shared" si="26"/>
        <v>-1.448959993554638</v>
      </c>
      <c r="M389" s="16">
        <f t="shared" si="27"/>
        <v>2.0994850629218567</v>
      </c>
    </row>
    <row r="390" spans="6:13" x14ac:dyDescent="0.4">
      <c r="F390" s="1">
        <v>33208</v>
      </c>
      <c r="G390" s="16">
        <v>354.21</v>
      </c>
      <c r="H390" s="16">
        <f>_A*F390*F390+_B*F390+_C</f>
        <v>353.57260982272197</v>
      </c>
      <c r="I390">
        <f t="shared" si="24"/>
        <v>12</v>
      </c>
      <c r="J390" s="16" cm="1">
        <f t="array" ref="J390">INDEX(Sm,I390)</f>
        <v>-0.89092746411398172</v>
      </c>
      <c r="K390" s="16">
        <f t="shared" si="25"/>
        <v>352.68168235860799</v>
      </c>
      <c r="L390" s="16">
        <f t="shared" si="26"/>
        <v>-1.5283176413919932</v>
      </c>
      <c r="M390" s="16">
        <f t="shared" si="27"/>
        <v>2.3357548129899852</v>
      </c>
    </row>
    <row r="391" spans="6:13" x14ac:dyDescent="0.4">
      <c r="F391" s="1">
        <v>33239</v>
      </c>
      <c r="G391" s="16">
        <v>354.72</v>
      </c>
      <c r="H391" s="16">
        <f>_A*F391*F391+_B*F391+_C</f>
        <v>353.71002588546565</v>
      </c>
      <c r="I391">
        <f t="shared" si="24"/>
        <v>1</v>
      </c>
      <c r="J391" s="16" cm="1">
        <f t="array" ref="J391">INDEX(Sm,I391)</f>
        <v>6.1437948016995841E-2</v>
      </c>
      <c r="K391" s="16">
        <f t="shared" si="25"/>
        <v>353.77146383348264</v>
      </c>
      <c r="L391" s="16">
        <f t="shared" si="26"/>
        <v>-0.94853616651738548</v>
      </c>
      <c r="M391" s="16">
        <f t="shared" si="27"/>
        <v>0.89972085919149725</v>
      </c>
    </row>
    <row r="392" spans="6:13" x14ac:dyDescent="0.4">
      <c r="F392" s="1">
        <v>33270</v>
      </c>
      <c r="G392" s="16">
        <v>355.75</v>
      </c>
      <c r="H392" s="16">
        <f>_A*F392*F392+_B*F392+_C</f>
        <v>353.8476303951407</v>
      </c>
      <c r="I392">
        <f t="shared" si="24"/>
        <v>2</v>
      </c>
      <c r="J392" s="16" cm="1">
        <f t="array" ref="J392">INDEX(Sm,I392)</f>
        <v>0.69461918939657585</v>
      </c>
      <c r="K392" s="16">
        <f t="shared" si="25"/>
        <v>354.54224958453727</v>
      </c>
      <c r="L392" s="16">
        <f t="shared" si="26"/>
        <v>-1.2077504154627263</v>
      </c>
      <c r="M392" s="16">
        <f t="shared" si="27"/>
        <v>1.458661066050388</v>
      </c>
    </row>
    <row r="393" spans="6:13" x14ac:dyDescent="0.4">
      <c r="F393" s="1">
        <v>33298</v>
      </c>
      <c r="G393" s="16">
        <v>357.16</v>
      </c>
      <c r="H393" s="16">
        <f>_A*F393*F393+_B*F393+_C</f>
        <v>353.97208031352068</v>
      </c>
      <c r="I393">
        <f t="shared" si="24"/>
        <v>3</v>
      </c>
      <c r="J393" s="16" cm="1">
        <f t="array" ref="J393">INDEX(Sm,I393)</f>
        <v>1.3737674684313066</v>
      </c>
      <c r="K393" s="16">
        <f t="shared" si="25"/>
        <v>355.34584778195199</v>
      </c>
      <c r="L393" s="16">
        <f t="shared" si="26"/>
        <v>-1.8141522180480365</v>
      </c>
      <c r="M393" s="16">
        <f t="shared" si="27"/>
        <v>3.2911482702486108</v>
      </c>
    </row>
    <row r="394" spans="6:13" x14ac:dyDescent="0.4">
      <c r="F394" s="1">
        <v>33329</v>
      </c>
      <c r="G394" s="16">
        <v>358.6</v>
      </c>
      <c r="H394" s="16">
        <f>_A*F394*F394+_B*F394+_C</f>
        <v>354.11004348025847</v>
      </c>
      <c r="I394">
        <f t="shared" si="24"/>
        <v>4</v>
      </c>
      <c r="J394" s="16" cm="1">
        <f t="array" ref="J394">INDEX(Sm,I394)</f>
        <v>2.6103146033777413</v>
      </c>
      <c r="K394" s="16">
        <f t="shared" si="25"/>
        <v>356.7203580836362</v>
      </c>
      <c r="L394" s="16">
        <f t="shared" si="26"/>
        <v>-1.8796419163638234</v>
      </c>
      <c r="M394" s="16">
        <f t="shared" si="27"/>
        <v>3.5330537337518666</v>
      </c>
    </row>
    <row r="395" spans="6:13" x14ac:dyDescent="0.4">
      <c r="F395" s="1">
        <v>33359</v>
      </c>
      <c r="G395" s="16">
        <v>359.34</v>
      </c>
      <c r="H395" s="16">
        <f>_A*F395*F395+_B*F395+_C</f>
        <v>354.24373564884149</v>
      </c>
      <c r="I395">
        <f t="shared" si="24"/>
        <v>5</v>
      </c>
      <c r="J395" s="16" cm="1">
        <f t="array" ref="J395">INDEX(Sm,I395)</f>
        <v>3.065687851218776</v>
      </c>
      <c r="K395" s="16">
        <f t="shared" si="25"/>
        <v>357.30942350006029</v>
      </c>
      <c r="L395" s="16">
        <f t="shared" si="26"/>
        <v>-2.0305764999396843</v>
      </c>
      <c r="M395" s="16">
        <f t="shared" si="27"/>
        <v>4.1232409221072981</v>
      </c>
    </row>
    <row r="396" spans="6:13" x14ac:dyDescent="0.4">
      <c r="F396" s="1">
        <v>33390</v>
      </c>
      <c r="G396" s="16">
        <v>358.24</v>
      </c>
      <c r="H396" s="16">
        <f>_A*F396*F396+_B*F396+_C</f>
        <v>354.38206963050868</v>
      </c>
      <c r="I396">
        <f t="shared" si="24"/>
        <v>6</v>
      </c>
      <c r="J396" s="16" cm="1">
        <f t="array" ref="J396">INDEX(Sm,I396)</f>
        <v>2.3467878996384672</v>
      </c>
      <c r="K396" s="16">
        <f t="shared" si="25"/>
        <v>356.72885753014714</v>
      </c>
      <c r="L396" s="16">
        <f t="shared" si="26"/>
        <v>-1.5111424698528708</v>
      </c>
      <c r="M396" s="16">
        <f t="shared" si="27"/>
        <v>2.2835515641930346</v>
      </c>
    </row>
    <row r="397" spans="6:13" x14ac:dyDescent="0.4">
      <c r="F397" s="1">
        <v>33420</v>
      </c>
      <c r="G397" s="16">
        <v>356.17</v>
      </c>
      <c r="H397" s="16">
        <f>_A*F397*F397+_B*F397+_C</f>
        <v>354.51612065224913</v>
      </c>
      <c r="I397">
        <f t="shared" si="24"/>
        <v>7</v>
      </c>
      <c r="J397" s="16" cm="1">
        <f t="array" ref="J397">INDEX(Sm,I397)</f>
        <v>0.7237382709437985</v>
      </c>
      <c r="K397" s="16">
        <f t="shared" si="25"/>
        <v>355.23985892319291</v>
      </c>
      <c r="L397" s="16">
        <f t="shared" si="26"/>
        <v>-0.93014107680710367</v>
      </c>
      <c r="M397" s="16">
        <f t="shared" si="27"/>
        <v>0.86516242276387834</v>
      </c>
    </row>
    <row r="398" spans="6:13" x14ac:dyDescent="0.4">
      <c r="F398" s="1">
        <v>33451</v>
      </c>
      <c r="G398" s="16">
        <v>354.01</v>
      </c>
      <c r="H398" s="16">
        <f>_A*F398*F398+_B*F398+_C</f>
        <v>354.6548254488456</v>
      </c>
      <c r="I398">
        <f t="shared" si="24"/>
        <v>8</v>
      </c>
      <c r="J398" s="16" cm="1">
        <f t="array" ref="J398">INDEX(Sm,I398)</f>
        <v>-1.3971602754957855</v>
      </c>
      <c r="K398" s="16">
        <f t="shared" si="25"/>
        <v>353.25766517334984</v>
      </c>
      <c r="L398" s="16">
        <f t="shared" si="26"/>
        <v>-0.75233482665015572</v>
      </c>
      <c r="M398" s="16">
        <f t="shared" si="27"/>
        <v>0.56600769139071982</v>
      </c>
    </row>
    <row r="399" spans="6:13" x14ac:dyDescent="0.4">
      <c r="F399" s="1">
        <v>33482</v>
      </c>
      <c r="G399" s="16">
        <v>352.15</v>
      </c>
      <c r="H399" s="16">
        <f>_A*F399*F399+_B*F399+_C</f>
        <v>354.79371869237337</v>
      </c>
      <c r="I399">
        <f t="shared" si="24"/>
        <v>9</v>
      </c>
      <c r="J399" s="16" cm="1">
        <f t="array" ref="J399">INDEX(Sm,I399)</f>
        <v>-3.1930865292764237</v>
      </c>
      <c r="K399" s="16">
        <f t="shared" si="25"/>
        <v>351.60063216309698</v>
      </c>
      <c r="L399" s="16">
        <f t="shared" si="26"/>
        <v>-0.54936783690300217</v>
      </c>
      <c r="M399" s="16">
        <f t="shared" si="27"/>
        <v>0.3018050202234836</v>
      </c>
    </row>
    <row r="400" spans="6:13" x14ac:dyDescent="0.4">
      <c r="F400" s="1">
        <v>33512</v>
      </c>
      <c r="G400" s="16">
        <v>352.21</v>
      </c>
      <c r="H400" s="16">
        <f>_A*F400*F400+_B*F400+_C</f>
        <v>354.92831093526928</v>
      </c>
      <c r="I400">
        <f t="shared" si="24"/>
        <v>10</v>
      </c>
      <c r="J400" s="16" cm="1">
        <f t="array" ref="J400">INDEX(Sm,I400)</f>
        <v>-3.3364130058083399</v>
      </c>
      <c r="K400" s="16">
        <f t="shared" si="25"/>
        <v>351.59189792946091</v>
      </c>
      <c r="L400" s="16">
        <f t="shared" si="26"/>
        <v>-0.61810207053906652</v>
      </c>
      <c r="M400" s="16">
        <f t="shared" si="27"/>
        <v>0.38205016960468113</v>
      </c>
    </row>
    <row r="401" spans="6:13" x14ac:dyDescent="0.4">
      <c r="F401" s="1">
        <v>33543</v>
      </c>
      <c r="G401" s="16">
        <v>353.75</v>
      </c>
      <c r="H401" s="16">
        <f>_A*F401*F401+_B*F401+_C</f>
        <v>355.0675749937264</v>
      </c>
      <c r="I401">
        <f t="shared" si="24"/>
        <v>11</v>
      </c>
      <c r="J401" s="16" cm="1">
        <f t="array" ref="J401">INDEX(Sm,I401)</f>
        <v>-2.0587659563291303</v>
      </c>
      <c r="K401" s="16">
        <f t="shared" si="25"/>
        <v>353.00880903739727</v>
      </c>
      <c r="L401" s="16">
        <f t="shared" si="26"/>
        <v>-0.74119096260272954</v>
      </c>
      <c r="M401" s="16">
        <f t="shared" si="27"/>
        <v>0.5493640430439608</v>
      </c>
    </row>
    <row r="402" spans="6:13" x14ac:dyDescent="0.4">
      <c r="F402" s="1">
        <v>33573</v>
      </c>
      <c r="G402" s="16">
        <v>354.99</v>
      </c>
      <c r="H402" s="16">
        <f>_A*F402*F402+_B*F402+_C</f>
        <v>355.20252608977972</v>
      </c>
      <c r="I402">
        <f t="shared" si="24"/>
        <v>12</v>
      </c>
      <c r="J402" s="16" cm="1">
        <f t="array" ref="J402">INDEX(Sm,I402)</f>
        <v>-0.89092746411398172</v>
      </c>
      <c r="K402" s="16">
        <f t="shared" si="25"/>
        <v>354.31159862566574</v>
      </c>
      <c r="L402" s="16">
        <f t="shared" si="26"/>
        <v>-0.67840137433427117</v>
      </c>
      <c r="M402" s="16">
        <f t="shared" si="27"/>
        <v>0.4602284246986279</v>
      </c>
    </row>
    <row r="403" spans="6:13" x14ac:dyDescent="0.4">
      <c r="F403" s="1">
        <v>33604</v>
      </c>
      <c r="G403" s="16">
        <v>355.99</v>
      </c>
      <c r="H403" s="16">
        <f>_A*F403*F403+_B*F403+_C</f>
        <v>355.34216096316618</v>
      </c>
      <c r="I403">
        <f t="shared" si="24"/>
        <v>1</v>
      </c>
      <c r="J403" s="16" cm="1">
        <f t="array" ref="J403">INDEX(Sm,I403)</f>
        <v>6.1437948016995841E-2</v>
      </c>
      <c r="K403" s="16">
        <f t="shared" si="25"/>
        <v>355.40359891118317</v>
      </c>
      <c r="L403" s="16">
        <f t="shared" si="26"/>
        <v>-0.58640108881684228</v>
      </c>
      <c r="M403" s="16">
        <f t="shared" si="27"/>
        <v>0.34386623696557816</v>
      </c>
    </row>
    <row r="404" spans="6:13" x14ac:dyDescent="0.4">
      <c r="F404" s="1">
        <v>33635</v>
      </c>
      <c r="G404" s="16">
        <v>356.72</v>
      </c>
      <c r="H404" s="16">
        <f>_A*F404*F404+_B*F404+_C</f>
        <v>355.48198428348394</v>
      </c>
      <c r="I404">
        <f t="shared" si="24"/>
        <v>2</v>
      </c>
      <c r="J404" s="16" cm="1">
        <f t="array" ref="J404">INDEX(Sm,I404)</f>
        <v>0.69461918939657585</v>
      </c>
      <c r="K404" s="16">
        <f t="shared" si="25"/>
        <v>356.17660347288052</v>
      </c>
      <c r="L404" s="16">
        <f t="shared" si="26"/>
        <v>-0.54339652711951203</v>
      </c>
      <c r="M404" s="16">
        <f t="shared" si="27"/>
        <v>0.29527978568554658</v>
      </c>
    </row>
    <row r="405" spans="6:13" x14ac:dyDescent="0.4">
      <c r="F405" s="1">
        <v>33664</v>
      </c>
      <c r="G405" s="16">
        <v>357.81</v>
      </c>
      <c r="H405" s="16">
        <f>_A*F405*F405+_B*F405+_C</f>
        <v>355.61295734674707</v>
      </c>
      <c r="I405">
        <f t="shared" si="24"/>
        <v>3</v>
      </c>
      <c r="J405" s="16" cm="1">
        <f t="array" ref="J405">INDEX(Sm,I405)</f>
        <v>1.3737674684313066</v>
      </c>
      <c r="K405" s="16">
        <f t="shared" si="25"/>
        <v>356.98672481517838</v>
      </c>
      <c r="L405" s="16">
        <f t="shared" si="26"/>
        <v>-0.82327518482162532</v>
      </c>
      <c r="M405" s="16">
        <f t="shared" si="27"/>
        <v>0.67778202994308134</v>
      </c>
    </row>
    <row r="406" spans="6:13" x14ac:dyDescent="0.4">
      <c r="F406" s="1">
        <v>33695</v>
      </c>
      <c r="G406" s="16">
        <v>359.15</v>
      </c>
      <c r="H406" s="16">
        <f>_A*F406*F406+_B*F406+_C</f>
        <v>355.75314540306084</v>
      </c>
      <c r="I406">
        <f t="shared" si="24"/>
        <v>4</v>
      </c>
      <c r="J406" s="16" cm="1">
        <f t="array" ref="J406">INDEX(Sm,I406)</f>
        <v>2.6103146033777413</v>
      </c>
      <c r="K406" s="16">
        <f t="shared" si="25"/>
        <v>358.36346000643857</v>
      </c>
      <c r="L406" s="16">
        <f t="shared" si="26"/>
        <v>-0.78653999356140503</v>
      </c>
      <c r="M406" s="16">
        <f t="shared" si="27"/>
        <v>0.61864516147157511</v>
      </c>
    </row>
    <row r="407" spans="6:13" x14ac:dyDescent="0.4">
      <c r="F407" s="1">
        <v>33725</v>
      </c>
      <c r="G407" s="16">
        <v>359.66</v>
      </c>
      <c r="H407" s="16">
        <f>_A*F407*F407+_B*F407+_C</f>
        <v>355.8889906905884</v>
      </c>
      <c r="I407">
        <f t="shared" si="24"/>
        <v>5</v>
      </c>
      <c r="J407" s="16" cm="1">
        <f t="array" ref="J407">INDEX(Sm,I407)</f>
        <v>3.065687851218776</v>
      </c>
      <c r="K407" s="16">
        <f t="shared" si="25"/>
        <v>358.9546785418072</v>
      </c>
      <c r="L407" s="16">
        <f t="shared" si="26"/>
        <v>-0.70532145819282732</v>
      </c>
      <c r="M407" s="16">
        <f t="shared" si="27"/>
        <v>0.49747835938725626</v>
      </c>
    </row>
    <row r="408" spans="6:13" x14ac:dyDescent="0.4">
      <c r="F408" s="1">
        <v>33756</v>
      </c>
      <c r="G408" s="16">
        <v>359.25</v>
      </c>
      <c r="H408" s="16">
        <f>_A*F408*F408+_B*F408+_C</f>
        <v>356.02954956183157</v>
      </c>
      <c r="I408">
        <f t="shared" si="24"/>
        <v>6</v>
      </c>
      <c r="J408" s="16" cm="1">
        <f t="array" ref="J408">INDEX(Sm,I408)</f>
        <v>2.3467878996384672</v>
      </c>
      <c r="K408" s="16">
        <f t="shared" si="25"/>
        <v>358.37633746147003</v>
      </c>
      <c r="L408" s="16">
        <f t="shared" si="26"/>
        <v>-0.87366253852997033</v>
      </c>
      <c r="M408" s="16">
        <f t="shared" si="27"/>
        <v>0.76328623123063188</v>
      </c>
    </row>
    <row r="409" spans="6:13" x14ac:dyDescent="0.4">
      <c r="F409" s="1">
        <v>33786</v>
      </c>
      <c r="G409" s="16">
        <v>357.02</v>
      </c>
      <c r="H409" s="16">
        <f>_A*F409*F409+_B*F409+_C</f>
        <v>356.16575370251655</v>
      </c>
      <c r="I409">
        <f t="shared" si="24"/>
        <v>7</v>
      </c>
      <c r="J409" s="16" cm="1">
        <f t="array" ref="J409">INDEX(Sm,I409)</f>
        <v>0.7237382709437985</v>
      </c>
      <c r="K409" s="16">
        <f t="shared" si="25"/>
        <v>356.88949197346034</v>
      </c>
      <c r="L409" s="16">
        <f t="shared" si="26"/>
        <v>-0.13050802653964411</v>
      </c>
      <c r="M409" s="16">
        <f t="shared" si="27"/>
        <v>1.7032344991272451E-2</v>
      </c>
    </row>
    <row r="410" spans="6:13" x14ac:dyDescent="0.4">
      <c r="F410" s="1">
        <v>33817</v>
      </c>
      <c r="G410" s="16">
        <v>355</v>
      </c>
      <c r="H410" s="16">
        <f>_A*F410*F410+_B*F410+_C</f>
        <v>356.30668338868901</v>
      </c>
      <c r="I410">
        <f t="shared" si="24"/>
        <v>8</v>
      </c>
      <c r="J410" s="16" cm="1">
        <f t="array" ref="J410">INDEX(Sm,I410)</f>
        <v>-1.3971602754957855</v>
      </c>
      <c r="K410" s="16">
        <f t="shared" si="25"/>
        <v>354.90952311319325</v>
      </c>
      <c r="L410" s="16">
        <f t="shared" si="26"/>
        <v>-9.0476886806754919E-2</v>
      </c>
      <c r="M410" s="16">
        <f t="shared" si="27"/>
        <v>8.1860670462423415E-3</v>
      </c>
    </row>
    <row r="411" spans="6:13" x14ac:dyDescent="0.4">
      <c r="F411" s="1">
        <v>33848</v>
      </c>
      <c r="G411" s="16">
        <v>353.01</v>
      </c>
      <c r="H411" s="16">
        <f>_A*F411*F411+_B*F411+_C</f>
        <v>356.44780152179277</v>
      </c>
      <c r="I411">
        <f t="shared" si="24"/>
        <v>9</v>
      </c>
      <c r="J411" s="16" cm="1">
        <f t="array" ref="J411">INDEX(Sm,I411)</f>
        <v>-3.1930865292764237</v>
      </c>
      <c r="K411" s="16">
        <f t="shared" si="25"/>
        <v>353.25471499251637</v>
      </c>
      <c r="L411" s="16">
        <f t="shared" si="26"/>
        <v>0.24471499251637852</v>
      </c>
      <c r="M411" s="16">
        <f t="shared" si="27"/>
        <v>5.9885427562291191E-2</v>
      </c>
    </row>
    <row r="412" spans="6:13" x14ac:dyDescent="0.4">
      <c r="F412" s="1">
        <v>33878</v>
      </c>
      <c r="G412" s="16">
        <v>353.31</v>
      </c>
      <c r="H412" s="16">
        <f>_A*F412*F412+_B*F412+_C</f>
        <v>356.58454688363321</v>
      </c>
      <c r="I412">
        <f t="shared" si="24"/>
        <v>10</v>
      </c>
      <c r="J412" s="16" cm="1">
        <f t="array" ref="J412">INDEX(Sm,I412)</f>
        <v>-3.3364130058083399</v>
      </c>
      <c r="K412" s="16">
        <f t="shared" si="25"/>
        <v>353.24813387782484</v>
      </c>
      <c r="L412" s="16">
        <f t="shared" si="26"/>
        <v>-6.1866122175160854E-2</v>
      </c>
      <c r="M412" s="16">
        <f t="shared" si="27"/>
        <v>3.8274170729919294E-3</v>
      </c>
    </row>
    <row r="413" spans="6:13" x14ac:dyDescent="0.4">
      <c r="F413" s="1">
        <v>33909</v>
      </c>
      <c r="G413" s="16">
        <v>354.16</v>
      </c>
      <c r="H413" s="16">
        <f>_A*F413*F413+_B*F413+_C</f>
        <v>356.72603583166631</v>
      </c>
      <c r="I413">
        <f t="shared" si="24"/>
        <v>11</v>
      </c>
      <c r="J413" s="16" cm="1">
        <f t="array" ref="J413">INDEX(Sm,I413)</f>
        <v>-2.0587659563291303</v>
      </c>
      <c r="K413" s="16">
        <f t="shared" si="25"/>
        <v>354.66726987533718</v>
      </c>
      <c r="L413" s="16">
        <f t="shared" si="26"/>
        <v>0.50726987533715828</v>
      </c>
      <c r="M413" s="16">
        <f t="shared" si="27"/>
        <v>0.2573227264245761</v>
      </c>
    </row>
    <row r="414" spans="6:13" x14ac:dyDescent="0.4">
      <c r="F414" s="1">
        <v>33939</v>
      </c>
      <c r="G414" s="16">
        <v>355.4</v>
      </c>
      <c r="H414" s="16">
        <f>_A*F414*F414+_B*F414+_C</f>
        <v>356.86314004666417</v>
      </c>
      <c r="I414">
        <f t="shared" si="24"/>
        <v>12</v>
      </c>
      <c r="J414" s="16" cm="1">
        <f t="array" ref="J414">INDEX(Sm,I414)</f>
        <v>-0.89092746411398172</v>
      </c>
      <c r="K414" s="16">
        <f t="shared" si="25"/>
        <v>355.97221258255018</v>
      </c>
      <c r="L414" s="16">
        <f t="shared" si="26"/>
        <v>0.57221258255020757</v>
      </c>
      <c r="M414" s="16">
        <f t="shared" si="27"/>
        <v>0.32742723962877812</v>
      </c>
    </row>
    <row r="415" spans="6:13" x14ac:dyDescent="0.4">
      <c r="F415" s="1">
        <v>33970</v>
      </c>
      <c r="G415" s="16">
        <v>356.7</v>
      </c>
      <c r="H415" s="16">
        <f>_A*F415*F415+_B*F415+_C</f>
        <v>357.00499980962661</v>
      </c>
      <c r="I415">
        <f t="shared" si="24"/>
        <v>1</v>
      </c>
      <c r="J415" s="16" cm="1">
        <f t="array" ref="J415">INDEX(Sm,I415)</f>
        <v>6.1437948016995841E-2</v>
      </c>
      <c r="K415" s="16">
        <f t="shared" si="25"/>
        <v>357.0664377576436</v>
      </c>
      <c r="L415" s="16">
        <f t="shared" si="26"/>
        <v>0.36643775764360953</v>
      </c>
      <c r="M415" s="16">
        <f t="shared" si="27"/>
        <v>0.13427663022687672</v>
      </c>
    </row>
    <row r="416" spans="6:13" x14ac:dyDescent="0.4">
      <c r="F416" s="1">
        <v>34001</v>
      </c>
      <c r="G416" s="16">
        <v>357.17</v>
      </c>
      <c r="H416" s="16">
        <f>_A*F416*F416+_B*F416+_C</f>
        <v>357.1470480195203</v>
      </c>
      <c r="I416">
        <f t="shared" si="24"/>
        <v>2</v>
      </c>
      <c r="J416" s="16" cm="1">
        <f t="array" ref="J416">INDEX(Sm,I416)</f>
        <v>0.69461918939657585</v>
      </c>
      <c r="K416" s="16">
        <f t="shared" si="25"/>
        <v>357.84166720891687</v>
      </c>
      <c r="L416" s="16">
        <f t="shared" si="26"/>
        <v>0.67166720891685827</v>
      </c>
      <c r="M416" s="16">
        <f t="shared" si="27"/>
        <v>0.45113683953416256</v>
      </c>
    </row>
    <row r="417" spans="6:13" x14ac:dyDescent="0.4">
      <c r="F417" s="1">
        <v>34029</v>
      </c>
      <c r="G417" s="16">
        <v>358.38</v>
      </c>
      <c r="H417" s="16">
        <f>_A*F417*F417+_B*F417+_C</f>
        <v>357.27551160261402</v>
      </c>
      <c r="I417">
        <f t="shared" si="24"/>
        <v>3</v>
      </c>
      <c r="J417" s="16" cm="1">
        <f t="array" ref="J417">INDEX(Sm,I417)</f>
        <v>1.3737674684313066</v>
      </c>
      <c r="K417" s="16">
        <f t="shared" si="25"/>
        <v>358.64927907104533</v>
      </c>
      <c r="L417" s="16">
        <f t="shared" si="26"/>
        <v>0.26927907104533233</v>
      </c>
      <c r="M417" s="16">
        <f t="shared" si="27"/>
        <v>7.2511218103037137E-2</v>
      </c>
    </row>
    <row r="418" spans="6:13" x14ac:dyDescent="0.4">
      <c r="F418" s="1">
        <v>34060</v>
      </c>
      <c r="G418" s="16">
        <v>359.46</v>
      </c>
      <c r="H418" s="16">
        <f>_A*F418*F418+_B*F418+_C</f>
        <v>357.41791846957051</v>
      </c>
      <c r="I418">
        <f t="shared" si="24"/>
        <v>4</v>
      </c>
      <c r="J418" s="16" cm="1">
        <f t="array" ref="J418">INDEX(Sm,I418)</f>
        <v>2.6103146033777413</v>
      </c>
      <c r="K418" s="16">
        <f t="shared" si="25"/>
        <v>360.02823307294824</v>
      </c>
      <c r="L418" s="16">
        <f t="shared" si="26"/>
        <v>0.56823307294826009</v>
      </c>
      <c r="M418" s="16">
        <f t="shared" si="27"/>
        <v>0.32288882519222267</v>
      </c>
    </row>
    <row r="419" spans="6:13" x14ac:dyDescent="0.4">
      <c r="F419" s="1">
        <v>34090</v>
      </c>
      <c r="G419" s="16">
        <v>360.28</v>
      </c>
      <c r="H419" s="16">
        <f>_A*F419*F419+_B*F419+_C</f>
        <v>357.55591099320395</v>
      </c>
      <c r="I419">
        <f t="shared" si="24"/>
        <v>5</v>
      </c>
      <c r="J419" s="16" cm="1">
        <f t="array" ref="J419">INDEX(Sm,I419)</f>
        <v>3.065687851218776</v>
      </c>
      <c r="K419" s="16">
        <f t="shared" si="25"/>
        <v>360.62159884442275</v>
      </c>
      <c r="L419" s="16">
        <f t="shared" si="26"/>
        <v>0.34159884442277644</v>
      </c>
      <c r="M419" s="16">
        <f t="shared" si="27"/>
        <v>0.11668977051097622</v>
      </c>
    </row>
    <row r="420" spans="6:13" x14ac:dyDescent="0.4">
      <c r="F420" s="1">
        <v>34121</v>
      </c>
      <c r="G420" s="16">
        <v>359.6</v>
      </c>
      <c r="H420" s="16">
        <f>_A*F420*F420+_B*F420+_C</f>
        <v>357.69868867508984</v>
      </c>
      <c r="I420">
        <f t="shared" si="24"/>
        <v>6</v>
      </c>
      <c r="J420" s="16" cm="1">
        <f t="array" ref="J420">INDEX(Sm,I420)</f>
        <v>2.3467878996384672</v>
      </c>
      <c r="K420" s="16">
        <f t="shared" si="25"/>
        <v>360.0454765747283</v>
      </c>
      <c r="L420" s="16">
        <f t="shared" si="26"/>
        <v>0.44547657472827495</v>
      </c>
      <c r="M420" s="16">
        <f t="shared" si="27"/>
        <v>0.19844937863163634</v>
      </c>
    </row>
    <row r="421" spans="6:13" x14ac:dyDescent="0.4">
      <c r="F421" s="1">
        <v>34151</v>
      </c>
      <c r="G421" s="16">
        <v>357.57</v>
      </c>
      <c r="H421" s="16">
        <f>_A*F421*F421+_B*F421+_C</f>
        <v>357.83704005188065</v>
      </c>
      <c r="I421">
        <f t="shared" si="24"/>
        <v>7</v>
      </c>
      <c r="J421" s="16" cm="1">
        <f t="array" ref="J421">INDEX(Sm,I421)</f>
        <v>0.7237382709437985</v>
      </c>
      <c r="K421" s="16">
        <f t="shared" si="25"/>
        <v>358.56077832282443</v>
      </c>
      <c r="L421" s="16">
        <f t="shared" si="26"/>
        <v>0.99077832282443978</v>
      </c>
      <c r="M421" s="16">
        <f t="shared" si="27"/>
        <v>0.98164168497880977</v>
      </c>
    </row>
    <row r="422" spans="6:13" x14ac:dyDescent="0.4">
      <c r="F422" s="1">
        <v>34182</v>
      </c>
      <c r="G422" s="16">
        <v>355.52</v>
      </c>
      <c r="H422" s="16">
        <f>_A*F422*F422+_B*F422+_C</f>
        <v>357.98018854869588</v>
      </c>
      <c r="I422">
        <f t="shared" si="24"/>
        <v>8</v>
      </c>
      <c r="J422" s="16" cm="1">
        <f t="array" ref="J422">INDEX(Sm,I422)</f>
        <v>-1.3971602754957855</v>
      </c>
      <c r="K422" s="16">
        <f t="shared" si="25"/>
        <v>356.58302827320011</v>
      </c>
      <c r="L422" s="16">
        <f t="shared" si="26"/>
        <v>1.0630282732001319</v>
      </c>
      <c r="M422" s="16">
        <f t="shared" si="27"/>
        <v>1.1300291096228543</v>
      </c>
    </row>
    <row r="423" spans="6:13" x14ac:dyDescent="0.4">
      <c r="F423" s="1">
        <v>34213</v>
      </c>
      <c r="G423" s="16">
        <v>353.69</v>
      </c>
      <c r="H423" s="16">
        <f>_A*F423*F423+_B*F423+_C</f>
        <v>358.12352549244235</v>
      </c>
      <c r="I423">
        <f t="shared" si="24"/>
        <v>9</v>
      </c>
      <c r="J423" s="16" cm="1">
        <f t="array" ref="J423">INDEX(Sm,I423)</f>
        <v>-3.1930865292764237</v>
      </c>
      <c r="K423" s="16">
        <f t="shared" si="25"/>
        <v>354.93043896316595</v>
      </c>
      <c r="L423" s="16">
        <f t="shared" si="26"/>
        <v>1.2404389631659569</v>
      </c>
      <c r="M423" s="16">
        <f t="shared" si="27"/>
        <v>1.5386888213402343</v>
      </c>
    </row>
    <row r="424" spans="6:13" x14ac:dyDescent="0.4">
      <c r="F424" s="1">
        <v>34243</v>
      </c>
      <c r="G424" s="16">
        <v>353.99</v>
      </c>
      <c r="H424" s="16">
        <f>_A*F424*F424+_B*F424+_C</f>
        <v>358.26241809038868</v>
      </c>
      <c r="I424">
        <f t="shared" si="24"/>
        <v>10</v>
      </c>
      <c r="J424" s="16" cm="1">
        <f t="array" ref="J424">INDEX(Sm,I424)</f>
        <v>-3.3364130058083399</v>
      </c>
      <c r="K424" s="16">
        <f t="shared" si="25"/>
        <v>354.92600508458031</v>
      </c>
      <c r="L424" s="16">
        <f t="shared" si="26"/>
        <v>0.93600508458030163</v>
      </c>
      <c r="M424" s="16">
        <f t="shared" si="27"/>
        <v>0.87610551836017758</v>
      </c>
    </row>
    <row r="425" spans="6:13" x14ac:dyDescent="0.4">
      <c r="F425" s="1">
        <v>34274</v>
      </c>
      <c r="G425" s="16">
        <v>355.34</v>
      </c>
      <c r="H425" s="16">
        <f>_A*F425*F425+_B*F425+_C</f>
        <v>358.40612584906449</v>
      </c>
      <c r="I425">
        <f t="shared" si="24"/>
        <v>11</v>
      </c>
      <c r="J425" s="16" cm="1">
        <f t="array" ref="J425">INDEX(Sm,I425)</f>
        <v>-2.0587659563291303</v>
      </c>
      <c r="K425" s="16">
        <f t="shared" si="25"/>
        <v>356.34735989273537</v>
      </c>
      <c r="L425" s="16">
        <f t="shared" si="26"/>
        <v>1.0073598927353942</v>
      </c>
      <c r="M425" s="16">
        <f t="shared" si="27"/>
        <v>1.0147739534918649</v>
      </c>
    </row>
    <row r="426" spans="6:13" x14ac:dyDescent="0.4">
      <c r="F426" s="1">
        <v>34304</v>
      </c>
      <c r="G426" s="16">
        <v>356.8</v>
      </c>
      <c r="H426" s="16">
        <f>_A*F426*F426+_B*F426+_C</f>
        <v>358.54537730016818</v>
      </c>
      <c r="I426">
        <f t="shared" si="24"/>
        <v>12</v>
      </c>
      <c r="J426" s="16" cm="1">
        <f t="array" ref="J426">INDEX(Sm,I426)</f>
        <v>-0.89092746411398172</v>
      </c>
      <c r="K426" s="16">
        <f t="shared" si="25"/>
        <v>357.6544498360542</v>
      </c>
      <c r="L426" s="16">
        <f t="shared" si="26"/>
        <v>0.85444983605418656</v>
      </c>
      <c r="M426" s="16">
        <f t="shared" si="27"/>
        <v>0.73008452233302634</v>
      </c>
    </row>
    <row r="427" spans="6:13" x14ac:dyDescent="0.4">
      <c r="F427" s="1">
        <v>34335</v>
      </c>
      <c r="G427" s="16">
        <v>358.37</v>
      </c>
      <c r="H427" s="16">
        <f>_A*F427*F427+_B*F427+_C</f>
        <v>358.6894558737734</v>
      </c>
      <c r="I427">
        <f t="shared" si="24"/>
        <v>1</v>
      </c>
      <c r="J427" s="16" cm="1">
        <f t="array" ref="J427">INDEX(Sm,I427)</f>
        <v>6.1437948016995841E-2</v>
      </c>
      <c r="K427" s="16">
        <f t="shared" si="25"/>
        <v>358.75089382179038</v>
      </c>
      <c r="L427" s="16">
        <f t="shared" si="26"/>
        <v>0.38089382179038012</v>
      </c>
      <c r="M427" s="16">
        <f t="shared" si="27"/>
        <v>0.14508010347808184</v>
      </c>
    </row>
    <row r="428" spans="6:13" x14ac:dyDescent="0.4">
      <c r="F428" s="1">
        <v>34366</v>
      </c>
      <c r="G428" s="16">
        <v>358.91</v>
      </c>
      <c r="H428" s="16">
        <f>_A*F428*F428+_B*F428+_C</f>
        <v>358.83372289430986</v>
      </c>
      <c r="I428">
        <f t="shared" si="24"/>
        <v>2</v>
      </c>
      <c r="J428" s="16" cm="1">
        <f t="array" ref="J428">INDEX(Sm,I428)</f>
        <v>0.69461918939657585</v>
      </c>
      <c r="K428" s="16">
        <f t="shared" si="25"/>
        <v>359.52834208370643</v>
      </c>
      <c r="L428" s="16">
        <f t="shared" si="26"/>
        <v>0.61834208370640908</v>
      </c>
      <c r="M428" s="16">
        <f t="shared" si="27"/>
        <v>0.38234693248238383</v>
      </c>
    </row>
    <row r="429" spans="6:13" x14ac:dyDescent="0.4">
      <c r="F429" s="1">
        <v>34394</v>
      </c>
      <c r="G429" s="16">
        <v>359.97</v>
      </c>
      <c r="H429" s="16">
        <f>_A*F429*F429+_B*F429+_C</f>
        <v>358.96419056443563</v>
      </c>
      <c r="I429">
        <f t="shared" si="24"/>
        <v>3</v>
      </c>
      <c r="J429" s="16" cm="1">
        <f t="array" ref="J429">INDEX(Sm,I429)</f>
        <v>1.3737674684313066</v>
      </c>
      <c r="K429" s="16">
        <f t="shared" si="25"/>
        <v>360.33795803286694</v>
      </c>
      <c r="L429" s="16">
        <f t="shared" si="26"/>
        <v>0.36795803286690898</v>
      </c>
      <c r="M429" s="16">
        <f t="shared" si="27"/>
        <v>0.13539311395128528</v>
      </c>
    </row>
    <row r="430" spans="6:13" x14ac:dyDescent="0.4">
      <c r="F430" s="1">
        <v>34425</v>
      </c>
      <c r="G430" s="16">
        <v>361.26</v>
      </c>
      <c r="H430" s="16">
        <f>_A*F430*F430+_B*F430+_C</f>
        <v>359.10881624203489</v>
      </c>
      <c r="I430">
        <f t="shared" si="24"/>
        <v>4</v>
      </c>
      <c r="J430" s="16" cm="1">
        <f t="array" ref="J430">INDEX(Sm,I430)</f>
        <v>2.6103146033777413</v>
      </c>
      <c r="K430" s="16">
        <f t="shared" si="25"/>
        <v>361.71913084541262</v>
      </c>
      <c r="L430" s="16">
        <f t="shared" si="26"/>
        <v>0.45913084541263061</v>
      </c>
      <c r="M430" s="16">
        <f t="shared" si="27"/>
        <v>0.2108011332093169</v>
      </c>
    </row>
    <row r="431" spans="6:13" x14ac:dyDescent="0.4">
      <c r="F431" s="1">
        <v>34455</v>
      </c>
      <c r="G431" s="16">
        <v>361.69</v>
      </c>
      <c r="H431" s="16">
        <f>_A*F431*F431+_B*F431+_C</f>
        <v>359.24895600177422</v>
      </c>
      <c r="I431">
        <f t="shared" si="24"/>
        <v>5</v>
      </c>
      <c r="J431" s="16" cm="1">
        <f t="array" ref="J431">INDEX(Sm,I431)</f>
        <v>3.065687851218776</v>
      </c>
      <c r="K431" s="16">
        <f t="shared" si="25"/>
        <v>362.31464385299302</v>
      </c>
      <c r="L431" s="16">
        <f t="shared" si="26"/>
        <v>0.62464385299301739</v>
      </c>
      <c r="M431" s="16">
        <f t="shared" si="27"/>
        <v>0.3901799430819623</v>
      </c>
    </row>
    <row r="432" spans="6:13" x14ac:dyDescent="0.4">
      <c r="F432" s="1">
        <v>34486</v>
      </c>
      <c r="G432" s="16">
        <v>360.94</v>
      </c>
      <c r="H432" s="16">
        <f>_A*F432*F432+_B*F432+_C</f>
        <v>359.39395249430282</v>
      </c>
      <c r="I432">
        <f t="shared" si="24"/>
        <v>6</v>
      </c>
      <c r="J432" s="16" cm="1">
        <f t="array" ref="J432">INDEX(Sm,I432)</f>
        <v>2.3467878996384672</v>
      </c>
      <c r="K432" s="16">
        <f t="shared" si="25"/>
        <v>361.74074039394128</v>
      </c>
      <c r="L432" s="16">
        <f t="shared" si="26"/>
        <v>0.80074039394128249</v>
      </c>
      <c r="M432" s="16">
        <f t="shared" si="27"/>
        <v>0.64118517848924028</v>
      </c>
    </row>
    <row r="433" spans="6:13" x14ac:dyDescent="0.4">
      <c r="F433" s="1">
        <v>34516</v>
      </c>
      <c r="G433" s="16">
        <v>359.55</v>
      </c>
      <c r="H433" s="16">
        <f>_A*F433*F433+_B*F433+_C</f>
        <v>359.53445110719952</v>
      </c>
      <c r="I433">
        <f t="shared" si="24"/>
        <v>7</v>
      </c>
      <c r="J433" s="16" cm="1">
        <f t="array" ref="J433">INDEX(Sm,I433)</f>
        <v>0.7237382709437985</v>
      </c>
      <c r="K433" s="16">
        <f t="shared" si="25"/>
        <v>360.2581893781433</v>
      </c>
      <c r="L433" s="16">
        <f t="shared" si="26"/>
        <v>0.7081893781432882</v>
      </c>
      <c r="M433" s="16">
        <f t="shared" si="27"/>
        <v>0.50153219531497728</v>
      </c>
    </row>
    <row r="434" spans="6:13" x14ac:dyDescent="0.4">
      <c r="F434" s="1">
        <v>34547</v>
      </c>
      <c r="G434" s="16">
        <v>357.48</v>
      </c>
      <c r="H434" s="16">
        <f>_A*F434*F434+_B*F434+_C</f>
        <v>359.67981841465746</v>
      </c>
      <c r="I434">
        <f t="shared" si="24"/>
        <v>8</v>
      </c>
      <c r="J434" s="16" cm="1">
        <f t="array" ref="J434">INDEX(Sm,I434)</f>
        <v>-1.3971602754957855</v>
      </c>
      <c r="K434" s="16">
        <f t="shared" si="25"/>
        <v>358.2826581391617</v>
      </c>
      <c r="L434" s="16">
        <f t="shared" si="26"/>
        <v>0.80265813916167872</v>
      </c>
      <c r="M434" s="16">
        <f t="shared" si="27"/>
        <v>0.64426008836248883</v>
      </c>
    </row>
    <row r="435" spans="6:13" x14ac:dyDescent="0.4">
      <c r="F435" s="1">
        <v>34578</v>
      </c>
      <c r="G435" s="16">
        <v>355.84</v>
      </c>
      <c r="H435" s="16">
        <f>_A*F435*F435+_B*F435+_C</f>
        <v>359.82537416904665</v>
      </c>
      <c r="I435">
        <f t="shared" si="24"/>
        <v>9</v>
      </c>
      <c r="J435" s="16" cm="1">
        <f t="array" ref="J435">INDEX(Sm,I435)</f>
        <v>-3.1930865292764237</v>
      </c>
      <c r="K435" s="16">
        <f t="shared" si="25"/>
        <v>356.63228763977025</v>
      </c>
      <c r="L435" s="16">
        <f t="shared" si="26"/>
        <v>0.79228763977027938</v>
      </c>
      <c r="M435" s="16">
        <f t="shared" si="27"/>
        <v>0.62771970413276001</v>
      </c>
    </row>
    <row r="436" spans="6:13" x14ac:dyDescent="0.4">
      <c r="F436" s="1">
        <v>34608</v>
      </c>
      <c r="G436" s="16">
        <v>356</v>
      </c>
      <c r="H436" s="16">
        <f>_A*F436*F436+_B*F436+_C</f>
        <v>359.96641400309886</v>
      </c>
      <c r="I436">
        <f t="shared" si="24"/>
        <v>10</v>
      </c>
      <c r="J436" s="16" cm="1">
        <f t="array" ref="J436">INDEX(Sm,I436)</f>
        <v>-3.3364130058083399</v>
      </c>
      <c r="K436" s="16">
        <f t="shared" si="25"/>
        <v>356.63000099729049</v>
      </c>
      <c r="L436" s="16">
        <f t="shared" si="26"/>
        <v>0.63000099729049452</v>
      </c>
      <c r="M436" s="16">
        <f t="shared" si="27"/>
        <v>0.39690125658701769</v>
      </c>
    </row>
    <row r="437" spans="6:13" x14ac:dyDescent="0.4">
      <c r="F437" s="1">
        <v>34639</v>
      </c>
      <c r="G437" s="16">
        <v>357.58</v>
      </c>
      <c r="H437" s="16">
        <f>_A*F437*F437+_B*F437+_C</f>
        <v>360.11234057241739</v>
      </c>
      <c r="I437">
        <f t="shared" si="24"/>
        <v>11</v>
      </c>
      <c r="J437" s="16" cm="1">
        <f t="array" ref="J437">INDEX(Sm,I437)</f>
        <v>-2.0587659563291303</v>
      </c>
      <c r="K437" s="16">
        <f t="shared" si="25"/>
        <v>358.05357461608827</v>
      </c>
      <c r="L437" s="16">
        <f t="shared" si="26"/>
        <v>0.47357461608828544</v>
      </c>
      <c r="M437" s="16">
        <f t="shared" si="27"/>
        <v>0.22427291700316693</v>
      </c>
    </row>
    <row r="438" spans="6:13" x14ac:dyDescent="0.4">
      <c r="F438" s="1">
        <v>34669</v>
      </c>
      <c r="G438" s="16">
        <v>359.04</v>
      </c>
      <c r="H438" s="16">
        <f>_A*F438*F438+_B*F438+_C</f>
        <v>360.25373925962697</v>
      </c>
      <c r="I438">
        <f t="shared" si="24"/>
        <v>12</v>
      </c>
      <c r="J438" s="16" cm="1">
        <f t="array" ref="J438">INDEX(Sm,I438)</f>
        <v>-0.89092746411398172</v>
      </c>
      <c r="K438" s="16">
        <f t="shared" si="25"/>
        <v>359.36281179551298</v>
      </c>
      <c r="L438" s="16">
        <f t="shared" si="26"/>
        <v>0.32281179551296191</v>
      </c>
      <c r="M438" s="16">
        <f t="shared" si="27"/>
        <v>0.10420745532230233</v>
      </c>
    </row>
    <row r="439" spans="6:13" x14ac:dyDescent="0.4">
      <c r="F439" s="1">
        <v>34700</v>
      </c>
      <c r="G439" s="16">
        <v>359.97</v>
      </c>
      <c r="H439" s="16">
        <f>_A*F439*F439+_B*F439+_C</f>
        <v>360.4000366438749</v>
      </c>
      <c r="I439">
        <f t="shared" si="24"/>
        <v>1</v>
      </c>
      <c r="J439" s="16" cm="1">
        <f t="array" ref="J439">INDEX(Sm,I439)</f>
        <v>6.1437948016995841E-2</v>
      </c>
      <c r="K439" s="16">
        <f t="shared" si="25"/>
        <v>360.46147459189189</v>
      </c>
      <c r="L439" s="16">
        <f t="shared" si="26"/>
        <v>0.49147459189185838</v>
      </c>
      <c r="M439" s="16">
        <f t="shared" si="27"/>
        <v>0.24154727447526875</v>
      </c>
    </row>
    <row r="440" spans="6:13" x14ac:dyDescent="0.4">
      <c r="F440" s="1">
        <v>34731</v>
      </c>
      <c r="G440" s="16">
        <v>361</v>
      </c>
      <c r="H440" s="16">
        <f>_A*F440*F440+_B*F440+_C</f>
        <v>360.54652247505408</v>
      </c>
      <c r="I440">
        <f t="shared" si="24"/>
        <v>2</v>
      </c>
      <c r="J440" s="16" cm="1">
        <f t="array" ref="J440">INDEX(Sm,I440)</f>
        <v>0.69461918939657585</v>
      </c>
      <c r="K440" s="16">
        <f t="shared" si="25"/>
        <v>361.24114166445065</v>
      </c>
      <c r="L440" s="16">
        <f t="shared" si="26"/>
        <v>0.24114166445065166</v>
      </c>
      <c r="M440" s="16">
        <f t="shared" si="27"/>
        <v>5.8149302334030678E-2</v>
      </c>
    </row>
    <row r="441" spans="6:13" x14ac:dyDescent="0.4">
      <c r="F441" s="1">
        <v>34759</v>
      </c>
      <c r="G441" s="16">
        <v>361.63</v>
      </c>
      <c r="H441" s="16">
        <f>_A*F441*F441+_B*F441+_C</f>
        <v>360.67899423221206</v>
      </c>
      <c r="I441">
        <f t="shared" si="24"/>
        <v>3</v>
      </c>
      <c r="J441" s="16" cm="1">
        <f t="array" ref="J441">INDEX(Sm,I441)</f>
        <v>1.3737674684313066</v>
      </c>
      <c r="K441" s="16">
        <f t="shared" si="25"/>
        <v>362.05276170064337</v>
      </c>
      <c r="L441" s="16">
        <f t="shared" si="26"/>
        <v>0.42276170064337748</v>
      </c>
      <c r="M441" s="16">
        <f t="shared" si="27"/>
        <v>0.17872745553088071</v>
      </c>
    </row>
    <row r="442" spans="6:13" x14ac:dyDescent="0.4">
      <c r="F442" s="1">
        <v>34790</v>
      </c>
      <c r="G442" s="16">
        <v>363.45</v>
      </c>
      <c r="H442" s="16">
        <f>_A*F442*F442+_B*F442+_C</f>
        <v>360.82583872045404</v>
      </c>
      <c r="I442">
        <f t="shared" si="24"/>
        <v>4</v>
      </c>
      <c r="J442" s="16" cm="1">
        <f t="array" ref="J442">INDEX(Sm,I442)</f>
        <v>2.6103146033777413</v>
      </c>
      <c r="K442" s="16">
        <f t="shared" si="25"/>
        <v>363.43615332383177</v>
      </c>
      <c r="L442" s="16">
        <f t="shared" si="26"/>
        <v>-1.3846676168213889E-2</v>
      </c>
      <c r="M442" s="16">
        <f t="shared" si="27"/>
        <v>1.9173044090738247E-4</v>
      </c>
    </row>
    <row r="443" spans="6:13" x14ac:dyDescent="0.4">
      <c r="F443" s="1">
        <v>34820</v>
      </c>
      <c r="G443" s="16">
        <v>363.8</v>
      </c>
      <c r="H443" s="16">
        <f>_A*F443*F443+_B*F443+_C</f>
        <v>360.9681257162992</v>
      </c>
      <c r="I443">
        <f t="shared" si="24"/>
        <v>5</v>
      </c>
      <c r="J443" s="16" cm="1">
        <f t="array" ref="J443">INDEX(Sm,I443)</f>
        <v>3.065687851218776</v>
      </c>
      <c r="K443" s="16">
        <f t="shared" si="25"/>
        <v>364.033813567518</v>
      </c>
      <c r="L443" s="16">
        <f t="shared" si="26"/>
        <v>0.23381356751798421</v>
      </c>
      <c r="M443" s="16">
        <f t="shared" si="27"/>
        <v>5.4668784355486964E-2</v>
      </c>
    </row>
    <row r="444" spans="6:13" x14ac:dyDescent="0.4">
      <c r="F444" s="1">
        <v>34851</v>
      </c>
      <c r="G444" s="16">
        <v>363.26</v>
      </c>
      <c r="H444" s="16">
        <f>_A*F444*F444+_B*F444+_C</f>
        <v>361.11534101947052</v>
      </c>
      <c r="I444">
        <f t="shared" si="24"/>
        <v>6</v>
      </c>
      <c r="J444" s="16" cm="1">
        <f t="array" ref="J444">INDEX(Sm,I444)</f>
        <v>2.3467878996384672</v>
      </c>
      <c r="K444" s="16">
        <f t="shared" si="25"/>
        <v>363.46212891910898</v>
      </c>
      <c r="L444" s="16">
        <f t="shared" si="26"/>
        <v>0.20212891910898634</v>
      </c>
      <c r="M444" s="16">
        <f t="shared" si="27"/>
        <v>4.0856099940167145E-2</v>
      </c>
    </row>
    <row r="445" spans="6:13" x14ac:dyDescent="0.4">
      <c r="F445" s="1">
        <v>34881</v>
      </c>
      <c r="G445" s="16">
        <v>361.89</v>
      </c>
      <c r="H445" s="16">
        <f>_A*F445*F445+_B*F445+_C</f>
        <v>361.2579868684731</v>
      </c>
      <c r="I445">
        <f t="shared" si="24"/>
        <v>7</v>
      </c>
      <c r="J445" s="16" cm="1">
        <f t="array" ref="J445">INDEX(Sm,I445)</f>
        <v>0.7237382709437985</v>
      </c>
      <c r="K445" s="16">
        <f t="shared" si="25"/>
        <v>361.98172513941688</v>
      </c>
      <c r="L445" s="16">
        <f t="shared" si="26"/>
        <v>9.1725139416894308E-2</v>
      </c>
      <c r="M445" s="16">
        <f t="shared" si="27"/>
        <v>8.4135012010486971E-3</v>
      </c>
    </row>
    <row r="446" spans="6:13" x14ac:dyDescent="0.4">
      <c r="F446" s="1">
        <v>34912</v>
      </c>
      <c r="G446" s="16">
        <v>359.45</v>
      </c>
      <c r="H446" s="16">
        <f>_A*F446*F446+_B*F446+_C</f>
        <v>361.40557298657376</v>
      </c>
      <c r="I446">
        <f t="shared" si="24"/>
        <v>8</v>
      </c>
      <c r="J446" s="16" cm="1">
        <f t="array" ref="J446">INDEX(Sm,I446)</f>
        <v>-1.3971602754957855</v>
      </c>
      <c r="K446" s="16">
        <f t="shared" si="25"/>
        <v>360.00841271107799</v>
      </c>
      <c r="L446" s="16">
        <f t="shared" si="26"/>
        <v>0.55841271107800594</v>
      </c>
      <c r="M446" s="16">
        <f t="shared" si="27"/>
        <v>0.31182475589348851</v>
      </c>
    </row>
    <row r="447" spans="6:13" x14ac:dyDescent="0.4">
      <c r="F447" s="1">
        <v>34943</v>
      </c>
      <c r="G447" s="16">
        <v>358.05</v>
      </c>
      <c r="H447" s="16">
        <f>_A*F447*F447+_B*F447+_C</f>
        <v>361.55334755160573</v>
      </c>
      <c r="I447">
        <f t="shared" si="24"/>
        <v>9</v>
      </c>
      <c r="J447" s="16" cm="1">
        <f t="array" ref="J447">INDEX(Sm,I447)</f>
        <v>-3.1930865292764237</v>
      </c>
      <c r="K447" s="16">
        <f t="shared" si="25"/>
        <v>358.36026102232933</v>
      </c>
      <c r="L447" s="16">
        <f t="shared" si="26"/>
        <v>0.31026102232931407</v>
      </c>
      <c r="M447" s="16">
        <f t="shared" si="27"/>
        <v>9.6261901976831127E-2</v>
      </c>
    </row>
    <row r="448" spans="6:13" x14ac:dyDescent="0.4">
      <c r="F448" s="1">
        <v>34973</v>
      </c>
      <c r="G448" s="16">
        <v>357.75</v>
      </c>
      <c r="H448" s="16">
        <f>_A*F448*F448+_B*F448+_C</f>
        <v>361.69653462176376</v>
      </c>
      <c r="I448">
        <f t="shared" si="24"/>
        <v>10</v>
      </c>
      <c r="J448" s="16" cm="1">
        <f t="array" ref="J448">INDEX(Sm,I448)</f>
        <v>-3.3364130058083399</v>
      </c>
      <c r="K448" s="16">
        <f t="shared" si="25"/>
        <v>358.36012161595539</v>
      </c>
      <c r="L448" s="16">
        <f t="shared" si="26"/>
        <v>0.61012161595539283</v>
      </c>
      <c r="M448" s="16">
        <f t="shared" si="27"/>
        <v>0.37224838625601986</v>
      </c>
    </row>
    <row r="449" spans="6:13" x14ac:dyDescent="0.4">
      <c r="F449" s="1">
        <v>35004</v>
      </c>
      <c r="G449" s="16">
        <v>359.56</v>
      </c>
      <c r="H449" s="16">
        <f>_A*F449*F449+_B*F449+_C</f>
        <v>361.84468000172507</v>
      </c>
      <c r="I449">
        <f t="shared" si="24"/>
        <v>11</v>
      </c>
      <c r="J449" s="16" cm="1">
        <f t="array" ref="J449">INDEX(Sm,I449)</f>
        <v>-2.0587659563291303</v>
      </c>
      <c r="K449" s="16">
        <f t="shared" si="25"/>
        <v>359.78591404539594</v>
      </c>
      <c r="L449" s="16">
        <f t="shared" si="26"/>
        <v>0.22591404539593896</v>
      </c>
      <c r="M449" s="16">
        <f t="shared" si="27"/>
        <v>5.103715590715837E-2</v>
      </c>
    </row>
    <row r="450" spans="6:13" x14ac:dyDescent="0.4">
      <c r="F450" s="1">
        <v>35034</v>
      </c>
      <c r="G450" s="16">
        <v>360.7</v>
      </c>
      <c r="H450" s="16">
        <f>_A*F450*F450+_B*F450+_C</f>
        <v>361.98822592504047</v>
      </c>
      <c r="I450">
        <f t="shared" si="24"/>
        <v>12</v>
      </c>
      <c r="J450" s="16" cm="1">
        <f t="array" ref="J450">INDEX(Sm,I450)</f>
        <v>-0.89092746411398172</v>
      </c>
      <c r="K450" s="16">
        <f t="shared" si="25"/>
        <v>361.09729846092648</v>
      </c>
      <c r="L450" s="16">
        <f t="shared" si="26"/>
        <v>0.39729846092649268</v>
      </c>
      <c r="M450" s="16">
        <f t="shared" si="27"/>
        <v>0.15784606705455984</v>
      </c>
    </row>
    <row r="451" spans="6:13" x14ac:dyDescent="0.4">
      <c r="F451" s="1">
        <v>35065</v>
      </c>
      <c r="G451" s="16">
        <v>362.05</v>
      </c>
      <c r="H451" s="16">
        <f>_A*F451*F451+_B*F451+_C</f>
        <v>362.13674211993111</v>
      </c>
      <c r="I451">
        <f t="shared" ref="I451:I514" si="28">MONTH(F451)</f>
        <v>1</v>
      </c>
      <c r="J451" s="16" cm="1">
        <f t="array" ref="J451">INDEX(Sm,I451)</f>
        <v>6.1437948016995841E-2</v>
      </c>
      <c r="K451" s="16">
        <f t="shared" ref="K451:K514" si="29">H451+J451</f>
        <v>362.1981800679481</v>
      </c>
      <c r="L451" s="16">
        <f t="shared" ref="L451:L514" si="30">K451-G451</f>
        <v>0.1481800679480898</v>
      </c>
      <c r="M451" s="16">
        <f t="shared" ref="M451:M514" si="31">L451*L451</f>
        <v>2.1957332537100509E-2</v>
      </c>
    </row>
    <row r="452" spans="6:13" x14ac:dyDescent="0.4">
      <c r="F452" s="1">
        <v>35096</v>
      </c>
      <c r="G452" s="16">
        <v>363.24</v>
      </c>
      <c r="H452" s="16">
        <f>_A*F452*F452+_B*F452+_C</f>
        <v>362.28544676175306</v>
      </c>
      <c r="I452">
        <f t="shared" si="28"/>
        <v>2</v>
      </c>
      <c r="J452" s="16" cm="1">
        <f t="array" ref="J452">INDEX(Sm,I452)</f>
        <v>0.69461918939657585</v>
      </c>
      <c r="K452" s="16">
        <f t="shared" si="29"/>
        <v>362.98006595114964</v>
      </c>
      <c r="L452" s="16">
        <f t="shared" si="30"/>
        <v>-0.25993404885036853</v>
      </c>
      <c r="M452" s="16">
        <f t="shared" si="31"/>
        <v>6.7565709751745778E-2</v>
      </c>
    </row>
    <row r="453" spans="6:13" x14ac:dyDescent="0.4">
      <c r="F453" s="1">
        <v>35125</v>
      </c>
      <c r="G453" s="16">
        <v>364.02</v>
      </c>
      <c r="H453" s="16">
        <f>_A*F453*F453+_B*F453+_C</f>
        <v>362.42472815803626</v>
      </c>
      <c r="I453">
        <f t="shared" si="28"/>
        <v>3</v>
      </c>
      <c r="J453" s="16" cm="1">
        <f t="array" ref="J453">INDEX(Sm,I453)</f>
        <v>1.3737674684313066</v>
      </c>
      <c r="K453" s="16">
        <f t="shared" si="29"/>
        <v>363.79849562646757</v>
      </c>
      <c r="L453" s="16">
        <f t="shared" si="30"/>
        <v>-0.22150437353241159</v>
      </c>
      <c r="M453" s="16">
        <f t="shared" si="31"/>
        <v>4.9064187493986118E-2</v>
      </c>
    </row>
    <row r="454" spans="6:13" x14ac:dyDescent="0.4">
      <c r="F454" s="1">
        <v>35156</v>
      </c>
      <c r="G454" s="16">
        <v>364.71</v>
      </c>
      <c r="H454" s="16">
        <f>_A*F454*F454+_B*F454+_C</f>
        <v>362.57379753585423</v>
      </c>
      <c r="I454">
        <f t="shared" si="28"/>
        <v>4</v>
      </c>
      <c r="J454" s="16" cm="1">
        <f t="array" ref="J454">INDEX(Sm,I454)</f>
        <v>2.6103146033777413</v>
      </c>
      <c r="K454" s="16">
        <f t="shared" si="29"/>
        <v>365.18411213923196</v>
      </c>
      <c r="L454" s="16">
        <f t="shared" si="30"/>
        <v>0.47411213923197693</v>
      </c>
      <c r="M454" s="16">
        <f t="shared" si="31"/>
        <v>0.22478232056712147</v>
      </c>
    </row>
    <row r="455" spans="6:13" x14ac:dyDescent="0.4">
      <c r="F455" s="1">
        <v>35186</v>
      </c>
      <c r="G455" s="16">
        <v>365.42</v>
      </c>
      <c r="H455" s="16">
        <f>_A*F455*F455+_B*F455+_C</f>
        <v>362.71823765064391</v>
      </c>
      <c r="I455">
        <f t="shared" si="28"/>
        <v>5</v>
      </c>
      <c r="J455" s="16" cm="1">
        <f t="array" ref="J455">INDEX(Sm,I455)</f>
        <v>3.065687851218776</v>
      </c>
      <c r="K455" s="16">
        <f t="shared" si="29"/>
        <v>365.78392550186271</v>
      </c>
      <c r="L455" s="16">
        <f t="shared" si="30"/>
        <v>0.36392550186269546</v>
      </c>
      <c r="M455" s="16">
        <f t="shared" si="31"/>
        <v>0.13244177090601475</v>
      </c>
    </row>
    <row r="456" spans="6:13" x14ac:dyDescent="0.4">
      <c r="F456" s="1">
        <v>35217</v>
      </c>
      <c r="G456" s="16">
        <v>364.97</v>
      </c>
      <c r="H456" s="16">
        <f>_A*F456*F456+_B*F456+_C</f>
        <v>362.86767784339122</v>
      </c>
      <c r="I456">
        <f t="shared" si="28"/>
        <v>6</v>
      </c>
      <c r="J456" s="16" cm="1">
        <f t="array" ref="J456">INDEX(Sm,I456)</f>
        <v>2.3467878996384672</v>
      </c>
      <c r="K456" s="16">
        <f t="shared" si="29"/>
        <v>365.21446574302968</v>
      </c>
      <c r="L456" s="16">
        <f t="shared" si="30"/>
        <v>0.24446574302965018</v>
      </c>
      <c r="M456" s="16">
        <f t="shared" si="31"/>
        <v>5.9763499515038961E-2</v>
      </c>
    </row>
    <row r="457" spans="6:13" x14ac:dyDescent="0.4">
      <c r="F457" s="1">
        <v>35247</v>
      </c>
      <c r="G457" s="16">
        <v>363.65</v>
      </c>
      <c r="H457" s="16">
        <f>_A*F457*F457+_B*F457+_C</f>
        <v>363.01247681133827</v>
      </c>
      <c r="I457">
        <f t="shared" si="28"/>
        <v>7</v>
      </c>
      <c r="J457" s="16" cm="1">
        <f t="array" ref="J457">INDEX(Sm,I457)</f>
        <v>0.7237382709437985</v>
      </c>
      <c r="K457" s="16">
        <f t="shared" si="29"/>
        <v>363.73621508228206</v>
      </c>
      <c r="L457" s="16">
        <f t="shared" si="30"/>
        <v>8.6215082282080857E-2</v>
      </c>
      <c r="M457" s="16">
        <f t="shared" si="31"/>
        <v>7.4330404129059726E-3</v>
      </c>
    </row>
    <row r="458" spans="6:13" x14ac:dyDescent="0.4">
      <c r="F458" s="1">
        <v>35278</v>
      </c>
      <c r="G458" s="16">
        <v>361.48</v>
      </c>
      <c r="H458" s="16">
        <f>_A*F458*F458+_B*F458+_C</f>
        <v>363.16228781901498</v>
      </c>
      <c r="I458">
        <f t="shared" si="28"/>
        <v>8</v>
      </c>
      <c r="J458" s="16" cm="1">
        <f t="array" ref="J458">INDEX(Sm,I458)</f>
        <v>-1.3971602754957855</v>
      </c>
      <c r="K458" s="16">
        <f t="shared" si="29"/>
        <v>361.76512754351921</v>
      </c>
      <c r="L458" s="16">
        <f t="shared" si="30"/>
        <v>0.28512754351919511</v>
      </c>
      <c r="M458" s="16">
        <f t="shared" si="31"/>
        <v>8.1297716073290505E-2</v>
      </c>
    </row>
    <row r="459" spans="6:13" x14ac:dyDescent="0.4">
      <c r="F459" s="1">
        <v>35309</v>
      </c>
      <c r="G459" s="16">
        <v>359.45</v>
      </c>
      <c r="H459" s="16">
        <f>_A*F459*F459+_B*F459+_C</f>
        <v>363.31228727362293</v>
      </c>
      <c r="I459">
        <f t="shared" si="28"/>
        <v>9</v>
      </c>
      <c r="J459" s="16" cm="1">
        <f t="array" ref="J459">INDEX(Sm,I459)</f>
        <v>-3.1930865292764237</v>
      </c>
      <c r="K459" s="16">
        <f t="shared" si="29"/>
        <v>360.11920074434653</v>
      </c>
      <c r="L459" s="16">
        <f t="shared" si="30"/>
        <v>0.66920074434653998</v>
      </c>
      <c r="M459" s="16">
        <f t="shared" si="31"/>
        <v>0.44782963623396316</v>
      </c>
    </row>
    <row r="460" spans="6:13" x14ac:dyDescent="0.4">
      <c r="F460" s="1">
        <v>35339</v>
      </c>
      <c r="G460" s="16">
        <v>359.61</v>
      </c>
      <c r="H460" s="16">
        <f>_A*F460*F460+_B*F460+_C</f>
        <v>363.45762746272544</v>
      </c>
      <c r="I460">
        <f t="shared" si="28"/>
        <v>10</v>
      </c>
      <c r="J460" s="16" cm="1">
        <f t="array" ref="J460">INDEX(Sm,I460)</f>
        <v>-3.3364130058083399</v>
      </c>
      <c r="K460" s="16">
        <f t="shared" si="29"/>
        <v>360.12121445691707</v>
      </c>
      <c r="L460" s="16">
        <f t="shared" si="30"/>
        <v>0.51121445691705958</v>
      </c>
      <c r="M460" s="16">
        <f t="shared" si="31"/>
        <v>0.26134022096100418</v>
      </c>
    </row>
    <row r="461" spans="6:13" x14ac:dyDescent="0.4">
      <c r="F461" s="1">
        <v>35370</v>
      </c>
      <c r="G461" s="16">
        <v>360.76</v>
      </c>
      <c r="H461" s="16">
        <f>_A*F461*F461+_B*F461+_C</f>
        <v>363.60799773226273</v>
      </c>
      <c r="I461">
        <f t="shared" si="28"/>
        <v>11</v>
      </c>
      <c r="J461" s="16" cm="1">
        <f t="array" ref="J461">INDEX(Sm,I461)</f>
        <v>-2.0587659563291303</v>
      </c>
      <c r="K461" s="16">
        <f t="shared" si="29"/>
        <v>361.54923177593361</v>
      </c>
      <c r="L461" s="16">
        <f t="shared" si="30"/>
        <v>0.78923177593361515</v>
      </c>
      <c r="M461" s="16">
        <f t="shared" si="31"/>
        <v>0.62288679614332809</v>
      </c>
    </row>
    <row r="462" spans="6:13" x14ac:dyDescent="0.4">
      <c r="F462" s="1">
        <v>35400</v>
      </c>
      <c r="G462" s="16">
        <v>362.33</v>
      </c>
      <c r="H462" s="16">
        <f>_A*F462*F462+_B*F462+_C</f>
        <v>363.75369677452272</v>
      </c>
      <c r="I462">
        <f t="shared" si="28"/>
        <v>12</v>
      </c>
      <c r="J462" s="16" cm="1">
        <f t="array" ref="J462">INDEX(Sm,I462)</f>
        <v>-0.89092746411398172</v>
      </c>
      <c r="K462" s="16">
        <f t="shared" si="29"/>
        <v>362.86276931040874</v>
      </c>
      <c r="L462" s="16">
        <f t="shared" si="30"/>
        <v>0.53276931040875297</v>
      </c>
      <c r="M462" s="16">
        <f t="shared" si="31"/>
        <v>0.28384313811341816</v>
      </c>
    </row>
    <row r="463" spans="6:13" x14ac:dyDescent="0.4">
      <c r="F463" s="1">
        <v>35431</v>
      </c>
      <c r="G463" s="16">
        <v>363.19</v>
      </c>
      <c r="H463" s="16">
        <f>_A*F463*F463+_B*F463+_C</f>
        <v>363.90443785898935</v>
      </c>
      <c r="I463">
        <f t="shared" si="28"/>
        <v>1</v>
      </c>
      <c r="J463" s="16" cm="1">
        <f t="array" ref="J463">INDEX(Sm,I463)</f>
        <v>6.1437948016995841E-2</v>
      </c>
      <c r="K463" s="16">
        <f t="shared" si="29"/>
        <v>363.96587580700634</v>
      </c>
      <c r="L463" s="16">
        <f t="shared" si="30"/>
        <v>0.77587580700634362</v>
      </c>
      <c r="M463" s="16">
        <f t="shared" si="31"/>
        <v>0.60198326789774492</v>
      </c>
    </row>
    <row r="464" spans="6:13" x14ac:dyDescent="0.4">
      <c r="F464" s="1">
        <v>35462</v>
      </c>
      <c r="G464" s="16">
        <v>363.99</v>
      </c>
      <c r="H464" s="16">
        <f>_A*F464*F464+_B*F464+_C</f>
        <v>364.05536739038723</v>
      </c>
      <c r="I464">
        <f t="shared" si="28"/>
        <v>2</v>
      </c>
      <c r="J464" s="16" cm="1">
        <f t="array" ref="J464">INDEX(Sm,I464)</f>
        <v>0.69461918939657585</v>
      </c>
      <c r="K464" s="16">
        <f t="shared" si="29"/>
        <v>364.74998657978381</v>
      </c>
      <c r="L464" s="16">
        <f t="shared" si="30"/>
        <v>0.75998657978379924</v>
      </c>
      <c r="M464" s="16">
        <f t="shared" si="31"/>
        <v>0.57757960145147702</v>
      </c>
    </row>
    <row r="465" spans="6:13" x14ac:dyDescent="0.4">
      <c r="F465" s="1">
        <v>35490</v>
      </c>
      <c r="G465" s="16">
        <v>364.56</v>
      </c>
      <c r="H465" s="16">
        <f>_A*F465*F465+_B*F465+_C</f>
        <v>364.1918528122589</v>
      </c>
      <c r="I465">
        <f t="shared" si="28"/>
        <v>3</v>
      </c>
      <c r="J465" s="16" cm="1">
        <f t="array" ref="J465">INDEX(Sm,I465)</f>
        <v>1.3737674684313066</v>
      </c>
      <c r="K465" s="16">
        <f t="shared" si="29"/>
        <v>365.56562028069021</v>
      </c>
      <c r="L465" s="16">
        <f t="shared" si="30"/>
        <v>1.0056202806902093</v>
      </c>
      <c r="M465" s="16">
        <f t="shared" si="31"/>
        <v>1.0112721489354553</v>
      </c>
    </row>
    <row r="466" spans="6:13" x14ac:dyDescent="0.4">
      <c r="F466" s="1">
        <v>35521</v>
      </c>
      <c r="G466" s="16">
        <v>366.36</v>
      </c>
      <c r="H466" s="16">
        <f>_A*F466*F466+_B*F466+_C</f>
        <v>364.34314100071964</v>
      </c>
      <c r="I466">
        <f t="shared" si="28"/>
        <v>4</v>
      </c>
      <c r="J466" s="16" cm="1">
        <f t="array" ref="J466">INDEX(Sm,I466)</f>
        <v>2.6103146033777413</v>
      </c>
      <c r="K466" s="16">
        <f t="shared" si="29"/>
        <v>366.95345560409737</v>
      </c>
      <c r="L466" s="16">
        <f t="shared" si="30"/>
        <v>0.59345560409735754</v>
      </c>
      <c r="M466" s="16">
        <f t="shared" si="31"/>
        <v>0.35218955403455959</v>
      </c>
    </row>
    <row r="467" spans="6:13" x14ac:dyDescent="0.4">
      <c r="F467" s="1">
        <v>35551</v>
      </c>
      <c r="G467" s="16">
        <v>366.8</v>
      </c>
      <c r="H467" s="16">
        <f>_A*F467*F467+_B*F467+_C</f>
        <v>364.48972835161516</v>
      </c>
      <c r="I467">
        <f t="shared" si="28"/>
        <v>5</v>
      </c>
      <c r="J467" s="16" cm="1">
        <f t="array" ref="J467">INDEX(Sm,I467)</f>
        <v>3.065687851218776</v>
      </c>
      <c r="K467" s="16">
        <f t="shared" si="29"/>
        <v>367.55541620283395</v>
      </c>
      <c r="L467" s="16">
        <f t="shared" si="30"/>
        <v>0.75541620283394195</v>
      </c>
      <c r="M467" s="16">
        <f t="shared" si="31"/>
        <v>0.57065363950405135</v>
      </c>
    </row>
    <row r="468" spans="6:13" x14ac:dyDescent="0.4">
      <c r="F468" s="1">
        <v>35582</v>
      </c>
      <c r="G468" s="16">
        <v>365.63</v>
      </c>
      <c r="H468" s="16">
        <f>_A*F468*F468+_B*F468+_C</f>
        <v>364.64138735500524</v>
      </c>
      <c r="I468">
        <f t="shared" si="28"/>
        <v>6</v>
      </c>
      <c r="J468" s="16" cm="1">
        <f t="array" ref="J468">INDEX(Sm,I468)</f>
        <v>2.3467878996384672</v>
      </c>
      <c r="K468" s="16">
        <f t="shared" si="29"/>
        <v>366.98817525464369</v>
      </c>
      <c r="L468" s="16">
        <f t="shared" si="30"/>
        <v>1.3581752546436974</v>
      </c>
      <c r="M468" s="16">
        <f t="shared" si="31"/>
        <v>1.8446400223264723</v>
      </c>
    </row>
    <row r="469" spans="6:13" x14ac:dyDescent="0.4">
      <c r="F469" s="1">
        <v>35612</v>
      </c>
      <c r="G469" s="16">
        <v>364.47</v>
      </c>
      <c r="H469" s="16">
        <f>_A*F469*F469+_B*F469+_C</f>
        <v>364.78833355905817</v>
      </c>
      <c r="I469">
        <f t="shared" si="28"/>
        <v>7</v>
      </c>
      <c r="J469" s="16" cm="1">
        <f t="array" ref="J469">INDEX(Sm,I469)</f>
        <v>0.7237382709437985</v>
      </c>
      <c r="K469" s="16">
        <f t="shared" si="29"/>
        <v>365.51207183000196</v>
      </c>
      <c r="L469" s="16">
        <f t="shared" si="30"/>
        <v>1.0420718300019303</v>
      </c>
      <c r="M469" s="16">
        <f t="shared" si="31"/>
        <v>1.0859136988835718</v>
      </c>
    </row>
    <row r="470" spans="6:13" x14ac:dyDescent="0.4">
      <c r="F470" s="1">
        <v>35643</v>
      </c>
      <c r="G470" s="16">
        <v>362.5</v>
      </c>
      <c r="H470" s="16">
        <f>_A*F470*F470+_B*F470+_C</f>
        <v>364.94036337737754</v>
      </c>
      <c r="I470">
        <f t="shared" si="28"/>
        <v>8</v>
      </c>
      <c r="J470" s="16" cm="1">
        <f t="array" ref="J470">INDEX(Sm,I470)</f>
        <v>-1.3971602754957855</v>
      </c>
      <c r="K470" s="16">
        <f t="shared" si="29"/>
        <v>363.54320310188177</v>
      </c>
      <c r="L470" s="16">
        <f t="shared" si="30"/>
        <v>1.0432031018817725</v>
      </c>
      <c r="M470" s="16">
        <f t="shared" si="31"/>
        <v>1.0882727117757518</v>
      </c>
    </row>
    <row r="471" spans="6:13" x14ac:dyDescent="0.4">
      <c r="F471" s="1">
        <v>35674</v>
      </c>
      <c r="G471" s="16">
        <v>360.19</v>
      </c>
      <c r="H471" s="16">
        <f>_A*F471*F471+_B*F471+_C</f>
        <v>365.09258164262826</v>
      </c>
      <c r="I471">
        <f t="shared" si="28"/>
        <v>9</v>
      </c>
      <c r="J471" s="16" cm="1">
        <f t="array" ref="J471">INDEX(Sm,I471)</f>
        <v>-3.1930865292764237</v>
      </c>
      <c r="K471" s="16">
        <f t="shared" si="29"/>
        <v>361.89949511335186</v>
      </c>
      <c r="L471" s="16">
        <f t="shared" si="30"/>
        <v>1.7094951133518634</v>
      </c>
      <c r="M471" s="16">
        <f t="shared" si="31"/>
        <v>2.9223735425739004</v>
      </c>
    </row>
    <row r="472" spans="6:13" x14ac:dyDescent="0.4">
      <c r="F472" s="1">
        <v>35704</v>
      </c>
      <c r="G472" s="16">
        <v>360.78</v>
      </c>
      <c r="H472" s="16">
        <f>_A*F472*F472+_B*F472+_C</f>
        <v>365.24006906783666</v>
      </c>
      <c r="I472">
        <f t="shared" si="28"/>
        <v>10</v>
      </c>
      <c r="J472" s="16" cm="1">
        <f t="array" ref="J472">INDEX(Sm,I472)</f>
        <v>-3.3364130058083399</v>
      </c>
      <c r="K472" s="16">
        <f t="shared" si="29"/>
        <v>361.90365606202829</v>
      </c>
      <c r="L472" s="16">
        <f t="shared" si="30"/>
        <v>1.1236560620283171</v>
      </c>
      <c r="M472" s="16">
        <f t="shared" si="31"/>
        <v>1.2626029457329853</v>
      </c>
    </row>
    <row r="473" spans="6:13" x14ac:dyDescent="0.4">
      <c r="F473" s="1">
        <v>35735</v>
      </c>
      <c r="G473" s="16">
        <v>362.43</v>
      </c>
      <c r="H473" s="16">
        <f>_A*F473*F473+_B*F473+_C</f>
        <v>365.39265814801666</v>
      </c>
      <c r="I473">
        <f t="shared" si="28"/>
        <v>11</v>
      </c>
      <c r="J473" s="16" cm="1">
        <f t="array" ref="J473">INDEX(Sm,I473)</f>
        <v>-2.0587659563291303</v>
      </c>
      <c r="K473" s="16">
        <f t="shared" si="29"/>
        <v>363.33389219168754</v>
      </c>
      <c r="L473" s="16">
        <f t="shared" si="30"/>
        <v>0.90389219168753243</v>
      </c>
      <c r="M473" s="16">
        <f t="shared" si="31"/>
        <v>0.81702109419369084</v>
      </c>
    </row>
    <row r="474" spans="6:13" x14ac:dyDescent="0.4">
      <c r="F474" s="1">
        <v>35765</v>
      </c>
      <c r="G474" s="16">
        <v>364.28</v>
      </c>
      <c r="H474" s="16">
        <f>_A*F474*F474+_B*F474+_C</f>
        <v>365.54050442638254</v>
      </c>
      <c r="I474">
        <f t="shared" si="28"/>
        <v>12</v>
      </c>
      <c r="J474" s="16" cm="1">
        <f t="array" ref="J474">INDEX(Sm,I474)</f>
        <v>-0.89092746411398172</v>
      </c>
      <c r="K474" s="16">
        <f t="shared" si="29"/>
        <v>364.64957696226855</v>
      </c>
      <c r="L474" s="16">
        <f t="shared" si="30"/>
        <v>0.36957696226858161</v>
      </c>
      <c r="M474" s="16">
        <f t="shared" si="31"/>
        <v>0.1365871310396726</v>
      </c>
    </row>
    <row r="475" spans="6:13" x14ac:dyDescent="0.4">
      <c r="F475" s="1">
        <v>35796</v>
      </c>
      <c r="G475" s="16">
        <v>365.33</v>
      </c>
      <c r="H475" s="16">
        <f>_A*F475*F475+_B*F475+_C</f>
        <v>365.69346432149183</v>
      </c>
      <c r="I475">
        <f t="shared" si="28"/>
        <v>1</v>
      </c>
      <c r="J475" s="16" cm="1">
        <f t="array" ref="J475">INDEX(Sm,I475)</f>
        <v>6.1437948016995841E-2</v>
      </c>
      <c r="K475" s="16">
        <f t="shared" si="29"/>
        <v>365.75490226950882</v>
      </c>
      <c r="L475" s="16">
        <f t="shared" si="30"/>
        <v>0.42490226950883425</v>
      </c>
      <c r="M475" s="16">
        <f t="shared" si="31"/>
        <v>0.18054193863375803</v>
      </c>
    </row>
    <row r="476" spans="6:13" x14ac:dyDescent="0.4">
      <c r="F476" s="1">
        <v>35827</v>
      </c>
      <c r="G476" s="16">
        <v>366.15</v>
      </c>
      <c r="H476" s="16">
        <f>_A*F476*F476+_B*F476+_C</f>
        <v>365.84661266353248</v>
      </c>
      <c r="I476">
        <f t="shared" si="28"/>
        <v>2</v>
      </c>
      <c r="J476" s="16" cm="1">
        <f t="array" ref="J476">INDEX(Sm,I476)</f>
        <v>0.69461918939657585</v>
      </c>
      <c r="K476" s="16">
        <f t="shared" si="29"/>
        <v>366.54123185292906</v>
      </c>
      <c r="L476" s="16">
        <f t="shared" si="30"/>
        <v>0.39123185292908147</v>
      </c>
      <c r="M476" s="16">
        <f t="shared" si="31"/>
        <v>0.15306236274632243</v>
      </c>
    </row>
    <row r="477" spans="6:13" x14ac:dyDescent="0.4">
      <c r="F477" s="1">
        <v>35855</v>
      </c>
      <c r="G477" s="16">
        <v>367.31</v>
      </c>
      <c r="H477" s="16">
        <f>_A*F477*F477+_B*F477+_C</f>
        <v>365.98510217243631</v>
      </c>
      <c r="I477">
        <f t="shared" si="28"/>
        <v>3</v>
      </c>
      <c r="J477" s="16" cm="1">
        <f t="array" ref="J477">INDEX(Sm,I477)</f>
        <v>1.3737674684313066</v>
      </c>
      <c r="K477" s="16">
        <f t="shared" si="29"/>
        <v>367.35886964086762</v>
      </c>
      <c r="L477" s="16">
        <f t="shared" si="30"/>
        <v>4.8869640867621911E-2</v>
      </c>
      <c r="M477" s="16">
        <f t="shared" si="31"/>
        <v>2.3882417985303418E-3</v>
      </c>
    </row>
    <row r="478" spans="6:13" x14ac:dyDescent="0.4">
      <c r="F478" s="1">
        <v>35886</v>
      </c>
      <c r="G478" s="16">
        <v>368.61</v>
      </c>
      <c r="H478" s="16">
        <f>_A*F478*F478+_B*F478+_C</f>
        <v>366.13860917153977</v>
      </c>
      <c r="I478">
        <f t="shared" si="28"/>
        <v>4</v>
      </c>
      <c r="J478" s="16" cm="1">
        <f t="array" ref="J478">INDEX(Sm,I478)</f>
        <v>2.6103146033777413</v>
      </c>
      <c r="K478" s="16">
        <f t="shared" si="29"/>
        <v>368.7489237749175</v>
      </c>
      <c r="L478" s="16">
        <f t="shared" si="30"/>
        <v>0.13892377491748675</v>
      </c>
      <c r="M478" s="16">
        <f t="shared" si="31"/>
        <v>1.9299815237324523E-2</v>
      </c>
    </row>
    <row r="479" spans="6:13" x14ac:dyDescent="0.4">
      <c r="F479" s="1">
        <v>35916</v>
      </c>
      <c r="G479" s="16">
        <v>369.3</v>
      </c>
      <c r="H479" s="16">
        <f>_A*F479*F479+_B*F479+_C</f>
        <v>366.28734375854117</v>
      </c>
      <c r="I479">
        <f t="shared" si="28"/>
        <v>5</v>
      </c>
      <c r="J479" s="16" cm="1">
        <f t="array" ref="J479">INDEX(Sm,I479)</f>
        <v>3.065687851218776</v>
      </c>
      <c r="K479" s="16">
        <f t="shared" si="29"/>
        <v>369.35303160975997</v>
      </c>
      <c r="L479" s="16">
        <f t="shared" si="30"/>
        <v>5.3031609759955245E-2</v>
      </c>
      <c r="M479" s="16">
        <f t="shared" si="31"/>
        <v>2.8123516337321803E-3</v>
      </c>
    </row>
    <row r="480" spans="6:13" x14ac:dyDescent="0.4">
      <c r="F480" s="1">
        <v>35947</v>
      </c>
      <c r="G480" s="16">
        <v>368.88</v>
      </c>
      <c r="H480" s="16">
        <f>_A*F480*F480+_B*F480+_C</f>
        <v>366.44122157257391</v>
      </c>
      <c r="I480">
        <f t="shared" si="28"/>
        <v>6</v>
      </c>
      <c r="J480" s="16" cm="1">
        <f t="array" ref="J480">INDEX(Sm,I480)</f>
        <v>2.3467878996384672</v>
      </c>
      <c r="K480" s="16">
        <f t="shared" si="29"/>
        <v>368.78800947221237</v>
      </c>
      <c r="L480" s="16">
        <f t="shared" si="30"/>
        <v>-9.1990527787629617E-2</v>
      </c>
      <c r="M480" s="16">
        <f t="shared" si="31"/>
        <v>8.4622572026466572E-3</v>
      </c>
    </row>
    <row r="481" spans="6:13" x14ac:dyDescent="0.4">
      <c r="F481" s="1">
        <v>35977</v>
      </c>
      <c r="G481" s="16">
        <v>367.64</v>
      </c>
      <c r="H481" s="16">
        <f>_A*F481*F481+_B*F481+_C</f>
        <v>366.59031501273273</v>
      </c>
      <c r="I481">
        <f t="shared" si="28"/>
        <v>7</v>
      </c>
      <c r="J481" s="16" cm="1">
        <f t="array" ref="J481">INDEX(Sm,I481)</f>
        <v>0.7237382709437985</v>
      </c>
      <c r="K481" s="16">
        <f t="shared" si="29"/>
        <v>367.31405328367651</v>
      </c>
      <c r="L481" s="16">
        <f t="shared" si="30"/>
        <v>-0.32594671632347172</v>
      </c>
      <c r="M481" s="16">
        <f t="shared" si="31"/>
        <v>0.10624126188205374</v>
      </c>
    </row>
    <row r="482" spans="6:13" x14ac:dyDescent="0.4">
      <c r="F482" s="1">
        <v>36008</v>
      </c>
      <c r="G482" s="16">
        <v>365.78</v>
      </c>
      <c r="H482" s="16">
        <f>_A*F482*F482+_B*F482+_C</f>
        <v>366.74456364169487</v>
      </c>
      <c r="I482">
        <f t="shared" si="28"/>
        <v>8</v>
      </c>
      <c r="J482" s="16" cm="1">
        <f t="array" ref="J482">INDEX(Sm,I482)</f>
        <v>-1.3971602754957855</v>
      </c>
      <c r="K482" s="16">
        <f t="shared" si="29"/>
        <v>365.3474033661991</v>
      </c>
      <c r="L482" s="16">
        <f t="shared" si="30"/>
        <v>-0.43259663380086977</v>
      </c>
      <c r="M482" s="16">
        <f t="shared" si="31"/>
        <v>0.18713984757584382</v>
      </c>
    </row>
    <row r="483" spans="6:13" x14ac:dyDescent="0.4">
      <c r="F483" s="1">
        <v>36039</v>
      </c>
      <c r="G483" s="16">
        <v>363.9</v>
      </c>
      <c r="H483" s="16">
        <f>_A*F483*F483+_B*F483+_C</f>
        <v>366.89900071758831</v>
      </c>
      <c r="I483">
        <f t="shared" si="28"/>
        <v>9</v>
      </c>
      <c r="J483" s="16" cm="1">
        <f t="array" ref="J483">INDEX(Sm,I483)</f>
        <v>-3.1930865292764237</v>
      </c>
      <c r="K483" s="16">
        <f t="shared" si="29"/>
        <v>363.70591418831191</v>
      </c>
      <c r="L483" s="16">
        <f t="shared" si="30"/>
        <v>-0.19408581168806904</v>
      </c>
      <c r="M483" s="16">
        <f t="shared" si="31"/>
        <v>3.7669302298616598E-2</v>
      </c>
    </row>
    <row r="484" spans="6:13" x14ac:dyDescent="0.4">
      <c r="F484" s="1">
        <v>36069</v>
      </c>
      <c r="G484" s="16">
        <v>364.23</v>
      </c>
      <c r="H484" s="16">
        <f>_A*F484*F484+_B*F484+_C</f>
        <v>367.04863537890253</v>
      </c>
      <c r="I484">
        <f t="shared" si="28"/>
        <v>10</v>
      </c>
      <c r="J484" s="16" cm="1">
        <f t="array" ref="J484">INDEX(Sm,I484)</f>
        <v>-3.3364130058083399</v>
      </c>
      <c r="K484" s="16">
        <f t="shared" si="29"/>
        <v>363.71222237309416</v>
      </c>
      <c r="L484" s="16">
        <f t="shared" si="30"/>
        <v>-0.51777762690585405</v>
      </c>
      <c r="M484" s="16">
        <f t="shared" si="31"/>
        <v>0.26809367092425779</v>
      </c>
    </row>
    <row r="485" spans="6:13" x14ac:dyDescent="0.4">
      <c r="F485" s="1">
        <v>36100</v>
      </c>
      <c r="G485" s="16">
        <v>365.46</v>
      </c>
      <c r="H485" s="16">
        <f>_A*F485*F485+_B*F485+_C</f>
        <v>367.20344326972531</v>
      </c>
      <c r="I485">
        <f t="shared" si="28"/>
        <v>11</v>
      </c>
      <c r="J485" s="16" cm="1">
        <f t="array" ref="J485">INDEX(Sm,I485)</f>
        <v>-2.0587659563291303</v>
      </c>
      <c r="K485" s="16">
        <f t="shared" si="29"/>
        <v>365.14467731339619</v>
      </c>
      <c r="L485" s="16">
        <f t="shared" si="30"/>
        <v>-0.31532268660379259</v>
      </c>
      <c r="M485" s="16">
        <f t="shared" si="31"/>
        <v>9.9428396687033599E-2</v>
      </c>
    </row>
    <row r="486" spans="6:13" x14ac:dyDescent="0.4">
      <c r="F486" s="1">
        <v>36130</v>
      </c>
      <c r="G486" s="16">
        <v>366.97</v>
      </c>
      <c r="H486" s="16">
        <f>_A*F486*F486+_B*F486+_C</f>
        <v>367.35343678419702</v>
      </c>
      <c r="I486">
        <f t="shared" si="28"/>
        <v>12</v>
      </c>
      <c r="J486" s="16" cm="1">
        <f t="array" ref="J486">INDEX(Sm,I486)</f>
        <v>-0.89092746411398172</v>
      </c>
      <c r="K486" s="16">
        <f t="shared" si="29"/>
        <v>366.46250932008303</v>
      </c>
      <c r="L486" s="16">
        <f t="shared" si="30"/>
        <v>-0.50749067991699803</v>
      </c>
      <c r="M486" s="16">
        <f t="shared" si="31"/>
        <v>0.25754679020261695</v>
      </c>
    </row>
    <row r="487" spans="6:13" x14ac:dyDescent="0.4">
      <c r="F487" s="1">
        <v>36161</v>
      </c>
      <c r="G487" s="16">
        <v>368.15</v>
      </c>
      <c r="H487" s="16">
        <f>_A*F487*F487+_B*F487+_C</f>
        <v>367.50861548994908</v>
      </c>
      <c r="I487">
        <f t="shared" si="28"/>
        <v>1</v>
      </c>
      <c r="J487" s="16" cm="1">
        <f t="array" ref="J487">INDEX(Sm,I487)</f>
        <v>6.1437948016995841E-2</v>
      </c>
      <c r="K487" s="16">
        <f t="shared" si="29"/>
        <v>367.57005343796607</v>
      </c>
      <c r="L487" s="16">
        <f t="shared" si="30"/>
        <v>-0.5799465620339106</v>
      </c>
      <c r="M487" s="16">
        <f t="shared" si="31"/>
        <v>0.33633801481495251</v>
      </c>
    </row>
    <row r="488" spans="6:13" x14ac:dyDescent="0.4">
      <c r="F488" s="1">
        <v>36192</v>
      </c>
      <c r="G488" s="16">
        <v>368.87</v>
      </c>
      <c r="H488" s="16">
        <f>_A*F488*F488+_B*F488+_C</f>
        <v>367.66398264263245</v>
      </c>
      <c r="I488">
        <f t="shared" si="28"/>
        <v>2</v>
      </c>
      <c r="J488" s="16" cm="1">
        <f t="array" ref="J488">INDEX(Sm,I488)</f>
        <v>0.69461918939657585</v>
      </c>
      <c r="K488" s="16">
        <f t="shared" si="29"/>
        <v>368.35860183202902</v>
      </c>
      <c r="L488" s="16">
        <f t="shared" si="30"/>
        <v>-0.51139816797098092</v>
      </c>
      <c r="M488" s="16">
        <f t="shared" si="31"/>
        <v>0.26152808620407564</v>
      </c>
    </row>
    <row r="489" spans="6:13" x14ac:dyDescent="0.4">
      <c r="F489" s="1">
        <v>36220</v>
      </c>
      <c r="G489" s="16">
        <v>369.59</v>
      </c>
      <c r="H489" s="16">
        <f>_A*F489*F489+_B*F489+_C</f>
        <v>367.80447623856844</v>
      </c>
      <c r="I489">
        <f t="shared" si="28"/>
        <v>3</v>
      </c>
      <c r="J489" s="16" cm="1">
        <f t="array" ref="J489">INDEX(Sm,I489)</f>
        <v>1.3737674684313066</v>
      </c>
      <c r="K489" s="16">
        <f t="shared" si="29"/>
        <v>369.17824370699975</v>
      </c>
      <c r="L489" s="16">
        <f t="shared" si="30"/>
        <v>-0.41175629300022365</v>
      </c>
      <c r="M489" s="16">
        <f t="shared" si="31"/>
        <v>0.16954324482528602</v>
      </c>
    </row>
    <row r="490" spans="6:13" x14ac:dyDescent="0.4">
      <c r="F490" s="1">
        <v>36251</v>
      </c>
      <c r="G490" s="16">
        <v>371.14</v>
      </c>
      <c r="H490" s="16">
        <f>_A*F490*F490+_B*F490+_C</f>
        <v>367.96020204831461</v>
      </c>
      <c r="I490">
        <f t="shared" si="28"/>
        <v>4</v>
      </c>
      <c r="J490" s="16" cm="1">
        <f t="array" ref="J490">INDEX(Sm,I490)</f>
        <v>2.6103146033777413</v>
      </c>
      <c r="K490" s="16">
        <f t="shared" si="29"/>
        <v>370.57051665169234</v>
      </c>
      <c r="L490" s="16">
        <f t="shared" si="30"/>
        <v>-0.56948334830764225</v>
      </c>
      <c r="M490" s="16">
        <f t="shared" si="31"/>
        <v>0.3243112839996834</v>
      </c>
    </row>
    <row r="491" spans="6:13" x14ac:dyDescent="0.4">
      <c r="F491" s="1">
        <v>36281</v>
      </c>
      <c r="G491" s="16">
        <v>371</v>
      </c>
      <c r="H491" s="16">
        <f>_A*F491*F491+_B*F491+_C</f>
        <v>368.11108387142184</v>
      </c>
      <c r="I491">
        <f t="shared" si="28"/>
        <v>5</v>
      </c>
      <c r="J491" s="16" cm="1">
        <f t="array" ref="J491">INDEX(Sm,I491)</f>
        <v>3.065687851218776</v>
      </c>
      <c r="K491" s="16">
        <f t="shared" si="29"/>
        <v>371.17677172264064</v>
      </c>
      <c r="L491" s="16">
        <f t="shared" si="30"/>
        <v>0.17677172264063756</v>
      </c>
      <c r="M491" s="16">
        <f t="shared" si="31"/>
        <v>3.1248241925338496E-2</v>
      </c>
    </row>
    <row r="492" spans="6:13" x14ac:dyDescent="0.4">
      <c r="F492" s="1">
        <v>36312</v>
      </c>
      <c r="G492" s="16">
        <v>370.35</v>
      </c>
      <c r="H492" s="16">
        <f>_A*F492*F492+_B*F492+_C</f>
        <v>368.26718049609741</v>
      </c>
      <c r="I492">
        <f t="shared" si="28"/>
        <v>6</v>
      </c>
      <c r="J492" s="16" cm="1">
        <f t="array" ref="J492">INDEX(Sm,I492)</f>
        <v>2.3467878996384672</v>
      </c>
      <c r="K492" s="16">
        <f t="shared" si="29"/>
        <v>370.61396839573587</v>
      </c>
      <c r="L492" s="16">
        <f t="shared" si="30"/>
        <v>0.2639683957358443</v>
      </c>
      <c r="M492" s="16">
        <f t="shared" si="31"/>
        <v>6.9679313947355298E-2</v>
      </c>
    </row>
    <row r="493" spans="6:13" x14ac:dyDescent="0.4">
      <c r="F493" s="1">
        <v>36342</v>
      </c>
      <c r="G493" s="16">
        <v>369.27</v>
      </c>
      <c r="H493" s="16">
        <f>_A*F493*F493+_B*F493+_C</f>
        <v>368.41842117236206</v>
      </c>
      <c r="I493">
        <f t="shared" si="28"/>
        <v>7</v>
      </c>
      <c r="J493" s="16" cm="1">
        <f t="array" ref="J493">INDEX(Sm,I493)</f>
        <v>0.7237382709437985</v>
      </c>
      <c r="K493" s="16">
        <f t="shared" si="29"/>
        <v>369.14215944330584</v>
      </c>
      <c r="L493" s="16">
        <f t="shared" si="30"/>
        <v>-0.12784055669413874</v>
      </c>
      <c r="M493" s="16">
        <f t="shared" si="31"/>
        <v>1.6343207935867302E-2</v>
      </c>
    </row>
    <row r="494" spans="6:13" x14ac:dyDescent="0.4">
      <c r="F494" s="1">
        <v>36373</v>
      </c>
      <c r="G494" s="16">
        <v>366.93</v>
      </c>
      <c r="H494" s="16">
        <f>_A*F494*F494+_B*F494+_C</f>
        <v>368.57488861196691</v>
      </c>
      <c r="I494">
        <f t="shared" si="28"/>
        <v>8</v>
      </c>
      <c r="J494" s="16" cm="1">
        <f t="array" ref="J494">INDEX(Sm,I494)</f>
        <v>-1.3971602754957855</v>
      </c>
      <c r="K494" s="16">
        <f t="shared" si="29"/>
        <v>367.17772833647115</v>
      </c>
      <c r="L494" s="16">
        <f t="shared" si="30"/>
        <v>0.24772833647114112</v>
      </c>
      <c r="M494" s="16">
        <f t="shared" si="31"/>
        <v>6.1369328690758909E-2</v>
      </c>
    </row>
    <row r="495" spans="6:13" x14ac:dyDescent="0.4">
      <c r="F495" s="1">
        <v>36404</v>
      </c>
      <c r="G495" s="16">
        <v>364.64</v>
      </c>
      <c r="H495" s="16">
        <f>_A*F495*F495+_B*F495+_C</f>
        <v>368.73154449850307</v>
      </c>
      <c r="I495">
        <f t="shared" si="28"/>
        <v>9</v>
      </c>
      <c r="J495" s="16" cm="1">
        <f t="array" ref="J495">INDEX(Sm,I495)</f>
        <v>-3.1930865292764237</v>
      </c>
      <c r="K495" s="16">
        <f t="shared" si="29"/>
        <v>365.53845796922667</v>
      </c>
      <c r="L495" s="16">
        <f t="shared" si="30"/>
        <v>0.89845796922668342</v>
      </c>
      <c r="M495" s="16">
        <f t="shared" si="31"/>
        <v>0.80722672246693605</v>
      </c>
    </row>
    <row r="496" spans="6:13" x14ac:dyDescent="0.4">
      <c r="F496" s="1">
        <v>36434</v>
      </c>
      <c r="G496" s="16">
        <v>365.13</v>
      </c>
      <c r="H496" s="16">
        <f>_A*F496*F496+_B*F496+_C</f>
        <v>368.88332639592323</v>
      </c>
      <c r="I496">
        <f t="shared" si="28"/>
        <v>10</v>
      </c>
      <c r="J496" s="16" cm="1">
        <f t="array" ref="J496">INDEX(Sm,I496)</f>
        <v>-3.3364130058083399</v>
      </c>
      <c r="K496" s="16">
        <f t="shared" si="29"/>
        <v>365.54691339011487</v>
      </c>
      <c r="L496" s="16">
        <f t="shared" si="30"/>
        <v>0.41691339011487116</v>
      </c>
      <c r="M496" s="16">
        <f t="shared" si="31"/>
        <v>0.17381677485707475</v>
      </c>
    </row>
    <row r="497" spans="6:13" x14ac:dyDescent="0.4">
      <c r="F497" s="1">
        <v>36465</v>
      </c>
      <c r="G497" s="16">
        <v>366.68</v>
      </c>
      <c r="H497" s="16">
        <f>_A*F497*F497+_B*F497+_C</f>
        <v>369.04035309738867</v>
      </c>
      <c r="I497">
        <f t="shared" si="28"/>
        <v>11</v>
      </c>
      <c r="J497" s="16" cm="1">
        <f t="array" ref="J497">INDEX(Sm,I497)</f>
        <v>-2.0587659563291303</v>
      </c>
      <c r="K497" s="16">
        <f t="shared" si="29"/>
        <v>366.98158714105955</v>
      </c>
      <c r="L497" s="16">
        <f t="shared" si="30"/>
        <v>0.30158714105954232</v>
      </c>
      <c r="M497" s="16">
        <f t="shared" si="31"/>
        <v>9.0954803652468275E-2</v>
      </c>
    </row>
    <row r="498" spans="6:13" x14ac:dyDescent="0.4">
      <c r="F498" s="1">
        <v>36495</v>
      </c>
      <c r="G498" s="16">
        <v>368</v>
      </c>
      <c r="H498" s="16">
        <f>_A*F498*F498+_B*F498+_C</f>
        <v>369.19249384796626</v>
      </c>
      <c r="I498">
        <f t="shared" si="28"/>
        <v>12</v>
      </c>
      <c r="J498" s="16" cm="1">
        <f t="array" ref="J498">INDEX(Sm,I498)</f>
        <v>-0.89092746411398172</v>
      </c>
      <c r="K498" s="16">
        <f t="shared" si="29"/>
        <v>368.30156638385228</v>
      </c>
      <c r="L498" s="16">
        <f t="shared" si="30"/>
        <v>0.30156638385227552</v>
      </c>
      <c r="M498" s="16">
        <f t="shared" si="31"/>
        <v>9.0942283869737989E-2</v>
      </c>
    </row>
    <row r="499" spans="6:13" x14ac:dyDescent="0.4">
      <c r="F499" s="1">
        <v>36526</v>
      </c>
      <c r="G499" s="16">
        <v>369.14</v>
      </c>
      <c r="H499" s="16">
        <f>_A*F499*F499+_B*F499+_C</f>
        <v>369.34989136436104</v>
      </c>
      <c r="I499">
        <f t="shared" si="28"/>
        <v>1</v>
      </c>
      <c r="J499" s="16" cm="1">
        <f t="array" ref="J499">INDEX(Sm,I499)</f>
        <v>6.1437948016995841E-2</v>
      </c>
      <c r="K499" s="16">
        <f t="shared" si="29"/>
        <v>369.41132931237803</v>
      </c>
      <c r="L499" s="16">
        <f t="shared" si="30"/>
        <v>0.27132931237804314</v>
      </c>
      <c r="M499" s="16">
        <f t="shared" si="31"/>
        <v>7.3619595755541709E-2</v>
      </c>
    </row>
    <row r="500" spans="6:13" x14ac:dyDescent="0.4">
      <c r="F500" s="1">
        <v>36557</v>
      </c>
      <c r="G500" s="16">
        <v>369.46</v>
      </c>
      <c r="H500" s="16">
        <f>_A*F500*F500+_B*F500+_C</f>
        <v>369.50747732768718</v>
      </c>
      <c r="I500">
        <f t="shared" si="28"/>
        <v>2</v>
      </c>
      <c r="J500" s="16" cm="1">
        <f t="array" ref="J500">INDEX(Sm,I500)</f>
        <v>0.69461918939657585</v>
      </c>
      <c r="K500" s="16">
        <f t="shared" si="29"/>
        <v>370.20209651708376</v>
      </c>
      <c r="L500" s="16">
        <f t="shared" si="30"/>
        <v>0.74209651708378033</v>
      </c>
      <c r="M500" s="16">
        <f t="shared" si="31"/>
        <v>0.55070724066787746</v>
      </c>
    </row>
    <row r="501" spans="6:13" x14ac:dyDescent="0.4">
      <c r="F501" s="1">
        <v>36586</v>
      </c>
      <c r="G501" s="16">
        <v>370.51</v>
      </c>
      <c r="H501" s="16">
        <f>_A*F501*F501+_B*F501+_C</f>
        <v>369.65506705699039</v>
      </c>
      <c r="I501">
        <f t="shared" si="28"/>
        <v>3</v>
      </c>
      <c r="J501" s="16" cm="1">
        <f t="array" ref="J501">INDEX(Sm,I501)</f>
        <v>1.3737674684313066</v>
      </c>
      <c r="K501" s="16">
        <f t="shared" si="29"/>
        <v>371.0288345254217</v>
      </c>
      <c r="L501" s="16">
        <f t="shared" si="30"/>
        <v>0.51883452542170971</v>
      </c>
      <c r="M501" s="16">
        <f t="shared" si="31"/>
        <v>0.26918926476957072</v>
      </c>
    </row>
    <row r="502" spans="6:13" x14ac:dyDescent="0.4">
      <c r="F502" s="1">
        <v>36617</v>
      </c>
      <c r="G502" s="16">
        <v>371.66</v>
      </c>
      <c r="H502" s="16">
        <f>_A*F502*F502+_B*F502+_C</f>
        <v>369.81301775631255</v>
      </c>
      <c r="I502">
        <f t="shared" si="28"/>
        <v>4</v>
      </c>
      <c r="J502" s="16" cm="1">
        <f t="array" ref="J502">INDEX(Sm,I502)</f>
        <v>2.6103146033777413</v>
      </c>
      <c r="K502" s="16">
        <f t="shared" si="29"/>
        <v>372.42333235969028</v>
      </c>
      <c r="L502" s="16">
        <f t="shared" si="30"/>
        <v>0.76333235969025282</v>
      </c>
      <c r="M502" s="16">
        <f t="shared" si="31"/>
        <v>0.58267629135028953</v>
      </c>
    </row>
    <row r="503" spans="6:13" x14ac:dyDescent="0.4">
      <c r="F503" s="1">
        <v>36647</v>
      </c>
      <c r="G503" s="16">
        <v>371.83</v>
      </c>
      <c r="H503" s="16">
        <f>_A*F503*F503+_B*F503+_C</f>
        <v>369.96605269836436</v>
      </c>
      <c r="I503">
        <f t="shared" si="28"/>
        <v>5</v>
      </c>
      <c r="J503" s="16" cm="1">
        <f t="array" ref="J503">INDEX(Sm,I503)</f>
        <v>3.065687851218776</v>
      </c>
      <c r="K503" s="16">
        <f t="shared" si="29"/>
        <v>373.03174054958316</v>
      </c>
      <c r="L503" s="16">
        <f t="shared" si="30"/>
        <v>1.2017405495831781</v>
      </c>
      <c r="M503" s="16">
        <f t="shared" si="31"/>
        <v>1.4441803485124789</v>
      </c>
    </row>
    <row r="504" spans="6:13" x14ac:dyDescent="0.4">
      <c r="F504" s="1">
        <v>36678</v>
      </c>
      <c r="G504" s="16">
        <v>371.69</v>
      </c>
      <c r="H504" s="16">
        <f>_A*F504*F504+_B*F504+_C</f>
        <v>370.12437421261586</v>
      </c>
      <c r="I504">
        <f t="shared" si="28"/>
        <v>6</v>
      </c>
      <c r="J504" s="16" cm="1">
        <f t="array" ref="J504">INDEX(Sm,I504)</f>
        <v>2.3467878996384672</v>
      </c>
      <c r="K504" s="16">
        <f t="shared" si="29"/>
        <v>372.47116211225432</v>
      </c>
      <c r="L504" s="16">
        <f t="shared" si="30"/>
        <v>0.78116211225432153</v>
      </c>
      <c r="M504" s="16">
        <f t="shared" si="31"/>
        <v>0.61021424562163318</v>
      </c>
    </row>
    <row r="505" spans="6:13" x14ac:dyDescent="0.4">
      <c r="F505" s="1">
        <v>36708</v>
      </c>
      <c r="G505" s="16">
        <v>370.12</v>
      </c>
      <c r="H505" s="16">
        <f>_A*F505*F505+_B*F505+_C</f>
        <v>370.2777680078251</v>
      </c>
      <c r="I505">
        <f t="shared" si="28"/>
        <v>7</v>
      </c>
      <c r="J505" s="16" cm="1">
        <f t="array" ref="J505">INDEX(Sm,I505)</f>
        <v>0.7237382709437985</v>
      </c>
      <c r="K505" s="16">
        <f t="shared" si="29"/>
        <v>371.00150627876889</v>
      </c>
      <c r="L505" s="16">
        <f t="shared" si="30"/>
        <v>0.88150627876888166</v>
      </c>
      <c r="M505" s="16">
        <f t="shared" si="31"/>
        <v>0.77705331950896128</v>
      </c>
    </row>
    <row r="506" spans="6:13" x14ac:dyDescent="0.4">
      <c r="F506" s="1">
        <v>36739</v>
      </c>
      <c r="G506" s="16">
        <v>368.12</v>
      </c>
      <c r="H506" s="16">
        <f>_A*F506*F506+_B*F506+_C</f>
        <v>370.43646033700594</v>
      </c>
      <c r="I506">
        <f t="shared" si="28"/>
        <v>8</v>
      </c>
      <c r="J506" s="16" cm="1">
        <f t="array" ref="J506">INDEX(Sm,I506)</f>
        <v>-1.3971602754957855</v>
      </c>
      <c r="K506" s="16">
        <f t="shared" si="29"/>
        <v>369.03930006151018</v>
      </c>
      <c r="L506" s="16">
        <f t="shared" si="30"/>
        <v>0.91930006151017096</v>
      </c>
      <c r="M506" s="16">
        <f t="shared" si="31"/>
        <v>0.84511260309260416</v>
      </c>
    </row>
    <row r="507" spans="6:13" x14ac:dyDescent="0.4">
      <c r="F507" s="1">
        <v>36770</v>
      </c>
      <c r="G507" s="16">
        <v>366.62</v>
      </c>
      <c r="H507" s="16">
        <f>_A*F507*F507+_B*F507+_C</f>
        <v>370.59534111311808</v>
      </c>
      <c r="I507">
        <f t="shared" si="28"/>
        <v>9</v>
      </c>
      <c r="J507" s="16" cm="1">
        <f t="array" ref="J507">INDEX(Sm,I507)</f>
        <v>-3.1930865292764237</v>
      </c>
      <c r="K507" s="16">
        <f t="shared" si="29"/>
        <v>367.40225458384168</v>
      </c>
      <c r="L507" s="16">
        <f t="shared" si="30"/>
        <v>0.78225458384167723</v>
      </c>
      <c r="M507" s="16">
        <f t="shared" si="31"/>
        <v>0.61192223394131562</v>
      </c>
    </row>
    <row r="508" spans="6:13" x14ac:dyDescent="0.4">
      <c r="F508" s="1">
        <v>36800</v>
      </c>
      <c r="G508" s="16">
        <v>366.73</v>
      </c>
      <c r="H508" s="16">
        <f>_A*F508*F508+_B*F508+_C</f>
        <v>370.74927612948272</v>
      </c>
      <c r="I508">
        <f t="shared" si="28"/>
        <v>10</v>
      </c>
      <c r="J508" s="16" cm="1">
        <f t="array" ref="J508">INDEX(Sm,I508)</f>
        <v>-3.3364130058083399</v>
      </c>
      <c r="K508" s="16">
        <f t="shared" si="29"/>
        <v>367.41286312367436</v>
      </c>
      <c r="L508" s="16">
        <f t="shared" si="30"/>
        <v>0.68286312367433766</v>
      </c>
      <c r="M508" s="16">
        <f t="shared" si="31"/>
        <v>0.46630204567427375</v>
      </c>
    </row>
    <row r="509" spans="6:13" x14ac:dyDescent="0.4">
      <c r="F509" s="1">
        <v>36831</v>
      </c>
      <c r="G509" s="16">
        <v>368.29</v>
      </c>
      <c r="H509" s="16">
        <f>_A*F509*F509+_B*F509+_C</f>
        <v>370.90852772052421</v>
      </c>
      <c r="I509">
        <f t="shared" si="28"/>
        <v>11</v>
      </c>
      <c r="J509" s="16" cm="1">
        <f t="array" ref="J509">INDEX(Sm,I509)</f>
        <v>-2.0587659563291303</v>
      </c>
      <c r="K509" s="16">
        <f t="shared" si="29"/>
        <v>368.84976176419508</v>
      </c>
      <c r="L509" s="16">
        <f t="shared" si="30"/>
        <v>0.55976176419505919</v>
      </c>
      <c r="M509" s="16">
        <f t="shared" si="31"/>
        <v>0.31333323265476504</v>
      </c>
    </row>
    <row r="510" spans="6:13" x14ac:dyDescent="0.4">
      <c r="F510" s="1">
        <v>36861</v>
      </c>
      <c r="G510" s="16">
        <v>369.52</v>
      </c>
      <c r="H510" s="16">
        <f>_A*F510*F510+_B*F510+_C</f>
        <v>371.06282159004627</v>
      </c>
      <c r="I510">
        <f t="shared" si="28"/>
        <v>12</v>
      </c>
      <c r="J510" s="16" cm="1">
        <f t="array" ref="J510">INDEX(Sm,I510)</f>
        <v>-0.89092746411398172</v>
      </c>
      <c r="K510" s="16">
        <f t="shared" si="29"/>
        <v>370.17189412593228</v>
      </c>
      <c r="L510" s="16">
        <f t="shared" si="30"/>
        <v>0.65189412593230145</v>
      </c>
      <c r="M510" s="16">
        <f t="shared" si="31"/>
        <v>0.42496595142503929</v>
      </c>
    </row>
    <row r="511" spans="6:13" x14ac:dyDescent="0.4">
      <c r="F511" s="1">
        <v>36892</v>
      </c>
      <c r="G511" s="16">
        <v>370.28</v>
      </c>
      <c r="H511" s="16">
        <f>_A*F511*F511+_B*F511+_C</f>
        <v>371.22244399601709</v>
      </c>
      <c r="I511">
        <f t="shared" si="28"/>
        <v>1</v>
      </c>
      <c r="J511" s="16" cm="1">
        <f t="array" ref="J511">INDEX(Sm,I511)</f>
        <v>6.1437948016995841E-2</v>
      </c>
      <c r="K511" s="16">
        <f t="shared" si="29"/>
        <v>371.28388194403408</v>
      </c>
      <c r="L511" s="16">
        <f t="shared" si="30"/>
        <v>1.0038819440341058</v>
      </c>
      <c r="M511" s="16">
        <f t="shared" si="31"/>
        <v>1.0077789575576954</v>
      </c>
    </row>
    <row r="512" spans="6:13" x14ac:dyDescent="0.4">
      <c r="F512" s="1">
        <v>36923</v>
      </c>
      <c r="G512" s="16">
        <v>371.5</v>
      </c>
      <c r="H512" s="16">
        <f>_A*F512*F512+_B*F512+_C</f>
        <v>371.38225484891916</v>
      </c>
      <c r="I512">
        <f t="shared" si="28"/>
        <v>2</v>
      </c>
      <c r="J512" s="16" cm="1">
        <f t="array" ref="J512">INDEX(Sm,I512)</f>
        <v>0.69461918939657585</v>
      </c>
      <c r="K512" s="16">
        <f t="shared" si="29"/>
        <v>372.07687403831574</v>
      </c>
      <c r="L512" s="16">
        <f t="shared" si="30"/>
        <v>0.57687403831573647</v>
      </c>
      <c r="M512" s="16">
        <f t="shared" si="31"/>
        <v>0.33278365608270577</v>
      </c>
    </row>
    <row r="513" spans="6:13" x14ac:dyDescent="0.4">
      <c r="F513" s="1">
        <v>36951</v>
      </c>
      <c r="G513" s="16">
        <v>372.12</v>
      </c>
      <c r="H513" s="16">
        <f>_A*F513*F513+_B*F513+_C</f>
        <v>371.52676210956878</v>
      </c>
      <c r="I513">
        <f t="shared" si="28"/>
        <v>3</v>
      </c>
      <c r="J513" s="16" cm="1">
        <f t="array" ref="J513">INDEX(Sm,I513)</f>
        <v>1.3737674684313066</v>
      </c>
      <c r="K513" s="16">
        <f t="shared" si="29"/>
        <v>372.90052957800009</v>
      </c>
      <c r="L513" s="16">
        <f t="shared" si="30"/>
        <v>0.78052957800008471</v>
      </c>
      <c r="M513" s="16">
        <f t="shared" si="31"/>
        <v>0.60922642213299028</v>
      </c>
    </row>
    <row r="514" spans="6:13" x14ac:dyDescent="0.4">
      <c r="F514" s="1">
        <v>36982</v>
      </c>
      <c r="G514" s="16">
        <v>372.86</v>
      </c>
      <c r="H514" s="16">
        <f>_A*F514*F514+_B*F514+_C</f>
        <v>371.68693161953371</v>
      </c>
      <c r="I514">
        <f t="shared" si="28"/>
        <v>4</v>
      </c>
      <c r="J514" s="16" cm="1">
        <f t="array" ref="J514">INDEX(Sm,I514)</f>
        <v>2.6103146033777413</v>
      </c>
      <c r="K514" s="16">
        <f t="shared" si="29"/>
        <v>374.29724622291144</v>
      </c>
      <c r="L514" s="16">
        <f t="shared" si="30"/>
        <v>1.4372462229114262</v>
      </c>
      <c r="M514" s="16">
        <f t="shared" si="31"/>
        <v>2.0656767052731611</v>
      </c>
    </row>
    <row r="515" spans="6:13" x14ac:dyDescent="0.4">
      <c r="F515" s="1">
        <v>37012</v>
      </c>
      <c r="G515" s="16">
        <v>374.02</v>
      </c>
      <c r="H515" s="16">
        <f>_A*F515*F515+_B*F515+_C</f>
        <v>371.84211379769135</v>
      </c>
      <c r="I515">
        <f t="shared" ref="I515:I578" si="32">MONTH(F515)</f>
        <v>5</v>
      </c>
      <c r="J515" s="16" cm="1">
        <f t="array" ref="J515">INDEX(Sm,I515)</f>
        <v>3.065687851218776</v>
      </c>
      <c r="K515" s="16">
        <f t="shared" ref="K515:K578" si="33">H515+J515</f>
        <v>374.90780164891015</v>
      </c>
      <c r="L515" s="16">
        <f t="shared" ref="L515:L578" si="34">K515-G515</f>
        <v>0.88780164891016966</v>
      </c>
      <c r="M515" s="16">
        <f t="shared" ref="M515:M578" si="35">L515*L515</f>
        <v>0.78819176780761613</v>
      </c>
    </row>
    <row r="516" spans="6:13" x14ac:dyDescent="0.4">
      <c r="F516" s="1">
        <v>37043</v>
      </c>
      <c r="G516" s="16">
        <v>373.31</v>
      </c>
      <c r="H516" s="16">
        <f>_A*F516*F516+_B*F516+_C</f>
        <v>372.00265412258562</v>
      </c>
      <c r="I516">
        <f t="shared" si="32"/>
        <v>6</v>
      </c>
      <c r="J516" s="16" cm="1">
        <f t="array" ref="J516">INDEX(Sm,I516)</f>
        <v>2.3467878996384672</v>
      </c>
      <c r="K516" s="16">
        <f t="shared" si="33"/>
        <v>374.34944202222408</v>
      </c>
      <c r="L516" s="16">
        <f t="shared" si="34"/>
        <v>1.0394420222240797</v>
      </c>
      <c r="M516" s="16">
        <f t="shared" si="35"/>
        <v>1.0804397175652842</v>
      </c>
    </row>
    <row r="517" spans="6:13" x14ac:dyDescent="0.4">
      <c r="F517" s="1">
        <v>37073</v>
      </c>
      <c r="G517" s="16">
        <v>371.62</v>
      </c>
      <c r="H517" s="16">
        <f>_A*F517*F517+_B*F517+_C</f>
        <v>372.15819515390069</v>
      </c>
      <c r="I517">
        <f t="shared" si="32"/>
        <v>7</v>
      </c>
      <c r="J517" s="16" cm="1">
        <f t="array" ref="J517">INDEX(Sm,I517)</f>
        <v>0.7237382709437985</v>
      </c>
      <c r="K517" s="16">
        <f t="shared" si="33"/>
        <v>372.88193342484448</v>
      </c>
      <c r="L517" s="16">
        <f t="shared" si="34"/>
        <v>1.2619334248444716</v>
      </c>
      <c r="M517" s="16">
        <f t="shared" si="35"/>
        <v>1.5924759687396977</v>
      </c>
    </row>
    <row r="518" spans="6:13" x14ac:dyDescent="0.4">
      <c r="F518" s="1">
        <v>37104</v>
      </c>
      <c r="G518" s="16">
        <v>369.55</v>
      </c>
      <c r="H518" s="16">
        <f>_A*F518*F518+_B*F518+_C</f>
        <v>372.31910629372425</v>
      </c>
      <c r="I518">
        <f t="shared" si="32"/>
        <v>8</v>
      </c>
      <c r="J518" s="16" cm="1">
        <f t="array" ref="J518">INDEX(Sm,I518)</f>
        <v>-1.3971602754957855</v>
      </c>
      <c r="K518" s="16">
        <f t="shared" si="33"/>
        <v>370.92194601822848</v>
      </c>
      <c r="L518" s="16">
        <f t="shared" si="34"/>
        <v>1.3719460182284706</v>
      </c>
      <c r="M518" s="16">
        <f t="shared" si="35"/>
        <v>1.882235876932955</v>
      </c>
    </row>
    <row r="519" spans="6:13" x14ac:dyDescent="0.4">
      <c r="F519" s="1">
        <v>37135</v>
      </c>
      <c r="G519" s="16">
        <v>367.96</v>
      </c>
      <c r="H519" s="16">
        <f>_A*F519*F519+_B*F519+_C</f>
        <v>372.48020588047916</v>
      </c>
      <c r="I519">
        <f t="shared" si="32"/>
        <v>9</v>
      </c>
      <c r="J519" s="16" cm="1">
        <f t="array" ref="J519">INDEX(Sm,I519)</f>
        <v>-3.1930865292764237</v>
      </c>
      <c r="K519" s="16">
        <f t="shared" si="33"/>
        <v>369.28711935120276</v>
      </c>
      <c r="L519" s="16">
        <f t="shared" si="34"/>
        <v>1.3271193512027821</v>
      </c>
      <c r="M519" s="16">
        <f t="shared" si="35"/>
        <v>1.7612457723368933</v>
      </c>
    </row>
    <row r="520" spans="6:13" x14ac:dyDescent="0.4">
      <c r="F520" s="1">
        <v>37165</v>
      </c>
      <c r="G520" s="16">
        <v>368.09</v>
      </c>
      <c r="H520" s="16">
        <f>_A*F520*F520+_B*F520+_C</f>
        <v>372.63628813294963</v>
      </c>
      <c r="I520">
        <f t="shared" si="32"/>
        <v>10</v>
      </c>
      <c r="J520" s="16" cm="1">
        <f t="array" ref="J520">INDEX(Sm,I520)</f>
        <v>-3.3364130058083399</v>
      </c>
      <c r="K520" s="16">
        <f t="shared" si="33"/>
        <v>369.29987512714126</v>
      </c>
      <c r="L520" s="16">
        <f t="shared" si="34"/>
        <v>1.209875127141288</v>
      </c>
      <c r="M520" s="16">
        <f t="shared" si="35"/>
        <v>1.4637978232751478</v>
      </c>
    </row>
    <row r="521" spans="6:13" x14ac:dyDescent="0.4">
      <c r="F521" s="1">
        <v>37196</v>
      </c>
      <c r="G521" s="16">
        <v>369.68</v>
      </c>
      <c r="H521" s="16">
        <f>_A*F521*F521+_B*F521+_C</f>
        <v>372.79775853463389</v>
      </c>
      <c r="I521">
        <f t="shared" si="32"/>
        <v>11</v>
      </c>
      <c r="J521" s="16" cm="1">
        <f t="array" ref="J521">INDEX(Sm,I521)</f>
        <v>-2.0587659563291303</v>
      </c>
      <c r="K521" s="16">
        <f t="shared" si="33"/>
        <v>370.73899257830476</v>
      </c>
      <c r="L521" s="16">
        <f t="shared" si="34"/>
        <v>1.0589925783047534</v>
      </c>
      <c r="M521" s="16">
        <f t="shared" si="35"/>
        <v>1.1214652809045491</v>
      </c>
    </row>
    <row r="522" spans="6:13" x14ac:dyDescent="0.4">
      <c r="F522" s="1">
        <v>37226</v>
      </c>
      <c r="G522" s="16">
        <v>371.24</v>
      </c>
      <c r="H522" s="16">
        <f>_A*F522*F522+_B*F522+_C</f>
        <v>372.95419964026178</v>
      </c>
      <c r="I522">
        <f t="shared" si="32"/>
        <v>12</v>
      </c>
      <c r="J522" s="16" cm="1">
        <f t="array" ref="J522">INDEX(Sm,I522)</f>
        <v>-0.89092746411398172</v>
      </c>
      <c r="K522" s="16">
        <f t="shared" si="33"/>
        <v>372.06327217614779</v>
      </c>
      <c r="L522" s="16">
        <f t="shared" si="34"/>
        <v>0.82327217614778192</v>
      </c>
      <c r="M522" s="16">
        <f t="shared" si="35"/>
        <v>0.67777707601910442</v>
      </c>
    </row>
    <row r="523" spans="6:13" x14ac:dyDescent="0.4">
      <c r="F523" s="1">
        <v>37257</v>
      </c>
      <c r="G523" s="16">
        <v>372.44</v>
      </c>
      <c r="H523" s="16">
        <f>_A*F523*F523+_B*F523+_C</f>
        <v>373.11604085687532</v>
      </c>
      <c r="I523">
        <f t="shared" si="32"/>
        <v>1</v>
      </c>
      <c r="J523" s="16" cm="1">
        <f t="array" ref="J523">INDEX(Sm,I523)</f>
        <v>6.1437948016995841E-2</v>
      </c>
      <c r="K523" s="16">
        <f t="shared" si="33"/>
        <v>373.1774788048923</v>
      </c>
      <c r="L523" s="16">
        <f t="shared" si="34"/>
        <v>0.73747880489230511</v>
      </c>
      <c r="M523" s="16">
        <f t="shared" si="35"/>
        <v>0.54387498766538267</v>
      </c>
    </row>
    <row r="524" spans="6:13" x14ac:dyDescent="0.4">
      <c r="F524" s="1">
        <v>37288</v>
      </c>
      <c r="G524" s="16">
        <v>373.08</v>
      </c>
      <c r="H524" s="16">
        <f>_A*F524*F524+_B*F524+_C</f>
        <v>373.27807052042016</v>
      </c>
      <c r="I524">
        <f t="shared" si="32"/>
        <v>2</v>
      </c>
      <c r="J524" s="16" cm="1">
        <f t="array" ref="J524">INDEX(Sm,I524)</f>
        <v>0.69461918939657585</v>
      </c>
      <c r="K524" s="16">
        <f t="shared" si="33"/>
        <v>373.97268970981673</v>
      </c>
      <c r="L524" s="16">
        <f t="shared" si="34"/>
        <v>0.89268970981675011</v>
      </c>
      <c r="M524" s="16">
        <f t="shared" si="35"/>
        <v>0.7968949180127135</v>
      </c>
    </row>
    <row r="525" spans="6:13" x14ac:dyDescent="0.4">
      <c r="F525" s="1">
        <v>37316</v>
      </c>
      <c r="G525" s="16">
        <v>373.52</v>
      </c>
      <c r="H525" s="16">
        <f>_A*F525*F525+_B*F525+_C</f>
        <v>373.42458186810194</v>
      </c>
      <c r="I525">
        <f t="shared" si="32"/>
        <v>3</v>
      </c>
      <c r="J525" s="16" cm="1">
        <f t="array" ref="J525">INDEX(Sm,I525)</f>
        <v>1.3737674684313066</v>
      </c>
      <c r="K525" s="16">
        <f t="shared" si="33"/>
        <v>374.79834933653325</v>
      </c>
      <c r="L525" s="16">
        <f t="shared" si="34"/>
        <v>1.2783493365332674</v>
      </c>
      <c r="M525" s="16">
        <f t="shared" si="35"/>
        <v>1.634177026215045</v>
      </c>
    </row>
    <row r="526" spans="6:13" x14ac:dyDescent="0.4">
      <c r="F526" s="1">
        <v>37347</v>
      </c>
      <c r="G526" s="16">
        <v>374.85</v>
      </c>
      <c r="H526" s="16">
        <f>_A*F526*F526+_B*F526+_C</f>
        <v>373.58697018870953</v>
      </c>
      <c r="I526">
        <f t="shared" si="32"/>
        <v>4</v>
      </c>
      <c r="J526" s="16" cm="1">
        <f t="array" ref="J526">INDEX(Sm,I526)</f>
        <v>2.6103146033777413</v>
      </c>
      <c r="K526" s="16">
        <f t="shared" si="33"/>
        <v>376.19728479208726</v>
      </c>
      <c r="L526" s="16">
        <f t="shared" si="34"/>
        <v>1.3472847920872368</v>
      </c>
      <c r="M526" s="16">
        <f t="shared" si="35"/>
        <v>1.8151763109895489</v>
      </c>
    </row>
    <row r="527" spans="6:13" x14ac:dyDescent="0.4">
      <c r="F527" s="1">
        <v>37377</v>
      </c>
      <c r="G527" s="16">
        <v>375.55</v>
      </c>
      <c r="H527" s="16">
        <f>_A*F527*F527+_B*F527+_C</f>
        <v>373.74429960297311</v>
      </c>
      <c r="I527">
        <f t="shared" si="32"/>
        <v>5</v>
      </c>
      <c r="J527" s="16" cm="1">
        <f t="array" ref="J527">INDEX(Sm,I527)</f>
        <v>3.065687851218776</v>
      </c>
      <c r="K527" s="16">
        <f t="shared" si="33"/>
        <v>376.80998745419191</v>
      </c>
      <c r="L527" s="16">
        <f t="shared" si="34"/>
        <v>1.2599874541919007</v>
      </c>
      <c r="M527" s="16">
        <f t="shared" si="35"/>
        <v>1.5875683847209872</v>
      </c>
    </row>
    <row r="528" spans="6:13" x14ac:dyDescent="0.4">
      <c r="F528" s="1">
        <v>37408</v>
      </c>
      <c r="G528" s="16">
        <v>375.4</v>
      </c>
      <c r="H528" s="16">
        <f>_A*F528*F528+_B*F528+_C</f>
        <v>373.90705873851005</v>
      </c>
      <c r="I528">
        <f t="shared" si="32"/>
        <v>6</v>
      </c>
      <c r="J528" s="16" cm="1">
        <f t="array" ref="J528">INDEX(Sm,I528)</f>
        <v>2.3467878996384672</v>
      </c>
      <c r="K528" s="16">
        <f t="shared" si="33"/>
        <v>376.2538466381485</v>
      </c>
      <c r="L528" s="16">
        <f t="shared" si="34"/>
        <v>0.85384663814852502</v>
      </c>
      <c r="M528" s="16">
        <f t="shared" si="35"/>
        <v>0.72905408147753825</v>
      </c>
    </row>
    <row r="529" spans="6:13" x14ac:dyDescent="0.4">
      <c r="F529" s="1">
        <v>37438</v>
      </c>
      <c r="G529" s="16">
        <v>374.02</v>
      </c>
      <c r="H529" s="16">
        <f>_A*F529*F529+_B*F529+_C</f>
        <v>374.064747005931</v>
      </c>
      <c r="I529">
        <f t="shared" si="32"/>
        <v>7</v>
      </c>
      <c r="J529" s="16" cm="1">
        <f t="array" ref="J529">INDEX(Sm,I529)</f>
        <v>0.7237382709437985</v>
      </c>
      <c r="K529" s="16">
        <f t="shared" si="33"/>
        <v>374.78848527687478</v>
      </c>
      <c r="L529" s="16">
        <f t="shared" si="34"/>
        <v>0.76848527687479873</v>
      </c>
      <c r="M529" s="16">
        <f t="shared" si="35"/>
        <v>0.59056962077333608</v>
      </c>
    </row>
    <row r="530" spans="6:13" x14ac:dyDescent="0.4">
      <c r="F530" s="1">
        <v>37469</v>
      </c>
      <c r="G530" s="16">
        <v>371.48</v>
      </c>
      <c r="H530" s="16">
        <f>_A*F530*F530+_B*F530+_C</f>
        <v>374.22787695639732</v>
      </c>
      <c r="I530">
        <f t="shared" si="32"/>
        <v>8</v>
      </c>
      <c r="J530" s="16" cm="1">
        <f t="array" ref="J530">INDEX(Sm,I530)</f>
        <v>-1.3971602754957855</v>
      </c>
      <c r="K530" s="16">
        <f t="shared" si="33"/>
        <v>372.83071668090156</v>
      </c>
      <c r="L530" s="16">
        <f t="shared" si="34"/>
        <v>1.3507166809015416</v>
      </c>
      <c r="M530" s="16">
        <f t="shared" si="35"/>
        <v>1.824435552065677</v>
      </c>
    </row>
    <row r="531" spans="6:13" x14ac:dyDescent="0.4">
      <c r="F531" s="1">
        <v>37500</v>
      </c>
      <c r="G531" s="16">
        <v>370.7</v>
      </c>
      <c r="H531" s="16">
        <f>_A*F531*F531+_B*F531+_C</f>
        <v>374.3911953537949</v>
      </c>
      <c r="I531">
        <f t="shared" si="32"/>
        <v>9</v>
      </c>
      <c r="J531" s="16" cm="1">
        <f t="array" ref="J531">INDEX(Sm,I531)</f>
        <v>-3.1930865292764237</v>
      </c>
      <c r="K531" s="16">
        <f t="shared" si="33"/>
        <v>371.1981088245185</v>
      </c>
      <c r="L531" s="16">
        <f t="shared" si="34"/>
        <v>0.49810882451851057</v>
      </c>
      <c r="M531" s="16">
        <f t="shared" si="35"/>
        <v>0.24811240106321236</v>
      </c>
    </row>
    <row r="532" spans="6:13" x14ac:dyDescent="0.4">
      <c r="F532" s="1">
        <v>37530</v>
      </c>
      <c r="G532" s="16">
        <v>370.25</v>
      </c>
      <c r="H532" s="16">
        <f>_A*F532*F532+_B*F532+_C</f>
        <v>374.54942484237131</v>
      </c>
      <c r="I532">
        <f t="shared" si="32"/>
        <v>10</v>
      </c>
      <c r="J532" s="16" cm="1">
        <f t="array" ref="J532">INDEX(Sm,I532)</f>
        <v>-3.3364130058083399</v>
      </c>
      <c r="K532" s="16">
        <f t="shared" si="33"/>
        <v>371.21301183656294</v>
      </c>
      <c r="L532" s="16">
        <f t="shared" si="34"/>
        <v>0.96301183656294143</v>
      </c>
      <c r="M532" s="16">
        <f t="shared" si="35"/>
        <v>0.9273917973603294</v>
      </c>
    </row>
    <row r="533" spans="6:13" x14ac:dyDescent="0.4">
      <c r="F533" s="1">
        <v>37561</v>
      </c>
      <c r="G533" s="16">
        <v>372.08</v>
      </c>
      <c r="H533" s="16">
        <f>_A*F533*F533+_B*F533+_C</f>
        <v>374.71311405469822</v>
      </c>
      <c r="I533">
        <f t="shared" si="32"/>
        <v>11</v>
      </c>
      <c r="J533" s="16" cm="1">
        <f t="array" ref="J533">INDEX(Sm,I533)</f>
        <v>-2.0587659563291303</v>
      </c>
      <c r="K533" s="16">
        <f t="shared" si="33"/>
        <v>372.6543480983691</v>
      </c>
      <c r="L533" s="16">
        <f t="shared" si="34"/>
        <v>0.57434809836911427</v>
      </c>
      <c r="M533" s="16">
        <f t="shared" si="35"/>
        <v>0.32987573810021775</v>
      </c>
    </row>
    <row r="534" spans="6:13" x14ac:dyDescent="0.4">
      <c r="F534" s="1">
        <v>37591</v>
      </c>
      <c r="G534" s="16">
        <v>373.78</v>
      </c>
      <c r="H534" s="16">
        <f>_A*F534*F534+_B*F534+_C</f>
        <v>374.87170239643206</v>
      </c>
      <c r="I534">
        <f t="shared" si="32"/>
        <v>12</v>
      </c>
      <c r="J534" s="16" cm="1">
        <f t="array" ref="J534">INDEX(Sm,I534)</f>
        <v>-0.89092746411398172</v>
      </c>
      <c r="K534" s="16">
        <f t="shared" si="33"/>
        <v>373.98077493231807</v>
      </c>
      <c r="L534" s="16">
        <f t="shared" si="34"/>
        <v>0.2007749323180974</v>
      </c>
      <c r="M534" s="16">
        <f t="shared" si="35"/>
        <v>4.0310573447336594E-2</v>
      </c>
    </row>
    <row r="535" spans="6:13" x14ac:dyDescent="0.4">
      <c r="F535" s="1">
        <v>37622</v>
      </c>
      <c r="G535" s="16">
        <v>374.68</v>
      </c>
      <c r="H535" s="16">
        <f>_A*F535*F535+_B*F535+_C</f>
        <v>375.03576242368831</v>
      </c>
      <c r="I535">
        <f t="shared" si="32"/>
        <v>1</v>
      </c>
      <c r="J535" s="16" cm="1">
        <f t="array" ref="J535">INDEX(Sm,I535)</f>
        <v>6.1437948016995841E-2</v>
      </c>
      <c r="K535" s="16">
        <f t="shared" si="33"/>
        <v>375.0972003717053</v>
      </c>
      <c r="L535" s="16">
        <f t="shared" si="34"/>
        <v>0.41720037170529167</v>
      </c>
      <c r="M535" s="16">
        <f t="shared" si="35"/>
        <v>0.17405615015103354</v>
      </c>
    </row>
    <row r="536" spans="6:13" x14ac:dyDescent="0.4">
      <c r="F536" s="1">
        <v>37653</v>
      </c>
      <c r="G536" s="16">
        <v>375.62</v>
      </c>
      <c r="H536" s="16">
        <f>_A*F536*F536+_B*F536+_C</f>
        <v>375.20001089787587</v>
      </c>
      <c r="I536">
        <f t="shared" si="32"/>
        <v>2</v>
      </c>
      <c r="J536" s="16" cm="1">
        <f t="array" ref="J536">INDEX(Sm,I536)</f>
        <v>0.69461918939657585</v>
      </c>
      <c r="K536" s="16">
        <f t="shared" si="33"/>
        <v>375.89463008727245</v>
      </c>
      <c r="L536" s="16">
        <f t="shared" si="34"/>
        <v>0.27463008727244187</v>
      </c>
      <c r="M536" s="16">
        <f t="shared" si="35"/>
        <v>7.5421684835269037E-2</v>
      </c>
    </row>
    <row r="537" spans="6:13" x14ac:dyDescent="0.4">
      <c r="F537" s="1">
        <v>37681</v>
      </c>
      <c r="G537" s="16">
        <v>376.11</v>
      </c>
      <c r="H537" s="16">
        <f>_A*F537*F537+_B*F537+_C</f>
        <v>375.34852633258981</v>
      </c>
      <c r="I537">
        <f t="shared" si="32"/>
        <v>3</v>
      </c>
      <c r="J537" s="16" cm="1">
        <f t="array" ref="J537">INDEX(Sm,I537)</f>
        <v>1.3737674684313066</v>
      </c>
      <c r="K537" s="16">
        <f t="shared" si="33"/>
        <v>376.72229380102112</v>
      </c>
      <c r="L537" s="16">
        <f t="shared" si="34"/>
        <v>0.61229380102111008</v>
      </c>
      <c r="M537" s="16">
        <f t="shared" si="35"/>
        <v>0.37490369876887875</v>
      </c>
    </row>
    <row r="538" spans="6:13" x14ac:dyDescent="0.4">
      <c r="F538" s="1">
        <v>37712</v>
      </c>
      <c r="G538" s="16">
        <v>377.65</v>
      </c>
      <c r="H538" s="16">
        <f>_A*F538*F538+_B*F538+_C</f>
        <v>375.51313346384018</v>
      </c>
      <c r="I538">
        <f t="shared" si="32"/>
        <v>4</v>
      </c>
      <c r="J538" s="16" cm="1">
        <f t="array" ref="J538">INDEX(Sm,I538)</f>
        <v>2.6103146033777413</v>
      </c>
      <c r="K538" s="16">
        <f t="shared" si="33"/>
        <v>378.12344806721791</v>
      </c>
      <c r="L538" s="16">
        <f t="shared" si="34"/>
        <v>0.4734480672179302</v>
      </c>
      <c r="M538" s="16">
        <f t="shared" si="35"/>
        <v>0.22415307235239376</v>
      </c>
    </row>
    <row r="539" spans="6:13" x14ac:dyDescent="0.4">
      <c r="F539" s="1">
        <v>37742</v>
      </c>
      <c r="G539" s="16">
        <v>378.35</v>
      </c>
      <c r="H539" s="16">
        <f>_A*F539*F539+_B*F539+_C</f>
        <v>375.67261011420953</v>
      </c>
      <c r="I539">
        <f t="shared" si="32"/>
        <v>5</v>
      </c>
      <c r="J539" s="16" cm="1">
        <f t="array" ref="J539">INDEX(Sm,I539)</f>
        <v>3.065687851218776</v>
      </c>
      <c r="K539" s="16">
        <f t="shared" si="33"/>
        <v>378.73829796542833</v>
      </c>
      <c r="L539" s="16">
        <f t="shared" si="34"/>
        <v>0.38829796542830763</v>
      </c>
      <c r="M539" s="16">
        <f t="shared" si="35"/>
        <v>0.15077530995576319</v>
      </c>
    </row>
    <row r="540" spans="6:13" x14ac:dyDescent="0.4">
      <c r="F540" s="1">
        <v>37773</v>
      </c>
      <c r="G540" s="16">
        <v>378.13</v>
      </c>
      <c r="H540" s="16">
        <f>_A*F540*F540+_B*F540+_C</f>
        <v>375.83758806038924</v>
      </c>
      <c r="I540">
        <f t="shared" si="32"/>
        <v>6</v>
      </c>
      <c r="J540" s="16" cm="1">
        <f t="array" ref="J540">INDEX(Sm,I540)</f>
        <v>2.3467878996384672</v>
      </c>
      <c r="K540" s="16">
        <f t="shared" si="33"/>
        <v>378.18437596002769</v>
      </c>
      <c r="L540" s="16">
        <f t="shared" si="34"/>
        <v>5.4375960027698511E-2</v>
      </c>
      <c r="M540" s="16">
        <f t="shared" si="35"/>
        <v>2.9567450289338664E-3</v>
      </c>
    </row>
    <row r="541" spans="6:13" x14ac:dyDescent="0.4">
      <c r="F541" s="1">
        <v>37803</v>
      </c>
      <c r="G541" s="16">
        <v>376.6</v>
      </c>
      <c r="H541" s="16">
        <f>_A*F541*F541+_B*F541+_C</f>
        <v>375.99742356391607</v>
      </c>
      <c r="I541">
        <f t="shared" si="32"/>
        <v>7</v>
      </c>
      <c r="J541" s="16" cm="1">
        <f t="array" ref="J541">INDEX(Sm,I541)</f>
        <v>0.7237382709437985</v>
      </c>
      <c r="K541" s="16">
        <f t="shared" si="33"/>
        <v>376.72116183485986</v>
      </c>
      <c r="L541" s="16">
        <f t="shared" si="34"/>
        <v>0.12116183485983356</v>
      </c>
      <c r="M541" s="16">
        <f t="shared" si="35"/>
        <v>1.4680190226601579E-2</v>
      </c>
    </row>
    <row r="542" spans="6:13" x14ac:dyDescent="0.4">
      <c r="F542" s="1">
        <v>37834</v>
      </c>
      <c r="G542" s="16">
        <v>374.48</v>
      </c>
      <c r="H542" s="16">
        <f>_A*F542*F542+_B*F542+_C</f>
        <v>376.16277232502506</v>
      </c>
      <c r="I542">
        <f t="shared" si="32"/>
        <v>8</v>
      </c>
      <c r="J542" s="16" cm="1">
        <f t="array" ref="J542">INDEX(Sm,I542)</f>
        <v>-1.3971602754957855</v>
      </c>
      <c r="K542" s="16">
        <f t="shared" si="33"/>
        <v>374.7656120495293</v>
      </c>
      <c r="L542" s="16">
        <f t="shared" si="34"/>
        <v>0.2856120495292771</v>
      </c>
      <c r="M542" s="16">
        <f t="shared" si="35"/>
        <v>8.1574242836314231E-2</v>
      </c>
    </row>
    <row r="543" spans="6:13" x14ac:dyDescent="0.4">
      <c r="F543" s="1">
        <v>37865</v>
      </c>
      <c r="G543" s="16">
        <v>372.98</v>
      </c>
      <c r="H543" s="16">
        <f>_A*F543*F543+_B*F543+_C</f>
        <v>376.32830953306541</v>
      </c>
      <c r="I543">
        <f t="shared" si="32"/>
        <v>9</v>
      </c>
      <c r="J543" s="16" cm="1">
        <f t="array" ref="J543">INDEX(Sm,I543)</f>
        <v>-3.1930865292764237</v>
      </c>
      <c r="K543" s="16">
        <f t="shared" si="33"/>
        <v>373.13522300378901</v>
      </c>
      <c r="L543" s="16">
        <f t="shared" si="34"/>
        <v>0.1552230037889899</v>
      </c>
      <c r="M543" s="16">
        <f t="shared" si="35"/>
        <v>2.4094180905276773E-2</v>
      </c>
    </row>
    <row r="544" spans="6:13" x14ac:dyDescent="0.4">
      <c r="F544" s="1">
        <v>37895</v>
      </c>
      <c r="G544" s="16">
        <v>373</v>
      </c>
      <c r="H544" s="16">
        <f>_A*F544*F544+_B*F544+_C</f>
        <v>376.48868625774764</v>
      </c>
      <c r="I544">
        <f t="shared" si="32"/>
        <v>10</v>
      </c>
      <c r="J544" s="16" cm="1">
        <f t="array" ref="J544">INDEX(Sm,I544)</f>
        <v>-3.3364130058083399</v>
      </c>
      <c r="K544" s="16">
        <f t="shared" si="33"/>
        <v>373.15227325193928</v>
      </c>
      <c r="L544" s="16">
        <f t="shared" si="34"/>
        <v>0.15227325193927754</v>
      </c>
      <c r="M544" s="16">
        <f t="shared" si="35"/>
        <v>2.3187143256162692E-2</v>
      </c>
    </row>
    <row r="545" spans="6:13" x14ac:dyDescent="0.4">
      <c r="F545" s="1">
        <v>37926</v>
      </c>
      <c r="G545" s="16">
        <v>374.35</v>
      </c>
      <c r="H545" s="16">
        <f>_A*F545*F545+_B*F545+_C</f>
        <v>376.65459428071733</v>
      </c>
      <c r="I545">
        <f t="shared" si="32"/>
        <v>11</v>
      </c>
      <c r="J545" s="16" cm="1">
        <f t="array" ref="J545">INDEX(Sm,I545)</f>
        <v>-2.0587659563291303</v>
      </c>
      <c r="K545" s="16">
        <f t="shared" si="33"/>
        <v>374.59582832438821</v>
      </c>
      <c r="L545" s="16">
        <f t="shared" si="34"/>
        <v>0.24582832438818514</v>
      </c>
      <c r="M545" s="16">
        <f t="shared" si="35"/>
        <v>6.0431565071502782E-2</v>
      </c>
    </row>
    <row r="546" spans="6:13" x14ac:dyDescent="0.4">
      <c r="F546" s="1">
        <v>37956</v>
      </c>
      <c r="G546" s="16">
        <v>375.69</v>
      </c>
      <c r="H546" s="16">
        <f>_A*F546*F546+_B*F546+_C</f>
        <v>376.81532985855699</v>
      </c>
      <c r="I546">
        <f t="shared" si="32"/>
        <v>12</v>
      </c>
      <c r="J546" s="16" cm="1">
        <f t="array" ref="J546">INDEX(Sm,I546)</f>
        <v>-0.89092746411398172</v>
      </c>
      <c r="K546" s="16">
        <f t="shared" si="33"/>
        <v>375.92440239444301</v>
      </c>
      <c r="L546" s="16">
        <f t="shared" si="34"/>
        <v>0.23440239444300914</v>
      </c>
      <c r="M546" s="16">
        <f t="shared" si="35"/>
        <v>5.4944482520616046E-2</v>
      </c>
    </row>
    <row r="547" spans="6:13" x14ac:dyDescent="0.4">
      <c r="F547" s="1">
        <v>37987</v>
      </c>
      <c r="G547" s="16">
        <v>376.79</v>
      </c>
      <c r="H547" s="16">
        <f>_A*F547*F547+_B*F547+_C</f>
        <v>376.98160869645602</v>
      </c>
      <c r="I547">
        <f t="shared" si="32"/>
        <v>1</v>
      </c>
      <c r="J547" s="16" cm="1">
        <f t="array" ref="J547">INDEX(Sm,I547)</f>
        <v>6.1437948016995841E-2</v>
      </c>
      <c r="K547" s="16">
        <f t="shared" si="33"/>
        <v>377.04304664447301</v>
      </c>
      <c r="L547" s="16">
        <f t="shared" si="34"/>
        <v>0.25304664447298819</v>
      </c>
      <c r="M547" s="16">
        <f t="shared" si="35"/>
        <v>6.4032604279038882E-2</v>
      </c>
    </row>
    <row r="548" spans="6:13" x14ac:dyDescent="0.4">
      <c r="F548" s="1">
        <v>38018</v>
      </c>
      <c r="G548" s="16">
        <v>377.37</v>
      </c>
      <c r="H548" s="16">
        <f>_A*F548*F548+_B*F548+_C</f>
        <v>377.1480759812863</v>
      </c>
      <c r="I548">
        <f t="shared" si="32"/>
        <v>2</v>
      </c>
      <c r="J548" s="16" cm="1">
        <f t="array" ref="J548">INDEX(Sm,I548)</f>
        <v>0.69461918939657585</v>
      </c>
      <c r="K548" s="16">
        <f t="shared" si="33"/>
        <v>377.84269517068287</v>
      </c>
      <c r="L548" s="16">
        <f t="shared" si="34"/>
        <v>0.47269517068286859</v>
      </c>
      <c r="M548" s="16">
        <f t="shared" si="35"/>
        <v>0.22344072438690626</v>
      </c>
    </row>
    <row r="549" spans="6:13" x14ac:dyDescent="0.4">
      <c r="F549" s="1">
        <v>38047</v>
      </c>
      <c r="G549" s="16">
        <v>378.39</v>
      </c>
      <c r="H549" s="16">
        <f>_A*F549*F549+_B*F549+_C</f>
        <v>377.30397404360957</v>
      </c>
      <c r="I549">
        <f t="shared" si="32"/>
        <v>3</v>
      </c>
      <c r="J549" s="16" cm="1">
        <f t="array" ref="J549">INDEX(Sm,I549)</f>
        <v>1.3737674684313066</v>
      </c>
      <c r="K549" s="16">
        <f t="shared" si="33"/>
        <v>378.67774151204088</v>
      </c>
      <c r="L549" s="16">
        <f t="shared" si="34"/>
        <v>0.28774151204089549</v>
      </c>
      <c r="M549" s="16">
        <f t="shared" si="35"/>
        <v>8.2795177751580795E-2</v>
      </c>
    </row>
    <row r="550" spans="6:13" x14ac:dyDescent="0.4">
      <c r="F550" s="1">
        <v>38078</v>
      </c>
      <c r="G550" s="16">
        <v>380.5</v>
      </c>
      <c r="H550" s="16">
        <f>_A*F550*F550+_B*F550+_C</f>
        <v>377.47080606443592</v>
      </c>
      <c r="I550">
        <f t="shared" si="32"/>
        <v>4</v>
      </c>
      <c r="J550" s="16" cm="1">
        <f t="array" ref="J550">INDEX(Sm,I550)</f>
        <v>2.6103146033777413</v>
      </c>
      <c r="K550" s="16">
        <f t="shared" si="33"/>
        <v>380.08112066781365</v>
      </c>
      <c r="L550" s="16">
        <f t="shared" si="34"/>
        <v>-0.41887933218634998</v>
      </c>
      <c r="M550" s="16">
        <f t="shared" si="35"/>
        <v>0.17545989493288253</v>
      </c>
    </row>
    <row r="551" spans="6:13" x14ac:dyDescent="0.4">
      <c r="F551" s="1">
        <v>38108</v>
      </c>
      <c r="G551" s="16">
        <v>380.62</v>
      </c>
      <c r="H551" s="16">
        <f>_A*F551*F551+_B*F551+_C</f>
        <v>377.63243583374981</v>
      </c>
      <c r="I551">
        <f t="shared" si="32"/>
        <v>5</v>
      </c>
      <c r="J551" s="16" cm="1">
        <f t="array" ref="J551">INDEX(Sm,I551)</f>
        <v>3.065687851218776</v>
      </c>
      <c r="K551" s="16">
        <f t="shared" si="33"/>
        <v>380.69812368496861</v>
      </c>
      <c r="L551" s="16">
        <f t="shared" si="34"/>
        <v>7.8123684968602447E-2</v>
      </c>
      <c r="M551" s="16">
        <f t="shared" si="35"/>
        <v>6.10331015307344E-3</v>
      </c>
    </row>
    <row r="552" spans="6:13" x14ac:dyDescent="0.4">
      <c r="F552" s="1">
        <v>38139</v>
      </c>
      <c r="G552" s="16">
        <v>379.55</v>
      </c>
      <c r="H552" s="16">
        <f>_A*F552*F552+_B*F552+_C</f>
        <v>377.79963866950555</v>
      </c>
      <c r="I552">
        <f t="shared" si="32"/>
        <v>6</v>
      </c>
      <c r="J552" s="16" cm="1">
        <f t="array" ref="J552">INDEX(Sm,I552)</f>
        <v>2.3467878996384672</v>
      </c>
      <c r="K552" s="16">
        <f t="shared" si="33"/>
        <v>380.14642656914401</v>
      </c>
      <c r="L552" s="16">
        <f t="shared" si="34"/>
        <v>0.5964265691440005</v>
      </c>
      <c r="M552" s="16">
        <f t="shared" si="35"/>
        <v>0.35572465238088319</v>
      </c>
    </row>
    <row r="553" spans="6:13" x14ac:dyDescent="0.4">
      <c r="F553" s="1">
        <v>38169</v>
      </c>
      <c r="G553" s="16">
        <v>377.76</v>
      </c>
      <c r="H553" s="16">
        <f>_A*F553*F553+_B*F553+_C</f>
        <v>377.96162729197687</v>
      </c>
      <c r="I553">
        <f t="shared" si="32"/>
        <v>7</v>
      </c>
      <c r="J553" s="16" cm="1">
        <f t="array" ref="J553">INDEX(Sm,I553)</f>
        <v>0.7237382709437985</v>
      </c>
      <c r="K553" s="16">
        <f t="shared" si="33"/>
        <v>378.68536556292065</v>
      </c>
      <c r="L553" s="16">
        <f t="shared" si="34"/>
        <v>0.92536556292066052</v>
      </c>
      <c r="M553" s="16">
        <f t="shared" si="35"/>
        <v>0.85630142503947093</v>
      </c>
    </row>
    <row r="554" spans="6:13" x14ac:dyDescent="0.4">
      <c r="F554" s="1">
        <v>38200</v>
      </c>
      <c r="G554" s="16">
        <v>375.83</v>
      </c>
      <c r="H554" s="16">
        <f>_A*F554*F554+_B*F554+_C</f>
        <v>378.1292009426619</v>
      </c>
      <c r="I554">
        <f t="shared" si="32"/>
        <v>8</v>
      </c>
      <c r="J554" s="16" cm="1">
        <f t="array" ref="J554">INDEX(Sm,I554)</f>
        <v>-1.3971602754957855</v>
      </c>
      <c r="K554" s="16">
        <f t="shared" si="33"/>
        <v>376.73204066716613</v>
      </c>
      <c r="L554" s="16">
        <f t="shared" si="34"/>
        <v>0.90204066716614761</v>
      </c>
      <c r="M554" s="16">
        <f t="shared" si="35"/>
        <v>0.81367736522154865</v>
      </c>
    </row>
    <row r="555" spans="6:13" x14ac:dyDescent="0.4">
      <c r="F555" s="1">
        <v>38231</v>
      </c>
      <c r="G555" s="16">
        <v>374.05</v>
      </c>
      <c r="H555" s="16">
        <f>_A*F555*F555+_B*F555+_C</f>
        <v>378.29696304027823</v>
      </c>
      <c r="I555">
        <f t="shared" si="32"/>
        <v>9</v>
      </c>
      <c r="J555" s="16" cm="1">
        <f t="array" ref="J555">INDEX(Sm,I555)</f>
        <v>-3.1930865292764237</v>
      </c>
      <c r="K555" s="16">
        <f t="shared" si="33"/>
        <v>375.10387651100183</v>
      </c>
      <c r="L555" s="16">
        <f t="shared" si="34"/>
        <v>1.0538765110018176</v>
      </c>
      <c r="M555" s="16">
        <f t="shared" si="35"/>
        <v>1.1106557004413642</v>
      </c>
    </row>
    <row r="556" spans="6:13" x14ac:dyDescent="0.4">
      <c r="F556" s="1">
        <v>38261</v>
      </c>
      <c r="G556" s="16">
        <v>374.22</v>
      </c>
      <c r="H556" s="16">
        <f>_A*F556*F556+_B*F556+_C</f>
        <v>378.459492883905</v>
      </c>
      <c r="I556">
        <f t="shared" si="32"/>
        <v>10</v>
      </c>
      <c r="J556" s="16" cm="1">
        <f t="array" ref="J556">INDEX(Sm,I556)</f>
        <v>-3.3364130058083399</v>
      </c>
      <c r="K556" s="16">
        <f t="shared" si="33"/>
        <v>375.12307987809663</v>
      </c>
      <c r="L556" s="16">
        <f t="shared" si="34"/>
        <v>0.90307987809660517</v>
      </c>
      <c r="M556" s="16">
        <f t="shared" si="35"/>
        <v>0.8155532662229793</v>
      </c>
    </row>
    <row r="557" spans="6:13" x14ac:dyDescent="0.4">
      <c r="F557" s="1">
        <v>38292</v>
      </c>
      <c r="G557" s="16">
        <v>375.84</v>
      </c>
      <c r="H557" s="16">
        <f>_A*F557*F557+_B*F557+_C</f>
        <v>378.62762579645062</v>
      </c>
      <c r="I557">
        <f t="shared" si="32"/>
        <v>11</v>
      </c>
      <c r="J557" s="16" cm="1">
        <f t="array" ref="J557">INDEX(Sm,I557)</f>
        <v>-2.0587659563291303</v>
      </c>
      <c r="K557" s="16">
        <f t="shared" si="33"/>
        <v>376.56885984012149</v>
      </c>
      <c r="L557" s="16">
        <f t="shared" si="34"/>
        <v>0.72885984012151539</v>
      </c>
      <c r="M557" s="16">
        <f t="shared" si="35"/>
        <v>0.531236666541961</v>
      </c>
    </row>
    <row r="558" spans="6:13" x14ac:dyDescent="0.4">
      <c r="F558" s="1">
        <v>38322</v>
      </c>
      <c r="G558" s="16">
        <v>377.44</v>
      </c>
      <c r="H558" s="16">
        <f>_A*F558*F558+_B*F558+_C</f>
        <v>378.79051449323487</v>
      </c>
      <c r="I558">
        <f t="shared" si="32"/>
        <v>12</v>
      </c>
      <c r="J558" s="16" cm="1">
        <f t="array" ref="J558">INDEX(Sm,I558)</f>
        <v>-0.89092746411398172</v>
      </c>
      <c r="K558" s="16">
        <f t="shared" si="33"/>
        <v>377.89958702912088</v>
      </c>
      <c r="L558" s="16">
        <f t="shared" si="34"/>
        <v>0.45958702912088256</v>
      </c>
      <c r="M558" s="16">
        <f t="shared" si="35"/>
        <v>0.21122023733615897</v>
      </c>
    </row>
    <row r="559" spans="6:13" x14ac:dyDescent="0.4">
      <c r="F559" s="1">
        <v>38353</v>
      </c>
      <c r="G559" s="16">
        <v>378.34</v>
      </c>
      <c r="H559" s="16">
        <f>_A*F559*F559+_B*F559+_C</f>
        <v>378.95901822070982</v>
      </c>
      <c r="I559">
        <f t="shared" si="32"/>
        <v>1</v>
      </c>
      <c r="J559" s="16" cm="1">
        <f t="array" ref="J559">INDEX(Sm,I559)</f>
        <v>6.1437948016995841E-2</v>
      </c>
      <c r="K559" s="16">
        <f t="shared" si="33"/>
        <v>379.02045616872681</v>
      </c>
      <c r="L559" s="16">
        <f t="shared" si="34"/>
        <v>0.68045616872683468</v>
      </c>
      <c r="M559" s="16">
        <f t="shared" si="35"/>
        <v>0.46302059755840252</v>
      </c>
    </row>
    <row r="560" spans="6:13" x14ac:dyDescent="0.4">
      <c r="F560" s="1">
        <v>38384</v>
      </c>
      <c r="G560" s="16">
        <v>379.61</v>
      </c>
      <c r="H560" s="16">
        <f>_A*F560*F560+_B*F560+_C</f>
        <v>379.12771039511614</v>
      </c>
      <c r="I560">
        <f t="shared" si="32"/>
        <v>2</v>
      </c>
      <c r="J560" s="16" cm="1">
        <f t="array" ref="J560">INDEX(Sm,I560)</f>
        <v>0.69461918939657585</v>
      </c>
      <c r="K560" s="16">
        <f t="shared" si="33"/>
        <v>379.82232958451272</v>
      </c>
      <c r="L560" s="16">
        <f t="shared" si="34"/>
        <v>0.21232958451270179</v>
      </c>
      <c r="M560" s="16">
        <f t="shared" si="35"/>
        <v>4.5083852459336569E-2</v>
      </c>
    </row>
    <row r="561" spans="6:13" x14ac:dyDescent="0.4">
      <c r="F561" s="1">
        <v>38412</v>
      </c>
      <c r="G561" s="16">
        <v>380.08</v>
      </c>
      <c r="H561" s="16">
        <f>_A*F561*F561+_B*F561+_C</f>
        <v>379.28023949454371</v>
      </c>
      <c r="I561">
        <f t="shared" si="32"/>
        <v>3</v>
      </c>
      <c r="J561" s="16" cm="1">
        <f t="array" ref="J561">INDEX(Sm,I561)</f>
        <v>1.3737674684313066</v>
      </c>
      <c r="K561" s="16">
        <f t="shared" si="33"/>
        <v>380.65400696297502</v>
      </c>
      <c r="L561" s="16">
        <f t="shared" si="34"/>
        <v>0.57400696297503373</v>
      </c>
      <c r="M561" s="16">
        <f t="shared" si="35"/>
        <v>0.32948399354382174</v>
      </c>
    </row>
    <row r="562" spans="6:13" x14ac:dyDescent="0.4">
      <c r="F562" s="1">
        <v>38443</v>
      </c>
      <c r="G562" s="16">
        <v>382.05</v>
      </c>
      <c r="H562" s="16">
        <f>_A*F562*F562+_B*F562+_C</f>
        <v>379.44929032601283</v>
      </c>
      <c r="I562">
        <f t="shared" si="32"/>
        <v>4</v>
      </c>
      <c r="J562" s="16" cm="1">
        <f t="array" ref="J562">INDEX(Sm,I562)</f>
        <v>2.6103146033777413</v>
      </c>
      <c r="K562" s="16">
        <f t="shared" si="33"/>
        <v>382.05960492939056</v>
      </c>
      <c r="L562" s="16">
        <f t="shared" si="34"/>
        <v>9.6049293905480226E-3</v>
      </c>
      <c r="M562" s="16">
        <f t="shared" si="35"/>
        <v>9.2254668597413207E-5</v>
      </c>
    </row>
    <row r="563" spans="6:13" x14ac:dyDescent="0.4">
      <c r="F563" s="1">
        <v>38473</v>
      </c>
      <c r="G563" s="16">
        <v>382.24</v>
      </c>
      <c r="H563" s="16">
        <f>_A*F563*F563+_B*F563+_C</f>
        <v>379.6130673314326</v>
      </c>
      <c r="I563">
        <f t="shared" si="32"/>
        <v>5</v>
      </c>
      <c r="J563" s="16" cm="1">
        <f t="array" ref="J563">INDEX(Sm,I563)</f>
        <v>3.065687851218776</v>
      </c>
      <c r="K563" s="16">
        <f t="shared" si="33"/>
        <v>382.6787551826514</v>
      </c>
      <c r="L563" s="16">
        <f t="shared" si="34"/>
        <v>0.43875518265139135</v>
      </c>
      <c r="M563" s="16">
        <f t="shared" si="35"/>
        <v>0.1925061103034558</v>
      </c>
    </row>
    <row r="564" spans="6:13" x14ac:dyDescent="0.4">
      <c r="F564" s="1">
        <v>38504</v>
      </c>
      <c r="G564" s="16">
        <v>382.08</v>
      </c>
      <c r="H564" s="16">
        <f>_A*F564*F564+_B*F564+_C</f>
        <v>379.78248897783101</v>
      </c>
      <c r="I564">
        <f t="shared" si="32"/>
        <v>6</v>
      </c>
      <c r="J564" s="16" cm="1">
        <f t="array" ref="J564">INDEX(Sm,I564)</f>
        <v>2.3467878996384672</v>
      </c>
      <c r="K564" s="16">
        <f t="shared" si="33"/>
        <v>382.12927687746947</v>
      </c>
      <c r="L564" s="16">
        <f t="shared" si="34"/>
        <v>4.9276877469480951E-2</v>
      </c>
      <c r="M564" s="16">
        <f t="shared" si="35"/>
        <v>2.4282106531422392E-3</v>
      </c>
    </row>
    <row r="565" spans="6:13" x14ac:dyDescent="0.4">
      <c r="F565" s="1">
        <v>38534</v>
      </c>
      <c r="G565" s="16">
        <v>380.66</v>
      </c>
      <c r="H565" s="16">
        <f>_A*F565*F565+_B*F565+_C</f>
        <v>379.9466248364082</v>
      </c>
      <c r="I565">
        <f t="shared" si="32"/>
        <v>7</v>
      </c>
      <c r="J565" s="16" cm="1">
        <f t="array" ref="J565">INDEX(Sm,I565)</f>
        <v>0.7237382709437985</v>
      </c>
      <c r="K565" s="16">
        <f t="shared" si="33"/>
        <v>380.67036310735199</v>
      </c>
      <c r="L565" s="16">
        <f t="shared" si="34"/>
        <v>1.0363107351963663E-2</v>
      </c>
      <c r="M565" s="16">
        <f t="shared" si="35"/>
        <v>1.0739399398832332E-4</v>
      </c>
    </row>
    <row r="566" spans="6:13" x14ac:dyDescent="0.4">
      <c r="F566" s="1">
        <v>38565</v>
      </c>
      <c r="G566" s="16">
        <v>378.67</v>
      </c>
      <c r="H566" s="16">
        <f>_A*F566*F566+_B*F566+_C</f>
        <v>380.11641729773595</v>
      </c>
      <c r="I566">
        <f t="shared" si="32"/>
        <v>8</v>
      </c>
      <c r="J566" s="16" cm="1">
        <f t="array" ref="J566">INDEX(Sm,I566)</f>
        <v>-1.3971602754957855</v>
      </c>
      <c r="K566" s="16">
        <f t="shared" si="33"/>
        <v>378.71925702224019</v>
      </c>
      <c r="L566" s="16">
        <f t="shared" si="34"/>
        <v>4.925702224016959E-2</v>
      </c>
      <c r="M566" s="16">
        <f t="shared" si="35"/>
        <v>2.4262542399685616E-3</v>
      </c>
    </row>
    <row r="567" spans="6:13" x14ac:dyDescent="0.4">
      <c r="F567" s="1">
        <v>38596</v>
      </c>
      <c r="G567" s="16">
        <v>376.42</v>
      </c>
      <c r="H567" s="16">
        <f>_A*F567*F567+_B*F567+_C</f>
        <v>380.28639820599506</v>
      </c>
      <c r="I567">
        <f t="shared" si="32"/>
        <v>9</v>
      </c>
      <c r="J567" s="16" cm="1">
        <f t="array" ref="J567">INDEX(Sm,I567)</f>
        <v>-3.1930865292764237</v>
      </c>
      <c r="K567" s="16">
        <f t="shared" si="33"/>
        <v>377.09331167671866</v>
      </c>
      <c r="L567" s="16">
        <f t="shared" si="34"/>
        <v>0.67331167671864023</v>
      </c>
      <c r="M567" s="16">
        <f t="shared" si="35"/>
        <v>0.45334861400566667</v>
      </c>
    </row>
    <row r="568" spans="6:13" x14ac:dyDescent="0.4">
      <c r="F568" s="1">
        <v>38626</v>
      </c>
      <c r="G568" s="16">
        <v>376.8</v>
      </c>
      <c r="H568" s="16">
        <f>_A*F568*F568+_B*F568+_C</f>
        <v>380.45107528572765</v>
      </c>
      <c r="I568">
        <f t="shared" si="32"/>
        <v>10</v>
      </c>
      <c r="J568" s="16" cm="1">
        <f t="array" ref="J568">INDEX(Sm,I568)</f>
        <v>-3.3364130058083399</v>
      </c>
      <c r="K568" s="16">
        <f t="shared" si="33"/>
        <v>377.11466227991929</v>
      </c>
      <c r="L568" s="16">
        <f t="shared" si="34"/>
        <v>0.31466227991927553</v>
      </c>
      <c r="M568" s="16">
        <f t="shared" si="35"/>
        <v>9.9012350403996516E-2</v>
      </c>
    </row>
    <row r="569" spans="6:13" x14ac:dyDescent="0.4">
      <c r="F569" s="1">
        <v>38657</v>
      </c>
      <c r="G569" s="16">
        <v>378.31</v>
      </c>
      <c r="H569" s="16">
        <f>_A*F569*F569+_B*F569+_C</f>
        <v>380.62142700891604</v>
      </c>
      <c r="I569">
        <f t="shared" si="32"/>
        <v>11</v>
      </c>
      <c r="J569" s="16" cm="1">
        <f t="array" ref="J569">INDEX(Sm,I569)</f>
        <v>-2.0587659563291303</v>
      </c>
      <c r="K569" s="16">
        <f t="shared" si="33"/>
        <v>378.56266105258692</v>
      </c>
      <c r="L569" s="16">
        <f t="shared" si="34"/>
        <v>0.25266105258691596</v>
      </c>
      <c r="M569" s="16">
        <f t="shared" si="35"/>
        <v>6.3837607494328305E-2</v>
      </c>
    </row>
    <row r="570" spans="6:13" x14ac:dyDescent="0.4">
      <c r="F570" s="1">
        <v>38687</v>
      </c>
      <c r="G570" s="16">
        <v>379.96</v>
      </c>
      <c r="H570" s="16">
        <f>_A*F570*F570+_B*F570+_C</f>
        <v>380.78646294180612</v>
      </c>
      <c r="I570">
        <f t="shared" si="32"/>
        <v>12</v>
      </c>
      <c r="J570" s="16" cm="1">
        <f t="array" ref="J570">INDEX(Sm,I570)</f>
        <v>-0.89092746411398172</v>
      </c>
      <c r="K570" s="16">
        <f t="shared" si="33"/>
        <v>379.89553547769214</v>
      </c>
      <c r="L570" s="16">
        <f t="shared" si="34"/>
        <v>-6.4464522307844163E-2</v>
      </c>
      <c r="M570" s="16">
        <f t="shared" si="35"/>
        <v>4.1556746363785374E-3</v>
      </c>
    </row>
    <row r="571" spans="6:13" x14ac:dyDescent="0.4">
      <c r="F571" s="1">
        <v>38718</v>
      </c>
      <c r="G571" s="16">
        <v>381.37</v>
      </c>
      <c r="H571" s="16">
        <f>_A*F571*F571+_B*F571+_C</f>
        <v>380.95718547992385</v>
      </c>
      <c r="I571">
        <f t="shared" si="32"/>
        <v>1</v>
      </c>
      <c r="J571" s="16" cm="1">
        <f t="array" ref="J571">INDEX(Sm,I571)</f>
        <v>6.1437948016995841E-2</v>
      </c>
      <c r="K571" s="16">
        <f t="shared" si="33"/>
        <v>381.01862342794084</v>
      </c>
      <c r="L571" s="16">
        <f t="shared" si="34"/>
        <v>-0.35137657205916639</v>
      </c>
      <c r="M571" s="16">
        <f t="shared" si="35"/>
        <v>0.12346549539205055</v>
      </c>
    </row>
    <row r="572" spans="6:13" x14ac:dyDescent="0.4">
      <c r="F572" s="1">
        <v>38749</v>
      </c>
      <c r="G572" s="16">
        <v>382.02</v>
      </c>
      <c r="H572" s="16">
        <f>_A*F572*F572+_B*F572+_C</f>
        <v>381.12809646497283</v>
      </c>
      <c r="I572">
        <f t="shared" si="32"/>
        <v>2</v>
      </c>
      <c r="J572" s="16" cm="1">
        <f t="array" ref="J572">INDEX(Sm,I572)</f>
        <v>0.69461918939657585</v>
      </c>
      <c r="K572" s="16">
        <f t="shared" si="33"/>
        <v>381.8227156543694</v>
      </c>
      <c r="L572" s="16">
        <f t="shared" si="34"/>
        <v>-0.19728434563057817</v>
      </c>
      <c r="M572" s="16">
        <f t="shared" si="35"/>
        <v>3.8921113030885426E-2</v>
      </c>
    </row>
    <row r="573" spans="6:13" x14ac:dyDescent="0.4">
      <c r="F573" s="1">
        <v>38777</v>
      </c>
      <c r="G573" s="16">
        <v>382.56</v>
      </c>
      <c r="H573" s="16">
        <f>_A*F573*F573+_B*F573+_C</f>
        <v>381.28262965143256</v>
      </c>
      <c r="I573">
        <f t="shared" si="32"/>
        <v>3</v>
      </c>
      <c r="J573" s="16" cm="1">
        <f t="array" ref="J573">INDEX(Sm,I573)</f>
        <v>1.3737674684313066</v>
      </c>
      <c r="K573" s="16">
        <f t="shared" si="33"/>
        <v>382.65639711986387</v>
      </c>
      <c r="L573" s="16">
        <f t="shared" si="34"/>
        <v>9.639711986386601E-2</v>
      </c>
      <c r="M573" s="16">
        <f t="shared" si="35"/>
        <v>9.2924047180485501E-3</v>
      </c>
    </row>
    <row r="574" spans="6:13" x14ac:dyDescent="0.4">
      <c r="F574" s="1">
        <v>38808</v>
      </c>
      <c r="G574" s="16">
        <v>384.36</v>
      </c>
      <c r="H574" s="16">
        <f>_A*F574*F574+_B*F574+_C</f>
        <v>381.4538992935444</v>
      </c>
      <c r="I574">
        <f t="shared" si="32"/>
        <v>4</v>
      </c>
      <c r="J574" s="16" cm="1">
        <f t="array" ref="J574">INDEX(Sm,I574)</f>
        <v>2.6103146033777413</v>
      </c>
      <c r="K574" s="16">
        <f t="shared" si="33"/>
        <v>384.06421389692213</v>
      </c>
      <c r="L574" s="16">
        <f t="shared" si="34"/>
        <v>-0.29578610307788722</v>
      </c>
      <c r="M574" s="16">
        <f t="shared" si="35"/>
        <v>8.7489418774002528E-2</v>
      </c>
    </row>
    <row r="575" spans="6:13" x14ac:dyDescent="0.4">
      <c r="F575" s="1">
        <v>38838</v>
      </c>
      <c r="G575" s="16">
        <v>384.92</v>
      </c>
      <c r="H575" s="16">
        <f>_A*F575*F575+_B*F575+_C</f>
        <v>381.61982353507005</v>
      </c>
      <c r="I575">
        <f t="shared" si="32"/>
        <v>5</v>
      </c>
      <c r="J575" s="16" cm="1">
        <f t="array" ref="J575">INDEX(Sm,I575)</f>
        <v>3.065687851218776</v>
      </c>
      <c r="K575" s="16">
        <f t="shared" si="33"/>
        <v>384.68551138628885</v>
      </c>
      <c r="L575" s="16">
        <f t="shared" si="34"/>
        <v>-0.23448861371116436</v>
      </c>
      <c r="M575" s="16">
        <f t="shared" si="35"/>
        <v>5.498490996018366E-2</v>
      </c>
    </row>
    <row r="576" spans="6:13" x14ac:dyDescent="0.4">
      <c r="F576" s="1">
        <v>38869</v>
      </c>
      <c r="G576" s="16">
        <v>384.03</v>
      </c>
      <c r="H576" s="16">
        <f>_A*F576*F576+_B*F576+_C</f>
        <v>381.79146399211123</v>
      </c>
      <c r="I576">
        <f t="shared" si="32"/>
        <v>6</v>
      </c>
      <c r="J576" s="16" cm="1">
        <f t="array" ref="J576">INDEX(Sm,I576)</f>
        <v>2.3467878996384672</v>
      </c>
      <c r="K576" s="16">
        <f t="shared" si="33"/>
        <v>384.13825189174969</v>
      </c>
      <c r="L576" s="16">
        <f t="shared" si="34"/>
        <v>0.10825189174971683</v>
      </c>
      <c r="M576" s="16">
        <f t="shared" si="35"/>
        <v>1.1718472067392412E-2</v>
      </c>
    </row>
    <row r="577" spans="6:13" x14ac:dyDescent="0.4">
      <c r="F577" s="1">
        <v>38899</v>
      </c>
      <c r="G577" s="16">
        <v>382.28</v>
      </c>
      <c r="H577" s="16">
        <f>_A*F577*F577+_B*F577+_C</f>
        <v>381.95774708679426</v>
      </c>
      <c r="I577">
        <f t="shared" si="32"/>
        <v>7</v>
      </c>
      <c r="J577" s="16" cm="1">
        <f t="array" ref="J577">INDEX(Sm,I577)</f>
        <v>0.7237382709437985</v>
      </c>
      <c r="K577" s="16">
        <f t="shared" si="33"/>
        <v>382.68148535773804</v>
      </c>
      <c r="L577" s="16">
        <f t="shared" si="34"/>
        <v>0.40148535773806771</v>
      </c>
      <c r="M577" s="16">
        <f t="shared" si="35"/>
        <v>0.16119049247806419</v>
      </c>
    </row>
    <row r="578" spans="6:13" x14ac:dyDescent="0.4">
      <c r="F578" s="1">
        <v>38930</v>
      </c>
      <c r="G578" s="16">
        <v>380.48</v>
      </c>
      <c r="H578" s="16">
        <f>_A*F578*F578+_B*F578+_C</f>
        <v>382.12975835876478</v>
      </c>
      <c r="I578">
        <f t="shared" si="32"/>
        <v>8</v>
      </c>
      <c r="J578" s="16" cm="1">
        <f t="array" ref="J578">INDEX(Sm,I578)</f>
        <v>-1.3971602754957855</v>
      </c>
      <c r="K578" s="16">
        <f t="shared" si="33"/>
        <v>380.73259808326901</v>
      </c>
      <c r="L578" s="16">
        <f t="shared" si="34"/>
        <v>0.25259808326899247</v>
      </c>
      <c r="M578" s="16">
        <f t="shared" si="35"/>
        <v>6.3805791671168857E-2</v>
      </c>
    </row>
    <row r="579" spans="6:13" x14ac:dyDescent="0.4">
      <c r="F579" s="1">
        <v>38961</v>
      </c>
      <c r="G579" s="16">
        <v>378.81</v>
      </c>
      <c r="H579" s="16">
        <f>_A*F579*F579+_B*F579+_C</f>
        <v>382.30195807766654</v>
      </c>
      <c r="I579">
        <f t="shared" ref="I579:I642" si="36">MONTH(F579)</f>
        <v>9</v>
      </c>
      <c r="J579" s="16" cm="1">
        <f t="array" ref="J579">INDEX(Sm,I579)</f>
        <v>-3.1930865292764237</v>
      </c>
      <c r="K579" s="16">
        <f t="shared" ref="K579:K642" si="37">H579+J579</f>
        <v>379.10887154839014</v>
      </c>
      <c r="L579" s="16">
        <f t="shared" ref="L579:L642" si="38">K579-G579</f>
        <v>0.29887154839013874</v>
      </c>
      <c r="M579" s="16">
        <f t="shared" ref="M579:M642" si="39">L579*L579</f>
        <v>8.9324202437119041E-2</v>
      </c>
    </row>
    <row r="580" spans="6:13" x14ac:dyDescent="0.4">
      <c r="F580" s="1">
        <v>38991</v>
      </c>
      <c r="G580" s="16">
        <v>379.06</v>
      </c>
      <c r="H580" s="16">
        <f>_A*F580*F580+_B*F580+_C</f>
        <v>382.46878239350502</v>
      </c>
      <c r="I580">
        <f t="shared" si="36"/>
        <v>10</v>
      </c>
      <c r="J580" s="16" cm="1">
        <f t="array" ref="J580">INDEX(Sm,I580)</f>
        <v>-3.3364130058083399</v>
      </c>
      <c r="K580" s="16">
        <f t="shared" si="37"/>
        <v>379.13236938769666</v>
      </c>
      <c r="L580" s="16">
        <f t="shared" si="38"/>
        <v>7.2369387696653575E-2</v>
      </c>
      <c r="M580" s="16">
        <f t="shared" si="39"/>
        <v>5.237328275588554E-3</v>
      </c>
    </row>
    <row r="581" spans="6:13" x14ac:dyDescent="0.4">
      <c r="F581" s="1">
        <v>39022</v>
      </c>
      <c r="G581" s="16">
        <v>380.14</v>
      </c>
      <c r="H581" s="16">
        <f>_A*F581*F581+_B*F581+_C</f>
        <v>382.64135292733613</v>
      </c>
      <c r="I581">
        <f t="shared" si="36"/>
        <v>11</v>
      </c>
      <c r="J581" s="16" cm="1">
        <f t="array" ref="J581">INDEX(Sm,I581)</f>
        <v>-2.0587659563291303</v>
      </c>
      <c r="K581" s="16">
        <f t="shared" si="37"/>
        <v>380.582586971007</v>
      </c>
      <c r="L581" s="16">
        <f t="shared" si="38"/>
        <v>0.44258697100701738</v>
      </c>
      <c r="M581" s="16">
        <f t="shared" si="39"/>
        <v>0.19588322690516644</v>
      </c>
    </row>
    <row r="582" spans="6:13" x14ac:dyDescent="0.4">
      <c r="F582" s="1">
        <v>39052</v>
      </c>
      <c r="G582" s="16">
        <v>381.66</v>
      </c>
      <c r="H582" s="16">
        <f>_A*F582*F582+_B*F582+_C</f>
        <v>382.80853609633209</v>
      </c>
      <c r="I582">
        <f t="shared" si="36"/>
        <v>12</v>
      </c>
      <c r="J582" s="16" cm="1">
        <f t="array" ref="J582">INDEX(Sm,I582)</f>
        <v>-0.89092746411398172</v>
      </c>
      <c r="K582" s="16">
        <f t="shared" si="37"/>
        <v>381.9176086322181</v>
      </c>
      <c r="L582" s="16">
        <f t="shared" si="38"/>
        <v>0.25760863221807995</v>
      </c>
      <c r="M582" s="16">
        <f t="shared" si="39"/>
        <v>6.6362207393269979E-2</v>
      </c>
    </row>
    <row r="583" spans="6:13" x14ac:dyDescent="0.4">
      <c r="F583" s="1">
        <v>39083</v>
      </c>
      <c r="G583" s="16">
        <v>382.58</v>
      </c>
      <c r="H583" s="16">
        <f>_A*F583*F583+_B*F583+_C</f>
        <v>382.98147744509254</v>
      </c>
      <c r="I583">
        <f t="shared" si="36"/>
        <v>1</v>
      </c>
      <c r="J583" s="16" cm="1">
        <f t="array" ref="J583">INDEX(Sm,I583)</f>
        <v>6.1437948016995841E-2</v>
      </c>
      <c r="K583" s="16">
        <f t="shared" si="37"/>
        <v>383.04291539310952</v>
      </c>
      <c r="L583" s="16">
        <f t="shared" si="38"/>
        <v>0.46291539310954022</v>
      </c>
      <c r="M583" s="16">
        <f t="shared" si="39"/>
        <v>0.21429066117776016</v>
      </c>
    </row>
    <row r="584" spans="6:13" x14ac:dyDescent="0.4">
      <c r="F584" s="1">
        <v>39114</v>
      </c>
      <c r="G584" s="16">
        <v>383.71</v>
      </c>
      <c r="H584" s="16">
        <f>_A*F584*F584+_B*F584+_C</f>
        <v>383.15460724078429</v>
      </c>
      <c r="I584">
        <f t="shared" si="36"/>
        <v>2</v>
      </c>
      <c r="J584" s="16" cm="1">
        <f t="array" ref="J584">INDEX(Sm,I584)</f>
        <v>0.69461918939657585</v>
      </c>
      <c r="K584" s="16">
        <f t="shared" si="37"/>
        <v>383.84922643018086</v>
      </c>
      <c r="L584" s="16">
        <f t="shared" si="38"/>
        <v>0.13922643018088365</v>
      </c>
      <c r="M584" s="16">
        <f t="shared" si="39"/>
        <v>1.9383998860912469E-2</v>
      </c>
    </row>
    <row r="585" spans="6:13" x14ac:dyDescent="0.4">
      <c r="F585" s="1">
        <v>39142</v>
      </c>
      <c r="G585" s="16">
        <v>384.34</v>
      </c>
      <c r="H585" s="16">
        <f>_A*F585*F585+_B*F585+_C</f>
        <v>383.31114451427618</v>
      </c>
      <c r="I585">
        <f t="shared" si="36"/>
        <v>3</v>
      </c>
      <c r="J585" s="16" cm="1">
        <f t="array" ref="J585">INDEX(Sm,I585)</f>
        <v>1.3737674684313066</v>
      </c>
      <c r="K585" s="16">
        <f t="shared" si="37"/>
        <v>384.68491198270749</v>
      </c>
      <c r="L585" s="16">
        <f t="shared" si="38"/>
        <v>0.34491198270751511</v>
      </c>
      <c r="M585" s="16">
        <f t="shared" si="39"/>
        <v>0.1189642758152292</v>
      </c>
    </row>
    <row r="586" spans="6:13" x14ac:dyDescent="0.4">
      <c r="F586" s="1">
        <v>39173</v>
      </c>
      <c r="G586" s="16">
        <v>386.23</v>
      </c>
      <c r="H586" s="16">
        <f>_A*F586*F586+_B*F586+_C</f>
        <v>383.48463296703073</v>
      </c>
      <c r="I586">
        <f t="shared" si="36"/>
        <v>4</v>
      </c>
      <c r="J586" s="16" cm="1">
        <f t="array" ref="J586">INDEX(Sm,I586)</f>
        <v>2.6103146033777413</v>
      </c>
      <c r="K586" s="16">
        <f t="shared" si="37"/>
        <v>386.09494757040846</v>
      </c>
      <c r="L586" s="16">
        <f t="shared" si="38"/>
        <v>-0.13505242959155339</v>
      </c>
      <c r="M586" s="16">
        <f t="shared" si="39"/>
        <v>1.8239158738581486E-2</v>
      </c>
    </row>
    <row r="587" spans="6:13" x14ac:dyDescent="0.4">
      <c r="F587" s="1">
        <v>39203</v>
      </c>
      <c r="G587" s="16">
        <v>386.41</v>
      </c>
      <c r="H587" s="16">
        <f>_A*F587*F587+_B*F587+_C</f>
        <v>383.65270444466222</v>
      </c>
      <c r="I587">
        <f t="shared" si="36"/>
        <v>5</v>
      </c>
      <c r="J587" s="16" cm="1">
        <f t="array" ref="J587">INDEX(Sm,I587)</f>
        <v>3.065687851218776</v>
      </c>
      <c r="K587" s="16">
        <f t="shared" si="37"/>
        <v>386.71839229588102</v>
      </c>
      <c r="L587" s="16">
        <f t="shared" si="38"/>
        <v>0.30839229588099215</v>
      </c>
      <c r="M587" s="16">
        <f t="shared" si="39"/>
        <v>9.5105808158749403E-2</v>
      </c>
    </row>
    <row r="588" spans="6:13" x14ac:dyDescent="0.4">
      <c r="F588" s="1">
        <v>39234</v>
      </c>
      <c r="G588" s="16">
        <v>385.87</v>
      </c>
      <c r="H588" s="16">
        <f>_A*F588*F588+_B*F588+_C</f>
        <v>383.82656371234611</v>
      </c>
      <c r="I588">
        <f t="shared" si="36"/>
        <v>6</v>
      </c>
      <c r="J588" s="16" cm="1">
        <f t="array" ref="J588">INDEX(Sm,I588)</f>
        <v>2.3467878996384672</v>
      </c>
      <c r="K588" s="16">
        <f t="shared" si="37"/>
        <v>386.17335161198457</v>
      </c>
      <c r="L588" s="16">
        <f t="shared" si="38"/>
        <v>0.30335161198456717</v>
      </c>
      <c r="M588" s="16">
        <f t="shared" si="39"/>
        <v>9.2022200493635395E-2</v>
      </c>
    </row>
    <row r="589" spans="6:13" x14ac:dyDescent="0.4">
      <c r="F589" s="1">
        <v>39264</v>
      </c>
      <c r="G589" s="16">
        <v>384.44</v>
      </c>
      <c r="H589" s="16">
        <f>_A*F589*F589+_B*F589+_C</f>
        <v>383.99499404313502</v>
      </c>
      <c r="I589">
        <f t="shared" si="36"/>
        <v>7</v>
      </c>
      <c r="J589" s="16" cm="1">
        <f t="array" ref="J589">INDEX(Sm,I589)</f>
        <v>0.7237382709437985</v>
      </c>
      <c r="K589" s="16">
        <f t="shared" si="37"/>
        <v>384.71873231407881</v>
      </c>
      <c r="L589" s="16">
        <f t="shared" si="38"/>
        <v>0.27873231407880894</v>
      </c>
      <c r="M589" s="16">
        <f t="shared" si="39"/>
        <v>7.7691702911727792E-2</v>
      </c>
    </row>
    <row r="590" spans="6:13" x14ac:dyDescent="0.4">
      <c r="F590" s="1">
        <v>39295</v>
      </c>
      <c r="G590" s="16">
        <v>381.84</v>
      </c>
      <c r="H590" s="16">
        <f>_A*F590*F590+_B*F590+_C</f>
        <v>384.16922412574826</v>
      </c>
      <c r="I590">
        <f t="shared" si="36"/>
        <v>8</v>
      </c>
      <c r="J590" s="16" cm="1">
        <f t="array" ref="J590">INDEX(Sm,I590)</f>
        <v>-1.3971602754957855</v>
      </c>
      <c r="K590" s="16">
        <f t="shared" si="37"/>
        <v>382.77206385025249</v>
      </c>
      <c r="L590" s="16">
        <f t="shared" si="38"/>
        <v>0.93206385025251848</v>
      </c>
      <c r="M590" s="16">
        <f t="shared" si="39"/>
        <v>0.86874302094754918</v>
      </c>
    </row>
    <row r="591" spans="6:13" x14ac:dyDescent="0.4">
      <c r="F591" s="1">
        <v>39326</v>
      </c>
      <c r="G591" s="16">
        <v>380.86</v>
      </c>
      <c r="H591" s="16">
        <f>_A*F591*F591+_B*F591+_C</f>
        <v>384.34364265529274</v>
      </c>
      <c r="I591">
        <f t="shared" si="36"/>
        <v>9</v>
      </c>
      <c r="J591" s="16" cm="1">
        <f t="array" ref="J591">INDEX(Sm,I591)</f>
        <v>-3.1930865292764237</v>
      </c>
      <c r="K591" s="16">
        <f t="shared" si="37"/>
        <v>381.15055612601634</v>
      </c>
      <c r="L591" s="16">
        <f t="shared" si="38"/>
        <v>0.29055612601632674</v>
      </c>
      <c r="M591" s="16">
        <f t="shared" si="39"/>
        <v>8.4422862365615553E-2</v>
      </c>
    </row>
    <row r="592" spans="6:13" x14ac:dyDescent="0.4">
      <c r="F592" s="1">
        <v>39356</v>
      </c>
      <c r="G592" s="16">
        <v>380.86</v>
      </c>
      <c r="H592" s="16">
        <f>_A*F592*F592+_B*F592+_C</f>
        <v>384.51261420723711</v>
      </c>
      <c r="I592">
        <f t="shared" si="36"/>
        <v>10</v>
      </c>
      <c r="J592" s="16" cm="1">
        <f t="array" ref="J592">INDEX(Sm,I592)</f>
        <v>-3.3364130058083399</v>
      </c>
      <c r="K592" s="16">
        <f t="shared" si="37"/>
        <v>381.17620120142874</v>
      </c>
      <c r="L592" s="16">
        <f t="shared" si="38"/>
        <v>0.31620120142872565</v>
      </c>
      <c r="M592" s="16">
        <f t="shared" si="39"/>
        <v>9.9983199784969529E-2</v>
      </c>
    </row>
    <row r="593" spans="6:13" x14ac:dyDescent="0.4">
      <c r="F593" s="1">
        <v>39387</v>
      </c>
      <c r="G593" s="16">
        <v>382.36</v>
      </c>
      <c r="H593" s="16">
        <f>_A*F593*F593+_B*F593+_C</f>
        <v>384.68740355171099</v>
      </c>
      <c r="I593">
        <f t="shared" si="36"/>
        <v>11</v>
      </c>
      <c r="J593" s="16" cm="1">
        <f t="array" ref="J593">INDEX(Sm,I593)</f>
        <v>-2.0587659563291303</v>
      </c>
      <c r="K593" s="16">
        <f t="shared" si="37"/>
        <v>382.62863759538186</v>
      </c>
      <c r="L593" s="16">
        <f t="shared" si="38"/>
        <v>0.26863759538184695</v>
      </c>
      <c r="M593" s="16">
        <f t="shared" si="39"/>
        <v>7.2166157652540919E-2</v>
      </c>
    </row>
    <row r="594" spans="6:13" x14ac:dyDescent="0.4">
      <c r="F594" s="1">
        <v>39417</v>
      </c>
      <c r="G594" s="16">
        <v>383.61</v>
      </c>
      <c r="H594" s="16">
        <f>_A*F594*F594+_B*F594+_C</f>
        <v>384.85673395681277</v>
      </c>
      <c r="I594">
        <f t="shared" si="36"/>
        <v>12</v>
      </c>
      <c r="J594" s="16" cm="1">
        <f t="array" ref="J594">INDEX(Sm,I594)</f>
        <v>-0.89092746411398172</v>
      </c>
      <c r="K594" s="16">
        <f t="shared" si="37"/>
        <v>383.96580649269879</v>
      </c>
      <c r="L594" s="16">
        <f t="shared" si="38"/>
        <v>0.3558064926987754</v>
      </c>
      <c r="M594" s="16">
        <f t="shared" si="39"/>
        <v>0.1265982602466037</v>
      </c>
    </row>
    <row r="595" spans="6:13" x14ac:dyDescent="0.4">
      <c r="F595" s="1">
        <v>39448</v>
      </c>
      <c r="G595" s="16">
        <v>385.07</v>
      </c>
      <c r="H595" s="16">
        <f>_A*F595*F595+_B*F595+_C</f>
        <v>385.03189411621599</v>
      </c>
      <c r="I595">
        <f t="shared" si="36"/>
        <v>1</v>
      </c>
      <c r="J595" s="16" cm="1">
        <f t="array" ref="J595">INDEX(Sm,I595)</f>
        <v>6.1437948016995841E-2</v>
      </c>
      <c r="K595" s="16">
        <f t="shared" si="37"/>
        <v>385.09333206423298</v>
      </c>
      <c r="L595" s="16">
        <f t="shared" si="38"/>
        <v>2.3332064232988614E-2</v>
      </c>
      <c r="M595" s="16">
        <f t="shared" si="39"/>
        <v>5.4438522137230654E-4</v>
      </c>
    </row>
    <row r="596" spans="6:13" x14ac:dyDescent="0.4">
      <c r="F596" s="1">
        <v>39479</v>
      </c>
      <c r="G596" s="16">
        <v>385.84</v>
      </c>
      <c r="H596" s="16">
        <f>_A*F596*F596+_B*F596+_C</f>
        <v>385.2072427225504</v>
      </c>
      <c r="I596">
        <f t="shared" si="36"/>
        <v>2</v>
      </c>
      <c r="J596" s="16" cm="1">
        <f t="array" ref="J596">INDEX(Sm,I596)</f>
        <v>0.69461918939657585</v>
      </c>
      <c r="K596" s="16">
        <f t="shared" si="37"/>
        <v>385.90186191194698</v>
      </c>
      <c r="L596" s="16">
        <f t="shared" si="38"/>
        <v>6.186191194700541E-2</v>
      </c>
      <c r="M596" s="16">
        <f t="shared" si="39"/>
        <v>3.8268961497390508E-3</v>
      </c>
    </row>
    <row r="597" spans="6:13" x14ac:dyDescent="0.4">
      <c r="F597" s="1">
        <v>39508</v>
      </c>
      <c r="G597" s="16">
        <v>385.83</v>
      </c>
      <c r="H597" s="16">
        <f>_A*F597*F597+_B*F597+_C</f>
        <v>385.37144911789375</v>
      </c>
      <c r="I597">
        <f t="shared" si="36"/>
        <v>3</v>
      </c>
      <c r="J597" s="16" cm="1">
        <f t="array" ref="J597">INDEX(Sm,I597)</f>
        <v>1.3737674684313066</v>
      </c>
      <c r="K597" s="16">
        <f t="shared" si="37"/>
        <v>386.74521658632506</v>
      </c>
      <c r="L597" s="16">
        <f t="shared" si="38"/>
        <v>0.91521658632507297</v>
      </c>
      <c r="M597" s="16">
        <f t="shared" si="39"/>
        <v>0.83762139988451978</v>
      </c>
    </row>
    <row r="598" spans="6:13" x14ac:dyDescent="0.4">
      <c r="F598" s="1">
        <v>39539</v>
      </c>
      <c r="G598" s="16">
        <v>386.77</v>
      </c>
      <c r="H598" s="16">
        <f>_A*F598*F598+_B*F598+_C</f>
        <v>385.54716246022434</v>
      </c>
      <c r="I598">
        <f t="shared" si="36"/>
        <v>4</v>
      </c>
      <c r="J598" s="16" cm="1">
        <f t="array" ref="J598">INDEX(Sm,I598)</f>
        <v>2.6103146033777413</v>
      </c>
      <c r="K598" s="16">
        <f t="shared" si="37"/>
        <v>388.15747706360207</v>
      </c>
      <c r="L598" s="16">
        <f t="shared" si="38"/>
        <v>1.3874770636020912</v>
      </c>
      <c r="M598" s="16">
        <f t="shared" si="39"/>
        <v>1.9250926020218815</v>
      </c>
    </row>
    <row r="599" spans="6:13" x14ac:dyDescent="0.4">
      <c r="F599" s="1">
        <v>39569</v>
      </c>
      <c r="G599" s="16">
        <v>388.51</v>
      </c>
      <c r="H599" s="16">
        <f>_A*F599*F599+_B*F599+_C</f>
        <v>385.71738705680036</v>
      </c>
      <c r="I599">
        <f t="shared" si="36"/>
        <v>5</v>
      </c>
      <c r="J599" s="16" cm="1">
        <f t="array" ref="J599">INDEX(Sm,I599)</f>
        <v>3.065687851218776</v>
      </c>
      <c r="K599" s="16">
        <f t="shared" si="37"/>
        <v>388.78307490801916</v>
      </c>
      <c r="L599" s="16">
        <f t="shared" si="38"/>
        <v>0.27307490801916856</v>
      </c>
      <c r="M599" s="16">
        <f t="shared" si="39"/>
        <v>7.4569905389677366E-2</v>
      </c>
    </row>
    <row r="600" spans="6:13" x14ac:dyDescent="0.4">
      <c r="F600" s="1">
        <v>39600</v>
      </c>
      <c r="G600" s="16">
        <v>388.05</v>
      </c>
      <c r="H600" s="16">
        <f>_A*F600*F600+_B*F600+_C</f>
        <v>385.89347121406024</v>
      </c>
      <c r="I600">
        <f t="shared" si="36"/>
        <v>6</v>
      </c>
      <c r="J600" s="16" cm="1">
        <f t="array" ref="J600">INDEX(Sm,I600)</f>
        <v>2.3467878996384672</v>
      </c>
      <c r="K600" s="16">
        <f t="shared" si="37"/>
        <v>388.2402591136987</v>
      </c>
      <c r="L600" s="16">
        <f t="shared" si="38"/>
        <v>0.19025911369868709</v>
      </c>
      <c r="M600" s="16">
        <f t="shared" si="39"/>
        <v>3.6198530345409943E-2</v>
      </c>
    </row>
    <row r="601" spans="6:13" x14ac:dyDescent="0.4">
      <c r="F601" s="1">
        <v>39630</v>
      </c>
      <c r="G601" s="16">
        <v>386.25</v>
      </c>
      <c r="H601" s="16">
        <f>_A*F601*F601+_B*F601+_C</f>
        <v>386.06405466379363</v>
      </c>
      <c r="I601">
        <f t="shared" si="36"/>
        <v>7</v>
      </c>
      <c r="J601" s="16" cm="1">
        <f t="array" ref="J601">INDEX(Sm,I601)</f>
        <v>0.7237382709437985</v>
      </c>
      <c r="K601" s="16">
        <f t="shared" si="37"/>
        <v>386.78779293473741</v>
      </c>
      <c r="L601" s="16">
        <f t="shared" si="38"/>
        <v>0.53779293473741063</v>
      </c>
      <c r="M601" s="16">
        <f t="shared" si="39"/>
        <v>0.28922124065347682</v>
      </c>
    </row>
    <row r="602" spans="6:13" x14ac:dyDescent="0.4">
      <c r="F602" s="1">
        <v>39661</v>
      </c>
      <c r="G602" s="16">
        <v>384.08</v>
      </c>
      <c r="H602" s="16">
        <f>_A*F602*F602+_B*F602+_C</f>
        <v>386.24050963598285</v>
      </c>
      <c r="I602">
        <f t="shared" si="36"/>
        <v>8</v>
      </c>
      <c r="J602" s="16" cm="1">
        <f t="array" ref="J602">INDEX(Sm,I602)</f>
        <v>-1.3971602754957855</v>
      </c>
      <c r="K602" s="16">
        <f t="shared" si="37"/>
        <v>384.84334936048708</v>
      </c>
      <c r="L602" s="16">
        <f t="shared" si="38"/>
        <v>0.76334936048709778</v>
      </c>
      <c r="M602" s="16">
        <f t="shared" si="39"/>
        <v>0.58270224615606114</v>
      </c>
    </row>
    <row r="603" spans="6:13" x14ac:dyDescent="0.4">
      <c r="F603" s="1">
        <v>39692</v>
      </c>
      <c r="G603" s="16">
        <v>383.09</v>
      </c>
      <c r="H603" s="16">
        <f>_A*F603*F603+_B*F603+_C</f>
        <v>386.41715305510337</v>
      </c>
      <c r="I603">
        <f t="shared" si="36"/>
        <v>9</v>
      </c>
      <c r="J603" s="16" cm="1">
        <f t="array" ref="J603">INDEX(Sm,I603)</f>
        <v>-3.1930865292764237</v>
      </c>
      <c r="K603" s="16">
        <f t="shared" si="37"/>
        <v>383.22406652582697</v>
      </c>
      <c r="L603" s="16">
        <f t="shared" si="38"/>
        <v>0.13406652582699508</v>
      </c>
      <c r="M603" s="16">
        <f t="shared" si="39"/>
        <v>1.7973833347320337E-2</v>
      </c>
    </row>
    <row r="604" spans="6:13" x14ac:dyDescent="0.4">
      <c r="F604" s="1">
        <v>39722</v>
      </c>
      <c r="G604" s="16">
        <v>382.78</v>
      </c>
      <c r="H604" s="16">
        <f>_A*F604*F604+_B*F604+_C</f>
        <v>386.58827772599227</v>
      </c>
      <c r="I604">
        <f t="shared" si="36"/>
        <v>10</v>
      </c>
      <c r="J604" s="16" cm="1">
        <f t="array" ref="J604">INDEX(Sm,I604)</f>
        <v>-3.3364130058083399</v>
      </c>
      <c r="K604" s="16">
        <f t="shared" si="37"/>
        <v>383.2518647201839</v>
      </c>
      <c r="L604" s="16">
        <f t="shared" si="38"/>
        <v>0.47186472018393033</v>
      </c>
      <c r="M604" s="16">
        <f t="shared" si="39"/>
        <v>0.22265631415425888</v>
      </c>
    </row>
    <row r="605" spans="6:13" x14ac:dyDescent="0.4">
      <c r="F605" s="1">
        <v>39753</v>
      </c>
      <c r="G605" s="16">
        <v>384.01</v>
      </c>
      <c r="H605" s="16">
        <f>_A*F605*F605+_B*F605+_C</f>
        <v>386.76529196004213</v>
      </c>
      <c r="I605">
        <f t="shared" si="36"/>
        <v>11</v>
      </c>
      <c r="J605" s="16" cm="1">
        <f t="array" ref="J605">INDEX(Sm,I605)</f>
        <v>-2.0587659563291303</v>
      </c>
      <c r="K605" s="16">
        <f t="shared" si="37"/>
        <v>384.70652600371301</v>
      </c>
      <c r="L605" s="16">
        <f t="shared" si="38"/>
        <v>0.69652600371301787</v>
      </c>
      <c r="M605" s="16">
        <f t="shared" si="39"/>
        <v>0.48514847384842696</v>
      </c>
    </row>
    <row r="606" spans="6:13" x14ac:dyDescent="0.4">
      <c r="F606" s="1">
        <v>39783</v>
      </c>
      <c r="G606" s="16">
        <v>385.11</v>
      </c>
      <c r="H606" s="16">
        <f>_A*F606*F606+_B*F606+_C</f>
        <v>386.9367754840884</v>
      </c>
      <c r="I606">
        <f t="shared" si="36"/>
        <v>12</v>
      </c>
      <c r="J606" s="16" cm="1">
        <f t="array" ref="J606">INDEX(Sm,I606)</f>
        <v>-0.89092746411398172</v>
      </c>
      <c r="K606" s="16">
        <f t="shared" si="37"/>
        <v>386.04584801997441</v>
      </c>
      <c r="L606" s="16">
        <f t="shared" si="38"/>
        <v>0.93584801997440081</v>
      </c>
      <c r="M606" s="16">
        <f t="shared" si="39"/>
        <v>0.87581151649000655</v>
      </c>
    </row>
    <row r="607" spans="6:13" x14ac:dyDescent="0.4">
      <c r="F607" s="1">
        <v>39814</v>
      </c>
      <c r="G607" s="16">
        <v>386.65</v>
      </c>
      <c r="H607" s="16">
        <f>_A*F607*F607+_B*F607+_C</f>
        <v>387.1141605330676</v>
      </c>
      <c r="I607">
        <f t="shared" si="36"/>
        <v>1</v>
      </c>
      <c r="J607" s="16" cm="1">
        <f t="array" ref="J607">INDEX(Sm,I607)</f>
        <v>6.1437948016995841E-2</v>
      </c>
      <c r="K607" s="16">
        <f t="shared" si="37"/>
        <v>387.17559848108459</v>
      </c>
      <c r="L607" s="16">
        <f t="shared" si="38"/>
        <v>0.52559848108461438</v>
      </c>
      <c r="M607" s="16">
        <f t="shared" si="39"/>
        <v>0.27625376331845375</v>
      </c>
    </row>
    <row r="608" spans="6:13" x14ac:dyDescent="0.4">
      <c r="F608" s="1">
        <v>39845</v>
      </c>
      <c r="G608" s="16">
        <v>387.12</v>
      </c>
      <c r="H608" s="16">
        <f>_A*F608*F608+_B*F608+_C</f>
        <v>387.29173402897806</v>
      </c>
      <c r="I608">
        <f t="shared" si="36"/>
        <v>2</v>
      </c>
      <c r="J608" s="16" cm="1">
        <f t="array" ref="J608">INDEX(Sm,I608)</f>
        <v>0.69461918939657585</v>
      </c>
      <c r="K608" s="16">
        <f t="shared" si="37"/>
        <v>387.98635321837463</v>
      </c>
      <c r="L608" s="16">
        <f t="shared" si="38"/>
        <v>0.86635321837462698</v>
      </c>
      <c r="M608" s="16">
        <f t="shared" si="39"/>
        <v>0.75056789898807408</v>
      </c>
    </row>
    <row r="609" spans="6:13" x14ac:dyDescent="0.4">
      <c r="F609" s="1">
        <v>39873</v>
      </c>
      <c r="G609" s="16">
        <v>388.52</v>
      </c>
      <c r="H609" s="16">
        <f>_A*F609*F609+_B*F609+_C</f>
        <v>387.45228496718363</v>
      </c>
      <c r="I609">
        <f t="shared" si="36"/>
        <v>3</v>
      </c>
      <c r="J609" s="16" cm="1">
        <f t="array" ref="J609">INDEX(Sm,I609)</f>
        <v>1.3737674684313066</v>
      </c>
      <c r="K609" s="16">
        <f t="shared" si="37"/>
        <v>388.82605243561494</v>
      </c>
      <c r="L609" s="16">
        <f t="shared" si="38"/>
        <v>0.30605243561495854</v>
      </c>
      <c r="M609" s="16">
        <f t="shared" si="39"/>
        <v>9.3668093345848344E-2</v>
      </c>
    </row>
    <row r="610" spans="6:13" x14ac:dyDescent="0.4">
      <c r="F610" s="1">
        <v>39904</v>
      </c>
      <c r="G610" s="16">
        <v>389.57</v>
      </c>
      <c r="H610" s="16">
        <f>_A*F610*F610+_B*F610+_C</f>
        <v>387.63021712015694</v>
      </c>
      <c r="I610">
        <f t="shared" si="36"/>
        <v>4</v>
      </c>
      <c r="J610" s="16" cm="1">
        <f t="array" ref="J610">INDEX(Sm,I610)</f>
        <v>2.6103146033777413</v>
      </c>
      <c r="K610" s="16">
        <f t="shared" si="37"/>
        <v>390.24053172353467</v>
      </c>
      <c r="L610" s="16">
        <f t="shared" si="38"/>
        <v>0.67053172353467971</v>
      </c>
      <c r="M610" s="16">
        <f t="shared" si="39"/>
        <v>0.44961279226638817</v>
      </c>
    </row>
    <row r="611" spans="6:13" x14ac:dyDescent="0.4">
      <c r="F611" s="1">
        <v>39934</v>
      </c>
      <c r="G611" s="16">
        <v>390.17</v>
      </c>
      <c r="H611" s="16">
        <f>_A*F611*F611+_B*F611+_C</f>
        <v>387.80258895283879</v>
      </c>
      <c r="I611">
        <f t="shared" si="36"/>
        <v>5</v>
      </c>
      <c r="J611" s="16" cm="1">
        <f t="array" ref="J611">INDEX(Sm,I611)</f>
        <v>3.065687851218776</v>
      </c>
      <c r="K611" s="16">
        <f t="shared" si="37"/>
        <v>390.86827680405759</v>
      </c>
      <c r="L611" s="16">
        <f t="shared" si="38"/>
        <v>0.69827680405757064</v>
      </c>
      <c r="M611" s="16">
        <f t="shared" si="39"/>
        <v>0.48759049508485491</v>
      </c>
    </row>
    <row r="612" spans="6:13" x14ac:dyDescent="0.4">
      <c r="F612" s="1">
        <v>39965</v>
      </c>
      <c r="G612" s="16">
        <v>389.62</v>
      </c>
      <c r="H612" s="16">
        <f>_A*F612*F612+_B*F612+_C</f>
        <v>387.98089192074144</v>
      </c>
      <c r="I612">
        <f t="shared" si="36"/>
        <v>6</v>
      </c>
      <c r="J612" s="16" cm="1">
        <f t="array" ref="J612">INDEX(Sm,I612)</f>
        <v>2.3467878996384672</v>
      </c>
      <c r="K612" s="16">
        <f t="shared" si="37"/>
        <v>390.3276798203799</v>
      </c>
      <c r="L612" s="16">
        <f t="shared" si="38"/>
        <v>0.70767982037989441</v>
      </c>
      <c r="M612" s="16">
        <f t="shared" si="39"/>
        <v>0.50081072817291961</v>
      </c>
    </row>
    <row r="613" spans="6:13" x14ac:dyDescent="0.4">
      <c r="F613" s="1">
        <v>39995</v>
      </c>
      <c r="G613" s="16">
        <v>388.07</v>
      </c>
      <c r="H613" s="16">
        <f>_A*F613*F613+_B*F613+_C</f>
        <v>388.15362260658071</v>
      </c>
      <c r="I613">
        <f t="shared" si="36"/>
        <v>7</v>
      </c>
      <c r="J613" s="16" cm="1">
        <f t="array" ref="J613">INDEX(Sm,I613)</f>
        <v>0.7237382709437985</v>
      </c>
      <c r="K613" s="16">
        <f t="shared" si="37"/>
        <v>388.8773608775245</v>
      </c>
      <c r="L613" s="16">
        <f t="shared" si="38"/>
        <v>0.80736087752450203</v>
      </c>
      <c r="M613" s="16">
        <f t="shared" si="39"/>
        <v>0.65183158655713391</v>
      </c>
    </row>
    <row r="614" spans="6:13" x14ac:dyDescent="0.4">
      <c r="F614" s="1">
        <v>40026</v>
      </c>
      <c r="G614" s="16">
        <v>386.08</v>
      </c>
      <c r="H614" s="16">
        <f>_A*F614*F614+_B*F614+_C</f>
        <v>388.33229638941265</v>
      </c>
      <c r="I614">
        <f t="shared" si="36"/>
        <v>8</v>
      </c>
      <c r="J614" s="16" cm="1">
        <f t="array" ref="J614">INDEX(Sm,I614)</f>
        <v>-1.3971602754957855</v>
      </c>
      <c r="K614" s="16">
        <f t="shared" si="37"/>
        <v>386.93513611391688</v>
      </c>
      <c r="L614" s="16">
        <f t="shared" si="38"/>
        <v>0.85513611391689892</v>
      </c>
      <c r="M614" s="16">
        <f t="shared" si="39"/>
        <v>0.7312577733248955</v>
      </c>
    </row>
    <row r="615" spans="6:13" x14ac:dyDescent="0.4">
      <c r="F615" s="1">
        <v>40057</v>
      </c>
      <c r="G615" s="16">
        <v>384.65</v>
      </c>
      <c r="H615" s="16">
        <f>_A*F615*F615+_B*F615+_C</f>
        <v>388.51115861917589</v>
      </c>
      <c r="I615">
        <f t="shared" si="36"/>
        <v>9</v>
      </c>
      <c r="J615" s="16" cm="1">
        <f t="array" ref="J615">INDEX(Sm,I615)</f>
        <v>-3.1930865292764237</v>
      </c>
      <c r="K615" s="16">
        <f t="shared" si="37"/>
        <v>385.31807208989949</v>
      </c>
      <c r="L615" s="16">
        <f t="shared" si="38"/>
        <v>0.6680720898995105</v>
      </c>
      <c r="M615" s="16">
        <f t="shared" si="39"/>
        <v>0.44632031730269967</v>
      </c>
    </row>
    <row r="616" spans="6:13" x14ac:dyDescent="0.4">
      <c r="F616" s="1">
        <v>40087</v>
      </c>
      <c r="G616" s="16">
        <v>384.33</v>
      </c>
      <c r="H616" s="16">
        <f>_A*F616*F616+_B*F616+_C</f>
        <v>388.68443052617067</v>
      </c>
      <c r="I616">
        <f t="shared" si="36"/>
        <v>10</v>
      </c>
      <c r="J616" s="16" cm="1">
        <f t="array" ref="J616">INDEX(Sm,I616)</f>
        <v>-3.3364130058083399</v>
      </c>
      <c r="K616" s="16">
        <f t="shared" si="37"/>
        <v>385.3480175203623</v>
      </c>
      <c r="L616" s="16">
        <f t="shared" si="38"/>
        <v>1.0180175203623207</v>
      </c>
      <c r="M616" s="16">
        <f t="shared" si="39"/>
        <v>1.0363596717646482</v>
      </c>
    </row>
    <row r="617" spans="6:13" x14ac:dyDescent="0.4">
      <c r="F617" s="1">
        <v>40118</v>
      </c>
      <c r="G617" s="16">
        <v>386.05</v>
      </c>
      <c r="H617" s="16">
        <f>_A*F617*F617+_B*F617+_C</f>
        <v>388.8636635708632</v>
      </c>
      <c r="I617">
        <f t="shared" si="36"/>
        <v>11</v>
      </c>
      <c r="J617" s="16" cm="1">
        <f t="array" ref="J617">INDEX(Sm,I617)</f>
        <v>-2.0587659563291303</v>
      </c>
      <c r="K617" s="16">
        <f t="shared" si="37"/>
        <v>386.80489761453407</v>
      </c>
      <c r="L617" s="16">
        <f t="shared" si="38"/>
        <v>0.7548976145340589</v>
      </c>
      <c r="M617" s="16">
        <f t="shared" si="39"/>
        <v>0.56987040842921255</v>
      </c>
    </row>
    <row r="618" spans="6:13" x14ac:dyDescent="0.4">
      <c r="F618" s="1">
        <v>40148</v>
      </c>
      <c r="G618" s="16">
        <v>387.49</v>
      </c>
      <c r="H618" s="16">
        <f>_A*F618*F618+_B*F618+_C</f>
        <v>389.0372943310154</v>
      </c>
      <c r="I618">
        <f t="shared" si="36"/>
        <v>12</v>
      </c>
      <c r="J618" s="16" cm="1">
        <f t="array" ref="J618">INDEX(Sm,I618)</f>
        <v>-0.89092746411398172</v>
      </c>
      <c r="K618" s="16">
        <f t="shared" si="37"/>
        <v>388.14636686690142</v>
      </c>
      <c r="L618" s="16">
        <f t="shared" si="38"/>
        <v>0.65636686690140778</v>
      </c>
      <c r="M618" s="16">
        <f t="shared" si="39"/>
        <v>0.43081746396597037</v>
      </c>
    </row>
    <row r="619" spans="6:13" x14ac:dyDescent="0.4">
      <c r="F619" s="1">
        <v>40179</v>
      </c>
      <c r="G619" s="16">
        <v>388.55</v>
      </c>
      <c r="H619" s="16">
        <f>_A*F619*F619+_B*F619+_C</f>
        <v>389.21689819063732</v>
      </c>
      <c r="I619">
        <f t="shared" si="36"/>
        <v>1</v>
      </c>
      <c r="J619" s="16" cm="1">
        <f t="array" ref="J619">INDEX(Sm,I619)</f>
        <v>6.1437948016995841E-2</v>
      </c>
      <c r="K619" s="16">
        <f t="shared" si="37"/>
        <v>389.27833613865431</v>
      </c>
      <c r="L619" s="16">
        <f t="shared" si="38"/>
        <v>0.72833613865429925</v>
      </c>
      <c r="M619" s="16">
        <f t="shared" si="39"/>
        <v>0.5304735308698546</v>
      </c>
    </row>
    <row r="620" spans="6:13" x14ac:dyDescent="0.4">
      <c r="F620" s="1">
        <v>40210</v>
      </c>
      <c r="G620" s="16">
        <v>390.08</v>
      </c>
      <c r="H620" s="16">
        <f>_A*F620*F620+_B*F620+_C</f>
        <v>389.39669049719055</v>
      </c>
      <c r="I620">
        <f t="shared" si="36"/>
        <v>2</v>
      </c>
      <c r="J620" s="16" cm="1">
        <f t="array" ref="J620">INDEX(Sm,I620)</f>
        <v>0.69461918939657585</v>
      </c>
      <c r="K620" s="16">
        <f t="shared" si="37"/>
        <v>390.09130968658712</v>
      </c>
      <c r="L620" s="16">
        <f t="shared" si="38"/>
        <v>1.1309686587139822E-2</v>
      </c>
      <c r="M620" s="16">
        <f t="shared" si="39"/>
        <v>1.2790901069933039E-4</v>
      </c>
    </row>
    <row r="621" spans="6:13" x14ac:dyDescent="0.4">
      <c r="F621" s="1">
        <v>40238</v>
      </c>
      <c r="G621" s="16">
        <v>391.01</v>
      </c>
      <c r="H621" s="16">
        <f>_A*F621*F621+_B*F621+_C</f>
        <v>389.55924552242823</v>
      </c>
      <c r="I621">
        <f t="shared" si="36"/>
        <v>3</v>
      </c>
      <c r="J621" s="16" cm="1">
        <f t="array" ref="J621">INDEX(Sm,I621)</f>
        <v>1.3737674684313066</v>
      </c>
      <c r="K621" s="16">
        <f t="shared" si="37"/>
        <v>390.93301299085954</v>
      </c>
      <c r="L621" s="16">
        <f t="shared" si="38"/>
        <v>-7.6987009140452756E-2</v>
      </c>
      <c r="M621" s="16">
        <f t="shared" si="39"/>
        <v>5.9269995763921559E-3</v>
      </c>
    </row>
    <row r="622" spans="6:13" x14ac:dyDescent="0.4">
      <c r="F622" s="1">
        <v>40269</v>
      </c>
      <c r="G622" s="16">
        <v>392.38</v>
      </c>
      <c r="H622" s="16">
        <f>_A*F622*F622+_B*F622+_C</f>
        <v>389.73939648604426</v>
      </c>
      <c r="I622">
        <f t="shared" si="36"/>
        <v>4</v>
      </c>
      <c r="J622" s="16" cm="1">
        <f t="array" ref="J622">INDEX(Sm,I622)</f>
        <v>2.6103146033777413</v>
      </c>
      <c r="K622" s="16">
        <f t="shared" si="37"/>
        <v>392.34971108942199</v>
      </c>
      <c r="L622" s="16">
        <f t="shared" si="38"/>
        <v>-3.0288910578008199E-2</v>
      </c>
      <c r="M622" s="16">
        <f t="shared" si="39"/>
        <v>9.1741810400257698E-4</v>
      </c>
    </row>
    <row r="623" spans="6:13" x14ac:dyDescent="0.4">
      <c r="F623" s="1">
        <v>40299</v>
      </c>
      <c r="G623" s="16">
        <v>393.22</v>
      </c>
      <c r="H623" s="16">
        <f>_A*F623*F623+_B*F623+_C</f>
        <v>389.91391555483199</v>
      </c>
      <c r="I623">
        <f t="shared" si="36"/>
        <v>5</v>
      </c>
      <c r="J623" s="16" cm="1">
        <f t="array" ref="J623">INDEX(Sm,I623)</f>
        <v>3.065687851218776</v>
      </c>
      <c r="K623" s="16">
        <f t="shared" si="37"/>
        <v>392.97960340605078</v>
      </c>
      <c r="L623" s="16">
        <f t="shared" si="38"/>
        <v>-0.24039659394924229</v>
      </c>
      <c r="M623" s="16">
        <f t="shared" si="39"/>
        <v>5.7790522382396875E-2</v>
      </c>
    </row>
    <row r="624" spans="6:13" x14ac:dyDescent="0.4">
      <c r="F624" s="1">
        <v>40330</v>
      </c>
      <c r="G624" s="16">
        <v>392.24</v>
      </c>
      <c r="H624" s="16">
        <f>_A*F624*F624+_B*F624+_C</f>
        <v>390.09443733337736</v>
      </c>
      <c r="I624">
        <f t="shared" si="36"/>
        <v>6</v>
      </c>
      <c r="J624" s="16" cm="1">
        <f t="array" ref="J624">INDEX(Sm,I624)</f>
        <v>2.3467878996384672</v>
      </c>
      <c r="K624" s="16">
        <f t="shared" si="37"/>
        <v>392.44122523301581</v>
      </c>
      <c r="L624" s="16">
        <f t="shared" si="38"/>
        <v>0.20122523301580486</v>
      </c>
      <c r="M624" s="16">
        <f t="shared" si="39"/>
        <v>4.0491594402264963E-2</v>
      </c>
    </row>
    <row r="625" spans="6:13" x14ac:dyDescent="0.4">
      <c r="F625" s="1">
        <v>40360</v>
      </c>
      <c r="G625" s="16">
        <v>390.33</v>
      </c>
      <c r="H625" s="16">
        <f>_A*F625*F625+_B*F625+_C</f>
        <v>390.26931525532251</v>
      </c>
      <c r="I625">
        <f t="shared" si="36"/>
        <v>7</v>
      </c>
      <c r="J625" s="16" cm="1">
        <f t="array" ref="J625">INDEX(Sm,I625)</f>
        <v>0.7237382709437985</v>
      </c>
      <c r="K625" s="16">
        <f t="shared" si="37"/>
        <v>390.99305352626629</v>
      </c>
      <c r="L625" s="16">
        <f t="shared" si="38"/>
        <v>0.6630535262663102</v>
      </c>
      <c r="M625" s="16">
        <f t="shared" si="39"/>
        <v>0.43963997869418853</v>
      </c>
    </row>
    <row r="626" spans="6:13" x14ac:dyDescent="0.4">
      <c r="F626" s="1">
        <v>40391</v>
      </c>
      <c r="G626" s="16">
        <v>388.52</v>
      </c>
      <c r="H626" s="16">
        <f>_A*F626*F626+_B*F626+_C</f>
        <v>390.45020784879716</v>
      </c>
      <c r="I626">
        <f t="shared" si="36"/>
        <v>8</v>
      </c>
      <c r="J626" s="16" cm="1">
        <f t="array" ref="J626">INDEX(Sm,I626)</f>
        <v>-1.3971602754957855</v>
      </c>
      <c r="K626" s="16">
        <f t="shared" si="37"/>
        <v>389.0530475733014</v>
      </c>
      <c r="L626" s="16">
        <f t="shared" si="38"/>
        <v>0.53304757330141683</v>
      </c>
      <c r="M626" s="16">
        <f t="shared" si="39"/>
        <v>0.28413971540252936</v>
      </c>
    </row>
    <row r="627" spans="6:13" x14ac:dyDescent="0.4">
      <c r="F627" s="1">
        <v>40422</v>
      </c>
      <c r="G627" s="16">
        <v>386.84</v>
      </c>
      <c r="H627" s="16">
        <f>_A*F627*F627+_B*F627+_C</f>
        <v>390.63128888920318</v>
      </c>
      <c r="I627">
        <f t="shared" si="36"/>
        <v>9</v>
      </c>
      <c r="J627" s="16" cm="1">
        <f t="array" ref="J627">INDEX(Sm,I627)</f>
        <v>-3.1930865292764237</v>
      </c>
      <c r="K627" s="16">
        <f t="shared" si="37"/>
        <v>387.43820235992678</v>
      </c>
      <c r="L627" s="16">
        <f t="shared" si="38"/>
        <v>0.59820235992680182</v>
      </c>
      <c r="M627" s="16">
        <f t="shared" si="39"/>
        <v>0.35784606342199493</v>
      </c>
    </row>
    <row r="628" spans="6:13" x14ac:dyDescent="0.4">
      <c r="F628" s="1">
        <v>40452</v>
      </c>
      <c r="G628" s="16">
        <v>387.16</v>
      </c>
      <c r="H628" s="16">
        <f>_A*F628*F628+_B*F628+_C</f>
        <v>390.80670803230373</v>
      </c>
      <c r="I628">
        <f t="shared" si="36"/>
        <v>10</v>
      </c>
      <c r="J628" s="16" cm="1">
        <f t="array" ref="J628">INDEX(Sm,I628)</f>
        <v>-3.3364130058083399</v>
      </c>
      <c r="K628" s="16">
        <f t="shared" si="37"/>
        <v>387.47029502649536</v>
      </c>
      <c r="L628" s="16">
        <f t="shared" si="38"/>
        <v>0.31029502649533924</v>
      </c>
      <c r="M628" s="16">
        <f t="shared" si="39"/>
        <v>9.6283003467743281E-2</v>
      </c>
    </row>
    <row r="629" spans="6:13" x14ac:dyDescent="0.4">
      <c r="F629" s="1">
        <v>40483</v>
      </c>
      <c r="G629" s="16">
        <v>388.67</v>
      </c>
      <c r="H629" s="16">
        <f>_A*F629*F629+_B*F629+_C</f>
        <v>390.98815988763909</v>
      </c>
      <c r="I629">
        <f t="shared" si="36"/>
        <v>11</v>
      </c>
      <c r="J629" s="16" cm="1">
        <f t="array" ref="J629">INDEX(Sm,I629)</f>
        <v>-2.0587659563291303</v>
      </c>
      <c r="K629" s="16">
        <f t="shared" si="37"/>
        <v>388.92939393130996</v>
      </c>
      <c r="L629" s="16">
        <f t="shared" si="38"/>
        <v>0.25939393130994404</v>
      </c>
      <c r="M629" s="16">
        <f t="shared" si="39"/>
        <v>6.7285211600427969E-2</v>
      </c>
    </row>
    <row r="630" spans="6:13" x14ac:dyDescent="0.4">
      <c r="F630" s="1">
        <v>40513</v>
      </c>
      <c r="G630" s="16">
        <v>389.81</v>
      </c>
      <c r="H630" s="16">
        <f>_A*F630*F630+_B*F630+_C</f>
        <v>391.16393788389712</v>
      </c>
      <c r="I630">
        <f t="shared" si="36"/>
        <v>12</v>
      </c>
      <c r="J630" s="16" cm="1">
        <f t="array" ref="J630">INDEX(Sm,I630)</f>
        <v>-0.89092746411398172</v>
      </c>
      <c r="K630" s="16">
        <f t="shared" si="37"/>
        <v>390.27301041978313</v>
      </c>
      <c r="L630" s="16">
        <f t="shared" si="38"/>
        <v>0.46301041978313151</v>
      </c>
      <c r="M630" s="16">
        <f t="shared" si="39"/>
        <v>0.21437864882775165</v>
      </c>
    </row>
    <row r="631" spans="6:13" x14ac:dyDescent="0.4">
      <c r="F631" s="1">
        <v>40544</v>
      </c>
      <c r="G631" s="16">
        <v>391.3</v>
      </c>
      <c r="H631" s="16">
        <f>_A*F631*F631+_B*F631+_C</f>
        <v>391.34576055416176</v>
      </c>
      <c r="I631">
        <f t="shared" si="36"/>
        <v>1</v>
      </c>
      <c r="J631" s="16" cm="1">
        <f t="array" ref="J631">INDEX(Sm,I631)</f>
        <v>6.1437948016995841E-2</v>
      </c>
      <c r="K631" s="16">
        <f t="shared" si="37"/>
        <v>391.40719850217874</v>
      </c>
      <c r="L631" s="16">
        <f t="shared" si="38"/>
        <v>0.10719850217873272</v>
      </c>
      <c r="M631" s="16">
        <f t="shared" si="39"/>
        <v>1.1491518869363764E-2</v>
      </c>
    </row>
    <row r="632" spans="6:13" x14ac:dyDescent="0.4">
      <c r="F632" s="1">
        <v>40575</v>
      </c>
      <c r="G632" s="16">
        <v>391.92</v>
      </c>
      <c r="H632" s="16">
        <f>_A*F632*F632+_B*F632+_C</f>
        <v>391.5277716713577</v>
      </c>
      <c r="I632">
        <f t="shared" si="36"/>
        <v>2</v>
      </c>
      <c r="J632" s="16" cm="1">
        <f t="array" ref="J632">INDEX(Sm,I632)</f>
        <v>0.69461918939657585</v>
      </c>
      <c r="K632" s="16">
        <f t="shared" si="37"/>
        <v>392.22239086075427</v>
      </c>
      <c r="L632" s="16">
        <f t="shared" si="38"/>
        <v>0.30239086075425803</v>
      </c>
      <c r="M632" s="16">
        <f t="shared" si="39"/>
        <v>9.1440232667701071E-2</v>
      </c>
    </row>
    <row r="633" spans="6:13" x14ac:dyDescent="0.4">
      <c r="F633" s="1">
        <v>40603</v>
      </c>
      <c r="G633" s="16">
        <v>392.45</v>
      </c>
      <c r="H633" s="16">
        <f>_A*F633*F633+_B*F633+_C</f>
        <v>391.69233078362754</v>
      </c>
      <c r="I633">
        <f t="shared" si="36"/>
        <v>3</v>
      </c>
      <c r="J633" s="16" cm="1">
        <f t="array" ref="J633">INDEX(Sm,I633)</f>
        <v>1.3737674684313066</v>
      </c>
      <c r="K633" s="16">
        <f t="shared" si="37"/>
        <v>393.06609825205885</v>
      </c>
      <c r="L633" s="16">
        <f t="shared" si="38"/>
        <v>0.61609825205886182</v>
      </c>
      <c r="M633" s="16">
        <f t="shared" si="39"/>
        <v>0.37957705618998483</v>
      </c>
    </row>
    <row r="634" spans="6:13" x14ac:dyDescent="0.4">
      <c r="F634" s="1">
        <v>40634</v>
      </c>
      <c r="G634" s="16">
        <v>393.37</v>
      </c>
      <c r="H634" s="16">
        <f>_A*F634*F634+_B*F634+_C</f>
        <v>391.87470055788629</v>
      </c>
      <c r="I634">
        <f t="shared" si="36"/>
        <v>4</v>
      </c>
      <c r="J634" s="16" cm="1">
        <f t="array" ref="J634">INDEX(Sm,I634)</f>
        <v>2.6103146033777413</v>
      </c>
      <c r="K634" s="16">
        <f t="shared" si="37"/>
        <v>394.48501516126402</v>
      </c>
      <c r="L634" s="16">
        <f t="shared" si="38"/>
        <v>1.1150151612640116</v>
      </c>
      <c r="M634" s="16">
        <f t="shared" si="39"/>
        <v>1.2432588098486097</v>
      </c>
    </row>
    <row r="635" spans="6:13" x14ac:dyDescent="0.4">
      <c r="F635" s="1">
        <v>40664</v>
      </c>
      <c r="G635" s="16">
        <v>394.28</v>
      </c>
      <c r="H635" s="16">
        <f>_A*F635*F635+_B*F635+_C</f>
        <v>392.0513668627799</v>
      </c>
      <c r="I635">
        <f t="shared" si="36"/>
        <v>5</v>
      </c>
      <c r="J635" s="16" cm="1">
        <f t="array" ref="J635">INDEX(Sm,I635)</f>
        <v>3.065687851218776</v>
      </c>
      <c r="K635" s="16">
        <f t="shared" si="37"/>
        <v>395.1170547139987</v>
      </c>
      <c r="L635" s="16">
        <f t="shared" si="38"/>
        <v>0.83705471399872522</v>
      </c>
      <c r="M635" s="16">
        <f t="shared" si="39"/>
        <v>0.70066059422748772</v>
      </c>
    </row>
    <row r="636" spans="6:13" x14ac:dyDescent="0.4">
      <c r="F636" s="1">
        <v>40695</v>
      </c>
      <c r="G636" s="16">
        <v>393.69</v>
      </c>
      <c r="H636" s="16">
        <f>_A*F636*F636+_B*F636+_C</f>
        <v>392.23410745196799</v>
      </c>
      <c r="I636">
        <f t="shared" si="36"/>
        <v>6</v>
      </c>
      <c r="J636" s="16" cm="1">
        <f t="array" ref="J636">INDEX(Sm,I636)</f>
        <v>2.3467878996384672</v>
      </c>
      <c r="K636" s="16">
        <f t="shared" si="37"/>
        <v>394.58089535160644</v>
      </c>
      <c r="L636" s="16">
        <f t="shared" si="38"/>
        <v>0.89089535160644573</v>
      </c>
      <c r="M636" s="16">
        <f t="shared" si="39"/>
        <v>0.79369452751397251</v>
      </c>
    </row>
    <row r="637" spans="6:13" x14ac:dyDescent="0.4">
      <c r="F637" s="1">
        <v>40725</v>
      </c>
      <c r="G637" s="16">
        <v>392.59</v>
      </c>
      <c r="H637" s="16">
        <f>_A*F637*F637+_B*F637+_C</f>
        <v>392.41113261001902</v>
      </c>
      <c r="I637">
        <f t="shared" si="36"/>
        <v>7</v>
      </c>
      <c r="J637" s="16" cm="1">
        <f t="array" ref="J637">INDEX(Sm,I637)</f>
        <v>0.7237382709437985</v>
      </c>
      <c r="K637" s="16">
        <f t="shared" si="37"/>
        <v>393.13487088096281</v>
      </c>
      <c r="L637" s="16">
        <f t="shared" si="38"/>
        <v>0.54487088096283287</v>
      </c>
      <c r="M637" s="16">
        <f t="shared" si="39"/>
        <v>0.29688427692121361</v>
      </c>
    </row>
    <row r="638" spans="6:13" x14ac:dyDescent="0.4">
      <c r="F638" s="1">
        <v>40756</v>
      </c>
      <c r="G638" s="16">
        <v>390.21</v>
      </c>
      <c r="H638" s="16">
        <f>_A*F638*F638+_B*F638+_C</f>
        <v>392.59424401413639</v>
      </c>
      <c r="I638">
        <f t="shared" si="36"/>
        <v>8</v>
      </c>
      <c r="J638" s="16" cm="1">
        <f t="array" ref="J638">INDEX(Sm,I638)</f>
        <v>-1.3971602754957855</v>
      </c>
      <c r="K638" s="16">
        <f t="shared" si="37"/>
        <v>391.19708373864063</v>
      </c>
      <c r="L638" s="16">
        <f t="shared" si="38"/>
        <v>0.98708373864064924</v>
      </c>
      <c r="M638" s="16">
        <f t="shared" si="39"/>
        <v>0.97433430708880153</v>
      </c>
    </row>
    <row r="639" spans="6:13" x14ac:dyDescent="0.4">
      <c r="F639" s="1">
        <v>40787</v>
      </c>
      <c r="G639" s="16">
        <v>389</v>
      </c>
      <c r="H639" s="16">
        <f>_A*F639*F639+_B*F639+_C</f>
        <v>392.77754386518512</v>
      </c>
      <c r="I639">
        <f t="shared" si="36"/>
        <v>9</v>
      </c>
      <c r="J639" s="16" cm="1">
        <f t="array" ref="J639">INDEX(Sm,I639)</f>
        <v>-3.1930865292764237</v>
      </c>
      <c r="K639" s="16">
        <f t="shared" si="37"/>
        <v>389.58445733590872</v>
      </c>
      <c r="L639" s="16">
        <f t="shared" si="38"/>
        <v>0.58445733590872351</v>
      </c>
      <c r="M639" s="16">
        <f t="shared" si="39"/>
        <v>0.34159037749752247</v>
      </c>
    </row>
    <row r="640" spans="6:13" x14ac:dyDescent="0.4">
      <c r="F640" s="1">
        <v>40817</v>
      </c>
      <c r="G640" s="16">
        <v>388.93</v>
      </c>
      <c r="H640" s="16">
        <f>_A*F640*F640+_B*F640+_C</f>
        <v>392.95511024439162</v>
      </c>
      <c r="I640">
        <f t="shared" si="36"/>
        <v>10</v>
      </c>
      <c r="J640" s="16" cm="1">
        <f t="array" ref="J640">INDEX(Sm,I640)</f>
        <v>-3.3364130058083399</v>
      </c>
      <c r="K640" s="16">
        <f t="shared" si="37"/>
        <v>389.61869723858325</v>
      </c>
      <c r="L640" s="16">
        <f t="shared" si="38"/>
        <v>0.68869723858324505</v>
      </c>
      <c r="M640" s="16">
        <f t="shared" si="39"/>
        <v>0.47430388643218718</v>
      </c>
    </row>
    <row r="641" spans="6:13" x14ac:dyDescent="0.4">
      <c r="F641" s="1">
        <v>40848</v>
      </c>
      <c r="G641" s="16">
        <v>390.24</v>
      </c>
      <c r="H641" s="16">
        <f>_A*F641*F641+_B*F641+_C</f>
        <v>393.13878091036963</v>
      </c>
      <c r="I641">
        <f t="shared" si="36"/>
        <v>11</v>
      </c>
      <c r="J641" s="16" cm="1">
        <f t="array" ref="J641">INDEX(Sm,I641)</f>
        <v>-2.0587659563291303</v>
      </c>
      <c r="K641" s="16">
        <f t="shared" si="37"/>
        <v>391.08001495404051</v>
      </c>
      <c r="L641" s="16">
        <f t="shared" si="38"/>
        <v>0.8400149540404982</v>
      </c>
      <c r="M641" s="16">
        <f t="shared" si="39"/>
        <v>0.70562512301166025</v>
      </c>
    </row>
    <row r="642" spans="6:13" x14ac:dyDescent="0.4">
      <c r="F642" s="1">
        <v>40878</v>
      </c>
      <c r="G642" s="16">
        <v>391.8</v>
      </c>
      <c r="H642" s="16">
        <f>_A*F642*F642+_B*F642+_C</f>
        <v>393.31670614273355</v>
      </c>
      <c r="I642">
        <f t="shared" si="36"/>
        <v>12</v>
      </c>
      <c r="J642" s="16" cm="1">
        <f t="array" ref="J642">INDEX(Sm,I642)</f>
        <v>-0.89092746411398172</v>
      </c>
      <c r="K642" s="16">
        <f t="shared" si="37"/>
        <v>392.42577867861957</v>
      </c>
      <c r="L642" s="16">
        <f t="shared" si="38"/>
        <v>0.62577867861955383</v>
      </c>
      <c r="M642" s="16">
        <f t="shared" si="39"/>
        <v>0.39159895461483485</v>
      </c>
    </row>
    <row r="643" spans="6:13" x14ac:dyDescent="0.4">
      <c r="F643" s="1">
        <v>40909</v>
      </c>
      <c r="G643" s="16">
        <v>393.07</v>
      </c>
      <c r="H643" s="16">
        <f>_A*F643*F643+_B*F643+_C</f>
        <v>393.5007476236409</v>
      </c>
      <c r="I643">
        <f t="shared" ref="I643:I706" si="40">MONTH(F643)</f>
        <v>1</v>
      </c>
      <c r="J643" s="16" cm="1">
        <f t="array" ref="J643">INDEX(Sm,I643)</f>
        <v>6.1437948016995841E-2</v>
      </c>
      <c r="K643" s="16">
        <f t="shared" ref="K643:K706" si="41">H643+J643</f>
        <v>393.56218557165789</v>
      </c>
      <c r="L643" s="16">
        <f t="shared" ref="L643:L706" si="42">K643-G643</f>
        <v>0.49218557165789889</v>
      </c>
      <c r="M643" s="16">
        <f t="shared" ref="M643:M706" si="43">L643*L643</f>
        <v>0.24224663694821272</v>
      </c>
    </row>
    <row r="644" spans="6:13" x14ac:dyDescent="0.4">
      <c r="F644" s="1">
        <v>40940</v>
      </c>
      <c r="G644" s="16">
        <v>393.35</v>
      </c>
      <c r="H644" s="16">
        <f>_A*F644*F644+_B*F644+_C</f>
        <v>393.68497755147956</v>
      </c>
      <c r="I644">
        <f t="shared" si="40"/>
        <v>2</v>
      </c>
      <c r="J644" s="16" cm="1">
        <f t="array" ref="J644">INDEX(Sm,I644)</f>
        <v>0.69461918939657585</v>
      </c>
      <c r="K644" s="16">
        <f t="shared" si="41"/>
        <v>394.37959674087614</v>
      </c>
      <c r="L644" s="16">
        <f t="shared" si="42"/>
        <v>1.0295967408761157</v>
      </c>
      <c r="M644" s="16">
        <f t="shared" si="43"/>
        <v>1.0600694488227194</v>
      </c>
    </row>
    <row r="645" spans="6:13" x14ac:dyDescent="0.4">
      <c r="F645" s="1">
        <v>40969</v>
      </c>
      <c r="G645" s="16">
        <v>394.36</v>
      </c>
      <c r="H645" s="16">
        <f>_A*F645*F645+_B*F645+_C</f>
        <v>393.85749227984297</v>
      </c>
      <c r="I645">
        <f t="shared" si="40"/>
        <v>3</v>
      </c>
      <c r="J645" s="16" cm="1">
        <f t="array" ref="J645">INDEX(Sm,I645)</f>
        <v>1.3737674684313066</v>
      </c>
      <c r="K645" s="16">
        <f t="shared" si="41"/>
        <v>395.23125974827428</v>
      </c>
      <c r="L645" s="16">
        <f t="shared" si="42"/>
        <v>0.87125974827426944</v>
      </c>
      <c r="M645" s="16">
        <f t="shared" si="43"/>
        <v>0.75909354896294334</v>
      </c>
    </row>
    <row r="646" spans="6:13" x14ac:dyDescent="0.4">
      <c r="F646" s="1">
        <v>41000</v>
      </c>
      <c r="G646" s="16">
        <v>396.43</v>
      </c>
      <c r="H646" s="16">
        <f>_A*F646*F646+_B*F646+_C</f>
        <v>394.0420869436777</v>
      </c>
      <c r="I646">
        <f t="shared" si="40"/>
        <v>4</v>
      </c>
      <c r="J646" s="16" cm="1">
        <f t="array" ref="J646">INDEX(Sm,I646)</f>
        <v>2.6103146033777413</v>
      </c>
      <c r="K646" s="16">
        <f t="shared" si="41"/>
        <v>396.65240154705543</v>
      </c>
      <c r="L646" s="16">
        <f t="shared" si="42"/>
        <v>0.22240154705542636</v>
      </c>
      <c r="M646" s="16">
        <f t="shared" si="43"/>
        <v>4.9462448132647024E-2</v>
      </c>
    </row>
    <row r="647" spans="6:13" x14ac:dyDescent="0.4">
      <c r="F647" s="1">
        <v>41030</v>
      </c>
      <c r="G647" s="16">
        <v>396.87</v>
      </c>
      <c r="H647" s="16">
        <f>_A*F647*F647+_B*F647+_C</f>
        <v>394.22090636751585</v>
      </c>
      <c r="I647">
        <f t="shared" si="40"/>
        <v>5</v>
      </c>
      <c r="J647" s="16" cm="1">
        <f t="array" ref="J647">INDEX(Sm,I647)</f>
        <v>3.065687851218776</v>
      </c>
      <c r="K647" s="16">
        <f t="shared" si="41"/>
        <v>397.28659421873465</v>
      </c>
      <c r="L647" s="16">
        <f t="shared" si="42"/>
        <v>0.41659421873464453</v>
      </c>
      <c r="M647" s="16">
        <f t="shared" si="43"/>
        <v>0.17355074308312884</v>
      </c>
    </row>
    <row r="648" spans="6:13" x14ac:dyDescent="0.4">
      <c r="F648" s="1">
        <v>41061</v>
      </c>
      <c r="G648" s="16">
        <v>395.88</v>
      </c>
      <c r="H648" s="16">
        <f>_A*F648*F648+_B*F648+_C</f>
        <v>394.40587184627987</v>
      </c>
      <c r="I648">
        <f t="shared" si="40"/>
        <v>6</v>
      </c>
      <c r="J648" s="16" cm="1">
        <f t="array" ref="J648">INDEX(Sm,I648)</f>
        <v>2.3467878996384672</v>
      </c>
      <c r="K648" s="16">
        <f t="shared" si="41"/>
        <v>396.75265974591832</v>
      </c>
      <c r="L648" s="16">
        <f t="shared" si="42"/>
        <v>0.87265974591832673</v>
      </c>
      <c r="M648" s="16">
        <f t="shared" si="43"/>
        <v>0.76153503214623852</v>
      </c>
    </row>
    <row r="649" spans="6:13" x14ac:dyDescent="0.4">
      <c r="F649" s="1">
        <v>41091</v>
      </c>
      <c r="G649" s="16">
        <v>394.52</v>
      </c>
      <c r="H649" s="16">
        <f>_A*F649*F649+_B*F649+_C</f>
        <v>394.58505012327544</v>
      </c>
      <c r="I649">
        <f t="shared" si="40"/>
        <v>7</v>
      </c>
      <c r="J649" s="16" cm="1">
        <f t="array" ref="J649">INDEX(Sm,I649)</f>
        <v>0.7237382709437985</v>
      </c>
      <c r="K649" s="16">
        <f t="shared" si="41"/>
        <v>395.30878839421922</v>
      </c>
      <c r="L649" s="16">
        <f t="shared" si="42"/>
        <v>0.78878839421923885</v>
      </c>
      <c r="M649" s="16">
        <f t="shared" si="43"/>
        <v>0.62218713085496535</v>
      </c>
    </row>
    <row r="650" spans="6:13" x14ac:dyDescent="0.4">
      <c r="F650" s="1">
        <v>41122</v>
      </c>
      <c r="G650" s="16">
        <v>392.54</v>
      </c>
      <c r="H650" s="16">
        <f>_A*F650*F650+_B*F650+_C</f>
        <v>394.77038641696885</v>
      </c>
      <c r="I650">
        <f t="shared" si="40"/>
        <v>8</v>
      </c>
      <c r="J650" s="16" cm="1">
        <f t="array" ref="J650">INDEX(Sm,I650)</f>
        <v>-1.3971602754957855</v>
      </c>
      <c r="K650" s="16">
        <f t="shared" si="41"/>
        <v>393.37322614147308</v>
      </c>
      <c r="L650" s="16">
        <f t="shared" si="42"/>
        <v>0.8332261414730624</v>
      </c>
      <c r="M650" s="16">
        <f t="shared" si="43"/>
        <v>0.69426580283408779</v>
      </c>
    </row>
    <row r="651" spans="6:13" x14ac:dyDescent="0.4">
      <c r="F651" s="1">
        <v>41153</v>
      </c>
      <c r="G651" s="16">
        <v>391.13</v>
      </c>
      <c r="H651" s="16">
        <f>_A*F651*F651+_B*F651+_C</f>
        <v>394.9559111575935</v>
      </c>
      <c r="I651">
        <f t="shared" si="40"/>
        <v>9</v>
      </c>
      <c r="J651" s="16" cm="1">
        <f t="array" ref="J651">INDEX(Sm,I651)</f>
        <v>-3.1930865292764237</v>
      </c>
      <c r="K651" s="16">
        <f t="shared" si="41"/>
        <v>391.76282462831711</v>
      </c>
      <c r="L651" s="16">
        <f t="shared" si="42"/>
        <v>0.63282462831710973</v>
      </c>
      <c r="M651" s="16">
        <f t="shared" si="43"/>
        <v>0.40046701020468806</v>
      </c>
    </row>
    <row r="652" spans="6:13" x14ac:dyDescent="0.4">
      <c r="F652" s="1">
        <v>41183</v>
      </c>
      <c r="G652" s="16">
        <v>391.01</v>
      </c>
      <c r="H652" s="16">
        <f>_A*F652*F652+_B*F652+_C</f>
        <v>395.13563065574454</v>
      </c>
      <c r="I652">
        <f t="shared" si="40"/>
        <v>10</v>
      </c>
      <c r="J652" s="16" cm="1">
        <f t="array" ref="J652">INDEX(Sm,I652)</f>
        <v>-3.3364130058083399</v>
      </c>
      <c r="K652" s="16">
        <f t="shared" si="41"/>
        <v>391.79921764993617</v>
      </c>
      <c r="L652" s="16">
        <f t="shared" si="42"/>
        <v>0.78921764993617671</v>
      </c>
      <c r="M652" s="16">
        <f t="shared" si="43"/>
        <v>0.62286449897078155</v>
      </c>
    </row>
    <row r="653" spans="6:13" x14ac:dyDescent="0.4">
      <c r="F653" s="1">
        <v>41214</v>
      </c>
      <c r="G653" s="16">
        <v>392.95</v>
      </c>
      <c r="H653" s="16">
        <f>_A*F653*F653+_B*F653+_C</f>
        <v>395.32152621129859</v>
      </c>
      <c r="I653">
        <f t="shared" si="40"/>
        <v>11</v>
      </c>
      <c r="J653" s="16" cm="1">
        <f t="array" ref="J653">INDEX(Sm,I653)</f>
        <v>-2.0587659563291303</v>
      </c>
      <c r="K653" s="16">
        <f t="shared" si="41"/>
        <v>393.26276025496946</v>
      </c>
      <c r="L653" s="16">
        <f t="shared" si="42"/>
        <v>0.31276025496947568</v>
      </c>
      <c r="M653" s="16">
        <f t="shared" si="43"/>
        <v>9.7818977088571443E-2</v>
      </c>
    </row>
    <row r="654" spans="6:13" x14ac:dyDescent="0.4">
      <c r="F654" s="1">
        <v>41244</v>
      </c>
      <c r="G654" s="16">
        <v>394.33</v>
      </c>
      <c r="H654" s="16">
        <f>_A*F654*F654+_B*F654+_C</f>
        <v>395.50160456260699</v>
      </c>
      <c r="I654">
        <f t="shared" si="40"/>
        <v>12</v>
      </c>
      <c r="J654" s="16" cm="1">
        <f t="array" ref="J654">INDEX(Sm,I654)</f>
        <v>-0.89092746411398172</v>
      </c>
      <c r="K654" s="16">
        <f t="shared" si="41"/>
        <v>394.610677098493</v>
      </c>
      <c r="L654" s="16">
        <f t="shared" si="42"/>
        <v>0.28067709849301536</v>
      </c>
      <c r="M654" s="16">
        <f t="shared" si="43"/>
        <v>7.8779633618457842E-2</v>
      </c>
    </row>
    <row r="655" spans="6:13" x14ac:dyDescent="0.4">
      <c r="F655" s="1">
        <v>41275</v>
      </c>
      <c r="G655" s="16">
        <v>395.61</v>
      </c>
      <c r="H655" s="16">
        <f>_A*F655*F655+_B*F655+_C</f>
        <v>395.68787093309038</v>
      </c>
      <c r="I655">
        <f t="shared" si="40"/>
        <v>1</v>
      </c>
      <c r="J655" s="16" cm="1">
        <f t="array" ref="J655">INDEX(Sm,I655)</f>
        <v>6.1437948016995841E-2</v>
      </c>
      <c r="K655" s="16">
        <f t="shared" si="41"/>
        <v>395.74930888110737</v>
      </c>
      <c r="L655" s="16">
        <f t="shared" si="42"/>
        <v>0.13930888110735395</v>
      </c>
      <c r="M655" s="16">
        <f t="shared" si="43"/>
        <v>1.9406964355382878E-2</v>
      </c>
    </row>
    <row r="656" spans="6:13" x14ac:dyDescent="0.4">
      <c r="F656" s="1">
        <v>41306</v>
      </c>
      <c r="G656" s="16">
        <v>396.85</v>
      </c>
      <c r="H656" s="16">
        <f>_A*F656*F656+_B*F656+_C</f>
        <v>395.87432575050502</v>
      </c>
      <c r="I656">
        <f t="shared" si="40"/>
        <v>2</v>
      </c>
      <c r="J656" s="16" cm="1">
        <f t="array" ref="J656">INDEX(Sm,I656)</f>
        <v>0.69461918939657585</v>
      </c>
      <c r="K656" s="16">
        <f t="shared" si="41"/>
        <v>396.5689449399016</v>
      </c>
      <c r="L656" s="16">
        <f t="shared" si="42"/>
        <v>-0.28105506009842429</v>
      </c>
      <c r="M656" s="16">
        <f t="shared" si="43"/>
        <v>7.8991946806928892E-2</v>
      </c>
    </row>
    <row r="657" spans="6:13" x14ac:dyDescent="0.4">
      <c r="F657" s="1">
        <v>41334</v>
      </c>
      <c r="G657" s="16">
        <v>397.26</v>
      </c>
      <c r="H657" s="16">
        <f>_A*F657*F657+_B*F657+_C</f>
        <v>396.04289852748855</v>
      </c>
      <c r="I657">
        <f t="shared" si="40"/>
        <v>3</v>
      </c>
      <c r="J657" s="16" cm="1">
        <f t="array" ref="J657">INDEX(Sm,I657)</f>
        <v>1.3737674684313066</v>
      </c>
      <c r="K657" s="16">
        <f t="shared" si="41"/>
        <v>397.41666599591986</v>
      </c>
      <c r="L657" s="16">
        <f t="shared" si="42"/>
        <v>0.15666599591986596</v>
      </c>
      <c r="M657" s="16">
        <f t="shared" si="43"/>
        <v>2.454423427756346E-2</v>
      </c>
    </row>
    <row r="658" spans="6:13" x14ac:dyDescent="0.4">
      <c r="F658" s="1">
        <v>41365</v>
      </c>
      <c r="G658" s="16">
        <v>398.35</v>
      </c>
      <c r="H658" s="16">
        <f>_A*F658*F658+_B*F658+_C</f>
        <v>396.22971200196605</v>
      </c>
      <c r="I658">
        <f t="shared" si="40"/>
        <v>4</v>
      </c>
      <c r="J658" s="16" cm="1">
        <f t="array" ref="J658">INDEX(Sm,I658)</f>
        <v>2.6103146033777413</v>
      </c>
      <c r="K658" s="16">
        <f t="shared" si="41"/>
        <v>398.84002660534378</v>
      </c>
      <c r="L658" s="16">
        <f t="shared" si="42"/>
        <v>0.49002660534375764</v>
      </c>
      <c r="M658" s="16">
        <f t="shared" si="43"/>
        <v>0.24012607394472679</v>
      </c>
    </row>
    <row r="659" spans="6:13" x14ac:dyDescent="0.4">
      <c r="F659" s="1">
        <v>41395</v>
      </c>
      <c r="G659" s="16">
        <v>399.98</v>
      </c>
      <c r="H659" s="16">
        <f>_A*F659*F659+_B*F659+_C</f>
        <v>396.41067866191003</v>
      </c>
      <c r="I659">
        <f t="shared" si="40"/>
        <v>5</v>
      </c>
      <c r="J659" s="16" cm="1">
        <f t="array" ref="J659">INDEX(Sm,I659)</f>
        <v>3.065687851218776</v>
      </c>
      <c r="K659" s="16">
        <f t="shared" si="41"/>
        <v>399.47636651312882</v>
      </c>
      <c r="L659" s="16">
        <f t="shared" si="42"/>
        <v>-0.50363348687119469</v>
      </c>
      <c r="M659" s="16">
        <f t="shared" si="43"/>
        <v>0.25364668909803784</v>
      </c>
    </row>
    <row r="660" spans="6:13" x14ac:dyDescent="0.4">
      <c r="F660" s="1">
        <v>41426</v>
      </c>
      <c r="G660" s="16">
        <v>398.87</v>
      </c>
      <c r="H660" s="16">
        <f>_A*F660*F660+_B*F660+_C</f>
        <v>396.59786295131687</v>
      </c>
      <c r="I660">
        <f t="shared" si="40"/>
        <v>6</v>
      </c>
      <c r="J660" s="16" cm="1">
        <f t="array" ref="J660">INDEX(Sm,I660)</f>
        <v>2.3467878996384672</v>
      </c>
      <c r="K660" s="16">
        <f t="shared" si="41"/>
        <v>398.94465085095533</v>
      </c>
      <c r="L660" s="16">
        <f t="shared" si="42"/>
        <v>7.4650850955322312E-2</v>
      </c>
      <c r="M660" s="16">
        <f t="shared" si="43"/>
        <v>5.5727495483537462E-3</v>
      </c>
    </row>
    <row r="661" spans="6:13" x14ac:dyDescent="0.4">
      <c r="F661" s="1">
        <v>41456</v>
      </c>
      <c r="G661" s="16">
        <v>397.37</v>
      </c>
      <c r="H661" s="16">
        <f>_A*F661*F661+_B*F661+_C</f>
        <v>396.77918846441827</v>
      </c>
      <c r="I661">
        <f t="shared" si="40"/>
        <v>7</v>
      </c>
      <c r="J661" s="16" cm="1">
        <f t="array" ref="J661">INDEX(Sm,I661)</f>
        <v>0.7237382709437985</v>
      </c>
      <c r="K661" s="16">
        <f t="shared" si="41"/>
        <v>397.50292673536205</v>
      </c>
      <c r="L661" s="16">
        <f t="shared" si="42"/>
        <v>0.13292673536204802</v>
      </c>
      <c r="M661" s="16">
        <f t="shared" si="43"/>
        <v>1.7669516974011947E-2</v>
      </c>
    </row>
    <row r="662" spans="6:13" x14ac:dyDescent="0.4">
      <c r="F662" s="1">
        <v>41487</v>
      </c>
      <c r="G662" s="16">
        <v>395.41</v>
      </c>
      <c r="H662" s="16">
        <f>_A*F662*F662+_B*F662+_C</f>
        <v>396.96674356875434</v>
      </c>
      <c r="I662">
        <f t="shared" si="40"/>
        <v>8</v>
      </c>
      <c r="J662" s="16" cm="1">
        <f t="array" ref="J662">INDEX(Sm,I662)</f>
        <v>-1.3971602754957855</v>
      </c>
      <c r="K662" s="16">
        <f t="shared" si="41"/>
        <v>395.56958329325857</v>
      </c>
      <c r="L662" s="16">
        <f t="shared" si="42"/>
        <v>0.15958329325854947</v>
      </c>
      <c r="M662" s="16">
        <f t="shared" si="43"/>
        <v>2.5466827487244201E-2</v>
      </c>
    </row>
    <row r="663" spans="6:13" x14ac:dyDescent="0.4">
      <c r="F663" s="1">
        <v>41518</v>
      </c>
      <c r="G663" s="16">
        <v>393.39</v>
      </c>
      <c r="H663" s="16">
        <f>_A*F663*F663+_B*F663+_C</f>
        <v>397.15448712002183</v>
      </c>
      <c r="I663">
        <f t="shared" si="40"/>
        <v>9</v>
      </c>
      <c r="J663" s="16" cm="1">
        <f t="array" ref="J663">INDEX(Sm,I663)</f>
        <v>-3.1930865292764237</v>
      </c>
      <c r="K663" s="16">
        <f t="shared" si="41"/>
        <v>393.96140059074543</v>
      </c>
      <c r="L663" s="16">
        <f t="shared" si="42"/>
        <v>0.5714005907454407</v>
      </c>
      <c r="M663" s="16">
        <f t="shared" si="43"/>
        <v>0.3264986351042386</v>
      </c>
    </row>
    <row r="664" spans="6:13" x14ac:dyDescent="0.4">
      <c r="F664" s="1">
        <v>41548</v>
      </c>
      <c r="G664" s="16">
        <v>393.7</v>
      </c>
      <c r="H664" s="16">
        <f>_A*F664*F664+_B*F664+_C</f>
        <v>397.33635385427868</v>
      </c>
      <c r="I664">
        <f t="shared" si="40"/>
        <v>10</v>
      </c>
      <c r="J664" s="16" cm="1">
        <f t="array" ref="J664">INDEX(Sm,I664)</f>
        <v>-3.3364130058083399</v>
      </c>
      <c r="K664" s="16">
        <f t="shared" si="41"/>
        <v>393.99994084847032</v>
      </c>
      <c r="L664" s="16">
        <f t="shared" si="42"/>
        <v>0.29994084847032809</v>
      </c>
      <c r="M664" s="16">
        <f t="shared" si="43"/>
        <v>8.9964512581100317E-2</v>
      </c>
    </row>
    <row r="665" spans="6:13" x14ac:dyDescent="0.4">
      <c r="F665" s="1">
        <v>41579</v>
      </c>
      <c r="G665" s="16">
        <v>395.19</v>
      </c>
      <c r="H665" s="16">
        <f>_A*F665*F665+_B*F665+_C</f>
        <v>397.52446822047546</v>
      </c>
      <c r="I665">
        <f t="shared" si="40"/>
        <v>11</v>
      </c>
      <c r="J665" s="16" cm="1">
        <f t="array" ref="J665">INDEX(Sm,I665)</f>
        <v>-2.0587659563291303</v>
      </c>
      <c r="K665" s="16">
        <f t="shared" si="41"/>
        <v>395.46570226414633</v>
      </c>
      <c r="L665" s="16">
        <f t="shared" si="42"/>
        <v>0.27570226414633225</v>
      </c>
      <c r="M665" s="16">
        <f t="shared" si="43"/>
        <v>7.6011738455413966E-2</v>
      </c>
    </row>
    <row r="666" spans="6:13" x14ac:dyDescent="0.4">
      <c r="F666" s="1">
        <v>41609</v>
      </c>
      <c r="G666" s="16">
        <v>396.82</v>
      </c>
      <c r="H666" s="16">
        <f>_A*F666*F666+_B*F666+_C</f>
        <v>397.70669380788974</v>
      </c>
      <c r="I666">
        <f t="shared" si="40"/>
        <v>12</v>
      </c>
      <c r="J666" s="16" cm="1">
        <f t="array" ref="J666">INDEX(Sm,I666)</f>
        <v>-0.89092746411398172</v>
      </c>
      <c r="K666" s="16">
        <f t="shared" si="41"/>
        <v>396.81576634377575</v>
      </c>
      <c r="L666" s="16">
        <f t="shared" si="42"/>
        <v>-4.2336562242439868E-3</v>
      </c>
      <c r="M666" s="16">
        <f t="shared" si="43"/>
        <v>1.7923845025079852E-5</v>
      </c>
    </row>
    <row r="667" spans="6:13" x14ac:dyDescent="0.4">
      <c r="F667" s="1">
        <v>41640</v>
      </c>
      <c r="G667" s="16">
        <v>397.93</v>
      </c>
      <c r="H667" s="16">
        <f>_A*F667*F667+_B*F667+_C</f>
        <v>397.89517898901585</v>
      </c>
      <c r="I667">
        <f t="shared" si="40"/>
        <v>1</v>
      </c>
      <c r="J667" s="16" cm="1">
        <f t="array" ref="J667">INDEX(Sm,I667)</f>
        <v>6.1437948016995841E-2</v>
      </c>
      <c r="K667" s="16">
        <f t="shared" si="41"/>
        <v>397.95661693703283</v>
      </c>
      <c r="L667" s="16">
        <f t="shared" si="42"/>
        <v>2.6616937032827082E-2</v>
      </c>
      <c r="M667" s="16">
        <f t="shared" si="43"/>
        <v>7.084613370094817E-4</v>
      </c>
    </row>
    <row r="668" spans="6:13" x14ac:dyDescent="0.4">
      <c r="F668" s="1">
        <v>41671</v>
      </c>
      <c r="G668" s="16">
        <v>398.1</v>
      </c>
      <c r="H668" s="16">
        <f>_A*F668*F668+_B*F668+_C</f>
        <v>398.08385261707321</v>
      </c>
      <c r="I668">
        <f t="shared" si="40"/>
        <v>2</v>
      </c>
      <c r="J668" s="16" cm="1">
        <f t="array" ref="J668">INDEX(Sm,I668)</f>
        <v>0.69461918939657585</v>
      </c>
      <c r="K668" s="16">
        <f t="shared" si="41"/>
        <v>398.77847180646978</v>
      </c>
      <c r="L668" s="16">
        <f t="shared" si="42"/>
        <v>0.67847180646975858</v>
      </c>
      <c r="M668" s="16">
        <f t="shared" si="43"/>
        <v>0.46032399217433756</v>
      </c>
    </row>
    <row r="669" spans="6:13" x14ac:dyDescent="0.4">
      <c r="F669" s="1">
        <v>41699</v>
      </c>
      <c r="G669" s="16">
        <v>399.47</v>
      </c>
      <c r="H669" s="16">
        <f>_A*F669*F669+_B*F669+_C</f>
        <v>398.25442948108889</v>
      </c>
      <c r="I669">
        <f t="shared" si="40"/>
        <v>3</v>
      </c>
      <c r="J669" s="16" cm="1">
        <f t="array" ref="J669">INDEX(Sm,I669)</f>
        <v>1.3737674684313066</v>
      </c>
      <c r="K669" s="16">
        <f t="shared" si="41"/>
        <v>399.6281969495202</v>
      </c>
      <c r="L669" s="16">
        <f t="shared" si="42"/>
        <v>0.15819694952017471</v>
      </c>
      <c r="M669" s="16">
        <f t="shared" si="43"/>
        <v>2.5026274837488705E-2</v>
      </c>
    </row>
    <row r="670" spans="6:13" x14ac:dyDescent="0.4">
      <c r="F670" s="1">
        <v>41730</v>
      </c>
      <c r="G670" s="16">
        <v>401.33</v>
      </c>
      <c r="H670" s="16">
        <f>_A*F670*F670+_B*F670+_C</f>
        <v>398.44346176620911</v>
      </c>
      <c r="I670">
        <f t="shared" si="40"/>
        <v>4</v>
      </c>
      <c r="J670" s="16" cm="1">
        <f t="array" ref="J670">INDEX(Sm,I670)</f>
        <v>2.6103146033777413</v>
      </c>
      <c r="K670" s="16">
        <f t="shared" si="41"/>
        <v>401.05377636958684</v>
      </c>
      <c r="L670" s="16">
        <f t="shared" si="42"/>
        <v>-0.27622363041314202</v>
      </c>
      <c r="M670" s="16">
        <f t="shared" si="43"/>
        <v>7.6299493998616075E-2</v>
      </c>
    </row>
    <row r="671" spans="6:13" x14ac:dyDescent="0.4">
      <c r="F671" s="1">
        <v>41760</v>
      </c>
      <c r="G671" s="16">
        <v>401.88</v>
      </c>
      <c r="H671" s="16">
        <f>_A*F671*F671+_B*F671+_C</f>
        <v>398.62657566225897</v>
      </c>
      <c r="I671">
        <f t="shared" si="40"/>
        <v>5</v>
      </c>
      <c r="J671" s="16" cm="1">
        <f t="array" ref="J671">INDEX(Sm,I671)</f>
        <v>3.065687851218776</v>
      </c>
      <c r="K671" s="16">
        <f t="shared" si="41"/>
        <v>401.69226351347777</v>
      </c>
      <c r="L671" s="16">
        <f t="shared" si="42"/>
        <v>-0.18773648652222619</v>
      </c>
      <c r="M671" s="16">
        <f t="shared" si="43"/>
        <v>3.5244988371710015E-2</v>
      </c>
    </row>
    <row r="672" spans="6:13" x14ac:dyDescent="0.4">
      <c r="F672" s="1">
        <v>41791</v>
      </c>
      <c r="G672" s="16">
        <v>401.31</v>
      </c>
      <c r="H672" s="16">
        <f>_A*F672*F672+_B*F672+_C</f>
        <v>398.81597876230848</v>
      </c>
      <c r="I672">
        <f t="shared" si="40"/>
        <v>6</v>
      </c>
      <c r="J672" s="16" cm="1">
        <f t="array" ref="J672">INDEX(Sm,I672)</f>
        <v>2.3467878996384672</v>
      </c>
      <c r="K672" s="16">
        <f t="shared" si="41"/>
        <v>401.16276666194693</v>
      </c>
      <c r="L672" s="16">
        <f t="shared" si="42"/>
        <v>-0.14723333805306993</v>
      </c>
      <c r="M672" s="16">
        <f t="shared" si="43"/>
        <v>2.1677655834249569E-2</v>
      </c>
    </row>
    <row r="673" spans="6:13" x14ac:dyDescent="0.4">
      <c r="F673" s="1">
        <v>41821</v>
      </c>
      <c r="G673" s="16">
        <v>399.07</v>
      </c>
      <c r="H673" s="16">
        <f>_A*F673*F673+_B*F673+_C</f>
        <v>398.99945151151576</v>
      </c>
      <c r="I673">
        <f t="shared" si="40"/>
        <v>7</v>
      </c>
      <c r="J673" s="16" cm="1">
        <f t="array" ref="J673">INDEX(Sm,I673)</f>
        <v>0.7237382709437985</v>
      </c>
      <c r="K673" s="16">
        <f t="shared" si="41"/>
        <v>399.72318978245954</v>
      </c>
      <c r="L673" s="16">
        <f t="shared" si="42"/>
        <v>0.65318978245954895</v>
      </c>
      <c r="M673" s="16">
        <f t="shared" si="43"/>
        <v>0.42665689190955286</v>
      </c>
    </row>
    <row r="674" spans="6:13" x14ac:dyDescent="0.4">
      <c r="F674" s="1">
        <v>41852</v>
      </c>
      <c r="G674" s="16">
        <v>397.21</v>
      </c>
      <c r="H674" s="16">
        <f>_A*F674*F674+_B*F674+_C</f>
        <v>399.18922542649466</v>
      </c>
      <c r="I674">
        <f t="shared" si="40"/>
        <v>8</v>
      </c>
      <c r="J674" s="16" cm="1">
        <f t="array" ref="J674">INDEX(Sm,I674)</f>
        <v>-1.3971602754957855</v>
      </c>
      <c r="K674" s="16">
        <f t="shared" si="41"/>
        <v>397.79206515099889</v>
      </c>
      <c r="L674" s="16">
        <f t="shared" si="42"/>
        <v>0.58206515099891476</v>
      </c>
      <c r="M674" s="16">
        <f t="shared" si="43"/>
        <v>0.33879984000738944</v>
      </c>
    </row>
    <row r="675" spans="6:13" x14ac:dyDescent="0.4">
      <c r="F675" s="1">
        <v>41883</v>
      </c>
      <c r="G675" s="16">
        <v>395.4</v>
      </c>
      <c r="H675" s="16">
        <f>_A*F675*F675+_B*F675+_C</f>
        <v>399.37918778840481</v>
      </c>
      <c r="I675">
        <f t="shared" si="40"/>
        <v>9</v>
      </c>
      <c r="J675" s="16" cm="1">
        <f t="array" ref="J675">INDEX(Sm,I675)</f>
        <v>-3.1930865292764237</v>
      </c>
      <c r="K675" s="16">
        <f t="shared" si="41"/>
        <v>396.18610125912841</v>
      </c>
      <c r="L675" s="16">
        <f t="shared" si="42"/>
        <v>0.78610125912842932</v>
      </c>
      <c r="M675" s="16">
        <f t="shared" si="43"/>
        <v>0.61795518960330198</v>
      </c>
    </row>
    <row r="676" spans="6:13" x14ac:dyDescent="0.4">
      <c r="F676" s="1">
        <v>41913</v>
      </c>
      <c r="G676" s="16">
        <v>395.65</v>
      </c>
      <c r="H676" s="16">
        <f>_A*F676*F676+_B*F676+_C</f>
        <v>399.56320175876749</v>
      </c>
      <c r="I676">
        <f t="shared" si="40"/>
        <v>10</v>
      </c>
      <c r="J676" s="16" cm="1">
        <f t="array" ref="J676">INDEX(Sm,I676)</f>
        <v>-3.3364130058083399</v>
      </c>
      <c r="K676" s="16">
        <f t="shared" si="41"/>
        <v>396.22678875295912</v>
      </c>
      <c r="L676" s="16">
        <f t="shared" si="42"/>
        <v>0.57678875295914622</v>
      </c>
      <c r="M676" s="16">
        <f t="shared" si="43"/>
        <v>0.33268526554016703</v>
      </c>
    </row>
    <row r="677" spans="6:13" x14ac:dyDescent="0.4">
      <c r="F677" s="1">
        <v>41944</v>
      </c>
      <c r="G677" s="16">
        <v>397.23</v>
      </c>
      <c r="H677" s="16">
        <f>_A*F677*F677+_B*F677+_C</f>
        <v>399.75353493560704</v>
      </c>
      <c r="I677">
        <f t="shared" si="40"/>
        <v>11</v>
      </c>
      <c r="J677" s="16" cm="1">
        <f t="array" ref="J677">INDEX(Sm,I677)</f>
        <v>-2.0587659563291303</v>
      </c>
      <c r="K677" s="16">
        <f t="shared" si="41"/>
        <v>397.69476897927791</v>
      </c>
      <c r="L677" s="16">
        <f t="shared" si="42"/>
        <v>0.46476897927789196</v>
      </c>
      <c r="M677" s="16">
        <f t="shared" si="43"/>
        <v>0.21601020409901356</v>
      </c>
    </row>
    <row r="678" spans="6:13" x14ac:dyDescent="0.4">
      <c r="F678" s="1">
        <v>41974</v>
      </c>
      <c r="G678" s="16">
        <v>398.79</v>
      </c>
      <c r="H678" s="16">
        <f>_A*F678*F678+_B*F678+_C</f>
        <v>399.93790775912714</v>
      </c>
      <c r="I678">
        <f t="shared" si="40"/>
        <v>12</v>
      </c>
      <c r="J678" s="16" cm="1">
        <f t="array" ref="J678">INDEX(Sm,I678)</f>
        <v>-0.89092746411398172</v>
      </c>
      <c r="K678" s="16">
        <f t="shared" si="41"/>
        <v>399.04698029501316</v>
      </c>
      <c r="L678" s="16">
        <f t="shared" si="42"/>
        <v>0.25698029501313613</v>
      </c>
      <c r="M678" s="16">
        <f t="shared" si="43"/>
        <v>6.6038872025038484E-2</v>
      </c>
    </row>
    <row r="679" spans="6:13" x14ac:dyDescent="0.4">
      <c r="F679" s="1">
        <v>42005</v>
      </c>
      <c r="G679" s="16">
        <v>399.85</v>
      </c>
      <c r="H679" s="16">
        <f>_A*F679*F679+_B*F679+_C</f>
        <v>400.12861175089597</v>
      </c>
      <c r="I679">
        <f t="shared" si="40"/>
        <v>1</v>
      </c>
      <c r="J679" s="16" cm="1">
        <f t="array" ref="J679">INDEX(Sm,I679)</f>
        <v>6.1437948016995841E-2</v>
      </c>
      <c r="K679" s="16">
        <f t="shared" si="41"/>
        <v>400.19004969891296</v>
      </c>
      <c r="L679" s="16">
        <f t="shared" si="42"/>
        <v>0.34004969891293513</v>
      </c>
      <c r="M679" s="16">
        <f t="shared" si="43"/>
        <v>0.11563379773077784</v>
      </c>
    </row>
    <row r="680" spans="6:13" x14ac:dyDescent="0.4">
      <c r="F680" s="1">
        <v>42036</v>
      </c>
      <c r="G680" s="16">
        <v>400.31</v>
      </c>
      <c r="H680" s="16">
        <f>_A*F680*F680+_B*F680+_C</f>
        <v>400.31950418959616</v>
      </c>
      <c r="I680">
        <f t="shared" si="40"/>
        <v>2</v>
      </c>
      <c r="J680" s="16" cm="1">
        <f t="array" ref="J680">INDEX(Sm,I680)</f>
        <v>0.69461918939657585</v>
      </c>
      <c r="K680" s="16">
        <f t="shared" si="41"/>
        <v>401.01412337899274</v>
      </c>
      <c r="L680" s="16">
        <f t="shared" si="42"/>
        <v>0.70412337899273325</v>
      </c>
      <c r="M680" s="16">
        <f t="shared" si="43"/>
        <v>0.49578973284414424</v>
      </c>
    </row>
    <row r="681" spans="6:13" x14ac:dyDescent="0.4">
      <c r="F681" s="1">
        <v>42064</v>
      </c>
      <c r="G681" s="16">
        <v>401.51</v>
      </c>
      <c r="H681" s="16">
        <f>_A*F681*F681+_B*F681+_C</f>
        <v>400.49208514064395</v>
      </c>
      <c r="I681">
        <f t="shared" si="40"/>
        <v>3</v>
      </c>
      <c r="J681" s="16" cm="1">
        <f t="array" ref="J681">INDEX(Sm,I681)</f>
        <v>1.3737674684313066</v>
      </c>
      <c r="K681" s="16">
        <f t="shared" si="41"/>
        <v>401.86585260907526</v>
      </c>
      <c r="L681" s="16">
        <f t="shared" si="42"/>
        <v>0.35585260907527072</v>
      </c>
      <c r="M681" s="16">
        <f t="shared" si="43"/>
        <v>0.12663107938567744</v>
      </c>
    </row>
    <row r="682" spans="6:13" x14ac:dyDescent="0.4">
      <c r="F682" s="1">
        <v>42095</v>
      </c>
      <c r="G682" s="16">
        <v>403.45</v>
      </c>
      <c r="H682" s="16">
        <f>_A*F682*F682+_B*F682+_C</f>
        <v>400.68333623640683</v>
      </c>
      <c r="I682">
        <f t="shared" si="40"/>
        <v>4</v>
      </c>
      <c r="J682" s="16" cm="1">
        <f t="array" ref="J682">INDEX(Sm,I682)</f>
        <v>2.6103146033777413</v>
      </c>
      <c r="K682" s="16">
        <f t="shared" si="41"/>
        <v>403.29365083978456</v>
      </c>
      <c r="L682" s="16">
        <f t="shared" si="42"/>
        <v>-0.15634916021542722</v>
      </c>
      <c r="M682" s="16">
        <f t="shared" si="43"/>
        <v>2.444505990006933E-2</v>
      </c>
    </row>
    <row r="683" spans="6:13" x14ac:dyDescent="0.4">
      <c r="F683" s="1">
        <v>42125</v>
      </c>
      <c r="G683" s="16">
        <v>404.1</v>
      </c>
      <c r="H683" s="16">
        <f>_A*F683*F683+_B*F683+_C</f>
        <v>400.86859736856263</v>
      </c>
      <c r="I683">
        <f t="shared" si="40"/>
        <v>5</v>
      </c>
      <c r="J683" s="16" cm="1">
        <f t="array" ref="J683">INDEX(Sm,I683)</f>
        <v>3.065687851218776</v>
      </c>
      <c r="K683" s="16">
        <f t="shared" si="41"/>
        <v>403.93428521978143</v>
      </c>
      <c r="L683" s="16">
        <f t="shared" si="42"/>
        <v>-0.16571478021859321</v>
      </c>
      <c r="M683" s="16">
        <f t="shared" si="43"/>
        <v>2.7461388382896648E-2</v>
      </c>
    </row>
    <row r="684" spans="6:13" x14ac:dyDescent="0.4">
      <c r="F684" s="1">
        <v>42156</v>
      </c>
      <c r="G684" s="16">
        <v>402.88</v>
      </c>
      <c r="H684" s="16">
        <f>_A*F684*F684+_B*F684+_C</f>
        <v>401.06021927925485</v>
      </c>
      <c r="I684">
        <f t="shared" si="40"/>
        <v>6</v>
      </c>
      <c r="J684" s="16" cm="1">
        <f t="array" ref="J684">INDEX(Sm,I684)</f>
        <v>2.3467878996384672</v>
      </c>
      <c r="K684" s="16">
        <f t="shared" si="41"/>
        <v>403.40700717889331</v>
      </c>
      <c r="L684" s="16">
        <f t="shared" si="42"/>
        <v>0.52700717889331372</v>
      </c>
      <c r="M684" s="16">
        <f t="shared" si="43"/>
        <v>0.27773656660508916</v>
      </c>
    </row>
    <row r="685" spans="6:13" x14ac:dyDescent="0.4">
      <c r="F685" s="1">
        <v>42186</v>
      </c>
      <c r="G685" s="16">
        <v>401.61</v>
      </c>
      <c r="H685" s="16">
        <f>_A*F685*F685+_B*F685+_C</f>
        <v>401.24583926456802</v>
      </c>
      <c r="I685">
        <f t="shared" si="40"/>
        <v>7</v>
      </c>
      <c r="J685" s="16" cm="1">
        <f t="array" ref="J685">INDEX(Sm,I685)</f>
        <v>0.7237382709437985</v>
      </c>
      <c r="K685" s="16">
        <f t="shared" si="41"/>
        <v>401.9695775355118</v>
      </c>
      <c r="L685" s="16">
        <f t="shared" si="42"/>
        <v>0.35957753551178939</v>
      </c>
      <c r="M685" s="16">
        <f t="shared" si="43"/>
        <v>0.12929600404473215</v>
      </c>
    </row>
    <row r="686" spans="6:13" x14ac:dyDescent="0.4">
      <c r="F686" s="1">
        <v>42217</v>
      </c>
      <c r="G686" s="16">
        <v>399</v>
      </c>
      <c r="H686" s="16">
        <f>_A*F686*F686+_B*F686+_C</f>
        <v>401.43783199018958</v>
      </c>
      <c r="I686">
        <f t="shared" si="40"/>
        <v>8</v>
      </c>
      <c r="J686" s="16" cm="1">
        <f t="array" ref="J686">INDEX(Sm,I686)</f>
        <v>-1.3971602754957855</v>
      </c>
      <c r="K686" s="16">
        <f t="shared" si="41"/>
        <v>400.04067171469381</v>
      </c>
      <c r="L686" s="16">
        <f t="shared" si="42"/>
        <v>1.0406717146938149</v>
      </c>
      <c r="M686" s="16">
        <f t="shared" si="43"/>
        <v>1.082997617763765</v>
      </c>
    </row>
    <row r="687" spans="6:13" x14ac:dyDescent="0.4">
      <c r="F687" s="1">
        <v>42248</v>
      </c>
      <c r="G687" s="16">
        <v>397.5</v>
      </c>
      <c r="H687" s="16">
        <f>_A*F687*F687+_B*F687+_C</f>
        <v>401.6300131627425</v>
      </c>
      <c r="I687">
        <f t="shared" si="40"/>
        <v>9</v>
      </c>
      <c r="J687" s="16" cm="1">
        <f t="array" ref="J687">INDEX(Sm,I687)</f>
        <v>-3.1930865292764237</v>
      </c>
      <c r="K687" s="16">
        <f t="shared" si="41"/>
        <v>398.4369266334661</v>
      </c>
      <c r="L687" s="16">
        <f t="shared" si="42"/>
        <v>0.93692663346610061</v>
      </c>
      <c r="M687" s="16">
        <f t="shared" si="43"/>
        <v>0.87783151649812086</v>
      </c>
    </row>
    <row r="688" spans="6:13" x14ac:dyDescent="0.4">
      <c r="F688" s="1">
        <v>42278</v>
      </c>
      <c r="G688" s="16">
        <v>398.28</v>
      </c>
      <c r="H688" s="16">
        <f>_A*F688*F688+_B*F688+_C</f>
        <v>401.81617436921113</v>
      </c>
      <c r="I688">
        <f t="shared" si="40"/>
        <v>10</v>
      </c>
      <c r="J688" s="16" cm="1">
        <f t="array" ref="J688">INDEX(Sm,I688)</f>
        <v>-3.3364130058083399</v>
      </c>
      <c r="K688" s="16">
        <f t="shared" si="41"/>
        <v>398.47976136340276</v>
      </c>
      <c r="L688" s="16">
        <f t="shared" si="42"/>
        <v>0.19976136340278572</v>
      </c>
      <c r="M688" s="16">
        <f t="shared" si="43"/>
        <v>3.9904602308539816E-2</v>
      </c>
    </row>
    <row r="689" spans="6:13" x14ac:dyDescent="0.4">
      <c r="F689" s="1">
        <v>42309</v>
      </c>
      <c r="G689" s="16">
        <v>400.24</v>
      </c>
      <c r="H689" s="16">
        <f>_A*F689*F689+_B*F689+_C</f>
        <v>402.00872635669333</v>
      </c>
      <c r="I689">
        <f t="shared" si="40"/>
        <v>11</v>
      </c>
      <c r="J689" s="16" cm="1">
        <f t="array" ref="J689">INDEX(Sm,I689)</f>
        <v>-2.0587659563291303</v>
      </c>
      <c r="K689" s="16">
        <f t="shared" si="41"/>
        <v>399.9499604003642</v>
      </c>
      <c r="L689" s="16">
        <f t="shared" si="42"/>
        <v>-0.29003959963580428</v>
      </c>
      <c r="M689" s="16">
        <f t="shared" si="43"/>
        <v>8.4122969356897642E-2</v>
      </c>
    </row>
    <row r="690" spans="6:13" x14ac:dyDescent="0.4">
      <c r="F690" s="1">
        <v>42339</v>
      </c>
      <c r="G690" s="16">
        <v>401.89</v>
      </c>
      <c r="H690" s="16">
        <f>_A*F690*F690+_B*F690+_C</f>
        <v>402.19524641631938</v>
      </c>
      <c r="I690">
        <f t="shared" si="40"/>
        <v>12</v>
      </c>
      <c r="J690" s="16" cm="1">
        <f t="array" ref="J690">INDEX(Sm,I690)</f>
        <v>-0.89092746411398172</v>
      </c>
      <c r="K690" s="16">
        <f t="shared" si="41"/>
        <v>401.30431895220539</v>
      </c>
      <c r="L690" s="16">
        <f t="shared" si="42"/>
        <v>-0.58568104779459418</v>
      </c>
      <c r="M690" s="16">
        <f t="shared" si="43"/>
        <v>0.3430222897457737</v>
      </c>
    </row>
    <row r="691" spans="6:13" x14ac:dyDescent="0.4">
      <c r="F691" s="1">
        <v>42370</v>
      </c>
      <c r="G691" s="16">
        <v>402.65</v>
      </c>
      <c r="H691" s="16">
        <f>_A*F691*F691+_B*F691+_C</f>
        <v>402.38816921873087</v>
      </c>
      <c r="I691">
        <f t="shared" si="40"/>
        <v>1</v>
      </c>
      <c r="J691" s="16" cm="1">
        <f t="array" ref="J691">INDEX(Sm,I691)</f>
        <v>6.1437948016995841E-2</v>
      </c>
      <c r="K691" s="16">
        <f t="shared" si="41"/>
        <v>402.44960716674785</v>
      </c>
      <c r="L691" s="16">
        <f t="shared" si="42"/>
        <v>-0.20039283325212409</v>
      </c>
      <c r="M691" s="16">
        <f t="shared" si="43"/>
        <v>4.0157287618813611E-2</v>
      </c>
    </row>
    <row r="692" spans="6:13" x14ac:dyDescent="0.4">
      <c r="F692" s="1">
        <v>42401</v>
      </c>
      <c r="G692" s="16">
        <v>404.16</v>
      </c>
      <c r="H692" s="16">
        <f>_A*F692*F692+_B*F692+_C</f>
        <v>402.58128046807371</v>
      </c>
      <c r="I692">
        <f t="shared" si="40"/>
        <v>2</v>
      </c>
      <c r="J692" s="16" cm="1">
        <f t="array" ref="J692">INDEX(Sm,I692)</f>
        <v>0.69461918939657585</v>
      </c>
      <c r="K692" s="16">
        <f t="shared" si="41"/>
        <v>403.27589965747029</v>
      </c>
      <c r="L692" s="16">
        <f t="shared" si="42"/>
        <v>-0.88410034252973446</v>
      </c>
      <c r="M692" s="16">
        <f t="shared" si="43"/>
        <v>0.78163341566119382</v>
      </c>
    </row>
    <row r="693" spans="6:13" x14ac:dyDescent="0.4">
      <c r="F693" s="1">
        <v>42430</v>
      </c>
      <c r="G693" s="16">
        <v>404.85</v>
      </c>
      <c r="H693" s="16">
        <f>_A*F693*F693+_B*F693+_C</f>
        <v>402.76210352945714</v>
      </c>
      <c r="I693">
        <f t="shared" si="40"/>
        <v>3</v>
      </c>
      <c r="J693" s="16" cm="1">
        <f t="array" ref="J693">INDEX(Sm,I693)</f>
        <v>1.3737674684313066</v>
      </c>
      <c r="K693" s="16">
        <f t="shared" si="41"/>
        <v>404.13587099788845</v>
      </c>
      <c r="L693" s="16">
        <f t="shared" si="42"/>
        <v>-0.71412900211157648</v>
      </c>
      <c r="M693" s="16">
        <f t="shared" si="43"/>
        <v>0.509980231656876</v>
      </c>
    </row>
    <row r="694" spans="6:13" x14ac:dyDescent="0.4">
      <c r="F694" s="1">
        <v>42461</v>
      </c>
      <c r="G694" s="16">
        <v>407.57</v>
      </c>
      <c r="H694" s="16">
        <f>_A*F694*F694+_B*F694+_C</f>
        <v>402.95557951479611</v>
      </c>
      <c r="I694">
        <f t="shared" si="40"/>
        <v>4</v>
      </c>
      <c r="J694" s="16" cm="1">
        <f t="array" ref="J694">INDEX(Sm,I694)</f>
        <v>2.6103146033777413</v>
      </c>
      <c r="K694" s="16">
        <f t="shared" si="41"/>
        <v>405.56589411817384</v>
      </c>
      <c r="L694" s="16">
        <f t="shared" si="42"/>
        <v>-2.004105881826149</v>
      </c>
      <c r="M694" s="16">
        <f t="shared" si="43"/>
        <v>4.0164403855701662</v>
      </c>
    </row>
    <row r="695" spans="6:13" x14ac:dyDescent="0.4">
      <c r="F695" s="1">
        <v>42491</v>
      </c>
      <c r="G695" s="16">
        <v>407.66</v>
      </c>
      <c r="H695" s="16">
        <f>_A*F695*F695+_B*F695+_C</f>
        <v>403.14299376589628</v>
      </c>
      <c r="I695">
        <f t="shared" si="40"/>
        <v>5</v>
      </c>
      <c r="J695" s="16" cm="1">
        <f t="array" ref="J695">INDEX(Sm,I695)</f>
        <v>3.065687851218776</v>
      </c>
      <c r="K695" s="16">
        <f t="shared" si="41"/>
        <v>406.20868161711508</v>
      </c>
      <c r="L695" s="16">
        <f t="shared" si="42"/>
        <v>-1.4513183828849492</v>
      </c>
      <c r="M695" s="16">
        <f t="shared" si="43"/>
        <v>2.1063250484997842</v>
      </c>
    </row>
    <row r="696" spans="6:13" x14ac:dyDescent="0.4">
      <c r="F696" s="1">
        <v>42522</v>
      </c>
      <c r="G696" s="16">
        <v>407</v>
      </c>
      <c r="H696" s="16">
        <f>_A*F696*F696+_B*F696+_C</f>
        <v>403.3368405661646</v>
      </c>
      <c r="I696">
        <f t="shared" si="40"/>
        <v>6</v>
      </c>
      <c r="J696" s="16" cm="1">
        <f t="array" ref="J696">INDEX(Sm,I696)</f>
        <v>2.3467878996384672</v>
      </c>
      <c r="K696" s="16">
        <f t="shared" si="41"/>
        <v>405.68362846580305</v>
      </c>
      <c r="L696" s="16">
        <f t="shared" si="42"/>
        <v>-1.3163715341969464</v>
      </c>
      <c r="M696" s="16">
        <f t="shared" si="43"/>
        <v>1.7328340160440225</v>
      </c>
    </row>
    <row r="697" spans="6:13" x14ac:dyDescent="0.4">
      <c r="F697" s="1">
        <v>42552</v>
      </c>
      <c r="G697" s="16">
        <v>404.5</v>
      </c>
      <c r="H697" s="16">
        <f>_A*F697*F697+_B*F697+_C</f>
        <v>403.52461367042224</v>
      </c>
      <c r="I697">
        <f t="shared" si="40"/>
        <v>7</v>
      </c>
      <c r="J697" s="16" cm="1">
        <f t="array" ref="J697">INDEX(Sm,I697)</f>
        <v>0.7237382709437985</v>
      </c>
      <c r="K697" s="16">
        <f t="shared" si="41"/>
        <v>404.24835194136602</v>
      </c>
      <c r="L697" s="16">
        <f t="shared" si="42"/>
        <v>-0.25164805863397532</v>
      </c>
      <c r="M697" s="16">
        <f t="shared" si="43"/>
        <v>6.3326745414248681E-2</v>
      </c>
    </row>
    <row r="698" spans="6:13" x14ac:dyDescent="0.4">
      <c r="F698" s="1">
        <v>42583</v>
      </c>
      <c r="G698" s="16">
        <v>402.24</v>
      </c>
      <c r="H698" s="16">
        <f>_A*F698*F698+_B*F698+_C</f>
        <v>403.71883128561979</v>
      </c>
      <c r="I698">
        <f t="shared" si="40"/>
        <v>8</v>
      </c>
      <c r="J698" s="16" cm="1">
        <f t="array" ref="J698">INDEX(Sm,I698)</f>
        <v>-1.3971602754957855</v>
      </c>
      <c r="K698" s="16">
        <f t="shared" si="41"/>
        <v>402.32167101012402</v>
      </c>
      <c r="L698" s="16">
        <f t="shared" si="42"/>
        <v>8.16710101240119E-2</v>
      </c>
      <c r="M698" s="16">
        <f t="shared" si="43"/>
        <v>6.6701538946764543E-3</v>
      </c>
    </row>
    <row r="699" spans="6:13" x14ac:dyDescent="0.4">
      <c r="F699" s="1">
        <v>42614</v>
      </c>
      <c r="G699" s="16">
        <v>401.01</v>
      </c>
      <c r="H699" s="16">
        <f>_A*F699*F699+_B*F699+_C</f>
        <v>403.91323734774869</v>
      </c>
      <c r="I699">
        <f t="shared" si="40"/>
        <v>9</v>
      </c>
      <c r="J699" s="16" cm="1">
        <f t="array" ref="J699">INDEX(Sm,I699)</f>
        <v>-3.1930865292764237</v>
      </c>
      <c r="K699" s="16">
        <f t="shared" si="41"/>
        <v>400.72015081847229</v>
      </c>
      <c r="L699" s="16">
        <f t="shared" si="42"/>
        <v>-0.28984918152769978</v>
      </c>
      <c r="M699" s="16">
        <f t="shared" si="43"/>
        <v>8.4012548032277465E-2</v>
      </c>
    </row>
    <row r="700" spans="6:13" x14ac:dyDescent="0.4">
      <c r="F700" s="1">
        <v>42644</v>
      </c>
      <c r="G700" s="16">
        <v>401.5</v>
      </c>
      <c r="H700" s="16">
        <f>_A*F700*F700+_B*F700+_C</f>
        <v>404.10155167316185</v>
      </c>
      <c r="I700">
        <f t="shared" si="40"/>
        <v>10</v>
      </c>
      <c r="J700" s="16" cm="1">
        <f t="array" ref="J700">INDEX(Sm,I700)</f>
        <v>-3.3364130058083399</v>
      </c>
      <c r="K700" s="16">
        <f t="shared" si="41"/>
        <v>400.76513866735348</v>
      </c>
      <c r="L700" s="16">
        <f t="shared" si="42"/>
        <v>-0.73486133264651698</v>
      </c>
      <c r="M700" s="16">
        <f t="shared" si="43"/>
        <v>0.54002117821901485</v>
      </c>
    </row>
    <row r="701" spans="6:13" x14ac:dyDescent="0.4">
      <c r="F701" s="1">
        <v>42675</v>
      </c>
      <c r="G701" s="16">
        <v>403.64</v>
      </c>
      <c r="H701" s="16">
        <f>_A*F701*F701+_B*F701+_C</f>
        <v>404.29632855022004</v>
      </c>
      <c r="I701">
        <f t="shared" si="40"/>
        <v>11</v>
      </c>
      <c r="J701" s="16" cm="1">
        <f t="array" ref="J701">INDEX(Sm,I701)</f>
        <v>-2.0587659563291303</v>
      </c>
      <c r="K701" s="16">
        <f t="shared" si="41"/>
        <v>402.23756259389091</v>
      </c>
      <c r="L701" s="16">
        <f t="shared" si="42"/>
        <v>-1.4024374061090725</v>
      </c>
      <c r="M701" s="16">
        <f t="shared" si="43"/>
        <v>1.9668306780539435</v>
      </c>
    </row>
    <row r="702" spans="6:13" x14ac:dyDescent="0.4">
      <c r="F702" s="1">
        <v>42705</v>
      </c>
      <c r="G702" s="16">
        <v>404.55</v>
      </c>
      <c r="H702" s="16">
        <f>_A*F702*F702+_B*F702+_C</f>
        <v>404.48500172879062</v>
      </c>
      <c r="I702">
        <f t="shared" si="40"/>
        <v>12</v>
      </c>
      <c r="J702" s="16" cm="1">
        <f t="array" ref="J702">INDEX(Sm,I702)</f>
        <v>-0.89092746411398172</v>
      </c>
      <c r="K702" s="16">
        <f t="shared" si="41"/>
        <v>403.59407426467664</v>
      </c>
      <c r="L702" s="16">
        <f t="shared" si="42"/>
        <v>-0.9559257353233761</v>
      </c>
      <c r="M702" s="16">
        <f t="shared" si="43"/>
        <v>0.91379401145353734</v>
      </c>
    </row>
    <row r="703" spans="6:13" x14ac:dyDescent="0.4">
      <c r="F703" s="1">
        <v>42736</v>
      </c>
      <c r="G703" s="16">
        <v>406.07</v>
      </c>
      <c r="H703" s="16">
        <f>_A*F703*F703+_B*F703+_C</f>
        <v>404.68014942077815</v>
      </c>
      <c r="I703">
        <f t="shared" si="40"/>
        <v>1</v>
      </c>
      <c r="J703" s="16" cm="1">
        <f t="array" ref="J703">INDEX(Sm,I703)</f>
        <v>6.1437948016995841E-2</v>
      </c>
      <c r="K703" s="16">
        <f t="shared" si="41"/>
        <v>404.74158736879514</v>
      </c>
      <c r="L703" s="16">
        <f t="shared" si="42"/>
        <v>-1.3284126312048556</v>
      </c>
      <c r="M703" s="16">
        <f t="shared" si="43"/>
        <v>1.7646801187446077</v>
      </c>
    </row>
    <row r="704" spans="6:13" x14ac:dyDescent="0.4">
      <c r="F704" s="1">
        <v>42767</v>
      </c>
      <c r="G704" s="16">
        <v>406.64</v>
      </c>
      <c r="H704" s="16">
        <f>_A*F704*F704+_B*F704+_C</f>
        <v>404.87548555969698</v>
      </c>
      <c r="I704">
        <f t="shared" si="40"/>
        <v>2</v>
      </c>
      <c r="J704" s="16" cm="1">
        <f t="array" ref="J704">INDEX(Sm,I704)</f>
        <v>0.69461918939657585</v>
      </c>
      <c r="K704" s="16">
        <f t="shared" si="41"/>
        <v>405.57010474909356</v>
      </c>
      <c r="L704" s="16">
        <f t="shared" si="42"/>
        <v>-1.069895250906427</v>
      </c>
      <c r="M704" s="16">
        <f t="shared" si="43"/>
        <v>1.1446758479121264</v>
      </c>
    </row>
    <row r="705" spans="6:13" x14ac:dyDescent="0.4">
      <c r="F705" s="1">
        <v>42795</v>
      </c>
      <c r="G705" s="16">
        <v>407.05</v>
      </c>
      <c r="H705" s="16">
        <f>_A*F705*F705+_B*F705+_C</f>
        <v>405.05208017545851</v>
      </c>
      <c r="I705">
        <f t="shared" si="40"/>
        <v>3</v>
      </c>
      <c r="J705" s="16" cm="1">
        <f t="array" ref="J705">INDEX(Sm,I705)</f>
        <v>1.3737674684313066</v>
      </c>
      <c r="K705" s="16">
        <f t="shared" si="41"/>
        <v>406.42584764388982</v>
      </c>
      <c r="L705" s="16">
        <f t="shared" si="42"/>
        <v>-0.62415235611018716</v>
      </c>
      <c r="M705" s="16">
        <f t="shared" si="43"/>
        <v>0.38956616363789787</v>
      </c>
    </row>
    <row r="706" spans="6:13" x14ac:dyDescent="0.4">
      <c r="F706" s="1">
        <v>42826</v>
      </c>
      <c r="G706" s="16">
        <v>408.95</v>
      </c>
      <c r="H706" s="16">
        <f>_A*F706*F706+_B*F706+_C</f>
        <v>405.24777497144015</v>
      </c>
      <c r="I706">
        <f t="shared" si="40"/>
        <v>4</v>
      </c>
      <c r="J706" s="16" cm="1">
        <f t="array" ref="J706">INDEX(Sm,I706)</f>
        <v>2.6103146033777413</v>
      </c>
      <c r="K706" s="16">
        <f t="shared" si="41"/>
        <v>407.85808957481788</v>
      </c>
      <c r="L706" s="16">
        <f t="shared" si="42"/>
        <v>-1.0919104251821068</v>
      </c>
      <c r="M706" s="16">
        <f t="shared" si="43"/>
        <v>1.1922683766213693</v>
      </c>
    </row>
    <row r="707" spans="6:13" x14ac:dyDescent="0.4">
      <c r="F707" s="1">
        <v>42856</v>
      </c>
      <c r="G707" s="16">
        <v>409.91</v>
      </c>
      <c r="H707" s="16">
        <f>_A*F707*F707+_B*F707+_C</f>
        <v>405.43733645864626</v>
      </c>
      <c r="I707">
        <f t="shared" ref="I707:I770" si="44">MONTH(F707)</f>
        <v>5</v>
      </c>
      <c r="J707" s="16" cm="1">
        <f t="array" ref="J707">INDEX(Sm,I707)</f>
        <v>3.065687851218776</v>
      </c>
      <c r="K707" s="16">
        <f t="shared" ref="K707:K770" si="45">H707+J707</f>
        <v>408.50302430986505</v>
      </c>
      <c r="L707" s="16">
        <f t="shared" ref="L707:L742" si="46">K707-G707</f>
        <v>-1.4069756901349706</v>
      </c>
      <c r="M707" s="16">
        <f t="shared" ref="M707:M742" si="47">L707*L707</f>
        <v>1.9795805926307768</v>
      </c>
    </row>
    <row r="708" spans="6:13" x14ac:dyDescent="0.4">
      <c r="F708" s="1">
        <v>42887</v>
      </c>
      <c r="G708" s="16">
        <v>409.12</v>
      </c>
      <c r="H708" s="16">
        <f>_A*F708*F708+_B*F708+_C</f>
        <v>405.63340206955729</v>
      </c>
      <c r="I708">
        <f t="shared" si="44"/>
        <v>6</v>
      </c>
      <c r="J708" s="16" cm="1">
        <f t="array" ref="J708">INDEX(Sm,I708)</f>
        <v>2.3467878996384672</v>
      </c>
      <c r="K708" s="16">
        <f t="shared" si="45"/>
        <v>407.98018996919575</v>
      </c>
      <c r="L708" s="16">
        <f t="shared" si="46"/>
        <v>-1.1398100308042558</v>
      </c>
      <c r="M708" s="16">
        <f t="shared" si="47"/>
        <v>1.2991669063219986</v>
      </c>
    </row>
    <row r="709" spans="6:13" x14ac:dyDescent="0.4">
      <c r="F709" s="1">
        <v>42917</v>
      </c>
      <c r="G709" s="16">
        <v>407.2</v>
      </c>
      <c r="H709" s="16">
        <f>_A*F709*F709+_B*F709+_C</f>
        <v>405.82332240992076</v>
      </c>
      <c r="I709">
        <f t="shared" si="44"/>
        <v>7</v>
      </c>
      <c r="J709" s="16" cm="1">
        <f t="array" ref="J709">INDEX(Sm,I709)</f>
        <v>0.7237382709437985</v>
      </c>
      <c r="K709" s="16">
        <f t="shared" si="45"/>
        <v>406.54706068086455</v>
      </c>
      <c r="L709" s="16">
        <f t="shared" si="46"/>
        <v>-0.65293931913544156</v>
      </c>
      <c r="M709" s="16">
        <f t="shared" si="47"/>
        <v>0.42632975447305399</v>
      </c>
    </row>
    <row r="710" spans="6:13" x14ac:dyDescent="0.4">
      <c r="F710" s="1">
        <v>42948</v>
      </c>
      <c r="G710" s="16">
        <v>405.24</v>
      </c>
      <c r="H710" s="16">
        <f>_A*F710*F710+_B*F710+_C</f>
        <v>406.01975883576108</v>
      </c>
      <c r="I710">
        <f t="shared" si="44"/>
        <v>8</v>
      </c>
      <c r="J710" s="16" cm="1">
        <f t="array" ref="J710">INDEX(Sm,I710)</f>
        <v>-1.3971602754957855</v>
      </c>
      <c r="K710" s="16">
        <f t="shared" si="45"/>
        <v>404.62259856026532</v>
      </c>
      <c r="L710" s="16">
        <f t="shared" si="46"/>
        <v>-0.6174014397346923</v>
      </c>
      <c r="M710" s="16">
        <f t="shared" si="47"/>
        <v>0.38118453778647088</v>
      </c>
    </row>
    <row r="711" spans="6:13" x14ac:dyDescent="0.4">
      <c r="F711" s="1">
        <v>42979</v>
      </c>
      <c r="G711" s="16">
        <v>403.27</v>
      </c>
      <c r="H711" s="16">
        <f>_A*F711*F711+_B*F711+_C</f>
        <v>406.21638370853276</v>
      </c>
      <c r="I711">
        <f t="shared" si="44"/>
        <v>9</v>
      </c>
      <c r="J711" s="16" cm="1">
        <f t="array" ref="J711">INDEX(Sm,I711)</f>
        <v>-3.1930865292764237</v>
      </c>
      <c r="K711" s="16">
        <f t="shared" si="45"/>
        <v>403.02329717925636</v>
      </c>
      <c r="L711" s="16">
        <f t="shared" si="46"/>
        <v>-0.24670282074362149</v>
      </c>
      <c r="M711" s="16">
        <f t="shared" si="47"/>
        <v>6.086228176285944E-2</v>
      </c>
    </row>
    <row r="712" spans="6:13" x14ac:dyDescent="0.4">
      <c r="F712" s="1">
        <v>43009</v>
      </c>
      <c r="G712" s="16">
        <v>403.64</v>
      </c>
      <c r="H712" s="16">
        <f>_A*F712*F712+_B*F712+_C</f>
        <v>406.40684527005169</v>
      </c>
      <c r="I712">
        <f t="shared" si="44"/>
        <v>10</v>
      </c>
      <c r="J712" s="16" cm="1">
        <f t="array" ref="J712">INDEX(Sm,I712)</f>
        <v>-3.3364130058083399</v>
      </c>
      <c r="K712" s="16">
        <f t="shared" si="45"/>
        <v>403.07043226424332</v>
      </c>
      <c r="L712" s="16">
        <f t="shared" si="46"/>
        <v>-0.56956773575666375</v>
      </c>
      <c r="M712" s="16">
        <f t="shared" si="47"/>
        <v>0.32440740561497272</v>
      </c>
    </row>
    <row r="713" spans="6:13" x14ac:dyDescent="0.4">
      <c r="F713" s="1">
        <v>43040</v>
      </c>
      <c r="G713" s="16">
        <v>405.17</v>
      </c>
      <c r="H713" s="16">
        <f>_A*F713*F713+_B*F713+_C</f>
        <v>406.60384095775265</v>
      </c>
      <c r="I713">
        <f t="shared" si="44"/>
        <v>11</v>
      </c>
      <c r="J713" s="16" cm="1">
        <f t="array" ref="J713">INDEX(Sm,I713)</f>
        <v>-2.0587659563291303</v>
      </c>
      <c r="K713" s="16">
        <f t="shared" si="45"/>
        <v>404.54507500142353</v>
      </c>
      <c r="L713" s="16">
        <f t="shared" si="46"/>
        <v>-0.62492499857648909</v>
      </c>
      <c r="M713" s="16">
        <f t="shared" si="47"/>
        <v>0.39053125384582488</v>
      </c>
    </row>
    <row r="714" spans="6:13" x14ac:dyDescent="0.4">
      <c r="F714" s="1">
        <v>43070</v>
      </c>
      <c r="G714" s="16">
        <v>406.75</v>
      </c>
      <c r="H714" s="16">
        <f>_A*F714*F714+_B*F714+_C</f>
        <v>406.79466137242906</v>
      </c>
      <c r="I714">
        <f t="shared" si="44"/>
        <v>12</v>
      </c>
      <c r="J714" s="16" cm="1">
        <f t="array" ref="J714">INDEX(Sm,I714)</f>
        <v>-0.89092746411398172</v>
      </c>
      <c r="K714" s="16">
        <f t="shared" si="45"/>
        <v>405.90373390831508</v>
      </c>
      <c r="L714" s="16">
        <f t="shared" si="46"/>
        <v>-0.8462660916849245</v>
      </c>
      <c r="M714" s="16">
        <f t="shared" si="47"/>
        <v>0.7161662979356771</v>
      </c>
    </row>
    <row r="715" spans="6:13" x14ac:dyDescent="0.4">
      <c r="F715" s="1">
        <v>43101</v>
      </c>
      <c r="G715" s="16">
        <v>408.05</v>
      </c>
      <c r="H715" s="16">
        <f>_A*F715*F715+_B*F715+_C</f>
        <v>406.99202787505931</v>
      </c>
      <c r="I715">
        <f t="shared" si="44"/>
        <v>1</v>
      </c>
      <c r="J715" s="16" cm="1">
        <f t="array" ref="J715">INDEX(Sm,I715)</f>
        <v>6.1437948016995841E-2</v>
      </c>
      <c r="K715" s="16">
        <f t="shared" si="45"/>
        <v>407.05346582307629</v>
      </c>
      <c r="L715" s="16">
        <f t="shared" si="46"/>
        <v>-0.99653417692371704</v>
      </c>
      <c r="M715" s="16">
        <f t="shared" si="47"/>
        <v>0.99308036577703018</v>
      </c>
    </row>
    <row r="716" spans="6:13" x14ac:dyDescent="0.4">
      <c r="F716" s="1">
        <v>43132</v>
      </c>
      <c r="G716" s="16">
        <v>408.34</v>
      </c>
      <c r="H716" s="16">
        <f>_A*F716*F716+_B*F716+_C</f>
        <v>407.18958282462091</v>
      </c>
      <c r="I716">
        <f t="shared" si="44"/>
        <v>2</v>
      </c>
      <c r="J716" s="16" cm="1">
        <f t="array" ref="J716">INDEX(Sm,I716)</f>
        <v>0.69461918939657585</v>
      </c>
      <c r="K716" s="16">
        <f t="shared" si="45"/>
        <v>407.88420201401749</v>
      </c>
      <c r="L716" s="16">
        <f t="shared" si="46"/>
        <v>-0.45579798598248544</v>
      </c>
      <c r="M716" s="16">
        <f t="shared" si="47"/>
        <v>0.20775180402568999</v>
      </c>
    </row>
    <row r="717" spans="6:13" x14ac:dyDescent="0.4">
      <c r="F717" s="1">
        <v>43160</v>
      </c>
      <c r="G717" s="16">
        <v>409.25</v>
      </c>
      <c r="H717" s="16">
        <f>_A*F717*F717+_B*F717+_C</f>
        <v>407.36818152741455</v>
      </c>
      <c r="I717">
        <f t="shared" si="44"/>
        <v>3</v>
      </c>
      <c r="J717" s="16" cm="1">
        <f t="array" ref="J717">INDEX(Sm,I717)</f>
        <v>1.3737674684313066</v>
      </c>
      <c r="K717" s="16">
        <f t="shared" si="45"/>
        <v>408.74194899584586</v>
      </c>
      <c r="L717" s="16">
        <f t="shared" si="46"/>
        <v>-0.50805100415414017</v>
      </c>
      <c r="M717" s="16">
        <f t="shared" si="47"/>
        <v>0.25811582282203016</v>
      </c>
    </row>
    <row r="718" spans="6:13" x14ac:dyDescent="0.4">
      <c r="F718" s="1">
        <v>43191</v>
      </c>
      <c r="G718" s="16">
        <v>410.3</v>
      </c>
      <c r="H718" s="16">
        <f>_A*F718*F718+_B*F718+_C</f>
        <v>407.56609513403896</v>
      </c>
      <c r="I718">
        <f t="shared" si="44"/>
        <v>4</v>
      </c>
      <c r="J718" s="16" cm="1">
        <f t="array" ref="J718">INDEX(Sm,I718)</f>
        <v>2.6103146033777413</v>
      </c>
      <c r="K718" s="16">
        <f t="shared" si="45"/>
        <v>410.17640973741669</v>
      </c>
      <c r="L718" s="16">
        <f t="shared" si="46"/>
        <v>-0.12359026258332051</v>
      </c>
      <c r="M718" s="16">
        <f t="shared" si="47"/>
        <v>1.5274553005414113E-2</v>
      </c>
    </row>
    <row r="719" spans="6:13" x14ac:dyDescent="0.4">
      <c r="F719" s="1">
        <v>43221</v>
      </c>
      <c r="G719" s="16">
        <v>411.3</v>
      </c>
      <c r="H719" s="16">
        <f>_A*F719*F719+_B*F719+_C</f>
        <v>407.75780385735095</v>
      </c>
      <c r="I719">
        <f t="shared" si="44"/>
        <v>5</v>
      </c>
      <c r="J719" s="16" cm="1">
        <f t="array" ref="J719">INDEX(Sm,I719)</f>
        <v>3.065687851218776</v>
      </c>
      <c r="K719" s="16">
        <f t="shared" si="45"/>
        <v>410.82349170856975</v>
      </c>
      <c r="L719" s="16">
        <f t="shared" si="46"/>
        <v>-0.47650829143026385</v>
      </c>
      <c r="M719" s="16">
        <f t="shared" si="47"/>
        <v>0.22706015180178926</v>
      </c>
    </row>
    <row r="720" spans="6:13" x14ac:dyDescent="0.4">
      <c r="F720" s="1">
        <v>43252</v>
      </c>
      <c r="G720" s="16">
        <v>410.88</v>
      </c>
      <c r="H720" s="16">
        <f>_A*F720*F720+_B*F720+_C</f>
        <v>407.95608827890464</v>
      </c>
      <c r="I720">
        <f t="shared" si="44"/>
        <v>6</v>
      </c>
      <c r="J720" s="16" cm="1">
        <f t="array" ref="J720">INDEX(Sm,I720)</f>
        <v>2.3467878996384672</v>
      </c>
      <c r="K720" s="16">
        <f t="shared" si="45"/>
        <v>410.3028761785431</v>
      </c>
      <c r="L720" s="16">
        <f t="shared" si="46"/>
        <v>-0.57712382145689389</v>
      </c>
      <c r="M720" s="16">
        <f t="shared" si="47"/>
        <v>0.33307190529300873</v>
      </c>
    </row>
    <row r="721" spans="6:13" x14ac:dyDescent="0.4">
      <c r="F721" s="1">
        <v>43282</v>
      </c>
      <c r="G721" s="16">
        <v>408.9</v>
      </c>
      <c r="H721" s="16">
        <f>_A*F721*F721+_B*F721+_C</f>
        <v>408.14815585537406</v>
      </c>
      <c r="I721">
        <f t="shared" si="44"/>
        <v>7</v>
      </c>
      <c r="J721" s="16" cm="1">
        <f t="array" ref="J721">INDEX(Sm,I721)</f>
        <v>0.7237382709437985</v>
      </c>
      <c r="K721" s="16">
        <f t="shared" si="45"/>
        <v>408.87189412631784</v>
      </c>
      <c r="L721" s="16">
        <f t="shared" si="46"/>
        <v>-2.8105873682136462E-2</v>
      </c>
      <c r="M721" s="16">
        <f t="shared" si="47"/>
        <v>7.8994013543621101E-4</v>
      </c>
    </row>
    <row r="722" spans="6:13" x14ac:dyDescent="0.4">
      <c r="F722" s="1">
        <v>43313</v>
      </c>
      <c r="G722" s="16">
        <v>407.1</v>
      </c>
      <c r="H722" s="16">
        <f>_A*F722*F722+_B*F722+_C</f>
        <v>408.34681109185709</v>
      </c>
      <c r="I722">
        <f t="shared" si="44"/>
        <v>8</v>
      </c>
      <c r="J722" s="16" cm="1">
        <f t="array" ref="J722">INDEX(Sm,I722)</f>
        <v>-1.3971602754957855</v>
      </c>
      <c r="K722" s="16">
        <f t="shared" si="45"/>
        <v>406.94965081636133</v>
      </c>
      <c r="L722" s="16">
        <f t="shared" si="46"/>
        <v>-0.15034918363869565</v>
      </c>
      <c r="M722" s="16">
        <f t="shared" si="47"/>
        <v>2.2604877020822228E-2</v>
      </c>
    </row>
    <row r="723" spans="6:13" x14ac:dyDescent="0.4">
      <c r="F723" s="1">
        <v>43344</v>
      </c>
      <c r="G723" s="16">
        <v>405.59</v>
      </c>
      <c r="H723" s="16">
        <f>_A*F723*F723+_B*F723+_C</f>
        <v>408.54565477527143</v>
      </c>
      <c r="I723">
        <f t="shared" si="44"/>
        <v>9</v>
      </c>
      <c r="J723" s="16" cm="1">
        <f t="array" ref="J723">INDEX(Sm,I723)</f>
        <v>-3.1930865292764237</v>
      </c>
      <c r="K723" s="16">
        <f t="shared" si="45"/>
        <v>405.35256824599503</v>
      </c>
      <c r="L723" s="16">
        <f t="shared" si="46"/>
        <v>-0.23743175400494465</v>
      </c>
      <c r="M723" s="16">
        <f t="shared" si="47"/>
        <v>5.6373837809864553E-2</v>
      </c>
    </row>
    <row r="724" spans="6:13" x14ac:dyDescent="0.4">
      <c r="F724" s="1">
        <v>43374</v>
      </c>
      <c r="G724" s="16">
        <v>405.99</v>
      </c>
      <c r="H724" s="16">
        <f>_A*F724*F724+_B*F724+_C</f>
        <v>408.7382635728963</v>
      </c>
      <c r="I724">
        <f t="shared" si="44"/>
        <v>10</v>
      </c>
      <c r="J724" s="16" cm="1">
        <f t="array" ref="J724">INDEX(Sm,I724)</f>
        <v>-3.3364130058083399</v>
      </c>
      <c r="K724" s="16">
        <f t="shared" si="45"/>
        <v>405.40185056708793</v>
      </c>
      <c r="L724" s="16">
        <f t="shared" si="46"/>
        <v>-0.58814943291207555</v>
      </c>
      <c r="M724" s="16">
        <f t="shared" si="47"/>
        <v>0.34591975543479608</v>
      </c>
    </row>
    <row r="725" spans="6:13" x14ac:dyDescent="0.4">
      <c r="F725" s="1">
        <v>43405</v>
      </c>
      <c r="G725" s="16">
        <v>408.12</v>
      </c>
      <c r="H725" s="16">
        <f>_A*F725*F725+_B*F725+_C</f>
        <v>408.93747807123992</v>
      </c>
      <c r="I725">
        <f t="shared" si="44"/>
        <v>11</v>
      </c>
      <c r="J725" s="16" cm="1">
        <f t="array" ref="J725">INDEX(Sm,I725)</f>
        <v>-2.0587659563291303</v>
      </c>
      <c r="K725" s="16">
        <f t="shared" si="45"/>
        <v>406.8787121149108</v>
      </c>
      <c r="L725" s="16">
        <f t="shared" si="46"/>
        <v>-1.2412878850892071</v>
      </c>
      <c r="M725" s="16">
        <f t="shared" si="47"/>
        <v>1.5407956136692365</v>
      </c>
    </row>
    <row r="726" spans="6:13" x14ac:dyDescent="0.4">
      <c r="F726" s="1">
        <v>43435</v>
      </c>
      <c r="G726" s="16">
        <v>409.23</v>
      </c>
      <c r="H726" s="16">
        <f>_A*F726*F726+_B*F726+_C</f>
        <v>409.13044572202222</v>
      </c>
      <c r="I726">
        <f t="shared" si="44"/>
        <v>12</v>
      </c>
      <c r="J726" s="16" cm="1">
        <f t="array" ref="J726">INDEX(Sm,I726)</f>
        <v>-0.89092746411398172</v>
      </c>
      <c r="K726" s="16">
        <f t="shared" si="45"/>
        <v>408.23951825790823</v>
      </c>
      <c r="L726" s="16">
        <f t="shared" si="46"/>
        <v>-0.99048174209178796</v>
      </c>
      <c r="M726" s="16">
        <f t="shared" si="47"/>
        <v>0.9810540814171832</v>
      </c>
    </row>
    <row r="727" spans="6:13" x14ac:dyDescent="0.4">
      <c r="F727" s="1">
        <v>43466</v>
      </c>
      <c r="G727" s="16">
        <v>410.92</v>
      </c>
      <c r="H727" s="16">
        <f>_A*F727*F727+_B*F727+_C</f>
        <v>409.33003103529524</v>
      </c>
      <c r="I727">
        <f t="shared" si="44"/>
        <v>1</v>
      </c>
      <c r="J727" s="16" cm="1">
        <f t="array" ref="J727">INDEX(Sm,I727)</f>
        <v>6.1437948016995841E-2</v>
      </c>
      <c r="K727" s="16">
        <f t="shared" si="45"/>
        <v>409.39146898331222</v>
      </c>
      <c r="L727" s="16">
        <f t="shared" si="46"/>
        <v>-1.5285310166877935</v>
      </c>
      <c r="M727" s="16">
        <f t="shared" si="47"/>
        <v>2.3364070689766194</v>
      </c>
    </row>
    <row r="728" spans="6:13" x14ac:dyDescent="0.4">
      <c r="F728" s="1">
        <v>43497</v>
      </c>
      <c r="G728" s="16">
        <v>411.66</v>
      </c>
      <c r="H728" s="16">
        <f>_A*F728*F728+_B*F728+_C</f>
        <v>409.52980479549956</v>
      </c>
      <c r="I728">
        <f t="shared" si="44"/>
        <v>2</v>
      </c>
      <c r="J728" s="16" cm="1">
        <f t="array" ref="J728">INDEX(Sm,I728)</f>
        <v>0.69461918939657585</v>
      </c>
      <c r="K728" s="16">
        <f t="shared" si="45"/>
        <v>410.22442398489613</v>
      </c>
      <c r="L728" s="16">
        <f t="shared" si="46"/>
        <v>-1.4355760151038908</v>
      </c>
      <c r="M728" s="16">
        <f t="shared" si="47"/>
        <v>2.0608784951415666</v>
      </c>
    </row>
    <row r="729" spans="6:13" x14ac:dyDescent="0.4">
      <c r="F729" s="1">
        <v>43525</v>
      </c>
      <c r="G729" s="16">
        <v>412</v>
      </c>
      <c r="H729" s="16">
        <f>_A*F729*F729+_B*F729+_C</f>
        <v>409.71040758532536</v>
      </c>
      <c r="I729">
        <f t="shared" si="44"/>
        <v>3</v>
      </c>
      <c r="J729" s="16" cm="1">
        <f t="array" ref="J729">INDEX(Sm,I729)</f>
        <v>1.3737674684313066</v>
      </c>
      <c r="K729" s="16">
        <f t="shared" si="45"/>
        <v>411.08417505375667</v>
      </c>
      <c r="L729" s="16">
        <f t="shared" si="46"/>
        <v>-0.91582494624333322</v>
      </c>
      <c r="M729" s="16">
        <f t="shared" si="47"/>
        <v>0.83873533216160412</v>
      </c>
    </row>
    <row r="730" spans="6:13" x14ac:dyDescent="0.4">
      <c r="F730" s="1">
        <v>43556</v>
      </c>
      <c r="G730" s="16">
        <v>413.52</v>
      </c>
      <c r="H730" s="16">
        <f>_A*F730*F730+_B*F730+_C</f>
        <v>409.91054000259248</v>
      </c>
      <c r="I730">
        <f t="shared" si="44"/>
        <v>4</v>
      </c>
      <c r="J730" s="16" cm="1">
        <f t="array" ref="J730">INDEX(Sm,I730)</f>
        <v>2.6103146033777413</v>
      </c>
      <c r="K730" s="16">
        <f t="shared" si="45"/>
        <v>412.52085460597021</v>
      </c>
      <c r="L730" s="16">
        <f t="shared" si="46"/>
        <v>-0.99914539402976743</v>
      </c>
      <c r="M730" s="16">
        <f t="shared" si="47"/>
        <v>0.99829151841089925</v>
      </c>
    </row>
    <row r="731" spans="6:13" x14ac:dyDescent="0.4">
      <c r="F731" s="1">
        <v>43586</v>
      </c>
      <c r="G731" s="16">
        <v>414.83</v>
      </c>
      <c r="H731" s="16">
        <f>_A*F731*F731+_B*F731+_C</f>
        <v>410.1043959620103</v>
      </c>
      <c r="I731">
        <f t="shared" si="44"/>
        <v>5</v>
      </c>
      <c r="J731" s="16" cm="1">
        <f t="array" ref="J731">INDEX(Sm,I731)</f>
        <v>3.065687851218776</v>
      </c>
      <c r="K731" s="16">
        <f t="shared" si="45"/>
        <v>413.1700838132291</v>
      </c>
      <c r="L731" s="16">
        <f t="shared" si="46"/>
        <v>-1.6599161867708858</v>
      </c>
      <c r="M731" s="16">
        <f t="shared" si="47"/>
        <v>2.7553217471039981</v>
      </c>
    </row>
    <row r="732" spans="6:13" x14ac:dyDescent="0.4">
      <c r="F732" s="1">
        <v>43617</v>
      </c>
      <c r="G732" s="16">
        <v>413.96</v>
      </c>
      <c r="H732" s="16">
        <f>_A*F732*F732+_B*F732+_C</f>
        <v>410.30489919420671</v>
      </c>
      <c r="I732">
        <f t="shared" si="44"/>
        <v>6</v>
      </c>
      <c r="J732" s="16" cm="1">
        <f t="array" ref="J732">INDEX(Sm,I732)</f>
        <v>2.3467878996384672</v>
      </c>
      <c r="K732" s="16">
        <f t="shared" si="45"/>
        <v>412.65168709384517</v>
      </c>
      <c r="L732" s="16">
        <f t="shared" si="46"/>
        <v>-1.3083129061548107</v>
      </c>
      <c r="M732" s="16">
        <f t="shared" si="47"/>
        <v>1.7116826604112465</v>
      </c>
    </row>
    <row r="733" spans="6:13" x14ac:dyDescent="0.4">
      <c r="F733" s="1">
        <v>43647</v>
      </c>
      <c r="G733" s="16">
        <v>411.85</v>
      </c>
      <c r="H733" s="16">
        <f>_A*F733*F733+_B*F733+_C</f>
        <v>410.49911400678201</v>
      </c>
      <c r="I733">
        <f t="shared" si="44"/>
        <v>7</v>
      </c>
      <c r="J733" s="16" cm="1">
        <f t="array" ref="J733">INDEX(Sm,I733)</f>
        <v>0.7237382709437985</v>
      </c>
      <c r="K733" s="16">
        <f t="shared" si="45"/>
        <v>411.22285227772579</v>
      </c>
      <c r="L733" s="16">
        <f t="shared" si="46"/>
        <v>-0.62714772227423055</v>
      </c>
      <c r="M733" s="16">
        <f t="shared" si="47"/>
        <v>0.39331426555375543</v>
      </c>
    </row>
    <row r="734" spans="6:13" x14ac:dyDescent="0.4">
      <c r="F734" s="1">
        <v>43678</v>
      </c>
      <c r="G734" s="16">
        <v>410.08</v>
      </c>
      <c r="H734" s="16">
        <f>_A*F734*F734+_B*F734+_C</f>
        <v>410.69998805390776</v>
      </c>
      <c r="I734">
        <f t="shared" si="44"/>
        <v>8</v>
      </c>
      <c r="J734" s="16" cm="1">
        <f t="array" ref="J734">INDEX(Sm,I734)</f>
        <v>-1.3971602754957855</v>
      </c>
      <c r="K734" s="16">
        <f t="shared" si="45"/>
        <v>409.302827778412</v>
      </c>
      <c r="L734" s="16">
        <f t="shared" si="46"/>
        <v>-0.77717222158798904</v>
      </c>
      <c r="M734" s="16">
        <f t="shared" si="47"/>
        <v>0.60399666200801039</v>
      </c>
    </row>
    <row r="735" spans="6:13" x14ac:dyDescent="0.4">
      <c r="F735" s="1">
        <v>43709</v>
      </c>
      <c r="G735" s="16">
        <v>408.55</v>
      </c>
      <c r="H735" s="16">
        <f>_A*F735*F735+_B*F735+_C</f>
        <v>410.90105054796481</v>
      </c>
      <c r="I735">
        <f t="shared" si="44"/>
        <v>9</v>
      </c>
      <c r="J735" s="16" cm="1">
        <f t="array" ref="J735">INDEX(Sm,I735)</f>
        <v>-3.1930865292764237</v>
      </c>
      <c r="K735" s="16">
        <f t="shared" si="45"/>
        <v>407.70796401868841</v>
      </c>
      <c r="L735" s="16">
        <f t="shared" si="46"/>
        <v>-0.84203598131159652</v>
      </c>
      <c r="M735" s="16">
        <f t="shared" si="47"/>
        <v>0.70902459382338334</v>
      </c>
    </row>
    <row r="736" spans="6:13" x14ac:dyDescent="0.4">
      <c r="F736" s="1">
        <v>43739</v>
      </c>
      <c r="G736" s="16">
        <v>408.43</v>
      </c>
      <c r="H736" s="16">
        <f>_A*F736*F736+_B*F736+_C</f>
        <v>411.09580658169557</v>
      </c>
      <c r="I736">
        <f t="shared" si="44"/>
        <v>10</v>
      </c>
      <c r="J736" s="16" cm="1">
        <f t="array" ref="J736">INDEX(Sm,I736)</f>
        <v>-3.3364130058083399</v>
      </c>
      <c r="K736" s="16">
        <f t="shared" si="45"/>
        <v>407.7593935758872</v>
      </c>
      <c r="L736" s="16">
        <f t="shared" si="46"/>
        <v>-0.67060642411280469</v>
      </c>
      <c r="M736" s="16">
        <f t="shared" si="47"/>
        <v>0.4497129760613629</v>
      </c>
    </row>
    <row r="737" spans="6:13" x14ac:dyDescent="0.4">
      <c r="F737" s="1">
        <v>43770</v>
      </c>
      <c r="G737" s="16">
        <v>410.29</v>
      </c>
      <c r="H737" s="16">
        <f>_A*F737*F737+_B*F737+_C</f>
        <v>411.29723989068202</v>
      </c>
      <c r="I737">
        <f t="shared" si="44"/>
        <v>11</v>
      </c>
      <c r="J737" s="16" cm="1">
        <f t="array" ref="J737">INDEX(Sm,I737)</f>
        <v>-2.0587659563291303</v>
      </c>
      <c r="K737" s="16">
        <f t="shared" si="45"/>
        <v>409.2384739343529</v>
      </c>
      <c r="L737" s="16">
        <f t="shared" si="46"/>
        <v>-1.0515260656471241</v>
      </c>
      <c r="M737" s="16">
        <f t="shared" si="47"/>
        <v>1.1057070667353199</v>
      </c>
    </row>
    <row r="738" spans="6:13" x14ac:dyDescent="0.4">
      <c r="F738" s="1">
        <v>43800</v>
      </c>
      <c r="G738" s="16">
        <v>411.85</v>
      </c>
      <c r="H738" s="16">
        <f>_A*F738*F738+_B*F738+_C</f>
        <v>411.49235477757014</v>
      </c>
      <c r="I738">
        <f t="shared" si="44"/>
        <v>12</v>
      </c>
      <c r="J738" s="16" cm="1">
        <f t="array" ref="J738">INDEX(Sm,I738)</f>
        <v>-0.89092746411398172</v>
      </c>
      <c r="K738" s="16">
        <f t="shared" si="45"/>
        <v>410.60142731345616</v>
      </c>
      <c r="L738" s="16">
        <f t="shared" si="46"/>
        <v>-1.2485726865438664</v>
      </c>
      <c r="M738" s="16">
        <f t="shared" si="47"/>
        <v>1.5589337535833681</v>
      </c>
    </row>
    <row r="739" spans="6:13" x14ac:dyDescent="0.4">
      <c r="F739" s="1">
        <v>43831</v>
      </c>
      <c r="G739" s="16">
        <v>413.37</v>
      </c>
      <c r="H739" s="16">
        <f>_A*F739*F739+_B*F739+_C</f>
        <v>411.69415890148588</v>
      </c>
      <c r="I739">
        <f t="shared" si="44"/>
        <v>1</v>
      </c>
      <c r="J739" s="16" cm="1">
        <f t="array" ref="J739">INDEX(Sm,I739)</f>
        <v>6.1437948016995841E-2</v>
      </c>
      <c r="K739" s="16">
        <f t="shared" si="45"/>
        <v>411.75559684950287</v>
      </c>
      <c r="L739" s="16">
        <f t="shared" si="46"/>
        <v>-1.6144031504971394</v>
      </c>
      <c r="M739" s="16">
        <f t="shared" si="47"/>
        <v>2.6062975323350894</v>
      </c>
    </row>
    <row r="740" spans="6:13" x14ac:dyDescent="0.4">
      <c r="F740" s="1">
        <v>43862</v>
      </c>
      <c r="G740" s="16">
        <v>414.09</v>
      </c>
      <c r="H740" s="16">
        <f>_A*F740*F740+_B*F740+_C</f>
        <v>411.89615147233292</v>
      </c>
      <c r="I740">
        <f t="shared" si="44"/>
        <v>2</v>
      </c>
      <c r="J740" s="16" cm="1">
        <f t="array" ref="J740">INDEX(Sm,I740)</f>
        <v>0.69461918939657585</v>
      </c>
      <c r="K740" s="16">
        <f t="shared" si="45"/>
        <v>412.59077066172949</v>
      </c>
      <c r="L740" s="16">
        <f t="shared" si="46"/>
        <v>-1.4992293382704815</v>
      </c>
      <c r="M740" s="16">
        <f t="shared" si="47"/>
        <v>2.2476886087309458</v>
      </c>
    </row>
    <row r="741" spans="6:13" x14ac:dyDescent="0.4">
      <c r="F741" s="1">
        <v>43891</v>
      </c>
      <c r="G741" s="16">
        <v>414.51</v>
      </c>
      <c r="H741" s="16">
        <f>_A*F741*F741+_B*F741+_C</f>
        <v>412.08528286673641</v>
      </c>
      <c r="I741">
        <f t="shared" si="44"/>
        <v>3</v>
      </c>
      <c r="J741" s="16" cm="1">
        <f t="array" ref="J741">INDEX(Sm,I741)</f>
        <v>1.3737674684313066</v>
      </c>
      <c r="K741" s="16">
        <f t="shared" si="45"/>
        <v>413.45905033516772</v>
      </c>
      <c r="L741" s="16">
        <f t="shared" si="46"/>
        <v>-1.0509496648322738</v>
      </c>
      <c r="M741" s="16">
        <f t="shared" si="47"/>
        <v>1.1044951980110687</v>
      </c>
    </row>
    <row r="742" spans="6:13" x14ac:dyDescent="0.4">
      <c r="F742" s="1">
        <v>43922</v>
      </c>
      <c r="G742" s="16">
        <v>416.18</v>
      </c>
      <c r="H742" s="16">
        <f>_A*F742*F742+_B*F742+_C</f>
        <v>412.28764017357946</v>
      </c>
      <c r="I742">
        <f t="shared" si="44"/>
        <v>4</v>
      </c>
      <c r="J742" s="16" cm="1">
        <f t="array" ref="J742">INDEX(Sm,I742)</f>
        <v>2.6103146033777413</v>
      </c>
      <c r="K742" s="16">
        <f t="shared" si="45"/>
        <v>414.89795477695719</v>
      </c>
      <c r="L742" s="16">
        <f t="shared" si="46"/>
        <v>-1.2820452230428145</v>
      </c>
      <c r="M742" s="16">
        <f t="shared" si="47"/>
        <v>1.6436399539269</v>
      </c>
    </row>
    <row r="743" spans="6:13" x14ac:dyDescent="0.4">
      <c r="F743" s="1">
        <v>43952</v>
      </c>
      <c r="H743" s="16">
        <f>_A*F743*F743+_B*F743+_C</f>
        <v>412.48364925194181</v>
      </c>
      <c r="I743">
        <f t="shared" si="44"/>
        <v>5</v>
      </c>
      <c r="J743" s="16" cm="1">
        <f t="array" ref="J743">INDEX(Sm,I743)</f>
        <v>3.065687851218776</v>
      </c>
      <c r="K743" s="16">
        <f t="shared" si="45"/>
        <v>415.54933710316061</v>
      </c>
    </row>
    <row r="744" spans="6:13" x14ac:dyDescent="0.4">
      <c r="F744" s="1">
        <v>43983</v>
      </c>
      <c r="H744" s="16">
        <f>_A*F744*F744+_B*F744+_C</f>
        <v>412.68637737371427</v>
      </c>
      <c r="I744">
        <f t="shared" si="44"/>
        <v>6</v>
      </c>
      <c r="J744" s="16" cm="1">
        <f t="array" ref="J744">INDEX(Sm,I744)</f>
        <v>2.3467878996384672</v>
      </c>
      <c r="K744" s="16">
        <f t="shared" si="45"/>
        <v>415.03316527335272</v>
      </c>
    </row>
    <row r="745" spans="6:13" x14ac:dyDescent="0.4">
      <c r="F745" s="1">
        <v>44013</v>
      </c>
      <c r="H745" s="16">
        <f>_A*F745*F745+_B*F745+_C</f>
        <v>412.88274530523404</v>
      </c>
      <c r="I745">
        <f t="shared" si="44"/>
        <v>7</v>
      </c>
      <c r="J745" s="16" cm="1">
        <f t="array" ref="J745">INDEX(Sm,I745)</f>
        <v>0.7237382709437985</v>
      </c>
      <c r="K745" s="16">
        <f t="shared" si="45"/>
        <v>413.60648357617782</v>
      </c>
    </row>
    <row r="746" spans="6:13" x14ac:dyDescent="0.4">
      <c r="F746" s="1">
        <v>44044</v>
      </c>
      <c r="H746" s="16">
        <f>_A*F746*F746+_B*F746+_C</f>
        <v>413.08584424193583</v>
      </c>
      <c r="I746">
        <f t="shared" si="44"/>
        <v>8</v>
      </c>
      <c r="J746" s="16" cm="1">
        <f t="array" ref="J746">INDEX(Sm,I746)</f>
        <v>-1.3971602754957855</v>
      </c>
      <c r="K746" s="16">
        <f t="shared" si="45"/>
        <v>411.68868396644007</v>
      </c>
    </row>
    <row r="747" spans="6:13" x14ac:dyDescent="0.4">
      <c r="F747" s="1">
        <v>44075</v>
      </c>
      <c r="H747" s="16">
        <f>_A*F747*F747+_B*F747+_C</f>
        <v>413.28913162556893</v>
      </c>
      <c r="I747">
        <f t="shared" si="44"/>
        <v>9</v>
      </c>
      <c r="J747" s="16" cm="1">
        <f t="array" ref="J747">INDEX(Sm,I747)</f>
        <v>-3.1930865292764237</v>
      </c>
      <c r="K747" s="16">
        <f t="shared" si="45"/>
        <v>410.09604509629253</v>
      </c>
    </row>
    <row r="748" spans="6:13" x14ac:dyDescent="0.4">
      <c r="F748" s="1">
        <v>44105</v>
      </c>
      <c r="H748" s="16">
        <f>_A*F748*F748+_B*F748+_C</f>
        <v>413.48604077824416</v>
      </c>
      <c r="I748">
        <f t="shared" si="44"/>
        <v>10</v>
      </c>
      <c r="J748" s="16" cm="1">
        <f t="array" ref="J748">INDEX(Sm,I748)</f>
        <v>-3.3364130058083399</v>
      </c>
      <c r="K748" s="16">
        <f t="shared" si="45"/>
        <v>410.14962777243579</v>
      </c>
    </row>
    <row r="749" spans="6:13" x14ac:dyDescent="0.4">
      <c r="F749" s="1">
        <v>44136</v>
      </c>
      <c r="H749" s="16">
        <f>_A*F749*F749+_B*F749+_C</f>
        <v>413.68969897680654</v>
      </c>
      <c r="I749">
        <f t="shared" si="44"/>
        <v>11</v>
      </c>
      <c r="J749" s="16" cm="1">
        <f t="array" ref="J749">INDEX(Sm,I749)</f>
        <v>-2.0587659563291303</v>
      </c>
      <c r="K749" s="16">
        <f t="shared" si="45"/>
        <v>411.63093302047741</v>
      </c>
    </row>
    <row r="750" spans="6:13" x14ac:dyDescent="0.4">
      <c r="F750" s="1">
        <v>44166</v>
      </c>
      <c r="H750" s="16">
        <f>_A*F750*F750+_B*F750+_C</f>
        <v>413.88696698263919</v>
      </c>
      <c r="I750">
        <f t="shared" si="44"/>
        <v>12</v>
      </c>
      <c r="J750" s="16" cm="1">
        <f t="array" ref="J750">INDEX(Sm,I750)</f>
        <v>-0.89092746411398172</v>
      </c>
      <c r="K750" s="16">
        <f t="shared" si="45"/>
        <v>412.99603951852521</v>
      </c>
    </row>
    <row r="751" spans="6:13" x14ac:dyDescent="0.4">
      <c r="F751" s="1">
        <v>44197</v>
      </c>
      <c r="H751" s="16">
        <f>_A*F751*F751+_B*F751+_C</f>
        <v>414.09099599613091</v>
      </c>
      <c r="I751">
        <f t="shared" si="44"/>
        <v>1</v>
      </c>
      <c r="J751" s="16" cm="1">
        <f t="array" ref="J751">INDEX(Sm,I751)</f>
        <v>6.1437948016995841E-2</v>
      </c>
      <c r="K751" s="16">
        <f t="shared" si="45"/>
        <v>414.1524339441479</v>
      </c>
    </row>
    <row r="752" spans="6:13" x14ac:dyDescent="0.4">
      <c r="F752" s="1">
        <v>44228</v>
      </c>
      <c r="H752" s="16">
        <f>_A*F752*F752+_B*F752+_C</f>
        <v>414.29521345655394</v>
      </c>
      <c r="I752">
        <f t="shared" si="44"/>
        <v>2</v>
      </c>
      <c r="J752" s="16" cm="1">
        <f t="array" ref="J752">INDEX(Sm,I752)</f>
        <v>0.69461918939657585</v>
      </c>
      <c r="K752" s="16">
        <f t="shared" si="45"/>
        <v>414.98983264595051</v>
      </c>
    </row>
    <row r="753" spans="6:11" x14ac:dyDescent="0.4">
      <c r="F753" s="1">
        <v>44256</v>
      </c>
      <c r="H753" s="16">
        <f>_A*F753*F753+_B*F753+_C</f>
        <v>414.47982991109342</v>
      </c>
      <c r="I753">
        <f t="shared" si="44"/>
        <v>3</v>
      </c>
      <c r="J753" s="16" cm="1">
        <f t="array" ref="J753">INDEX(Sm,I753)</f>
        <v>1.3737674684313066</v>
      </c>
      <c r="K753" s="16">
        <f t="shared" si="45"/>
        <v>415.85359737952473</v>
      </c>
    </row>
    <row r="754" spans="6:11" x14ac:dyDescent="0.4">
      <c r="F754" s="1">
        <v>44287</v>
      </c>
      <c r="H754" s="16">
        <f>_A*F754*F754+_B*F754+_C</f>
        <v>414.6844060285793</v>
      </c>
      <c r="I754">
        <f t="shared" si="44"/>
        <v>4</v>
      </c>
      <c r="J754" s="16" cm="1">
        <f t="array" ref="J754">INDEX(Sm,I754)</f>
        <v>2.6103146033777413</v>
      </c>
      <c r="K754" s="16">
        <f t="shared" si="45"/>
        <v>417.29472063195703</v>
      </c>
    </row>
    <row r="755" spans="6:11" x14ac:dyDescent="0.4">
      <c r="F755" s="1">
        <v>44317</v>
      </c>
      <c r="H755" s="16">
        <f>_A*F755*F755+_B*F755+_C</f>
        <v>414.88256234304754</v>
      </c>
      <c r="I755">
        <f t="shared" si="44"/>
        <v>5</v>
      </c>
      <c r="J755" s="16" cm="1">
        <f t="array" ref="J755">INDEX(Sm,I755)</f>
        <v>3.065687851218776</v>
      </c>
      <c r="K755" s="16">
        <f t="shared" si="45"/>
        <v>417.94825019426634</v>
      </c>
    </row>
    <row r="756" spans="6:11" x14ac:dyDescent="0.4">
      <c r="F756" s="1">
        <v>44348</v>
      </c>
      <c r="H756" s="16">
        <f>_A*F756*F756+_B*F756+_C</f>
        <v>415.08750927546271</v>
      </c>
      <c r="I756">
        <f t="shared" si="44"/>
        <v>6</v>
      </c>
      <c r="J756" s="16" cm="1">
        <f t="array" ref="J756">INDEX(Sm,I756)</f>
        <v>2.3467878996384672</v>
      </c>
      <c r="K756" s="16">
        <f t="shared" si="45"/>
        <v>417.43429717510116</v>
      </c>
    </row>
    <row r="757" spans="6:11" x14ac:dyDescent="0.4">
      <c r="F757" s="1">
        <v>44378</v>
      </c>
      <c r="H757" s="16">
        <f>_A*F757*F757+_B*F757+_C</f>
        <v>415.28602444308831</v>
      </c>
      <c r="I757">
        <f t="shared" si="44"/>
        <v>7</v>
      </c>
      <c r="J757" s="16" cm="1">
        <f t="array" ref="J757">INDEX(Sm,I757)</f>
        <v>0.7237382709437985</v>
      </c>
      <c r="K757" s="16">
        <f t="shared" si="45"/>
        <v>416.00976271403209</v>
      </c>
    </row>
    <row r="758" spans="6:11" x14ac:dyDescent="0.4">
      <c r="F758" s="1">
        <v>44409</v>
      </c>
      <c r="H758" s="16">
        <f>_A*F758*F758+_B*F758+_C</f>
        <v>415.49134219043282</v>
      </c>
      <c r="I758">
        <f t="shared" si="44"/>
        <v>8</v>
      </c>
      <c r="J758" s="16" cm="1">
        <f t="array" ref="J758">INDEX(Sm,I758)</f>
        <v>-1.3971602754957855</v>
      </c>
      <c r="K758" s="16">
        <f t="shared" si="45"/>
        <v>414.09418191493705</v>
      </c>
    </row>
    <row r="759" spans="6:11" x14ac:dyDescent="0.4">
      <c r="F759" s="1">
        <v>44440</v>
      </c>
      <c r="H759" s="16">
        <f>_A*F759*F759+_B*F759+_C</f>
        <v>415.69684838470857</v>
      </c>
      <c r="I759">
        <f t="shared" si="44"/>
        <v>9</v>
      </c>
      <c r="J759" s="16" cm="1">
        <f t="array" ref="J759">INDEX(Sm,I759)</f>
        <v>-3.1930865292764237</v>
      </c>
      <c r="K759" s="16">
        <f t="shared" si="45"/>
        <v>412.50376185543217</v>
      </c>
    </row>
    <row r="760" spans="6:11" x14ac:dyDescent="0.4">
      <c r="F760" s="1">
        <v>44470</v>
      </c>
      <c r="H760" s="16">
        <f>_A*F760*F760+_B*F760+_C</f>
        <v>415.89590477348975</v>
      </c>
      <c r="I760">
        <f t="shared" si="44"/>
        <v>10</v>
      </c>
      <c r="J760" s="16" cm="1">
        <f t="array" ref="J760">INDEX(Sm,I760)</f>
        <v>-3.3364130058083399</v>
      </c>
      <c r="K760" s="16">
        <f t="shared" si="45"/>
        <v>412.55949176768138</v>
      </c>
    </row>
    <row r="761" spans="6:11" x14ac:dyDescent="0.4">
      <c r="F761" s="1">
        <v>44501</v>
      </c>
      <c r="H761" s="16">
        <f>_A*F761*F761+_B*F761+_C</f>
        <v>416.10178178269484</v>
      </c>
      <c r="I761">
        <f t="shared" si="44"/>
        <v>11</v>
      </c>
      <c r="J761" s="16" cm="1">
        <f t="array" ref="J761">INDEX(Sm,I761)</f>
        <v>-2.0587659563291303</v>
      </c>
      <c r="K761" s="16">
        <f t="shared" si="45"/>
        <v>414.04301582636572</v>
      </c>
    </row>
    <row r="762" spans="6:11" x14ac:dyDescent="0.4">
      <c r="F762" s="1">
        <v>44531</v>
      </c>
      <c r="H762" s="16">
        <f>_A*F762*F762+_B*F762+_C</f>
        <v>416.30119702463338</v>
      </c>
      <c r="I762">
        <f t="shared" si="44"/>
        <v>12</v>
      </c>
      <c r="J762" s="16" cm="1">
        <f t="array" ref="J762">INDEX(Sm,I762)</f>
        <v>-0.89092746411398172</v>
      </c>
      <c r="K762" s="16">
        <f t="shared" si="45"/>
        <v>415.4102695605194</v>
      </c>
    </row>
    <row r="763" spans="6:11" x14ac:dyDescent="0.4">
      <c r="F763" s="1">
        <v>44562</v>
      </c>
      <c r="H763" s="16">
        <f>_A*F763*F763+_B*F763+_C</f>
        <v>416.50744484876782</v>
      </c>
      <c r="I763">
        <f t="shared" si="44"/>
        <v>1</v>
      </c>
      <c r="J763" s="16" cm="1">
        <f t="array" ref="J763">INDEX(Sm,I763)</f>
        <v>6.1437948016995841E-2</v>
      </c>
      <c r="K763" s="16">
        <f t="shared" si="45"/>
        <v>416.56888279678481</v>
      </c>
    </row>
    <row r="764" spans="6:11" x14ac:dyDescent="0.4">
      <c r="F764" s="1">
        <v>44593</v>
      </c>
      <c r="H764" s="16">
        <f>_A*F764*F764+_B*F764+_C</f>
        <v>416.71388111983362</v>
      </c>
      <c r="I764">
        <f t="shared" si="44"/>
        <v>2</v>
      </c>
      <c r="J764" s="16" cm="1">
        <f t="array" ref="J764">INDEX(Sm,I764)</f>
        <v>0.69461918939657585</v>
      </c>
      <c r="K764" s="16">
        <f t="shared" si="45"/>
        <v>417.40850030923019</v>
      </c>
    </row>
    <row r="765" spans="6:11" x14ac:dyDescent="0.4">
      <c r="F765" s="1">
        <v>44621</v>
      </c>
      <c r="H765" s="16">
        <f>_A*F765*F765+_B*F765+_C</f>
        <v>416.90050166140526</v>
      </c>
      <c r="I765">
        <f t="shared" si="44"/>
        <v>3</v>
      </c>
      <c r="J765" s="16" cm="1">
        <f t="array" ref="J765">INDEX(Sm,I765)</f>
        <v>1.3737674684313066</v>
      </c>
      <c r="K765" s="16">
        <f t="shared" si="45"/>
        <v>418.27426912983657</v>
      </c>
    </row>
    <row r="766" spans="6:11" x14ac:dyDescent="0.4">
      <c r="F766" s="1">
        <v>44652</v>
      </c>
      <c r="H766" s="16">
        <f>_A*F766*F766+_B*F766+_C</f>
        <v>417.1072965895338</v>
      </c>
      <c r="I766">
        <f t="shared" si="44"/>
        <v>4</v>
      </c>
      <c r="J766" s="16" cm="1">
        <f t="array" ref="J766">INDEX(Sm,I766)</f>
        <v>2.6103146033777413</v>
      </c>
      <c r="K766" s="16">
        <f t="shared" si="45"/>
        <v>419.71761119291153</v>
      </c>
    </row>
    <row r="767" spans="6:11" x14ac:dyDescent="0.4">
      <c r="F767" s="1">
        <v>44682</v>
      </c>
      <c r="H767" s="16">
        <f>_A*F767*F767+_B*F767+_C</f>
        <v>417.30760014010787</v>
      </c>
      <c r="I767">
        <f t="shared" si="44"/>
        <v>5</v>
      </c>
      <c r="J767" s="16" cm="1">
        <f t="array" ref="J767">INDEX(Sm,I767)</f>
        <v>3.065687851218776</v>
      </c>
      <c r="K767" s="16">
        <f t="shared" si="45"/>
        <v>420.37328799132666</v>
      </c>
    </row>
    <row r="768" spans="6:11" x14ac:dyDescent="0.4">
      <c r="F768" s="1">
        <v>44713</v>
      </c>
      <c r="H768" s="16">
        <f>_A*F768*F768+_B*F768+_C</f>
        <v>417.51476588316581</v>
      </c>
      <c r="I768">
        <f t="shared" si="44"/>
        <v>6</v>
      </c>
      <c r="J768" s="16" cm="1">
        <f t="array" ref="J768">INDEX(Sm,I768)</f>
        <v>2.3467878996384672</v>
      </c>
      <c r="K768" s="16">
        <f t="shared" si="45"/>
        <v>419.86155378280426</v>
      </c>
    </row>
    <row r="769" spans="6:11" x14ac:dyDescent="0.4">
      <c r="F769" s="1">
        <v>44743</v>
      </c>
      <c r="H769" s="16">
        <f>_A*F769*F769+_B*F769+_C</f>
        <v>417.71542828689735</v>
      </c>
      <c r="I769">
        <f t="shared" si="44"/>
        <v>7</v>
      </c>
      <c r="J769" s="16" cm="1">
        <f t="array" ref="J769">INDEX(Sm,I769)</f>
        <v>0.7237382709437985</v>
      </c>
      <c r="K769" s="16">
        <f t="shared" si="45"/>
        <v>418.43916655784113</v>
      </c>
    </row>
    <row r="770" spans="6:11" x14ac:dyDescent="0.4">
      <c r="F770" s="1">
        <v>44774</v>
      </c>
      <c r="H770" s="16">
        <f>_A*F770*F770+_B*F770+_C</f>
        <v>417.92296484488452</v>
      </c>
      <c r="I770">
        <f t="shared" si="44"/>
        <v>8</v>
      </c>
      <c r="J770" s="16" cm="1">
        <f t="array" ref="J770">INDEX(Sm,I770)</f>
        <v>-1.3971602754957855</v>
      </c>
      <c r="K770" s="16">
        <f t="shared" si="45"/>
        <v>416.52580456938875</v>
      </c>
    </row>
    <row r="771" spans="6:11" x14ac:dyDescent="0.4">
      <c r="F771" s="1">
        <v>44805</v>
      </c>
      <c r="H771" s="16">
        <f>_A*F771*F771+_B*F771+_C</f>
        <v>418.13068984980305</v>
      </c>
      <c r="I771">
        <f t="shared" ref="I771:I834" si="48">MONTH(F771)</f>
        <v>9</v>
      </c>
      <c r="J771" s="16" cm="1">
        <f t="array" ref="J771">INDEX(Sm,I771)</f>
        <v>-3.1930865292764237</v>
      </c>
      <c r="K771" s="16">
        <f t="shared" ref="K771:K834" si="49">H771+J771</f>
        <v>414.93760332052665</v>
      </c>
    </row>
    <row r="772" spans="6:11" x14ac:dyDescent="0.4">
      <c r="F772" s="1">
        <v>44835</v>
      </c>
      <c r="H772" s="16">
        <f>_A*F772*F772+_B*F772+_C</f>
        <v>418.33189347469005</v>
      </c>
      <c r="I772">
        <f t="shared" si="48"/>
        <v>10</v>
      </c>
      <c r="J772" s="16" cm="1">
        <f t="array" ref="J772">INDEX(Sm,I772)</f>
        <v>-3.3364130058083399</v>
      </c>
      <c r="K772" s="16">
        <f t="shared" si="49"/>
        <v>414.99548046888168</v>
      </c>
    </row>
    <row r="773" spans="6:11" x14ac:dyDescent="0.4">
      <c r="F773" s="1">
        <v>44866</v>
      </c>
      <c r="H773" s="16">
        <f>_A*F773*F773+_B*F773+_C</f>
        <v>418.53998929453792</v>
      </c>
      <c r="I773">
        <f t="shared" si="48"/>
        <v>11</v>
      </c>
      <c r="J773" s="16" cm="1">
        <f t="array" ref="J773">INDEX(Sm,I773)</f>
        <v>-2.0587659563291303</v>
      </c>
      <c r="K773" s="16">
        <f t="shared" si="49"/>
        <v>416.48122333820879</v>
      </c>
    </row>
    <row r="774" spans="6:11" x14ac:dyDescent="0.4">
      <c r="F774" s="1">
        <v>44896</v>
      </c>
      <c r="H774" s="16">
        <f>_A*F774*F774+_B*F774+_C</f>
        <v>418.74155177258228</v>
      </c>
      <c r="I774">
        <f t="shared" si="48"/>
        <v>12</v>
      </c>
      <c r="J774" s="16" cm="1">
        <f t="array" ref="J774">INDEX(Sm,I774)</f>
        <v>-0.89092746411398172</v>
      </c>
      <c r="K774" s="16">
        <f t="shared" si="49"/>
        <v>417.8506243084683</v>
      </c>
    </row>
    <row r="775" spans="6:11" x14ac:dyDescent="0.4">
      <c r="F775" s="1">
        <v>44927</v>
      </c>
      <c r="H775" s="16">
        <f>_A*F775*F775+_B*F775+_C</f>
        <v>418.95001840735949</v>
      </c>
      <c r="I775">
        <f t="shared" si="48"/>
        <v>1</v>
      </c>
      <c r="J775" s="16" cm="1">
        <f t="array" ref="J775">INDEX(Sm,I775)</f>
        <v>6.1437948016995841E-2</v>
      </c>
      <c r="K775" s="16">
        <f t="shared" si="49"/>
        <v>419.01145635537648</v>
      </c>
    </row>
    <row r="776" spans="6:11" x14ac:dyDescent="0.4">
      <c r="F776" s="1">
        <v>44958</v>
      </c>
      <c r="H776" s="16">
        <f>_A*F776*F776+_B*F776+_C</f>
        <v>419.15867348906795</v>
      </c>
      <c r="I776">
        <f t="shared" si="48"/>
        <v>2</v>
      </c>
      <c r="J776" s="16" cm="1">
        <f t="array" ref="J776">INDEX(Sm,I776)</f>
        <v>0.69461918939657585</v>
      </c>
      <c r="K776" s="16">
        <f t="shared" si="49"/>
        <v>419.85329267846453</v>
      </c>
    </row>
    <row r="777" spans="6:11" x14ac:dyDescent="0.4">
      <c r="F777" s="1">
        <v>44986</v>
      </c>
      <c r="H777" s="16">
        <f>_A*F777*F777+_B*F777+_C</f>
        <v>419.34729811767176</v>
      </c>
      <c r="I777">
        <f t="shared" si="48"/>
        <v>3</v>
      </c>
      <c r="J777" s="16" cm="1">
        <f t="array" ref="J777">INDEX(Sm,I777)</f>
        <v>1.3737674684313066</v>
      </c>
      <c r="K777" s="16">
        <f t="shared" si="49"/>
        <v>420.72106558610307</v>
      </c>
    </row>
    <row r="778" spans="6:11" x14ac:dyDescent="0.4">
      <c r="F778" s="1">
        <v>45017</v>
      </c>
      <c r="H778" s="16">
        <f>_A*F778*F778+_B*F778+_C</f>
        <v>419.55631185644307</v>
      </c>
      <c r="I778">
        <f t="shared" si="48"/>
        <v>4</v>
      </c>
      <c r="J778" s="16" cm="1">
        <f t="array" ref="J778">INDEX(Sm,I778)</f>
        <v>2.6103146033777413</v>
      </c>
      <c r="K778" s="16">
        <f t="shared" si="49"/>
        <v>422.1666264598208</v>
      </c>
    </row>
    <row r="779" spans="6:11" x14ac:dyDescent="0.4">
      <c r="F779" s="1">
        <v>45047</v>
      </c>
      <c r="H779" s="16">
        <f>_A*F779*F779+_B*F779+_C</f>
        <v>419.75876264312302</v>
      </c>
      <c r="I779">
        <f t="shared" si="48"/>
        <v>5</v>
      </c>
      <c r="J779" s="16" cm="1">
        <f t="array" ref="J779">INDEX(Sm,I779)</f>
        <v>3.065687851218776</v>
      </c>
      <c r="K779" s="16">
        <f t="shared" si="49"/>
        <v>422.82445049434182</v>
      </c>
    </row>
    <row r="780" spans="6:11" x14ac:dyDescent="0.4">
      <c r="F780" s="1">
        <v>45078</v>
      </c>
      <c r="H780" s="16">
        <f>_A*F780*F780+_B*F780+_C</f>
        <v>419.96814719682362</v>
      </c>
      <c r="I780">
        <f t="shared" si="48"/>
        <v>6</v>
      </c>
      <c r="J780" s="16" cm="1">
        <f t="array" ref="J780">INDEX(Sm,I780)</f>
        <v>2.3467878996384672</v>
      </c>
      <c r="K780" s="16">
        <f t="shared" si="49"/>
        <v>422.31493509646208</v>
      </c>
    </row>
    <row r="781" spans="6:11" x14ac:dyDescent="0.4">
      <c r="F781" s="1">
        <v>45108</v>
      </c>
      <c r="H781" s="16">
        <f>_A*F781*F781+_B*F781+_C</f>
        <v>420.17095683666105</v>
      </c>
      <c r="I781">
        <f t="shared" si="48"/>
        <v>7</v>
      </c>
      <c r="J781" s="16" cm="1">
        <f t="array" ref="J781">INDEX(Sm,I781)</f>
        <v>0.7237382709437985</v>
      </c>
      <c r="K781" s="16">
        <f t="shared" si="49"/>
        <v>420.89469510760483</v>
      </c>
    </row>
    <row r="782" spans="6:11" x14ac:dyDescent="0.4">
      <c r="F782" s="1">
        <v>45139</v>
      </c>
      <c r="H782" s="16">
        <f>_A*F782*F782+_B*F782+_C</f>
        <v>420.38071220529099</v>
      </c>
      <c r="I782">
        <f t="shared" si="48"/>
        <v>8</v>
      </c>
      <c r="J782" s="16" cm="1">
        <f t="array" ref="J782">INDEX(Sm,I782)</f>
        <v>-1.3971602754957855</v>
      </c>
      <c r="K782" s="16">
        <f t="shared" si="49"/>
        <v>418.98355192979523</v>
      </c>
    </row>
    <row r="783" spans="6:11" x14ac:dyDescent="0.4">
      <c r="F783" s="1">
        <v>45170</v>
      </c>
      <c r="H783" s="16">
        <f>_A*F783*F783+_B*F783+_C</f>
        <v>420.59065602085224</v>
      </c>
      <c r="I783">
        <f t="shared" si="48"/>
        <v>9</v>
      </c>
      <c r="J783" s="16" cm="1">
        <f t="array" ref="J783">INDEX(Sm,I783)</f>
        <v>-3.1930865292764237</v>
      </c>
      <c r="K783" s="16">
        <f t="shared" si="49"/>
        <v>417.39756949157584</v>
      </c>
    </row>
    <row r="784" spans="6:11" x14ac:dyDescent="0.4">
      <c r="F784" s="1">
        <v>45200</v>
      </c>
      <c r="H784" s="16">
        <f>_A*F784*F784+_B*F784+_C</f>
        <v>420.79400688184506</v>
      </c>
      <c r="I784">
        <f t="shared" si="48"/>
        <v>10</v>
      </c>
      <c r="J784" s="16" cm="1">
        <f t="array" ref="J784">INDEX(Sm,I784)</f>
        <v>-3.3364130058083399</v>
      </c>
      <c r="K784" s="16">
        <f t="shared" si="49"/>
        <v>417.4575938760367</v>
      </c>
    </row>
    <row r="785" spans="6:11" x14ac:dyDescent="0.4">
      <c r="F785" s="1">
        <v>45231</v>
      </c>
      <c r="H785" s="16">
        <f>_A*F785*F785+_B*F785+_C</f>
        <v>421.00432151233565</v>
      </c>
      <c r="I785">
        <f t="shared" si="48"/>
        <v>11</v>
      </c>
      <c r="J785" s="16" cm="1">
        <f t="array" ref="J785">INDEX(Sm,I785)</f>
        <v>-2.0587659563291303</v>
      </c>
      <c r="K785" s="16">
        <f t="shared" si="49"/>
        <v>418.94555555600652</v>
      </c>
    </row>
    <row r="786" spans="6:11" x14ac:dyDescent="0.4">
      <c r="F786" s="1">
        <v>45261</v>
      </c>
      <c r="H786" s="16">
        <f>_A*F786*F786+_B*F786+_C</f>
        <v>421.2080312264859</v>
      </c>
      <c r="I786">
        <f t="shared" si="48"/>
        <v>12</v>
      </c>
      <c r="J786" s="16" cm="1">
        <f t="array" ref="J786">INDEX(Sm,I786)</f>
        <v>-0.89092746411398172</v>
      </c>
      <c r="K786" s="16">
        <f t="shared" si="49"/>
        <v>420.31710376237191</v>
      </c>
    </row>
    <row r="787" spans="6:11" x14ac:dyDescent="0.4">
      <c r="F787" s="1">
        <v>45292</v>
      </c>
      <c r="H787" s="16">
        <f>_A*F787*F787+_B*F787+_C</f>
        <v>421.41871667190583</v>
      </c>
      <c r="I787">
        <f t="shared" si="48"/>
        <v>1</v>
      </c>
      <c r="J787" s="16" cm="1">
        <f t="array" ref="J787">INDEX(Sm,I787)</f>
        <v>6.1437948016995841E-2</v>
      </c>
      <c r="K787" s="16">
        <f t="shared" si="49"/>
        <v>421.48015461992281</v>
      </c>
    </row>
    <row r="788" spans="6:11" x14ac:dyDescent="0.4">
      <c r="F788" s="1">
        <v>45323</v>
      </c>
      <c r="H788" s="16">
        <f>_A*F788*F788+_B*F788+_C</f>
        <v>421.62959056425711</v>
      </c>
      <c r="I788">
        <f t="shared" si="48"/>
        <v>2</v>
      </c>
      <c r="J788" s="16" cm="1">
        <f t="array" ref="J788">INDEX(Sm,I788)</f>
        <v>0.69461918939657585</v>
      </c>
      <c r="K788" s="16">
        <f t="shared" si="49"/>
        <v>422.32420975365369</v>
      </c>
    </row>
    <row r="789" spans="6:11" x14ac:dyDescent="0.4">
      <c r="F789" s="1">
        <v>45352</v>
      </c>
      <c r="H789" s="16">
        <f>_A*F789*F789+_B*F789+_C</f>
        <v>421.82703029168056</v>
      </c>
      <c r="I789">
        <f t="shared" si="48"/>
        <v>3</v>
      </c>
      <c r="J789" s="16" cm="1">
        <f t="array" ref="J789">INDEX(Sm,I789)</f>
        <v>1.3737674684313066</v>
      </c>
      <c r="K789" s="16">
        <f t="shared" si="49"/>
        <v>423.20079776011187</v>
      </c>
    </row>
    <row r="790" spans="6:11" x14ac:dyDescent="0.4">
      <c r="F790" s="1">
        <v>45383</v>
      </c>
      <c r="H790" s="16">
        <f>_A*F790*F790+_B*F790+_C</f>
        <v>422.03826892002786</v>
      </c>
      <c r="I790">
        <f t="shared" si="48"/>
        <v>4</v>
      </c>
      <c r="J790" s="16" cm="1">
        <f t="array" ref="J790">INDEX(Sm,I790)</f>
        <v>2.6103146033777413</v>
      </c>
      <c r="K790" s="16">
        <f t="shared" si="49"/>
        <v>424.64858352340559</v>
      </c>
    </row>
    <row r="791" spans="6:11" x14ac:dyDescent="0.4">
      <c r="F791" s="1">
        <v>45413</v>
      </c>
      <c r="H791" s="16">
        <f>_A*F791*F791+_B*F791+_C</f>
        <v>422.24287282565234</v>
      </c>
      <c r="I791">
        <f t="shared" si="48"/>
        <v>5</v>
      </c>
      <c r="J791" s="16" cm="1">
        <f t="array" ref="J791">INDEX(Sm,I791)</f>
        <v>3.065687851218776</v>
      </c>
      <c r="K791" s="16">
        <f t="shared" si="49"/>
        <v>425.30856067687114</v>
      </c>
    </row>
    <row r="792" spans="6:11" x14ac:dyDescent="0.4">
      <c r="F792" s="1">
        <v>45444</v>
      </c>
      <c r="H792" s="16">
        <f>_A*F792*F792+_B*F792+_C</f>
        <v>422.45448226892898</v>
      </c>
      <c r="I792">
        <f t="shared" si="48"/>
        <v>6</v>
      </c>
      <c r="J792" s="16" cm="1">
        <f t="array" ref="J792">INDEX(Sm,I792)</f>
        <v>2.3467878996384672</v>
      </c>
      <c r="K792" s="16">
        <f t="shared" si="49"/>
        <v>424.80127016856744</v>
      </c>
    </row>
    <row r="793" spans="6:11" x14ac:dyDescent="0.4">
      <c r="F793" s="1">
        <v>45474</v>
      </c>
      <c r="H793" s="16">
        <f>_A*F793*F793+_B*F793+_C</f>
        <v>422.65944502771083</v>
      </c>
      <c r="I793">
        <f t="shared" si="48"/>
        <v>7</v>
      </c>
      <c r="J793" s="16" cm="1">
        <f t="array" ref="J793">INDEX(Sm,I793)</f>
        <v>0.7237382709437985</v>
      </c>
      <c r="K793" s="16">
        <f t="shared" si="49"/>
        <v>423.38318329865461</v>
      </c>
    </row>
    <row r="794" spans="6:11" x14ac:dyDescent="0.4">
      <c r="F794" s="1">
        <v>45505</v>
      </c>
      <c r="H794" s="16">
        <f>_A*F794*F794+_B*F794+_C</f>
        <v>422.87142528591681</v>
      </c>
      <c r="I794">
        <f t="shared" si="48"/>
        <v>8</v>
      </c>
      <c r="J794" s="16" cm="1">
        <f t="array" ref="J794">INDEX(Sm,I794)</f>
        <v>-1.3971602754957855</v>
      </c>
      <c r="K794" s="16">
        <f t="shared" si="49"/>
        <v>421.47426501042105</v>
      </c>
    </row>
    <row r="795" spans="6:11" x14ac:dyDescent="0.4">
      <c r="F795" s="1">
        <v>45536</v>
      </c>
      <c r="H795" s="16">
        <f>_A*F795*F795+_B*F795+_C</f>
        <v>423.0835939910541</v>
      </c>
      <c r="I795">
        <f t="shared" si="48"/>
        <v>9</v>
      </c>
      <c r="J795" s="16" cm="1">
        <f t="array" ref="J795">INDEX(Sm,I795)</f>
        <v>-3.1930865292764237</v>
      </c>
      <c r="K795" s="16">
        <f t="shared" si="49"/>
        <v>419.8905074617777</v>
      </c>
    </row>
    <row r="796" spans="6:11" x14ac:dyDescent="0.4">
      <c r="F796" s="1">
        <v>45566</v>
      </c>
      <c r="H796" s="16">
        <f>_A*F796*F796+_B*F796+_C</f>
        <v>423.28909797099141</v>
      </c>
      <c r="I796">
        <f t="shared" si="48"/>
        <v>10</v>
      </c>
      <c r="J796" s="16" cm="1">
        <f t="array" ref="J796">INDEX(Sm,I796)</f>
        <v>-3.3364130058083399</v>
      </c>
      <c r="K796" s="16">
        <f t="shared" si="49"/>
        <v>419.95268496518304</v>
      </c>
    </row>
    <row r="797" spans="6:11" x14ac:dyDescent="0.4">
      <c r="F797" s="1">
        <v>45597</v>
      </c>
      <c r="H797" s="16">
        <f>_A*F797*F797+_B*F797+_C</f>
        <v>423.50163749105803</v>
      </c>
      <c r="I797">
        <f t="shared" si="48"/>
        <v>11</v>
      </c>
      <c r="J797" s="16" cm="1">
        <f t="array" ref="J797">INDEX(Sm,I797)</f>
        <v>-2.0587659563291303</v>
      </c>
      <c r="K797" s="16">
        <f t="shared" si="49"/>
        <v>421.44287153472891</v>
      </c>
    </row>
    <row r="798" spans="6:11" x14ac:dyDescent="0.4">
      <c r="F798" s="1">
        <v>45627</v>
      </c>
      <c r="H798" s="16">
        <f>_A*F798*F798+_B*F798+_C</f>
        <v>423.70750032415282</v>
      </c>
      <c r="I798">
        <f t="shared" si="48"/>
        <v>12</v>
      </c>
      <c r="J798" s="16" cm="1">
        <f t="array" ref="J798">INDEX(Sm,I798)</f>
        <v>-0.89092746411398172</v>
      </c>
      <c r="K798" s="16">
        <f t="shared" si="49"/>
        <v>422.81657286003883</v>
      </c>
    </row>
    <row r="799" spans="6:11" x14ac:dyDescent="0.4">
      <c r="F799" s="1">
        <v>45658</v>
      </c>
      <c r="H799" s="16">
        <f>_A*F799*F799+_B*F799+_C</f>
        <v>423.92041065914867</v>
      </c>
      <c r="I799">
        <f t="shared" si="48"/>
        <v>1</v>
      </c>
      <c r="J799" s="16" cm="1">
        <f t="array" ref="J799">INDEX(Sm,I799)</f>
        <v>6.1437948016995841E-2</v>
      </c>
      <c r="K799" s="16">
        <f t="shared" si="49"/>
        <v>423.98184860716566</v>
      </c>
    </row>
    <row r="800" spans="6:11" x14ac:dyDescent="0.4">
      <c r="F800" s="1">
        <v>45689</v>
      </c>
      <c r="H800" s="16">
        <f>_A*F800*F800+_B*F800+_C</f>
        <v>424.13350944107594</v>
      </c>
      <c r="I800">
        <f t="shared" si="48"/>
        <v>2</v>
      </c>
      <c r="J800" s="16" cm="1">
        <f t="array" ref="J800">INDEX(Sm,I800)</f>
        <v>0.69461918939657585</v>
      </c>
      <c r="K800" s="16">
        <f t="shared" si="49"/>
        <v>424.82812863047252</v>
      </c>
    </row>
    <row r="801" spans="6:11" x14ac:dyDescent="0.4">
      <c r="F801" s="1">
        <v>45717</v>
      </c>
      <c r="H801" s="16">
        <f>_A*F801*F801+_B*F801+_C</f>
        <v>424.32614773439337</v>
      </c>
      <c r="I801">
        <f t="shared" si="48"/>
        <v>3</v>
      </c>
      <c r="J801" s="16" cm="1">
        <f t="array" ref="J801">INDEX(Sm,I801)</f>
        <v>1.3737674684313066</v>
      </c>
      <c r="K801" s="16">
        <f t="shared" si="49"/>
        <v>425.69991520282468</v>
      </c>
    </row>
    <row r="802" spans="6:11" x14ac:dyDescent="0.4">
      <c r="F802" s="1">
        <v>45748</v>
      </c>
      <c r="H802" s="16">
        <f>_A*F802*F802+_B*F802+_C</f>
        <v>424.53960517338345</v>
      </c>
      <c r="I802">
        <f t="shared" si="48"/>
        <v>4</v>
      </c>
      <c r="J802" s="16" cm="1">
        <f t="array" ref="J802">INDEX(Sm,I802)</f>
        <v>2.6103146033777413</v>
      </c>
      <c r="K802" s="16">
        <f t="shared" si="49"/>
        <v>427.14991977676118</v>
      </c>
    </row>
    <row r="803" spans="6:11" x14ac:dyDescent="0.4">
      <c r="F803" s="1">
        <v>45778</v>
      </c>
      <c r="H803" s="16">
        <f>_A*F803*F803+_B*F803+_C</f>
        <v>424.74635631511376</v>
      </c>
      <c r="I803">
        <f t="shared" si="48"/>
        <v>5</v>
      </c>
      <c r="J803" s="16" cm="1">
        <f t="array" ref="J803">INDEX(Sm,I803)</f>
        <v>3.065687851218776</v>
      </c>
      <c r="K803" s="16">
        <f t="shared" si="49"/>
        <v>427.81204416633256</v>
      </c>
    </row>
    <row r="804" spans="6:11" x14ac:dyDescent="0.4">
      <c r="F804" s="1">
        <v>45809</v>
      </c>
      <c r="H804" s="16">
        <f>_A*F804*F804+_B*F804+_C</f>
        <v>424.96018456903312</v>
      </c>
      <c r="I804">
        <f t="shared" si="48"/>
        <v>6</v>
      </c>
      <c r="J804" s="16" cm="1">
        <f t="array" ref="J804">INDEX(Sm,I804)</f>
        <v>2.3467878996384672</v>
      </c>
      <c r="K804" s="16">
        <f t="shared" si="49"/>
        <v>427.30697246867157</v>
      </c>
    </row>
    <row r="805" spans="6:11" x14ac:dyDescent="0.4">
      <c r="F805" s="1">
        <v>45839</v>
      </c>
      <c r="H805" s="16">
        <f>_A*F805*F805+_B*F805+_C</f>
        <v>425.1672945639209</v>
      </c>
      <c r="I805">
        <f t="shared" si="48"/>
        <v>7</v>
      </c>
      <c r="J805" s="16" cm="1">
        <f t="array" ref="J805">INDEX(Sm,I805)</f>
        <v>0.7237382709437985</v>
      </c>
      <c r="K805" s="16">
        <f t="shared" si="49"/>
        <v>425.89103283486469</v>
      </c>
    </row>
    <row r="806" spans="6:11" x14ac:dyDescent="0.4">
      <c r="F806" s="1">
        <v>45870</v>
      </c>
      <c r="H806" s="16">
        <f>_A*F806*F806+_B*F806+_C</f>
        <v>425.38149363276955</v>
      </c>
      <c r="I806">
        <f t="shared" si="48"/>
        <v>8</v>
      </c>
      <c r="J806" s="16" cm="1">
        <f t="array" ref="J806">INDEX(Sm,I806)</f>
        <v>-1.3971602754957855</v>
      </c>
      <c r="K806" s="16">
        <f t="shared" si="49"/>
        <v>423.98433335727378</v>
      </c>
    </row>
    <row r="807" spans="6:11" x14ac:dyDescent="0.4">
      <c r="F807" s="1">
        <v>45901</v>
      </c>
      <c r="H807" s="16">
        <f>_A*F807*F807+_B*F807+_C</f>
        <v>425.59588114854955</v>
      </c>
      <c r="I807">
        <f t="shared" si="48"/>
        <v>9</v>
      </c>
      <c r="J807" s="16" cm="1">
        <f t="array" ref="J807">INDEX(Sm,I807)</f>
        <v>-3.1930865292764237</v>
      </c>
      <c r="K807" s="16">
        <f t="shared" si="49"/>
        <v>422.40279461927315</v>
      </c>
    </row>
    <row r="808" spans="6:11" x14ac:dyDescent="0.4">
      <c r="F808" s="1">
        <v>45931</v>
      </c>
      <c r="H808" s="16">
        <f>_A*F808*F808+_B*F808+_C</f>
        <v>425.80353236459274</v>
      </c>
      <c r="I808">
        <f t="shared" si="48"/>
        <v>10</v>
      </c>
      <c r="J808" s="16" cm="1">
        <f t="array" ref="J808">INDEX(Sm,I808)</f>
        <v>-3.3364130058083399</v>
      </c>
      <c r="K808" s="16">
        <f t="shared" si="49"/>
        <v>422.46711935878437</v>
      </c>
    </row>
    <row r="809" spans="6:11" x14ac:dyDescent="0.4">
      <c r="F809" s="1">
        <v>45962</v>
      </c>
      <c r="H809" s="16">
        <f>_A*F809*F809+_B*F809+_C</f>
        <v>426.01829069530208</v>
      </c>
      <c r="I809">
        <f t="shared" si="48"/>
        <v>11</v>
      </c>
      <c r="J809" s="16" cm="1">
        <f t="array" ref="J809">INDEX(Sm,I809)</f>
        <v>-2.0587659563291303</v>
      </c>
      <c r="K809" s="16">
        <f t="shared" si="49"/>
        <v>423.95952473897296</v>
      </c>
    </row>
    <row r="810" spans="6:11" x14ac:dyDescent="0.4">
      <c r="F810" s="1">
        <v>45992</v>
      </c>
      <c r="H810" s="16">
        <f>_A*F810*F810+_B*F810+_C</f>
        <v>426.2263007645027</v>
      </c>
      <c r="I810">
        <f t="shared" si="48"/>
        <v>12</v>
      </c>
      <c r="J810" s="16" cm="1">
        <f t="array" ref="J810">INDEX(Sm,I810)</f>
        <v>-0.89092746411398172</v>
      </c>
      <c r="K810" s="16">
        <f t="shared" si="49"/>
        <v>425.33537330038871</v>
      </c>
    </row>
    <row r="811" spans="6:11" x14ac:dyDescent="0.4">
      <c r="F811" s="1">
        <v>46023</v>
      </c>
      <c r="H811" s="16">
        <f>_A*F811*F811+_B*F811+_C</f>
        <v>426.44142991014138</v>
      </c>
      <c r="I811">
        <f t="shared" si="48"/>
        <v>1</v>
      </c>
      <c r="J811" s="16" cm="1">
        <f t="array" ref="J811">INDEX(Sm,I811)</f>
        <v>6.1437948016995841E-2</v>
      </c>
      <c r="K811" s="16">
        <f t="shared" si="49"/>
        <v>426.50286785815837</v>
      </c>
    </row>
    <row r="812" spans="6:11" x14ac:dyDescent="0.4">
      <c r="F812" s="1">
        <v>46054</v>
      </c>
      <c r="H812" s="16">
        <f>_A*F812*F812+_B*F812+_C</f>
        <v>426.65674750271131</v>
      </c>
      <c r="I812">
        <f t="shared" si="48"/>
        <v>2</v>
      </c>
      <c r="J812" s="16" cm="1">
        <f t="array" ref="J812">INDEX(Sm,I812)</f>
        <v>0.69461918939657585</v>
      </c>
      <c r="K812" s="16">
        <f t="shared" si="49"/>
        <v>427.35136669210789</v>
      </c>
    </row>
    <row r="813" spans="6:11" x14ac:dyDescent="0.4">
      <c r="F813" s="1">
        <v>46082</v>
      </c>
      <c r="H813" s="16">
        <f>_A*F813*F813+_B*F813+_C</f>
        <v>426.85138988306096</v>
      </c>
      <c r="I813">
        <f t="shared" si="48"/>
        <v>3</v>
      </c>
      <c r="J813" s="16" cm="1">
        <f t="array" ref="J813">INDEX(Sm,I813)</f>
        <v>1.3737674684313066</v>
      </c>
      <c r="K813" s="16">
        <f t="shared" si="49"/>
        <v>428.22515735149227</v>
      </c>
    </row>
    <row r="814" spans="6:11" x14ac:dyDescent="0.4">
      <c r="F814" s="1">
        <v>46113</v>
      </c>
      <c r="H814" s="16">
        <f>_A*F814*F814+_B*F814+_C</f>
        <v>427.06706613269364</v>
      </c>
      <c r="I814">
        <f t="shared" si="48"/>
        <v>4</v>
      </c>
      <c r="J814" s="16" cm="1">
        <f t="array" ref="J814">INDEX(Sm,I814)</f>
        <v>2.6103146033777413</v>
      </c>
      <c r="K814" s="16">
        <f t="shared" si="49"/>
        <v>429.67738073607137</v>
      </c>
    </row>
    <row r="815" spans="6:11" x14ac:dyDescent="0.4">
      <c r="F815" s="1">
        <v>46143</v>
      </c>
      <c r="H815" s="16">
        <f>_A*F815*F815+_B*F815+_C</f>
        <v>427.27596451052989</v>
      </c>
      <c r="I815">
        <f t="shared" si="48"/>
        <v>5</v>
      </c>
      <c r="J815" s="16" cm="1">
        <f t="array" ref="J815">INDEX(Sm,I815)</f>
        <v>3.065687851218776</v>
      </c>
      <c r="K815" s="16">
        <f t="shared" si="49"/>
        <v>430.34165236174869</v>
      </c>
    </row>
    <row r="816" spans="6:11" x14ac:dyDescent="0.4">
      <c r="F816" s="1">
        <v>46174</v>
      </c>
      <c r="H816" s="16">
        <f>_A*F816*F816+_B*F816+_C</f>
        <v>427.49201157509196</v>
      </c>
      <c r="I816">
        <f t="shared" si="48"/>
        <v>6</v>
      </c>
      <c r="J816" s="16" cm="1">
        <f t="array" ref="J816">INDEX(Sm,I816)</f>
        <v>2.3467878996384672</v>
      </c>
      <c r="K816" s="16">
        <f t="shared" si="49"/>
        <v>429.83879947473042</v>
      </c>
    </row>
    <row r="817" spans="6:11" x14ac:dyDescent="0.4">
      <c r="F817" s="1">
        <v>46204</v>
      </c>
      <c r="H817" s="16">
        <f>_A*F817*F817+_B*F817+_C</f>
        <v>427.70126880608558</v>
      </c>
      <c r="I817">
        <f t="shared" si="48"/>
        <v>7</v>
      </c>
      <c r="J817" s="16" cm="1">
        <f t="array" ref="J817">INDEX(Sm,I817)</f>
        <v>0.7237382709437985</v>
      </c>
      <c r="K817" s="16">
        <f t="shared" si="49"/>
        <v>428.42500707702936</v>
      </c>
    </row>
    <row r="818" spans="6:11" x14ac:dyDescent="0.4">
      <c r="F818" s="1">
        <v>46235</v>
      </c>
      <c r="H818" s="16">
        <f>_A*F818*F818+_B*F818+_C</f>
        <v>427.917686685577</v>
      </c>
      <c r="I818">
        <f t="shared" si="48"/>
        <v>8</v>
      </c>
      <c r="J818" s="16" cm="1">
        <f t="array" ref="J818">INDEX(Sm,I818)</f>
        <v>-1.3971602754957855</v>
      </c>
      <c r="K818" s="16">
        <f t="shared" si="49"/>
        <v>426.52052641008123</v>
      </c>
    </row>
    <row r="819" spans="6:11" x14ac:dyDescent="0.4">
      <c r="F819" s="1">
        <v>46266</v>
      </c>
      <c r="H819" s="16">
        <f>_A*F819*F819+_B*F819+_C</f>
        <v>428.13429301199972</v>
      </c>
      <c r="I819">
        <f t="shared" si="48"/>
        <v>9</v>
      </c>
      <c r="J819" s="16" cm="1">
        <f t="array" ref="J819">INDEX(Sm,I819)</f>
        <v>-3.1930865292764237</v>
      </c>
      <c r="K819" s="16">
        <f t="shared" si="49"/>
        <v>424.94120648272332</v>
      </c>
    </row>
    <row r="820" spans="6:11" x14ac:dyDescent="0.4">
      <c r="F820" s="1">
        <v>46296</v>
      </c>
      <c r="H820" s="16">
        <f>_A*F820*F820+_B*F820+_C</f>
        <v>428.34409146414879</v>
      </c>
      <c r="I820">
        <f t="shared" si="48"/>
        <v>10</v>
      </c>
      <c r="J820" s="16" cm="1">
        <f t="array" ref="J820">INDEX(Sm,I820)</f>
        <v>-3.3364130058083399</v>
      </c>
      <c r="K820" s="16">
        <f t="shared" si="49"/>
        <v>425.00767845834042</v>
      </c>
    </row>
    <row r="821" spans="6:11" x14ac:dyDescent="0.4">
      <c r="F821" s="1">
        <v>46327</v>
      </c>
      <c r="H821" s="16">
        <f>_A*F821*F821+_B*F821+_C</f>
        <v>428.56106860550085</v>
      </c>
      <c r="I821">
        <f t="shared" si="48"/>
        <v>11</v>
      </c>
      <c r="J821" s="16" cm="1">
        <f t="array" ref="J821">INDEX(Sm,I821)</f>
        <v>-2.0587659563291303</v>
      </c>
      <c r="K821" s="16">
        <f t="shared" si="49"/>
        <v>426.50230264917172</v>
      </c>
    </row>
    <row r="822" spans="6:11" x14ac:dyDescent="0.4">
      <c r="F822" s="1">
        <v>46357</v>
      </c>
      <c r="H822" s="16">
        <f>_A*F822*F822+_B*F822+_C</f>
        <v>428.7712259108074</v>
      </c>
      <c r="I822">
        <f t="shared" si="48"/>
        <v>12</v>
      </c>
      <c r="J822" s="16" cm="1">
        <f t="array" ref="J822">INDEX(Sm,I822)</f>
        <v>-0.89092746411398172</v>
      </c>
      <c r="K822" s="16">
        <f t="shared" si="49"/>
        <v>427.88029844669342</v>
      </c>
    </row>
    <row r="823" spans="6:11" x14ac:dyDescent="0.4">
      <c r="F823" s="1">
        <v>46388</v>
      </c>
      <c r="H823" s="16">
        <f>_A*F823*F823+_B*F823+_C</f>
        <v>428.98857386708875</v>
      </c>
      <c r="I823">
        <f t="shared" si="48"/>
        <v>1</v>
      </c>
      <c r="J823" s="16" cm="1">
        <f t="array" ref="J823">INDEX(Sm,I823)</f>
        <v>6.1437948016995841E-2</v>
      </c>
      <c r="K823" s="16">
        <f t="shared" si="49"/>
        <v>429.05001181510573</v>
      </c>
    </row>
    <row r="824" spans="6:11" x14ac:dyDescent="0.4">
      <c r="F824" s="1">
        <v>46419</v>
      </c>
      <c r="H824" s="16">
        <f>_A*F824*F824+_B*F824+_C</f>
        <v>429.20611027030145</v>
      </c>
      <c r="I824">
        <f t="shared" si="48"/>
        <v>2</v>
      </c>
      <c r="J824" s="16" cm="1">
        <f t="array" ref="J824">INDEX(Sm,I824)</f>
        <v>0.69461918939657585</v>
      </c>
      <c r="K824" s="16">
        <f t="shared" si="49"/>
        <v>429.90072945969803</v>
      </c>
    </row>
    <row r="825" spans="6:11" x14ac:dyDescent="0.4">
      <c r="F825" s="1">
        <v>46447</v>
      </c>
      <c r="H825" s="16">
        <f>_A*F825*F825+_B*F825+_C</f>
        <v>429.40275673768315</v>
      </c>
      <c r="I825">
        <f t="shared" si="48"/>
        <v>3</v>
      </c>
      <c r="J825" s="16" cm="1">
        <f t="array" ref="J825">INDEX(Sm,I825)</f>
        <v>1.3737674684313066</v>
      </c>
      <c r="K825" s="16">
        <f t="shared" si="49"/>
        <v>430.77652420611446</v>
      </c>
    </row>
    <row r="826" spans="6:11" x14ac:dyDescent="0.4">
      <c r="F826" s="1">
        <v>46478</v>
      </c>
      <c r="H826" s="16">
        <f>_A*F826*F826+_B*F826+_C</f>
        <v>429.62065179795866</v>
      </c>
      <c r="I826">
        <f t="shared" si="48"/>
        <v>4</v>
      </c>
      <c r="J826" s="16" cm="1">
        <f t="array" ref="J826">INDEX(Sm,I826)</f>
        <v>2.6103146033777413</v>
      </c>
      <c r="K826" s="16">
        <f t="shared" si="49"/>
        <v>432.23096640133639</v>
      </c>
    </row>
    <row r="827" spans="6:11" x14ac:dyDescent="0.4">
      <c r="F827" s="1">
        <v>46508</v>
      </c>
      <c r="H827" s="16">
        <f>_A*F827*F827+_B*F827+_C</f>
        <v>429.83169741190073</v>
      </c>
      <c r="I827">
        <f t="shared" si="48"/>
        <v>5</v>
      </c>
      <c r="J827" s="16" cm="1">
        <f t="array" ref="J827">INDEX(Sm,I827)</f>
        <v>3.065687851218776</v>
      </c>
      <c r="K827" s="16">
        <f t="shared" si="49"/>
        <v>432.89738526311953</v>
      </c>
    </row>
    <row r="828" spans="6:11" x14ac:dyDescent="0.4">
      <c r="F828" s="1">
        <v>46539</v>
      </c>
      <c r="H828" s="16">
        <f>_A*F828*F828+_B*F828+_C</f>
        <v>430.04996328710553</v>
      </c>
      <c r="I828">
        <f t="shared" si="48"/>
        <v>6</v>
      </c>
      <c r="J828" s="16" cm="1">
        <f t="array" ref="J828">INDEX(Sm,I828)</f>
        <v>2.3467878996384672</v>
      </c>
      <c r="K828" s="16">
        <f t="shared" si="49"/>
        <v>432.39675118674398</v>
      </c>
    </row>
    <row r="829" spans="6:11" x14ac:dyDescent="0.4">
      <c r="F829" s="1">
        <v>46569</v>
      </c>
      <c r="H829" s="16">
        <f>_A*F829*F829+_B*F829+_C</f>
        <v>430.26136775420503</v>
      </c>
      <c r="I829">
        <f t="shared" si="48"/>
        <v>7</v>
      </c>
      <c r="J829" s="16" cm="1">
        <f t="array" ref="J829">INDEX(Sm,I829)</f>
        <v>0.7237382709437985</v>
      </c>
      <c r="K829" s="16">
        <f t="shared" si="49"/>
        <v>430.98510602514881</v>
      </c>
    </row>
    <row r="830" spans="6:11" x14ac:dyDescent="0.4">
      <c r="F830" s="1">
        <v>46600</v>
      </c>
      <c r="H830" s="16">
        <f>_A*F830*F830+_B*F830+_C</f>
        <v>430.48000444433916</v>
      </c>
      <c r="I830">
        <f t="shared" si="48"/>
        <v>8</v>
      </c>
      <c r="J830" s="16" cm="1">
        <f t="array" ref="J830">INDEX(Sm,I830)</f>
        <v>-1.3971602754957855</v>
      </c>
      <c r="K830" s="16">
        <f t="shared" si="49"/>
        <v>429.08284416884339</v>
      </c>
    </row>
    <row r="831" spans="6:11" x14ac:dyDescent="0.4">
      <c r="F831" s="1">
        <v>46631</v>
      </c>
      <c r="H831" s="16">
        <f>_A*F831*F831+_B*F831+_C</f>
        <v>430.69882958140465</v>
      </c>
      <c r="I831">
        <f t="shared" si="48"/>
        <v>9</v>
      </c>
      <c r="J831" s="16" cm="1">
        <f t="array" ref="J831">INDEX(Sm,I831)</f>
        <v>-3.1930865292764237</v>
      </c>
      <c r="K831" s="16">
        <f t="shared" si="49"/>
        <v>427.50574305212825</v>
      </c>
    </row>
    <row r="832" spans="6:11" x14ac:dyDescent="0.4">
      <c r="F832" s="1">
        <v>46661</v>
      </c>
      <c r="H832" s="16">
        <f>_A*F832*F832+_B*F832+_C</f>
        <v>430.91077526965955</v>
      </c>
      <c r="I832">
        <f t="shared" si="48"/>
        <v>10</v>
      </c>
      <c r="J832" s="16" cm="1">
        <f t="array" ref="J832">INDEX(Sm,I832)</f>
        <v>-3.3364130058083399</v>
      </c>
      <c r="K832" s="16">
        <f t="shared" si="49"/>
        <v>427.57436226385119</v>
      </c>
    </row>
    <row r="833" spans="6:11" x14ac:dyDescent="0.4">
      <c r="F833" s="1">
        <v>46692</v>
      </c>
      <c r="H833" s="16">
        <f>_A*F833*F833+_B*F833+_C</f>
        <v>431.12997122165439</v>
      </c>
      <c r="I833">
        <f t="shared" si="48"/>
        <v>11</v>
      </c>
      <c r="J833" s="16" cm="1">
        <f t="array" ref="J833">INDEX(Sm,I833)</f>
        <v>-2.0587659563291303</v>
      </c>
      <c r="K833" s="16">
        <f t="shared" si="49"/>
        <v>429.07120526532526</v>
      </c>
    </row>
    <row r="834" spans="6:11" x14ac:dyDescent="0.4">
      <c r="F834" s="1">
        <v>46722</v>
      </c>
      <c r="H834" s="16">
        <f>_A*F834*F834+_B*F834+_C</f>
        <v>431.34227576306671</v>
      </c>
      <c r="I834">
        <f t="shared" si="48"/>
        <v>12</v>
      </c>
      <c r="J834" s="16" cm="1">
        <f t="array" ref="J834">INDEX(Sm,I834)</f>
        <v>-0.89092746411398172</v>
      </c>
      <c r="K834" s="16">
        <f t="shared" si="49"/>
        <v>430.45134829895272</v>
      </c>
    </row>
    <row r="835" spans="6:11" x14ac:dyDescent="0.4">
      <c r="F835" s="1">
        <v>46753</v>
      </c>
      <c r="H835" s="16">
        <f>_A*F835*F835+_B*F835+_C</f>
        <v>431.56184252999083</v>
      </c>
      <c r="I835">
        <f t="shared" ref="I835:I898" si="50">MONTH(F835)</f>
        <v>1</v>
      </c>
      <c r="J835" s="16" cm="1">
        <f t="array" ref="J835">INDEX(Sm,I835)</f>
        <v>6.1437948016995841E-2</v>
      </c>
      <c r="K835" s="16">
        <f t="shared" ref="K835:K898" si="51">H835+J835</f>
        <v>431.62328047800781</v>
      </c>
    </row>
    <row r="836" spans="6:11" x14ac:dyDescent="0.4">
      <c r="F836" s="1">
        <v>46784</v>
      </c>
      <c r="H836" s="16">
        <f>_A*F836*F836+_B*F836+_C</f>
        <v>431.78159774384619</v>
      </c>
      <c r="I836">
        <f t="shared" si="50"/>
        <v>2</v>
      </c>
      <c r="J836" s="16" cm="1">
        <f t="array" ref="J836">INDEX(Sm,I836)</f>
        <v>0.69461918939657585</v>
      </c>
      <c r="K836" s="16">
        <f t="shared" si="51"/>
        <v>432.47621693324277</v>
      </c>
    </row>
    <row r="837" spans="6:11" x14ac:dyDescent="0.4">
      <c r="F837" s="1">
        <v>46813</v>
      </c>
      <c r="H837" s="16">
        <f>_A*F837*F837+_B*F837+_C</f>
        <v>431.98734580428976</v>
      </c>
      <c r="I837">
        <f t="shared" si="50"/>
        <v>3</v>
      </c>
      <c r="J837" s="16" cm="1">
        <f t="array" ref="J837">INDEX(Sm,I837)</f>
        <v>1.3737674684313066</v>
      </c>
      <c r="K837" s="16">
        <f t="shared" si="51"/>
        <v>433.36111327272107</v>
      </c>
    </row>
    <row r="838" spans="6:11" x14ac:dyDescent="0.4">
      <c r="F838" s="1">
        <v>46844</v>
      </c>
      <c r="H838" s="16">
        <f>_A*F838*F838+_B*F838+_C</f>
        <v>432.20746575414125</v>
      </c>
      <c r="I838">
        <f t="shared" si="50"/>
        <v>4</v>
      </c>
      <c r="J838" s="16" cm="1">
        <f t="array" ref="J838">INDEX(Sm,I838)</f>
        <v>2.6103146033777413</v>
      </c>
      <c r="K838" s="16">
        <f t="shared" si="51"/>
        <v>434.81778035751898</v>
      </c>
    </row>
    <row r="839" spans="6:11" x14ac:dyDescent="0.4">
      <c r="F839" s="1">
        <v>46874</v>
      </c>
      <c r="H839" s="16">
        <f>_A*F839*F839+_B*F839+_C</f>
        <v>432.42066448702786</v>
      </c>
      <c r="I839">
        <f t="shared" si="50"/>
        <v>5</v>
      </c>
      <c r="J839" s="16" cm="1">
        <f t="array" ref="J839">INDEX(Sm,I839)</f>
        <v>3.065687851218776</v>
      </c>
      <c r="K839" s="16">
        <f t="shared" si="51"/>
        <v>435.48635233824666</v>
      </c>
    </row>
    <row r="840" spans="6:11" x14ac:dyDescent="0.4">
      <c r="F840" s="1">
        <v>46905</v>
      </c>
      <c r="H840" s="16">
        <f>_A*F840*F840+_B*F840+_C</f>
        <v>432.64115525180864</v>
      </c>
      <c r="I840">
        <f t="shared" si="50"/>
        <v>6</v>
      </c>
      <c r="J840" s="16" cm="1">
        <f t="array" ref="J840">INDEX(Sm,I840)</f>
        <v>2.3467878996384672</v>
      </c>
      <c r="K840" s="16">
        <f t="shared" si="51"/>
        <v>434.9879431514471</v>
      </c>
    </row>
    <row r="841" spans="6:11" x14ac:dyDescent="0.4">
      <c r="F841" s="1">
        <v>46935</v>
      </c>
      <c r="H841" s="16">
        <f>_A*F841*F841+_B*F841+_C</f>
        <v>432.85471283785267</v>
      </c>
      <c r="I841">
        <f t="shared" si="50"/>
        <v>7</v>
      </c>
      <c r="J841" s="16" cm="1">
        <f t="array" ref="J841">INDEX(Sm,I841)</f>
        <v>0.7237382709437985</v>
      </c>
      <c r="K841" s="16">
        <f t="shared" si="51"/>
        <v>433.57845110879646</v>
      </c>
    </row>
    <row r="842" spans="6:11" x14ac:dyDescent="0.4">
      <c r="F842" s="1">
        <v>46966</v>
      </c>
      <c r="H842" s="16">
        <f>_A*F842*F842+_B*F842+_C</f>
        <v>433.07557441756285</v>
      </c>
      <c r="I842">
        <f t="shared" si="50"/>
        <v>8</v>
      </c>
      <c r="J842" s="16" cm="1">
        <f t="array" ref="J842">INDEX(Sm,I842)</f>
        <v>-1.3971602754957855</v>
      </c>
      <c r="K842" s="16">
        <f t="shared" si="51"/>
        <v>431.67841414206708</v>
      </c>
    </row>
    <row r="843" spans="6:11" x14ac:dyDescent="0.4">
      <c r="F843" s="1">
        <v>46997</v>
      </c>
      <c r="H843" s="16">
        <f>_A*F843*F843+_B*F843+_C</f>
        <v>433.29662444420421</v>
      </c>
      <c r="I843">
        <f t="shared" si="50"/>
        <v>9</v>
      </c>
      <c r="J843" s="16" cm="1">
        <f t="array" ref="J843">INDEX(Sm,I843)</f>
        <v>-3.1930865292764237</v>
      </c>
      <c r="K843" s="16">
        <f t="shared" si="51"/>
        <v>430.10353791492781</v>
      </c>
    </row>
    <row r="844" spans="6:11" x14ac:dyDescent="0.4">
      <c r="F844" s="1">
        <v>47027</v>
      </c>
      <c r="H844" s="16">
        <f>_A*F844*F844+_B*F844+_C</f>
        <v>433.51072325140376</v>
      </c>
      <c r="I844">
        <f t="shared" si="50"/>
        <v>10</v>
      </c>
      <c r="J844" s="16" cm="1">
        <f t="array" ref="J844">INDEX(Sm,I844)</f>
        <v>-3.3364130058083399</v>
      </c>
      <c r="K844" s="16">
        <f t="shared" si="51"/>
        <v>430.17431024559539</v>
      </c>
    </row>
    <row r="845" spans="6:11" x14ac:dyDescent="0.4">
      <c r="F845" s="1">
        <v>47058</v>
      </c>
      <c r="H845" s="16">
        <f>_A*F845*F845+_B*F845+_C</f>
        <v>433.73214409297452</v>
      </c>
      <c r="I845">
        <f t="shared" si="50"/>
        <v>11</v>
      </c>
      <c r="J845" s="16" cm="1">
        <f t="array" ref="J845">INDEX(Sm,I845)</f>
        <v>-2.0587659563291303</v>
      </c>
      <c r="K845" s="16">
        <f t="shared" si="51"/>
        <v>431.6733781366454</v>
      </c>
    </row>
    <row r="846" spans="6:11" x14ac:dyDescent="0.4">
      <c r="F846" s="1">
        <v>47088</v>
      </c>
      <c r="H846" s="16">
        <f>_A*F846*F846+_B*F846+_C</f>
        <v>433.94660175333138</v>
      </c>
      <c r="I846">
        <f t="shared" si="50"/>
        <v>12</v>
      </c>
      <c r="J846" s="16" cm="1">
        <f t="array" ref="J846">INDEX(Sm,I846)</f>
        <v>-0.89092746411398172</v>
      </c>
      <c r="K846" s="16">
        <f t="shared" si="51"/>
        <v>433.05567428921739</v>
      </c>
    </row>
    <row r="847" spans="6:11" x14ac:dyDescent="0.4">
      <c r="F847" s="1">
        <v>47119</v>
      </c>
      <c r="H847" s="16">
        <f>_A*F847*F847+_B*F847+_C</f>
        <v>434.16839340983148</v>
      </c>
      <c r="I847">
        <f t="shared" si="50"/>
        <v>1</v>
      </c>
      <c r="J847" s="16" cm="1">
        <f t="array" ref="J847">INDEX(Sm,I847)</f>
        <v>6.1437948016995841E-2</v>
      </c>
      <c r="K847" s="16">
        <f t="shared" si="51"/>
        <v>434.22983135784847</v>
      </c>
    </row>
    <row r="848" spans="6:11" x14ac:dyDescent="0.4">
      <c r="F848" s="1">
        <v>47150</v>
      </c>
      <c r="H848" s="16">
        <f>_A*F848*F848+_B*F848+_C</f>
        <v>434.39037351326294</v>
      </c>
      <c r="I848">
        <f t="shared" si="50"/>
        <v>2</v>
      </c>
      <c r="J848" s="16" cm="1">
        <f t="array" ref="J848">INDEX(Sm,I848)</f>
        <v>0.69461918939657585</v>
      </c>
      <c r="K848" s="16">
        <f t="shared" si="51"/>
        <v>435.08499270265952</v>
      </c>
    </row>
    <row r="849" spans="6:11" x14ac:dyDescent="0.4">
      <c r="F849" s="1">
        <v>47178</v>
      </c>
      <c r="H849" s="16">
        <f>_A*F849*F849+_B*F849+_C</f>
        <v>434.59103364535838</v>
      </c>
      <c r="I849">
        <f t="shared" si="50"/>
        <v>3</v>
      </c>
      <c r="J849" s="16" cm="1">
        <f t="array" ref="J849">INDEX(Sm,I849)</f>
        <v>1.3737674684313066</v>
      </c>
      <c r="K849" s="16">
        <f t="shared" si="51"/>
        <v>435.96480111378969</v>
      </c>
    </row>
    <row r="850" spans="6:11" x14ac:dyDescent="0.4">
      <c r="F850" s="1">
        <v>47209</v>
      </c>
      <c r="H850" s="16">
        <f>_A*F850*F850+_B*F850+_C</f>
        <v>434.81337240585253</v>
      </c>
      <c r="I850">
        <f t="shared" si="50"/>
        <v>4</v>
      </c>
      <c r="J850" s="16" cm="1">
        <f t="array" ref="J850">INDEX(Sm,I850)</f>
        <v>2.6103146033777413</v>
      </c>
      <c r="K850" s="16">
        <f t="shared" si="51"/>
        <v>437.42368700923026</v>
      </c>
    </row>
    <row r="851" spans="6:11" x14ac:dyDescent="0.4">
      <c r="F851" s="1">
        <v>47239</v>
      </c>
      <c r="H851" s="16">
        <f>_A*F851*F851+_B*F851+_C</f>
        <v>435.02871837484497</v>
      </c>
      <c r="I851">
        <f t="shared" si="50"/>
        <v>5</v>
      </c>
      <c r="J851" s="16" cm="1">
        <f t="array" ref="J851">INDEX(Sm,I851)</f>
        <v>3.065687851218776</v>
      </c>
      <c r="K851" s="16">
        <f t="shared" si="51"/>
        <v>438.09440622606377</v>
      </c>
    </row>
    <row r="852" spans="6:11" x14ac:dyDescent="0.4">
      <c r="F852" s="1">
        <v>47270</v>
      </c>
      <c r="H852" s="16">
        <f>_A*F852*F852+_B*F852+_C</f>
        <v>435.25142795026858</v>
      </c>
      <c r="I852">
        <f t="shared" si="50"/>
        <v>6</v>
      </c>
      <c r="J852" s="16" cm="1">
        <f t="array" ref="J852">INDEX(Sm,I852)</f>
        <v>2.3467878996384672</v>
      </c>
      <c r="K852" s="16">
        <f t="shared" si="51"/>
        <v>437.59821584990704</v>
      </c>
    </row>
    <row r="853" spans="6:11" x14ac:dyDescent="0.4">
      <c r="F853" s="1">
        <v>47300</v>
      </c>
      <c r="H853" s="16">
        <f>_A*F853*F853+_B*F853+_C</f>
        <v>435.46713277241844</v>
      </c>
      <c r="I853">
        <f t="shared" si="50"/>
        <v>7</v>
      </c>
      <c r="J853" s="16" cm="1">
        <f t="array" ref="J853">INDEX(Sm,I853)</f>
        <v>0.7237382709437985</v>
      </c>
      <c r="K853" s="16">
        <f t="shared" si="51"/>
        <v>436.19087104336222</v>
      </c>
    </row>
    <row r="854" spans="6:11" x14ac:dyDescent="0.4">
      <c r="F854" s="1">
        <v>47331</v>
      </c>
      <c r="H854" s="16">
        <f>_A*F854*F854+_B*F854+_C</f>
        <v>435.69021316277127</v>
      </c>
      <c r="I854">
        <f t="shared" si="50"/>
        <v>8</v>
      </c>
      <c r="J854" s="16" cm="1">
        <f t="array" ref="J854">INDEX(Sm,I854)</f>
        <v>-1.3971602754957855</v>
      </c>
      <c r="K854" s="16">
        <f t="shared" si="51"/>
        <v>434.29305288727551</v>
      </c>
    </row>
    <row r="855" spans="6:11" x14ac:dyDescent="0.4">
      <c r="F855" s="1">
        <v>47362</v>
      </c>
      <c r="H855" s="16">
        <f>_A*F855*F855+_B*F855+_C</f>
        <v>435.91348200005547</v>
      </c>
      <c r="I855">
        <f t="shared" si="50"/>
        <v>9</v>
      </c>
      <c r="J855" s="16" cm="1">
        <f t="array" ref="J855">INDEX(Sm,I855)</f>
        <v>-3.1930865292764237</v>
      </c>
      <c r="K855" s="16">
        <f t="shared" si="51"/>
        <v>432.72039547077907</v>
      </c>
    </row>
    <row r="856" spans="6:11" x14ac:dyDescent="0.4">
      <c r="F856" s="1">
        <v>47392</v>
      </c>
      <c r="H856" s="16">
        <f>_A*F856*F856+_B*F856+_C</f>
        <v>436.12972804336079</v>
      </c>
      <c r="I856">
        <f t="shared" si="50"/>
        <v>10</v>
      </c>
      <c r="J856" s="16" cm="1">
        <f t="array" ref="J856">INDEX(Sm,I856)</f>
        <v>-3.3364130058083399</v>
      </c>
      <c r="K856" s="16">
        <f t="shared" si="51"/>
        <v>432.79331503755242</v>
      </c>
    </row>
    <row r="857" spans="6:11" x14ac:dyDescent="0.4">
      <c r="F857" s="1">
        <v>47423</v>
      </c>
      <c r="H857" s="16">
        <f>_A*F857*F857+_B*F857+_C</f>
        <v>436.35336769557432</v>
      </c>
      <c r="I857">
        <f t="shared" si="50"/>
        <v>11</v>
      </c>
      <c r="J857" s="16" cm="1">
        <f t="array" ref="J857">INDEX(Sm,I857)</f>
        <v>-2.0587659563291303</v>
      </c>
      <c r="K857" s="16">
        <f t="shared" si="51"/>
        <v>434.29460173924519</v>
      </c>
    </row>
    <row r="858" spans="6:11" x14ac:dyDescent="0.4">
      <c r="F858" s="1">
        <v>47453</v>
      </c>
      <c r="H858" s="16">
        <f>_A*F858*F858+_B*F858+_C</f>
        <v>436.56997259203706</v>
      </c>
      <c r="I858">
        <f t="shared" si="50"/>
        <v>12</v>
      </c>
      <c r="J858" s="16" cm="1">
        <f t="array" ref="J858">INDEX(Sm,I858)</f>
        <v>-0.89092746411398172</v>
      </c>
      <c r="K858" s="16">
        <f t="shared" si="51"/>
        <v>435.67904512792308</v>
      </c>
    </row>
    <row r="859" spans="6:11" x14ac:dyDescent="0.4">
      <c r="F859" s="1">
        <v>47484</v>
      </c>
      <c r="H859" s="16">
        <f>_A*F859*F859+_B*F859+_C</f>
        <v>436.79398305917988</v>
      </c>
      <c r="I859">
        <f t="shared" si="50"/>
        <v>1</v>
      </c>
      <c r="J859" s="16" cm="1">
        <f t="array" ref="J859">INDEX(Sm,I859)</f>
        <v>6.1437948016995841E-2</v>
      </c>
      <c r="K859" s="16">
        <f t="shared" si="51"/>
        <v>436.85542100719687</v>
      </c>
    </row>
    <row r="860" spans="6:11" x14ac:dyDescent="0.4">
      <c r="F860" s="1">
        <v>47515</v>
      </c>
      <c r="H860" s="16">
        <f>_A*F860*F860+_B*F860+_C</f>
        <v>437.018181973254</v>
      </c>
      <c r="I860">
        <f t="shared" si="50"/>
        <v>2</v>
      </c>
      <c r="J860" s="16" cm="1">
        <f t="array" ref="J860">INDEX(Sm,I860)</f>
        <v>0.69461918939657585</v>
      </c>
      <c r="K860" s="16">
        <f t="shared" si="51"/>
        <v>437.71280116265058</v>
      </c>
    </row>
    <row r="861" spans="6:11" x14ac:dyDescent="0.4">
      <c r="F861" s="1">
        <v>47543</v>
      </c>
      <c r="H861" s="16">
        <f>_A*F861*F861+_B*F861+_C</f>
        <v>437.2208461923816</v>
      </c>
      <c r="I861">
        <f t="shared" si="50"/>
        <v>3</v>
      </c>
      <c r="J861" s="16" cm="1">
        <f t="array" ref="J861">INDEX(Sm,I861)</f>
        <v>1.3737674684313066</v>
      </c>
      <c r="K861" s="16">
        <f t="shared" si="51"/>
        <v>438.59461366081291</v>
      </c>
    </row>
    <row r="862" spans="6:11" x14ac:dyDescent="0.4">
      <c r="F862" s="1">
        <v>47574</v>
      </c>
      <c r="H862" s="16">
        <f>_A*F862*F862+_B*F862+_C</f>
        <v>437.44540376351858</v>
      </c>
      <c r="I862">
        <f t="shared" si="50"/>
        <v>4</v>
      </c>
      <c r="J862" s="16" cm="1">
        <f t="array" ref="J862">INDEX(Sm,I862)</f>
        <v>2.6103146033777413</v>
      </c>
      <c r="K862" s="16">
        <f t="shared" si="51"/>
        <v>440.05571836689631</v>
      </c>
    </row>
    <row r="863" spans="6:11" x14ac:dyDescent="0.4">
      <c r="F863" s="1">
        <v>47604</v>
      </c>
      <c r="H863" s="16">
        <f>_A*F863*F863+_B*F863+_C</f>
        <v>437.66289696861691</v>
      </c>
      <c r="I863">
        <f t="shared" si="50"/>
        <v>5</v>
      </c>
      <c r="J863" s="16" cm="1">
        <f t="array" ref="J863">INDEX(Sm,I863)</f>
        <v>3.065687851218776</v>
      </c>
      <c r="K863" s="16">
        <f t="shared" si="51"/>
        <v>440.7285848198357</v>
      </c>
    </row>
    <row r="864" spans="6:11" x14ac:dyDescent="0.4">
      <c r="F864" s="1">
        <v>47635</v>
      </c>
      <c r="H864" s="16">
        <f>_A*F864*F864+_B*F864+_C</f>
        <v>437.88782535468312</v>
      </c>
      <c r="I864">
        <f t="shared" si="50"/>
        <v>6</v>
      </c>
      <c r="J864" s="16" cm="1">
        <f t="array" ref="J864">INDEX(Sm,I864)</f>
        <v>2.3467878996384672</v>
      </c>
      <c r="K864" s="16">
        <f t="shared" si="51"/>
        <v>440.23461325432157</v>
      </c>
    </row>
    <row r="865" spans="6:11" x14ac:dyDescent="0.4">
      <c r="F865" s="1">
        <v>47665</v>
      </c>
      <c r="H865" s="16">
        <f>_A*F865*F865+_B*F865+_C</f>
        <v>438.10567741293892</v>
      </c>
      <c r="I865">
        <f t="shared" si="50"/>
        <v>7</v>
      </c>
      <c r="J865" s="16" cm="1">
        <f t="array" ref="J865">INDEX(Sm,I865)</f>
        <v>0.7237382709437985</v>
      </c>
      <c r="K865" s="16">
        <f t="shared" si="51"/>
        <v>438.8294156838827</v>
      </c>
    </row>
    <row r="866" spans="6:11" x14ac:dyDescent="0.4">
      <c r="F866" s="1">
        <v>47696</v>
      </c>
      <c r="H866" s="16">
        <f>_A*F866*F866+_B*F866+_C</f>
        <v>438.33097661393447</v>
      </c>
      <c r="I866">
        <f t="shared" si="50"/>
        <v>8</v>
      </c>
      <c r="J866" s="16" cm="1">
        <f t="array" ref="J866">INDEX(Sm,I866)</f>
        <v>-1.3971602754957855</v>
      </c>
      <c r="K866" s="16">
        <f t="shared" si="51"/>
        <v>436.9338163384387</v>
      </c>
    </row>
    <row r="867" spans="6:11" x14ac:dyDescent="0.4">
      <c r="F867" s="1">
        <v>47727</v>
      </c>
      <c r="H867" s="16">
        <f>_A*F867*F867+_B*F867+_C</f>
        <v>438.55646426186138</v>
      </c>
      <c r="I867">
        <f t="shared" si="50"/>
        <v>9</v>
      </c>
      <c r="J867" s="16" cm="1">
        <f t="array" ref="J867">INDEX(Sm,I867)</f>
        <v>-3.1930865292764237</v>
      </c>
      <c r="K867" s="16">
        <f t="shared" si="51"/>
        <v>435.36337773258498</v>
      </c>
    </row>
    <row r="868" spans="6:11" x14ac:dyDescent="0.4">
      <c r="F868" s="1">
        <v>47757</v>
      </c>
      <c r="H868" s="16">
        <f>_A*F868*F868+_B*F868+_C</f>
        <v>438.77485754127258</v>
      </c>
      <c r="I868">
        <f t="shared" si="50"/>
        <v>10</v>
      </c>
      <c r="J868" s="16" cm="1">
        <f t="array" ref="J868">INDEX(Sm,I868)</f>
        <v>-3.3364130058083399</v>
      </c>
      <c r="K868" s="16">
        <f t="shared" si="51"/>
        <v>435.43844453546421</v>
      </c>
    </row>
    <row r="869" spans="6:11" x14ac:dyDescent="0.4">
      <c r="F869" s="1">
        <v>47788</v>
      </c>
      <c r="H869" s="16">
        <f>_A*F869*F869+_B*F869+_C</f>
        <v>439.00071600412883</v>
      </c>
      <c r="I869">
        <f t="shared" si="50"/>
        <v>11</v>
      </c>
      <c r="J869" s="16" cm="1">
        <f t="array" ref="J869">INDEX(Sm,I869)</f>
        <v>-2.0587659563291303</v>
      </c>
      <c r="K869" s="16">
        <f t="shared" si="51"/>
        <v>436.94195004779971</v>
      </c>
    </row>
    <row r="870" spans="6:11" x14ac:dyDescent="0.4">
      <c r="F870" s="1">
        <v>47818</v>
      </c>
      <c r="H870" s="16">
        <f>_A*F870*F870+_B*F870+_C</f>
        <v>439.2194681366974</v>
      </c>
      <c r="I870">
        <f t="shared" si="50"/>
        <v>12</v>
      </c>
      <c r="J870" s="16" cm="1">
        <f t="array" ref="J870">INDEX(Sm,I870)</f>
        <v>-0.89092746411398172</v>
      </c>
      <c r="K870" s="16">
        <f t="shared" si="51"/>
        <v>438.32854067258342</v>
      </c>
    </row>
    <row r="871" spans="6:11" x14ac:dyDescent="0.4">
      <c r="F871" s="1">
        <v>47849</v>
      </c>
      <c r="H871" s="16">
        <f>_A*F871*F871+_B*F871+_C</f>
        <v>439.44569741448299</v>
      </c>
      <c r="I871">
        <f t="shared" si="50"/>
        <v>1</v>
      </c>
      <c r="J871" s="16" cm="1">
        <f t="array" ref="J871">INDEX(Sm,I871)</f>
        <v>6.1437948016995841E-2</v>
      </c>
      <c r="K871" s="16">
        <f t="shared" si="51"/>
        <v>439.50713536249998</v>
      </c>
    </row>
    <row r="872" spans="6:11" x14ac:dyDescent="0.4">
      <c r="F872" s="1">
        <v>47880</v>
      </c>
      <c r="H872" s="16">
        <f>_A*F872*F872+_B*F872+_C</f>
        <v>439.67211513919989</v>
      </c>
      <c r="I872">
        <f t="shared" si="50"/>
        <v>2</v>
      </c>
      <c r="J872" s="16" cm="1">
        <f t="array" ref="J872">INDEX(Sm,I872)</f>
        <v>0.69461918939657585</v>
      </c>
      <c r="K872" s="16">
        <f t="shared" si="51"/>
        <v>440.36673432859646</v>
      </c>
    </row>
    <row r="873" spans="6:11" x14ac:dyDescent="0.4">
      <c r="F873" s="1">
        <v>47908</v>
      </c>
      <c r="H873" s="16">
        <f>_A*F873*F873+_B*F873+_C</f>
        <v>439.87678344535959</v>
      </c>
      <c r="I873">
        <f t="shared" si="50"/>
        <v>3</v>
      </c>
      <c r="J873" s="16" cm="1">
        <f t="array" ref="J873">INDEX(Sm,I873)</f>
        <v>1.3737674684313066</v>
      </c>
      <c r="K873" s="16">
        <f t="shared" si="51"/>
        <v>441.2505509137909</v>
      </c>
    </row>
    <row r="874" spans="6:11" x14ac:dyDescent="0.4">
      <c r="F874" s="1">
        <v>47939</v>
      </c>
      <c r="H874" s="16">
        <f>_A*F874*F874+_B*F874+_C</f>
        <v>440.10355982713924</v>
      </c>
      <c r="I874">
        <f t="shared" si="50"/>
        <v>4</v>
      </c>
      <c r="J874" s="16" cm="1">
        <f t="array" ref="J874">INDEX(Sm,I874)</f>
        <v>2.6103146033777413</v>
      </c>
      <c r="K874" s="16">
        <f t="shared" si="51"/>
        <v>442.71387443051697</v>
      </c>
    </row>
    <row r="875" spans="6:11" x14ac:dyDescent="0.4">
      <c r="F875" s="1">
        <v>47969</v>
      </c>
      <c r="H875" s="16">
        <f>_A*F875*F875+_B*F875+_C</f>
        <v>440.32320026834344</v>
      </c>
      <c r="I875">
        <f t="shared" si="50"/>
        <v>5</v>
      </c>
      <c r="J875" s="16" cm="1">
        <f t="array" ref="J875">INDEX(Sm,I875)</f>
        <v>3.065687851218776</v>
      </c>
      <c r="K875" s="16">
        <f t="shared" si="51"/>
        <v>443.38888811956224</v>
      </c>
    </row>
    <row r="876" spans="6:11" x14ac:dyDescent="0.4">
      <c r="F876" s="1">
        <v>48000</v>
      </c>
      <c r="H876" s="16">
        <f>_A*F876*F876+_B*F876+_C</f>
        <v>440.55034746505248</v>
      </c>
      <c r="I876">
        <f t="shared" si="50"/>
        <v>6</v>
      </c>
      <c r="J876" s="16" cm="1">
        <f t="array" ref="J876">INDEX(Sm,I876)</f>
        <v>2.3467878996384672</v>
      </c>
      <c r="K876" s="16">
        <f t="shared" si="51"/>
        <v>442.89713536469094</v>
      </c>
    </row>
    <row r="877" spans="6:11" x14ac:dyDescent="0.4">
      <c r="F877" s="1">
        <v>48030</v>
      </c>
      <c r="H877" s="16">
        <f>_A*F877*F877+_B*F877+_C</f>
        <v>440.77034675941405</v>
      </c>
      <c r="I877">
        <f t="shared" si="50"/>
        <v>7</v>
      </c>
      <c r="J877" s="16" cm="1">
        <f t="array" ref="J877">INDEX(Sm,I877)</f>
        <v>0.7237382709437985</v>
      </c>
      <c r="K877" s="16">
        <f t="shared" si="51"/>
        <v>441.49408503035784</v>
      </c>
    </row>
    <row r="878" spans="6:11" x14ac:dyDescent="0.4">
      <c r="F878" s="1">
        <v>48061</v>
      </c>
      <c r="H878" s="16">
        <f>_A*F878*F878+_B*F878+_C</f>
        <v>440.99786477105238</v>
      </c>
      <c r="I878">
        <f t="shared" si="50"/>
        <v>8</v>
      </c>
      <c r="J878" s="16" cm="1">
        <f t="array" ref="J878">INDEX(Sm,I878)</f>
        <v>-1.3971602754957855</v>
      </c>
      <c r="K878" s="16">
        <f t="shared" si="51"/>
        <v>439.60070449555661</v>
      </c>
    </row>
    <row r="879" spans="6:11" x14ac:dyDescent="0.4">
      <c r="F879" s="1">
        <v>48092</v>
      </c>
      <c r="H879" s="16">
        <f>_A*F879*F879+_B*F879+_C</f>
        <v>441.22557122962201</v>
      </c>
      <c r="I879">
        <f t="shared" si="50"/>
        <v>9</v>
      </c>
      <c r="J879" s="16" cm="1">
        <f t="array" ref="J879">INDEX(Sm,I879)</f>
        <v>-3.1930865292764237</v>
      </c>
      <c r="K879" s="16">
        <f t="shared" si="51"/>
        <v>438.03248470034561</v>
      </c>
    </row>
    <row r="880" spans="6:11" x14ac:dyDescent="0.4">
      <c r="F880" s="1">
        <v>48122</v>
      </c>
      <c r="H880" s="16">
        <f>_A*F880*F880+_B*F880+_C</f>
        <v>441.44611174513909</v>
      </c>
      <c r="I880">
        <f t="shared" si="50"/>
        <v>10</v>
      </c>
      <c r="J880" s="16" cm="1">
        <f t="array" ref="J880">INDEX(Sm,I880)</f>
        <v>-3.3364130058083399</v>
      </c>
      <c r="K880" s="16">
        <f t="shared" si="51"/>
        <v>438.10969873933072</v>
      </c>
    </row>
    <row r="881" spans="6:11" x14ac:dyDescent="0.4">
      <c r="F881" s="1">
        <v>48153</v>
      </c>
      <c r="H881" s="16">
        <f>_A*F881*F881+_B*F881+_C</f>
        <v>441.67418901863806</v>
      </c>
      <c r="I881">
        <f t="shared" si="50"/>
        <v>11</v>
      </c>
      <c r="J881" s="16" cm="1">
        <f t="array" ref="J881">INDEX(Sm,I881)</f>
        <v>-2.0587659563291303</v>
      </c>
      <c r="K881" s="16">
        <f t="shared" si="51"/>
        <v>439.61542306230893</v>
      </c>
    </row>
    <row r="882" spans="6:11" x14ac:dyDescent="0.4">
      <c r="F882" s="1">
        <v>48183</v>
      </c>
      <c r="H882" s="16">
        <f>_A*F882*F882+_B*F882+_C</f>
        <v>441.89508838731251</v>
      </c>
      <c r="I882">
        <f t="shared" si="50"/>
        <v>12</v>
      </c>
      <c r="J882" s="16" cm="1">
        <f t="array" ref="J882">INDEX(Sm,I882)</f>
        <v>-0.89092746411398172</v>
      </c>
      <c r="K882" s="16">
        <f t="shared" si="51"/>
        <v>441.00416092319853</v>
      </c>
    </row>
    <row r="883" spans="6:11" x14ac:dyDescent="0.4">
      <c r="F883" s="1">
        <v>48214</v>
      </c>
      <c r="H883" s="16">
        <f>_A*F883*F883+_B*F883+_C</f>
        <v>442.12353647574082</v>
      </c>
      <c r="I883">
        <f t="shared" si="50"/>
        <v>1</v>
      </c>
      <c r="J883" s="16" cm="1">
        <f t="array" ref="J883">INDEX(Sm,I883)</f>
        <v>6.1437948016995841E-2</v>
      </c>
      <c r="K883" s="16">
        <f t="shared" si="51"/>
        <v>442.18497442375781</v>
      </c>
    </row>
    <row r="884" spans="6:11" x14ac:dyDescent="0.4">
      <c r="F884" s="1">
        <v>48245</v>
      </c>
      <c r="H884" s="16">
        <f>_A*F884*F884+_B*F884+_C</f>
        <v>442.35217301110043</v>
      </c>
      <c r="I884">
        <f t="shared" si="50"/>
        <v>2</v>
      </c>
      <c r="J884" s="16" cm="1">
        <f t="array" ref="J884">INDEX(Sm,I884)</f>
        <v>0.69461918939657585</v>
      </c>
      <c r="K884" s="16">
        <f t="shared" si="51"/>
        <v>443.04679220049701</v>
      </c>
    </row>
    <row r="885" spans="6:11" x14ac:dyDescent="0.4">
      <c r="F885" s="1">
        <v>48274</v>
      </c>
      <c r="H885" s="16">
        <f>_A*F885*F885+_B*F885+_C</f>
        <v>442.56622940456401</v>
      </c>
      <c r="I885">
        <f t="shared" si="50"/>
        <v>3</v>
      </c>
      <c r="J885" s="16" cm="1">
        <f t="array" ref="J885">INDEX(Sm,I885)</f>
        <v>1.3737674684313066</v>
      </c>
      <c r="K885" s="16">
        <f t="shared" si="51"/>
        <v>443.93999687299532</v>
      </c>
    </row>
    <row r="886" spans="6:11" x14ac:dyDescent="0.4">
      <c r="F886" s="1">
        <v>48305</v>
      </c>
      <c r="H886" s="16">
        <f>_A*F886*F886+_B*F886+_C</f>
        <v>442.7952306759197</v>
      </c>
      <c r="I886">
        <f t="shared" si="50"/>
        <v>4</v>
      </c>
      <c r="J886" s="16" cm="1">
        <f t="array" ref="J886">INDEX(Sm,I886)</f>
        <v>2.6103146033777413</v>
      </c>
      <c r="K886" s="16">
        <f t="shared" si="51"/>
        <v>445.40554527929743</v>
      </c>
    </row>
    <row r="887" spans="6:11" x14ac:dyDescent="0.4">
      <c r="F887" s="1">
        <v>48335</v>
      </c>
      <c r="H887" s="16">
        <f>_A*F887*F887+_B*F887+_C</f>
        <v>443.01702423606832</v>
      </c>
      <c r="I887">
        <f t="shared" si="50"/>
        <v>5</v>
      </c>
      <c r="J887" s="16" cm="1">
        <f t="array" ref="J887">INDEX(Sm,I887)</f>
        <v>3.065687851218776</v>
      </c>
      <c r="K887" s="16">
        <f t="shared" si="51"/>
        <v>446.08271208728712</v>
      </c>
    </row>
    <row r="888" spans="6:11" x14ac:dyDescent="0.4">
      <c r="F888" s="1">
        <v>48366</v>
      </c>
      <c r="H888" s="16">
        <f>_A*F888*F888+_B*F888+_C</f>
        <v>443.24639632235335</v>
      </c>
      <c r="I888">
        <f t="shared" si="50"/>
        <v>6</v>
      </c>
      <c r="J888" s="16" cm="1">
        <f t="array" ref="J888">INDEX(Sm,I888)</f>
        <v>2.3467878996384672</v>
      </c>
      <c r="K888" s="16">
        <f t="shared" si="51"/>
        <v>445.59318422199181</v>
      </c>
    </row>
    <row r="889" spans="6:11" x14ac:dyDescent="0.4">
      <c r="F889" s="1">
        <v>48396</v>
      </c>
      <c r="H889" s="16">
        <f>_A*F889*F889+_B*F889+_C</f>
        <v>443.46854873565951</v>
      </c>
      <c r="I889">
        <f t="shared" si="50"/>
        <v>7</v>
      </c>
      <c r="J889" s="16" cm="1">
        <f t="array" ref="J889">INDEX(Sm,I889)</f>
        <v>0.7237382709437985</v>
      </c>
      <c r="K889" s="16">
        <f t="shared" si="51"/>
        <v>444.19228700660329</v>
      </c>
    </row>
    <row r="890" spans="6:11" x14ac:dyDescent="0.4">
      <c r="F890" s="1">
        <v>48427</v>
      </c>
      <c r="H890" s="16">
        <f>_A*F890*F890+_B*F890+_C</f>
        <v>443.69829163687382</v>
      </c>
      <c r="I890">
        <f t="shared" si="50"/>
        <v>8</v>
      </c>
      <c r="J890" s="16" cm="1">
        <f t="array" ref="J890">INDEX(Sm,I890)</f>
        <v>-1.3971602754957855</v>
      </c>
      <c r="K890" s="16">
        <f t="shared" si="51"/>
        <v>442.30113136137805</v>
      </c>
    </row>
    <row r="891" spans="6:11" x14ac:dyDescent="0.4">
      <c r="F891" s="1">
        <v>48458</v>
      </c>
      <c r="H891" s="16">
        <f>_A*F891*F891+_B*F891+_C</f>
        <v>443.92822298501949</v>
      </c>
      <c r="I891">
        <f t="shared" si="50"/>
        <v>9</v>
      </c>
      <c r="J891" s="16" cm="1">
        <f t="array" ref="J891">INDEX(Sm,I891)</f>
        <v>-3.1930865292764237</v>
      </c>
      <c r="K891" s="16">
        <f t="shared" si="51"/>
        <v>440.73513645574309</v>
      </c>
    </row>
    <row r="892" spans="6:11" x14ac:dyDescent="0.4">
      <c r="F892" s="1">
        <v>48488</v>
      </c>
      <c r="H892" s="16">
        <f>_A*F892*F892+_B*F892+_C</f>
        <v>444.15091661948105</v>
      </c>
      <c r="I892">
        <f t="shared" si="50"/>
        <v>10</v>
      </c>
      <c r="J892" s="16" cm="1">
        <f t="array" ref="J892">INDEX(Sm,I892)</f>
        <v>-3.3364130058083399</v>
      </c>
      <c r="K892" s="16">
        <f t="shared" si="51"/>
        <v>440.81450361367268</v>
      </c>
    </row>
    <row r="893" spans="6:11" x14ac:dyDescent="0.4">
      <c r="F893" s="1">
        <v>48519</v>
      </c>
      <c r="H893" s="16">
        <f>_A*F893*F893+_B*F893+_C</f>
        <v>444.381218782556</v>
      </c>
      <c r="I893">
        <f t="shared" si="50"/>
        <v>11</v>
      </c>
      <c r="J893" s="16" cm="1">
        <f t="array" ref="J893">INDEX(Sm,I893)</f>
        <v>-2.0587659563291303</v>
      </c>
      <c r="K893" s="16">
        <f t="shared" si="51"/>
        <v>442.32245282622688</v>
      </c>
    </row>
    <row r="894" spans="6:11" x14ac:dyDescent="0.4">
      <c r="F894" s="1">
        <v>48549</v>
      </c>
      <c r="H894" s="16">
        <f>_A*F894*F894+_B*F894+_C</f>
        <v>444.60427127017499</v>
      </c>
      <c r="I894">
        <f t="shared" si="50"/>
        <v>12</v>
      </c>
      <c r="J894" s="16" cm="1">
        <f t="array" ref="J894">INDEX(Sm,I894)</f>
        <v>-0.89092746411398172</v>
      </c>
      <c r="K894" s="16">
        <f t="shared" si="51"/>
        <v>443.713343806061</v>
      </c>
    </row>
    <row r="895" spans="6:11" x14ac:dyDescent="0.4">
      <c r="F895" s="1">
        <v>48580</v>
      </c>
      <c r="H895" s="16">
        <f>_A*F895*F895+_B*F895+_C</f>
        <v>444.83494424817934</v>
      </c>
      <c r="I895">
        <f t="shared" si="50"/>
        <v>1</v>
      </c>
      <c r="J895" s="16" cm="1">
        <f t="array" ref="J895">INDEX(Sm,I895)</f>
        <v>6.1437948016995841E-2</v>
      </c>
      <c r="K895" s="16">
        <f t="shared" si="51"/>
        <v>444.89638219619633</v>
      </c>
    </row>
    <row r="896" spans="6:11" x14ac:dyDescent="0.4">
      <c r="F896" s="1">
        <v>48611</v>
      </c>
      <c r="H896" s="16">
        <f>_A*F896*F896+_B*F896+_C</f>
        <v>445.06580567311488</v>
      </c>
      <c r="I896">
        <f t="shared" si="50"/>
        <v>2</v>
      </c>
      <c r="J896" s="16" cm="1">
        <f t="array" ref="J896">INDEX(Sm,I896)</f>
        <v>0.69461918939657585</v>
      </c>
      <c r="K896" s="16">
        <f t="shared" si="51"/>
        <v>445.76042486251146</v>
      </c>
    </row>
    <row r="897" spans="6:11" x14ac:dyDescent="0.4">
      <c r="F897" s="1">
        <v>48639</v>
      </c>
      <c r="H897" s="16">
        <f>_A*F897*F897+_B*F897+_C</f>
        <v>445.27448764398832</v>
      </c>
      <c r="I897">
        <f t="shared" si="50"/>
        <v>3</v>
      </c>
      <c r="J897" s="16" cm="1">
        <f t="array" ref="J897">INDEX(Sm,I897)</f>
        <v>1.3737674684313066</v>
      </c>
      <c r="K897" s="16">
        <f t="shared" si="51"/>
        <v>446.64825511241963</v>
      </c>
    </row>
    <row r="898" spans="6:11" x14ac:dyDescent="0.4">
      <c r="F898" s="1">
        <v>48670</v>
      </c>
      <c r="H898" s="16">
        <f>_A*F898*F898+_B*F898+_C</f>
        <v>445.50570772598667</v>
      </c>
      <c r="I898">
        <f t="shared" si="50"/>
        <v>4</v>
      </c>
      <c r="J898" s="16" cm="1">
        <f t="array" ref="J898">INDEX(Sm,I898)</f>
        <v>2.6103146033777413</v>
      </c>
      <c r="K898" s="16">
        <f t="shared" si="51"/>
        <v>448.1160223293644</v>
      </c>
    </row>
    <row r="899" spans="6:11" x14ac:dyDescent="0.4">
      <c r="F899" s="1">
        <v>48700</v>
      </c>
      <c r="H899" s="16">
        <f>_A*F899*F899+_B*F899+_C</f>
        <v>445.72964852224123</v>
      </c>
      <c r="I899">
        <f t="shared" ref="I899:I962" si="52">MONTH(F899)</f>
        <v>5</v>
      </c>
      <c r="J899" s="16" cm="1">
        <f t="array" ref="J899">INDEX(Sm,I899)</f>
        <v>3.065687851218776</v>
      </c>
      <c r="K899" s="16">
        <f t="shared" ref="K899:K962" si="53">H899+J899</f>
        <v>448.79533637346003</v>
      </c>
    </row>
    <row r="900" spans="6:11" x14ac:dyDescent="0.4">
      <c r="F900" s="1">
        <v>48731</v>
      </c>
      <c r="H900" s="16">
        <f>_A*F900*F900+_B*F900+_C</f>
        <v>445.96123941916903</v>
      </c>
      <c r="I900">
        <f t="shared" si="52"/>
        <v>6</v>
      </c>
      <c r="J900" s="16" cm="1">
        <f t="array" ref="J900">INDEX(Sm,I900)</f>
        <v>2.3467878996384672</v>
      </c>
      <c r="K900" s="16">
        <f t="shared" si="53"/>
        <v>448.30802731880749</v>
      </c>
    </row>
    <row r="901" spans="6:11" x14ac:dyDescent="0.4">
      <c r="F901" s="1">
        <v>48761</v>
      </c>
      <c r="H901" s="16">
        <f>_A*F901*F901+_B*F901+_C</f>
        <v>446.18553906858097</v>
      </c>
      <c r="I901">
        <f t="shared" si="52"/>
        <v>7</v>
      </c>
      <c r="J901" s="16" cm="1">
        <f t="array" ref="J901">INDEX(Sm,I901)</f>
        <v>0.7237382709437985</v>
      </c>
      <c r="K901" s="16">
        <f t="shared" si="53"/>
        <v>446.90927733952475</v>
      </c>
    </row>
    <row r="902" spans="6:11" x14ac:dyDescent="0.4">
      <c r="F902" s="1">
        <v>48792</v>
      </c>
      <c r="H902" s="16">
        <f>_A*F902*F902+_B*F902+_C</f>
        <v>446.41750078043805</v>
      </c>
      <c r="I902">
        <f t="shared" si="52"/>
        <v>8</v>
      </c>
      <c r="J902" s="16" cm="1">
        <f t="array" ref="J902">INDEX(Sm,I902)</f>
        <v>-1.3971602754957855</v>
      </c>
      <c r="K902" s="16">
        <f t="shared" si="53"/>
        <v>445.02034050494228</v>
      </c>
    </row>
    <row r="903" spans="6:11" x14ac:dyDescent="0.4">
      <c r="F903" s="1">
        <v>48823</v>
      </c>
      <c r="H903" s="16">
        <f>_A*F903*F903+_B*F903+_C</f>
        <v>446.64965093922643</v>
      </c>
      <c r="I903">
        <f t="shared" si="52"/>
        <v>9</v>
      </c>
      <c r="J903" s="16" cm="1">
        <f t="array" ref="J903">INDEX(Sm,I903)</f>
        <v>-3.1930865292764237</v>
      </c>
      <c r="K903" s="16">
        <f t="shared" si="53"/>
        <v>443.45656440995003</v>
      </c>
    </row>
    <row r="904" spans="6:11" x14ac:dyDescent="0.4">
      <c r="F904" s="1">
        <v>48853</v>
      </c>
      <c r="H904" s="16">
        <f>_A*F904*F904+_B*F904+_C</f>
        <v>446.87449180979382</v>
      </c>
      <c r="I904">
        <f t="shared" si="52"/>
        <v>10</v>
      </c>
      <c r="J904" s="16" cm="1">
        <f t="array" ref="J904">INDEX(Sm,I904)</f>
        <v>-3.3364130058083399</v>
      </c>
      <c r="K904" s="16">
        <f t="shared" si="53"/>
        <v>443.53807880398546</v>
      </c>
    </row>
    <row r="905" spans="6:11" x14ac:dyDescent="0.4">
      <c r="F905" s="1">
        <v>48884</v>
      </c>
      <c r="H905" s="16">
        <f>_A*F905*F905+_B*F905+_C</f>
        <v>447.10701278351155</v>
      </c>
      <c r="I905">
        <f t="shared" si="52"/>
        <v>11</v>
      </c>
      <c r="J905" s="16" cm="1">
        <f t="array" ref="J905">INDEX(Sm,I905)</f>
        <v>-2.0587659563291303</v>
      </c>
      <c r="K905" s="16">
        <f t="shared" si="53"/>
        <v>445.04824682718242</v>
      </c>
    </row>
    <row r="906" spans="6:11" x14ac:dyDescent="0.4">
      <c r="F906" s="1">
        <v>48914</v>
      </c>
      <c r="H906" s="16">
        <f>_A*F906*F906+_B*F906+_C</f>
        <v>447.33221250723642</v>
      </c>
      <c r="I906">
        <f t="shared" si="52"/>
        <v>12</v>
      </c>
      <c r="J906" s="16" cm="1">
        <f t="array" ref="J906">INDEX(Sm,I906)</f>
        <v>-0.89092746411398172</v>
      </c>
      <c r="K906" s="16">
        <f t="shared" si="53"/>
        <v>446.44128504312243</v>
      </c>
    </row>
    <row r="907" spans="6:11" x14ac:dyDescent="0.4">
      <c r="F907" s="1">
        <v>48945</v>
      </c>
      <c r="H907" s="16">
        <f>_A*F907*F907+_B*F907+_C</f>
        <v>447.56510429588343</v>
      </c>
      <c r="I907">
        <f t="shared" si="52"/>
        <v>1</v>
      </c>
      <c r="J907" s="16" cm="1">
        <f t="array" ref="J907">INDEX(Sm,I907)</f>
        <v>6.1437948016995841E-2</v>
      </c>
      <c r="K907" s="16">
        <f t="shared" si="53"/>
        <v>447.62654224390042</v>
      </c>
    </row>
    <row r="908" spans="6:11" x14ac:dyDescent="0.4">
      <c r="F908" s="1">
        <v>48976</v>
      </c>
      <c r="H908" s="16">
        <f>_A*F908*F908+_B*F908+_C</f>
        <v>447.79818453146174</v>
      </c>
      <c r="I908">
        <f t="shared" si="52"/>
        <v>2</v>
      </c>
      <c r="J908" s="16" cm="1">
        <f t="array" ref="J908">INDEX(Sm,I908)</f>
        <v>0.69461918939657585</v>
      </c>
      <c r="K908" s="16">
        <f t="shared" si="53"/>
        <v>448.49280372085832</v>
      </c>
    </row>
    <row r="909" spans="6:11" x14ac:dyDescent="0.4">
      <c r="F909" s="1">
        <v>49004</v>
      </c>
      <c r="H909" s="16">
        <f>_A*F909*F909+_B*F909+_C</f>
        <v>448.00887058936729</v>
      </c>
      <c r="I909">
        <f t="shared" si="52"/>
        <v>3</v>
      </c>
      <c r="J909" s="16" cm="1">
        <f t="array" ref="J909">INDEX(Sm,I909)</f>
        <v>1.3737674684313066</v>
      </c>
      <c r="K909" s="16">
        <f t="shared" si="53"/>
        <v>449.3826380577986</v>
      </c>
    </row>
    <row r="910" spans="6:11" x14ac:dyDescent="0.4">
      <c r="F910" s="1">
        <v>49035</v>
      </c>
      <c r="H910" s="16">
        <f>_A*F910*F910+_B*F910+_C</f>
        <v>448.24230948200841</v>
      </c>
      <c r="I910">
        <f t="shared" si="52"/>
        <v>4</v>
      </c>
      <c r="J910" s="16" cm="1">
        <f t="array" ref="J910">INDEX(Sm,I910)</f>
        <v>2.6103146033777413</v>
      </c>
      <c r="K910" s="16">
        <f t="shared" si="53"/>
        <v>450.85262408538614</v>
      </c>
    </row>
    <row r="911" spans="6:11" x14ac:dyDescent="0.4">
      <c r="F911" s="1">
        <v>49065</v>
      </c>
      <c r="H911" s="16">
        <f>_A*F911*F911+_B*F911+_C</f>
        <v>448.46839751436886</v>
      </c>
      <c r="I911">
        <f t="shared" si="52"/>
        <v>5</v>
      </c>
      <c r="J911" s="16" cm="1">
        <f t="array" ref="J911">INDEX(Sm,I911)</f>
        <v>3.065687851218776</v>
      </c>
      <c r="K911" s="16">
        <f t="shared" si="53"/>
        <v>451.53408536558766</v>
      </c>
    </row>
    <row r="912" spans="6:11" x14ac:dyDescent="0.4">
      <c r="F912" s="1">
        <v>49096</v>
      </c>
      <c r="H912" s="16">
        <f>_A*F912*F912+_B*F912+_C</f>
        <v>448.70220722193932</v>
      </c>
      <c r="I912">
        <f t="shared" si="52"/>
        <v>6</v>
      </c>
      <c r="J912" s="16" cm="1">
        <f t="array" ref="J912">INDEX(Sm,I912)</f>
        <v>2.3467878996384672</v>
      </c>
      <c r="K912" s="16">
        <f t="shared" si="53"/>
        <v>451.04899512157778</v>
      </c>
    </row>
    <row r="913" spans="6:11" x14ac:dyDescent="0.4">
      <c r="F913" s="1">
        <v>49126</v>
      </c>
      <c r="H913" s="16">
        <f>_A*F913*F913+_B*F913+_C</f>
        <v>448.92865410745719</v>
      </c>
      <c r="I913">
        <f t="shared" si="52"/>
        <v>7</v>
      </c>
      <c r="J913" s="16" cm="1">
        <f t="array" ref="J913">INDEX(Sm,I913)</f>
        <v>0.7237382709437985</v>
      </c>
      <c r="K913" s="16">
        <f t="shared" si="53"/>
        <v>449.65239237840098</v>
      </c>
    </row>
    <row r="914" spans="6:11" x14ac:dyDescent="0.4">
      <c r="F914" s="1">
        <v>49157</v>
      </c>
      <c r="H914" s="16">
        <f>_A*F914*F914+_B*F914+_C</f>
        <v>449.16283462995693</v>
      </c>
      <c r="I914">
        <f t="shared" si="52"/>
        <v>8</v>
      </c>
      <c r="J914" s="16" cm="1">
        <f t="array" ref="J914">INDEX(Sm,I914)</f>
        <v>-1.3971602754957855</v>
      </c>
      <c r="K914" s="16">
        <f t="shared" si="53"/>
        <v>447.76567435446117</v>
      </c>
    </row>
    <row r="915" spans="6:11" x14ac:dyDescent="0.4">
      <c r="F915" s="1">
        <v>49188</v>
      </c>
      <c r="H915" s="16">
        <f>_A*F915*F915+_B*F915+_C</f>
        <v>449.39720359938804</v>
      </c>
      <c r="I915">
        <f t="shared" si="52"/>
        <v>9</v>
      </c>
      <c r="J915" s="16" cm="1">
        <f t="array" ref="J915">INDEX(Sm,I915)</f>
        <v>-3.1930865292764237</v>
      </c>
      <c r="K915" s="16">
        <f t="shared" si="53"/>
        <v>446.20411707011164</v>
      </c>
    </row>
    <row r="916" spans="6:11" x14ac:dyDescent="0.4">
      <c r="F916" s="1">
        <v>49218</v>
      </c>
      <c r="H916" s="16">
        <f>_A*F916*F916+_B*F916+_C</f>
        <v>449.62419170606137</v>
      </c>
      <c r="I916">
        <f t="shared" si="52"/>
        <v>10</v>
      </c>
      <c r="J916" s="16" cm="1">
        <f t="array" ref="J916">INDEX(Sm,I916)</f>
        <v>-3.3364130058083399</v>
      </c>
      <c r="K916" s="16">
        <f t="shared" si="53"/>
        <v>446.287778700253</v>
      </c>
    </row>
    <row r="917" spans="6:11" x14ac:dyDescent="0.4">
      <c r="F917" s="1">
        <v>49249</v>
      </c>
      <c r="H917" s="16">
        <f>_A*F917*F917+_B*F917+_C</f>
        <v>449.85893149042175</v>
      </c>
      <c r="I917">
        <f t="shared" si="52"/>
        <v>11</v>
      </c>
      <c r="J917" s="16" cm="1">
        <f t="array" ref="J917">INDEX(Sm,I917)</f>
        <v>-2.0587659563291303</v>
      </c>
      <c r="K917" s="16">
        <f t="shared" si="53"/>
        <v>447.80016553409263</v>
      </c>
    </row>
    <row r="918" spans="6:11" x14ac:dyDescent="0.4">
      <c r="F918" s="1">
        <v>49279</v>
      </c>
      <c r="H918" s="16">
        <f>_A*F918*F918+_B*F918+_C</f>
        <v>450.08627845025251</v>
      </c>
      <c r="I918">
        <f t="shared" si="52"/>
        <v>12</v>
      </c>
      <c r="J918" s="16" cm="1">
        <f t="array" ref="J918">INDEX(Sm,I918)</f>
        <v>-0.89092746411398172</v>
      </c>
      <c r="K918" s="16">
        <f t="shared" si="53"/>
        <v>449.19535098613852</v>
      </c>
    </row>
    <row r="919" spans="6:11" x14ac:dyDescent="0.4">
      <c r="F919" s="1">
        <v>49310</v>
      </c>
      <c r="H919" s="16">
        <f>_A*F919*F919+_B*F919+_C</f>
        <v>450.32138904954229</v>
      </c>
      <c r="I919">
        <f t="shared" si="52"/>
        <v>1</v>
      </c>
      <c r="J919" s="16" cm="1">
        <f t="array" ref="J919">INDEX(Sm,I919)</f>
        <v>6.1437948016995841E-2</v>
      </c>
      <c r="K919" s="16">
        <f t="shared" si="53"/>
        <v>450.38282699755928</v>
      </c>
    </row>
    <row r="920" spans="6:11" x14ac:dyDescent="0.4">
      <c r="F920" s="1">
        <v>49341</v>
      </c>
      <c r="H920" s="16">
        <f>_A*F920*F920+_B*F920+_C</f>
        <v>450.55668809576332</v>
      </c>
      <c r="I920">
        <f t="shared" si="52"/>
        <v>2</v>
      </c>
      <c r="J920" s="16" cm="1">
        <f t="array" ref="J920">INDEX(Sm,I920)</f>
        <v>0.69461918939657585</v>
      </c>
      <c r="K920" s="16">
        <f t="shared" si="53"/>
        <v>451.2513072851599</v>
      </c>
    </row>
    <row r="921" spans="6:11" x14ac:dyDescent="0.4">
      <c r="F921" s="1">
        <v>49369</v>
      </c>
      <c r="H921" s="16">
        <f>_A*F921*F921+_B*F921+_C</f>
        <v>450.76937824070097</v>
      </c>
      <c r="I921">
        <f t="shared" si="52"/>
        <v>3</v>
      </c>
      <c r="J921" s="16" cm="1">
        <f t="array" ref="J921">INDEX(Sm,I921)</f>
        <v>1.3737674684313066</v>
      </c>
      <c r="K921" s="16">
        <f t="shared" si="53"/>
        <v>452.14314570913228</v>
      </c>
    </row>
    <row r="922" spans="6:11" x14ac:dyDescent="0.4">
      <c r="F922" s="1">
        <v>49400</v>
      </c>
      <c r="H922" s="16">
        <f>_A*F922*F922+_B*F922+_C</f>
        <v>451.00503594398486</v>
      </c>
      <c r="I922">
        <f t="shared" si="52"/>
        <v>4</v>
      </c>
      <c r="J922" s="16" cm="1">
        <f t="array" ref="J922">INDEX(Sm,I922)</f>
        <v>2.6103146033777413</v>
      </c>
      <c r="K922" s="16">
        <f t="shared" si="53"/>
        <v>453.6153505473626</v>
      </c>
    </row>
    <row r="923" spans="6:11" x14ac:dyDescent="0.4">
      <c r="F923" s="1">
        <v>49430</v>
      </c>
      <c r="H923" s="16">
        <f>_A*F923*F923+_B*F923+_C</f>
        <v>451.2332712124512</v>
      </c>
      <c r="I923">
        <f t="shared" si="52"/>
        <v>5</v>
      </c>
      <c r="J923" s="16" cm="1">
        <f t="array" ref="J923">INDEX(Sm,I923)</f>
        <v>3.065687851218776</v>
      </c>
      <c r="K923" s="16">
        <f t="shared" si="53"/>
        <v>454.29895906367</v>
      </c>
    </row>
    <row r="924" spans="6:11" x14ac:dyDescent="0.4">
      <c r="F924" s="1">
        <v>49461</v>
      </c>
      <c r="H924" s="16">
        <f>_A*F924*F924+_B*F924+_C</f>
        <v>451.46929973066437</v>
      </c>
      <c r="I924">
        <f t="shared" si="52"/>
        <v>6</v>
      </c>
      <c r="J924" s="16" cm="1">
        <f t="array" ref="J924">INDEX(Sm,I924)</f>
        <v>2.3467878996384672</v>
      </c>
      <c r="K924" s="16">
        <f t="shared" si="53"/>
        <v>453.81608763030283</v>
      </c>
    </row>
    <row r="925" spans="6:11" x14ac:dyDescent="0.4">
      <c r="F925" s="1">
        <v>49491</v>
      </c>
      <c r="H925" s="16">
        <f>_A*F925*F925+_B*F925+_C</f>
        <v>451.69789385228808</v>
      </c>
      <c r="I925">
        <f t="shared" si="52"/>
        <v>7</v>
      </c>
      <c r="J925" s="16" cm="1">
        <f t="array" ref="J925">INDEX(Sm,I925)</f>
        <v>0.7237382709437985</v>
      </c>
      <c r="K925" s="16">
        <f t="shared" si="53"/>
        <v>452.42163212323186</v>
      </c>
    </row>
    <row r="926" spans="6:11" x14ac:dyDescent="0.4">
      <c r="F926" s="1">
        <v>49522</v>
      </c>
      <c r="H926" s="16">
        <f>_A*F926*F926+_B*F926+_C</f>
        <v>451.93429318543059</v>
      </c>
      <c r="I926">
        <f t="shared" si="52"/>
        <v>8</v>
      </c>
      <c r="J926" s="16" cm="1">
        <f t="array" ref="J926">INDEX(Sm,I926)</f>
        <v>-1.3971602754957855</v>
      </c>
      <c r="K926" s="16">
        <f t="shared" si="53"/>
        <v>450.53713290993483</v>
      </c>
    </row>
    <row r="927" spans="6:11" x14ac:dyDescent="0.4">
      <c r="F927" s="1">
        <v>49553</v>
      </c>
      <c r="H927" s="16">
        <f>_A*F927*F927+_B*F927+_C</f>
        <v>452.17088096550441</v>
      </c>
      <c r="I927">
        <f t="shared" si="52"/>
        <v>9</v>
      </c>
      <c r="J927" s="16" cm="1">
        <f t="array" ref="J927">INDEX(Sm,I927)</f>
        <v>-3.1930865292764237</v>
      </c>
      <c r="K927" s="16">
        <f t="shared" si="53"/>
        <v>448.97779443622801</v>
      </c>
    </row>
    <row r="928" spans="6:11" x14ac:dyDescent="0.4">
      <c r="F928" s="1">
        <v>49583</v>
      </c>
      <c r="H928" s="16">
        <f>_A*F928*F928+_B*F928+_C</f>
        <v>452.40001630828357</v>
      </c>
      <c r="I928">
        <f t="shared" si="52"/>
        <v>10</v>
      </c>
      <c r="J928" s="16" cm="1">
        <f t="array" ref="J928">INDEX(Sm,I928)</f>
        <v>-3.3364130058083399</v>
      </c>
      <c r="K928" s="16">
        <f t="shared" si="53"/>
        <v>449.0636033024752</v>
      </c>
    </row>
    <row r="929" spans="6:11" x14ac:dyDescent="0.4">
      <c r="F929" s="1">
        <v>49614</v>
      </c>
      <c r="H929" s="16">
        <f>_A*F929*F929+_B*F929+_C</f>
        <v>452.63697490328673</v>
      </c>
      <c r="I929">
        <f t="shared" si="52"/>
        <v>11</v>
      </c>
      <c r="J929" s="16" cm="1">
        <f t="array" ref="J929">INDEX(Sm,I929)</f>
        <v>-2.0587659563291303</v>
      </c>
      <c r="K929" s="16">
        <f t="shared" si="53"/>
        <v>450.5782089469576</v>
      </c>
    </row>
    <row r="930" spans="6:11" x14ac:dyDescent="0.4">
      <c r="F930" s="1">
        <v>49644</v>
      </c>
      <c r="H930" s="16">
        <f>_A*F930*F930+_B*F930+_C</f>
        <v>452.86646909922337</v>
      </c>
      <c r="I930">
        <f t="shared" si="52"/>
        <v>12</v>
      </c>
      <c r="J930" s="16" cm="1">
        <f t="array" ref="J930">INDEX(Sm,I930)</f>
        <v>-0.89092746411398172</v>
      </c>
      <c r="K930" s="16">
        <f t="shared" si="53"/>
        <v>451.97554163510938</v>
      </c>
    </row>
    <row r="931" spans="6:11" x14ac:dyDescent="0.4">
      <c r="F931" s="1">
        <v>49675</v>
      </c>
      <c r="H931" s="16">
        <f>_A*F931*F931+_B*F931+_C</f>
        <v>453.10379850915581</v>
      </c>
      <c r="I931">
        <f t="shared" si="52"/>
        <v>1</v>
      </c>
      <c r="J931" s="16" cm="1">
        <f t="array" ref="J931">INDEX(Sm,I931)</f>
        <v>6.1437948016995841E-2</v>
      </c>
      <c r="K931" s="16">
        <f t="shared" si="53"/>
        <v>453.1652364571728</v>
      </c>
    </row>
    <row r="932" spans="6:11" x14ac:dyDescent="0.4">
      <c r="F932" s="1">
        <v>49706</v>
      </c>
      <c r="H932" s="16">
        <f>_A*F932*F932+_B*F932+_C</f>
        <v>453.34131636601961</v>
      </c>
      <c r="I932">
        <f t="shared" si="52"/>
        <v>2</v>
      </c>
      <c r="J932" s="16" cm="1">
        <f t="array" ref="J932">INDEX(Sm,I932)</f>
        <v>0.69461918939657585</v>
      </c>
      <c r="K932" s="16">
        <f t="shared" si="53"/>
        <v>454.03593555541619</v>
      </c>
    </row>
    <row r="933" spans="6:11" x14ac:dyDescent="0.4">
      <c r="F933" s="1">
        <v>49735</v>
      </c>
      <c r="H933" s="16">
        <f>_A*F933*F933+_B*F933+_C</f>
        <v>453.56368109250326</v>
      </c>
      <c r="I933">
        <f t="shared" si="52"/>
        <v>3</v>
      </c>
      <c r="J933" s="16" cm="1">
        <f t="array" ref="J933">INDEX(Sm,I933)</f>
        <v>1.3737674684313066</v>
      </c>
      <c r="K933" s="16">
        <f t="shared" si="53"/>
        <v>454.93744856093457</v>
      </c>
    </row>
    <row r="934" spans="6:11" x14ac:dyDescent="0.4">
      <c r="F934" s="1">
        <v>49766</v>
      </c>
      <c r="H934" s="16">
        <f>_A*F934*F934+_B*F934+_C</f>
        <v>453.80156368536308</v>
      </c>
      <c r="I934">
        <f t="shared" si="52"/>
        <v>4</v>
      </c>
      <c r="J934" s="16" cm="1">
        <f t="array" ref="J934">INDEX(Sm,I934)</f>
        <v>2.6103146033777413</v>
      </c>
      <c r="K934" s="16">
        <f t="shared" si="53"/>
        <v>456.41187828874081</v>
      </c>
    </row>
    <row r="935" spans="6:11" x14ac:dyDescent="0.4">
      <c r="F935" s="1">
        <v>49796</v>
      </c>
      <c r="H935" s="16">
        <f>_A*F935*F935+_B*F935+_C</f>
        <v>454.03195207277395</v>
      </c>
      <c r="I935">
        <f t="shared" si="52"/>
        <v>5</v>
      </c>
      <c r="J935" s="16" cm="1">
        <f t="array" ref="J935">INDEX(Sm,I935)</f>
        <v>3.065687851218776</v>
      </c>
      <c r="K935" s="16">
        <f t="shared" si="53"/>
        <v>457.09763992399274</v>
      </c>
    </row>
    <row r="936" spans="6:11" x14ac:dyDescent="0.4">
      <c r="F936" s="1">
        <v>49827</v>
      </c>
      <c r="H936" s="16">
        <f>_A*F936*F936+_B*F936+_C</f>
        <v>454.27020548056311</v>
      </c>
      <c r="I936">
        <f t="shared" si="52"/>
        <v>6</v>
      </c>
      <c r="J936" s="16" cm="1">
        <f t="array" ref="J936">INDEX(Sm,I936)</f>
        <v>2.3467878996384672</v>
      </c>
      <c r="K936" s="16">
        <f t="shared" si="53"/>
        <v>456.61699338020156</v>
      </c>
    </row>
    <row r="937" spans="6:11" x14ac:dyDescent="0.4">
      <c r="F937" s="1">
        <v>49857</v>
      </c>
      <c r="H937" s="16">
        <f>_A*F937*F937+_B*F937+_C</f>
        <v>454.50095272113134</v>
      </c>
      <c r="I937">
        <f t="shared" si="52"/>
        <v>7</v>
      </c>
      <c r="J937" s="16" cm="1">
        <f t="array" ref="J937">INDEX(Sm,I937)</f>
        <v>0.7237382709437985</v>
      </c>
      <c r="K937" s="16">
        <f t="shared" si="53"/>
        <v>455.22469099207512</v>
      </c>
    </row>
    <row r="938" spans="6:11" x14ac:dyDescent="0.4">
      <c r="F938" s="1">
        <v>49888</v>
      </c>
      <c r="H938" s="16">
        <f>_A*F938*F938+_B*F938+_C</f>
        <v>454.73957694384984</v>
      </c>
      <c r="I938">
        <f t="shared" si="52"/>
        <v>8</v>
      </c>
      <c r="J938" s="16" cm="1">
        <f t="array" ref="J938">INDEX(Sm,I938)</f>
        <v>-1.3971602754957855</v>
      </c>
      <c r="K938" s="16">
        <f t="shared" si="53"/>
        <v>453.34241666835408</v>
      </c>
    </row>
    <row r="939" spans="6:11" x14ac:dyDescent="0.4">
      <c r="F939" s="1">
        <v>49919</v>
      </c>
      <c r="H939" s="16">
        <f>_A*F939*F939+_B*F939+_C</f>
        <v>454.97838961349964</v>
      </c>
      <c r="I939">
        <f t="shared" si="52"/>
        <v>9</v>
      </c>
      <c r="J939" s="16" cm="1">
        <f t="array" ref="J939">INDEX(Sm,I939)</f>
        <v>-3.1930865292764237</v>
      </c>
      <c r="K939" s="16">
        <f t="shared" si="53"/>
        <v>451.78530308422324</v>
      </c>
    </row>
    <row r="940" spans="6:11" x14ac:dyDescent="0.4">
      <c r="F940" s="1">
        <v>49949</v>
      </c>
      <c r="H940" s="16">
        <f>_A*F940*F940+_B*F940+_C</f>
        <v>455.20967807522339</v>
      </c>
      <c r="I940">
        <f t="shared" si="52"/>
        <v>10</v>
      </c>
      <c r="J940" s="16" cm="1">
        <f t="array" ref="J940">INDEX(Sm,I940)</f>
        <v>-3.3364130058083399</v>
      </c>
      <c r="K940" s="16">
        <f t="shared" si="53"/>
        <v>451.87326506941503</v>
      </c>
    </row>
    <row r="941" spans="6:11" x14ac:dyDescent="0.4">
      <c r="F941" s="1">
        <v>49980</v>
      </c>
      <c r="H941" s="16">
        <f>_A*F941*F941+_B*F941+_C</f>
        <v>455.44886155980248</v>
      </c>
      <c r="I941">
        <f t="shared" si="52"/>
        <v>11</v>
      </c>
      <c r="J941" s="16" cm="1">
        <f t="array" ref="J941">INDEX(Sm,I941)</f>
        <v>-2.0587659563291303</v>
      </c>
      <c r="K941" s="16">
        <f t="shared" si="53"/>
        <v>453.39009560347336</v>
      </c>
    </row>
    <row r="942" spans="6:11" x14ac:dyDescent="0.4">
      <c r="F942" s="1">
        <v>50010</v>
      </c>
      <c r="H942" s="16">
        <f>_A*F942*F942+_B*F942+_C</f>
        <v>455.6805088746836</v>
      </c>
      <c r="I942">
        <f t="shared" si="52"/>
        <v>12</v>
      </c>
      <c r="J942" s="16" cm="1">
        <f t="array" ref="J942">INDEX(Sm,I942)</f>
        <v>-0.89092746411398172</v>
      </c>
      <c r="K942" s="16">
        <f t="shared" si="53"/>
        <v>454.78958141056961</v>
      </c>
    </row>
    <row r="943" spans="6:11" x14ac:dyDescent="0.4">
      <c r="F943" s="1">
        <v>50041</v>
      </c>
      <c r="H943" s="16">
        <f>_A*F943*F943+_B*F943+_C</f>
        <v>455.92006317419208</v>
      </c>
      <c r="I943">
        <f t="shared" si="52"/>
        <v>1</v>
      </c>
      <c r="J943" s="16" cm="1">
        <f t="array" ref="J943">INDEX(Sm,I943)</f>
        <v>6.1437948016995841E-2</v>
      </c>
      <c r="K943" s="16">
        <f t="shared" si="53"/>
        <v>455.98150112220907</v>
      </c>
    </row>
    <row r="944" spans="6:11" x14ac:dyDescent="0.4">
      <c r="F944" s="1">
        <v>50072</v>
      </c>
      <c r="H944" s="16">
        <f>_A*F944*F944+_B*F944+_C</f>
        <v>456.15980592063187</v>
      </c>
      <c r="I944">
        <f t="shared" si="52"/>
        <v>2</v>
      </c>
      <c r="J944" s="16" cm="1">
        <f t="array" ref="J944">INDEX(Sm,I944)</f>
        <v>0.69461918939657585</v>
      </c>
      <c r="K944" s="16">
        <f t="shared" si="53"/>
        <v>456.85442511002844</v>
      </c>
    </row>
    <row r="945" spans="6:11" x14ac:dyDescent="0.4">
      <c r="F945" s="1">
        <v>50100</v>
      </c>
      <c r="H945" s="16">
        <f>_A*F945*F945+_B*F945+_C</f>
        <v>456.37650973028326</v>
      </c>
      <c r="I945">
        <f t="shared" si="52"/>
        <v>3</v>
      </c>
      <c r="J945" s="16" cm="1">
        <f t="array" ref="J945">INDEX(Sm,I945)</f>
        <v>1.3737674684313066</v>
      </c>
      <c r="K945" s="16">
        <f t="shared" si="53"/>
        <v>457.75027719871457</v>
      </c>
    </row>
    <row r="946" spans="6:11" x14ac:dyDescent="0.4">
      <c r="F946" s="1">
        <v>50131</v>
      </c>
      <c r="H946" s="16">
        <f>_A*F946*F946+_B*F946+_C</f>
        <v>456.61661113378585</v>
      </c>
      <c r="I946">
        <f t="shared" si="52"/>
        <v>4</v>
      </c>
      <c r="J946" s="16" cm="1">
        <f t="array" ref="J946">INDEX(Sm,I946)</f>
        <v>2.6103146033777413</v>
      </c>
      <c r="K946" s="16">
        <f t="shared" si="53"/>
        <v>459.22692573716358</v>
      </c>
    </row>
    <row r="947" spans="6:11" x14ac:dyDescent="0.4">
      <c r="F947" s="1">
        <v>50161</v>
      </c>
      <c r="H947" s="16">
        <f>_A*F947*F947+_B*F947+_C</f>
        <v>456.84914675730255</v>
      </c>
      <c r="I947">
        <f t="shared" si="52"/>
        <v>5</v>
      </c>
      <c r="J947" s="16" cm="1">
        <f t="array" ref="J947">INDEX(Sm,I947)</f>
        <v>3.065687851218776</v>
      </c>
      <c r="K947" s="16">
        <f t="shared" si="53"/>
        <v>459.91483460852135</v>
      </c>
    </row>
    <row r="948" spans="6:11" x14ac:dyDescent="0.4">
      <c r="F948" s="1">
        <v>50192</v>
      </c>
      <c r="H948" s="16">
        <f>_A*F948*F948+_B*F948+_C</f>
        <v>457.08961897573442</v>
      </c>
      <c r="I948">
        <f t="shared" si="52"/>
        <v>6</v>
      </c>
      <c r="J948" s="16" cm="1">
        <f t="array" ref="J948">INDEX(Sm,I948)</f>
        <v>2.3467878996384672</v>
      </c>
      <c r="K948" s="16">
        <f t="shared" si="53"/>
        <v>459.43640687537288</v>
      </c>
    </row>
    <row r="949" spans="6:11" x14ac:dyDescent="0.4">
      <c r="F949" s="1">
        <v>50222</v>
      </c>
      <c r="H949" s="16">
        <f>_A*F949*F949+_B*F949+_C</f>
        <v>457.32251345240854</v>
      </c>
      <c r="I949">
        <f t="shared" si="52"/>
        <v>7</v>
      </c>
      <c r="J949" s="16" cm="1">
        <f t="array" ref="J949">INDEX(Sm,I949)</f>
        <v>0.7237382709437985</v>
      </c>
      <c r="K949" s="16">
        <f t="shared" si="53"/>
        <v>458.04625172335233</v>
      </c>
    </row>
    <row r="950" spans="6:11" x14ac:dyDescent="0.4">
      <c r="F950" s="1">
        <v>50253</v>
      </c>
      <c r="H950" s="16">
        <f>_A*F950*F950+_B*F950+_C</f>
        <v>457.56335648576982</v>
      </c>
      <c r="I950">
        <f t="shared" si="52"/>
        <v>8</v>
      </c>
      <c r="J950" s="16" cm="1">
        <f t="array" ref="J950">INDEX(Sm,I950)</f>
        <v>-1.3971602754957855</v>
      </c>
      <c r="K950" s="16">
        <f t="shared" si="53"/>
        <v>456.16619621027405</v>
      </c>
    </row>
    <row r="951" spans="6:11" x14ac:dyDescent="0.4">
      <c r="F951" s="1">
        <v>50284</v>
      </c>
      <c r="H951" s="16">
        <f>_A*F951*F951+_B*F951+_C</f>
        <v>457.80438796606234</v>
      </c>
      <c r="I951">
        <f t="shared" si="52"/>
        <v>9</v>
      </c>
      <c r="J951" s="16" cm="1">
        <f t="array" ref="J951">INDEX(Sm,I951)</f>
        <v>-3.1930865292764237</v>
      </c>
      <c r="K951" s="16">
        <f t="shared" si="53"/>
        <v>454.61130143678594</v>
      </c>
    </row>
    <row r="952" spans="6:11" x14ac:dyDescent="0.4">
      <c r="F952" s="1">
        <v>50314</v>
      </c>
      <c r="H952" s="16">
        <f>_A*F952*F952+_B*F952+_C</f>
        <v>458.03782366389191</v>
      </c>
      <c r="I952">
        <f t="shared" si="52"/>
        <v>10</v>
      </c>
      <c r="J952" s="16" cm="1">
        <f t="array" ref="J952">INDEX(Sm,I952)</f>
        <v>-3.3364130058083399</v>
      </c>
      <c r="K952" s="16">
        <f t="shared" si="53"/>
        <v>454.70141065808355</v>
      </c>
    </row>
    <row r="953" spans="6:11" x14ac:dyDescent="0.4">
      <c r="F953" s="1">
        <v>50345</v>
      </c>
      <c r="H953" s="16">
        <f>_A*F953*F953+_B*F953+_C</f>
        <v>458.27922595911377</v>
      </c>
      <c r="I953">
        <f t="shared" si="52"/>
        <v>11</v>
      </c>
      <c r="J953" s="16" cm="1">
        <f t="array" ref="J953">INDEX(Sm,I953)</f>
        <v>-2.0587659563291303</v>
      </c>
      <c r="K953" s="16">
        <f t="shared" si="53"/>
        <v>456.22046000278465</v>
      </c>
    </row>
    <row r="954" spans="6:11" x14ac:dyDescent="0.4">
      <c r="F954" s="1">
        <v>50375</v>
      </c>
      <c r="H954" s="16">
        <f>_A*F954*F954+_B*F954+_C</f>
        <v>458.51302051010072</v>
      </c>
      <c r="I954">
        <f t="shared" si="52"/>
        <v>12</v>
      </c>
      <c r="J954" s="16" cm="1">
        <f t="array" ref="J954">INDEX(Sm,I954)</f>
        <v>-0.89092746411398172</v>
      </c>
      <c r="K954" s="16">
        <f t="shared" si="53"/>
        <v>457.62209304598673</v>
      </c>
    </row>
    <row r="955" spans="6:11" x14ac:dyDescent="0.4">
      <c r="F955" s="1">
        <v>50406</v>
      </c>
      <c r="H955" s="16">
        <f>_A*F955*F955+_B*F955+_C</f>
        <v>458.75479362025197</v>
      </c>
      <c r="I955">
        <f t="shared" si="52"/>
        <v>1</v>
      </c>
      <c r="J955" s="16" cm="1">
        <f t="array" ref="J955">INDEX(Sm,I955)</f>
        <v>6.1437948016995841E-2</v>
      </c>
      <c r="K955" s="16">
        <f t="shared" si="53"/>
        <v>458.81623156826896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ワークシート</vt:lpstr>
      </vt:variant>
      <vt:variant>
        <vt:i4>3</vt:i4>
      </vt:variant>
      <vt:variant>
        <vt:lpstr>グラフ</vt:lpstr>
      </vt:variant>
      <vt:variant>
        <vt:i4>8</vt:i4>
      </vt:variant>
      <vt:variant>
        <vt:lpstr>名前付き一覧</vt:lpstr>
      </vt:variant>
      <vt:variant>
        <vt:i4>12</vt:i4>
      </vt:variant>
    </vt:vector>
  </HeadingPairs>
  <TitlesOfParts>
    <vt:vector size="23" baseType="lpstr">
      <vt:lpstr>co2-concentration</vt:lpstr>
      <vt:lpstr>指数+定数モデル</vt:lpstr>
      <vt:lpstr>2次多項式モデル</vt:lpstr>
      <vt:lpstr>TCS(d)</vt:lpstr>
      <vt:lpstr>TC(d)</vt:lpstr>
      <vt:lpstr>S(m)</vt:lpstr>
      <vt:lpstr>残差(I)</vt:lpstr>
      <vt:lpstr>TCS(d) (2)</vt:lpstr>
      <vt:lpstr>TC(d) (2)</vt:lpstr>
      <vt:lpstr>S(m) (2)</vt:lpstr>
      <vt:lpstr>残差(I) (2)</vt:lpstr>
      <vt:lpstr>'2次多項式モデル'!_A</vt:lpstr>
      <vt:lpstr>_A</vt:lpstr>
      <vt:lpstr>'2次多項式モデル'!_B</vt:lpstr>
      <vt:lpstr>_B</vt:lpstr>
      <vt:lpstr>'2次多項式モデル'!_C</vt:lpstr>
      <vt:lpstr>_C</vt:lpstr>
      <vt:lpstr>'2次多項式モデル'!Err</vt:lpstr>
      <vt:lpstr>Err</vt:lpstr>
      <vt:lpstr>'2次多項式モデル'!Sm</vt:lpstr>
      <vt:lpstr>Sm</vt:lpstr>
      <vt:lpstr>'2次多項式モデル'!Sm_total</vt:lpstr>
      <vt:lpstr>Sm_total</vt:lpstr>
    </vt:vector>
  </TitlesOfParts>
  <Company>Kobe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</cp:lastModifiedBy>
  <dcterms:created xsi:type="dcterms:W3CDTF">2021-09-17T04:25:10Z</dcterms:created>
  <dcterms:modified xsi:type="dcterms:W3CDTF">2022-11-12T13:58:15Z</dcterms:modified>
</cp:coreProperties>
</file>